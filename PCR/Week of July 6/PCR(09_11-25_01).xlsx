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1 (1)" sheetId="2" r:id="rId6"/>
    <sheet state="visible" name="Summary" sheetId="3" r:id="rId7"/>
    <sheet state="visible" name="Comparison by Store" sheetId="4" r:id="rId8"/>
    <sheet state="visible" name="Consolidated" sheetId="5" r:id="rId9"/>
    <sheet state="visible" name="Consolidated(Excluding BP)" sheetId="6" r:id="rId10"/>
    <sheet state="visible" name="2 - RASA - Ballpark" sheetId="7" r:id="rId11"/>
    <sheet state="visible" name="4 - RASA - MVT" sheetId="8" r:id="rId12"/>
    <sheet state="visible" name="5 - RASA - National Landin" sheetId="9" r:id="rId13"/>
    <sheet state="visible" name="6 - RASA - Mosaic" sheetId="10" r:id="rId14"/>
    <sheet state="visible" name="7 - RASA - Rockville" sheetId="11" r:id="rId15"/>
  </sheets>
  <definedNames/>
  <calcPr/>
</workbook>
</file>

<file path=xl/sharedStrings.xml><?xml version="1.0" encoding="utf-8"?>
<sst xmlns="http://schemas.openxmlformats.org/spreadsheetml/2006/main" count="1322" uniqueCount="258">
  <si>
    <t>Prime Margin - Trailing 12 Week</t>
  </si>
  <si>
    <t>01/25/2026</t>
  </si>
  <si>
    <t>Consolidated</t>
  </si>
  <si>
    <t>Week Ending 11/09/2025</t>
  </si>
  <si>
    <t>Week Ending 11/16/2025</t>
  </si>
  <si>
    <t>Week Ending 11/23/2025</t>
  </si>
  <si>
    <t>7 - RASA - Rockville</t>
  </si>
  <si>
    <t>Week Ending 11/30/2025</t>
  </si>
  <si>
    <t>Week Ending 12/07/2025</t>
  </si>
  <si>
    <t>2 - Rasa - Ballpark</t>
  </si>
  <si>
    <t>Week Ending 12/14/2025</t>
  </si>
  <si>
    <t>Week Ending 12/21/2025</t>
  </si>
  <si>
    <t>Consolidated (Excluding Ballpark)</t>
  </si>
  <si>
    <t>Week Ending 12/28/2025</t>
  </si>
  <si>
    <t>4 - Rasa - MVT</t>
  </si>
  <si>
    <t>Week Ending 01/04/2026</t>
  </si>
  <si>
    <t>5 - Rasa - National Landin</t>
  </si>
  <si>
    <t>Week Ending 01/11/2026</t>
  </si>
  <si>
    <t>6 - Rasa - Mosaic</t>
  </si>
  <si>
    <t>Week Ending 01/18/2026</t>
  </si>
  <si>
    <t>Period To Date</t>
  </si>
  <si>
    <t>Week Ending 01/25/2026</t>
  </si>
  <si>
    <t>Period to Date</t>
  </si>
  <si>
    <t>Total</t>
  </si>
  <si>
    <t>Trailing 4 Week</t>
  </si>
  <si>
    <t>Sales</t>
  </si>
  <si>
    <t>$ vs. 4 Week</t>
  </si>
  <si>
    <t>% vs. 4 Week</t>
  </si>
  <si>
    <t>Trailing 4 week</t>
  </si>
  <si>
    <t>Trailing 8 Week</t>
  </si>
  <si>
    <t>$ vs. 8 Week</t>
  </si>
  <si>
    <t>% vs. 8 Week</t>
  </si>
  <si>
    <t>Single Plate In-House Sales</t>
  </si>
  <si>
    <t>Trailing 8 week</t>
  </si>
  <si>
    <t>Current Period</t>
  </si>
  <si>
    <t>4-Week Average</t>
  </si>
  <si>
    <t>4-Week Average Comparison</t>
  </si>
  <si>
    <t>8-Week Average</t>
  </si>
  <si>
    <t>8-Week Average Comparison</t>
  </si>
  <si>
    <t>Digital Sales</t>
  </si>
  <si>
    <t>Location</t>
  </si>
  <si>
    <t>COGS</t>
  </si>
  <si>
    <t>Labor</t>
  </si>
  <si>
    <t>Prime Margin</t>
  </si>
  <si>
    <t>Total Labor Cost</t>
  </si>
  <si>
    <t>Catering Sales</t>
  </si>
  <si>
    <t>49600 - Toast Order Processing Fee Pass-Through</t>
  </si>
  <si>
    <t>Sales
 Current Week vs 4-week</t>
  </si>
  <si>
    <t>COGS
 Current Week vs 4-week</t>
  </si>
  <si>
    <t>Labor
 Current Week vs 4-week</t>
  </si>
  <si>
    <t>43000 - Delivery Sales - Rasa Website</t>
  </si>
  <si>
    <t>Sales
 Current Week vs 8-week</t>
  </si>
  <si>
    <t>COGS
 Current Week vs 8-week</t>
  </si>
  <si>
    <t>Labor
 Current Week vs 8-week</t>
  </si>
  <si>
    <t>Total Sales</t>
  </si>
  <si>
    <t>Total Cost of Goods Sold</t>
  </si>
  <si>
    <t>Total Payroll Expenses</t>
  </si>
  <si>
    <t>Prime Profit</t>
  </si>
  <si>
    <t>Delivery Fee Income</t>
  </si>
  <si>
    <t>2 - RASA - Ballpark</t>
  </si>
  <si>
    <t>45000 - Sales Adjustments</t>
  </si>
  <si>
    <t>Discounts / Refunds</t>
  </si>
  <si>
    <t>82602 - Other Income_WCK</t>
  </si>
  <si>
    <t>82604 - Other Income_OTP</t>
  </si>
  <si>
    <t>82605 - Other Income_To Good To Go</t>
  </si>
  <si>
    <t>Cost of Goods Sold</t>
  </si>
  <si>
    <t>Food &amp; Beverage Costs</t>
  </si>
  <si>
    <t>50000 - Food &amp; Beverage Costs</t>
  </si>
  <si>
    <t>Food Costs</t>
  </si>
  <si>
    <t>50100 - Food Costs</t>
  </si>
  <si>
    <t>50110 - COGS - Produce</t>
  </si>
  <si>
    <t>50120 - COGS - Grocery Dry &amp; Canned</t>
  </si>
  <si>
    <t>Week 1</t>
  </si>
  <si>
    <t>4 - RASA - MVT</t>
  </si>
  <si>
    <t>50130 - COGS - Poultry</t>
  </si>
  <si>
    <t>50140 - COGS - Dairy</t>
  </si>
  <si>
    <t>50150 - COGS - Frozen</t>
  </si>
  <si>
    <t>50160 - COGS - Meat</t>
  </si>
  <si>
    <t>50170 - COGS - Seafood</t>
  </si>
  <si>
    <t>50180 - COGS - Spices</t>
  </si>
  <si>
    <t>50190 - COGS - Prepped Food</t>
  </si>
  <si>
    <t>50191 - COGS - Wow Bao</t>
  </si>
  <si>
    <t>Week 2</t>
  </si>
  <si>
    <t>5 - RASA - National Landin</t>
  </si>
  <si>
    <t>50195 - COGS - Distribution</t>
  </si>
  <si>
    <t>Total Food Costs</t>
  </si>
  <si>
    <t>Beverage Costs</t>
  </si>
  <si>
    <t>50101 - Beverage Costs</t>
  </si>
  <si>
    <t>50200 - COGS - N/A Beverage</t>
  </si>
  <si>
    <t>50300 - COGS - Beer</t>
  </si>
  <si>
    <t>50400 - COGS - Liquor</t>
  </si>
  <si>
    <t>50500 - COGS - Wine</t>
  </si>
  <si>
    <t>Week 3</t>
  </si>
  <si>
    <t>6 - RASA - Mosaic</t>
  </si>
  <si>
    <t>Total Beverage Costs</t>
  </si>
  <si>
    <t>Total Food &amp; Beverage Costs</t>
  </si>
  <si>
    <t>Other Costs</t>
  </si>
  <si>
    <t>50550 - Other Costs</t>
  </si>
  <si>
    <t>Paper Costs</t>
  </si>
  <si>
    <t>50600 - Paper Costs</t>
  </si>
  <si>
    <t>50610 - COGS - Paper Supplies</t>
  </si>
  <si>
    <t>50620 - COGS - Catering Supplies</t>
  </si>
  <si>
    <t>50630 - COGS - Event Supplies</t>
  </si>
  <si>
    <t>50640 - COGS - Wow Bao Supplies</t>
  </si>
  <si>
    <t>Week 4</t>
  </si>
  <si>
    <t>Total Paper Costs</t>
  </si>
  <si>
    <t>Waste Costs</t>
  </si>
  <si>
    <t>50700 - Waste Costs</t>
  </si>
  <si>
    <t>50710 - Waste - Food</t>
  </si>
  <si>
    <t>50720 - Waste - N/A Beverage</t>
  </si>
  <si>
    <t>50730 - Waste - Beer</t>
  </si>
  <si>
    <t>50740 - Waste - Liquor</t>
  </si>
  <si>
    <t>50750 - Waste - Wine</t>
  </si>
  <si>
    <t>Total Waste Costs</t>
  </si>
  <si>
    <t>50800 - COGS - Freight, Delivery, &amp; Sales Tax</t>
  </si>
  <si>
    <t>50850 - COGS - Fuel Surcharge</t>
  </si>
  <si>
    <t>50900 - COGS - Credit for Discounts</t>
  </si>
  <si>
    <t>Total Other Costs</t>
  </si>
  <si>
    <t>Gross Profit</t>
  </si>
  <si>
    <t>Payroll Expenses</t>
  </si>
  <si>
    <t>61000 - Payroll Expenses</t>
  </si>
  <si>
    <t>Salaries &amp; Wages</t>
  </si>
  <si>
    <t>61100 - Salaries &amp; Wages</t>
  </si>
  <si>
    <t>Week 5</t>
  </si>
  <si>
    <t>All</t>
  </si>
  <si>
    <t>61110 - Management</t>
  </si>
  <si>
    <t>61120 - Culinary</t>
  </si>
  <si>
    <t>61150 - Hourly</t>
  </si>
  <si>
    <t>61200 - Overtime</t>
  </si>
  <si>
    <t>Total Salaries &amp; Wages</t>
  </si>
  <si>
    <t>61105 - Salaries &amp; Wages Adjustment</t>
  </si>
  <si>
    <t>61250 - Bonus</t>
  </si>
  <si>
    <t>Payroll Taxes</t>
  </si>
  <si>
    <t>61300 - Payroll Taxes</t>
  </si>
  <si>
    <t>61310 - FICA Tax Expense</t>
  </si>
  <si>
    <t>61330 - FUTA Tax Expense</t>
  </si>
  <si>
    <t>61335 - SUTA Tax Expense (VA)</t>
  </si>
  <si>
    <t>61340 - SUTA Tax Expense (DC)</t>
  </si>
  <si>
    <t>Week 6</t>
  </si>
  <si>
    <t>61360 - FL Tax Expense (DC)</t>
  </si>
  <si>
    <t>Week 7</t>
  </si>
  <si>
    <t>61395 - Other Payroll Taxes</t>
  </si>
  <si>
    <t>Total Payroll Taxes</t>
  </si>
  <si>
    <t>Week 8</t>
  </si>
  <si>
    <t>Notes:</t>
  </si>
  <si>
    <t>61400 - Payroll Processing Fee</t>
  </si>
  <si>
    <t>Week 9</t>
  </si>
  <si>
    <t>61500 - Health Insurance</t>
  </si>
  <si>
    <t>Week 10</t>
  </si>
  <si>
    <t>RASA - Ballpark</t>
  </si>
  <si>
    <t>Week 11</t>
  </si>
  <si>
    <t>COGS -</t>
  </si>
  <si>
    <t>No notes</t>
  </si>
  <si>
    <t>Week 12</t>
  </si>
  <si>
    <t>Labor -</t>
  </si>
  <si>
    <t xml:space="preserve">Sales up 17% vs 4-8 week comp but total labor $s are only up 2.3% as a % of sales vs same comp. </t>
  </si>
  <si>
    <t>Week 13</t>
  </si>
  <si>
    <t>Week 14</t>
  </si>
  <si>
    <t xml:space="preserve"> RASA - MVT</t>
  </si>
  <si>
    <t>Week 15</t>
  </si>
  <si>
    <t>Prepped food - 5.8% vs 7.0% 4-8 week comp.  However, PTD is comparable at 7.0%.</t>
  </si>
  <si>
    <t>Week 16</t>
  </si>
  <si>
    <t>Week 17</t>
  </si>
  <si>
    <t>Week 18</t>
  </si>
  <si>
    <t>RASA - National Landing</t>
  </si>
  <si>
    <t>Week 19</t>
  </si>
  <si>
    <t>Week 20</t>
  </si>
  <si>
    <t>Sales down 9% vs 4-8 week comp but total labor $s are only down 1.0% as a % of sales vs same comp.  P1 bonus expense was posted this week.</t>
  </si>
  <si>
    <t>Week 21</t>
  </si>
  <si>
    <t>Week 22</t>
  </si>
  <si>
    <t xml:space="preserve"> RASA - Mosaic</t>
  </si>
  <si>
    <t>Week 23</t>
  </si>
  <si>
    <t>Week 24</t>
  </si>
  <si>
    <t>Sales down 8% vs 4-8 week comp but total labor $s are down 17.5% as a % of sales vs same comp.</t>
  </si>
  <si>
    <t>Week 25</t>
  </si>
  <si>
    <t>Week 26</t>
  </si>
  <si>
    <t>RASA - Rockville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</si>
  <si>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</si>
  <si>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</si>
  <si>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</si>
  <si>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</si>
  <si>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</si>
  <si>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</si>
  <si>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</si>
  <si>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</si>
  <si>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</si>
  <si>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</si>
  <si>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</si>
  <si>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</si>
  <si>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</si>
  <si>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</si>
  <si>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</si>
  <si>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</si>
  <si>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</si>
  <si>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</si>
  <si>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</si>
  <si>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</si>
  <si>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</si>
  <si>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</si>
  <si>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</si>
  <si>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</si>
  <si>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</si>
  <si>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</si>
  <si>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Operating Expense</t>
  </si>
  <si>
    <t>Supplies</t>
  </si>
  <si>
    <t>Marketing</t>
  </si>
  <si>
    <t>Delivery Fees</t>
  </si>
  <si>
    <t>Third-Party Fees</t>
  </si>
  <si>
    <t>Credit Card Fees</t>
  </si>
  <si>
    <t>Insurance</t>
  </si>
  <si>
    <t>Professional Fees</t>
  </si>
  <si>
    <t>Repairs &amp; Maintenance</t>
  </si>
  <si>
    <t>Other Expenses</t>
  </si>
  <si>
    <t>Total Operating Expense</t>
  </si>
  <si>
    <t>Store Level EBITDAR</t>
  </si>
  <si>
    <t>Non Controllable Expense</t>
  </si>
  <si>
    <t>Occupancy Cost</t>
  </si>
  <si>
    <t>Total Non Controllable Expense</t>
  </si>
  <si>
    <t>Store Level EBITDA</t>
  </si>
  <si>
    <t>Corporate Overhead &amp; Other</t>
  </si>
  <si>
    <t>70000 - Corporate G&amp;A Expenses</t>
  </si>
  <si>
    <t>Corp - Payroll Expenses</t>
  </si>
  <si>
    <t>Corp - Meals, Entertainment, &amp; Travel</t>
  </si>
  <si>
    <t>73000 - Corp - Other G&amp;A Expenses</t>
  </si>
  <si>
    <t>73100 - Corp - Dues &amp; Subscriptions</t>
  </si>
  <si>
    <t>73200 - Corp - Office Supplies</t>
  </si>
  <si>
    <t>73300 - Corp - Other Taxes</t>
  </si>
  <si>
    <t>73400 - Corp - Rent Expense</t>
  </si>
  <si>
    <t>73500 - Corp - Insurance Expense</t>
  </si>
  <si>
    <t>73600 - Corp - Charitable Contributions</t>
  </si>
  <si>
    <t>73650 - Corp - Other Employee Incentives</t>
  </si>
  <si>
    <t>74000 - Corp - Professional Fees</t>
  </si>
  <si>
    <t>74050 - Corp - IT &amp; Technology</t>
  </si>
  <si>
    <t>74060 - Corp - R&amp;D</t>
  </si>
  <si>
    <t>74100 - Corp - Accounting Fees</t>
  </si>
  <si>
    <t>74200 - Corp - Legal Fees</t>
  </si>
  <si>
    <t>74300 - Corp - Recruiting Fees</t>
  </si>
  <si>
    <t>74400 - Corp - Public Relations</t>
  </si>
  <si>
    <t>Corp - Marketing</t>
  </si>
  <si>
    <t>74600 - Corp - Other Professional Fees</t>
  </si>
  <si>
    <t>74700 - Corp - Bank Fees</t>
  </si>
  <si>
    <t>74800 - Corp - Licenses &amp; Permits</t>
  </si>
  <si>
    <t>81000 - Corp - Management Fee</t>
  </si>
  <si>
    <t>81500 - Corp - Investor Advisory Fees</t>
  </si>
  <si>
    <t>82100 - Corp - Realty Tax</t>
  </si>
  <si>
    <t>Total Corporate Overhead &amp; Other</t>
  </si>
  <si>
    <t>EBITDA</t>
  </si>
  <si>
    <t>Other Income &amp; Expense</t>
  </si>
  <si>
    <t>Other (Income)/Expense</t>
  </si>
  <si>
    <t>Total Other Income &amp; Expense</t>
  </si>
  <si>
    <t>Pre-Opening Costs</t>
  </si>
  <si>
    <t>Pre-Opening Expenses</t>
  </si>
  <si>
    <t>Total Pre-Opening Costs</t>
  </si>
  <si>
    <t>Net Income</t>
  </si>
  <si>
    <t>Powered by Restaurant365</t>
  </si>
  <si>
    <t>1</t>
  </si>
  <si>
    <t>01/30/2026 11:00 AM PST</t>
  </si>
  <si>
    <t>5 - RASA - National Landing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</si>
</sst>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* #,##0_);_(* \(#,##0\);_(* \-??_);_(@_)"/>
    <numFmt numFmtId="165" formatCode="#,##0.0%;\(#,##0.0%\)"/>
    <numFmt numFmtId="166" formatCode="#,##0.00_);\(#,##0.00\)"/>
    <numFmt numFmtId="167" formatCode="_(* #,##0.00_);_(* \(#,##0.00\);_(* \-??_);_(@_)"/>
    <numFmt numFmtId="168" formatCode="_(\$* #,##0_);_(\$* \(#,##0\);_(\$* \-??_);_(@_)"/>
    <numFmt numFmtId="169" formatCode="0.0%"/>
    <numFmt numFmtId="170" formatCode="d/m/yyyy"/>
    <numFmt numFmtId="171" formatCode="#,##0.0;\(#,##0.0\)"/>
  </numFmts>
  <fonts count="30">
    <font>
      <sz val="10.0"/>
      <color rgb="FF000000"/>
      <name val="Arial"/>
      <scheme val="minor"/>
    </font>
    <font>
      <b/>
      <sz val="10.0"/>
      <color theme="1"/>
      <name val="Calibri"/>
    </font>
    <font>
      <b/>
      <sz val="26.0"/>
      <color rgb="FF000000"/>
      <name val="Calibri"/>
    </font>
    <font>
      <sz val="11.0"/>
      <color theme="1"/>
      <name val="Calibri"/>
    </font>
    <font>
      <sz val="18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sz val="10.0"/>
      <color rgb="FF4A90E2"/>
      <name val="Calibri"/>
    </font>
    <font>
      <b/>
      <i/>
      <sz val="8.0"/>
      <color theme="1"/>
      <name val="Calibri"/>
    </font>
    <font>
      <b/>
      <sz val="12.0"/>
      <color rgb="FF4A90E2"/>
      <name val="Calibri"/>
    </font>
    <font>
      <b/>
      <i/>
      <sz val="8.0"/>
      <color rgb="FFFFFFFF"/>
      <name val="Calibri"/>
    </font>
    <font>
      <i/>
      <sz val="8.0"/>
      <color theme="1"/>
      <name val="Calibri"/>
    </font>
    <font>
      <b/>
      <i/>
      <sz val="11.0"/>
      <color theme="1"/>
      <name val="Calibri"/>
    </font>
    <font/>
    <font>
      <sz val="12.0"/>
      <color rgb="FF4A90E2"/>
      <name val="Calibri"/>
    </font>
    <font>
      <i/>
      <sz val="8.0"/>
      <color rgb="FFFFFFFF"/>
      <name val="Calibri"/>
    </font>
    <font>
      <b/>
      <sz val="10.0"/>
      <color rgb="FF000000"/>
      <name val="Calibri"/>
    </font>
    <font>
      <sz val="11.0"/>
      <color theme="1"/>
      <name val="Arial"/>
    </font>
    <font>
      <b/>
      <sz val="12.0"/>
      <color rgb="FF000000"/>
      <name val="Calibri"/>
    </font>
    <font>
      <sz val="7.0"/>
      <color rgb="FF000000"/>
      <name val="Calibri"/>
    </font>
    <font>
      <i/>
      <sz val="8.0"/>
      <color rgb="FF000000"/>
      <name val="Calibri"/>
    </font>
    <font>
      <sz val="7.0"/>
      <color rgb="FF4A90E2"/>
      <name val="Calibri"/>
    </font>
    <font>
      <sz val="8.0"/>
      <color theme="1"/>
      <name val="Calibri"/>
    </font>
    <font>
      <b/>
      <i/>
      <sz val="8.0"/>
      <color rgb="FF000000"/>
      <name val="Calibri"/>
    </font>
    <font>
      <sz val="10.0"/>
      <color theme="1"/>
      <name val="Arial"/>
    </font>
    <font>
      <b/>
      <i/>
      <u/>
      <sz val="12.0"/>
      <color theme="1"/>
      <name val="Arial"/>
    </font>
    <font>
      <b/>
      <i/>
      <sz val="10.0"/>
      <color theme="1"/>
      <name val="Arial"/>
    </font>
    <font>
      <b/>
      <i/>
      <sz val="10.0"/>
      <color rgb="FF0070C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BDD6EE"/>
        <bgColor rgb="FFBDD6EE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rgb="FFFFF2CB"/>
        <bgColor rgb="FFFFF2CB"/>
      </patternFill>
    </fill>
    <fill>
      <patternFill patternType="solid">
        <fgColor rgb="FF00B0F0"/>
        <bgColor rgb="FF00B0F0"/>
      </patternFill>
    </fill>
  </fills>
  <borders count="27">
    <border/>
    <border>
      <left/>
      <right/>
      <top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/>
      <top style="dotted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3" numFmtId="4" xfId="0" applyAlignment="1" applyFont="1" applyNumberFormat="1">
      <alignment shrinkToFit="0" vertical="bottom" wrapText="0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bottom" wrapText="0"/>
    </xf>
    <xf borderId="0" fillId="0" fontId="8" numFmtId="0" xfId="0" applyAlignment="1" applyFont="1">
      <alignment shrinkToFit="0" vertical="center" wrapText="1"/>
    </xf>
    <xf borderId="0" fillId="0" fontId="9" numFmtId="4" xfId="0" applyAlignment="1" applyFont="1" applyNumberFormat="1">
      <alignment horizontal="center" shrinkToFit="0" vertical="center" wrapText="1"/>
    </xf>
    <xf borderId="0" fillId="0" fontId="8" numFmtId="164" xfId="0" applyAlignment="1" applyFont="1" applyNumberFormat="1">
      <alignment shrinkToFit="0" vertical="center" wrapText="0"/>
    </xf>
    <xf borderId="0" fillId="0" fontId="10" numFmtId="165" xfId="0" applyAlignment="1" applyFont="1" applyNumberFormat="1">
      <alignment shrinkToFit="0" vertical="center" wrapText="0"/>
    </xf>
    <xf borderId="0" fillId="0" fontId="8" numFmtId="0" xfId="0" applyAlignment="1" applyFont="1">
      <alignment horizontal="left" shrinkToFit="0" vertical="center" wrapText="1"/>
    </xf>
    <xf borderId="0" fillId="0" fontId="8" numFmtId="166" xfId="0" applyAlignment="1" applyFont="1" applyNumberFormat="1">
      <alignment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center" wrapText="1"/>
    </xf>
    <xf borderId="0" fillId="0" fontId="11" numFmtId="166" xfId="0" applyAlignment="1" applyFont="1" applyNumberFormat="1">
      <alignment shrinkToFit="0" vertical="center" wrapText="0"/>
    </xf>
    <xf borderId="0" fillId="0" fontId="12" numFmtId="165" xfId="0" applyAlignment="1" applyFont="1" applyNumberFormat="1">
      <alignment shrinkToFit="0" vertical="center" wrapText="0"/>
    </xf>
    <xf borderId="0" fillId="0" fontId="6" numFmtId="0" xfId="0" applyAlignment="1" applyFont="1">
      <alignment horizontal="left" shrinkToFit="0" vertical="center" wrapText="1"/>
    </xf>
    <xf borderId="1" fillId="2" fontId="3" numFmtId="0" xfId="0" applyAlignment="1" applyBorder="1" applyFill="1" applyFont="1">
      <alignment shrinkToFit="0" vertical="bottom" wrapText="0"/>
    </xf>
    <xf borderId="0" fillId="0" fontId="6" numFmtId="166" xfId="0" applyAlignment="1" applyFont="1" applyNumberFormat="1">
      <alignment shrinkToFit="0" vertical="center" wrapText="0"/>
    </xf>
    <xf borderId="0" fillId="0" fontId="6" numFmtId="164" xfId="0" applyAlignment="1" applyFont="1" applyNumberFormat="1">
      <alignment shrinkToFit="0" vertical="center" wrapText="0"/>
    </xf>
    <xf borderId="0" fillId="0" fontId="13" numFmtId="165" xfId="0" applyAlignment="1" applyFont="1" applyNumberFormat="1">
      <alignment horizontal="right" shrinkToFit="0" vertical="center" wrapText="0"/>
    </xf>
    <xf borderId="1" fillId="2" fontId="14" numFmtId="0" xfId="0" applyAlignment="1" applyBorder="1" applyFont="1">
      <alignment shrinkToFit="0" vertical="bottom" wrapText="0"/>
    </xf>
    <xf borderId="2" fillId="2" fontId="14" numFmtId="0" xfId="0" applyAlignment="1" applyBorder="1" applyFont="1">
      <alignment horizontal="center" shrinkToFit="0" vertical="bottom" wrapText="0"/>
    </xf>
    <xf borderId="3" fillId="0" fontId="15" numFmtId="0" xfId="0" applyBorder="1" applyFont="1"/>
    <xf borderId="4" fillId="0" fontId="15" numFmtId="0" xfId="0" applyBorder="1" applyFont="1"/>
    <xf borderId="0" fillId="0" fontId="6" numFmtId="166" xfId="0" applyAlignment="1" applyFont="1" applyNumberFormat="1">
      <alignment horizontal="right" shrinkToFit="0" vertical="center" wrapText="0"/>
    </xf>
    <xf borderId="0" fillId="0" fontId="16" numFmtId="166" xfId="0" applyAlignment="1" applyFont="1" applyNumberFormat="1">
      <alignment horizontal="right" shrinkToFit="0" vertical="center" wrapText="0"/>
    </xf>
    <xf borderId="0" fillId="0" fontId="17" numFmtId="165" xfId="0" applyAlignment="1" applyFont="1" applyNumberFormat="1">
      <alignment horizontal="right" shrinkToFit="0" vertical="center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5" fillId="3" fontId="1" numFmtId="0" xfId="0" applyAlignment="1" applyBorder="1" applyFill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6" fillId="3" fontId="18" numFmtId="166" xfId="0" applyAlignment="1" applyBorder="1" applyFont="1" applyNumberFormat="1">
      <alignment horizontal="center" shrinkToFit="0" vertical="center" wrapText="1"/>
    </xf>
    <xf borderId="7" fillId="3" fontId="18" numFmtId="166" xfId="0" applyAlignment="1" applyBorder="1" applyFont="1" applyNumberFormat="1">
      <alignment horizontal="center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6" fillId="4" fontId="18" numFmtId="166" xfId="0" applyAlignment="1" applyBorder="1" applyFont="1" applyNumberFormat="1">
      <alignment horizontal="center" shrinkToFit="0" vertical="center" wrapText="1"/>
    </xf>
    <xf borderId="8" fillId="4" fontId="18" numFmtId="166" xfId="0" applyAlignment="1" applyBorder="1" applyFont="1" applyNumberFormat="1">
      <alignment horizontal="center" shrinkToFit="0" vertical="center" wrapText="1"/>
    </xf>
    <xf borderId="5" fillId="5" fontId="1" numFmtId="0" xfId="0" applyAlignment="1" applyBorder="1" applyFill="1" applyFont="1">
      <alignment horizontal="center" shrinkToFit="0" vertical="center" wrapText="1"/>
    </xf>
    <xf borderId="6" fillId="5" fontId="1" numFmtId="0" xfId="0" applyAlignment="1" applyBorder="1" applyFont="1">
      <alignment horizontal="center" shrinkToFit="0" vertical="center" wrapText="1"/>
    </xf>
    <xf borderId="6" fillId="5" fontId="18" numFmtId="166" xfId="0" applyAlignment="1" applyBorder="1" applyFont="1" applyNumberFormat="1">
      <alignment horizontal="center" shrinkToFit="0" vertical="center" wrapText="1"/>
    </xf>
    <xf borderId="7" fillId="5" fontId="18" numFmtId="166" xfId="0" applyAlignment="1" applyBorder="1" applyFont="1" applyNumberFormat="1">
      <alignment horizontal="center" shrinkToFit="0" vertical="center" wrapText="1"/>
    </xf>
    <xf borderId="9" fillId="6" fontId="1" numFmtId="0" xfId="0" applyAlignment="1" applyBorder="1" applyFill="1" applyFont="1">
      <alignment horizontal="center" shrinkToFit="0" vertical="bottom" wrapText="1"/>
    </xf>
    <xf borderId="6" fillId="6" fontId="1" numFmtId="0" xfId="0" applyAlignment="1" applyBorder="1" applyFont="1">
      <alignment horizontal="center" shrinkToFit="0" vertical="bottom" wrapText="1"/>
    </xf>
    <xf borderId="10" fillId="6" fontId="1" numFmtId="0" xfId="0" applyAlignment="1" applyBorder="1" applyFont="1">
      <alignment horizontal="center" shrinkToFit="0" vertical="bottom" wrapText="1"/>
    </xf>
    <xf borderId="5" fillId="7" fontId="1" numFmtId="0" xfId="0" applyAlignment="1" applyBorder="1" applyFill="1" applyFont="1">
      <alignment horizontal="center" shrinkToFit="0" vertical="center" wrapText="1"/>
    </xf>
    <xf borderId="6" fillId="7" fontId="1" numFmtId="0" xfId="0" applyAlignment="1" applyBorder="1" applyFont="1">
      <alignment horizontal="center" shrinkToFit="0" vertical="center" wrapText="1"/>
    </xf>
    <xf borderId="6" fillId="7" fontId="18" numFmtId="166" xfId="0" applyAlignment="1" applyBorder="1" applyFont="1" applyNumberFormat="1">
      <alignment horizontal="center" shrinkToFit="0" vertical="center" wrapText="1"/>
    </xf>
    <xf borderId="8" fillId="7" fontId="18" numFmtId="166" xfId="0" applyAlignment="1" applyBorder="1" applyFont="1" applyNumberFormat="1">
      <alignment horizontal="center" shrinkToFit="0" vertical="center" wrapText="1"/>
    </xf>
    <xf borderId="9" fillId="7" fontId="1" numFmtId="0" xfId="0" applyAlignment="1" applyBorder="1" applyFont="1">
      <alignment horizontal="center" shrinkToFit="0" vertical="bottom" wrapText="1"/>
    </xf>
    <xf borderId="6" fillId="7" fontId="1" numFmtId="0" xfId="0" applyAlignment="1" applyBorder="1" applyFont="1">
      <alignment horizontal="center" shrinkToFit="0" vertical="bottom" wrapText="1"/>
    </xf>
    <xf borderId="10" fillId="7" fontId="1" numFmtId="0" xfId="0" applyAlignment="1" applyBorder="1" applyFont="1">
      <alignment horizontal="center" shrinkToFit="0" vertical="bottom" wrapText="1"/>
    </xf>
    <xf borderId="0" fillId="0" fontId="19" numFmtId="0" xfId="0" applyAlignment="1" applyFont="1">
      <alignment shrinkToFit="0" vertical="bottom" wrapText="0"/>
    </xf>
    <xf borderId="0" fillId="0" fontId="20" numFmtId="166" xfId="0" applyAlignment="1" applyFont="1" applyNumberFormat="1">
      <alignment shrinkToFit="0" vertical="center" wrapText="1"/>
    </xf>
    <xf borderId="0" fillId="0" fontId="5" numFmtId="4" xfId="0" applyAlignment="1" applyFont="1" applyNumberFormat="1">
      <alignment shrinkToFit="0" vertical="center" wrapText="1"/>
    </xf>
    <xf borderId="0" fillId="0" fontId="20" numFmtId="4" xfId="0" applyAlignment="1" applyFont="1" applyNumberFormat="1">
      <alignment shrinkToFit="0" vertical="center" wrapText="1"/>
    </xf>
    <xf borderId="11" fillId="0" fontId="3" numFmtId="0" xfId="0" applyAlignment="1" applyBorder="1" applyFont="1">
      <alignment horizontal="center" shrinkToFit="0" vertical="bottom" wrapText="0"/>
    </xf>
    <xf borderId="12" fillId="0" fontId="3" numFmtId="0" xfId="0" applyAlignment="1" applyBorder="1" applyFont="1">
      <alignment horizontal="center" shrinkToFit="0" vertical="bottom" wrapText="0"/>
    </xf>
    <xf borderId="11" fillId="0" fontId="3" numFmtId="0" xfId="0" applyAlignment="1" applyBorder="1" applyFont="1">
      <alignment shrinkToFit="0" vertical="bottom" wrapText="0"/>
    </xf>
    <xf borderId="12" fillId="0" fontId="20" numFmtId="4" xfId="0" applyAlignment="1" applyBorder="1" applyFont="1" applyNumberFormat="1">
      <alignment shrinkToFit="0" vertical="center" wrapText="1"/>
    </xf>
    <xf borderId="13" fillId="6" fontId="7" numFmtId="167" xfId="0" applyAlignment="1" applyBorder="1" applyFont="1" applyNumberFormat="1">
      <alignment horizontal="left" shrinkToFit="0" vertical="center" wrapText="0"/>
    </xf>
    <xf borderId="14" fillId="8" fontId="3" numFmtId="168" xfId="0" applyAlignment="1" applyBorder="1" applyFill="1" applyFont="1" applyNumberFormat="1">
      <alignment horizontal="center" shrinkToFit="0" vertical="center" wrapText="0"/>
    </xf>
    <xf borderId="0" fillId="0" fontId="8" numFmtId="166" xfId="0" applyAlignment="1" applyFont="1" applyNumberFormat="1">
      <alignment horizontal="left" shrinkToFit="0" vertical="center" wrapText="1"/>
    </xf>
    <xf borderId="0" fillId="0" fontId="8" numFmtId="166" xfId="0" applyAlignment="1" applyFont="1" applyNumberFormat="1">
      <alignment horizontal="right" shrinkToFit="0" vertical="center" wrapText="0"/>
    </xf>
    <xf borderId="0" fillId="0" fontId="10" numFmtId="165" xfId="0" applyAlignment="1" applyFont="1" applyNumberFormat="1">
      <alignment horizontal="right" shrinkToFit="0" vertical="center" wrapText="0"/>
    </xf>
    <xf borderId="15" fillId="8" fontId="3" numFmtId="169" xfId="0" applyAlignment="1" applyBorder="1" applyFont="1" applyNumberFormat="1">
      <alignment horizontal="center" shrinkToFit="0" vertical="center" wrapText="0"/>
    </xf>
    <xf borderId="16" fillId="8" fontId="3" numFmtId="169" xfId="0" applyAlignment="1" applyBorder="1" applyFont="1" applyNumberFormat="1">
      <alignment horizontal="center" shrinkToFit="0" vertical="center" wrapText="0"/>
    </xf>
    <xf borderId="0" fillId="0" fontId="8" numFmtId="166" xfId="0" applyAlignment="1" applyFont="1" applyNumberFormat="1">
      <alignment shrinkToFit="0" vertical="center" wrapText="1"/>
    </xf>
    <xf borderId="0" fillId="0" fontId="8" numFmtId="164" xfId="0" applyAlignment="1" applyFont="1" applyNumberFormat="1">
      <alignment horizontal="right" shrinkToFit="0" vertical="center" wrapText="0"/>
    </xf>
    <xf borderId="0" fillId="0" fontId="21" numFmtId="0" xfId="0" applyAlignment="1" applyFont="1">
      <alignment shrinkToFit="0" vertical="center" wrapText="1"/>
    </xf>
    <xf borderId="0" fillId="0" fontId="21" numFmtId="164" xfId="0" applyAlignment="1" applyFont="1" applyNumberFormat="1">
      <alignment shrinkToFit="0" vertical="center" wrapText="0"/>
    </xf>
    <xf borderId="0" fillId="0" fontId="22" numFmtId="165" xfId="0" applyAlignment="1" applyFont="1" applyNumberFormat="1">
      <alignment shrinkToFit="0" vertical="center" wrapText="0"/>
    </xf>
    <xf borderId="0" fillId="0" fontId="11" numFmtId="166" xfId="0" applyAlignment="1" applyFont="1" applyNumberFormat="1">
      <alignment horizontal="right" shrinkToFit="0" vertical="center" wrapText="0"/>
    </xf>
    <xf borderId="0" fillId="0" fontId="12" numFmtId="165" xfId="0" applyAlignment="1" applyFont="1" applyNumberFormat="1">
      <alignment horizontal="right" shrinkToFit="0" vertical="center" wrapText="0"/>
    </xf>
    <xf borderId="0" fillId="0" fontId="21" numFmtId="0" xfId="0" applyAlignment="1" applyFont="1">
      <alignment horizontal="left" shrinkToFit="0" vertical="center" wrapText="1"/>
    </xf>
    <xf borderId="0" fillId="0" fontId="21" numFmtId="166" xfId="0" applyAlignment="1" applyFont="1" applyNumberFormat="1">
      <alignment shrinkToFit="0" vertical="center" wrapText="0"/>
    </xf>
    <xf borderId="0" fillId="0" fontId="23" numFmtId="166" xfId="0" applyAlignment="1" applyFont="1" applyNumberFormat="1">
      <alignment shrinkToFit="0" vertical="center" wrapText="0"/>
    </xf>
    <xf borderId="0" fillId="0" fontId="17" numFmtId="165" xfId="0" applyAlignment="1" applyFont="1" applyNumberFormat="1">
      <alignment shrinkToFit="0" vertical="center" wrapText="0"/>
    </xf>
    <xf borderId="17" fillId="8" fontId="3" numFmtId="169" xfId="0" applyAlignment="1" applyBorder="1" applyFont="1" applyNumberFormat="1">
      <alignment horizontal="center" shrinkToFit="0" vertical="center" wrapText="0"/>
    </xf>
    <xf borderId="14" fillId="8" fontId="3" numFmtId="9" xfId="0" applyAlignment="1" applyBorder="1" applyFont="1" applyNumberFormat="1">
      <alignment horizontal="center" shrinkToFit="0" vertical="center" wrapText="0"/>
    </xf>
    <xf borderId="0" fillId="0" fontId="3" numFmtId="9" xfId="0" applyAlignment="1" applyFont="1" applyNumberFormat="1">
      <alignment shrinkToFit="0" vertical="bottom" wrapText="0"/>
    </xf>
    <xf borderId="0" fillId="0" fontId="3" numFmtId="10" xfId="0" applyAlignment="1" applyFont="1" applyNumberFormat="1">
      <alignment shrinkToFit="0" vertical="bottom" wrapText="0"/>
    </xf>
    <xf borderId="0" fillId="0" fontId="3" numFmtId="170" xfId="0" applyAlignment="1" applyFont="1" applyNumberFormat="1">
      <alignment shrinkToFit="0" vertical="bottom" wrapText="0"/>
    </xf>
    <xf borderId="18" fillId="6" fontId="7" numFmtId="167" xfId="0" applyAlignment="1" applyBorder="1" applyFont="1" applyNumberFormat="1">
      <alignment horizontal="left" shrinkToFit="0" vertical="center" wrapText="0"/>
    </xf>
    <xf borderId="19" fillId="8" fontId="3" numFmtId="168" xfId="0" applyAlignment="1" applyBorder="1" applyFont="1" applyNumberFormat="1">
      <alignment horizontal="center" shrinkToFit="0" vertical="center" wrapText="0"/>
    </xf>
    <xf borderId="0" fillId="0" fontId="24" numFmtId="165" xfId="0" applyAlignment="1" applyFont="1" applyNumberFormat="1">
      <alignment horizontal="right" shrinkToFit="0" vertical="center" wrapText="0"/>
    </xf>
    <xf borderId="19" fillId="8" fontId="3" numFmtId="9" xfId="0" applyAlignment="1" applyBorder="1" applyFont="1" applyNumberFormat="1">
      <alignment horizontal="center" shrinkToFit="0" vertical="center" wrapText="0"/>
    </xf>
    <xf borderId="0" fillId="0" fontId="3" numFmtId="169" xfId="0" applyAlignment="1" applyFont="1" applyNumberFormat="1">
      <alignment shrinkToFit="0" vertical="bottom" wrapText="0"/>
    </xf>
    <xf borderId="20" fillId="0" fontId="8" numFmtId="164" xfId="0" applyAlignment="1" applyBorder="1" applyFont="1" applyNumberFormat="1">
      <alignment horizontal="right" shrinkToFit="0" vertical="center" wrapText="0"/>
    </xf>
    <xf borderId="20" fillId="0" fontId="10" numFmtId="165" xfId="0" applyAlignment="1" applyBorder="1" applyFont="1" applyNumberFormat="1">
      <alignment horizontal="right" shrinkToFit="0" vertical="center" wrapText="0"/>
    </xf>
    <xf borderId="21" fillId="9" fontId="10" numFmtId="165" xfId="0" applyAlignment="1" applyBorder="1" applyFill="1" applyFont="1" applyNumberFormat="1">
      <alignment horizontal="right" shrinkToFit="0" vertical="center" wrapText="0"/>
    </xf>
    <xf borderId="0" fillId="0" fontId="25" numFmtId="165" xfId="0" applyAlignment="1" applyFont="1" applyNumberFormat="1">
      <alignment horizontal="right" shrinkToFit="0" vertical="center" wrapText="0"/>
    </xf>
    <xf borderId="0" fillId="0" fontId="20" numFmtId="164" xfId="0" applyAlignment="1" applyFont="1" applyNumberFormat="1">
      <alignment horizontal="right" shrinkToFit="0" vertical="center" wrapText="0"/>
    </xf>
    <xf borderId="0" fillId="0" fontId="5" numFmtId="0" xfId="0" applyAlignment="1" applyFont="1">
      <alignment shrinkToFit="0" vertical="center" wrapText="1"/>
    </xf>
    <xf borderId="0" fillId="0" fontId="5" numFmtId="164" xfId="0" applyAlignment="1" applyFont="1" applyNumberFormat="1">
      <alignment shrinkToFit="0" vertical="center" wrapText="0"/>
    </xf>
    <xf borderId="22" fillId="10" fontId="7" numFmtId="167" xfId="0" applyAlignment="1" applyBorder="1" applyFill="1" applyFont="1" applyNumberFormat="1">
      <alignment horizontal="left" shrinkToFit="0" vertical="center" wrapText="0"/>
    </xf>
    <xf borderId="23" fillId="10" fontId="3" numFmtId="168" xfId="0" applyAlignment="1" applyBorder="1" applyFont="1" applyNumberFormat="1">
      <alignment horizontal="center" shrinkToFit="0" vertical="center" wrapText="0"/>
    </xf>
    <xf borderId="24" fillId="10" fontId="3" numFmtId="169" xfId="0" applyAlignment="1" applyBorder="1" applyFont="1" applyNumberFormat="1">
      <alignment horizontal="center" shrinkToFit="0" vertical="center" wrapText="0"/>
    </xf>
    <xf borderId="25" fillId="10" fontId="3" numFmtId="169" xfId="0" applyAlignment="1" applyBorder="1" applyFont="1" applyNumberFormat="1">
      <alignment horizontal="center" shrinkToFit="0" vertical="center" wrapText="0"/>
    </xf>
    <xf borderId="26" fillId="10" fontId="3" numFmtId="169" xfId="0" applyAlignment="1" applyBorder="1" applyFont="1" applyNumberFormat="1">
      <alignment horizontal="center" shrinkToFit="0" vertical="center" wrapText="0"/>
    </xf>
    <xf borderId="23" fillId="10" fontId="3" numFmtId="9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shrinkToFit="0" vertical="bottom" wrapText="1"/>
    </xf>
    <xf borderId="0" fillId="0" fontId="26" numFmtId="0" xfId="0" applyAlignment="1" applyFont="1">
      <alignment shrinkToFit="0" vertical="bottom" wrapText="0"/>
    </xf>
    <xf borderId="0" fillId="0" fontId="26" numFmtId="168" xfId="0" applyAlignment="1" applyFont="1" applyNumberFormat="1">
      <alignment horizontal="right" shrinkToFit="0" vertical="bottom" wrapText="0"/>
    </xf>
    <xf borderId="0" fillId="0" fontId="26" numFmtId="10" xfId="0" applyAlignment="1" applyFont="1" applyNumberFormat="1">
      <alignment shrinkToFit="0" vertical="bottom" wrapText="0"/>
    </xf>
    <xf borderId="0" fillId="0" fontId="26" numFmtId="169" xfId="0" applyAlignment="1" applyFont="1" applyNumberFormat="1">
      <alignment shrinkToFit="0" vertical="bottom" wrapText="0"/>
    </xf>
    <xf borderId="0" fillId="0" fontId="26" numFmtId="0" xfId="0" applyAlignment="1" applyFont="1">
      <alignment horizontal="center" shrinkToFit="0" vertical="bottom" wrapText="0"/>
    </xf>
    <xf borderId="0" fillId="0" fontId="27" numFmtId="0" xfId="0" applyAlignment="1" applyFont="1">
      <alignment shrinkToFit="0" vertical="bottom" wrapText="0"/>
    </xf>
    <xf borderId="0" fillId="0" fontId="26" numFmtId="0" xfId="0" applyAlignment="1" applyFont="1">
      <alignment horizontal="right" shrinkToFit="0" vertical="bottom" wrapText="0"/>
    </xf>
    <xf borderId="0" fillId="0" fontId="26" numFmtId="169" xfId="0" applyAlignment="1" applyFont="1" applyNumberFormat="1">
      <alignment horizontal="center" shrinkToFit="0" vertical="bottom" wrapText="0"/>
    </xf>
    <xf borderId="1" fillId="11" fontId="28" numFmtId="0" xfId="0" applyAlignment="1" applyBorder="1" applyFill="1" applyFont="1">
      <alignment shrinkToFit="0" vertical="bottom" wrapText="0"/>
    </xf>
    <xf borderId="0" fillId="0" fontId="29" numFmtId="0" xfId="0" applyAlignment="1" applyFont="1">
      <alignment horizontal="left" shrinkToFit="0" vertical="bottom" wrapText="0"/>
    </xf>
    <xf borderId="0" fillId="0" fontId="29" numFmtId="0" xfId="0" applyAlignment="1" applyFont="1">
      <alignment horizontal="right" shrinkToFit="0" vertical="bottom" wrapText="0"/>
    </xf>
    <xf borderId="1" fillId="9" fontId="25" numFmtId="165" xfId="0" applyAlignment="1" applyBorder="1" applyFont="1" applyNumberFormat="1">
      <alignment horizontal="right" shrinkToFit="0" vertical="center" wrapText="0"/>
    </xf>
    <xf borderId="0" fillId="0" fontId="29" numFmtId="0" xfId="0" applyAlignment="1" applyFont="1">
      <alignment shrinkToFit="0" vertical="bottom" wrapText="0"/>
    </xf>
    <xf borderId="20" fillId="0" fontId="8" numFmtId="166" xfId="0" applyAlignment="1" applyBorder="1" applyFont="1" applyNumberFormat="1">
      <alignment horizontal="right" shrinkToFit="0" vertical="center" wrapText="0"/>
    </xf>
    <xf borderId="20" fillId="0" fontId="11" numFmtId="166" xfId="0" applyAlignment="1" applyBorder="1" applyFont="1" applyNumberFormat="1">
      <alignment horizontal="right" shrinkToFit="0" vertical="center" wrapText="0"/>
    </xf>
    <xf borderId="20" fillId="0" fontId="12" numFmtId="165" xfId="0" applyAlignment="1" applyBorder="1" applyFont="1" applyNumberFormat="1">
      <alignment horizontal="right" shrinkToFit="0" vertical="center" wrapText="0"/>
    </xf>
    <xf borderId="0" fillId="0" fontId="20" numFmtId="166" xfId="0" applyAlignment="1" applyFont="1" applyNumberFormat="1">
      <alignment horizontal="left" shrinkToFit="0" vertical="center" wrapText="1"/>
    </xf>
    <xf borderId="0" fillId="0" fontId="20" numFmtId="166" xfId="0" applyAlignment="1" applyFont="1" applyNumberFormat="1">
      <alignment horizontal="right" shrinkToFit="0" vertical="center" wrapText="0"/>
    </xf>
    <xf borderId="0" fillId="0" fontId="5" numFmtId="0" xfId="0" applyAlignment="1" applyFont="1">
      <alignment horizontal="left" shrinkToFit="0" vertical="center" wrapText="1"/>
    </xf>
    <xf borderId="0" fillId="0" fontId="5" numFmtId="166" xfId="0" applyAlignment="1" applyFont="1" applyNumberFormat="1">
      <alignment shrinkToFit="0" vertical="center" wrapText="0"/>
    </xf>
    <xf borderId="0" fillId="0" fontId="16" numFmtId="166" xfId="0" applyAlignment="1" applyFont="1" applyNumberFormat="1">
      <alignment shrinkToFit="0" vertical="center" wrapText="0"/>
    </xf>
    <xf borderId="0" fillId="0" fontId="20" numFmtId="0" xfId="0" applyAlignment="1" applyFont="1">
      <alignment horizontal="left" shrinkToFit="0" vertical="center" wrapText="1"/>
    </xf>
    <xf borderId="0" fillId="0" fontId="20" numFmtId="166" xfId="0" applyAlignment="1" applyFont="1" applyNumberFormat="1">
      <alignment shrinkToFit="0" vertical="center" wrapText="0"/>
    </xf>
    <xf borderId="0" fillId="0" fontId="13" numFmtId="171" xfId="0" applyAlignment="1" applyFont="1" applyNumberFormat="1">
      <alignment shrinkToFit="0" vertical="center" wrapText="0"/>
    </xf>
    <xf borderId="0" fillId="0" fontId="17" numFmtId="171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1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hidden="1" min="1" max="1" width="20.5"/>
    <col customWidth="1" min="2" max="2" width="23.5"/>
    <col customWidth="1" min="3" max="3" width="9.75"/>
    <col customWidth="1" min="4" max="4" width="6.0"/>
    <col customWidth="1" min="5" max="5" width="6.63"/>
    <col customWidth="1" min="6" max="6" width="7.5"/>
    <col customWidth="1" min="7" max="7" width="8.88"/>
    <col customWidth="1" min="8" max="8" width="7.13"/>
    <col customWidth="1" min="9" max="9" width="6.75"/>
    <col customWidth="1" min="10" max="10" width="6.25"/>
    <col customWidth="1" min="11" max="11" width="8.88"/>
    <col customWidth="1" min="12" max="12" width="7.13"/>
    <col customWidth="1" min="13" max="13" width="6.63"/>
    <col customWidth="1" min="14" max="14" width="6.25"/>
    <col customWidth="1" min="15" max="16" width="8.5"/>
    <col customWidth="1" min="17" max="17" width="9.75"/>
    <col customWidth="1" min="18" max="18" width="8.88"/>
    <col customWidth="1" min="19" max="19" width="7.13"/>
    <col customWidth="1" min="20" max="21" width="6.25"/>
    <col customWidth="1" min="22" max="23" width="8.5"/>
    <col customWidth="1" min="24" max="24" width="10.25"/>
    <col customWidth="1" min="25" max="33" width="7.63"/>
    <col customWidth="1" hidden="1" min="34" max="36" width="7.63"/>
    <col customWidth="1" hidden="1" min="37" max="37" width="7.75"/>
    <col customWidth="1" hidden="1" min="38" max="38" width="9.5"/>
    <col customWidth="1" hidden="1" min="39" max="39" width="7.75"/>
    <col customWidth="1" hidden="1" min="40" max="40" width="11.0"/>
    <col customWidth="1" hidden="1" min="41" max="41" width="16.5"/>
  </cols>
  <sheetData>
    <row r="1" ht="43.5" hidden="1" customHeight="1">
      <c r="A1" s="1"/>
      <c r="C1" s="6" t="str">
        <f>B2</f>
        <v>Week Ending 01/25/2026</v>
      </c>
      <c r="D1" s="1" t="str">
        <f>C1</f>
        <v>Week Ending 01/25/2026</v>
      </c>
      <c r="E1" s="1" t="str">
        <f t="shared" ref="E1:F1" si="1">+D1</f>
        <v>Week Ending 01/25/2026</v>
      </c>
      <c r="F1" s="1" t="str">
        <f t="shared" si="1"/>
        <v>Week Ending 01/25/2026</v>
      </c>
      <c r="G1" s="1" t="s">
        <v>20</v>
      </c>
      <c r="H1" s="1" t="s">
        <v>20</v>
      </c>
      <c r="I1" s="1" t="s">
        <v>20</v>
      </c>
      <c r="J1" s="1" t="s">
        <v>20</v>
      </c>
      <c r="K1" s="1" t="s">
        <v>28</v>
      </c>
      <c r="L1" s="1" t="s">
        <v>28</v>
      </c>
      <c r="M1" s="1" t="s">
        <v>28</v>
      </c>
      <c r="N1" s="1" t="s">
        <v>28</v>
      </c>
      <c r="O1" s="15"/>
      <c r="P1" s="15"/>
      <c r="Q1" s="15"/>
      <c r="R1" s="1" t="s">
        <v>33</v>
      </c>
      <c r="S1" s="1" t="s">
        <v>33</v>
      </c>
      <c r="T1" s="1" t="s">
        <v>33</v>
      </c>
      <c r="U1" s="1" t="s">
        <v>33</v>
      </c>
      <c r="V1" s="15"/>
      <c r="W1" s="15"/>
      <c r="X1" s="15"/>
    </row>
    <row r="2" ht="43.5" customHeight="1">
      <c r="A2" s="20"/>
      <c r="B2" s="24" t="s">
        <v>21</v>
      </c>
      <c r="C2" s="20"/>
      <c r="D2" s="20"/>
      <c r="E2" s="20"/>
      <c r="F2" s="20"/>
      <c r="G2" s="25" t="s">
        <v>34</v>
      </c>
      <c r="H2" s="26"/>
      <c r="I2" s="26"/>
      <c r="J2" s="27"/>
      <c r="K2" s="25" t="s">
        <v>35</v>
      </c>
      <c r="L2" s="26"/>
      <c r="M2" s="26"/>
      <c r="N2" s="27"/>
      <c r="O2" s="25" t="s">
        <v>36</v>
      </c>
      <c r="P2" s="26"/>
      <c r="Q2" s="27"/>
      <c r="R2" s="25" t="s">
        <v>37</v>
      </c>
      <c r="S2" s="26"/>
      <c r="T2" s="26"/>
      <c r="U2" s="27"/>
      <c r="V2" s="25" t="s">
        <v>38</v>
      </c>
      <c r="W2" s="26"/>
      <c r="X2" s="27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</row>
    <row r="3" ht="43.5" customHeight="1">
      <c r="A3" s="32"/>
      <c r="B3" s="33" t="s">
        <v>40</v>
      </c>
      <c r="C3" s="33" t="s">
        <v>25</v>
      </c>
      <c r="D3" s="34" t="s">
        <v>41</v>
      </c>
      <c r="E3" s="35" t="s">
        <v>42</v>
      </c>
      <c r="F3" s="36" t="s">
        <v>43</v>
      </c>
      <c r="G3" s="37" t="s">
        <v>25</v>
      </c>
      <c r="H3" s="38" t="s">
        <v>41</v>
      </c>
      <c r="I3" s="39" t="s">
        <v>44</v>
      </c>
      <c r="J3" s="40" t="s">
        <v>43</v>
      </c>
      <c r="K3" s="41" t="s">
        <v>25</v>
      </c>
      <c r="L3" s="42" t="s">
        <v>41</v>
      </c>
      <c r="M3" s="43" t="s">
        <v>44</v>
      </c>
      <c r="N3" s="44" t="s">
        <v>43</v>
      </c>
      <c r="O3" s="45" t="s">
        <v>47</v>
      </c>
      <c r="P3" s="46" t="s">
        <v>48</v>
      </c>
      <c r="Q3" s="47" t="s">
        <v>49</v>
      </c>
      <c r="R3" s="48" t="s">
        <v>25</v>
      </c>
      <c r="S3" s="49" t="s">
        <v>41</v>
      </c>
      <c r="T3" s="50" t="s">
        <v>44</v>
      </c>
      <c r="U3" s="51" t="s">
        <v>43</v>
      </c>
      <c r="V3" s="52" t="s">
        <v>51</v>
      </c>
      <c r="W3" s="53" t="s">
        <v>52</v>
      </c>
      <c r="X3" s="54" t="s">
        <v>53</v>
      </c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</row>
    <row r="4" ht="43.5" hidden="1" customHeight="1">
      <c r="B4" s="33" t="s">
        <v>40</v>
      </c>
      <c r="C4" s="55" t="s">
        <v>54</v>
      </c>
      <c r="D4" s="56" t="s">
        <v>55</v>
      </c>
      <c r="E4" s="57" t="s">
        <v>56</v>
      </c>
      <c r="F4" s="58" t="s">
        <v>57</v>
      </c>
      <c r="G4" s="55" t="s">
        <v>54</v>
      </c>
      <c r="H4" s="56" t="s">
        <v>55</v>
      </c>
      <c r="I4" s="57" t="s">
        <v>56</v>
      </c>
      <c r="J4" s="58" t="s">
        <v>57</v>
      </c>
      <c r="K4" s="55" t="s">
        <v>54</v>
      </c>
      <c r="L4" s="56" t="s">
        <v>55</v>
      </c>
      <c r="M4" s="57" t="s">
        <v>56</v>
      </c>
      <c r="N4" s="58" t="s">
        <v>57</v>
      </c>
      <c r="O4" s="59"/>
      <c r="P4" s="59"/>
      <c r="Q4" s="60"/>
      <c r="R4" s="61" t="s">
        <v>54</v>
      </c>
      <c r="S4" s="56" t="s">
        <v>55</v>
      </c>
      <c r="T4" s="57" t="s">
        <v>56</v>
      </c>
      <c r="U4" s="62" t="s">
        <v>57</v>
      </c>
      <c r="V4" s="59"/>
      <c r="W4" s="59"/>
      <c r="X4" s="60"/>
    </row>
    <row r="5" ht="15.0" customHeight="1">
      <c r="A5" s="55" t="s">
        <v>59</v>
      </c>
      <c r="B5" s="63" t="str">
        <f t="shared" ref="B5:B9" si="4">A5</f>
        <v>2 - RASA - Ballpark</v>
      </c>
      <c r="C5" s="64">
        <f t="shared" ref="C5:C10" si="5">INDEX(INDIRECT("'"&amp;$A5&amp;"'!$1:$1048576"),MATCH(C$4,INDIRECT("'"&amp;$A5&amp;"'!A:A"),0),MATCH(C$1,INDIRECT("'"&amp;$A5&amp;"'!$5:$5"),0))</f>
        <v>20034.79</v>
      </c>
      <c r="D5" s="68">
        <f t="array" ref="D5">INDEX(INDIRECT("'"&amp;$A5&amp;"'!$1:$1048576"),MATCH(D$4,INDIRECT("'"&amp;$A5&amp;"'!A:A"),0),MATCH(D$1,INDIRECT("'"&amp;$A5&amp;"'!$5:$5"),0)+1)</f>
        <v>0.2758661309</v>
      </c>
      <c r="E5" s="68">
        <f t="array" ref="E5">INDEX(INDIRECT("'"&amp;$A5&amp;"'!$1:$1048576"),MATCH(E$4,INDIRECT("'"&amp;$A5&amp;"'!A:A"),0),MATCH(E$1,INDIRECT("'"&amp;$A5&amp;"'!$5:$5"),0)+1)</f>
        <v>0.307429726</v>
      </c>
      <c r="F5" s="69">
        <f t="array" ref="F5">INDEX(INDIRECT("'"&amp;$A5&amp;"'!$1:$1048576"),MATCH(F$4,INDIRECT("'"&amp;$A5&amp;"'!A:A"),0),MATCH(F$1,INDIRECT("'"&amp;$A5&amp;"'!$5:$5"),0)+1)</f>
        <v>0.4167041431</v>
      </c>
      <c r="G5" s="64">
        <f t="shared" ref="G5:G10" si="6">INDEX(INDIRECT("'"&amp;$A5&amp;"'!$1:$1048576"),MATCH(G$4,INDIRECT("'"&amp;$A5&amp;"'!A:A"),0),MATCH(G$1,INDIRECT("'"&amp;$A5&amp;"'!$5:$5"),0))</f>
        <v>67478.95</v>
      </c>
      <c r="H5" s="68">
        <f t="array" ref="H5">INDEX(INDIRECT("'"&amp;$A5&amp;"'!$1:$1048576"),MATCH(H$4,INDIRECT("'"&amp;$A5&amp;"'!A:A"),0),MATCH(H$1,INDIRECT("'"&amp;$A5&amp;"'!$5:$5"),0)+1)</f>
        <v>0.2831574884</v>
      </c>
      <c r="I5" s="68">
        <f t="array" ref="I5">INDEX(INDIRECT("'"&amp;$A5&amp;"'!$1:$1048576"),MATCH(I$4,INDIRECT("'"&amp;$A5&amp;"'!A:A"),0),MATCH(I$1,INDIRECT("'"&amp;$A5&amp;"'!$5:$5"),0)+1)</f>
        <v>0.3538453103</v>
      </c>
      <c r="J5" s="69">
        <f t="array" ref="J5">INDEX(INDIRECT("'"&amp;$A5&amp;"'!$1:$1048576"),MATCH(J$4,INDIRECT("'"&amp;$A5&amp;"'!A:A"),0),MATCH(J$1,INDIRECT("'"&amp;$A5&amp;"'!$5:$5"),0)+1)</f>
        <v>0.3629972013</v>
      </c>
      <c r="K5" s="64">
        <f t="shared" ref="K5:K10" si="7">INDEX(INDIRECT("'"&amp;$A5&amp;"'!$1:$1048576"),MATCH(K$4,INDIRECT("'"&amp;$A5&amp;"'!A:A"),0),MATCH(K$1,INDIRECT("'"&amp;$A5&amp;"'!$5:$5"),0))</f>
        <v>16869.7375</v>
      </c>
      <c r="L5" s="68">
        <f t="array" ref="L5">INDEX(INDIRECT("'"&amp;$A5&amp;"'!$1:$1048576"),MATCH(L$4,INDIRECT("'"&amp;$A5&amp;"'!A:A"),0),MATCH(L$1,INDIRECT("'"&amp;$A5&amp;"'!$5:$5"),0)+1)</f>
        <v>0.2831574884</v>
      </c>
      <c r="M5" s="68">
        <f t="array" ref="M5">INDEX(INDIRECT("'"&amp;$A5&amp;"'!$1:$1048576"),MATCH(M$4,INDIRECT("'"&amp;$A5&amp;"'!A:A"),0),MATCH(M$1,INDIRECT("'"&amp;$A5&amp;"'!$5:$5"),0)+1)</f>
        <v>0.3538453103</v>
      </c>
      <c r="N5" s="81">
        <f t="array" ref="N5">INDEX(INDIRECT("'"&amp;$A5&amp;"'!$1:$1048576"),MATCH(N$4,INDIRECT("'"&amp;$A5&amp;"'!A:A"),0),MATCH(N$1,INDIRECT("'"&amp;$A5&amp;"'!$5:$5"),0)+1)</f>
        <v>0.3629972013</v>
      </c>
      <c r="O5" s="82">
        <f t="shared" ref="O5:O10" si="8">+(C5-K5)/K5</f>
        <v>0.1876171754</v>
      </c>
      <c r="P5" s="68">
        <f t="shared" ref="P5:Q5" si="2">+D5-L5</f>
        <v>-0.007291357507</v>
      </c>
      <c r="Q5" s="69">
        <f t="shared" si="2"/>
        <v>-0.04641558429</v>
      </c>
      <c r="R5" s="64">
        <f t="shared" ref="R5:R10" si="10">INDEX(INDIRECT("'"&amp;$A5&amp;"'!$1:$1048576"),MATCH(R$4,INDIRECT("'"&amp;$A5&amp;"'!A:A"),0),MATCH(R$1,INDIRECT("'"&amp;$A5&amp;"'!$5:$5"),0))</f>
        <v>17353.6025</v>
      </c>
      <c r="S5" s="68">
        <f t="array" ref="S5">INDEX(INDIRECT("'"&amp;$A5&amp;"'!$1:$1048576"),MATCH(S$4,INDIRECT("'"&amp;$A5&amp;"'!A:A"),0),MATCH(S$1,INDIRECT("'"&amp;$A5&amp;"'!$5:$5"),0)+1)</f>
        <v>0.2799208406</v>
      </c>
      <c r="T5" s="68">
        <f t="array" ref="T5">INDEX(INDIRECT("'"&amp;$A5&amp;"'!$1:$1048576"),MATCH(T$4,INDIRECT("'"&amp;$A5&amp;"'!A:A"),0),MATCH(T$1,INDIRECT("'"&amp;$A5&amp;"'!$5:$5"),0)+1)</f>
        <v>0.3502949172</v>
      </c>
      <c r="U5" s="69">
        <f t="array" ref="U5">INDEX(INDIRECT("'"&amp;$A5&amp;"'!$1:$1048576"),MATCH(U$4,INDIRECT("'"&amp;$A5&amp;"'!A:A"),0),MATCH(U$1,INDIRECT("'"&amp;$A5&amp;"'!$5:$5"),0)+1)</f>
        <v>0.3697842422</v>
      </c>
      <c r="V5" s="82">
        <f t="shared" ref="V5:V10" si="11">+(C5-R5)/R5</f>
        <v>0.154503222</v>
      </c>
      <c r="W5" s="68">
        <f t="shared" ref="W5:X5" si="3">+D5-S5</f>
        <v>-0.004054709779</v>
      </c>
      <c r="X5" s="69">
        <f t="shared" si="3"/>
        <v>-0.04286519116</v>
      </c>
      <c r="AK5" s="55" t="s">
        <v>72</v>
      </c>
      <c r="AL5" s="85">
        <v>46026.0</v>
      </c>
      <c r="AM5" s="55">
        <f t="shared" ref="AM5:AM56" si="13">YEAR(AL5)</f>
        <v>2026</v>
      </c>
      <c r="AN5" s="55" t="str">
        <f t="shared" ref="AN5:AN56" si="14">AK5&amp;", "&amp;AM5</f>
        <v>Week 1, 2026</v>
      </c>
      <c r="AO5" s="55" t="str">
        <f t="shared" ref="AO5:AO56" si="15">"Week Ending "&amp;TEXT(AL5,"mm/dd/yyyy")</f>
        <v>Week Ending 01/04/2026</v>
      </c>
    </row>
    <row r="6" ht="15.0" customHeight="1">
      <c r="A6" s="55" t="s">
        <v>73</v>
      </c>
      <c r="B6" s="86" t="str">
        <f t="shared" si="4"/>
        <v>4 - RASA - MVT</v>
      </c>
      <c r="C6" s="87">
        <f t="shared" si="5"/>
        <v>39699.41</v>
      </c>
      <c r="D6" s="68">
        <f t="array" ref="D6">INDEX(INDIRECT("'"&amp;$A6&amp;"'!$1:$1048576"),MATCH(D$4,INDIRECT("'"&amp;$A6&amp;"'!A:A"),0),MATCH(D$1,INDIRECT("'"&amp;$A6&amp;"'!$5:$5"),0)+1)</f>
        <v>0.2462260774</v>
      </c>
      <c r="E6" s="68">
        <f t="array" ref="E6">INDEX(INDIRECT("'"&amp;$A6&amp;"'!$1:$1048576"),MATCH(E$4,INDIRECT("'"&amp;$A6&amp;"'!A:A"),0),MATCH(E$1,INDIRECT("'"&amp;$A6&amp;"'!$5:$5"),0)+1)</f>
        <v>0.2694133238</v>
      </c>
      <c r="F6" s="69">
        <f t="array" ref="F6">INDEX(INDIRECT("'"&amp;$A6&amp;"'!$1:$1048576"),MATCH(F$4,INDIRECT("'"&amp;$A6&amp;"'!A:A"),0),MATCH(F$1,INDIRECT("'"&amp;$A6&amp;"'!$5:$5"),0)+1)</f>
        <v>0.4843605988</v>
      </c>
      <c r="G6" s="87">
        <f t="shared" si="6"/>
        <v>130404.64</v>
      </c>
      <c r="H6" s="68">
        <f t="array" ref="H6">INDEX(INDIRECT("'"&amp;$A6&amp;"'!$1:$1048576"),MATCH(H$4,INDIRECT("'"&amp;$A6&amp;"'!A:A"),0),MATCH(H$1,INDIRECT("'"&amp;$A6&amp;"'!$5:$5"),0)+1)</f>
        <v>0.2762958435</v>
      </c>
      <c r="I6" s="68">
        <f t="array" ref="I6">INDEX(INDIRECT("'"&amp;$A6&amp;"'!$1:$1048576"),MATCH(I$4,INDIRECT("'"&amp;$A6&amp;"'!A:A"),0),MATCH(I$1,INDIRECT("'"&amp;$A6&amp;"'!$5:$5"),0)+1)</f>
        <v>0.2844169502</v>
      </c>
      <c r="J6" s="69">
        <f t="array" ref="J6">INDEX(INDIRECT("'"&amp;$A6&amp;"'!$1:$1048576"),MATCH(J$4,INDIRECT("'"&amp;$A6&amp;"'!A:A"),0),MATCH(J$1,INDIRECT("'"&amp;$A6&amp;"'!$5:$5"),0)+1)</f>
        <v>0.4392872063</v>
      </c>
      <c r="K6" s="87">
        <f t="shared" si="7"/>
        <v>32601.16</v>
      </c>
      <c r="L6" s="68">
        <f t="array" ref="L6">INDEX(INDIRECT("'"&amp;$A6&amp;"'!$1:$1048576"),MATCH(L$4,INDIRECT("'"&amp;$A6&amp;"'!A:A"),0),MATCH(L$1,INDIRECT("'"&amp;$A6&amp;"'!$5:$5"),0)+1)</f>
        <v>0.2762958435</v>
      </c>
      <c r="M6" s="68">
        <f t="array" ref="M6">INDEX(INDIRECT("'"&amp;$A6&amp;"'!$1:$1048576"),MATCH(M$4,INDIRECT("'"&amp;$A6&amp;"'!A:A"),0),MATCH(M$1,INDIRECT("'"&amp;$A6&amp;"'!$5:$5"),0)+1)</f>
        <v>0.2844169502</v>
      </c>
      <c r="N6" s="81">
        <f t="array" ref="N6">INDEX(INDIRECT("'"&amp;$A6&amp;"'!$1:$1048576"),MATCH(N$4,INDIRECT("'"&amp;$A6&amp;"'!A:A"),0),MATCH(N$1,INDIRECT("'"&amp;$A6&amp;"'!$5:$5"),0)+1)</f>
        <v>0.4392872063</v>
      </c>
      <c r="O6" s="89">
        <f t="shared" si="8"/>
        <v>0.2177299826</v>
      </c>
      <c r="P6" s="68">
        <f t="shared" ref="P6:Q6" si="9">+D6-L6</f>
        <v>-0.03006976605</v>
      </c>
      <c r="Q6" s="69">
        <f t="shared" si="9"/>
        <v>-0.01500362642</v>
      </c>
      <c r="R6" s="87">
        <f t="shared" si="10"/>
        <v>33185.84375</v>
      </c>
      <c r="S6" s="68">
        <f t="array" ref="S6">INDEX(INDIRECT("'"&amp;$A6&amp;"'!$1:$1048576"),MATCH(S$4,INDIRECT("'"&amp;$A6&amp;"'!A:A"),0),MATCH(S$1,INDIRECT("'"&amp;$A6&amp;"'!$5:$5"),0)+1)</f>
        <v>0.276274541</v>
      </c>
      <c r="T6" s="68">
        <f t="array" ref="T6">INDEX(INDIRECT("'"&amp;$A6&amp;"'!$1:$1048576"),MATCH(T$4,INDIRECT("'"&amp;$A6&amp;"'!A:A"),0),MATCH(T$1,INDIRECT("'"&amp;$A6&amp;"'!$5:$5"),0)+1)</f>
        <v>0.2774020926</v>
      </c>
      <c r="U6" s="69">
        <f t="array" ref="U6">INDEX(INDIRECT("'"&amp;$A6&amp;"'!$1:$1048576"),MATCH(U$4,INDIRECT("'"&amp;$A6&amp;"'!A:A"),0),MATCH(U$1,INDIRECT("'"&amp;$A6&amp;"'!$5:$5"),0)+1)</f>
        <v>0.4463233664</v>
      </c>
      <c r="V6" s="89">
        <f t="shared" si="11"/>
        <v>0.196275445</v>
      </c>
      <c r="W6" s="68">
        <f t="shared" ref="W6:X6" si="12">+D6-S6</f>
        <v>-0.03004846359</v>
      </c>
      <c r="X6" s="69">
        <f t="shared" si="12"/>
        <v>-0.007988768797</v>
      </c>
      <c r="Z6" s="90"/>
      <c r="AK6" s="55" t="s">
        <v>82</v>
      </c>
      <c r="AL6" s="85">
        <v>46033.0</v>
      </c>
      <c r="AM6" s="55">
        <f t="shared" si="13"/>
        <v>2026</v>
      </c>
      <c r="AN6" s="55" t="str">
        <f t="shared" si="14"/>
        <v>Week 2, 2026</v>
      </c>
      <c r="AO6" s="55" t="str">
        <f t="shared" si="15"/>
        <v>Week Ending 01/11/2026</v>
      </c>
    </row>
    <row r="7" ht="15.0" customHeight="1">
      <c r="A7" s="55" t="s">
        <v>83</v>
      </c>
      <c r="B7" s="86" t="str">
        <f t="shared" si="4"/>
        <v>5 - RASA - National Landin</v>
      </c>
      <c r="C7" s="87">
        <f t="shared" si="5"/>
        <v>16370.43</v>
      </c>
      <c r="D7" s="68">
        <f t="array" ref="D7">INDEX(INDIRECT("'"&amp;$A7&amp;"'!$1:$1048576"),MATCH(D$4,INDIRECT("'"&amp;$A7&amp;"'!A:A"),0),MATCH(D$1,INDIRECT("'"&amp;$A7&amp;"'!$5:$5"),0)+1)</f>
        <v>0.2537966321</v>
      </c>
      <c r="E7" s="68">
        <f t="array" ref="E7">INDEX(INDIRECT("'"&amp;$A7&amp;"'!$1:$1048576"),MATCH(E$4,INDIRECT("'"&amp;$A7&amp;"'!A:A"),0),MATCH(E$1,INDIRECT("'"&amp;$A7&amp;"'!$5:$5"),0)+1)</f>
        <v>0.3350321281</v>
      </c>
      <c r="F7" s="69">
        <f t="array" ref="F7">INDEX(INDIRECT("'"&amp;$A7&amp;"'!$1:$1048576"),MATCH(F$4,INDIRECT("'"&amp;$A7&amp;"'!A:A"),0),MATCH(F$1,INDIRECT("'"&amp;$A7&amp;"'!$5:$5"),0)+1)</f>
        <v>0.4111712399</v>
      </c>
      <c r="G7" s="87">
        <f t="shared" si="6"/>
        <v>71792.78</v>
      </c>
      <c r="H7" s="68">
        <f t="array" ref="H7">INDEX(INDIRECT("'"&amp;$A7&amp;"'!$1:$1048576"),MATCH(H$4,INDIRECT("'"&amp;$A7&amp;"'!A:A"),0),MATCH(H$1,INDIRECT("'"&amp;$A7&amp;"'!$5:$5"),0)+1)</f>
        <v>0.265183212</v>
      </c>
      <c r="I7" s="68">
        <f t="array" ref="I7">INDEX(INDIRECT("'"&amp;$A7&amp;"'!$1:$1048576"),MATCH(I$4,INDIRECT("'"&amp;$A7&amp;"'!A:A"),0),MATCH(I$1,INDIRECT("'"&amp;$A7&amp;"'!$5:$5"),0)+1)</f>
        <v>0.3013027215</v>
      </c>
      <c r="J7" s="69">
        <f t="array" ref="J7">INDEX(INDIRECT("'"&amp;$A7&amp;"'!$1:$1048576"),MATCH(J$4,INDIRECT("'"&amp;$A7&amp;"'!A:A"),0),MATCH(J$1,INDIRECT("'"&amp;$A7&amp;"'!$5:$5"),0)+1)</f>
        <v>0.4335140665</v>
      </c>
      <c r="K7" s="87">
        <f t="shared" si="7"/>
        <v>17948.195</v>
      </c>
      <c r="L7" s="68">
        <f t="array" ref="L7">INDEX(INDIRECT("'"&amp;$A7&amp;"'!$1:$1048576"),MATCH(L$4,INDIRECT("'"&amp;$A7&amp;"'!A:A"),0),MATCH(L$1,INDIRECT("'"&amp;$A7&amp;"'!$5:$5"),0)+1)</f>
        <v>0.265183212</v>
      </c>
      <c r="M7" s="68">
        <f t="array" ref="M7">INDEX(INDIRECT("'"&amp;$A7&amp;"'!$1:$1048576"),MATCH(M$4,INDIRECT("'"&amp;$A7&amp;"'!A:A"),0),MATCH(M$1,INDIRECT("'"&amp;$A7&amp;"'!$5:$5"),0)+1)</f>
        <v>0.3013027215</v>
      </c>
      <c r="N7" s="81">
        <f t="array" ref="N7">INDEX(INDIRECT("'"&amp;$A7&amp;"'!$1:$1048576"),MATCH(N$4,INDIRECT("'"&amp;$A7&amp;"'!A:A"),0),MATCH(N$1,INDIRECT("'"&amp;$A7&amp;"'!$5:$5"),0)+1)</f>
        <v>0.4335140665</v>
      </c>
      <c r="O7" s="89">
        <f t="shared" si="8"/>
        <v>-0.08790661122</v>
      </c>
      <c r="P7" s="68">
        <f t="shared" ref="P7:Q7" si="16">+D7-L7</f>
        <v>-0.01138657992</v>
      </c>
      <c r="Q7" s="69">
        <f t="shared" si="16"/>
        <v>0.03372940652</v>
      </c>
      <c r="R7" s="87">
        <f t="shared" si="10"/>
        <v>18114.14</v>
      </c>
      <c r="S7" s="68">
        <f t="array" ref="S7">INDEX(INDIRECT("'"&amp;$A7&amp;"'!$1:$1048576"),MATCH(S$4,INDIRECT("'"&amp;$A7&amp;"'!A:A"),0),MATCH(S$1,INDIRECT("'"&amp;$A7&amp;"'!$5:$5"),0)+1)</f>
        <v>0.2706603101</v>
      </c>
      <c r="T7" s="68">
        <f t="array" ref="T7">INDEX(INDIRECT("'"&amp;$A7&amp;"'!$1:$1048576"),MATCH(T$4,INDIRECT("'"&amp;$A7&amp;"'!A:A"),0),MATCH(T$1,INDIRECT("'"&amp;$A7&amp;"'!$5:$5"),0)+1)</f>
        <v>0.3136725646</v>
      </c>
      <c r="U7" s="69">
        <f t="array" ref="U7">INDEX(INDIRECT("'"&amp;$A7&amp;"'!$1:$1048576"),MATCH(U$4,INDIRECT("'"&amp;$A7&amp;"'!A:A"),0),MATCH(U$1,INDIRECT("'"&amp;$A7&amp;"'!$5:$5"),0)+1)</f>
        <v>0.4156671252</v>
      </c>
      <c r="V7" s="89">
        <f t="shared" si="11"/>
        <v>-0.09626236741</v>
      </c>
      <c r="W7" s="68">
        <f t="shared" ref="W7:X7" si="17">+D7-S7</f>
        <v>-0.01686367802</v>
      </c>
      <c r="X7" s="69">
        <f t="shared" si="17"/>
        <v>0.02135956341</v>
      </c>
      <c r="Z7" s="90"/>
      <c r="AK7" s="55" t="s">
        <v>92</v>
      </c>
      <c r="AL7" s="85">
        <v>46040.0</v>
      </c>
      <c r="AM7" s="55">
        <f t="shared" si="13"/>
        <v>2026</v>
      </c>
      <c r="AN7" s="55" t="str">
        <f t="shared" si="14"/>
        <v>Week 3, 2026</v>
      </c>
      <c r="AO7" s="55" t="str">
        <f t="shared" si="15"/>
        <v>Week Ending 01/18/2026</v>
      </c>
    </row>
    <row r="8" ht="43.5" customHeight="1">
      <c r="A8" s="55" t="s">
        <v>93</v>
      </c>
      <c r="B8" s="86" t="str">
        <f t="shared" si="4"/>
        <v>6 - RASA - Mosaic</v>
      </c>
      <c r="C8" s="87">
        <f t="shared" si="5"/>
        <v>17376.74</v>
      </c>
      <c r="D8" s="68">
        <f t="array" ref="D8">INDEX(INDIRECT("'"&amp;$A8&amp;"'!$1:$1048576"),MATCH(D$4,INDIRECT("'"&amp;$A8&amp;"'!A:A"),0),MATCH(D$1,INDIRECT("'"&amp;$A8&amp;"'!$5:$5"),0)+1)</f>
        <v>0.2795340208</v>
      </c>
      <c r="E8" s="68">
        <f t="array" ref="E8">INDEX(INDIRECT("'"&amp;$A8&amp;"'!$1:$1048576"),MATCH(E$4,INDIRECT("'"&amp;$A8&amp;"'!A:A"),0),MATCH(E$1,INDIRECT("'"&amp;$A8&amp;"'!$5:$5"),0)+1)</f>
        <v>0.3034919093</v>
      </c>
      <c r="F8" s="69">
        <f t="array" ref="F8">INDEX(INDIRECT("'"&amp;$A8&amp;"'!$1:$1048576"),MATCH(F$4,INDIRECT("'"&amp;$A8&amp;"'!A:A"),0),MATCH(F$1,INDIRECT("'"&amp;$A8&amp;"'!$5:$5"),0)+1)</f>
        <v>0.4169740699</v>
      </c>
      <c r="G8" s="87">
        <f t="shared" si="6"/>
        <v>72028.36</v>
      </c>
      <c r="H8" s="68">
        <f t="array" ref="H8">INDEX(INDIRECT("'"&amp;$A8&amp;"'!$1:$1048576"),MATCH(H$4,INDIRECT("'"&amp;$A8&amp;"'!A:A"),0),MATCH(H$1,INDIRECT("'"&amp;$A8&amp;"'!$5:$5"),0)+1)</f>
        <v>0.2860899512</v>
      </c>
      <c r="I8" s="68">
        <f t="array" ref="I8">INDEX(INDIRECT("'"&amp;$A8&amp;"'!$1:$1048576"),MATCH(I$4,INDIRECT("'"&amp;$A8&amp;"'!A:A"),0),MATCH(I$1,INDIRECT("'"&amp;$A8&amp;"'!$5:$5"),0)+1)</f>
        <v>0.338078779</v>
      </c>
      <c r="J8" s="69">
        <f t="array" ref="J8">INDEX(INDIRECT("'"&amp;$A8&amp;"'!$1:$1048576"),MATCH(J$4,INDIRECT("'"&amp;$A8&amp;"'!A:A"),0),MATCH(J$1,INDIRECT("'"&amp;$A8&amp;"'!$5:$5"),0)+1)</f>
        <v>0.3758312698</v>
      </c>
      <c r="K8" s="87">
        <f t="shared" si="7"/>
        <v>18007.09</v>
      </c>
      <c r="L8" s="68">
        <f t="array" ref="L8">INDEX(INDIRECT("'"&amp;$A8&amp;"'!$1:$1048576"),MATCH(L$4,INDIRECT("'"&amp;$A8&amp;"'!A:A"),0),MATCH(L$1,INDIRECT("'"&amp;$A8&amp;"'!$5:$5"),0)+1)</f>
        <v>0.2860899512</v>
      </c>
      <c r="M8" s="68">
        <f t="array" ref="M8">INDEX(INDIRECT("'"&amp;$A8&amp;"'!$1:$1048576"),MATCH(M$4,INDIRECT("'"&amp;$A8&amp;"'!A:A"),0),MATCH(M$1,INDIRECT("'"&amp;$A8&amp;"'!$5:$5"),0)+1)</f>
        <v>0.338078779</v>
      </c>
      <c r="N8" s="81">
        <f t="array" ref="N8">INDEX(INDIRECT("'"&amp;$A8&amp;"'!$1:$1048576"),MATCH(N$4,INDIRECT("'"&amp;$A8&amp;"'!A:A"),0),MATCH(N$1,INDIRECT("'"&amp;$A8&amp;"'!$5:$5"),0)+1)</f>
        <v>0.3758312698</v>
      </c>
      <c r="O8" s="89">
        <f t="shared" si="8"/>
        <v>-0.03500565611</v>
      </c>
      <c r="P8" s="68">
        <f t="shared" ref="P8:Q8" si="18">+D8-L8</f>
        <v>-0.00655593047</v>
      </c>
      <c r="Q8" s="69">
        <f t="shared" si="18"/>
        <v>-0.03458686967</v>
      </c>
      <c r="R8" s="87">
        <f t="shared" si="10"/>
        <v>20085.23625</v>
      </c>
      <c r="S8" s="68">
        <f t="array" ref="S8">INDEX(INDIRECT("'"&amp;$A8&amp;"'!$1:$1048576"),MATCH(S$4,INDIRECT("'"&amp;$A8&amp;"'!A:A"),0),MATCH(S$1,INDIRECT("'"&amp;$A8&amp;"'!$5:$5"),0)+1)</f>
        <v>0.2864500162</v>
      </c>
      <c r="T8" s="68">
        <f t="array" ref="T8">INDEX(INDIRECT("'"&amp;$A8&amp;"'!$1:$1048576"),MATCH(T$4,INDIRECT("'"&amp;$A8&amp;"'!A:A"),0),MATCH(T$1,INDIRECT("'"&amp;$A8&amp;"'!$5:$5"),0)+1)</f>
        <v>0.3348231714</v>
      </c>
      <c r="U8" s="69">
        <f t="array" ref="U8">INDEX(INDIRECT("'"&amp;$A8&amp;"'!$1:$1048576"),MATCH(U$4,INDIRECT("'"&amp;$A8&amp;"'!A:A"),0),MATCH(U$1,INDIRECT("'"&amp;$A8&amp;"'!$5:$5"),0)+1)</f>
        <v>0.3787268123</v>
      </c>
      <c r="V8" s="89">
        <f t="shared" si="11"/>
        <v>-0.1348501066</v>
      </c>
      <c r="W8" s="68">
        <f t="shared" ref="W8:X8" si="19">+D8-S8</f>
        <v>-0.006915995474</v>
      </c>
      <c r="X8" s="69">
        <f t="shared" si="19"/>
        <v>-0.03133126212</v>
      </c>
      <c r="AK8" s="55" t="s">
        <v>104</v>
      </c>
      <c r="AL8" s="85">
        <v>46047.0</v>
      </c>
      <c r="AM8" s="55">
        <f t="shared" si="13"/>
        <v>2026</v>
      </c>
      <c r="AN8" s="55" t="str">
        <f t="shared" si="14"/>
        <v>Week 4, 2026</v>
      </c>
      <c r="AO8" s="55" t="str">
        <f t="shared" si="15"/>
        <v>Week Ending 01/25/2026</v>
      </c>
    </row>
    <row r="9" ht="43.5" customHeight="1">
      <c r="A9" s="55" t="s">
        <v>6</v>
      </c>
      <c r="B9" s="86" t="str">
        <f t="shared" si="4"/>
        <v>7 - RASA - Rockville</v>
      </c>
      <c r="C9" s="87">
        <f t="shared" si="5"/>
        <v>22461.46</v>
      </c>
      <c r="D9" s="68">
        <f t="array" ref="D9">INDEX(INDIRECT("'"&amp;$A9&amp;"'!$1:$1048576"),MATCH(D$4,INDIRECT("'"&amp;$A9&amp;"'!A:A"),0),MATCH(D$1,INDIRECT("'"&amp;$A9&amp;"'!$5:$5"),0)+1)</f>
        <v>0.3123149608</v>
      </c>
      <c r="E9" s="68">
        <f t="array" ref="E9">INDEX(INDIRECT("'"&amp;$A9&amp;"'!$1:$1048576"),MATCH(E$4,INDIRECT("'"&amp;$A9&amp;"'!A:A"),0),MATCH(E$1,INDIRECT("'"&amp;$A9&amp;"'!$5:$5"),0)+1)</f>
        <v>0.3012043741</v>
      </c>
      <c r="F9" s="69">
        <f t="array" ref="F9">INDEX(INDIRECT("'"&amp;$A9&amp;"'!$1:$1048576"),MATCH(F$4,INDIRECT("'"&amp;$A9&amp;"'!A:A"),0),MATCH(F$1,INDIRECT("'"&amp;$A9&amp;"'!$5:$5"),0)+1)</f>
        <v>0.3864806651</v>
      </c>
      <c r="G9" s="87">
        <f t="shared" si="6"/>
        <v>89282.66</v>
      </c>
      <c r="H9" s="68">
        <f t="array" ref="H9">INDEX(INDIRECT("'"&amp;$A9&amp;"'!$1:$1048576"),MATCH(H$4,INDIRECT("'"&amp;$A9&amp;"'!A:A"),0),MATCH(H$1,INDIRECT("'"&amp;$A9&amp;"'!$5:$5"),0)+1)</f>
        <v>0.302092366</v>
      </c>
      <c r="I9" s="68">
        <f t="array" ref="I9">INDEX(INDIRECT("'"&amp;$A9&amp;"'!$1:$1048576"),MATCH(I$4,INDIRECT("'"&amp;$A9&amp;"'!A:A"),0),MATCH(I$1,INDIRECT("'"&amp;$A9&amp;"'!$5:$5"),0)+1)</f>
        <v>0.3205281966</v>
      </c>
      <c r="J9" s="69">
        <f t="array" ref="J9">INDEX(INDIRECT("'"&amp;$A9&amp;"'!$1:$1048576"),MATCH(J$4,INDIRECT("'"&amp;$A9&amp;"'!A:A"),0),MATCH(J$1,INDIRECT("'"&amp;$A9&amp;"'!$5:$5"),0)+1)</f>
        <v>0.3773794374</v>
      </c>
      <c r="K9" s="87">
        <f t="shared" si="7"/>
        <v>22320.665</v>
      </c>
      <c r="L9" s="68">
        <f t="array" ref="L9">INDEX(INDIRECT("'"&amp;$A9&amp;"'!$1:$1048576"),MATCH(L$4,INDIRECT("'"&amp;$A9&amp;"'!A:A"),0),MATCH(L$1,INDIRECT("'"&amp;$A9&amp;"'!$5:$5"),0)+1)</f>
        <v>0.302092366</v>
      </c>
      <c r="M9" s="68">
        <f t="array" ref="M9">INDEX(INDIRECT("'"&amp;$A9&amp;"'!$1:$1048576"),MATCH(M$4,INDIRECT("'"&amp;$A9&amp;"'!A:A"),0),MATCH(M$1,INDIRECT("'"&amp;$A9&amp;"'!$5:$5"),0)+1)</f>
        <v>0.3205281966</v>
      </c>
      <c r="N9" s="81">
        <f t="array" ref="N9">INDEX(INDIRECT("'"&amp;$A9&amp;"'!$1:$1048576"),MATCH(N$4,INDIRECT("'"&amp;$A9&amp;"'!A:A"),0),MATCH(N$1,INDIRECT("'"&amp;$A9&amp;"'!$5:$5"),0)+1)</f>
        <v>0.3773794374</v>
      </c>
      <c r="O9" s="89">
        <f t="shared" si="8"/>
        <v>0.006307831778</v>
      </c>
      <c r="P9" s="68">
        <f t="shared" ref="P9:Q9" si="20">+D9-L9</f>
        <v>0.01022259485</v>
      </c>
      <c r="Q9" s="69">
        <f t="shared" si="20"/>
        <v>-0.01932382256</v>
      </c>
      <c r="R9" s="87">
        <f t="shared" si="10"/>
        <v>22103.1775</v>
      </c>
      <c r="S9" s="68">
        <f t="array" ref="S9">INDEX(INDIRECT("'"&amp;$A9&amp;"'!$1:$1048576"),MATCH(S$4,INDIRECT("'"&amp;$A9&amp;"'!A:A"),0),MATCH(S$1,INDIRECT("'"&amp;$A9&amp;"'!$5:$5"),0)+1)</f>
        <v>0.2957963849</v>
      </c>
      <c r="T9" s="68">
        <f t="array" ref="T9">INDEX(INDIRECT("'"&amp;$A9&amp;"'!$1:$1048576"),MATCH(T$4,INDIRECT("'"&amp;$A9&amp;"'!A:A"),0),MATCH(T$1,INDIRECT("'"&amp;$A9&amp;"'!$5:$5"),0)+1)</f>
        <v>0.316212341</v>
      </c>
      <c r="U9" s="69">
        <f t="array" ref="U9">INDEX(INDIRECT("'"&amp;$A9&amp;"'!$1:$1048576"),MATCH(U$4,INDIRECT("'"&amp;$A9&amp;"'!A:A"),0),MATCH(U$1,INDIRECT("'"&amp;$A9&amp;"'!$5:$5"),0)+1)</f>
        <v>0.3879912741</v>
      </c>
      <c r="V9" s="89">
        <f t="shared" si="11"/>
        <v>0.01620954725</v>
      </c>
      <c r="W9" s="68">
        <f t="shared" ref="W9:X9" si="21">+D9-S9</f>
        <v>0.01651857589</v>
      </c>
      <c r="X9" s="69">
        <f t="shared" si="21"/>
        <v>-0.01500796689</v>
      </c>
      <c r="AK9" s="55" t="s">
        <v>123</v>
      </c>
      <c r="AL9" s="85">
        <v>46054.0</v>
      </c>
      <c r="AM9" s="55">
        <f t="shared" si="13"/>
        <v>2026</v>
      </c>
      <c r="AN9" s="55" t="str">
        <f t="shared" si="14"/>
        <v>Week 5, 2026</v>
      </c>
      <c r="AO9" s="55" t="str">
        <f t="shared" si="15"/>
        <v>Week Ending 02/01/2026</v>
      </c>
    </row>
    <row r="10" ht="15.0" customHeight="1">
      <c r="A10" s="55" t="s">
        <v>2</v>
      </c>
      <c r="B10" s="98" t="s">
        <v>124</v>
      </c>
      <c r="C10" s="99">
        <f t="shared" si="5"/>
        <v>115942.83</v>
      </c>
      <c r="D10" s="100">
        <f t="array" ref="D10">INDEX(INDIRECT("'"&amp;$A10&amp;"'!$1:$1048576"),MATCH(D$4,INDIRECT("'"&amp;$A10&amp;"'!A:A"),0),MATCH(D$1,INDIRECT("'"&amp;$A10&amp;"'!$5:$5"),0)+1)</f>
        <v>0.2702120519</v>
      </c>
      <c r="E10" s="100">
        <f t="array" ref="E10">INDEX(INDIRECT("'"&amp;$A10&amp;"'!$1:$1048576"),MATCH(E$4,INDIRECT("'"&amp;$A10&amp;"'!A:A"),0),MATCH(E$1,INDIRECT("'"&amp;$A10&amp;"'!$5:$5"),0)+1)</f>
        <v>0.2965138077</v>
      </c>
      <c r="F10" s="101">
        <f t="array" ref="F10">INDEX(INDIRECT("'"&amp;$A10&amp;"'!$1:$1048576"),MATCH(F$4,INDIRECT("'"&amp;$A10&amp;"'!A:A"),0),MATCH(F$1,INDIRECT("'"&amp;$A10&amp;"'!$5:$5"),0)+1)</f>
        <v>0.4332741404</v>
      </c>
      <c r="G10" s="99">
        <f t="shared" si="6"/>
        <v>430987.39</v>
      </c>
      <c r="H10" s="100">
        <f t="array" ref="H10">INDEX(INDIRECT("'"&amp;$A10&amp;"'!$1:$1048576"),MATCH(H$4,INDIRECT("'"&amp;$A10&amp;"'!A:A"),0),MATCH(H$1,INDIRECT("'"&amp;$A10&amp;"'!$5:$5"),0)+1)</f>
        <v>0.282499843</v>
      </c>
      <c r="I10" s="100">
        <f t="array" ref="I10">INDEX(INDIRECT("'"&amp;$A10&amp;"'!$1:$1048576"),MATCH(I$4,INDIRECT("'"&amp;$A10&amp;"'!A:A"),0),MATCH(I$1,INDIRECT("'"&amp;$A10&amp;"'!$5:$5"),0)+1)</f>
        <v>0.3145489477</v>
      </c>
      <c r="J10" s="101">
        <f t="array" ref="J10">INDEX(INDIRECT("'"&amp;$A10&amp;"'!$1:$1048576"),MATCH(J$4,INDIRECT("'"&amp;$A10&amp;"'!A:A"),0),MATCH(J$1,INDIRECT("'"&amp;$A10&amp;"'!$5:$5"),0)+1)</f>
        <v>0.4029512093</v>
      </c>
      <c r="K10" s="99">
        <f t="shared" si="7"/>
        <v>107746.8475</v>
      </c>
      <c r="L10" s="100">
        <f t="array" ref="L10">INDEX(INDIRECT("'"&amp;$A10&amp;"'!$1:$1048576"),MATCH(L$4,INDIRECT("'"&amp;$A10&amp;"'!A:A"),0),MATCH(L$1,INDIRECT("'"&amp;$A10&amp;"'!$5:$5"),0)+1)</f>
        <v>0.282499843</v>
      </c>
      <c r="M10" s="100">
        <f t="array" ref="M10">INDEX(INDIRECT("'"&amp;$A10&amp;"'!$1:$1048576"),MATCH(M$4,INDIRECT("'"&amp;$A10&amp;"'!A:A"),0),MATCH(M$1,INDIRECT("'"&amp;$A10&amp;"'!$5:$5"),0)+1)</f>
        <v>0.3145489477</v>
      </c>
      <c r="N10" s="102">
        <f t="array" ref="N10">INDEX(INDIRECT("'"&amp;$A10&amp;"'!$1:$1048576"),MATCH(N$4,INDIRECT("'"&amp;$A10&amp;"'!A:A"),0),MATCH(N$1,INDIRECT("'"&amp;$A10&amp;"'!$5:$5"),0)+1)</f>
        <v>0.4029512093</v>
      </c>
      <c r="O10" s="103">
        <f t="shared" si="8"/>
        <v>0.07606702832</v>
      </c>
      <c r="P10" s="100">
        <f t="shared" ref="P10:Q10" si="22">+D10-L10</f>
        <v>-0.01228779105</v>
      </c>
      <c r="Q10" s="101">
        <f t="shared" si="22"/>
        <v>-0.01803514</v>
      </c>
      <c r="R10" s="99">
        <f t="shared" si="10"/>
        <v>110842</v>
      </c>
      <c r="S10" s="100">
        <f t="array" ref="S10">INDEX(INDIRECT("'"&amp;$A10&amp;"'!$1:$1048576"),MATCH(S$4,INDIRECT("'"&amp;$A10&amp;"'!A:A"),0),MATCH(S$1,INDIRECT("'"&amp;$A10&amp;"'!$5:$5"),0)+1)</f>
        <v>0.2816646555</v>
      </c>
      <c r="T10" s="100">
        <f t="array" ref="T10">INDEX(INDIRECT("'"&amp;$A10&amp;"'!$1:$1048576"),MATCH(T$4,INDIRECT("'"&amp;$A10&amp;"'!A:A"),0),MATCH(T$1,INDIRECT("'"&amp;$A10&amp;"'!$5:$5"),0)+1)</f>
        <v>0.3128859999</v>
      </c>
      <c r="U10" s="101">
        <f t="array" ref="U10">INDEX(INDIRECT("'"&amp;$A10&amp;"'!$1:$1048576"),MATCH(U$4,INDIRECT("'"&amp;$A10&amp;"'!A:A"),0),MATCH(U$1,INDIRECT("'"&amp;$A10&amp;"'!$5:$5"),0)+1)</f>
        <v>0.4054493446</v>
      </c>
      <c r="V10" s="103">
        <f t="shared" si="11"/>
        <v>0.04601892784</v>
      </c>
      <c r="W10" s="100">
        <f t="shared" ref="W10:X10" si="23">+D10-S10</f>
        <v>-0.01145260362</v>
      </c>
      <c r="X10" s="101">
        <f t="shared" si="23"/>
        <v>-0.01637219218</v>
      </c>
      <c r="AK10" s="55" t="s">
        <v>138</v>
      </c>
      <c r="AL10" s="85">
        <v>46061.0</v>
      </c>
      <c r="AM10" s="55">
        <f t="shared" si="13"/>
        <v>2026</v>
      </c>
      <c r="AN10" s="55" t="str">
        <f t="shared" si="14"/>
        <v>Week 6, 2026</v>
      </c>
      <c r="AO10" s="55" t="str">
        <f t="shared" si="15"/>
        <v>Week Ending 02/08/2026</v>
      </c>
    </row>
    <row r="11" ht="43.5" customHeight="1">
      <c r="E11" s="104"/>
      <c r="O11" s="15"/>
      <c r="P11" s="15"/>
      <c r="Q11" s="15"/>
      <c r="V11" s="15"/>
      <c r="W11" s="15"/>
      <c r="X11" s="15"/>
      <c r="AK11" s="55" t="s">
        <v>140</v>
      </c>
      <c r="AL11" s="85">
        <v>46068.0</v>
      </c>
      <c r="AM11" s="55">
        <f t="shared" si="13"/>
        <v>2026</v>
      </c>
      <c r="AN11" s="55" t="str">
        <f t="shared" si="14"/>
        <v>Week 7, 2026</v>
      </c>
      <c r="AO11" s="55" t="str">
        <f t="shared" si="15"/>
        <v>Week Ending 02/15/2026</v>
      </c>
    </row>
    <row r="12" ht="43.5" customHeight="1">
      <c r="A12" s="105"/>
      <c r="B12" s="105"/>
      <c r="C12" s="106"/>
      <c r="D12" s="105"/>
      <c r="E12" s="107"/>
      <c r="F12" s="107"/>
      <c r="G12" s="105"/>
      <c r="H12" s="105"/>
      <c r="I12" s="105"/>
      <c r="J12" s="105"/>
      <c r="K12" s="108"/>
      <c r="L12" s="105"/>
      <c r="M12" s="108"/>
      <c r="N12" s="105"/>
      <c r="O12" s="109"/>
      <c r="P12" s="109"/>
      <c r="Q12" s="109"/>
      <c r="R12" s="105"/>
      <c r="S12" s="105"/>
      <c r="T12" s="105"/>
      <c r="U12" s="105"/>
      <c r="V12" s="109"/>
      <c r="W12" s="109"/>
      <c r="X12" s="109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55" t="s">
        <v>143</v>
      </c>
      <c r="AL12" s="85">
        <v>46075.0</v>
      </c>
      <c r="AM12" s="55">
        <f t="shared" si="13"/>
        <v>2026</v>
      </c>
      <c r="AN12" s="55" t="str">
        <f t="shared" si="14"/>
        <v>Week 8, 2026</v>
      </c>
      <c r="AO12" s="55" t="str">
        <f t="shared" si="15"/>
        <v>Week Ending 02/22/2026</v>
      </c>
    </row>
    <row r="13" ht="43.5" customHeight="1">
      <c r="B13" s="110" t="s">
        <v>144</v>
      </c>
      <c r="C13" s="111"/>
      <c r="D13" s="105"/>
      <c r="E13" s="107"/>
      <c r="F13" s="107"/>
      <c r="G13" s="105"/>
      <c r="H13" s="108"/>
      <c r="I13" s="105"/>
      <c r="J13" s="105"/>
      <c r="K13" s="108"/>
      <c r="L13" s="108"/>
      <c r="M13" s="105"/>
      <c r="N13" s="105"/>
      <c r="O13" s="109"/>
      <c r="P13" s="109"/>
      <c r="Q13" s="112"/>
      <c r="R13" s="105"/>
      <c r="S13" s="105"/>
      <c r="T13" s="105"/>
      <c r="U13" s="105"/>
      <c r="V13" s="109"/>
      <c r="W13" s="109"/>
      <c r="X13" s="109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55" t="s">
        <v>146</v>
      </c>
      <c r="AL13" s="85">
        <v>46082.0</v>
      </c>
      <c r="AM13" s="55">
        <f t="shared" si="13"/>
        <v>2026</v>
      </c>
      <c r="AN13" s="55" t="str">
        <f t="shared" si="14"/>
        <v>Week 9, 2026</v>
      </c>
      <c r="AO13" s="55" t="str">
        <f t="shared" si="15"/>
        <v>Week Ending 03/01/2026</v>
      </c>
    </row>
    <row r="14" ht="43.5" customHeight="1">
      <c r="B14" s="105"/>
      <c r="C14" s="111"/>
      <c r="D14" s="105"/>
      <c r="E14" s="107"/>
      <c r="F14" s="107"/>
      <c r="G14" s="105"/>
      <c r="H14" s="105"/>
      <c r="I14" s="105"/>
      <c r="J14" s="105"/>
      <c r="K14" s="105"/>
      <c r="L14" s="105"/>
      <c r="M14" s="105"/>
      <c r="N14" s="105"/>
      <c r="O14" s="109"/>
      <c r="P14" s="109"/>
      <c r="Q14" s="109"/>
      <c r="R14" s="105"/>
      <c r="S14" s="105"/>
      <c r="T14" s="105"/>
      <c r="U14" s="105"/>
      <c r="V14" s="109"/>
      <c r="W14" s="109"/>
      <c r="X14" s="109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55" t="s">
        <v>148</v>
      </c>
      <c r="AL14" s="85">
        <v>46089.0</v>
      </c>
      <c r="AM14" s="55">
        <f t="shared" si="13"/>
        <v>2026</v>
      </c>
      <c r="AN14" s="55" t="str">
        <f t="shared" si="14"/>
        <v>Week 10, 2026</v>
      </c>
      <c r="AO14" s="55" t="str">
        <f t="shared" si="15"/>
        <v>Week Ending 03/08/2026</v>
      </c>
    </row>
    <row r="15" ht="43.5" customHeight="1">
      <c r="B15" s="113" t="s">
        <v>149</v>
      </c>
      <c r="C15" s="114"/>
      <c r="D15" s="105"/>
      <c r="E15" s="107"/>
      <c r="F15" s="107"/>
      <c r="G15" s="105"/>
      <c r="H15" s="105"/>
      <c r="I15" s="105"/>
      <c r="J15" s="105"/>
      <c r="K15" s="105"/>
      <c r="L15" s="105"/>
      <c r="M15" s="105"/>
      <c r="N15" s="105"/>
      <c r="O15" s="109"/>
      <c r="P15" s="109"/>
      <c r="Q15" s="109"/>
      <c r="R15" s="105"/>
      <c r="S15" s="105"/>
      <c r="T15" s="105"/>
      <c r="U15" s="105"/>
      <c r="V15" s="109"/>
      <c r="W15" s="109"/>
      <c r="X15" s="109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55" t="s">
        <v>150</v>
      </c>
      <c r="AL15" s="85">
        <v>46096.0</v>
      </c>
      <c r="AM15" s="55">
        <f t="shared" si="13"/>
        <v>2026</v>
      </c>
      <c r="AN15" s="55" t="str">
        <f t="shared" si="14"/>
        <v>Week 11, 2026</v>
      </c>
      <c r="AO15" s="55" t="str">
        <f t="shared" si="15"/>
        <v>Week Ending 03/15/2026</v>
      </c>
    </row>
    <row r="16" ht="43.5" customHeight="1">
      <c r="B16" s="115" t="s">
        <v>151</v>
      </c>
      <c r="C16" s="114" t="s">
        <v>152</v>
      </c>
      <c r="D16" s="105"/>
      <c r="E16" s="107"/>
      <c r="F16" s="105"/>
      <c r="G16" s="105"/>
      <c r="H16" s="105"/>
      <c r="I16" s="105"/>
      <c r="J16" s="105"/>
      <c r="K16" s="105"/>
      <c r="L16" s="105"/>
      <c r="M16" s="105"/>
      <c r="N16" s="105"/>
      <c r="O16" s="109"/>
      <c r="P16" s="109"/>
      <c r="Q16" s="109"/>
      <c r="R16" s="105"/>
      <c r="S16" s="105"/>
      <c r="T16" s="105"/>
      <c r="U16" s="105"/>
      <c r="V16" s="109"/>
      <c r="W16" s="109"/>
      <c r="X16" s="109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55" t="s">
        <v>153</v>
      </c>
      <c r="AL16" s="85">
        <v>46103.0</v>
      </c>
      <c r="AM16" s="55">
        <f t="shared" si="13"/>
        <v>2026</v>
      </c>
      <c r="AN16" s="55" t="str">
        <f t="shared" si="14"/>
        <v>Week 12, 2026</v>
      </c>
      <c r="AO16" s="55" t="str">
        <f t="shared" si="15"/>
        <v>Week Ending 03/22/2026</v>
      </c>
    </row>
    <row r="17" ht="43.5" customHeight="1">
      <c r="B17" s="115" t="s">
        <v>154</v>
      </c>
      <c r="C17" s="114" t="s">
        <v>155</v>
      </c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9"/>
      <c r="P17" s="109"/>
      <c r="Q17" s="109"/>
      <c r="R17" s="105"/>
      <c r="S17" s="105"/>
      <c r="T17" s="105"/>
      <c r="U17" s="105"/>
      <c r="V17" s="109"/>
      <c r="W17" s="109"/>
      <c r="X17" s="109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55" t="s">
        <v>156</v>
      </c>
      <c r="AL17" s="85">
        <v>46110.0</v>
      </c>
      <c r="AM17" s="55">
        <f t="shared" si="13"/>
        <v>2026</v>
      </c>
      <c r="AN17" s="55" t="str">
        <f t="shared" si="14"/>
        <v>Week 13, 2026</v>
      </c>
      <c r="AO17" s="55" t="str">
        <f t="shared" si="15"/>
        <v>Week Ending 03/29/2026</v>
      </c>
    </row>
    <row r="18" ht="43.5" customHeight="1">
      <c r="A18" s="105"/>
      <c r="B18" s="115"/>
      <c r="C18" s="114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9"/>
      <c r="P18" s="109"/>
      <c r="Q18" s="109"/>
      <c r="R18" s="105"/>
      <c r="S18" s="105"/>
      <c r="T18" s="105"/>
      <c r="U18" s="105"/>
      <c r="V18" s="109"/>
      <c r="W18" s="109"/>
      <c r="X18" s="109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55" t="s">
        <v>157</v>
      </c>
      <c r="AL18" s="85">
        <v>46117.0</v>
      </c>
      <c r="AM18" s="55">
        <f t="shared" si="13"/>
        <v>2026</v>
      </c>
      <c r="AN18" s="55" t="str">
        <f t="shared" si="14"/>
        <v>Week 14, 2026</v>
      </c>
      <c r="AO18" s="55" t="str">
        <f t="shared" si="15"/>
        <v>Week Ending 04/05/2026</v>
      </c>
    </row>
    <row r="19" ht="43.5" customHeight="1">
      <c r="A19" s="105"/>
      <c r="B19" s="113" t="s">
        <v>158</v>
      </c>
      <c r="C19" s="114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9"/>
      <c r="P19" s="109"/>
      <c r="Q19" s="109"/>
      <c r="R19" s="105"/>
      <c r="S19" s="105"/>
      <c r="T19" s="105"/>
      <c r="U19" s="105"/>
      <c r="V19" s="109"/>
      <c r="W19" s="109"/>
      <c r="X19" s="109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55" t="s">
        <v>159</v>
      </c>
      <c r="AL19" s="85">
        <v>46124.0</v>
      </c>
      <c r="AM19" s="55">
        <f t="shared" si="13"/>
        <v>2026</v>
      </c>
      <c r="AN19" s="55" t="str">
        <f t="shared" si="14"/>
        <v>Week 15, 2026</v>
      </c>
      <c r="AO19" s="55" t="str">
        <f t="shared" si="15"/>
        <v>Week Ending 04/12/2026</v>
      </c>
    </row>
    <row r="20" ht="43.5" customHeight="1">
      <c r="A20" s="105"/>
      <c r="B20" s="115" t="s">
        <v>151</v>
      </c>
      <c r="C20" s="114" t="s">
        <v>160</v>
      </c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9"/>
      <c r="P20" s="109"/>
      <c r="Q20" s="109"/>
      <c r="R20" s="105"/>
      <c r="S20" s="105"/>
      <c r="T20" s="105"/>
      <c r="U20" s="105"/>
      <c r="V20" s="109"/>
      <c r="W20" s="109"/>
      <c r="X20" s="109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55" t="s">
        <v>161</v>
      </c>
      <c r="AL20" s="85">
        <v>46131.0</v>
      </c>
      <c r="AM20" s="55">
        <f t="shared" si="13"/>
        <v>2026</v>
      </c>
      <c r="AN20" s="55" t="str">
        <f t="shared" si="14"/>
        <v>Week 16, 2026</v>
      </c>
      <c r="AO20" s="55" t="str">
        <f t="shared" si="15"/>
        <v>Week Ending 04/19/2026</v>
      </c>
    </row>
    <row r="21" ht="43.5" customHeight="1">
      <c r="A21" s="105"/>
      <c r="B21" s="115" t="s">
        <v>154</v>
      </c>
      <c r="C21" s="114" t="s">
        <v>152</v>
      </c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9"/>
      <c r="P21" s="109"/>
      <c r="Q21" s="109"/>
      <c r="R21" s="105"/>
      <c r="S21" s="105"/>
      <c r="T21" s="105"/>
      <c r="U21" s="105"/>
      <c r="V21" s="109"/>
      <c r="W21" s="109"/>
      <c r="X21" s="109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55" t="s">
        <v>162</v>
      </c>
      <c r="AL21" s="85">
        <v>46138.0</v>
      </c>
      <c r="AM21" s="55">
        <f t="shared" si="13"/>
        <v>2026</v>
      </c>
      <c r="AN21" s="55" t="str">
        <f t="shared" si="14"/>
        <v>Week 17, 2026</v>
      </c>
      <c r="AO21" s="55" t="str">
        <f t="shared" si="15"/>
        <v>Week Ending 04/26/2026</v>
      </c>
    </row>
    <row r="22" ht="43.5" customHeight="1">
      <c r="A22" s="105"/>
      <c r="B22" s="115"/>
      <c r="C22" s="114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9"/>
      <c r="P22" s="109"/>
      <c r="Q22" s="109"/>
      <c r="R22" s="105"/>
      <c r="S22" s="105"/>
      <c r="T22" s="105"/>
      <c r="U22" s="105"/>
      <c r="V22" s="109"/>
      <c r="W22" s="109"/>
      <c r="X22" s="109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55" t="s">
        <v>163</v>
      </c>
      <c r="AL22" s="85">
        <v>46145.0</v>
      </c>
      <c r="AM22" s="55">
        <f t="shared" si="13"/>
        <v>2026</v>
      </c>
      <c r="AN22" s="55" t="str">
        <f t="shared" si="14"/>
        <v>Week 18, 2026</v>
      </c>
      <c r="AO22" s="55" t="str">
        <f t="shared" si="15"/>
        <v>Week Ending 05/03/2026</v>
      </c>
    </row>
    <row r="23" ht="43.5" customHeight="1">
      <c r="A23" s="105"/>
      <c r="B23" s="113" t="s">
        <v>164</v>
      </c>
      <c r="C23" s="114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9"/>
      <c r="P23" s="109"/>
      <c r="Q23" s="109"/>
      <c r="R23" s="105"/>
      <c r="S23" s="105"/>
      <c r="T23" s="105"/>
      <c r="U23" s="105"/>
      <c r="V23" s="109"/>
      <c r="W23" s="109"/>
      <c r="X23" s="109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55" t="s">
        <v>165</v>
      </c>
      <c r="AL23" s="85">
        <v>46152.0</v>
      </c>
      <c r="AM23" s="55">
        <f t="shared" si="13"/>
        <v>2026</v>
      </c>
      <c r="AN23" s="55" t="str">
        <f t="shared" si="14"/>
        <v>Week 19, 2026</v>
      </c>
      <c r="AO23" s="55" t="str">
        <f t="shared" si="15"/>
        <v>Week Ending 05/10/2026</v>
      </c>
    </row>
    <row r="24" ht="43.5" customHeight="1">
      <c r="A24" s="105"/>
      <c r="B24" s="115" t="s">
        <v>151</v>
      </c>
      <c r="C24" s="114" t="s">
        <v>152</v>
      </c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9"/>
      <c r="P24" s="109"/>
      <c r="Q24" s="109"/>
      <c r="R24" s="105"/>
      <c r="S24" s="105"/>
      <c r="T24" s="105"/>
      <c r="U24" s="105"/>
      <c r="V24" s="109"/>
      <c r="W24" s="109"/>
      <c r="X24" s="109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55" t="s">
        <v>166</v>
      </c>
      <c r="AL24" s="85">
        <v>46159.0</v>
      </c>
      <c r="AM24" s="55">
        <f t="shared" si="13"/>
        <v>2026</v>
      </c>
      <c r="AN24" s="55" t="str">
        <f t="shared" si="14"/>
        <v>Week 20, 2026</v>
      </c>
      <c r="AO24" s="55" t="str">
        <f t="shared" si="15"/>
        <v>Week Ending 05/17/2026</v>
      </c>
    </row>
    <row r="25" ht="43.5" customHeight="1">
      <c r="A25" s="105"/>
      <c r="B25" s="115" t="s">
        <v>154</v>
      </c>
      <c r="C25" s="114" t="s">
        <v>167</v>
      </c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9"/>
      <c r="P25" s="109"/>
      <c r="Q25" s="109"/>
      <c r="R25" s="105"/>
      <c r="S25" s="105"/>
      <c r="T25" s="105"/>
      <c r="U25" s="105"/>
      <c r="V25" s="109"/>
      <c r="W25" s="109"/>
      <c r="X25" s="109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55" t="s">
        <v>168</v>
      </c>
      <c r="AL25" s="85">
        <v>46166.0</v>
      </c>
      <c r="AM25" s="55">
        <f t="shared" si="13"/>
        <v>2026</v>
      </c>
      <c r="AN25" s="55" t="str">
        <f t="shared" si="14"/>
        <v>Week 21, 2026</v>
      </c>
      <c r="AO25" s="55" t="str">
        <f t="shared" si="15"/>
        <v>Week Ending 05/24/2026</v>
      </c>
    </row>
    <row r="26" ht="43.5" customHeight="1">
      <c r="A26" s="105"/>
      <c r="B26" s="115"/>
      <c r="C26" s="114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9"/>
      <c r="P26" s="109"/>
      <c r="Q26" s="109"/>
      <c r="R26" s="105"/>
      <c r="S26" s="105"/>
      <c r="T26" s="105"/>
      <c r="U26" s="105"/>
      <c r="V26" s="109"/>
      <c r="W26" s="109"/>
      <c r="X26" s="109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55" t="s">
        <v>169</v>
      </c>
      <c r="AL26" s="85">
        <v>46173.0</v>
      </c>
      <c r="AM26" s="55">
        <f t="shared" si="13"/>
        <v>2026</v>
      </c>
      <c r="AN26" s="55" t="str">
        <f t="shared" si="14"/>
        <v>Week 22, 2026</v>
      </c>
      <c r="AO26" s="55" t="str">
        <f t="shared" si="15"/>
        <v>Week Ending 05/31/2026</v>
      </c>
    </row>
    <row r="27" ht="43.5" customHeight="1">
      <c r="A27" s="105"/>
      <c r="B27" s="113" t="s">
        <v>170</v>
      </c>
      <c r="C27" s="114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9"/>
      <c r="P27" s="109"/>
      <c r="Q27" s="109"/>
      <c r="R27" s="105"/>
      <c r="S27" s="105"/>
      <c r="T27" s="105"/>
      <c r="U27" s="105"/>
      <c r="V27" s="109"/>
      <c r="W27" s="109"/>
      <c r="X27" s="109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55" t="s">
        <v>171</v>
      </c>
      <c r="AL27" s="85">
        <v>46180.0</v>
      </c>
      <c r="AM27" s="55">
        <f t="shared" si="13"/>
        <v>2026</v>
      </c>
      <c r="AN27" s="55" t="str">
        <f t="shared" si="14"/>
        <v>Week 23, 2026</v>
      </c>
      <c r="AO27" s="55" t="str">
        <f t="shared" si="15"/>
        <v>Week Ending 06/07/2026</v>
      </c>
    </row>
    <row r="28" ht="43.5" customHeight="1">
      <c r="A28" s="105"/>
      <c r="B28" s="115" t="s">
        <v>151</v>
      </c>
      <c r="C28" s="114" t="s">
        <v>152</v>
      </c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9"/>
      <c r="P28" s="109"/>
      <c r="Q28" s="109"/>
      <c r="R28" s="105"/>
      <c r="S28" s="105"/>
      <c r="T28" s="105"/>
      <c r="U28" s="105"/>
      <c r="V28" s="109"/>
      <c r="W28" s="109"/>
      <c r="X28" s="109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55" t="s">
        <v>172</v>
      </c>
      <c r="AL28" s="85">
        <v>46187.0</v>
      </c>
      <c r="AM28" s="55">
        <f t="shared" si="13"/>
        <v>2026</v>
      </c>
      <c r="AN28" s="55" t="str">
        <f t="shared" si="14"/>
        <v>Week 24, 2026</v>
      </c>
      <c r="AO28" s="55" t="str">
        <f t="shared" si="15"/>
        <v>Week Ending 06/14/2026</v>
      </c>
    </row>
    <row r="29" ht="43.5" customHeight="1">
      <c r="A29" s="105"/>
      <c r="B29" s="115" t="s">
        <v>154</v>
      </c>
      <c r="C29" s="114" t="s">
        <v>173</v>
      </c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9"/>
      <c r="P29" s="109"/>
      <c r="Q29" s="109"/>
      <c r="R29" s="105"/>
      <c r="S29" s="105"/>
      <c r="T29" s="105"/>
      <c r="U29" s="105"/>
      <c r="V29" s="109"/>
      <c r="W29" s="109"/>
      <c r="X29" s="109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55" t="s">
        <v>174</v>
      </c>
      <c r="AL29" s="85">
        <v>46194.0</v>
      </c>
      <c r="AM29" s="55">
        <f t="shared" si="13"/>
        <v>2026</v>
      </c>
      <c r="AN29" s="55" t="str">
        <f t="shared" si="14"/>
        <v>Week 25, 2026</v>
      </c>
      <c r="AO29" s="55" t="str">
        <f t="shared" si="15"/>
        <v>Week Ending 06/21/2026</v>
      </c>
    </row>
    <row r="30" ht="43.5" customHeight="1">
      <c r="A30" s="105"/>
      <c r="B30" s="115"/>
      <c r="C30" s="114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9"/>
      <c r="P30" s="109"/>
      <c r="Q30" s="109"/>
      <c r="R30" s="105"/>
      <c r="S30" s="105"/>
      <c r="T30" s="105"/>
      <c r="U30" s="105"/>
      <c r="V30" s="109"/>
      <c r="W30" s="109"/>
      <c r="X30" s="109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55" t="s">
        <v>175</v>
      </c>
      <c r="AL30" s="85">
        <v>46201.0</v>
      </c>
      <c r="AM30" s="55">
        <f t="shared" si="13"/>
        <v>2026</v>
      </c>
      <c r="AN30" s="55" t="str">
        <f t="shared" si="14"/>
        <v>Week 26, 2026</v>
      </c>
      <c r="AO30" s="55" t="str">
        <f t="shared" si="15"/>
        <v>Week Ending 06/28/2026</v>
      </c>
    </row>
    <row r="31" ht="43.5" customHeight="1">
      <c r="A31" s="105"/>
      <c r="B31" s="113" t="s">
        <v>176</v>
      </c>
      <c r="C31" s="117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9"/>
      <c r="P31" s="109"/>
      <c r="Q31" s="109"/>
      <c r="R31" s="105"/>
      <c r="S31" s="105"/>
      <c r="T31" s="105"/>
      <c r="U31" s="105"/>
      <c r="V31" s="109"/>
      <c r="W31" s="109"/>
      <c r="X31" s="109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55" t="s">
        <v>177</v>
      </c>
      <c r="AL31" s="85">
        <v>46208.0</v>
      </c>
      <c r="AM31" s="55">
        <f t="shared" si="13"/>
        <v>2026</v>
      </c>
      <c r="AN31" s="55" t="str">
        <f t="shared" si="14"/>
        <v>Week 27, 2026</v>
      </c>
      <c r="AO31" s="55" t="str">
        <f t="shared" si="15"/>
        <v>Week Ending 07/05/2026</v>
      </c>
    </row>
    <row r="32" ht="43.5" customHeight="1">
      <c r="A32" s="105"/>
      <c r="B32" s="115" t="s">
        <v>151</v>
      </c>
      <c r="C32" s="114" t="s">
        <v>152</v>
      </c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9"/>
      <c r="P32" s="109"/>
      <c r="Q32" s="109"/>
      <c r="R32" s="105"/>
      <c r="S32" s="105"/>
      <c r="T32" s="105"/>
      <c r="U32" s="105"/>
      <c r="V32" s="109"/>
      <c r="W32" s="109"/>
      <c r="X32" s="109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55" t="s">
        <v>178</v>
      </c>
      <c r="AL32" s="85">
        <v>46215.0</v>
      </c>
      <c r="AM32" s="55">
        <f t="shared" si="13"/>
        <v>2026</v>
      </c>
      <c r="AN32" s="55" t="str">
        <f t="shared" si="14"/>
        <v>Week 28, 2026</v>
      </c>
      <c r="AO32" s="55" t="str">
        <f t="shared" si="15"/>
        <v>Week Ending 07/12/2026</v>
      </c>
    </row>
    <row r="33" ht="43.5" customHeight="1">
      <c r="A33" s="105"/>
      <c r="B33" s="115" t="s">
        <v>154</v>
      </c>
      <c r="C33" s="114" t="s">
        <v>152</v>
      </c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9"/>
      <c r="P33" s="109"/>
      <c r="Q33" s="109"/>
      <c r="R33" s="105"/>
      <c r="S33" s="105"/>
      <c r="T33" s="105"/>
      <c r="U33" s="105"/>
      <c r="V33" s="109"/>
      <c r="W33" s="109"/>
      <c r="X33" s="109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55" t="s">
        <v>179</v>
      </c>
      <c r="AL33" s="85">
        <v>46222.0</v>
      </c>
      <c r="AM33" s="55">
        <f t="shared" si="13"/>
        <v>2026</v>
      </c>
      <c r="AN33" s="55" t="str">
        <f t="shared" si="14"/>
        <v>Week 29, 2026</v>
      </c>
      <c r="AO33" s="55" t="str">
        <f t="shared" si="15"/>
        <v>Week Ending 07/19/2026</v>
      </c>
    </row>
    <row r="34" ht="43.5" customHeight="1">
      <c r="A34" s="105"/>
      <c r="B34" s="115"/>
      <c r="C34" s="114"/>
      <c r="D34" s="105"/>
      <c r="E34" s="105"/>
      <c r="F34" s="105"/>
      <c r="G34" s="105"/>
      <c r="H34" s="105"/>
      <c r="I34" s="105"/>
      <c r="J34" s="105"/>
      <c r="K34" s="105"/>
      <c r="M34" s="105"/>
      <c r="N34" s="105"/>
      <c r="O34" s="109"/>
      <c r="P34" s="109"/>
      <c r="Q34" s="109"/>
      <c r="R34" s="105"/>
      <c r="S34" s="105"/>
      <c r="T34" s="105"/>
      <c r="U34" s="105"/>
      <c r="V34" s="109"/>
      <c r="W34" s="109"/>
      <c r="X34" s="109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55" t="s">
        <v>180</v>
      </c>
      <c r="AL34" s="85">
        <v>46229.0</v>
      </c>
      <c r="AM34" s="55">
        <f t="shared" si="13"/>
        <v>2026</v>
      </c>
      <c r="AN34" s="55" t="str">
        <f t="shared" si="14"/>
        <v>Week 30, 2026</v>
      </c>
      <c r="AO34" s="55" t="str">
        <f t="shared" si="15"/>
        <v>Week Ending 07/26/2026</v>
      </c>
    </row>
    <row r="35" ht="43.5" customHeight="1">
      <c r="O35" s="15"/>
      <c r="P35" s="15"/>
      <c r="Q35" s="15"/>
      <c r="V35" s="15"/>
      <c r="W35" s="15"/>
      <c r="X35" s="15"/>
      <c r="AK35" s="55" t="s">
        <v>181</v>
      </c>
      <c r="AL35" s="85">
        <v>46236.0</v>
      </c>
      <c r="AM35" s="55">
        <f t="shared" si="13"/>
        <v>2026</v>
      </c>
      <c r="AN35" s="55" t="str">
        <f t="shared" si="14"/>
        <v>Week 31, 2026</v>
      </c>
      <c r="AO35" s="55" t="str">
        <f t="shared" si="15"/>
        <v>Week Ending 08/02/2026</v>
      </c>
    </row>
    <row r="36" ht="43.5" customHeight="1">
      <c r="O36" s="15"/>
      <c r="P36" s="15"/>
      <c r="Q36" s="15"/>
      <c r="V36" s="15"/>
      <c r="W36" s="15"/>
      <c r="X36" s="15"/>
      <c r="AK36" s="55" t="s">
        <v>182</v>
      </c>
      <c r="AL36" s="85">
        <v>46243.0</v>
      </c>
      <c r="AM36" s="55">
        <f t="shared" si="13"/>
        <v>2026</v>
      </c>
      <c r="AN36" s="55" t="str">
        <f t="shared" si="14"/>
        <v>Week 32, 2026</v>
      </c>
      <c r="AO36" s="55" t="str">
        <f t="shared" si="15"/>
        <v>Week Ending 08/09/2026</v>
      </c>
    </row>
    <row r="37" ht="43.5" customHeight="1">
      <c r="O37" s="15"/>
      <c r="P37" s="15"/>
      <c r="Q37" s="15"/>
      <c r="V37" s="15"/>
      <c r="W37" s="15"/>
      <c r="X37" s="15"/>
      <c r="AK37" s="55" t="s">
        <v>183</v>
      </c>
      <c r="AL37" s="85">
        <v>46250.0</v>
      </c>
      <c r="AM37" s="55">
        <f t="shared" si="13"/>
        <v>2026</v>
      </c>
      <c r="AN37" s="55" t="str">
        <f t="shared" si="14"/>
        <v>Week 33, 2026</v>
      </c>
      <c r="AO37" s="55" t="str">
        <f t="shared" si="15"/>
        <v>Week Ending 08/16/2026</v>
      </c>
    </row>
    <row r="38" ht="43.5" customHeight="1">
      <c r="O38" s="15"/>
      <c r="P38" s="15"/>
      <c r="Q38" s="15"/>
      <c r="V38" s="15"/>
      <c r="W38" s="15"/>
      <c r="X38" s="15"/>
      <c r="AK38" s="55" t="s">
        <v>184</v>
      </c>
      <c r="AL38" s="85">
        <v>46257.0</v>
      </c>
      <c r="AM38" s="55">
        <f t="shared" si="13"/>
        <v>2026</v>
      </c>
      <c r="AN38" s="55" t="str">
        <f t="shared" si="14"/>
        <v>Week 34, 2026</v>
      </c>
      <c r="AO38" s="55" t="str">
        <f t="shared" si="15"/>
        <v>Week Ending 08/23/2026</v>
      </c>
    </row>
    <row r="39" ht="43.5" customHeight="1">
      <c r="O39" s="15"/>
      <c r="P39" s="15"/>
      <c r="Q39" s="15"/>
      <c r="V39" s="15"/>
      <c r="W39" s="15"/>
      <c r="X39" s="15"/>
      <c r="AK39" s="55" t="s">
        <v>185</v>
      </c>
      <c r="AL39" s="85">
        <v>46264.0</v>
      </c>
      <c r="AM39" s="55">
        <f t="shared" si="13"/>
        <v>2026</v>
      </c>
      <c r="AN39" s="55" t="str">
        <f t="shared" si="14"/>
        <v>Week 35, 2026</v>
      </c>
      <c r="AO39" s="55" t="str">
        <f t="shared" si="15"/>
        <v>Week Ending 08/30/2026</v>
      </c>
    </row>
    <row r="40" ht="43.5" customHeight="1">
      <c r="O40" s="15"/>
      <c r="P40" s="15"/>
      <c r="Q40" s="15"/>
      <c r="V40" s="15"/>
      <c r="W40" s="15"/>
      <c r="X40" s="15"/>
      <c r="AK40" s="55" t="s">
        <v>186</v>
      </c>
      <c r="AL40" s="85">
        <v>46271.0</v>
      </c>
      <c r="AM40" s="55">
        <f t="shared" si="13"/>
        <v>2026</v>
      </c>
      <c r="AN40" s="55" t="str">
        <f t="shared" si="14"/>
        <v>Week 36, 2026</v>
      </c>
      <c r="AO40" s="55" t="str">
        <f t="shared" si="15"/>
        <v>Week Ending 09/06/2026</v>
      </c>
    </row>
    <row r="41" ht="43.5" customHeight="1">
      <c r="O41" s="15"/>
      <c r="P41" s="15"/>
      <c r="Q41" s="15"/>
      <c r="V41" s="15"/>
      <c r="W41" s="15"/>
      <c r="X41" s="15"/>
      <c r="AK41" s="55" t="s">
        <v>187</v>
      </c>
      <c r="AL41" s="85">
        <v>46278.0</v>
      </c>
      <c r="AM41" s="55">
        <f t="shared" si="13"/>
        <v>2026</v>
      </c>
      <c r="AN41" s="55" t="str">
        <f t="shared" si="14"/>
        <v>Week 37, 2026</v>
      </c>
      <c r="AO41" s="55" t="str">
        <f t="shared" si="15"/>
        <v>Week Ending 09/13/2026</v>
      </c>
    </row>
    <row r="42" ht="43.5" customHeight="1">
      <c r="O42" s="15"/>
      <c r="P42" s="15"/>
      <c r="Q42" s="15"/>
      <c r="V42" s="15"/>
      <c r="W42" s="15"/>
      <c r="X42" s="15"/>
      <c r="AK42" s="55" t="s">
        <v>188</v>
      </c>
      <c r="AL42" s="85">
        <v>46285.0</v>
      </c>
      <c r="AM42" s="55">
        <f t="shared" si="13"/>
        <v>2026</v>
      </c>
      <c r="AN42" s="55" t="str">
        <f t="shared" si="14"/>
        <v>Week 38, 2026</v>
      </c>
      <c r="AO42" s="55" t="str">
        <f t="shared" si="15"/>
        <v>Week Ending 09/20/2026</v>
      </c>
    </row>
    <row r="43" ht="43.5" customHeight="1">
      <c r="O43" s="15"/>
      <c r="P43" s="15"/>
      <c r="Q43" s="15"/>
      <c r="V43" s="15"/>
      <c r="W43" s="15"/>
      <c r="X43" s="15"/>
      <c r="AK43" s="55" t="s">
        <v>189</v>
      </c>
      <c r="AL43" s="85">
        <v>46292.0</v>
      </c>
      <c r="AM43" s="55">
        <f t="shared" si="13"/>
        <v>2026</v>
      </c>
      <c r="AN43" s="55" t="str">
        <f t="shared" si="14"/>
        <v>Week 39, 2026</v>
      </c>
      <c r="AO43" s="55" t="str">
        <f t="shared" si="15"/>
        <v>Week Ending 09/27/2026</v>
      </c>
    </row>
    <row r="44" ht="43.5" customHeight="1">
      <c r="O44" s="15"/>
      <c r="P44" s="15"/>
      <c r="Q44" s="15"/>
      <c r="V44" s="15"/>
      <c r="W44" s="15"/>
      <c r="X44" s="15"/>
      <c r="AK44" s="55" t="s">
        <v>190</v>
      </c>
      <c r="AL44" s="85">
        <v>46299.0</v>
      </c>
      <c r="AM44" s="55">
        <f t="shared" si="13"/>
        <v>2026</v>
      </c>
      <c r="AN44" s="55" t="str">
        <f t="shared" si="14"/>
        <v>Week 40, 2026</v>
      </c>
      <c r="AO44" s="55" t="str">
        <f t="shared" si="15"/>
        <v>Week Ending 10/04/2026</v>
      </c>
    </row>
    <row r="45" ht="43.5" customHeight="1">
      <c r="O45" s="15"/>
      <c r="P45" s="15"/>
      <c r="Q45" s="15"/>
      <c r="V45" s="15"/>
      <c r="W45" s="15"/>
      <c r="X45" s="15"/>
      <c r="AK45" s="55" t="s">
        <v>191</v>
      </c>
      <c r="AL45" s="85">
        <v>46306.0</v>
      </c>
      <c r="AM45" s="55">
        <f t="shared" si="13"/>
        <v>2026</v>
      </c>
      <c r="AN45" s="55" t="str">
        <f t="shared" si="14"/>
        <v>Week 41, 2026</v>
      </c>
      <c r="AO45" s="55" t="str">
        <f t="shared" si="15"/>
        <v>Week Ending 10/11/2026</v>
      </c>
    </row>
    <row r="46" ht="43.5" customHeight="1">
      <c r="O46" s="15"/>
      <c r="P46" s="15"/>
      <c r="Q46" s="15"/>
      <c r="V46" s="15"/>
      <c r="W46" s="15"/>
      <c r="X46" s="15"/>
      <c r="AK46" s="55" t="s">
        <v>192</v>
      </c>
      <c r="AL46" s="85">
        <v>46313.0</v>
      </c>
      <c r="AM46" s="55">
        <f t="shared" si="13"/>
        <v>2026</v>
      </c>
      <c r="AN46" s="55" t="str">
        <f t="shared" si="14"/>
        <v>Week 42, 2026</v>
      </c>
      <c r="AO46" s="55" t="str">
        <f t="shared" si="15"/>
        <v>Week Ending 10/18/2026</v>
      </c>
    </row>
    <row r="47" ht="43.5" customHeight="1">
      <c r="O47" s="15"/>
      <c r="P47" s="15"/>
      <c r="Q47" s="15"/>
      <c r="V47" s="15"/>
      <c r="W47" s="15"/>
      <c r="X47" s="15"/>
      <c r="AK47" s="55" t="s">
        <v>193</v>
      </c>
      <c r="AL47" s="85">
        <v>46320.0</v>
      </c>
      <c r="AM47" s="55">
        <f t="shared" si="13"/>
        <v>2026</v>
      </c>
      <c r="AN47" s="55" t="str">
        <f t="shared" si="14"/>
        <v>Week 43, 2026</v>
      </c>
      <c r="AO47" s="55" t="str">
        <f t="shared" si="15"/>
        <v>Week Ending 10/25/2026</v>
      </c>
    </row>
    <row r="48" ht="43.5" customHeight="1">
      <c r="O48" s="15"/>
      <c r="P48" s="15"/>
      <c r="Q48" s="15"/>
      <c r="V48" s="15"/>
      <c r="W48" s="15"/>
      <c r="X48" s="15"/>
      <c r="AK48" s="55" t="s">
        <v>194</v>
      </c>
      <c r="AL48" s="85">
        <v>46327.0</v>
      </c>
      <c r="AM48" s="55">
        <f t="shared" si="13"/>
        <v>2026</v>
      </c>
      <c r="AN48" s="55" t="str">
        <f t="shared" si="14"/>
        <v>Week 44, 2026</v>
      </c>
      <c r="AO48" s="55" t="str">
        <f t="shared" si="15"/>
        <v>Week Ending 11/01/2026</v>
      </c>
    </row>
    <row r="49" ht="43.5" customHeight="1">
      <c r="O49" s="15"/>
      <c r="P49" s="15"/>
      <c r="Q49" s="15"/>
      <c r="V49" s="15"/>
      <c r="W49" s="15"/>
      <c r="X49" s="15"/>
      <c r="AK49" s="55" t="s">
        <v>195</v>
      </c>
      <c r="AL49" s="85">
        <v>46334.0</v>
      </c>
      <c r="AM49" s="55">
        <f t="shared" si="13"/>
        <v>2026</v>
      </c>
      <c r="AN49" s="55" t="str">
        <f t="shared" si="14"/>
        <v>Week 45, 2026</v>
      </c>
      <c r="AO49" s="55" t="str">
        <f t="shared" si="15"/>
        <v>Week Ending 11/08/2026</v>
      </c>
    </row>
    <row r="50" ht="43.5" customHeight="1">
      <c r="O50" s="15"/>
      <c r="P50" s="15"/>
      <c r="Q50" s="15"/>
      <c r="V50" s="15"/>
      <c r="W50" s="15"/>
      <c r="X50" s="15"/>
      <c r="AK50" s="55" t="s">
        <v>196</v>
      </c>
      <c r="AL50" s="85">
        <v>46341.0</v>
      </c>
      <c r="AM50" s="55">
        <f t="shared" si="13"/>
        <v>2026</v>
      </c>
      <c r="AN50" s="55" t="str">
        <f t="shared" si="14"/>
        <v>Week 46, 2026</v>
      </c>
      <c r="AO50" s="55" t="str">
        <f t="shared" si="15"/>
        <v>Week Ending 11/15/2026</v>
      </c>
    </row>
    <row r="51" ht="43.5" customHeight="1">
      <c r="O51" s="15"/>
      <c r="P51" s="15"/>
      <c r="Q51" s="15"/>
      <c r="V51" s="15"/>
      <c r="W51" s="15"/>
      <c r="X51" s="15"/>
      <c r="AK51" s="55" t="s">
        <v>197</v>
      </c>
      <c r="AL51" s="85">
        <v>46348.0</v>
      </c>
      <c r="AM51" s="55">
        <f t="shared" si="13"/>
        <v>2026</v>
      </c>
      <c r="AN51" s="55" t="str">
        <f t="shared" si="14"/>
        <v>Week 47, 2026</v>
      </c>
      <c r="AO51" s="55" t="str">
        <f t="shared" si="15"/>
        <v>Week Ending 11/22/2026</v>
      </c>
    </row>
    <row r="52" ht="43.5" customHeight="1">
      <c r="O52" s="15"/>
      <c r="P52" s="15"/>
      <c r="Q52" s="15"/>
      <c r="V52" s="15"/>
      <c r="W52" s="15"/>
      <c r="X52" s="15"/>
      <c r="AK52" s="55" t="s">
        <v>198</v>
      </c>
      <c r="AL52" s="85">
        <v>46355.0</v>
      </c>
      <c r="AM52" s="55">
        <f t="shared" si="13"/>
        <v>2026</v>
      </c>
      <c r="AN52" s="55" t="str">
        <f t="shared" si="14"/>
        <v>Week 48, 2026</v>
      </c>
      <c r="AO52" s="55" t="str">
        <f t="shared" si="15"/>
        <v>Week Ending 11/29/2026</v>
      </c>
    </row>
    <row r="53" ht="43.5" customHeight="1">
      <c r="O53" s="15"/>
      <c r="P53" s="15"/>
      <c r="Q53" s="15"/>
      <c r="V53" s="15"/>
      <c r="W53" s="15"/>
      <c r="X53" s="15"/>
      <c r="AK53" s="55" t="s">
        <v>199</v>
      </c>
      <c r="AL53" s="85">
        <v>46362.0</v>
      </c>
      <c r="AM53" s="55">
        <f t="shared" si="13"/>
        <v>2026</v>
      </c>
      <c r="AN53" s="55" t="str">
        <f t="shared" si="14"/>
        <v>Week 49, 2026</v>
      </c>
      <c r="AO53" s="55" t="str">
        <f t="shared" si="15"/>
        <v>Week Ending 12/06/2026</v>
      </c>
    </row>
    <row r="54" ht="43.5" customHeight="1">
      <c r="O54" s="15"/>
      <c r="P54" s="15"/>
      <c r="Q54" s="15"/>
      <c r="V54" s="15"/>
      <c r="W54" s="15"/>
      <c r="X54" s="15"/>
      <c r="AK54" s="55" t="s">
        <v>200</v>
      </c>
      <c r="AL54" s="85">
        <v>46369.0</v>
      </c>
      <c r="AM54" s="55">
        <f t="shared" si="13"/>
        <v>2026</v>
      </c>
      <c r="AN54" s="55" t="str">
        <f t="shared" si="14"/>
        <v>Week 50, 2026</v>
      </c>
      <c r="AO54" s="55" t="str">
        <f t="shared" si="15"/>
        <v>Week Ending 12/13/2026</v>
      </c>
    </row>
    <row r="55" ht="43.5" customHeight="1">
      <c r="O55" s="15"/>
      <c r="P55" s="15"/>
      <c r="Q55" s="15"/>
      <c r="V55" s="15"/>
      <c r="W55" s="15"/>
      <c r="X55" s="15"/>
      <c r="AK55" s="55" t="s">
        <v>201</v>
      </c>
      <c r="AL55" s="85">
        <v>46376.0</v>
      </c>
      <c r="AM55" s="55">
        <f t="shared" si="13"/>
        <v>2026</v>
      </c>
      <c r="AN55" s="55" t="str">
        <f t="shared" si="14"/>
        <v>Week 51, 2026</v>
      </c>
      <c r="AO55" s="55" t="str">
        <f t="shared" si="15"/>
        <v>Week Ending 12/20/2026</v>
      </c>
    </row>
    <row r="56" ht="43.5" customHeight="1">
      <c r="O56" s="15"/>
      <c r="P56" s="15"/>
      <c r="Q56" s="15"/>
      <c r="V56" s="15"/>
      <c r="W56" s="15"/>
      <c r="X56" s="15"/>
      <c r="AK56" s="55" t="s">
        <v>202</v>
      </c>
      <c r="AL56" s="85">
        <v>46383.0</v>
      </c>
      <c r="AM56" s="55">
        <f t="shared" si="13"/>
        <v>2026</v>
      </c>
      <c r="AN56" s="55" t="str">
        <f t="shared" si="14"/>
        <v>Week 52, 2026</v>
      </c>
      <c r="AO56" s="55" t="str">
        <f t="shared" si="15"/>
        <v>Week Ending 12/27/2026</v>
      </c>
    </row>
    <row r="57" ht="43.5" customHeight="1">
      <c r="O57" s="15"/>
      <c r="P57" s="15"/>
      <c r="Q57" s="15"/>
      <c r="V57" s="15"/>
      <c r="W57" s="15"/>
      <c r="X57" s="15"/>
      <c r="AL57" s="85"/>
      <c r="AO57" s="55"/>
    </row>
    <row r="58" ht="43.5" customHeight="1">
      <c r="O58" s="15"/>
      <c r="P58" s="15"/>
      <c r="Q58" s="15"/>
      <c r="V58" s="15"/>
      <c r="W58" s="15"/>
      <c r="X58" s="15"/>
      <c r="AL58" s="85"/>
      <c r="AO58" s="55"/>
    </row>
    <row r="59" ht="43.5" customHeight="1">
      <c r="O59" s="15"/>
      <c r="P59" s="15"/>
      <c r="Q59" s="15"/>
      <c r="V59" s="15"/>
      <c r="W59" s="15"/>
      <c r="X59" s="15"/>
      <c r="AL59" s="85"/>
      <c r="AO59" s="55"/>
    </row>
    <row r="60" ht="43.5" customHeight="1">
      <c r="O60" s="15"/>
      <c r="P60" s="15"/>
      <c r="Q60" s="15"/>
      <c r="V60" s="15"/>
      <c r="W60" s="15"/>
      <c r="X60" s="15"/>
      <c r="AL60" s="85"/>
      <c r="AO60" s="55"/>
    </row>
    <row r="61" ht="43.5" customHeight="1">
      <c r="O61" s="15"/>
      <c r="P61" s="15"/>
      <c r="Q61" s="15"/>
      <c r="V61" s="15"/>
      <c r="W61" s="15"/>
      <c r="X61" s="15"/>
      <c r="AL61" s="85"/>
      <c r="AO61" s="55"/>
    </row>
    <row r="62" ht="43.5" customHeight="1">
      <c r="O62" s="15"/>
      <c r="P62" s="15"/>
      <c r="Q62" s="15"/>
      <c r="V62" s="15"/>
      <c r="W62" s="15"/>
      <c r="X62" s="15"/>
      <c r="AL62" s="85"/>
      <c r="AO62" s="55"/>
    </row>
    <row r="63" ht="43.5" customHeight="1">
      <c r="O63" s="15"/>
      <c r="P63" s="15"/>
      <c r="Q63" s="15"/>
      <c r="V63" s="15"/>
      <c r="W63" s="15"/>
      <c r="X63" s="15"/>
      <c r="AL63" s="85"/>
      <c r="AO63" s="55"/>
    </row>
    <row r="64" ht="43.5" customHeight="1">
      <c r="O64" s="15"/>
      <c r="P64" s="15"/>
      <c r="Q64" s="15"/>
      <c r="V64" s="15"/>
      <c r="W64" s="15"/>
      <c r="X64" s="15"/>
      <c r="AL64" s="85"/>
      <c r="AO64" s="55"/>
    </row>
    <row r="65" ht="43.5" customHeight="1">
      <c r="O65" s="15"/>
      <c r="P65" s="15"/>
      <c r="Q65" s="15"/>
      <c r="V65" s="15"/>
      <c r="W65" s="15"/>
      <c r="X65" s="15"/>
      <c r="AL65" s="85"/>
      <c r="AO65" s="55"/>
    </row>
    <row r="66" ht="43.5" customHeight="1">
      <c r="O66" s="15"/>
      <c r="P66" s="15"/>
      <c r="Q66" s="15"/>
      <c r="V66" s="15"/>
      <c r="W66" s="15"/>
      <c r="X66" s="15"/>
      <c r="AL66" s="85"/>
      <c r="AO66" s="55"/>
    </row>
    <row r="67" ht="43.5" customHeight="1">
      <c r="O67" s="15"/>
      <c r="P67" s="15"/>
      <c r="Q67" s="15"/>
      <c r="V67" s="15"/>
      <c r="W67" s="15"/>
      <c r="X67" s="15"/>
      <c r="AL67" s="85"/>
      <c r="AO67" s="55"/>
    </row>
    <row r="68" ht="43.5" customHeight="1">
      <c r="O68" s="15"/>
      <c r="P68" s="15"/>
      <c r="Q68" s="15"/>
      <c r="V68" s="15"/>
      <c r="W68" s="15"/>
      <c r="X68" s="15"/>
      <c r="AL68" s="85"/>
      <c r="AO68" s="55"/>
    </row>
    <row r="69" ht="43.5" customHeight="1">
      <c r="O69" s="15"/>
      <c r="P69" s="15"/>
      <c r="Q69" s="15"/>
      <c r="V69" s="15"/>
      <c r="W69" s="15"/>
      <c r="X69" s="15"/>
      <c r="AL69" s="85"/>
      <c r="AO69" s="55"/>
    </row>
    <row r="70" ht="43.5" customHeight="1">
      <c r="O70" s="15"/>
      <c r="P70" s="15"/>
      <c r="Q70" s="15"/>
      <c r="V70" s="15"/>
      <c r="W70" s="15"/>
      <c r="X70" s="15"/>
      <c r="AL70" s="85"/>
      <c r="AO70" s="55"/>
    </row>
    <row r="71" ht="43.5" customHeight="1">
      <c r="O71" s="15"/>
      <c r="P71" s="15"/>
      <c r="Q71" s="15"/>
      <c r="V71" s="15"/>
      <c r="W71" s="15"/>
      <c r="X71" s="15"/>
    </row>
    <row r="72" ht="43.5" customHeight="1">
      <c r="O72" s="15"/>
      <c r="P72" s="15"/>
      <c r="Q72" s="15"/>
      <c r="V72" s="15"/>
      <c r="W72" s="15"/>
      <c r="X72" s="15"/>
    </row>
    <row r="73" ht="43.5" customHeight="1">
      <c r="O73" s="15"/>
      <c r="P73" s="15"/>
      <c r="Q73" s="15"/>
      <c r="V73" s="15"/>
      <c r="W73" s="15"/>
      <c r="X73" s="15"/>
    </row>
    <row r="74" ht="43.5" customHeight="1">
      <c r="O74" s="15"/>
      <c r="P74" s="15"/>
      <c r="Q74" s="15"/>
      <c r="V74" s="15"/>
      <c r="W74" s="15"/>
      <c r="X74" s="15"/>
    </row>
    <row r="75" ht="43.5" customHeight="1">
      <c r="O75" s="15"/>
      <c r="P75" s="15"/>
      <c r="Q75" s="15"/>
      <c r="V75" s="15"/>
      <c r="W75" s="15"/>
      <c r="X75" s="15"/>
    </row>
    <row r="76" ht="43.5" customHeight="1">
      <c r="O76" s="15"/>
      <c r="P76" s="15"/>
      <c r="Q76" s="15"/>
      <c r="V76" s="15"/>
      <c r="W76" s="15"/>
      <c r="X76" s="15"/>
    </row>
    <row r="77" ht="43.5" customHeight="1">
      <c r="O77" s="15"/>
      <c r="P77" s="15"/>
      <c r="Q77" s="15"/>
      <c r="V77" s="15"/>
      <c r="W77" s="15"/>
      <c r="X77" s="15"/>
    </row>
    <row r="78" ht="43.5" customHeight="1">
      <c r="O78" s="15"/>
      <c r="P78" s="15"/>
      <c r="Q78" s="15"/>
      <c r="V78" s="15"/>
      <c r="W78" s="15"/>
      <c r="X78" s="15"/>
    </row>
    <row r="79" ht="43.5" customHeight="1">
      <c r="O79" s="15"/>
      <c r="P79" s="15"/>
      <c r="Q79" s="15"/>
      <c r="V79" s="15"/>
      <c r="W79" s="15"/>
      <c r="X79" s="15"/>
    </row>
    <row r="80" ht="43.5" customHeight="1">
      <c r="O80" s="15"/>
      <c r="P80" s="15"/>
      <c r="Q80" s="15"/>
      <c r="V80" s="15"/>
      <c r="W80" s="15"/>
      <c r="X80" s="15"/>
    </row>
    <row r="81" ht="43.5" customHeight="1">
      <c r="O81" s="15"/>
      <c r="P81" s="15"/>
      <c r="Q81" s="15"/>
      <c r="V81" s="15"/>
      <c r="W81" s="15"/>
      <c r="X81" s="15"/>
    </row>
    <row r="82" ht="43.5" customHeight="1">
      <c r="O82" s="15"/>
      <c r="P82" s="15"/>
      <c r="Q82" s="15"/>
      <c r="V82" s="15"/>
      <c r="W82" s="15"/>
      <c r="X82" s="15"/>
    </row>
    <row r="83" ht="43.5" customHeight="1">
      <c r="O83" s="15"/>
      <c r="P83" s="15"/>
      <c r="Q83" s="15"/>
      <c r="V83" s="15"/>
      <c r="W83" s="15"/>
      <c r="X83" s="15"/>
    </row>
    <row r="84" ht="43.5" customHeight="1">
      <c r="O84" s="15"/>
      <c r="P84" s="15"/>
      <c r="Q84" s="15"/>
      <c r="V84" s="15"/>
      <c r="W84" s="15"/>
      <c r="X84" s="15"/>
    </row>
    <row r="85" ht="43.5" customHeight="1">
      <c r="O85" s="15"/>
      <c r="P85" s="15"/>
      <c r="Q85" s="15"/>
      <c r="V85" s="15"/>
      <c r="W85" s="15"/>
      <c r="X85" s="15"/>
    </row>
    <row r="86" ht="43.5" customHeight="1">
      <c r="O86" s="15"/>
      <c r="P86" s="15"/>
      <c r="Q86" s="15"/>
      <c r="V86" s="15"/>
      <c r="W86" s="15"/>
      <c r="X86" s="15"/>
    </row>
    <row r="87" ht="43.5" customHeight="1">
      <c r="O87" s="15"/>
      <c r="P87" s="15"/>
      <c r="Q87" s="15"/>
      <c r="V87" s="15"/>
      <c r="W87" s="15"/>
      <c r="X87" s="15"/>
    </row>
    <row r="88" ht="43.5" customHeight="1">
      <c r="O88" s="15"/>
      <c r="P88" s="15"/>
      <c r="Q88" s="15"/>
      <c r="V88" s="15"/>
      <c r="W88" s="15"/>
      <c r="X88" s="15"/>
    </row>
    <row r="89" ht="43.5" customHeight="1">
      <c r="O89" s="15"/>
      <c r="P89" s="15"/>
      <c r="Q89" s="15"/>
      <c r="V89" s="15"/>
      <c r="W89" s="15"/>
      <c r="X89" s="15"/>
    </row>
    <row r="90" ht="43.5" customHeight="1">
      <c r="O90" s="15"/>
      <c r="P90" s="15"/>
      <c r="Q90" s="15"/>
      <c r="V90" s="15"/>
      <c r="W90" s="15"/>
      <c r="X90" s="15"/>
    </row>
    <row r="91" ht="43.5" customHeight="1">
      <c r="O91" s="15"/>
      <c r="P91" s="15"/>
      <c r="Q91" s="15"/>
      <c r="V91" s="15"/>
      <c r="W91" s="15"/>
      <c r="X91" s="15"/>
    </row>
    <row r="92" ht="43.5" customHeight="1">
      <c r="O92" s="15"/>
      <c r="P92" s="15"/>
      <c r="Q92" s="15"/>
      <c r="V92" s="15"/>
      <c r="W92" s="15"/>
      <c r="X92" s="15"/>
    </row>
    <row r="93" ht="43.5" customHeight="1">
      <c r="O93" s="15"/>
      <c r="P93" s="15"/>
      <c r="Q93" s="15"/>
      <c r="V93" s="15"/>
      <c r="W93" s="15"/>
      <c r="X93" s="15"/>
    </row>
    <row r="94" ht="43.5" customHeight="1">
      <c r="O94" s="15"/>
      <c r="P94" s="15"/>
      <c r="Q94" s="15"/>
      <c r="V94" s="15"/>
      <c r="W94" s="15"/>
      <c r="X94" s="15"/>
    </row>
    <row r="95" ht="43.5" customHeight="1">
      <c r="O95" s="15"/>
      <c r="P95" s="15"/>
      <c r="Q95" s="15"/>
      <c r="V95" s="15"/>
      <c r="W95" s="15"/>
      <c r="X95" s="15"/>
    </row>
    <row r="96" ht="43.5" customHeight="1">
      <c r="O96" s="15"/>
      <c r="P96" s="15"/>
      <c r="Q96" s="15"/>
      <c r="V96" s="15"/>
      <c r="W96" s="15"/>
      <c r="X96" s="15"/>
    </row>
    <row r="97" ht="43.5" customHeight="1">
      <c r="O97" s="15"/>
      <c r="P97" s="15"/>
      <c r="Q97" s="15"/>
      <c r="V97" s="15"/>
      <c r="W97" s="15"/>
      <c r="X97" s="15"/>
    </row>
    <row r="98" ht="43.5" customHeight="1">
      <c r="O98" s="15"/>
      <c r="P98" s="15"/>
      <c r="Q98" s="15"/>
      <c r="V98" s="15"/>
      <c r="W98" s="15"/>
      <c r="X98" s="15"/>
    </row>
    <row r="99" ht="43.5" customHeight="1">
      <c r="O99" s="15"/>
      <c r="P99" s="15"/>
      <c r="Q99" s="15"/>
      <c r="V99" s="15"/>
      <c r="W99" s="15"/>
      <c r="X99" s="15"/>
    </row>
    <row r="100" ht="43.5" customHeight="1">
      <c r="O100" s="15"/>
      <c r="P100" s="15"/>
      <c r="Q100" s="15"/>
      <c r="V100" s="15"/>
      <c r="W100" s="15"/>
      <c r="X100" s="15"/>
    </row>
    <row r="101" ht="43.5" customHeight="1">
      <c r="O101" s="15"/>
      <c r="P101" s="15"/>
      <c r="Q101" s="15"/>
      <c r="V101" s="15"/>
      <c r="W101" s="15"/>
      <c r="X101" s="15"/>
    </row>
    <row r="102" ht="43.5" customHeight="1">
      <c r="O102" s="15"/>
      <c r="P102" s="15"/>
      <c r="Q102" s="15"/>
      <c r="V102" s="15"/>
      <c r="W102" s="15"/>
      <c r="X102" s="15"/>
    </row>
    <row r="103" ht="43.5" customHeight="1">
      <c r="O103" s="15"/>
      <c r="P103" s="15"/>
      <c r="Q103" s="15"/>
      <c r="V103" s="15"/>
      <c r="W103" s="15"/>
      <c r="X103" s="15"/>
    </row>
    <row r="104" ht="43.5" customHeight="1">
      <c r="O104" s="15"/>
      <c r="P104" s="15"/>
      <c r="Q104" s="15"/>
      <c r="V104" s="15"/>
      <c r="W104" s="15"/>
      <c r="X104" s="15"/>
    </row>
    <row r="105" ht="43.5" customHeight="1">
      <c r="O105" s="15"/>
      <c r="P105" s="15"/>
      <c r="Q105" s="15"/>
      <c r="V105" s="15"/>
      <c r="W105" s="15"/>
      <c r="X105" s="15"/>
    </row>
    <row r="106" ht="43.5" customHeight="1">
      <c r="O106" s="15"/>
      <c r="P106" s="15"/>
      <c r="Q106" s="15"/>
      <c r="V106" s="15"/>
      <c r="W106" s="15"/>
      <c r="X106" s="15"/>
    </row>
    <row r="107" ht="43.5" customHeight="1">
      <c r="O107" s="15"/>
      <c r="P107" s="15"/>
      <c r="Q107" s="15"/>
      <c r="V107" s="15"/>
      <c r="W107" s="15"/>
      <c r="X107" s="15"/>
    </row>
    <row r="108" ht="43.5" customHeight="1">
      <c r="O108" s="15"/>
      <c r="P108" s="15"/>
      <c r="Q108" s="15"/>
      <c r="V108" s="15"/>
      <c r="W108" s="15"/>
      <c r="X108" s="15"/>
    </row>
    <row r="109" ht="43.5" customHeight="1">
      <c r="O109" s="15"/>
      <c r="P109" s="15"/>
      <c r="Q109" s="15"/>
      <c r="V109" s="15"/>
      <c r="W109" s="15"/>
      <c r="X109" s="15"/>
    </row>
    <row r="110" ht="43.5" customHeight="1">
      <c r="O110" s="15"/>
      <c r="P110" s="15"/>
      <c r="Q110" s="15"/>
      <c r="V110" s="15"/>
      <c r="W110" s="15"/>
      <c r="X110" s="15"/>
    </row>
    <row r="111" ht="43.5" customHeight="1">
      <c r="O111" s="15"/>
      <c r="P111" s="15"/>
      <c r="Q111" s="15"/>
      <c r="V111" s="15"/>
      <c r="W111" s="15"/>
      <c r="X111" s="15"/>
    </row>
    <row r="112" ht="43.5" customHeight="1">
      <c r="O112" s="15"/>
      <c r="P112" s="15"/>
      <c r="Q112" s="15"/>
      <c r="V112" s="15"/>
      <c r="W112" s="15"/>
      <c r="X112" s="15"/>
    </row>
    <row r="113" ht="43.5" customHeight="1">
      <c r="O113" s="15"/>
      <c r="P113" s="15"/>
      <c r="Q113" s="15"/>
      <c r="V113" s="15"/>
      <c r="W113" s="15"/>
      <c r="X113" s="15"/>
    </row>
    <row r="114" ht="43.5" customHeight="1">
      <c r="O114" s="15"/>
      <c r="P114" s="15"/>
      <c r="Q114" s="15"/>
      <c r="V114" s="15"/>
      <c r="W114" s="15"/>
      <c r="X114" s="15"/>
    </row>
    <row r="115" ht="43.5" customHeight="1">
      <c r="O115" s="15"/>
      <c r="P115" s="15"/>
      <c r="Q115" s="15"/>
      <c r="V115" s="15"/>
      <c r="W115" s="15"/>
      <c r="X115" s="15"/>
    </row>
    <row r="116" ht="43.5" customHeight="1">
      <c r="O116" s="15"/>
      <c r="P116" s="15"/>
      <c r="Q116" s="15"/>
      <c r="V116" s="15"/>
      <c r="W116" s="15"/>
      <c r="X116" s="15"/>
    </row>
    <row r="117" ht="43.5" customHeight="1">
      <c r="O117" s="15"/>
      <c r="P117" s="15"/>
      <c r="Q117" s="15"/>
      <c r="V117" s="15"/>
      <c r="W117" s="15"/>
      <c r="X117" s="15"/>
    </row>
    <row r="118" ht="43.5" customHeight="1">
      <c r="O118" s="15"/>
      <c r="P118" s="15"/>
      <c r="Q118" s="15"/>
      <c r="V118" s="15"/>
      <c r="W118" s="15"/>
      <c r="X118" s="15"/>
    </row>
    <row r="119" ht="43.5" customHeight="1">
      <c r="O119" s="15"/>
      <c r="P119" s="15"/>
      <c r="Q119" s="15"/>
      <c r="V119" s="15"/>
      <c r="W119" s="15"/>
      <c r="X119" s="15"/>
    </row>
    <row r="120" ht="43.5" customHeight="1">
      <c r="O120" s="15"/>
      <c r="P120" s="15"/>
      <c r="Q120" s="15"/>
      <c r="V120" s="15"/>
      <c r="W120" s="15"/>
      <c r="X120" s="15"/>
    </row>
    <row r="121" ht="43.5" customHeight="1">
      <c r="O121" s="15"/>
      <c r="P121" s="15"/>
      <c r="Q121" s="15"/>
      <c r="V121" s="15"/>
      <c r="W121" s="15"/>
      <c r="X121" s="15"/>
    </row>
    <row r="122" ht="43.5" customHeight="1">
      <c r="O122" s="15"/>
      <c r="P122" s="15"/>
      <c r="Q122" s="15"/>
      <c r="V122" s="15"/>
      <c r="W122" s="15"/>
      <c r="X122" s="15"/>
    </row>
    <row r="123" ht="43.5" customHeight="1">
      <c r="O123" s="15"/>
      <c r="P123" s="15"/>
      <c r="Q123" s="15"/>
      <c r="V123" s="15"/>
      <c r="W123" s="15"/>
      <c r="X123" s="15"/>
    </row>
    <row r="124" ht="43.5" customHeight="1">
      <c r="O124" s="15"/>
      <c r="P124" s="15"/>
      <c r="Q124" s="15"/>
      <c r="V124" s="15"/>
      <c r="W124" s="15"/>
      <c r="X124" s="15"/>
    </row>
    <row r="125" ht="43.5" customHeight="1">
      <c r="O125" s="15"/>
      <c r="P125" s="15"/>
      <c r="Q125" s="15"/>
      <c r="V125" s="15"/>
      <c r="W125" s="15"/>
      <c r="X125" s="15"/>
    </row>
    <row r="126" ht="43.5" customHeight="1">
      <c r="O126" s="15"/>
      <c r="P126" s="15"/>
      <c r="Q126" s="15"/>
      <c r="V126" s="15"/>
      <c r="W126" s="15"/>
      <c r="X126" s="15"/>
    </row>
    <row r="127" ht="43.5" customHeight="1">
      <c r="O127" s="15"/>
      <c r="P127" s="15"/>
      <c r="Q127" s="15"/>
      <c r="V127" s="15"/>
      <c r="W127" s="15"/>
      <c r="X127" s="15"/>
    </row>
    <row r="128" ht="43.5" customHeight="1">
      <c r="O128" s="15"/>
      <c r="P128" s="15"/>
      <c r="Q128" s="15"/>
      <c r="V128" s="15"/>
      <c r="W128" s="15"/>
      <c r="X128" s="15"/>
    </row>
    <row r="129" ht="43.5" customHeight="1">
      <c r="O129" s="15"/>
      <c r="P129" s="15"/>
      <c r="Q129" s="15"/>
      <c r="V129" s="15"/>
      <c r="W129" s="15"/>
      <c r="X129" s="15"/>
    </row>
    <row r="130" ht="43.5" customHeight="1">
      <c r="O130" s="15"/>
      <c r="P130" s="15"/>
      <c r="Q130" s="15"/>
      <c r="V130" s="15"/>
      <c r="W130" s="15"/>
      <c r="X130" s="15"/>
    </row>
    <row r="131" ht="43.5" customHeight="1">
      <c r="O131" s="15"/>
      <c r="P131" s="15"/>
      <c r="Q131" s="15"/>
      <c r="V131" s="15"/>
      <c r="W131" s="15"/>
      <c r="X131" s="15"/>
    </row>
    <row r="132" ht="43.5" customHeight="1">
      <c r="O132" s="15"/>
      <c r="P132" s="15"/>
      <c r="Q132" s="15"/>
      <c r="V132" s="15"/>
      <c r="W132" s="15"/>
      <c r="X132" s="15"/>
    </row>
    <row r="133" ht="43.5" customHeight="1">
      <c r="O133" s="15"/>
      <c r="P133" s="15"/>
      <c r="Q133" s="15"/>
      <c r="V133" s="15"/>
      <c r="W133" s="15"/>
      <c r="X133" s="15"/>
    </row>
    <row r="134" ht="43.5" customHeight="1">
      <c r="O134" s="15"/>
      <c r="P134" s="15"/>
      <c r="Q134" s="15"/>
      <c r="V134" s="15"/>
      <c r="W134" s="15"/>
      <c r="X134" s="15"/>
    </row>
    <row r="135" ht="43.5" customHeight="1">
      <c r="O135" s="15"/>
      <c r="P135" s="15"/>
      <c r="Q135" s="15"/>
      <c r="V135" s="15"/>
      <c r="W135" s="15"/>
      <c r="X135" s="15"/>
    </row>
    <row r="136" ht="43.5" customHeight="1">
      <c r="O136" s="15"/>
      <c r="P136" s="15"/>
      <c r="Q136" s="15"/>
      <c r="V136" s="15"/>
      <c r="W136" s="15"/>
      <c r="X136" s="15"/>
    </row>
    <row r="137" ht="43.5" customHeight="1">
      <c r="O137" s="15"/>
      <c r="P137" s="15"/>
      <c r="Q137" s="15"/>
      <c r="V137" s="15"/>
      <c r="W137" s="15"/>
      <c r="X137" s="15"/>
    </row>
    <row r="138" ht="43.5" customHeight="1">
      <c r="O138" s="15"/>
      <c r="P138" s="15"/>
      <c r="Q138" s="15"/>
      <c r="V138" s="15"/>
      <c r="W138" s="15"/>
      <c r="X138" s="15"/>
    </row>
    <row r="139" ht="43.5" customHeight="1">
      <c r="O139" s="15"/>
      <c r="P139" s="15"/>
      <c r="Q139" s="15"/>
      <c r="V139" s="15"/>
      <c r="W139" s="15"/>
      <c r="X139" s="15"/>
    </row>
    <row r="140" ht="43.5" customHeight="1">
      <c r="O140" s="15"/>
      <c r="P140" s="15"/>
      <c r="Q140" s="15"/>
      <c r="V140" s="15"/>
      <c r="W140" s="15"/>
      <c r="X140" s="15"/>
    </row>
    <row r="141" ht="43.5" customHeight="1">
      <c r="O141" s="15"/>
      <c r="P141" s="15"/>
      <c r="Q141" s="15"/>
      <c r="V141" s="15"/>
      <c r="W141" s="15"/>
      <c r="X141" s="15"/>
    </row>
    <row r="142" ht="43.5" customHeight="1">
      <c r="O142" s="15"/>
      <c r="P142" s="15"/>
      <c r="Q142" s="15"/>
      <c r="V142" s="15"/>
      <c r="W142" s="15"/>
      <c r="X142" s="15"/>
    </row>
    <row r="143" ht="43.5" customHeight="1">
      <c r="O143" s="15"/>
      <c r="P143" s="15"/>
      <c r="Q143" s="15"/>
      <c r="V143" s="15"/>
      <c r="W143" s="15"/>
      <c r="X143" s="15"/>
    </row>
    <row r="144" ht="43.5" customHeight="1">
      <c r="O144" s="15"/>
      <c r="P144" s="15"/>
      <c r="Q144" s="15"/>
      <c r="V144" s="15"/>
      <c r="W144" s="15"/>
      <c r="X144" s="15"/>
    </row>
    <row r="145" ht="43.5" customHeight="1">
      <c r="O145" s="15"/>
      <c r="P145" s="15"/>
      <c r="Q145" s="15"/>
      <c r="V145" s="15"/>
      <c r="W145" s="15"/>
      <c r="X145" s="15"/>
    </row>
    <row r="146" ht="43.5" customHeight="1">
      <c r="O146" s="15"/>
      <c r="P146" s="15"/>
      <c r="Q146" s="15"/>
      <c r="V146" s="15"/>
      <c r="W146" s="15"/>
      <c r="X146" s="15"/>
    </row>
    <row r="147" ht="43.5" customHeight="1">
      <c r="O147" s="15"/>
      <c r="P147" s="15"/>
      <c r="Q147" s="15"/>
      <c r="V147" s="15"/>
      <c r="W147" s="15"/>
      <c r="X147" s="15"/>
    </row>
    <row r="148" ht="43.5" customHeight="1">
      <c r="O148" s="15"/>
      <c r="P148" s="15"/>
      <c r="Q148" s="15"/>
      <c r="V148" s="15"/>
      <c r="W148" s="15"/>
      <c r="X148" s="15"/>
    </row>
    <row r="149" ht="43.5" customHeight="1">
      <c r="O149" s="15"/>
      <c r="P149" s="15"/>
      <c r="Q149" s="15"/>
      <c r="V149" s="15"/>
      <c r="W149" s="15"/>
      <c r="X149" s="15"/>
    </row>
    <row r="150" ht="43.5" customHeight="1">
      <c r="O150" s="15"/>
      <c r="P150" s="15"/>
      <c r="Q150" s="15"/>
      <c r="V150" s="15"/>
      <c r="W150" s="15"/>
      <c r="X150" s="15"/>
    </row>
    <row r="151" ht="43.5" customHeight="1">
      <c r="O151" s="15"/>
      <c r="P151" s="15"/>
      <c r="Q151" s="15"/>
      <c r="V151" s="15"/>
      <c r="W151" s="15"/>
      <c r="X151" s="15"/>
    </row>
    <row r="152" ht="43.5" customHeight="1">
      <c r="O152" s="15"/>
      <c r="P152" s="15"/>
      <c r="Q152" s="15"/>
      <c r="V152" s="15"/>
      <c r="W152" s="15"/>
      <c r="X152" s="15"/>
    </row>
    <row r="153" ht="43.5" customHeight="1">
      <c r="O153" s="15"/>
      <c r="P153" s="15"/>
      <c r="Q153" s="15"/>
      <c r="V153" s="15"/>
      <c r="W153" s="15"/>
      <c r="X153" s="15"/>
    </row>
    <row r="154" ht="43.5" customHeight="1">
      <c r="O154" s="15"/>
      <c r="P154" s="15"/>
      <c r="Q154" s="15"/>
      <c r="V154" s="15"/>
      <c r="W154" s="15"/>
      <c r="X154" s="15"/>
    </row>
    <row r="155" ht="43.5" customHeight="1">
      <c r="O155" s="15"/>
      <c r="P155" s="15"/>
      <c r="Q155" s="15"/>
      <c r="V155" s="15"/>
      <c r="W155" s="15"/>
      <c r="X155" s="15"/>
    </row>
    <row r="156" ht="43.5" customHeight="1">
      <c r="O156" s="15"/>
      <c r="P156" s="15"/>
      <c r="Q156" s="15"/>
      <c r="V156" s="15"/>
      <c r="W156" s="15"/>
      <c r="X156" s="15"/>
    </row>
    <row r="157" ht="43.5" customHeight="1">
      <c r="O157" s="15"/>
      <c r="P157" s="15"/>
      <c r="Q157" s="15"/>
      <c r="V157" s="15"/>
      <c r="W157" s="15"/>
      <c r="X157" s="15"/>
    </row>
    <row r="158" ht="43.5" customHeight="1">
      <c r="O158" s="15"/>
      <c r="P158" s="15"/>
      <c r="Q158" s="15"/>
      <c r="V158" s="15"/>
      <c r="W158" s="15"/>
      <c r="X158" s="15"/>
    </row>
    <row r="159" ht="43.5" customHeight="1">
      <c r="O159" s="15"/>
      <c r="P159" s="15"/>
      <c r="Q159" s="15"/>
      <c r="V159" s="15"/>
      <c r="W159" s="15"/>
      <c r="X159" s="15"/>
    </row>
    <row r="160" ht="43.5" customHeight="1">
      <c r="O160" s="15"/>
      <c r="P160" s="15"/>
      <c r="Q160" s="15"/>
      <c r="V160" s="15"/>
      <c r="W160" s="15"/>
      <c r="X160" s="15"/>
    </row>
    <row r="161" ht="43.5" customHeight="1">
      <c r="O161" s="15"/>
      <c r="P161" s="15"/>
      <c r="Q161" s="15"/>
      <c r="V161" s="15"/>
      <c r="W161" s="15"/>
      <c r="X161" s="15"/>
    </row>
    <row r="162" ht="43.5" customHeight="1">
      <c r="O162" s="15"/>
      <c r="P162" s="15"/>
      <c r="Q162" s="15"/>
      <c r="V162" s="15"/>
      <c r="W162" s="15"/>
      <c r="X162" s="15"/>
    </row>
    <row r="163" ht="43.5" customHeight="1">
      <c r="O163" s="15"/>
      <c r="P163" s="15"/>
      <c r="Q163" s="15"/>
      <c r="V163" s="15"/>
      <c r="W163" s="15"/>
      <c r="X163" s="15"/>
    </row>
    <row r="164" ht="43.5" customHeight="1">
      <c r="O164" s="15"/>
      <c r="P164" s="15"/>
      <c r="Q164" s="15"/>
      <c r="V164" s="15"/>
      <c r="W164" s="15"/>
      <c r="X164" s="15"/>
    </row>
    <row r="165" ht="43.5" customHeight="1">
      <c r="O165" s="15"/>
      <c r="P165" s="15"/>
      <c r="Q165" s="15"/>
      <c r="V165" s="15"/>
      <c r="W165" s="15"/>
      <c r="X165" s="15"/>
    </row>
    <row r="166" ht="43.5" customHeight="1">
      <c r="O166" s="15"/>
      <c r="P166" s="15"/>
      <c r="Q166" s="15"/>
      <c r="V166" s="15"/>
      <c r="W166" s="15"/>
      <c r="X166" s="15"/>
    </row>
    <row r="167" ht="43.5" customHeight="1">
      <c r="O167" s="15"/>
      <c r="P167" s="15"/>
      <c r="Q167" s="15"/>
      <c r="V167" s="15"/>
      <c r="W167" s="15"/>
      <c r="X167" s="15"/>
    </row>
    <row r="168" ht="43.5" customHeight="1">
      <c r="O168" s="15"/>
      <c r="P168" s="15"/>
      <c r="Q168" s="15"/>
      <c r="V168" s="15"/>
      <c r="W168" s="15"/>
      <c r="X168" s="15"/>
    </row>
    <row r="169" ht="43.5" customHeight="1">
      <c r="O169" s="15"/>
      <c r="P169" s="15"/>
      <c r="Q169" s="15"/>
      <c r="V169" s="15"/>
      <c r="W169" s="15"/>
      <c r="X169" s="15"/>
    </row>
    <row r="170" ht="43.5" customHeight="1">
      <c r="O170" s="15"/>
      <c r="P170" s="15"/>
      <c r="Q170" s="15"/>
      <c r="V170" s="15"/>
      <c r="W170" s="15"/>
      <c r="X170" s="15"/>
    </row>
    <row r="171" ht="43.5" customHeight="1">
      <c r="O171" s="15"/>
      <c r="P171" s="15"/>
      <c r="Q171" s="15"/>
      <c r="V171" s="15"/>
      <c r="W171" s="15"/>
      <c r="X171" s="15"/>
    </row>
    <row r="172" ht="43.5" customHeight="1">
      <c r="O172" s="15"/>
      <c r="P172" s="15"/>
      <c r="Q172" s="15"/>
      <c r="V172" s="15"/>
      <c r="W172" s="15"/>
      <c r="X172" s="15"/>
    </row>
    <row r="173" ht="43.5" customHeight="1">
      <c r="O173" s="15"/>
      <c r="P173" s="15"/>
      <c r="Q173" s="15"/>
      <c r="V173" s="15"/>
      <c r="W173" s="15"/>
      <c r="X173" s="15"/>
    </row>
    <row r="174" ht="43.5" customHeight="1">
      <c r="O174" s="15"/>
      <c r="P174" s="15"/>
      <c r="Q174" s="15"/>
      <c r="V174" s="15"/>
      <c r="W174" s="15"/>
      <c r="X174" s="15"/>
    </row>
    <row r="175" ht="43.5" customHeight="1">
      <c r="O175" s="15"/>
      <c r="P175" s="15"/>
      <c r="Q175" s="15"/>
      <c r="V175" s="15"/>
      <c r="W175" s="15"/>
      <c r="X175" s="15"/>
    </row>
    <row r="176" ht="43.5" customHeight="1">
      <c r="O176" s="15"/>
      <c r="P176" s="15"/>
      <c r="Q176" s="15"/>
      <c r="V176" s="15"/>
      <c r="W176" s="15"/>
      <c r="X176" s="15"/>
    </row>
    <row r="177" ht="43.5" customHeight="1">
      <c r="O177" s="15"/>
      <c r="P177" s="15"/>
      <c r="Q177" s="15"/>
      <c r="V177" s="15"/>
      <c r="W177" s="15"/>
      <c r="X177" s="15"/>
    </row>
    <row r="178" ht="43.5" customHeight="1">
      <c r="O178" s="15"/>
      <c r="P178" s="15"/>
      <c r="Q178" s="15"/>
      <c r="V178" s="15"/>
      <c r="W178" s="15"/>
      <c r="X178" s="15"/>
    </row>
    <row r="179" ht="43.5" customHeight="1">
      <c r="O179" s="15"/>
      <c r="P179" s="15"/>
      <c r="Q179" s="15"/>
      <c r="V179" s="15"/>
      <c r="W179" s="15"/>
      <c r="X179" s="15"/>
    </row>
    <row r="180" ht="43.5" customHeight="1">
      <c r="O180" s="15"/>
      <c r="P180" s="15"/>
      <c r="Q180" s="15"/>
      <c r="V180" s="15"/>
      <c r="W180" s="15"/>
      <c r="X180" s="15"/>
    </row>
    <row r="181" ht="43.5" customHeight="1">
      <c r="O181" s="15"/>
      <c r="P181" s="15"/>
      <c r="Q181" s="15"/>
      <c r="V181" s="15"/>
      <c r="W181" s="15"/>
      <c r="X181" s="15"/>
    </row>
    <row r="182" ht="43.5" customHeight="1">
      <c r="O182" s="15"/>
      <c r="P182" s="15"/>
      <c r="Q182" s="15"/>
      <c r="V182" s="15"/>
      <c r="W182" s="15"/>
      <c r="X182" s="15"/>
    </row>
    <row r="183" ht="43.5" customHeight="1">
      <c r="O183" s="15"/>
      <c r="P183" s="15"/>
      <c r="Q183" s="15"/>
      <c r="V183" s="15"/>
      <c r="W183" s="15"/>
      <c r="X183" s="15"/>
    </row>
    <row r="184" ht="43.5" customHeight="1">
      <c r="O184" s="15"/>
      <c r="P184" s="15"/>
      <c r="Q184" s="15"/>
      <c r="V184" s="15"/>
      <c r="W184" s="15"/>
      <c r="X184" s="15"/>
    </row>
    <row r="185" ht="43.5" customHeight="1">
      <c r="O185" s="15"/>
      <c r="P185" s="15"/>
      <c r="Q185" s="15"/>
      <c r="V185" s="15"/>
      <c r="W185" s="15"/>
      <c r="X185" s="15"/>
    </row>
    <row r="186" ht="43.5" customHeight="1">
      <c r="O186" s="15"/>
      <c r="P186" s="15"/>
      <c r="Q186" s="15"/>
      <c r="V186" s="15"/>
      <c r="W186" s="15"/>
      <c r="X186" s="15"/>
    </row>
    <row r="187" ht="43.5" customHeight="1">
      <c r="O187" s="15"/>
      <c r="P187" s="15"/>
      <c r="Q187" s="15"/>
      <c r="V187" s="15"/>
      <c r="W187" s="15"/>
      <c r="X187" s="15"/>
    </row>
    <row r="188" ht="43.5" customHeight="1">
      <c r="O188" s="15"/>
      <c r="P188" s="15"/>
      <c r="Q188" s="15"/>
      <c r="V188" s="15"/>
      <c r="W188" s="15"/>
      <c r="X188" s="15"/>
    </row>
    <row r="189" ht="43.5" customHeight="1">
      <c r="O189" s="15"/>
      <c r="P189" s="15"/>
      <c r="Q189" s="15"/>
      <c r="V189" s="15"/>
      <c r="W189" s="15"/>
      <c r="X189" s="15"/>
    </row>
    <row r="190" ht="43.5" customHeight="1">
      <c r="O190" s="15"/>
      <c r="P190" s="15"/>
      <c r="Q190" s="15"/>
      <c r="V190" s="15"/>
      <c r="W190" s="15"/>
      <c r="X190" s="15"/>
    </row>
    <row r="191" ht="43.5" customHeight="1">
      <c r="O191" s="15"/>
      <c r="P191" s="15"/>
      <c r="Q191" s="15"/>
      <c r="V191" s="15"/>
      <c r="W191" s="15"/>
      <c r="X191" s="15"/>
    </row>
    <row r="192" ht="43.5" customHeight="1">
      <c r="O192" s="15"/>
      <c r="P192" s="15"/>
      <c r="Q192" s="15"/>
      <c r="V192" s="15"/>
      <c r="W192" s="15"/>
      <c r="X192" s="15"/>
    </row>
    <row r="193" ht="43.5" customHeight="1">
      <c r="O193" s="15"/>
      <c r="P193" s="15"/>
      <c r="Q193" s="15"/>
      <c r="V193" s="15"/>
      <c r="W193" s="15"/>
      <c r="X193" s="15"/>
    </row>
    <row r="194" ht="43.5" customHeight="1">
      <c r="O194" s="15"/>
      <c r="P194" s="15"/>
      <c r="Q194" s="15"/>
      <c r="V194" s="15"/>
      <c r="W194" s="15"/>
      <c r="X194" s="15"/>
    </row>
    <row r="195" ht="43.5" customHeight="1">
      <c r="O195" s="15"/>
      <c r="P195" s="15"/>
      <c r="Q195" s="15"/>
      <c r="V195" s="15"/>
      <c r="W195" s="15"/>
      <c r="X195" s="15"/>
    </row>
    <row r="196" ht="43.5" customHeight="1">
      <c r="O196" s="15"/>
      <c r="P196" s="15"/>
      <c r="Q196" s="15"/>
      <c r="V196" s="15"/>
      <c r="W196" s="15"/>
      <c r="X196" s="15"/>
    </row>
    <row r="197" ht="43.5" customHeight="1">
      <c r="O197" s="15"/>
      <c r="P197" s="15"/>
      <c r="Q197" s="15"/>
      <c r="V197" s="15"/>
      <c r="W197" s="15"/>
      <c r="X197" s="15"/>
    </row>
    <row r="198" ht="43.5" customHeight="1">
      <c r="O198" s="15"/>
      <c r="P198" s="15"/>
      <c r="Q198" s="15"/>
      <c r="V198" s="15"/>
      <c r="W198" s="15"/>
      <c r="X198" s="15"/>
    </row>
    <row r="199" ht="43.5" customHeight="1">
      <c r="O199" s="15"/>
      <c r="P199" s="15"/>
      <c r="Q199" s="15"/>
      <c r="V199" s="15"/>
      <c r="W199" s="15"/>
      <c r="X199" s="15"/>
    </row>
    <row r="200" ht="43.5" customHeight="1">
      <c r="O200" s="15"/>
      <c r="P200" s="15"/>
      <c r="Q200" s="15"/>
      <c r="V200" s="15"/>
      <c r="W200" s="15"/>
      <c r="X200" s="15"/>
    </row>
    <row r="201" ht="43.5" customHeight="1">
      <c r="O201" s="15"/>
      <c r="P201" s="15"/>
      <c r="Q201" s="15"/>
      <c r="V201" s="15"/>
      <c r="W201" s="15"/>
      <c r="X201" s="15"/>
    </row>
    <row r="202" ht="43.5" customHeight="1">
      <c r="O202" s="15"/>
      <c r="P202" s="15"/>
      <c r="Q202" s="15"/>
      <c r="V202" s="15"/>
      <c r="W202" s="15"/>
      <c r="X202" s="15"/>
    </row>
    <row r="203" ht="43.5" customHeight="1">
      <c r="O203" s="15"/>
      <c r="P203" s="15"/>
      <c r="Q203" s="15"/>
      <c r="V203" s="15"/>
      <c r="W203" s="15"/>
      <c r="X203" s="15"/>
    </row>
    <row r="204" ht="43.5" customHeight="1">
      <c r="O204" s="15"/>
      <c r="P204" s="15"/>
      <c r="Q204" s="15"/>
      <c r="V204" s="15"/>
      <c r="W204" s="15"/>
      <c r="X204" s="15"/>
    </row>
    <row r="205" ht="43.5" customHeight="1">
      <c r="O205" s="15"/>
      <c r="P205" s="15"/>
      <c r="Q205" s="15"/>
      <c r="V205" s="15"/>
      <c r="W205" s="15"/>
      <c r="X205" s="15"/>
    </row>
    <row r="206" ht="43.5" customHeight="1">
      <c r="O206" s="15"/>
      <c r="P206" s="15"/>
      <c r="Q206" s="15"/>
      <c r="V206" s="15"/>
      <c r="W206" s="15"/>
      <c r="X206" s="15"/>
    </row>
    <row r="207" ht="43.5" customHeight="1">
      <c r="O207" s="15"/>
      <c r="P207" s="15"/>
      <c r="Q207" s="15"/>
      <c r="V207" s="15"/>
      <c r="W207" s="15"/>
      <c r="X207" s="15"/>
    </row>
    <row r="208" ht="43.5" customHeight="1">
      <c r="O208" s="15"/>
      <c r="P208" s="15"/>
      <c r="Q208" s="15"/>
      <c r="V208" s="15"/>
      <c r="W208" s="15"/>
      <c r="X208" s="15"/>
    </row>
    <row r="209" ht="43.5" customHeight="1">
      <c r="O209" s="15"/>
      <c r="P209" s="15"/>
      <c r="Q209" s="15"/>
      <c r="V209" s="15"/>
      <c r="W209" s="15"/>
      <c r="X209" s="15"/>
    </row>
    <row r="210" ht="43.5" customHeight="1">
      <c r="O210" s="15"/>
      <c r="P210" s="15"/>
      <c r="Q210" s="15"/>
      <c r="V210" s="15"/>
      <c r="W210" s="15"/>
      <c r="X210" s="15"/>
    </row>
    <row r="211" ht="43.5" customHeight="1">
      <c r="O211" s="15"/>
      <c r="P211" s="15"/>
      <c r="Q211" s="15"/>
      <c r="V211" s="15"/>
      <c r="W211" s="15"/>
      <c r="X211" s="15"/>
    </row>
    <row r="212" ht="43.5" customHeight="1">
      <c r="O212" s="15"/>
      <c r="P212" s="15"/>
      <c r="Q212" s="15"/>
      <c r="V212" s="15"/>
      <c r="W212" s="15"/>
      <c r="X212" s="15"/>
    </row>
    <row r="213" ht="43.5" customHeight="1">
      <c r="O213" s="15"/>
      <c r="P213" s="15"/>
      <c r="Q213" s="15"/>
      <c r="V213" s="15"/>
      <c r="W213" s="15"/>
      <c r="X213" s="15"/>
    </row>
    <row r="214" ht="43.5" customHeight="1">
      <c r="O214" s="15"/>
      <c r="P214" s="15"/>
      <c r="Q214" s="15"/>
      <c r="V214" s="15"/>
      <c r="W214" s="15"/>
      <c r="X214" s="15"/>
    </row>
    <row r="215" ht="43.5" customHeight="1">
      <c r="O215" s="15"/>
      <c r="P215" s="15"/>
      <c r="Q215" s="15"/>
      <c r="V215" s="15"/>
      <c r="W215" s="15"/>
      <c r="X215" s="15"/>
    </row>
    <row r="216" ht="43.5" customHeight="1">
      <c r="O216" s="15"/>
      <c r="P216" s="15"/>
      <c r="Q216" s="15"/>
      <c r="V216" s="15"/>
      <c r="W216" s="15"/>
      <c r="X216" s="15"/>
    </row>
    <row r="217" ht="43.5" customHeight="1">
      <c r="O217" s="15"/>
      <c r="P217" s="15"/>
      <c r="Q217" s="15"/>
      <c r="V217" s="15"/>
      <c r="W217" s="15"/>
      <c r="X217" s="15"/>
    </row>
    <row r="218" ht="43.5" customHeight="1">
      <c r="O218" s="15"/>
      <c r="P218" s="15"/>
      <c r="Q218" s="15"/>
      <c r="V218" s="15"/>
      <c r="W218" s="15"/>
      <c r="X218" s="15"/>
    </row>
    <row r="219" ht="43.5" customHeight="1">
      <c r="O219" s="15"/>
      <c r="P219" s="15"/>
      <c r="Q219" s="15"/>
      <c r="V219" s="15"/>
      <c r="W219" s="15"/>
      <c r="X219" s="15"/>
    </row>
    <row r="220" ht="43.5" customHeight="1">
      <c r="O220" s="15"/>
      <c r="P220" s="15"/>
      <c r="Q220" s="15"/>
      <c r="V220" s="15"/>
      <c r="W220" s="15"/>
      <c r="X220" s="15"/>
    </row>
    <row r="221" ht="43.5" customHeight="1">
      <c r="O221" s="15"/>
      <c r="P221" s="15"/>
      <c r="Q221" s="15"/>
      <c r="V221" s="15"/>
      <c r="W221" s="15"/>
      <c r="X221" s="15"/>
    </row>
    <row r="222" ht="43.5" customHeight="1">
      <c r="O222" s="15"/>
      <c r="P222" s="15"/>
      <c r="Q222" s="15"/>
      <c r="V222" s="15"/>
      <c r="W222" s="15"/>
      <c r="X222" s="15"/>
    </row>
    <row r="223" ht="43.5" customHeight="1">
      <c r="O223" s="15"/>
      <c r="P223" s="15"/>
      <c r="Q223" s="15"/>
      <c r="V223" s="15"/>
      <c r="W223" s="15"/>
      <c r="X223" s="15"/>
    </row>
    <row r="224" ht="43.5" customHeight="1">
      <c r="O224" s="15"/>
      <c r="P224" s="15"/>
      <c r="Q224" s="15"/>
      <c r="V224" s="15"/>
      <c r="W224" s="15"/>
      <c r="X224" s="15"/>
    </row>
    <row r="225" ht="43.5" customHeight="1">
      <c r="O225" s="15"/>
      <c r="P225" s="15"/>
      <c r="Q225" s="15"/>
      <c r="V225" s="15"/>
      <c r="W225" s="15"/>
      <c r="X225" s="15"/>
    </row>
    <row r="226" ht="43.5" customHeight="1">
      <c r="O226" s="15"/>
      <c r="P226" s="15"/>
      <c r="Q226" s="15"/>
      <c r="V226" s="15"/>
      <c r="W226" s="15"/>
      <c r="X226" s="15"/>
    </row>
    <row r="227" ht="43.5" customHeight="1">
      <c r="O227" s="15"/>
      <c r="P227" s="15"/>
      <c r="Q227" s="15"/>
      <c r="V227" s="15"/>
      <c r="W227" s="15"/>
      <c r="X227" s="15"/>
    </row>
    <row r="228" ht="43.5" customHeight="1">
      <c r="O228" s="15"/>
      <c r="P228" s="15"/>
      <c r="Q228" s="15"/>
      <c r="V228" s="15"/>
      <c r="W228" s="15"/>
      <c r="X228" s="15"/>
    </row>
    <row r="229" ht="43.5" customHeight="1">
      <c r="O229" s="15"/>
      <c r="P229" s="15"/>
      <c r="Q229" s="15"/>
      <c r="V229" s="15"/>
      <c r="W229" s="15"/>
      <c r="X229" s="15"/>
    </row>
    <row r="230" ht="43.5" customHeight="1">
      <c r="O230" s="15"/>
      <c r="P230" s="15"/>
      <c r="Q230" s="15"/>
      <c r="V230" s="15"/>
      <c r="W230" s="15"/>
      <c r="X230" s="15"/>
    </row>
    <row r="231" ht="43.5" customHeight="1">
      <c r="O231" s="15"/>
      <c r="P231" s="15"/>
      <c r="Q231" s="15"/>
      <c r="V231" s="15"/>
      <c r="W231" s="15"/>
      <c r="X231" s="15"/>
    </row>
    <row r="232" ht="43.5" customHeight="1">
      <c r="O232" s="15"/>
      <c r="P232" s="15"/>
      <c r="Q232" s="15"/>
      <c r="V232" s="15"/>
      <c r="W232" s="15"/>
      <c r="X232" s="15"/>
    </row>
    <row r="233" ht="43.5" customHeight="1">
      <c r="O233" s="15"/>
      <c r="P233" s="15"/>
      <c r="Q233" s="15"/>
      <c r="V233" s="15"/>
      <c r="W233" s="15"/>
      <c r="X233" s="15"/>
    </row>
    <row r="234" ht="43.5" customHeight="1">
      <c r="O234" s="15"/>
      <c r="P234" s="15"/>
      <c r="Q234" s="15"/>
      <c r="V234" s="15"/>
      <c r="W234" s="15"/>
      <c r="X234" s="15"/>
    </row>
    <row r="235" ht="43.5" customHeight="1">
      <c r="O235" s="15"/>
      <c r="P235" s="15"/>
      <c r="Q235" s="15"/>
      <c r="V235" s="15"/>
      <c r="W235" s="15"/>
      <c r="X235" s="15"/>
    </row>
    <row r="236" ht="43.5" customHeight="1">
      <c r="O236" s="15"/>
      <c r="P236" s="15"/>
      <c r="Q236" s="15"/>
      <c r="V236" s="15"/>
      <c r="W236" s="15"/>
      <c r="X236" s="15"/>
    </row>
    <row r="237" ht="43.5" customHeight="1">
      <c r="O237" s="15"/>
      <c r="P237" s="15"/>
      <c r="Q237" s="15"/>
      <c r="V237" s="15"/>
      <c r="W237" s="15"/>
      <c r="X237" s="15"/>
    </row>
    <row r="238" ht="43.5" customHeight="1">
      <c r="O238" s="15"/>
      <c r="P238" s="15"/>
      <c r="Q238" s="15"/>
      <c r="V238" s="15"/>
      <c r="W238" s="15"/>
      <c r="X238" s="15"/>
    </row>
    <row r="239" ht="43.5" customHeight="1">
      <c r="O239" s="15"/>
      <c r="P239" s="15"/>
      <c r="Q239" s="15"/>
      <c r="V239" s="15"/>
      <c r="W239" s="15"/>
      <c r="X239" s="15"/>
    </row>
    <row r="240" ht="43.5" customHeight="1">
      <c r="O240" s="15"/>
      <c r="P240" s="15"/>
      <c r="Q240" s="15"/>
      <c r="V240" s="15"/>
      <c r="W240" s="15"/>
      <c r="X240" s="15"/>
    </row>
    <row r="241" ht="43.5" customHeight="1">
      <c r="O241" s="15"/>
      <c r="P241" s="15"/>
      <c r="Q241" s="15"/>
      <c r="V241" s="15"/>
      <c r="W241" s="15"/>
      <c r="X241" s="15"/>
    </row>
    <row r="242" ht="43.5" customHeight="1">
      <c r="O242" s="15"/>
      <c r="P242" s="15"/>
      <c r="Q242" s="15"/>
      <c r="V242" s="15"/>
      <c r="W242" s="15"/>
      <c r="X242" s="15"/>
    </row>
    <row r="243" ht="43.5" customHeight="1">
      <c r="O243" s="15"/>
      <c r="P243" s="15"/>
      <c r="Q243" s="15"/>
      <c r="V243" s="15"/>
      <c r="W243" s="15"/>
      <c r="X243" s="15"/>
    </row>
    <row r="244" ht="43.5" customHeight="1">
      <c r="O244" s="15"/>
      <c r="P244" s="15"/>
      <c r="Q244" s="15"/>
      <c r="V244" s="15"/>
      <c r="W244" s="15"/>
      <c r="X244" s="15"/>
    </row>
    <row r="245" ht="43.5" customHeight="1">
      <c r="O245" s="15"/>
      <c r="P245" s="15"/>
      <c r="Q245" s="15"/>
      <c r="V245" s="15"/>
      <c r="W245" s="15"/>
      <c r="X245" s="15"/>
    </row>
    <row r="246" ht="43.5" customHeight="1">
      <c r="O246" s="15"/>
      <c r="P246" s="15"/>
      <c r="Q246" s="15"/>
      <c r="V246" s="15"/>
      <c r="W246" s="15"/>
      <c r="X246" s="15"/>
    </row>
    <row r="247" ht="43.5" customHeight="1">
      <c r="O247" s="15"/>
      <c r="P247" s="15"/>
      <c r="Q247" s="15"/>
      <c r="V247" s="15"/>
      <c r="W247" s="15"/>
      <c r="X247" s="15"/>
    </row>
    <row r="248" ht="43.5" customHeight="1">
      <c r="O248" s="15"/>
      <c r="P248" s="15"/>
      <c r="Q248" s="15"/>
      <c r="V248" s="15"/>
      <c r="W248" s="15"/>
      <c r="X248" s="15"/>
    </row>
    <row r="249" ht="43.5" customHeight="1">
      <c r="O249" s="15"/>
      <c r="P249" s="15"/>
      <c r="Q249" s="15"/>
      <c r="V249" s="15"/>
      <c r="W249" s="15"/>
      <c r="X249" s="15"/>
    </row>
    <row r="250" ht="43.5" customHeight="1">
      <c r="O250" s="15"/>
      <c r="P250" s="15"/>
      <c r="Q250" s="15"/>
      <c r="V250" s="15"/>
      <c r="W250" s="15"/>
      <c r="X250" s="15"/>
    </row>
    <row r="251" ht="43.5" customHeight="1">
      <c r="O251" s="15"/>
      <c r="P251" s="15"/>
      <c r="Q251" s="15"/>
      <c r="V251" s="15"/>
      <c r="W251" s="15"/>
      <c r="X251" s="15"/>
    </row>
    <row r="252" ht="43.5" customHeight="1">
      <c r="O252" s="15"/>
      <c r="P252" s="15"/>
      <c r="Q252" s="15"/>
      <c r="V252" s="15"/>
      <c r="W252" s="15"/>
      <c r="X252" s="15"/>
    </row>
    <row r="253" ht="43.5" customHeight="1">
      <c r="O253" s="15"/>
      <c r="P253" s="15"/>
      <c r="Q253" s="15"/>
      <c r="V253" s="15"/>
      <c r="W253" s="15"/>
      <c r="X253" s="15"/>
    </row>
    <row r="254" ht="43.5" customHeight="1">
      <c r="O254" s="15"/>
      <c r="P254" s="15"/>
      <c r="Q254" s="15"/>
      <c r="V254" s="15"/>
      <c r="W254" s="15"/>
      <c r="X254" s="15"/>
    </row>
    <row r="255" ht="43.5" customHeight="1">
      <c r="O255" s="15"/>
      <c r="P255" s="15"/>
      <c r="Q255" s="15"/>
      <c r="V255" s="15"/>
      <c r="W255" s="15"/>
      <c r="X255" s="15"/>
    </row>
    <row r="256" ht="43.5" customHeight="1">
      <c r="O256" s="15"/>
      <c r="P256" s="15"/>
      <c r="Q256" s="15"/>
      <c r="V256" s="15"/>
      <c r="W256" s="15"/>
      <c r="X256" s="15"/>
    </row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">
    <mergeCell ref="A1:B1"/>
    <mergeCell ref="G2:J2"/>
    <mergeCell ref="K2:N2"/>
    <mergeCell ref="O2:Q2"/>
    <mergeCell ref="R2:U2"/>
    <mergeCell ref="V2:X2"/>
  </mergeCells>
  <conditionalFormatting sqref="D1 D3:D4 D11:D1000">
    <cfRule type="cellIs" dxfId="0" priority="1" operator="lessThan">
      <formula>0.25</formula>
    </cfRule>
  </conditionalFormatting>
  <conditionalFormatting sqref="D1 D3:D4 D11:D1000">
    <cfRule type="cellIs" dxfId="1" priority="2" operator="greaterThan">
      <formula>0.3</formula>
    </cfRule>
  </conditionalFormatting>
  <conditionalFormatting sqref="H4">
    <cfRule type="cellIs" dxfId="0" priority="3" operator="lessThan">
      <formula>0.25</formula>
    </cfRule>
  </conditionalFormatting>
  <conditionalFormatting sqref="H4">
    <cfRule type="cellIs" dxfId="1" priority="4" operator="greaterThan">
      <formula>0.3</formula>
    </cfRule>
  </conditionalFormatting>
  <conditionalFormatting sqref="L4">
    <cfRule type="cellIs" dxfId="0" priority="5" operator="lessThan">
      <formula>0.25</formula>
    </cfRule>
  </conditionalFormatting>
  <conditionalFormatting sqref="L4">
    <cfRule type="cellIs" dxfId="1" priority="6" operator="greaterThan">
      <formula>0.3</formula>
    </cfRule>
  </conditionalFormatting>
  <conditionalFormatting sqref="S4">
    <cfRule type="cellIs" dxfId="0" priority="7" operator="lessThan">
      <formula>0.25</formula>
    </cfRule>
  </conditionalFormatting>
  <conditionalFormatting sqref="S4">
    <cfRule type="cellIs" dxfId="1" priority="8" operator="greaterThan">
      <formula>0.3</formula>
    </cfRule>
  </conditionalFormatting>
  <dataValidations>
    <dataValidation type="list" allowBlank="1" showErrorMessage="1" sqref="B2">
      <formula1>$AO$5:$AO$70</formula1>
    </dataValidation>
    <dataValidation type="list" allowBlank="1" showErrorMessage="1" sqref="AO5:AO70">
      <formula1>$B$2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1.63"/>
    <col customWidth="1" min="13" max="13" width="7.63"/>
    <col customWidth="1" min="14" max="14" width="19.25"/>
    <col customWidth="1" min="15" max="15" width="18.63"/>
  </cols>
  <sheetData>
    <row r="1" ht="14.25" customHeight="1">
      <c r="A1" s="2" t="s">
        <v>0</v>
      </c>
      <c r="L1" s="3"/>
    </row>
    <row r="2" ht="14.25" customHeight="1">
      <c r="A2" s="4" t="str">
        <f>+Summary!B2</f>
        <v>Week Ending 01/25/2026</v>
      </c>
      <c r="L2" s="3"/>
    </row>
    <row r="3" ht="14.25" customHeight="1">
      <c r="A3" s="5" t="s">
        <v>6</v>
      </c>
      <c r="L3" s="3"/>
    </row>
    <row r="4" ht="14.25" customHeight="1">
      <c r="B4" s="8" t="s">
        <v>9</v>
      </c>
      <c r="D4" s="8" t="s">
        <v>14</v>
      </c>
      <c r="F4" s="8" t="s">
        <v>16</v>
      </c>
      <c r="H4" s="8" t="s">
        <v>18</v>
      </c>
      <c r="J4" s="8" t="s">
        <v>6</v>
      </c>
      <c r="L4" s="8" t="s">
        <v>23</v>
      </c>
    </row>
    <row r="5" ht="18.0" customHeight="1">
      <c r="A5" s="9" t="s">
        <v>25</v>
      </c>
      <c r="B5" s="11"/>
      <c r="C5" s="12"/>
      <c r="D5" s="11"/>
      <c r="E5" s="12"/>
      <c r="F5" s="11"/>
      <c r="G5" s="12"/>
      <c r="H5" s="11"/>
      <c r="I5" s="12"/>
      <c r="J5" s="11"/>
      <c r="K5" s="12"/>
      <c r="L5" s="3"/>
    </row>
    <row r="6" ht="16.5" hidden="1" customHeight="1">
      <c r="A6" s="16" t="s">
        <v>32</v>
      </c>
      <c r="B6" s="22" t="str">
        <f t="shared" ref="B6:B16" si="1">INDEX(INDIRECT("'"&amp;B$4&amp;"'!$1:$1048576"),MATCH($A6,INDIRECT("'"&amp;B$4&amp;"'!$A:$A"),0),MATCH($A$2,INDIRECT("'"&amp;B$4&amp;"'!$5:$5"),0))</f>
        <v>#N/A</v>
      </c>
      <c r="C6" s="23" t="str">
        <f>IFERROR(B6/B16, "NA")</f>
        <v>NA</v>
      </c>
      <c r="D6" s="22" t="str">
        <f t="shared" ref="D6:D16" si="2">INDEX(INDIRECT("'"&amp;D$4&amp;"'!$1:$1048576"),MATCH($A6,INDIRECT("'"&amp;D$4&amp;"'!$A:$A"),0),MATCH($A$2,INDIRECT("'"&amp;D$4&amp;"'!$5:$5"),0))</f>
        <v>#N/A</v>
      </c>
      <c r="E6" s="23" t="str">
        <f>IFERROR(D6/D16, "NA")</f>
        <v>NA</v>
      </c>
      <c r="F6" s="22" t="str">
        <f t="shared" ref="F6:F16" si="3">INDEX(INDIRECT("'"&amp;F$4&amp;"'!$1:$1048576"),MATCH($A6,INDIRECT("'"&amp;F$4&amp;"'!$A:$A"),0),MATCH($A$2,INDIRECT("'"&amp;F$4&amp;"'!$5:$5"),0))</f>
        <v>#N/A</v>
      </c>
      <c r="G6" s="23" t="str">
        <f>IFERROR(F6/F16, "NA")</f>
        <v>NA</v>
      </c>
      <c r="H6" s="22" t="str">
        <f t="shared" ref="H6:H16" si="4">INDEX(INDIRECT("'"&amp;H$4&amp;"'!$1:$1048576"),MATCH($A6,INDIRECT("'"&amp;H$4&amp;"'!$A:$A"),0),MATCH($A$2,INDIRECT("'"&amp;H$4&amp;"'!$5:$5"),0))</f>
        <v>#N/A</v>
      </c>
      <c r="I6" s="23" t="str">
        <f>IFERROR(H6/H16, "NA")</f>
        <v>NA</v>
      </c>
      <c r="J6" s="22" t="str">
        <f t="shared" ref="J6:J16" si="5">INDEX(INDIRECT("'"&amp;J$4&amp;"'!$1:$1048576"),MATCH($A6,INDIRECT("'"&amp;J$4&amp;"'!$A:$A"),0),MATCH($A$2,INDIRECT("'"&amp;J$4&amp;"'!$5:$5"),0))</f>
        <v>#N/A</v>
      </c>
      <c r="K6" s="23" t="str">
        <f>IFERROR(J6/J16, "NA")</f>
        <v>NA</v>
      </c>
      <c r="L6" s="22" t="str">
        <f t="shared" ref="L6:L16" si="6">+J6+H6+F6+D6+B6</f>
        <v>#N/A</v>
      </c>
      <c r="M6" s="23" t="str">
        <f>IFERROR(L6/L16, "NA")</f>
        <v>NA</v>
      </c>
      <c r="O6" s="31"/>
    </row>
    <row r="7" ht="16.5" hidden="1" customHeight="1">
      <c r="A7" s="16" t="s">
        <v>39</v>
      </c>
      <c r="B7" s="22" t="str">
        <f t="shared" si="1"/>
        <v>#N/A</v>
      </c>
      <c r="C7" s="23" t="str">
        <f>IFERROR(B7/B16, "NA")</f>
        <v>NA</v>
      </c>
      <c r="D7" s="22" t="str">
        <f t="shared" si="2"/>
        <v>#N/A</v>
      </c>
      <c r="E7" s="23" t="str">
        <f>IFERROR(D7/D16, "NA")</f>
        <v>NA</v>
      </c>
      <c r="F7" s="22" t="str">
        <f t="shared" si="3"/>
        <v>#N/A</v>
      </c>
      <c r="G7" s="23" t="str">
        <f>IFERROR(F7/F16, "NA")</f>
        <v>NA</v>
      </c>
      <c r="H7" s="22" t="str">
        <f t="shared" si="4"/>
        <v>#N/A</v>
      </c>
      <c r="I7" s="23" t="str">
        <f>IFERROR(H7/H16, "NA")</f>
        <v>NA</v>
      </c>
      <c r="J7" s="22" t="str">
        <f t="shared" si="5"/>
        <v>#N/A</v>
      </c>
      <c r="K7" s="23" t="str">
        <f>IFERROR(J7/J16, "NA")</f>
        <v>NA</v>
      </c>
      <c r="L7" s="22" t="str">
        <f t="shared" si="6"/>
        <v>#N/A</v>
      </c>
      <c r="M7" s="23" t="str">
        <f>IFERROR(L7/L16, "NA")</f>
        <v>NA</v>
      </c>
    </row>
    <row r="8" ht="16.5" hidden="1" customHeight="1">
      <c r="A8" s="16" t="s">
        <v>45</v>
      </c>
      <c r="B8" s="22" t="str">
        <f t="shared" si="1"/>
        <v>#N/A</v>
      </c>
      <c r="C8" s="23" t="str">
        <f>IFERROR(B8/B16, "NA")</f>
        <v>NA</v>
      </c>
      <c r="D8" s="22" t="str">
        <f t="shared" si="2"/>
        <v>#N/A</v>
      </c>
      <c r="E8" s="23" t="str">
        <f>IFERROR(D8/D16, "NA")</f>
        <v>NA</v>
      </c>
      <c r="F8" s="22" t="str">
        <f t="shared" si="3"/>
        <v>#N/A</v>
      </c>
      <c r="G8" s="23" t="str">
        <f>IFERROR(F8/F16, "NA")</f>
        <v>NA</v>
      </c>
      <c r="H8" s="22" t="str">
        <f t="shared" si="4"/>
        <v>#N/A</v>
      </c>
      <c r="I8" s="23" t="str">
        <f>IFERROR(H8/H16, "NA")</f>
        <v>NA</v>
      </c>
      <c r="J8" s="22" t="str">
        <f t="shared" si="5"/>
        <v>#N/A</v>
      </c>
      <c r="K8" s="23" t="str">
        <f>IFERROR(J8/J16, "NA")</f>
        <v>NA</v>
      </c>
      <c r="L8" s="22" t="str">
        <f t="shared" si="6"/>
        <v>#N/A</v>
      </c>
      <c r="M8" s="23" t="str">
        <f>IFERROR(L8/L16, "NA")</f>
        <v>NA</v>
      </c>
    </row>
    <row r="9" ht="16.5" hidden="1" customHeight="1">
      <c r="A9" s="16" t="s">
        <v>50</v>
      </c>
      <c r="B9" s="22" t="str">
        <f t="shared" si="1"/>
        <v>#N/A</v>
      </c>
      <c r="C9" s="23" t="str">
        <f>IFERROR(B9/B16, "NA")</f>
        <v>NA</v>
      </c>
      <c r="D9" s="22" t="str">
        <f t="shared" si="2"/>
        <v>#N/A</v>
      </c>
      <c r="E9" s="23" t="str">
        <f>IFERROR(D9/D16, "NA")</f>
        <v>NA</v>
      </c>
      <c r="F9" s="22" t="str">
        <f t="shared" si="3"/>
        <v>#N/A</v>
      </c>
      <c r="G9" s="23" t="str">
        <f>IFERROR(F9/F16, "NA")</f>
        <v>NA</v>
      </c>
      <c r="H9" s="22" t="str">
        <f t="shared" si="4"/>
        <v>#N/A</v>
      </c>
      <c r="I9" s="23" t="str">
        <f>IFERROR(H9/H16, "NA")</f>
        <v>NA</v>
      </c>
      <c r="J9" s="22" t="str">
        <f t="shared" si="5"/>
        <v>#N/A</v>
      </c>
      <c r="K9" s="23" t="str">
        <f>IFERROR(J9/J16, "NA")</f>
        <v>NA</v>
      </c>
      <c r="L9" s="22" t="str">
        <f t="shared" si="6"/>
        <v>#N/A</v>
      </c>
      <c r="M9" s="23" t="str">
        <f>IFERROR(L9/L16, "NA")</f>
        <v>NA</v>
      </c>
    </row>
    <row r="10" ht="16.5" hidden="1" customHeight="1">
      <c r="A10" s="16" t="s">
        <v>58</v>
      </c>
      <c r="B10" s="22" t="str">
        <f t="shared" si="1"/>
        <v>#N/A</v>
      </c>
      <c r="C10" s="23" t="str">
        <f>IFERROR(B10/B16, "NA")</f>
        <v>NA</v>
      </c>
      <c r="D10" s="22" t="str">
        <f t="shared" si="2"/>
        <v>#N/A</v>
      </c>
      <c r="E10" s="23" t="str">
        <f>IFERROR(D10/D16, "NA")</f>
        <v>NA</v>
      </c>
      <c r="F10" s="22" t="str">
        <f t="shared" si="3"/>
        <v>#N/A</v>
      </c>
      <c r="G10" s="23" t="str">
        <f>IFERROR(F10/F16, "NA")</f>
        <v>NA</v>
      </c>
      <c r="H10" s="22" t="str">
        <f t="shared" si="4"/>
        <v>#N/A</v>
      </c>
      <c r="I10" s="23" t="str">
        <f>IFERROR(H10/H16, "NA")</f>
        <v>NA</v>
      </c>
      <c r="J10" s="22" t="str">
        <f t="shared" si="5"/>
        <v>#N/A</v>
      </c>
      <c r="K10" s="23" t="str">
        <f>IFERROR(J10/J16, "NA")</f>
        <v>NA</v>
      </c>
      <c r="L10" s="22" t="str">
        <f t="shared" si="6"/>
        <v>#N/A</v>
      </c>
      <c r="M10" s="23" t="str">
        <f>IFERROR(L10/L16, "NA")</f>
        <v>NA</v>
      </c>
    </row>
    <row r="11" ht="16.5" hidden="1" customHeight="1">
      <c r="A11" s="16" t="s">
        <v>60</v>
      </c>
      <c r="B11" s="22" t="str">
        <f t="shared" si="1"/>
        <v>#N/A</v>
      </c>
      <c r="C11" s="23" t="str">
        <f>IFERROR(B11/B16, "NA")</f>
        <v>NA</v>
      </c>
      <c r="D11" s="22" t="str">
        <f t="shared" si="2"/>
        <v>#N/A</v>
      </c>
      <c r="E11" s="23" t="str">
        <f>IFERROR(D11/D16, "NA")</f>
        <v>NA</v>
      </c>
      <c r="F11" s="22" t="str">
        <f t="shared" si="3"/>
        <v>#N/A</v>
      </c>
      <c r="G11" s="23" t="str">
        <f>IFERROR(F11/F16, "NA")</f>
        <v>NA</v>
      </c>
      <c r="H11" s="22" t="str">
        <f t="shared" si="4"/>
        <v>#N/A</v>
      </c>
      <c r="I11" s="23" t="str">
        <f>IFERROR(H11/H16, "NA")</f>
        <v>NA</v>
      </c>
      <c r="J11" s="22" t="str">
        <f t="shared" si="5"/>
        <v>#N/A</v>
      </c>
      <c r="K11" s="23" t="str">
        <f>IFERROR(J11/J16, "NA")</f>
        <v>NA</v>
      </c>
      <c r="L11" s="22" t="str">
        <f t="shared" si="6"/>
        <v>#N/A</v>
      </c>
      <c r="M11" s="23" t="str">
        <f>IFERROR(L11/L16, "NA")</f>
        <v>NA</v>
      </c>
    </row>
    <row r="12" ht="16.5" hidden="1" customHeight="1">
      <c r="A12" s="16" t="s">
        <v>61</v>
      </c>
      <c r="B12" s="22" t="str">
        <f t="shared" si="1"/>
        <v>#N/A</v>
      </c>
      <c r="C12" s="23" t="str">
        <f>IFERROR(B12/B16, "NA")</f>
        <v>NA</v>
      </c>
      <c r="D12" s="22" t="str">
        <f t="shared" si="2"/>
        <v>#N/A</v>
      </c>
      <c r="E12" s="23" t="str">
        <f>IFERROR(D12/D16, "NA")</f>
        <v>NA</v>
      </c>
      <c r="F12" s="22" t="str">
        <f t="shared" si="3"/>
        <v>#N/A</v>
      </c>
      <c r="G12" s="23" t="str">
        <f>IFERROR(F12/F16, "NA")</f>
        <v>NA</v>
      </c>
      <c r="H12" s="22" t="str">
        <f t="shared" si="4"/>
        <v>#N/A</v>
      </c>
      <c r="I12" s="23" t="str">
        <f>IFERROR(H12/H16, "NA")</f>
        <v>NA</v>
      </c>
      <c r="J12" s="22" t="str">
        <f t="shared" si="5"/>
        <v>#N/A</v>
      </c>
      <c r="K12" s="23" t="str">
        <f>IFERROR(J12/J16, "NA")</f>
        <v>NA</v>
      </c>
      <c r="L12" s="22" t="str">
        <f t="shared" si="6"/>
        <v>#N/A</v>
      </c>
      <c r="M12" s="23" t="str">
        <f>IFERROR(L12/L16, "NA")</f>
        <v>NA</v>
      </c>
    </row>
    <row r="13" ht="16.5" hidden="1" customHeight="1">
      <c r="A13" s="16" t="s">
        <v>62</v>
      </c>
      <c r="B13" s="22" t="str">
        <f t="shared" si="1"/>
        <v>#N/A</v>
      </c>
      <c r="C13" s="23" t="str">
        <f>IFERROR(B13/B16, "NA")</f>
        <v>NA</v>
      </c>
      <c r="D13" s="22" t="str">
        <f t="shared" si="2"/>
        <v>#N/A</v>
      </c>
      <c r="E13" s="23" t="str">
        <f>IFERROR(D13/D16, "NA")</f>
        <v>NA</v>
      </c>
      <c r="F13" s="22" t="str">
        <f t="shared" si="3"/>
        <v>#N/A</v>
      </c>
      <c r="G13" s="23" t="str">
        <f>IFERROR(F13/F16, "NA")</f>
        <v>NA</v>
      </c>
      <c r="H13" s="22" t="str">
        <f t="shared" si="4"/>
        <v>#N/A</v>
      </c>
      <c r="I13" s="23" t="str">
        <f>IFERROR(H13/H16, "NA")</f>
        <v>NA</v>
      </c>
      <c r="J13" s="22" t="str">
        <f t="shared" si="5"/>
        <v>#N/A</v>
      </c>
      <c r="K13" s="23" t="str">
        <f>IFERROR(J13/J16, "NA")</f>
        <v>NA</v>
      </c>
      <c r="L13" s="22" t="str">
        <f t="shared" si="6"/>
        <v>#N/A</v>
      </c>
      <c r="M13" s="23" t="str">
        <f>IFERROR(L13/L16, "NA")</f>
        <v>NA</v>
      </c>
    </row>
    <row r="14" ht="16.5" hidden="1" customHeight="1">
      <c r="A14" s="16" t="s">
        <v>63</v>
      </c>
      <c r="B14" s="22" t="str">
        <f t="shared" si="1"/>
        <v>#N/A</v>
      </c>
      <c r="C14" s="23" t="str">
        <f>IFERROR(B14/B16, "NA")</f>
        <v>NA</v>
      </c>
      <c r="D14" s="22" t="str">
        <f t="shared" si="2"/>
        <v>#N/A</v>
      </c>
      <c r="E14" s="23" t="str">
        <f>IFERROR(D14/D16, "NA")</f>
        <v>NA</v>
      </c>
      <c r="F14" s="22" t="str">
        <f t="shared" si="3"/>
        <v>#N/A</v>
      </c>
      <c r="G14" s="23" t="str">
        <f>IFERROR(F14/F16, "NA")</f>
        <v>NA</v>
      </c>
      <c r="H14" s="22" t="str">
        <f t="shared" si="4"/>
        <v>#N/A</v>
      </c>
      <c r="I14" s="23" t="str">
        <f>IFERROR(H14/H16, "NA")</f>
        <v>NA</v>
      </c>
      <c r="J14" s="22" t="str">
        <f t="shared" si="5"/>
        <v>#N/A</v>
      </c>
      <c r="K14" s="23" t="str">
        <f>IFERROR(J14/J16, "NA")</f>
        <v>NA</v>
      </c>
      <c r="L14" s="22" t="str">
        <f t="shared" si="6"/>
        <v>#N/A</v>
      </c>
      <c r="M14" s="23" t="str">
        <f>IFERROR(L14/L16, "NA")</f>
        <v>NA</v>
      </c>
    </row>
    <row r="15" ht="16.5" hidden="1" customHeight="1">
      <c r="A15" s="16" t="s">
        <v>64</v>
      </c>
      <c r="B15" s="22" t="str">
        <f t="shared" si="1"/>
        <v>#N/A</v>
      </c>
      <c r="C15" s="23" t="str">
        <f>IFERROR(B15/B16, "NA")</f>
        <v>NA</v>
      </c>
      <c r="D15" s="22" t="str">
        <f t="shared" si="2"/>
        <v>#N/A</v>
      </c>
      <c r="E15" s="23" t="str">
        <f>IFERROR(D15/D16, "NA")</f>
        <v>NA</v>
      </c>
      <c r="F15" s="22" t="str">
        <f t="shared" si="3"/>
        <v>#N/A</v>
      </c>
      <c r="G15" s="23" t="str">
        <f>IFERROR(F15/F16, "NA")</f>
        <v>NA</v>
      </c>
      <c r="H15" s="22" t="str">
        <f t="shared" si="4"/>
        <v>#N/A</v>
      </c>
      <c r="I15" s="23" t="str">
        <f>IFERROR(H15/H16, "NA")</f>
        <v>NA</v>
      </c>
      <c r="J15" s="22" t="str">
        <f t="shared" si="5"/>
        <v>#N/A</v>
      </c>
      <c r="K15" s="23" t="str">
        <f>IFERROR(J15/J16, "NA")</f>
        <v>NA</v>
      </c>
      <c r="L15" s="22" t="str">
        <f t="shared" si="6"/>
        <v>#N/A</v>
      </c>
      <c r="M15" s="23" t="str">
        <f>IFERROR(L15/L16, "NA")</f>
        <v>NA</v>
      </c>
    </row>
    <row r="16" ht="16.5" customHeight="1">
      <c r="A16" s="70" t="s">
        <v>54</v>
      </c>
      <c r="B16" s="71">
        <f t="shared" si="1"/>
        <v>20034.79</v>
      </c>
      <c r="C16" s="67">
        <f>IFERROR(B16/B16, "NA")</f>
        <v>1</v>
      </c>
      <c r="D16" s="71">
        <f t="shared" si="2"/>
        <v>39699.41</v>
      </c>
      <c r="E16" s="67">
        <f>IFERROR(D16/D16, "NA")</f>
        <v>1</v>
      </c>
      <c r="F16" s="71">
        <f t="shared" si="3"/>
        <v>16370.43</v>
      </c>
      <c r="G16" s="67">
        <f>IFERROR(F16/F16, "NA")</f>
        <v>1</v>
      </c>
      <c r="H16" s="71">
        <f t="shared" si="4"/>
        <v>17376.74</v>
      </c>
      <c r="I16" s="67">
        <f>IFERROR(H16/H16, "NA")</f>
        <v>1</v>
      </c>
      <c r="J16" s="71">
        <f t="shared" si="5"/>
        <v>22461.46</v>
      </c>
      <c r="K16" s="67">
        <f>IFERROR(J16/J16, "NA")</f>
        <v>1</v>
      </c>
      <c r="L16" s="71">
        <f t="shared" si="6"/>
        <v>115942.83</v>
      </c>
      <c r="M16" s="67">
        <f>IFERROR(L16/L16, "NA")</f>
        <v>1</v>
      </c>
    </row>
    <row r="17" ht="3.75" customHeight="1">
      <c r="A17" s="72"/>
      <c r="B17" s="73"/>
      <c r="C17" s="74"/>
      <c r="D17" s="73"/>
      <c r="E17" s="74"/>
      <c r="F17" s="73"/>
      <c r="G17" s="74"/>
      <c r="H17" s="73"/>
      <c r="I17" s="74"/>
      <c r="J17" s="73"/>
      <c r="K17" s="74"/>
      <c r="L17" s="73"/>
      <c r="M17" s="74"/>
    </row>
    <row r="18" ht="16.5" customHeight="1">
      <c r="A18" s="9" t="s">
        <v>65</v>
      </c>
      <c r="B18" s="11"/>
      <c r="C18" s="12"/>
      <c r="D18" s="11"/>
      <c r="E18" s="12"/>
      <c r="F18" s="11"/>
      <c r="G18" s="12"/>
      <c r="H18" s="11"/>
      <c r="I18" s="12"/>
      <c r="J18" s="11"/>
      <c r="K18" s="12"/>
      <c r="L18" s="11"/>
      <c r="M18" s="12"/>
    </row>
    <row r="19" ht="16.5" customHeight="1">
      <c r="A19" s="9" t="s">
        <v>66</v>
      </c>
      <c r="B19" s="11"/>
      <c r="C19" s="12"/>
      <c r="D19" s="11"/>
      <c r="E19" s="12"/>
      <c r="F19" s="11"/>
      <c r="G19" s="12"/>
      <c r="H19" s="11"/>
      <c r="I19" s="12"/>
      <c r="J19" s="11"/>
      <c r="K19" s="12"/>
      <c r="L19" s="11"/>
      <c r="M19" s="12"/>
    </row>
    <row r="20" ht="16.5" hidden="1" customHeight="1">
      <c r="A20" s="16" t="s">
        <v>67</v>
      </c>
      <c r="B20" s="22"/>
      <c r="C20" s="23"/>
      <c r="D20" s="22"/>
      <c r="E20" s="23"/>
      <c r="F20" s="22"/>
      <c r="G20" s="23"/>
      <c r="H20" s="22"/>
      <c r="I20" s="23"/>
      <c r="J20" s="22"/>
      <c r="K20" s="23"/>
      <c r="L20" s="22"/>
      <c r="M20" s="23"/>
    </row>
    <row r="21" ht="16.5" customHeight="1">
      <c r="A21" s="9" t="s">
        <v>68</v>
      </c>
      <c r="B21" s="11"/>
      <c r="C21" s="12"/>
      <c r="D21" s="11"/>
      <c r="E21" s="12"/>
      <c r="F21" s="11"/>
      <c r="G21" s="12"/>
      <c r="H21" s="11"/>
      <c r="I21" s="12"/>
      <c r="J21" s="11"/>
      <c r="K21" s="12"/>
      <c r="L21" s="11"/>
      <c r="M21" s="12"/>
    </row>
    <row r="22" ht="16.5" hidden="1" customHeight="1">
      <c r="A22" s="16" t="s">
        <v>69</v>
      </c>
      <c r="B22" s="22">
        <f t="shared" ref="B22:B34" si="7">INDEX(INDIRECT("'"&amp;B$4&amp;"'!$1:$1048576"),MATCH($A22,INDIRECT("'"&amp;B$4&amp;"'!$A:$A"),0),MATCH($A$2,INDIRECT("'"&amp;B$4&amp;"'!$5:$5"),0))</f>
        <v>0</v>
      </c>
      <c r="C22" s="23">
        <f>IFERROR(B22/B16, "NA")</f>
        <v>0</v>
      </c>
      <c r="D22" s="22">
        <f t="shared" ref="D22:D34" si="8">INDEX(INDIRECT("'"&amp;D$4&amp;"'!$1:$1048576"),MATCH($A22,INDIRECT("'"&amp;D$4&amp;"'!$A:$A"),0),MATCH($A$2,INDIRECT("'"&amp;D$4&amp;"'!$5:$5"),0))</f>
        <v>0</v>
      </c>
      <c r="E22" s="23">
        <f>IFERROR(D22/D16, "NA")</f>
        <v>0</v>
      </c>
      <c r="F22" s="22">
        <f t="shared" ref="F22:F34" si="9">INDEX(INDIRECT("'"&amp;F$4&amp;"'!$1:$1048576"),MATCH($A22,INDIRECT("'"&amp;F$4&amp;"'!$A:$A"),0),MATCH($A$2,INDIRECT("'"&amp;F$4&amp;"'!$5:$5"),0))</f>
        <v>0</v>
      </c>
      <c r="G22" s="23">
        <f>IFERROR(F22/F16, "NA")</f>
        <v>0</v>
      </c>
      <c r="H22" s="22">
        <f t="shared" ref="H22:H34" si="10">INDEX(INDIRECT("'"&amp;H$4&amp;"'!$1:$1048576"),MATCH($A22,INDIRECT("'"&amp;H$4&amp;"'!$A:$A"),0),MATCH($A$2,INDIRECT("'"&amp;H$4&amp;"'!$5:$5"),0))</f>
        <v>0</v>
      </c>
      <c r="I22" s="23">
        <f>IFERROR(H22/H16, "NA")</f>
        <v>0</v>
      </c>
      <c r="J22" s="22">
        <f t="shared" ref="J22:J34" si="11">INDEX(INDIRECT("'"&amp;J$4&amp;"'!$1:$1048576"),MATCH($A22,INDIRECT("'"&amp;J$4&amp;"'!$A:$A"),0),MATCH($A$2,INDIRECT("'"&amp;J$4&amp;"'!$5:$5"),0))</f>
        <v>0</v>
      </c>
      <c r="K22" s="23">
        <f>IFERROR(J22/J16, "NA")</f>
        <v>0</v>
      </c>
      <c r="L22" s="22"/>
      <c r="M22" s="23">
        <f>IFERROR(L22/L16, "NA")</f>
        <v>0</v>
      </c>
    </row>
    <row r="23" ht="16.5" customHeight="1">
      <c r="A23" s="16" t="s">
        <v>70</v>
      </c>
      <c r="B23" s="22">
        <f t="shared" si="7"/>
        <v>1038.36</v>
      </c>
      <c r="C23" s="23">
        <f>IFERROR(B23/B16, "NA")</f>
        <v>0.05182784546</v>
      </c>
      <c r="D23" s="22">
        <f t="shared" si="8"/>
        <v>1910.6</v>
      </c>
      <c r="E23" s="23">
        <f>IFERROR(D23/D16, "NA")</f>
        <v>0.04812665982</v>
      </c>
      <c r="F23" s="22">
        <f t="shared" si="9"/>
        <v>816.91</v>
      </c>
      <c r="G23" s="23">
        <f>IFERROR(F23/F16, "NA")</f>
        <v>0.04990156031</v>
      </c>
      <c r="H23" s="22">
        <f t="shared" si="10"/>
        <v>691.24</v>
      </c>
      <c r="I23" s="23">
        <f>IFERROR(H23/H16, "NA")</f>
        <v>0.03977961344</v>
      </c>
      <c r="J23" s="22">
        <f t="shared" si="11"/>
        <v>1249.54</v>
      </c>
      <c r="K23" s="23">
        <f>IFERROR(J23/J16, "NA")</f>
        <v>0.0556303998</v>
      </c>
      <c r="L23" s="22">
        <f t="shared" ref="L23:L34" si="12">+J23+H23+F23+D23+B23</f>
        <v>5706.65</v>
      </c>
      <c r="M23" s="23">
        <f>IFERROR(L23/L16, "NA")</f>
        <v>0.0492195162</v>
      </c>
      <c r="N23" s="83"/>
      <c r="O23" s="84"/>
    </row>
    <row r="24" ht="16.5" customHeight="1">
      <c r="A24" s="16" t="s">
        <v>71</v>
      </c>
      <c r="B24" s="22">
        <f t="shared" si="7"/>
        <v>579.79</v>
      </c>
      <c r="C24" s="23">
        <f>IFERROR(B24/B16, "NA")</f>
        <v>0.02893916033</v>
      </c>
      <c r="D24" s="22">
        <f t="shared" si="8"/>
        <v>1091.48</v>
      </c>
      <c r="E24" s="23">
        <f>IFERROR(D24/D16, "NA")</f>
        <v>0.02749360759</v>
      </c>
      <c r="F24" s="22">
        <f t="shared" si="9"/>
        <v>377.75</v>
      </c>
      <c r="G24" s="23">
        <f>IFERROR(F24/F16, "NA")</f>
        <v>0.02307514219</v>
      </c>
      <c r="H24" s="22">
        <f t="shared" si="10"/>
        <v>519.04</v>
      </c>
      <c r="I24" s="23">
        <f>IFERROR(H24/H16, "NA")</f>
        <v>0.02986981448</v>
      </c>
      <c r="J24" s="22">
        <f t="shared" si="11"/>
        <v>765.99</v>
      </c>
      <c r="K24" s="23">
        <f>IFERROR(J24/J16, "NA")</f>
        <v>0.03410241365</v>
      </c>
      <c r="L24" s="22">
        <f t="shared" si="12"/>
        <v>3334.05</v>
      </c>
      <c r="M24" s="23">
        <f>IFERROR(L24/L16, "NA")</f>
        <v>0.02875598258</v>
      </c>
      <c r="N24" s="83"/>
      <c r="O24" s="84"/>
    </row>
    <row r="25" ht="16.5" customHeight="1">
      <c r="A25" s="16" t="s">
        <v>74</v>
      </c>
      <c r="B25" s="22">
        <f t="shared" si="7"/>
        <v>618.5</v>
      </c>
      <c r="C25" s="23">
        <f>IFERROR(B25/B16, "NA")</f>
        <v>0.03087129937</v>
      </c>
      <c r="D25" s="22">
        <f t="shared" si="8"/>
        <v>1062.92</v>
      </c>
      <c r="E25" s="23">
        <f>IFERROR(D25/D16, "NA")</f>
        <v>0.02677420143</v>
      </c>
      <c r="F25" s="22">
        <f t="shared" si="9"/>
        <v>358.18</v>
      </c>
      <c r="G25" s="23">
        <f>IFERROR(F25/F16, "NA")</f>
        <v>0.02187969406</v>
      </c>
      <c r="H25" s="22">
        <f t="shared" si="10"/>
        <v>451.53</v>
      </c>
      <c r="I25" s="23">
        <f>IFERROR(H25/H16, "NA")</f>
        <v>0.02598473592</v>
      </c>
      <c r="J25" s="22">
        <f t="shared" si="11"/>
        <v>752.13</v>
      </c>
      <c r="K25" s="23">
        <f>IFERROR(J25/J16, "NA")</f>
        <v>0.0334853567</v>
      </c>
      <c r="L25" s="22">
        <f t="shared" si="12"/>
        <v>3243.26</v>
      </c>
      <c r="M25" s="23">
        <f>IFERROR(L25/L16, "NA")</f>
        <v>0.02797292424</v>
      </c>
      <c r="N25" s="83"/>
      <c r="O25" s="84"/>
    </row>
    <row r="26" ht="16.5" customHeight="1">
      <c r="A26" s="16" t="s">
        <v>75</v>
      </c>
      <c r="B26" s="22">
        <f t="shared" si="7"/>
        <v>409.97</v>
      </c>
      <c r="C26" s="23">
        <f>IFERROR(B26/B16, "NA")</f>
        <v>0.02046290478</v>
      </c>
      <c r="D26" s="22">
        <f t="shared" si="8"/>
        <v>573.87</v>
      </c>
      <c r="E26" s="23">
        <f>IFERROR(D26/D16, "NA")</f>
        <v>0.01445537856</v>
      </c>
      <c r="F26" s="22">
        <f t="shared" si="9"/>
        <v>387.48</v>
      </c>
      <c r="G26" s="23">
        <f>IFERROR(F26/F16, "NA")</f>
        <v>0.02366950654</v>
      </c>
      <c r="H26" s="22">
        <f t="shared" si="10"/>
        <v>435.55</v>
      </c>
      <c r="I26" s="23">
        <f>IFERROR(H26/H16, "NA")</f>
        <v>0.02506511578</v>
      </c>
      <c r="J26" s="22">
        <f t="shared" si="11"/>
        <v>601.5</v>
      </c>
      <c r="K26" s="23">
        <f>IFERROR(J26/J16, "NA")</f>
        <v>0.02677920313</v>
      </c>
      <c r="L26" s="22">
        <f t="shared" si="12"/>
        <v>2408.37</v>
      </c>
      <c r="M26" s="23">
        <f>IFERROR(L26/L16, "NA")</f>
        <v>0.02077204774</v>
      </c>
      <c r="N26" s="83"/>
      <c r="O26" s="84"/>
    </row>
    <row r="27" ht="16.5" customHeight="1">
      <c r="A27" s="16" t="s">
        <v>76</v>
      </c>
      <c r="B27" s="22">
        <f t="shared" si="7"/>
        <v>231.81</v>
      </c>
      <c r="C27" s="23">
        <f>IFERROR(B27/B16, "NA")</f>
        <v>0.01157037334</v>
      </c>
      <c r="D27" s="22">
        <f t="shared" si="8"/>
        <v>331.07</v>
      </c>
      <c r="E27" s="23">
        <f>IFERROR(D27/D16, "NA")</f>
        <v>0.008339418646</v>
      </c>
      <c r="F27" s="22">
        <f t="shared" si="9"/>
        <v>228.25</v>
      </c>
      <c r="G27" s="23">
        <f>IFERROR(F27/F16, "NA")</f>
        <v>0.01394282252</v>
      </c>
      <c r="H27" s="22">
        <f t="shared" si="10"/>
        <v>202.79</v>
      </c>
      <c r="I27" s="23">
        <f>IFERROR(H27/H16, "NA")</f>
        <v>0.01167019821</v>
      </c>
      <c r="J27" s="22">
        <f t="shared" si="11"/>
        <v>304.34</v>
      </c>
      <c r="K27" s="23">
        <f>IFERROR(J27/J16, "NA")</f>
        <v>0.01354943089</v>
      </c>
      <c r="L27" s="22">
        <f t="shared" si="12"/>
        <v>1298.26</v>
      </c>
      <c r="M27" s="23">
        <f>IFERROR(L27/L16, "NA")</f>
        <v>0.01119741514</v>
      </c>
      <c r="N27" s="83"/>
      <c r="O27" s="84"/>
    </row>
    <row r="28" ht="16.5" customHeight="1">
      <c r="A28" s="16" t="s">
        <v>77</v>
      </c>
      <c r="B28" s="22">
        <f t="shared" si="7"/>
        <v>199.82</v>
      </c>
      <c r="C28" s="88">
        <f>IFERROR(B28/B16, "NA")</f>
        <v>0.009973650834</v>
      </c>
      <c r="D28" s="22">
        <f t="shared" si="8"/>
        <v>488.88</v>
      </c>
      <c r="E28" s="23">
        <f>IFERROR(D28/D16, "NA")</f>
        <v>0.01231454069</v>
      </c>
      <c r="F28" s="22">
        <f t="shared" si="9"/>
        <v>130.39</v>
      </c>
      <c r="G28" s="23">
        <f>IFERROR(F28/F16, "NA")</f>
        <v>0.007964970987</v>
      </c>
      <c r="H28" s="22">
        <f t="shared" si="10"/>
        <v>153.94</v>
      </c>
      <c r="I28" s="23">
        <f>IFERROR(H28/H16, "NA")</f>
        <v>0.008858968944</v>
      </c>
      <c r="J28" s="22">
        <f t="shared" si="11"/>
        <v>195.91</v>
      </c>
      <c r="K28" s="23">
        <f>IFERROR(J28/J16, "NA")</f>
        <v>0.008722051015</v>
      </c>
      <c r="L28" s="22">
        <f t="shared" si="12"/>
        <v>1168.94</v>
      </c>
      <c r="M28" s="23">
        <f>IFERROR(L28/L16, "NA")</f>
        <v>0.01008203785</v>
      </c>
      <c r="N28" s="83"/>
      <c r="O28" s="84"/>
    </row>
    <row r="29" ht="16.5" customHeight="1">
      <c r="A29" s="16" t="s">
        <v>78</v>
      </c>
      <c r="B29" s="22">
        <f t="shared" si="7"/>
        <v>0</v>
      </c>
      <c r="C29" s="23">
        <f>IFERROR(B29/B16, "NA")</f>
        <v>0</v>
      </c>
      <c r="D29" s="22">
        <f t="shared" si="8"/>
        <v>0</v>
      </c>
      <c r="E29" s="23">
        <f>IFERROR(D29/D16, "NA")</f>
        <v>0</v>
      </c>
      <c r="F29" s="22">
        <f t="shared" si="9"/>
        <v>0</v>
      </c>
      <c r="G29" s="23">
        <f>IFERROR(F29/F16, "NA")</f>
        <v>0</v>
      </c>
      <c r="H29" s="22">
        <f t="shared" si="10"/>
        <v>0</v>
      </c>
      <c r="I29" s="23">
        <f>IFERROR(H29/H16, "NA")</f>
        <v>0</v>
      </c>
      <c r="J29" s="22">
        <f t="shared" si="11"/>
        <v>0</v>
      </c>
      <c r="K29" s="23">
        <f>IFERROR(J29/J16, "NA")</f>
        <v>0</v>
      </c>
      <c r="L29" s="22">
        <f t="shared" si="12"/>
        <v>0</v>
      </c>
      <c r="M29" s="23">
        <f>IFERROR(L29/L16, "NA")</f>
        <v>0</v>
      </c>
      <c r="N29" s="83"/>
      <c r="O29" s="84"/>
    </row>
    <row r="30" ht="16.5" customHeight="1">
      <c r="A30" s="16" t="s">
        <v>79</v>
      </c>
      <c r="B30" s="22">
        <f t="shared" si="7"/>
        <v>107.93</v>
      </c>
      <c r="C30" s="23">
        <f>IFERROR(B30/B16, "NA")</f>
        <v>0.005387129089</v>
      </c>
      <c r="D30" s="22">
        <f t="shared" si="8"/>
        <v>46.78</v>
      </c>
      <c r="E30" s="23">
        <f>IFERROR(D30/D16, "NA")</f>
        <v>0.001178355044</v>
      </c>
      <c r="F30" s="22">
        <f t="shared" si="9"/>
        <v>110.85</v>
      </c>
      <c r="G30" s="23">
        <f>IFERROR(F30/F16, "NA")</f>
        <v>0.006771355426</v>
      </c>
      <c r="H30" s="22">
        <f t="shared" si="10"/>
        <v>71.56</v>
      </c>
      <c r="I30" s="23">
        <f>IFERROR(H30/H16, "NA")</f>
        <v>0.004118148744</v>
      </c>
      <c r="J30" s="22">
        <f t="shared" si="11"/>
        <v>205.02</v>
      </c>
      <c r="K30" s="23">
        <f>IFERROR(J30/J16, "NA")</f>
        <v>0.009127634624</v>
      </c>
      <c r="L30" s="22">
        <f t="shared" si="12"/>
        <v>542.14</v>
      </c>
      <c r="M30" s="23">
        <f>IFERROR(L30/L16, "NA")</f>
        <v>0.004675925195</v>
      </c>
      <c r="N30" s="83"/>
      <c r="O30" s="84"/>
    </row>
    <row r="31" ht="16.5" customHeight="1">
      <c r="A31" s="16" t="s">
        <v>80</v>
      </c>
      <c r="B31" s="22">
        <f t="shared" si="7"/>
        <v>1150.01</v>
      </c>
      <c r="C31" s="23">
        <f>IFERROR(B31/B16, "NA")</f>
        <v>0.05740065157</v>
      </c>
      <c r="D31" s="22">
        <f t="shared" si="8"/>
        <v>2283.11</v>
      </c>
      <c r="E31" s="23">
        <f>IFERROR(D31/D16, "NA")</f>
        <v>0.05750992269</v>
      </c>
      <c r="F31" s="22">
        <f t="shared" si="9"/>
        <v>1048.29</v>
      </c>
      <c r="G31" s="23">
        <f>IFERROR(F31/F16, "NA")</f>
        <v>0.06403558123</v>
      </c>
      <c r="H31" s="22">
        <f t="shared" si="10"/>
        <v>1228.48</v>
      </c>
      <c r="I31" s="23">
        <f>IFERROR(H31/H16, "NA")</f>
        <v>0.07069680504</v>
      </c>
      <c r="J31" s="22">
        <f t="shared" si="11"/>
        <v>1833.13</v>
      </c>
      <c r="K31" s="23">
        <f>IFERROR(J31/J16, "NA")</f>
        <v>0.08161223714</v>
      </c>
      <c r="L31" s="22">
        <f t="shared" si="12"/>
        <v>7543.02</v>
      </c>
      <c r="M31" s="23">
        <f>IFERROR(L31/L16, "NA")</f>
        <v>0.06505809803</v>
      </c>
      <c r="N31" s="83"/>
      <c r="O31" s="84"/>
    </row>
    <row r="32" ht="16.5" hidden="1" customHeight="1">
      <c r="A32" s="16" t="s">
        <v>81</v>
      </c>
      <c r="B32" s="22">
        <f t="shared" si="7"/>
        <v>0</v>
      </c>
      <c r="C32" s="23">
        <f>IFERROR(B32/B16, "NA")</f>
        <v>0</v>
      </c>
      <c r="D32" s="22">
        <f t="shared" si="8"/>
        <v>0</v>
      </c>
      <c r="E32" s="23">
        <f>IFERROR(D32/D16, "NA")</f>
        <v>0</v>
      </c>
      <c r="F32" s="22">
        <f t="shared" si="9"/>
        <v>0</v>
      </c>
      <c r="G32" s="23">
        <f>IFERROR(F32/F16, "NA")</f>
        <v>0</v>
      </c>
      <c r="H32" s="22">
        <f t="shared" si="10"/>
        <v>0</v>
      </c>
      <c r="I32" s="23">
        <f>IFERROR(H32/H16, "NA")</f>
        <v>0</v>
      </c>
      <c r="J32" s="22">
        <f t="shared" si="11"/>
        <v>0</v>
      </c>
      <c r="K32" s="23">
        <f>IFERROR(J32/J16, "NA")</f>
        <v>0</v>
      </c>
      <c r="L32" s="22">
        <f t="shared" si="12"/>
        <v>0</v>
      </c>
      <c r="M32" s="23">
        <f>IFERROR(L32/L16, "NA")</f>
        <v>0</v>
      </c>
      <c r="N32" s="83"/>
      <c r="O32" s="84"/>
    </row>
    <row r="33" ht="16.5" customHeight="1">
      <c r="A33" s="16" t="s">
        <v>84</v>
      </c>
      <c r="B33" s="22">
        <f t="shared" si="7"/>
        <v>0</v>
      </c>
      <c r="C33" s="23">
        <f>IFERROR(B33/B16, "NA")</f>
        <v>0</v>
      </c>
      <c r="D33" s="22">
        <f t="shared" si="8"/>
        <v>0</v>
      </c>
      <c r="E33" s="23">
        <f>IFERROR(D33/D16, "NA")</f>
        <v>0</v>
      </c>
      <c r="F33" s="22">
        <f t="shared" si="9"/>
        <v>0</v>
      </c>
      <c r="G33" s="23">
        <f>IFERROR(F33/F16, "NA")</f>
        <v>0</v>
      </c>
      <c r="H33" s="22">
        <f t="shared" si="10"/>
        <v>0</v>
      </c>
      <c r="I33" s="23">
        <f>IFERROR(H33/H16, "NA")</f>
        <v>0</v>
      </c>
      <c r="J33" s="22">
        <f t="shared" si="11"/>
        <v>0</v>
      </c>
      <c r="K33" s="23">
        <f>IFERROR(J33/J16, "NA")</f>
        <v>0</v>
      </c>
      <c r="L33" s="22">
        <f t="shared" si="12"/>
        <v>0</v>
      </c>
      <c r="M33" s="23">
        <f>IFERROR(L33/L16, "NA")</f>
        <v>0</v>
      </c>
      <c r="N33" s="83"/>
      <c r="O33" s="84"/>
    </row>
    <row r="34" ht="16.5" customHeight="1">
      <c r="A34" s="70" t="s">
        <v>85</v>
      </c>
      <c r="B34" s="71">
        <f t="shared" si="7"/>
        <v>4336.19</v>
      </c>
      <c r="C34" s="67">
        <f>IFERROR(B34/B16, "NA")</f>
        <v>0.2164330148</v>
      </c>
      <c r="D34" s="71">
        <f t="shared" si="8"/>
        <v>7788.71</v>
      </c>
      <c r="E34" s="67">
        <f>IFERROR(D34/D16, "NA")</f>
        <v>0.1961920845</v>
      </c>
      <c r="F34" s="71">
        <f t="shared" si="9"/>
        <v>3458.1</v>
      </c>
      <c r="G34" s="67">
        <f>IFERROR(F34/F16, "NA")</f>
        <v>0.2112406333</v>
      </c>
      <c r="H34" s="71">
        <f t="shared" si="10"/>
        <v>3754.13</v>
      </c>
      <c r="I34" s="67">
        <f>IFERROR(H34/H16, "NA")</f>
        <v>0.2160434005</v>
      </c>
      <c r="J34" s="71">
        <f t="shared" si="11"/>
        <v>5907.56</v>
      </c>
      <c r="K34" s="67">
        <f>IFERROR(J34/J16, "NA")</f>
        <v>0.2630087269</v>
      </c>
      <c r="L34" s="71">
        <f t="shared" si="12"/>
        <v>25244.69</v>
      </c>
      <c r="M34" s="67">
        <f>IFERROR(L34/L16, "NA")</f>
        <v>0.217733947</v>
      </c>
      <c r="N34" s="83"/>
      <c r="O34" s="84"/>
    </row>
    <row r="35" ht="16.5" customHeight="1">
      <c r="A35" s="9" t="s">
        <v>86</v>
      </c>
      <c r="B35" s="11"/>
      <c r="C35" s="12"/>
      <c r="D35" s="11"/>
      <c r="E35" s="12"/>
      <c r="F35" s="11"/>
      <c r="G35" s="12"/>
      <c r="H35" s="11"/>
      <c r="I35" s="12"/>
      <c r="J35" s="11"/>
      <c r="K35" s="12"/>
      <c r="L35" s="11"/>
      <c r="M35" s="12"/>
    </row>
    <row r="36" ht="16.5" hidden="1" customHeight="1">
      <c r="A36" s="16" t="s">
        <v>87</v>
      </c>
      <c r="B36" s="22">
        <f t="shared" ref="B36:B42" si="13">INDEX(INDIRECT("'"&amp;B$4&amp;"'!$1:$1048576"),MATCH($A36,INDIRECT("'"&amp;B$4&amp;"'!$A:$A"),0),MATCH($A$2,INDIRECT("'"&amp;B$4&amp;"'!$5:$5"),0))</f>
        <v>0</v>
      </c>
      <c r="C36" s="23">
        <f>IFERROR(B36/B16, "NA")</f>
        <v>0</v>
      </c>
      <c r="D36" s="22">
        <f t="shared" ref="D36:D42" si="14">INDEX(INDIRECT("'"&amp;D$4&amp;"'!$1:$1048576"),MATCH($A36,INDIRECT("'"&amp;D$4&amp;"'!$A:$A"),0),MATCH($A$2,INDIRECT("'"&amp;D$4&amp;"'!$5:$5"),0))</f>
        <v>0</v>
      </c>
      <c r="E36" s="23">
        <f>IFERROR(D36/D16, "NA")</f>
        <v>0</v>
      </c>
      <c r="F36" s="22">
        <f t="shared" ref="F36:F42" si="15">INDEX(INDIRECT("'"&amp;F$4&amp;"'!$1:$1048576"),MATCH($A36,INDIRECT("'"&amp;F$4&amp;"'!$A:$A"),0),MATCH($A$2,INDIRECT("'"&amp;F$4&amp;"'!$5:$5"),0))</f>
        <v>0</v>
      </c>
      <c r="G36" s="23">
        <f>IFERROR(F36/F16, "NA")</f>
        <v>0</v>
      </c>
      <c r="H36" s="22">
        <f t="shared" ref="H36:H42" si="16">INDEX(INDIRECT("'"&amp;H$4&amp;"'!$1:$1048576"),MATCH($A36,INDIRECT("'"&amp;H$4&amp;"'!$A:$A"),0),MATCH($A$2,INDIRECT("'"&amp;H$4&amp;"'!$5:$5"),0))</f>
        <v>0</v>
      </c>
      <c r="I36" s="23">
        <f>IFERROR(H36/H16, "NA")</f>
        <v>0</v>
      </c>
      <c r="J36" s="22">
        <f t="shared" ref="J36:J42" si="17">INDEX(INDIRECT("'"&amp;J$4&amp;"'!$1:$1048576"),MATCH($A36,INDIRECT("'"&amp;J$4&amp;"'!$A:$A"),0),MATCH($A$2,INDIRECT("'"&amp;J$4&amp;"'!$5:$5"),0))</f>
        <v>0</v>
      </c>
      <c r="K36" s="23">
        <f>IFERROR(J36/J16, "NA")</f>
        <v>0</v>
      </c>
      <c r="L36" s="22"/>
      <c r="M36" s="23">
        <f>IFERROR(L36/L16, "NA")</f>
        <v>0</v>
      </c>
    </row>
    <row r="37" ht="16.5" customHeight="1">
      <c r="A37" s="16" t="s">
        <v>88</v>
      </c>
      <c r="B37" s="22">
        <f t="shared" si="13"/>
        <v>278.64</v>
      </c>
      <c r="C37" s="23">
        <f>IFERROR(B37/B16, "NA")</f>
        <v>0.01390780737</v>
      </c>
      <c r="D37" s="22">
        <f t="shared" si="14"/>
        <v>450.47</v>
      </c>
      <c r="E37" s="23">
        <f>IFERROR(D37/D16, "NA")</f>
        <v>0.01134702002</v>
      </c>
      <c r="F37" s="22">
        <f t="shared" si="15"/>
        <v>58.22</v>
      </c>
      <c r="G37" s="23">
        <f>IFERROR(F37/F16, "NA")</f>
        <v>0.003556412385</v>
      </c>
      <c r="H37" s="22">
        <f t="shared" si="16"/>
        <v>337.44</v>
      </c>
      <c r="I37" s="23">
        <f>IFERROR(H37/H16, "NA")</f>
        <v>0.01941906249</v>
      </c>
      <c r="J37" s="22">
        <f t="shared" si="17"/>
        <v>309.21</v>
      </c>
      <c r="K37" s="23">
        <f>IFERROR(J37/J16, "NA")</f>
        <v>0.01376624672</v>
      </c>
      <c r="L37" s="22">
        <f t="shared" ref="L37:L42" si="18">+J37+H37+F37+D37+B37</f>
        <v>1433.98</v>
      </c>
      <c r="M37" s="23">
        <f>IFERROR(L37/L16, "NA")</f>
        <v>0.01236799205</v>
      </c>
    </row>
    <row r="38" ht="16.5" customHeight="1">
      <c r="A38" s="16" t="s">
        <v>89</v>
      </c>
      <c r="B38" s="22">
        <f t="shared" si="13"/>
        <v>19.39</v>
      </c>
      <c r="C38" s="23">
        <f>IFERROR(B38/B16, "NA")</f>
        <v>0.0009678164832</v>
      </c>
      <c r="D38" s="22">
        <f t="shared" si="14"/>
        <v>13.77</v>
      </c>
      <c r="E38" s="23">
        <f>IFERROR(D38/D16, "NA")</f>
        <v>0.0003468565402</v>
      </c>
      <c r="F38" s="22">
        <f t="shared" si="15"/>
        <v>5.64</v>
      </c>
      <c r="G38" s="23">
        <f>IFERROR(F38/F16, "NA")</f>
        <v>0.0003445236319</v>
      </c>
      <c r="H38" s="22">
        <f t="shared" si="16"/>
        <v>12.18</v>
      </c>
      <c r="I38" s="23">
        <f>IFERROR(H38/H16, "NA")</f>
        <v>0.0007009369997</v>
      </c>
      <c r="J38" s="22">
        <f t="shared" si="17"/>
        <v>8.3</v>
      </c>
      <c r="K38" s="23">
        <f>IFERROR(J38/J16, "NA")</f>
        <v>0.0003695218387</v>
      </c>
      <c r="L38" s="22">
        <f t="shared" si="18"/>
        <v>59.28</v>
      </c>
      <c r="M38" s="23">
        <f>IFERROR(L38/L16, "NA")</f>
        <v>0.0005112864676</v>
      </c>
    </row>
    <row r="39" ht="16.5" customHeight="1">
      <c r="A39" s="16" t="s">
        <v>90</v>
      </c>
      <c r="B39" s="22">
        <f t="shared" si="13"/>
        <v>0</v>
      </c>
      <c r="C39" s="23">
        <f>IFERROR(B39/B16, "NA")</f>
        <v>0</v>
      </c>
      <c r="D39" s="22">
        <f t="shared" si="14"/>
        <v>0.8</v>
      </c>
      <c r="E39" s="23">
        <f>IFERROR(D39/D16, "NA")</f>
        <v>0.00002015143298</v>
      </c>
      <c r="F39" s="22">
        <f t="shared" si="15"/>
        <v>0</v>
      </c>
      <c r="G39" s="23">
        <f>IFERROR(F39/F16, "NA")</f>
        <v>0</v>
      </c>
      <c r="H39" s="22">
        <f t="shared" si="16"/>
        <v>29.9</v>
      </c>
      <c r="I39" s="23">
        <f>IFERROR(H39/H16, "NA")</f>
        <v>0.001720690993</v>
      </c>
      <c r="J39" s="22">
        <f t="shared" si="17"/>
        <v>0</v>
      </c>
      <c r="K39" s="23">
        <f>IFERROR(J39/J16, "NA")</f>
        <v>0</v>
      </c>
      <c r="L39" s="22">
        <f t="shared" si="18"/>
        <v>30.7</v>
      </c>
      <c r="M39" s="23">
        <f>IFERROR(L39/L16, "NA")</f>
        <v>0.0002647856707</v>
      </c>
    </row>
    <row r="40" ht="16.5" customHeight="1">
      <c r="A40" s="16" t="s">
        <v>91</v>
      </c>
      <c r="B40" s="22">
        <f t="shared" si="13"/>
        <v>24.71</v>
      </c>
      <c r="C40" s="23">
        <f>IFERROR(B40/B16, "NA")</f>
        <v>0.00123335458</v>
      </c>
      <c r="D40" s="22">
        <f t="shared" si="14"/>
        <v>-11.7</v>
      </c>
      <c r="E40" s="23">
        <f>IFERROR(D40/D16, "NA")</f>
        <v>-0.0002947147073</v>
      </c>
      <c r="F40" s="22">
        <f t="shared" si="15"/>
        <v>6.99</v>
      </c>
      <c r="G40" s="23">
        <f>IFERROR(F40/F16, "NA")</f>
        <v>0.0004269893949</v>
      </c>
      <c r="H40" s="22">
        <f t="shared" si="16"/>
        <v>14.36</v>
      </c>
      <c r="I40" s="23">
        <f>IFERROR(H40/H16, "NA")</f>
        <v>0.000826392062</v>
      </c>
      <c r="J40" s="22">
        <f t="shared" si="17"/>
        <v>5.92</v>
      </c>
      <c r="K40" s="23">
        <f>IFERROR(J40/J16, "NA")</f>
        <v>0.0002635625645</v>
      </c>
      <c r="L40" s="22">
        <f t="shared" si="18"/>
        <v>40.28</v>
      </c>
      <c r="M40" s="23">
        <f>IFERROR(L40/L16, "NA")</f>
        <v>0.0003474125998</v>
      </c>
    </row>
    <row r="41" ht="16.5" customHeight="1">
      <c r="A41" s="70" t="s">
        <v>94</v>
      </c>
      <c r="B41" s="71">
        <f t="shared" si="13"/>
        <v>322.74</v>
      </c>
      <c r="C41" s="67">
        <f>IFERROR(B41/B16, "NA")</f>
        <v>0.01610897843</v>
      </c>
      <c r="D41" s="71">
        <f t="shared" si="14"/>
        <v>453.34</v>
      </c>
      <c r="E41" s="67">
        <f>IFERROR(D41/D16, "NA")</f>
        <v>0.01141931328</v>
      </c>
      <c r="F41" s="71">
        <f t="shared" si="15"/>
        <v>70.85</v>
      </c>
      <c r="G41" s="67">
        <f>IFERROR(F41/F16, "NA")</f>
        <v>0.004327925412</v>
      </c>
      <c r="H41" s="71">
        <f t="shared" si="16"/>
        <v>393.88</v>
      </c>
      <c r="I41" s="67">
        <f>IFERROR(H41/H16, "NA")</f>
        <v>0.02266708255</v>
      </c>
      <c r="J41" s="71">
        <f t="shared" si="17"/>
        <v>323.43</v>
      </c>
      <c r="K41" s="67">
        <f>IFERROR(J41/J16, "NA")</f>
        <v>0.01439933112</v>
      </c>
      <c r="L41" s="71">
        <f t="shared" si="18"/>
        <v>1564.24</v>
      </c>
      <c r="M41" s="67">
        <f>IFERROR(L41/L16, "NA")</f>
        <v>0.01349147679</v>
      </c>
    </row>
    <row r="42" ht="16.5" customHeight="1">
      <c r="A42" s="70" t="s">
        <v>95</v>
      </c>
      <c r="B42" s="71">
        <f t="shared" si="13"/>
        <v>4658.93</v>
      </c>
      <c r="C42" s="67">
        <f>IFERROR(B42/B16, "NA")</f>
        <v>0.2325419932</v>
      </c>
      <c r="D42" s="71">
        <f t="shared" si="14"/>
        <v>8242.05</v>
      </c>
      <c r="E42" s="67">
        <f>IFERROR(D42/D16, "NA")</f>
        <v>0.2076113978</v>
      </c>
      <c r="F42" s="71">
        <f t="shared" si="15"/>
        <v>3528.95</v>
      </c>
      <c r="G42" s="67">
        <f>IFERROR(F42/F16, "NA")</f>
        <v>0.2155685587</v>
      </c>
      <c r="H42" s="71">
        <f t="shared" si="16"/>
        <v>4148.01</v>
      </c>
      <c r="I42" s="67">
        <f>IFERROR(H42/H16, "NA")</f>
        <v>0.2387104831</v>
      </c>
      <c r="J42" s="71">
        <f t="shared" si="17"/>
        <v>6230.99</v>
      </c>
      <c r="K42" s="67">
        <f>IFERROR(J42/J16, "NA")</f>
        <v>0.2774080581</v>
      </c>
      <c r="L42" s="71">
        <f t="shared" si="18"/>
        <v>26808.93</v>
      </c>
      <c r="M42" s="67">
        <f>IFERROR(L42/L16, "NA")</f>
        <v>0.2312254238</v>
      </c>
    </row>
    <row r="43" ht="16.5" customHeight="1">
      <c r="A43" s="9" t="s">
        <v>96</v>
      </c>
      <c r="B43" s="11"/>
      <c r="C43" s="12"/>
      <c r="D43" s="11"/>
      <c r="E43" s="12"/>
      <c r="F43" s="11"/>
      <c r="G43" s="12"/>
      <c r="H43" s="11"/>
      <c r="I43" s="12"/>
      <c r="J43" s="11"/>
      <c r="K43" s="12"/>
      <c r="L43" s="11"/>
      <c r="M43" s="12"/>
    </row>
    <row r="44" ht="16.5" hidden="1" customHeight="1">
      <c r="A44" s="16" t="s">
        <v>97</v>
      </c>
      <c r="B44" s="22"/>
      <c r="C44" s="23"/>
      <c r="D44" s="22"/>
      <c r="E44" s="23"/>
      <c r="F44" s="22"/>
      <c r="G44" s="23"/>
      <c r="H44" s="22"/>
      <c r="I44" s="23"/>
      <c r="J44" s="22"/>
      <c r="K44" s="23"/>
      <c r="L44" s="22"/>
      <c r="M44" s="23"/>
    </row>
    <row r="45" ht="16.5" customHeight="1">
      <c r="A45" s="9" t="s">
        <v>98</v>
      </c>
      <c r="B45" s="11"/>
      <c r="C45" s="12"/>
      <c r="D45" s="11"/>
      <c r="E45" s="12"/>
      <c r="F45" s="11"/>
      <c r="G45" s="12"/>
      <c r="H45" s="11"/>
      <c r="I45" s="12"/>
      <c r="J45" s="11"/>
      <c r="K45" s="12"/>
      <c r="L45" s="11"/>
      <c r="M45" s="12"/>
    </row>
    <row r="46" ht="16.5" hidden="1" customHeight="1">
      <c r="A46" s="16" t="s">
        <v>99</v>
      </c>
      <c r="B46" s="22">
        <f t="shared" ref="B46:B51" si="19">INDEX(INDIRECT("'"&amp;B$4&amp;"'!$1:$1048576"),MATCH($A46,INDIRECT("'"&amp;B$4&amp;"'!$A:$A"),0),MATCH($A$2,INDIRECT("'"&amp;B$4&amp;"'!$5:$5"),0))</f>
        <v>0</v>
      </c>
      <c r="C46" s="23">
        <f>IFERROR(B46/B16, "NA")</f>
        <v>0</v>
      </c>
      <c r="D46" s="22">
        <f t="shared" ref="D46:D51" si="20">INDEX(INDIRECT("'"&amp;D$4&amp;"'!$1:$1048576"),MATCH($A46,INDIRECT("'"&amp;D$4&amp;"'!$A:$A"),0),MATCH($A$2,INDIRECT("'"&amp;D$4&amp;"'!$5:$5"),0))</f>
        <v>0</v>
      </c>
      <c r="E46" s="23">
        <f>IFERROR(D46/D16, "NA")</f>
        <v>0</v>
      </c>
      <c r="F46" s="22">
        <f t="shared" ref="F46:F51" si="21">INDEX(INDIRECT("'"&amp;F$4&amp;"'!$1:$1048576"),MATCH($A46,INDIRECT("'"&amp;F$4&amp;"'!$A:$A"),0),MATCH($A$2,INDIRECT("'"&amp;F$4&amp;"'!$5:$5"),0))</f>
        <v>0</v>
      </c>
      <c r="G46" s="23">
        <f>IFERROR(F46/F16, "NA")</f>
        <v>0</v>
      </c>
      <c r="H46" s="22">
        <f t="shared" ref="H46:H51" si="22">INDEX(INDIRECT("'"&amp;H$4&amp;"'!$1:$1048576"),MATCH($A46,INDIRECT("'"&amp;H$4&amp;"'!$A:$A"),0),MATCH($A$2,INDIRECT("'"&amp;H$4&amp;"'!$5:$5"),0))</f>
        <v>0</v>
      </c>
      <c r="I46" s="23">
        <f>IFERROR(H46/H16, "NA")</f>
        <v>0</v>
      </c>
      <c r="J46" s="22">
        <f t="shared" ref="J46:J51" si="23">INDEX(INDIRECT("'"&amp;J$4&amp;"'!$1:$1048576"),MATCH($A46,INDIRECT("'"&amp;J$4&amp;"'!$A:$A"),0),MATCH($A$2,INDIRECT("'"&amp;J$4&amp;"'!$5:$5"),0))</f>
        <v>0</v>
      </c>
      <c r="K46" s="23">
        <f>IFERROR(J46/J16, "NA")</f>
        <v>0</v>
      </c>
      <c r="L46" s="22"/>
      <c r="M46" s="23">
        <f>IFERROR(L46/L16, "NA")</f>
        <v>0</v>
      </c>
    </row>
    <row r="47" ht="16.5" customHeight="1">
      <c r="A47" s="16" t="s">
        <v>100</v>
      </c>
      <c r="B47" s="22">
        <f t="shared" si="19"/>
        <v>502.4</v>
      </c>
      <c r="C47" s="23">
        <f>IFERROR(B47/B16, "NA")</f>
        <v>0.02507637964</v>
      </c>
      <c r="D47" s="22">
        <f t="shared" si="20"/>
        <v>1217.14</v>
      </c>
      <c r="E47" s="23">
        <f>IFERROR(D47/D16, "NA")</f>
        <v>0.03065889392</v>
      </c>
      <c r="F47" s="22">
        <f t="shared" si="21"/>
        <v>563.77</v>
      </c>
      <c r="G47" s="23">
        <f>IFERROR(F47/F16, "NA")</f>
        <v>0.03443831347</v>
      </c>
      <c r="H47" s="22">
        <f t="shared" si="22"/>
        <v>541.15</v>
      </c>
      <c r="I47" s="23">
        <f>IFERROR(H47/H16, "NA")</f>
        <v>0.03114220504</v>
      </c>
      <c r="J47" s="22">
        <f t="shared" si="23"/>
        <v>671.66</v>
      </c>
      <c r="K47" s="23">
        <f>IFERROR(J47/J16, "NA")</f>
        <v>0.02990277569</v>
      </c>
      <c r="L47" s="22">
        <f t="shared" ref="L47:L48" si="24">+J47+H47+F47+D47+B47</f>
        <v>3496.12</v>
      </c>
      <c r="M47" s="23">
        <f>IFERROR(L47/L16, "NA")</f>
        <v>0.03015382667</v>
      </c>
    </row>
    <row r="48" ht="16.5" customHeight="1">
      <c r="A48" s="16" t="s">
        <v>101</v>
      </c>
      <c r="B48" s="22">
        <f t="shared" si="19"/>
        <v>461.92</v>
      </c>
      <c r="C48" s="23">
        <f>IFERROR(B48/B16, "NA")</f>
        <v>0.02305589427</v>
      </c>
      <c r="D48" s="22">
        <f t="shared" si="20"/>
        <v>407.25</v>
      </c>
      <c r="E48" s="23">
        <f>IFERROR(D48/D16, "NA")</f>
        <v>0.01025833885</v>
      </c>
      <c r="F48" s="22">
        <f t="shared" si="21"/>
        <v>180.11</v>
      </c>
      <c r="G48" s="23">
        <f>IFERROR(F48/F16, "NA")</f>
        <v>0.01100215449</v>
      </c>
      <c r="H48" s="22">
        <f t="shared" si="22"/>
        <v>284.74</v>
      </c>
      <c r="I48" s="23">
        <f>IFERROR(H48/H16, "NA")</f>
        <v>0.01638627268</v>
      </c>
      <c r="J48" s="22">
        <f t="shared" si="23"/>
        <v>311.66</v>
      </c>
      <c r="K48" s="23">
        <f>IFERROR(J48/J16, "NA")</f>
        <v>0.01387532244</v>
      </c>
      <c r="L48" s="22">
        <f t="shared" si="24"/>
        <v>1645.68</v>
      </c>
      <c r="M48" s="23">
        <f>IFERROR(L48/L16, "NA")</f>
        <v>0.01419389194</v>
      </c>
    </row>
    <row r="49" ht="16.5" hidden="1" customHeight="1">
      <c r="A49" s="16" t="s">
        <v>102</v>
      </c>
      <c r="B49" s="22">
        <f t="shared" si="19"/>
        <v>0</v>
      </c>
      <c r="C49" s="23">
        <f>IFERROR(B49/B16, "NA")</f>
        <v>0</v>
      </c>
      <c r="D49" s="22">
        <f t="shared" si="20"/>
        <v>0</v>
      </c>
      <c r="E49" s="23">
        <f>IFERROR(D49/D16, "NA")</f>
        <v>0</v>
      </c>
      <c r="F49" s="22">
        <f t="shared" si="21"/>
        <v>0</v>
      </c>
      <c r="G49" s="23">
        <f>IFERROR(F49/F16, "NA")</f>
        <v>0</v>
      </c>
      <c r="H49" s="22">
        <f t="shared" si="22"/>
        <v>0</v>
      </c>
      <c r="I49" s="23">
        <f>IFERROR(H49/H16, "NA")</f>
        <v>0</v>
      </c>
      <c r="J49" s="22">
        <f t="shared" si="23"/>
        <v>0</v>
      </c>
      <c r="K49" s="23">
        <f>IFERROR(J49/J16, "NA")</f>
        <v>0</v>
      </c>
      <c r="L49" s="22"/>
      <c r="M49" s="23">
        <f>IFERROR(L49/L16, "NA")</f>
        <v>0</v>
      </c>
    </row>
    <row r="50" ht="16.5" hidden="1" customHeight="1">
      <c r="A50" s="16" t="s">
        <v>103</v>
      </c>
      <c r="B50" s="22">
        <f t="shared" si="19"/>
        <v>0</v>
      </c>
      <c r="C50" s="23">
        <f>IFERROR(B50/B16, "NA")</f>
        <v>0</v>
      </c>
      <c r="D50" s="22">
        <f t="shared" si="20"/>
        <v>0</v>
      </c>
      <c r="E50" s="23">
        <f>IFERROR(D50/D16, "NA")</f>
        <v>0</v>
      </c>
      <c r="F50" s="22">
        <f t="shared" si="21"/>
        <v>0</v>
      </c>
      <c r="G50" s="23">
        <f>IFERROR(F50/F16, "NA")</f>
        <v>0</v>
      </c>
      <c r="H50" s="22">
        <f t="shared" si="22"/>
        <v>0</v>
      </c>
      <c r="I50" s="23">
        <f>IFERROR(H50/H16, "NA")</f>
        <v>0</v>
      </c>
      <c r="J50" s="22">
        <f t="shared" si="23"/>
        <v>0</v>
      </c>
      <c r="K50" s="23">
        <f>IFERROR(J50/J16, "NA")</f>
        <v>0</v>
      </c>
      <c r="L50" s="22"/>
      <c r="M50" s="23">
        <f>IFERROR(L50/L16, "NA")</f>
        <v>0</v>
      </c>
    </row>
    <row r="51" ht="16.5" customHeight="1">
      <c r="A51" s="70" t="s">
        <v>105</v>
      </c>
      <c r="B51" s="71">
        <f t="shared" si="19"/>
        <v>964.32</v>
      </c>
      <c r="C51" s="67">
        <f>IFERROR(B51/B16, "NA")</f>
        <v>0.04813227391</v>
      </c>
      <c r="D51" s="71">
        <f t="shared" si="20"/>
        <v>1624.39</v>
      </c>
      <c r="E51" s="67">
        <f>IFERROR(D51/D16, "NA")</f>
        <v>0.04091723277</v>
      </c>
      <c r="F51" s="71">
        <f t="shared" si="21"/>
        <v>743.88</v>
      </c>
      <c r="G51" s="67">
        <f>IFERROR(F51/F16, "NA")</f>
        <v>0.04544046797</v>
      </c>
      <c r="H51" s="71">
        <f t="shared" si="22"/>
        <v>825.89</v>
      </c>
      <c r="I51" s="67">
        <f>IFERROR(H51/H16, "NA")</f>
        <v>0.04752847772</v>
      </c>
      <c r="J51" s="71">
        <f t="shared" si="23"/>
        <v>983.32</v>
      </c>
      <c r="K51" s="67">
        <f>IFERROR(J51/J16, "NA")</f>
        <v>0.04377809813</v>
      </c>
      <c r="L51" s="71">
        <f>+J51+H51+F51+D51+B51</f>
        <v>5141.8</v>
      </c>
      <c r="M51" s="67">
        <f>IFERROR(L51/L16, "NA")</f>
        <v>0.04434771861</v>
      </c>
    </row>
    <row r="52" ht="16.5" customHeight="1">
      <c r="A52" s="9" t="s">
        <v>106</v>
      </c>
      <c r="B52" s="11"/>
      <c r="C52" s="12"/>
      <c r="D52" s="11"/>
      <c r="E52" s="12"/>
      <c r="F52" s="11"/>
      <c r="G52" s="12"/>
      <c r="H52" s="11"/>
      <c r="I52" s="12"/>
      <c r="J52" s="11"/>
      <c r="K52" s="12"/>
      <c r="L52" s="11"/>
      <c r="M52" s="12"/>
    </row>
    <row r="53" ht="16.5" hidden="1" customHeight="1">
      <c r="A53" s="16" t="s">
        <v>107</v>
      </c>
      <c r="B53" s="22">
        <f t="shared" ref="B53:B64" si="25">INDEX(INDIRECT("'"&amp;B$4&amp;"'!$1:$1048576"),MATCH($A53,INDIRECT("'"&amp;B$4&amp;"'!$A:$A"),0),MATCH($A$2,INDIRECT("'"&amp;B$4&amp;"'!$5:$5"),0))</f>
        <v>0</v>
      </c>
      <c r="C53" s="23">
        <f>IFERROR(B53/B16, "NA")</f>
        <v>0</v>
      </c>
      <c r="D53" s="22">
        <f t="shared" ref="D53:D64" si="26">INDEX(INDIRECT("'"&amp;D$4&amp;"'!$1:$1048576"),MATCH($A53,INDIRECT("'"&amp;D$4&amp;"'!$A:$A"),0),MATCH($A$2,INDIRECT("'"&amp;D$4&amp;"'!$5:$5"),0))</f>
        <v>0</v>
      </c>
      <c r="E53" s="23">
        <f>IFERROR(D53/D16, "NA")</f>
        <v>0</v>
      </c>
      <c r="F53" s="22">
        <f t="shared" ref="F53:F64" si="27">INDEX(INDIRECT("'"&amp;F$4&amp;"'!$1:$1048576"),MATCH($A53,INDIRECT("'"&amp;F$4&amp;"'!$A:$A"),0),MATCH($A$2,INDIRECT("'"&amp;F$4&amp;"'!$5:$5"),0))</f>
        <v>0</v>
      </c>
      <c r="G53" s="23">
        <f>IFERROR(F53/F16, "NA")</f>
        <v>0</v>
      </c>
      <c r="H53" s="22">
        <f t="shared" ref="H53:H64" si="28">INDEX(INDIRECT("'"&amp;H$4&amp;"'!$1:$1048576"),MATCH($A53,INDIRECT("'"&amp;H$4&amp;"'!$A:$A"),0),MATCH($A$2,INDIRECT("'"&amp;H$4&amp;"'!$5:$5"),0))</f>
        <v>0</v>
      </c>
      <c r="I53" s="23">
        <f>IFERROR(H53/H16, "NA")</f>
        <v>0</v>
      </c>
      <c r="J53" s="22">
        <f t="shared" ref="J53:J64" si="29">INDEX(INDIRECT("'"&amp;J$4&amp;"'!$1:$1048576"),MATCH($A53,INDIRECT("'"&amp;J$4&amp;"'!$A:$A"),0),MATCH($A$2,INDIRECT("'"&amp;J$4&amp;"'!$5:$5"),0))</f>
        <v>0</v>
      </c>
      <c r="K53" s="23">
        <f>IFERROR(J53/J16, "NA")</f>
        <v>0</v>
      </c>
      <c r="L53" s="22"/>
      <c r="M53" s="23">
        <f>IFERROR(L53/L16, "NA")</f>
        <v>0</v>
      </c>
    </row>
    <row r="54" ht="16.5" customHeight="1">
      <c r="A54" s="16" t="s">
        <v>108</v>
      </c>
      <c r="B54" s="22">
        <f t="shared" si="25"/>
        <v>82.17</v>
      </c>
      <c r="C54" s="23">
        <f>IFERROR(B54/B16, "NA")</f>
        <v>0.004101365674</v>
      </c>
      <c r="D54" s="22">
        <f t="shared" si="26"/>
        <v>49.37</v>
      </c>
      <c r="E54" s="23">
        <f>IFERROR(D54/D16, "NA")</f>
        <v>0.001243595308</v>
      </c>
      <c r="F54" s="11">
        <f t="shared" si="27"/>
        <v>37.2</v>
      </c>
      <c r="G54" s="67">
        <f>IFERROR(F54/F16, "NA")</f>
        <v>0.002272389913</v>
      </c>
      <c r="H54" s="22">
        <f t="shared" si="28"/>
        <v>35.47</v>
      </c>
      <c r="I54" s="23">
        <f>IFERROR(H54/H16, "NA")</f>
        <v>0.002041234432</v>
      </c>
      <c r="J54" s="22">
        <f t="shared" si="29"/>
        <v>10.38</v>
      </c>
      <c r="K54" s="23">
        <f>IFERROR(J54/J16, "NA")</f>
        <v>0.0004621249019</v>
      </c>
      <c r="L54" s="22">
        <f t="shared" ref="L54:L64" si="30">+J54+H54+F54+D54+B54</f>
        <v>214.59</v>
      </c>
      <c r="M54" s="23">
        <f>IFERROR(L54/L16, "NA")</f>
        <v>0.001850825963</v>
      </c>
    </row>
    <row r="55" ht="16.5" hidden="1" customHeight="1">
      <c r="A55" s="16" t="s">
        <v>109</v>
      </c>
      <c r="B55" s="22">
        <f t="shared" si="25"/>
        <v>0</v>
      </c>
      <c r="C55" s="23">
        <f>IFERROR(B55/B16, "NA")</f>
        <v>0</v>
      </c>
      <c r="D55" s="22">
        <f t="shared" si="26"/>
        <v>0</v>
      </c>
      <c r="E55" s="23">
        <f>IFERROR(D55/D16, "NA")</f>
        <v>0</v>
      </c>
      <c r="F55" s="22">
        <f t="shared" si="27"/>
        <v>0</v>
      </c>
      <c r="G55" s="23">
        <f>IFERROR(F55/F16, "NA")</f>
        <v>0</v>
      </c>
      <c r="H55" s="22">
        <f t="shared" si="28"/>
        <v>0</v>
      </c>
      <c r="I55" s="23">
        <f>IFERROR(H55/H16, "NA")</f>
        <v>0</v>
      </c>
      <c r="J55" s="22">
        <f t="shared" si="29"/>
        <v>0</v>
      </c>
      <c r="K55" s="23">
        <f>IFERROR(J55/J16, "NA")</f>
        <v>0</v>
      </c>
      <c r="L55" s="22">
        <f t="shared" si="30"/>
        <v>0</v>
      </c>
      <c r="M55" s="23">
        <f>IFERROR(L55/L16, "NA")</f>
        <v>0</v>
      </c>
    </row>
    <row r="56" ht="16.5" hidden="1" customHeight="1">
      <c r="A56" s="16" t="s">
        <v>110</v>
      </c>
      <c r="B56" s="22">
        <f t="shared" si="25"/>
        <v>0</v>
      </c>
      <c r="C56" s="23">
        <f>IFERROR(B56/B16, "NA")</f>
        <v>0</v>
      </c>
      <c r="D56" s="22">
        <f t="shared" si="26"/>
        <v>0</v>
      </c>
      <c r="E56" s="23">
        <f>IFERROR(D56/D16, "NA")</f>
        <v>0</v>
      </c>
      <c r="F56" s="22">
        <f t="shared" si="27"/>
        <v>0</v>
      </c>
      <c r="G56" s="23">
        <f>IFERROR(F56/F16, "NA")</f>
        <v>0</v>
      </c>
      <c r="H56" s="22">
        <f t="shared" si="28"/>
        <v>0</v>
      </c>
      <c r="I56" s="23">
        <f>IFERROR(H56/H16, "NA")</f>
        <v>0</v>
      </c>
      <c r="J56" s="22">
        <f t="shared" si="29"/>
        <v>0</v>
      </c>
      <c r="K56" s="23">
        <f>IFERROR(J56/J16, "NA")</f>
        <v>0</v>
      </c>
      <c r="L56" s="22">
        <f t="shared" si="30"/>
        <v>0</v>
      </c>
      <c r="M56" s="23">
        <f>IFERROR(L56/L16, "NA")</f>
        <v>0</v>
      </c>
    </row>
    <row r="57" ht="16.5" hidden="1" customHeight="1">
      <c r="A57" s="16" t="s">
        <v>111</v>
      </c>
      <c r="B57" s="22">
        <f t="shared" si="25"/>
        <v>0</v>
      </c>
      <c r="C57" s="23">
        <f>IFERROR(B57/B16, "NA")</f>
        <v>0</v>
      </c>
      <c r="D57" s="22">
        <f t="shared" si="26"/>
        <v>0</v>
      </c>
      <c r="E57" s="23">
        <f>IFERROR(D57/D16, "NA")</f>
        <v>0</v>
      </c>
      <c r="F57" s="22">
        <f t="shared" si="27"/>
        <v>0</v>
      </c>
      <c r="G57" s="23">
        <f>IFERROR(F57/F16, "NA")</f>
        <v>0</v>
      </c>
      <c r="H57" s="22">
        <f t="shared" si="28"/>
        <v>0</v>
      </c>
      <c r="I57" s="23">
        <f>IFERROR(H57/H16, "NA")</f>
        <v>0</v>
      </c>
      <c r="J57" s="22">
        <f t="shared" si="29"/>
        <v>0</v>
      </c>
      <c r="K57" s="23">
        <f>IFERROR(J57/J16, "NA")</f>
        <v>0</v>
      </c>
      <c r="L57" s="22">
        <f t="shared" si="30"/>
        <v>0</v>
      </c>
      <c r="M57" s="23">
        <f>IFERROR(L57/L16, "NA")</f>
        <v>0</v>
      </c>
    </row>
    <row r="58" ht="16.5" hidden="1" customHeight="1">
      <c r="A58" s="16" t="s">
        <v>112</v>
      </c>
      <c r="B58" s="22">
        <f t="shared" si="25"/>
        <v>0</v>
      </c>
      <c r="C58" s="23">
        <f>IFERROR(B58/B16, "NA")</f>
        <v>0</v>
      </c>
      <c r="D58" s="22">
        <f t="shared" si="26"/>
        <v>0</v>
      </c>
      <c r="E58" s="23">
        <f>IFERROR(D58/D16, "NA")</f>
        <v>0</v>
      </c>
      <c r="F58" s="22">
        <f t="shared" si="27"/>
        <v>0</v>
      </c>
      <c r="G58" s="23">
        <f>IFERROR(F58/F16, "NA")</f>
        <v>0</v>
      </c>
      <c r="H58" s="22">
        <f t="shared" si="28"/>
        <v>0</v>
      </c>
      <c r="I58" s="23">
        <f>IFERROR(H58/H16, "NA")</f>
        <v>0</v>
      </c>
      <c r="J58" s="22">
        <f t="shared" si="29"/>
        <v>0</v>
      </c>
      <c r="K58" s="23">
        <f>IFERROR(J58/J16, "NA")</f>
        <v>0</v>
      </c>
      <c r="L58" s="22">
        <f t="shared" si="30"/>
        <v>0</v>
      </c>
      <c r="M58" s="23">
        <f>IFERROR(L58/L16, "NA")</f>
        <v>0</v>
      </c>
    </row>
    <row r="59" ht="16.5" customHeight="1">
      <c r="A59" s="70" t="s">
        <v>113</v>
      </c>
      <c r="B59" s="71">
        <f t="shared" si="25"/>
        <v>82.17</v>
      </c>
      <c r="C59" s="67">
        <f>IFERROR(B59/B16, "NA")</f>
        <v>0.004101365674</v>
      </c>
      <c r="D59" s="71">
        <f t="shared" si="26"/>
        <v>49.37</v>
      </c>
      <c r="E59" s="67">
        <f>IFERROR(D59/D16, "NA")</f>
        <v>0.001243595308</v>
      </c>
      <c r="F59" s="71">
        <f t="shared" si="27"/>
        <v>37.2</v>
      </c>
      <c r="G59" s="67">
        <f>IFERROR(F59/F16, "NA")</f>
        <v>0.002272389913</v>
      </c>
      <c r="H59" s="71">
        <f t="shared" si="28"/>
        <v>35.47</v>
      </c>
      <c r="I59" s="67">
        <f>IFERROR(H59/H16, "NA")</f>
        <v>0.002041234432</v>
      </c>
      <c r="J59" s="71">
        <f t="shared" si="29"/>
        <v>10.38</v>
      </c>
      <c r="K59" s="67">
        <f>IFERROR(J59/J16, "NA")</f>
        <v>0.0004621249019</v>
      </c>
      <c r="L59" s="71">
        <f t="shared" si="30"/>
        <v>214.59</v>
      </c>
      <c r="M59" s="67">
        <f>IFERROR(L59/L16, "NA")</f>
        <v>0.001850825963</v>
      </c>
    </row>
    <row r="60" ht="21.0" customHeight="1">
      <c r="A60" s="16" t="s">
        <v>114</v>
      </c>
      <c r="B60" s="22">
        <f t="shared" si="25"/>
        <v>25.68</v>
      </c>
      <c r="C60" s="23">
        <f>IFERROR(B60/B16, "NA")</f>
        <v>0.00128177036</v>
      </c>
      <c r="D60" s="22">
        <f t="shared" si="26"/>
        <v>7.2</v>
      </c>
      <c r="E60" s="23">
        <f>IFERROR(D60/D16, "NA")</f>
        <v>0.0001813628968</v>
      </c>
      <c r="F60" s="22">
        <f t="shared" si="27"/>
        <v>43.74</v>
      </c>
      <c r="G60" s="23">
        <f>IFERROR(F60/F16, "NA")</f>
        <v>0.00267189072</v>
      </c>
      <c r="H60" s="22">
        <f t="shared" si="28"/>
        <v>42.33</v>
      </c>
      <c r="I60" s="23">
        <f>IFERROR(H60/H16, "NA")</f>
        <v>0.002436015041</v>
      </c>
      <c r="J60" s="22">
        <f t="shared" si="29"/>
        <v>24.4</v>
      </c>
      <c r="K60" s="23">
        <f>IFERROR(J60/J16, "NA")</f>
        <v>0.001086305164</v>
      </c>
      <c r="L60" s="22">
        <f t="shared" si="30"/>
        <v>143.35</v>
      </c>
      <c r="M60" s="23">
        <f>IFERROR(L60/L16, "NA")</f>
        <v>0.001236385208</v>
      </c>
    </row>
    <row r="61" ht="16.5" customHeight="1">
      <c r="A61" s="16" t="s">
        <v>115</v>
      </c>
      <c r="B61" s="22">
        <f t="shared" si="25"/>
        <v>6</v>
      </c>
      <c r="C61" s="23">
        <f>IFERROR(B61/B16, "NA")</f>
        <v>0.0002994790562</v>
      </c>
      <c r="D61" s="22">
        <f t="shared" si="26"/>
        <v>12</v>
      </c>
      <c r="E61" s="23">
        <f>IFERROR(D61/D16, "NA")</f>
        <v>0.0003022714947</v>
      </c>
      <c r="F61" s="22">
        <f t="shared" si="27"/>
        <v>12.31</v>
      </c>
      <c r="G61" s="23">
        <f>IFERROR(F61/F16, "NA")</f>
        <v>0.0007519655867</v>
      </c>
      <c r="H61" s="22">
        <f t="shared" si="28"/>
        <v>9.31</v>
      </c>
      <c r="I61" s="23">
        <f>IFERROR(H61/H16, "NA")</f>
        <v>0.0005357736837</v>
      </c>
      <c r="J61" s="22">
        <f t="shared" si="29"/>
        <v>9.31</v>
      </c>
      <c r="K61" s="23">
        <f>IFERROR(J61/J16, "NA")</f>
        <v>0.0004144877492</v>
      </c>
      <c r="L61" s="22">
        <f t="shared" si="30"/>
        <v>48.93</v>
      </c>
      <c r="M61" s="23">
        <f>IFERROR(L61/L16, "NA")</f>
        <v>0.0004220183344</v>
      </c>
    </row>
    <row r="62" ht="39.0" customHeight="1">
      <c r="A62" s="19" t="s">
        <v>116</v>
      </c>
      <c r="B62" s="22">
        <f t="shared" si="25"/>
        <v>-210.18</v>
      </c>
      <c r="C62" s="23">
        <f>IFERROR(B62/B16, "NA")</f>
        <v>-0.01049075134</v>
      </c>
      <c r="D62" s="22">
        <f t="shared" si="26"/>
        <v>-159.98</v>
      </c>
      <c r="E62" s="23">
        <f>IFERROR(D62/D16, "NA")</f>
        <v>-0.00402978281</v>
      </c>
      <c r="F62" s="22">
        <f t="shared" si="27"/>
        <v>-211.32</v>
      </c>
      <c r="G62" s="23">
        <f>IFERROR(F62/F16, "NA")</f>
        <v>-0.01290864076</v>
      </c>
      <c r="H62" s="22">
        <f t="shared" si="28"/>
        <v>-203.62</v>
      </c>
      <c r="I62" s="23">
        <f>IFERROR(H62/H16, "NA")</f>
        <v>-0.01171796321</v>
      </c>
      <c r="J62" s="22">
        <f t="shared" si="29"/>
        <v>-243.35</v>
      </c>
      <c r="K62" s="23">
        <f>IFERROR(J62/J16, "NA")</f>
        <v>-0.01083411319</v>
      </c>
      <c r="L62" s="22">
        <f t="shared" si="30"/>
        <v>-1028.45</v>
      </c>
      <c r="M62" s="23">
        <f>IFERROR(L62/L16, "NA")</f>
        <v>-0.008870319967</v>
      </c>
    </row>
    <row r="63" ht="16.5" customHeight="1">
      <c r="A63" s="70" t="s">
        <v>117</v>
      </c>
      <c r="B63" s="71">
        <f t="shared" si="25"/>
        <v>867.99</v>
      </c>
      <c r="C63" s="67">
        <f>IFERROR(B63/B16, "NA")</f>
        <v>0.04332413766</v>
      </c>
      <c r="D63" s="71">
        <f t="shared" si="26"/>
        <v>1532.98</v>
      </c>
      <c r="E63" s="67">
        <f>IFERROR(D63/D16, "NA")</f>
        <v>0.03861467966</v>
      </c>
      <c r="F63" s="71">
        <f t="shared" si="27"/>
        <v>625.81</v>
      </c>
      <c r="G63" s="67">
        <f>IFERROR(F63/F16, "NA")</f>
        <v>0.03822807342</v>
      </c>
      <c r="H63" s="71">
        <f t="shared" si="28"/>
        <v>709.38</v>
      </c>
      <c r="I63" s="67">
        <f>IFERROR(H63/H16, "NA")</f>
        <v>0.04082353767</v>
      </c>
      <c r="J63" s="71">
        <f t="shared" si="29"/>
        <v>784.06</v>
      </c>
      <c r="K63" s="67">
        <f>IFERROR(J63/J16, "NA")</f>
        <v>0.03490690276</v>
      </c>
      <c r="L63" s="71">
        <f t="shared" si="30"/>
        <v>4520.22</v>
      </c>
      <c r="M63" s="67">
        <f>IFERROR(L63/L16, "NA")</f>
        <v>0.03898662815</v>
      </c>
    </row>
    <row r="64" ht="16.5" customHeight="1">
      <c r="A64" s="70" t="s">
        <v>55</v>
      </c>
      <c r="B64" s="91">
        <f t="shared" si="25"/>
        <v>5526.92</v>
      </c>
      <c r="C64" s="92">
        <f>IFERROR(B64/B16, "NA")</f>
        <v>0.2758661309</v>
      </c>
      <c r="D64" s="91">
        <f t="shared" si="26"/>
        <v>9775.03</v>
      </c>
      <c r="E64" s="92">
        <f>IFERROR(D64/D16, "NA")</f>
        <v>0.2462260774</v>
      </c>
      <c r="F64" s="91">
        <f t="shared" si="27"/>
        <v>4154.76</v>
      </c>
      <c r="G64" s="92">
        <f>IFERROR(F64/F16, "NA")</f>
        <v>0.2537966321</v>
      </c>
      <c r="H64" s="91">
        <f t="shared" si="28"/>
        <v>4857.39</v>
      </c>
      <c r="I64" s="92">
        <f>IFERROR(H64/H16, "NA")</f>
        <v>0.2795340208</v>
      </c>
      <c r="J64" s="91">
        <f t="shared" si="29"/>
        <v>7015.05</v>
      </c>
      <c r="K64" s="92">
        <f>IFERROR(J64/J16, "NA")</f>
        <v>0.3123149608</v>
      </c>
      <c r="L64" s="91">
        <f t="shared" si="30"/>
        <v>31329.15</v>
      </c>
      <c r="M64" s="93">
        <f>IFERROR(L64/L16, "NA")</f>
        <v>0.2702120519</v>
      </c>
    </row>
    <row r="65" ht="3.75" customHeight="1">
      <c r="A65" s="72"/>
      <c r="B65" s="73"/>
      <c r="C65" s="74"/>
      <c r="D65" s="73"/>
      <c r="E65" s="74"/>
      <c r="F65" s="73"/>
      <c r="G65" s="74"/>
      <c r="H65" s="73"/>
      <c r="I65" s="74"/>
      <c r="J65" s="73"/>
      <c r="K65" s="74"/>
      <c r="L65" s="73"/>
      <c r="M65" s="74"/>
    </row>
    <row r="66" ht="16.5" customHeight="1">
      <c r="A66" s="56" t="s">
        <v>118</v>
      </c>
      <c r="B66" s="71">
        <f t="array" ref="B66">INDEX(INDIRECT("'"&amp;B$4&amp;"'!$1:$1048576"),MATCH($A66,INDIRECT("'"&amp;B$4&amp;"'!$A:$A"),0),MATCH($A$2,INDIRECT("'"&amp;B$4&amp;"'!$5:$5"),0))</f>
        <v>14507.87</v>
      </c>
      <c r="C66" s="94">
        <f>IFERROR(B66/B16, "NA")</f>
        <v>0.7241338691</v>
      </c>
      <c r="D66" s="95">
        <f t="array" ref="D66">INDEX(INDIRECT("'"&amp;D$4&amp;"'!$1:$1048576"),MATCH($A66,INDIRECT("'"&amp;D$4&amp;"'!$A:$A"),0),MATCH($A$2,INDIRECT("'"&amp;D$4&amp;"'!$5:$5"),0))</f>
        <v>29924.38</v>
      </c>
      <c r="E66" s="94">
        <f>IFERROR(D66/D16, "NA")</f>
        <v>0.7537739226</v>
      </c>
      <c r="F66" s="95">
        <f t="array" ref="F66">INDEX(INDIRECT("'"&amp;F$4&amp;"'!$1:$1048576"),MATCH($A66,INDIRECT("'"&amp;F$4&amp;"'!$A:$A"),0),MATCH($A$2,INDIRECT("'"&amp;F$4&amp;"'!$5:$5"),0))</f>
        <v>12215.67</v>
      </c>
      <c r="G66" s="94">
        <f>IFERROR(F66/F16, "NA")</f>
        <v>0.7462033679</v>
      </c>
      <c r="H66" s="95">
        <f t="array" ref="H66">INDEX(INDIRECT("'"&amp;H$4&amp;"'!$1:$1048576"),MATCH($A66,INDIRECT("'"&amp;H$4&amp;"'!$A:$A"),0),MATCH($A$2,INDIRECT("'"&amp;H$4&amp;"'!$5:$5"),0))</f>
        <v>12519.35</v>
      </c>
      <c r="I66" s="94">
        <f>IFERROR(H66/H16, "NA")</f>
        <v>0.7204659792</v>
      </c>
      <c r="J66" s="95">
        <f t="array" ref="J66">INDEX(INDIRECT("'"&amp;J$4&amp;"'!$1:$1048576"),MATCH($A66,INDIRECT("'"&amp;J$4&amp;"'!$A:$A"),0),MATCH($A$2,INDIRECT("'"&amp;J$4&amp;"'!$5:$5"),0))</f>
        <v>15446.41</v>
      </c>
      <c r="K66" s="94">
        <f>IFERROR(J66/J16, "NA")</f>
        <v>0.6876850392</v>
      </c>
      <c r="L66" s="95">
        <f>+J66+H66+F66+D66+B66</f>
        <v>84613.68</v>
      </c>
      <c r="M66" s="94">
        <f>IFERROR(L66/L16, "NA")</f>
        <v>0.7297879481</v>
      </c>
    </row>
    <row r="67" ht="3.75" customHeight="1">
      <c r="A67" s="96"/>
      <c r="B67" s="97"/>
      <c r="C67" s="74"/>
      <c r="D67" s="97"/>
      <c r="E67" s="74"/>
      <c r="F67" s="97"/>
      <c r="G67" s="74"/>
      <c r="H67" s="97"/>
      <c r="I67" s="74"/>
      <c r="J67" s="97"/>
      <c r="K67" s="74"/>
      <c r="L67" s="97"/>
      <c r="M67" s="74"/>
    </row>
    <row r="68" ht="16.5" customHeight="1">
      <c r="A68" s="9" t="s">
        <v>119</v>
      </c>
      <c r="B68" s="11"/>
      <c r="C68" s="12"/>
      <c r="D68" s="11"/>
      <c r="E68" s="12"/>
      <c r="F68" s="11"/>
      <c r="G68" s="12"/>
      <c r="H68" s="11"/>
      <c r="I68" s="12"/>
      <c r="J68" s="11"/>
      <c r="K68" s="12"/>
      <c r="L68" s="11"/>
      <c r="M68" s="12"/>
    </row>
    <row r="69" ht="16.5" customHeight="1">
      <c r="A69" s="9" t="s">
        <v>119</v>
      </c>
      <c r="B69" s="11"/>
      <c r="C69" s="12"/>
      <c r="D69" s="11"/>
      <c r="E69" s="12"/>
      <c r="F69" s="11"/>
      <c r="G69" s="12"/>
      <c r="H69" s="11"/>
      <c r="I69" s="12"/>
      <c r="J69" s="11"/>
      <c r="K69" s="12"/>
      <c r="L69" s="11"/>
      <c r="M69" s="12"/>
    </row>
    <row r="70" ht="16.5" hidden="1" customHeight="1">
      <c r="A70" s="16" t="s">
        <v>120</v>
      </c>
      <c r="B70" s="22"/>
      <c r="C70" s="23"/>
      <c r="D70" s="22"/>
      <c r="E70" s="23"/>
      <c r="F70" s="22"/>
      <c r="G70" s="23"/>
      <c r="H70" s="22"/>
      <c r="I70" s="23"/>
      <c r="J70" s="22"/>
      <c r="K70" s="23"/>
      <c r="L70" s="22"/>
      <c r="M70" s="23"/>
    </row>
    <row r="71" ht="16.5" customHeight="1">
      <c r="A71" s="9" t="s">
        <v>121</v>
      </c>
      <c r="B71" s="11"/>
      <c r="C71" s="12"/>
      <c r="D71" s="11"/>
      <c r="E71" s="12"/>
      <c r="F71" s="11"/>
      <c r="G71" s="12"/>
      <c r="H71" s="11"/>
      <c r="I71" s="12"/>
      <c r="J71" s="11"/>
      <c r="K71" s="12"/>
      <c r="L71" s="11"/>
      <c r="M71" s="12"/>
    </row>
    <row r="72" ht="16.5" hidden="1" customHeight="1">
      <c r="A72" s="16" t="s">
        <v>122</v>
      </c>
      <c r="B72" s="22">
        <f t="shared" ref="B72:B79" si="31">INDEX(INDIRECT("'"&amp;B$4&amp;"'!$1:$1048576"),MATCH($A72,INDIRECT("'"&amp;B$4&amp;"'!$A:$A"),0),MATCH($A$2,INDIRECT("'"&amp;B$4&amp;"'!$5:$5"),0))</f>
        <v>0</v>
      </c>
      <c r="C72" s="23">
        <f>IFERROR(B72/B16, "NA")</f>
        <v>0</v>
      </c>
      <c r="D72" s="22">
        <f t="shared" ref="D72:D79" si="32">INDEX(INDIRECT("'"&amp;D$4&amp;"'!$1:$1048576"),MATCH($A72,INDIRECT("'"&amp;D$4&amp;"'!$A:$A"),0),MATCH($A$2,INDIRECT("'"&amp;D$4&amp;"'!$5:$5"),0))</f>
        <v>0</v>
      </c>
      <c r="E72" s="23">
        <f>IFERROR(D72/D16, "NA")</f>
        <v>0</v>
      </c>
      <c r="F72" s="22">
        <f t="shared" ref="F72:F79" si="33">INDEX(INDIRECT("'"&amp;F$4&amp;"'!$1:$1048576"),MATCH($A72,INDIRECT("'"&amp;F$4&amp;"'!$A:$A"),0),MATCH($A$2,INDIRECT("'"&amp;F$4&amp;"'!$5:$5"),0))</f>
        <v>0</v>
      </c>
      <c r="G72" s="23">
        <f>IFERROR(F72/F16, "NA")</f>
        <v>0</v>
      </c>
      <c r="H72" s="22">
        <f t="shared" ref="H72:H79" si="34">INDEX(INDIRECT("'"&amp;H$4&amp;"'!$1:$1048576"),MATCH($A72,INDIRECT("'"&amp;H$4&amp;"'!$A:$A"),0),MATCH($A$2,INDIRECT("'"&amp;H$4&amp;"'!$5:$5"),0))</f>
        <v>0</v>
      </c>
      <c r="I72" s="23">
        <f>IFERROR(H72/H16, "NA")</f>
        <v>0</v>
      </c>
      <c r="J72" s="22">
        <f t="shared" ref="J72:J79" si="35">INDEX(INDIRECT("'"&amp;J$4&amp;"'!$1:$1048576"),MATCH($A72,INDIRECT("'"&amp;J$4&amp;"'!$A:$A"),0),MATCH($A$2,INDIRECT("'"&amp;J$4&amp;"'!$5:$5"),0))</f>
        <v>0</v>
      </c>
      <c r="K72" s="23">
        <f>IFERROR(J72/J16, "NA")</f>
        <v>0</v>
      </c>
      <c r="L72" s="22"/>
      <c r="M72" s="23">
        <f>IFERROR(L72/L16, "NA")</f>
        <v>0</v>
      </c>
    </row>
    <row r="73" ht="16.5" customHeight="1">
      <c r="A73" s="16" t="s">
        <v>125</v>
      </c>
      <c r="B73" s="22">
        <f t="shared" si="31"/>
        <v>1269.23</v>
      </c>
      <c r="C73" s="23">
        <f>IFERROR(B73/B16, "NA")</f>
        <v>0.06335130041</v>
      </c>
      <c r="D73" s="22">
        <f t="shared" si="32"/>
        <v>2519.23</v>
      </c>
      <c r="E73" s="23">
        <f>IFERROR(D73/D16, "NA")</f>
        <v>0.06345761814</v>
      </c>
      <c r="F73" s="22">
        <f t="shared" si="33"/>
        <v>1410</v>
      </c>
      <c r="G73" s="23">
        <f>IFERROR(F73/F16, "NA")</f>
        <v>0.08613090798</v>
      </c>
      <c r="H73" s="22">
        <f t="shared" si="34"/>
        <v>1461.54</v>
      </c>
      <c r="I73" s="23">
        <f>IFERROR(H73/H16, "NA")</f>
        <v>0.08410898707</v>
      </c>
      <c r="J73" s="22">
        <f t="shared" si="35"/>
        <v>1298.08</v>
      </c>
      <c r="K73" s="23">
        <f>IFERROR(J73/J16, "NA")</f>
        <v>0.05779143475</v>
      </c>
      <c r="L73" s="22">
        <f t="shared" ref="L73:L77" si="36">+J73+H73+F73+D73+B73</f>
        <v>7958.08</v>
      </c>
      <c r="M73" s="23">
        <f>IFERROR(L73/L16, "NA")</f>
        <v>0.0686379658</v>
      </c>
    </row>
    <row r="74" ht="16.5" hidden="1" customHeight="1">
      <c r="A74" s="16" t="s">
        <v>126</v>
      </c>
      <c r="B74" s="22">
        <f t="shared" si="31"/>
        <v>0</v>
      </c>
      <c r="C74" s="23">
        <f>IFERROR(B74/B16, "NA")</f>
        <v>0</v>
      </c>
      <c r="D74" s="22">
        <f t="shared" si="32"/>
        <v>0</v>
      </c>
      <c r="E74" s="23">
        <f>IFERROR(D74/D16, "NA")</f>
        <v>0</v>
      </c>
      <c r="F74" s="22">
        <f t="shared" si="33"/>
        <v>0</v>
      </c>
      <c r="G74" s="23">
        <f>IFERROR(F74/F16, "NA")</f>
        <v>0</v>
      </c>
      <c r="H74" s="22">
        <f t="shared" si="34"/>
        <v>0</v>
      </c>
      <c r="I74" s="23">
        <f>IFERROR(H74/H16, "NA")</f>
        <v>0</v>
      </c>
      <c r="J74" s="22">
        <f t="shared" si="35"/>
        <v>0</v>
      </c>
      <c r="K74" s="23">
        <f>IFERROR(J74/J16, "NA")</f>
        <v>0</v>
      </c>
      <c r="L74" s="22">
        <f t="shared" si="36"/>
        <v>0</v>
      </c>
      <c r="M74" s="23">
        <f>IFERROR(L74/L16, "NA")</f>
        <v>0</v>
      </c>
    </row>
    <row r="75" ht="16.5" customHeight="1">
      <c r="A75" s="16" t="s">
        <v>127</v>
      </c>
      <c r="B75" s="22">
        <f t="shared" si="31"/>
        <v>3781.92</v>
      </c>
      <c r="C75" s="23">
        <f>IFERROR(B75/B16, "NA")</f>
        <v>0.1887676387</v>
      </c>
      <c r="D75" s="22">
        <f t="shared" si="32"/>
        <v>6057.23</v>
      </c>
      <c r="E75" s="23">
        <f>IFERROR(D75/D16, "NA")</f>
        <v>0.1525773305</v>
      </c>
      <c r="F75" s="22">
        <f t="shared" si="33"/>
        <v>3143.97</v>
      </c>
      <c r="G75" s="23">
        <f>IFERROR(F75/F16, "NA")</f>
        <v>0.1920517665</v>
      </c>
      <c r="H75" s="22">
        <f t="shared" si="34"/>
        <v>3112.87</v>
      </c>
      <c r="I75" s="23">
        <f>IFERROR(H75/H16, "NA")</f>
        <v>0.1791400458</v>
      </c>
      <c r="J75" s="22">
        <f t="shared" si="35"/>
        <v>4398.98</v>
      </c>
      <c r="K75" s="23">
        <f>IFERROR(J75/J16, "NA")</f>
        <v>0.1958456841</v>
      </c>
      <c r="L75" s="22">
        <f t="shared" si="36"/>
        <v>20494.97</v>
      </c>
      <c r="M75" s="23">
        <f>IFERROR(L75/L16, "NA")</f>
        <v>0.176767895</v>
      </c>
    </row>
    <row r="76" ht="16.5" customHeight="1">
      <c r="A76" s="16" t="s">
        <v>128</v>
      </c>
      <c r="B76" s="22">
        <f t="shared" si="31"/>
        <v>194.4</v>
      </c>
      <c r="C76" s="23">
        <f>IFERROR(B76/B16, "NA")</f>
        <v>0.00970312142</v>
      </c>
      <c r="D76" s="22">
        <f t="shared" si="32"/>
        <v>4.73</v>
      </c>
      <c r="E76" s="23">
        <f>IFERROR(D76/D16, "NA")</f>
        <v>0.0001191453475</v>
      </c>
      <c r="F76" s="22">
        <f t="shared" si="33"/>
        <v>0</v>
      </c>
      <c r="G76" s="23">
        <f>IFERROR(F76/F16, "NA")</f>
        <v>0</v>
      </c>
      <c r="H76" s="22">
        <f t="shared" si="34"/>
        <v>11.96</v>
      </c>
      <c r="I76" s="23">
        <f>IFERROR(H76/H16, "NA")</f>
        <v>0.0006882763971</v>
      </c>
      <c r="J76" s="22">
        <f t="shared" si="35"/>
        <v>0</v>
      </c>
      <c r="K76" s="23">
        <f>IFERROR(J76/J16, "NA")</f>
        <v>0</v>
      </c>
      <c r="L76" s="22">
        <f t="shared" si="36"/>
        <v>211.09</v>
      </c>
      <c r="M76" s="23">
        <f>IFERROR(L76/L16, "NA")</f>
        <v>0.001820638672</v>
      </c>
    </row>
    <row r="77" ht="16.5" customHeight="1">
      <c r="A77" s="70" t="s">
        <v>129</v>
      </c>
      <c r="B77" s="71">
        <f t="shared" si="31"/>
        <v>5245.55</v>
      </c>
      <c r="C77" s="67">
        <f>IFERROR(B77/B16, "NA")</f>
        <v>0.2618220605</v>
      </c>
      <c r="D77" s="71">
        <f t="shared" si="32"/>
        <v>8581.19</v>
      </c>
      <c r="E77" s="67">
        <f>IFERROR(D77/D16, "NA")</f>
        <v>0.216154094</v>
      </c>
      <c r="F77" s="71">
        <f t="shared" si="33"/>
        <v>4553.97</v>
      </c>
      <c r="G77" s="67">
        <f>IFERROR(F77/F16, "NA")</f>
        <v>0.2781826745</v>
      </c>
      <c r="H77" s="71">
        <f t="shared" si="34"/>
        <v>4586.37</v>
      </c>
      <c r="I77" s="67">
        <f>IFERROR(H77/H16, "NA")</f>
        <v>0.2639373093</v>
      </c>
      <c r="J77" s="71">
        <f t="shared" si="35"/>
        <v>5697.06</v>
      </c>
      <c r="K77" s="67">
        <f>IFERROR(J77/J16, "NA")</f>
        <v>0.2536371189</v>
      </c>
      <c r="L77" s="71">
        <f t="shared" si="36"/>
        <v>28664.14</v>
      </c>
      <c r="M77" s="67">
        <f>IFERROR(L77/L16, "NA")</f>
        <v>0.2472264995</v>
      </c>
    </row>
    <row r="78" ht="16.5" hidden="1" customHeight="1">
      <c r="A78" s="16" t="s">
        <v>130</v>
      </c>
      <c r="B78" s="22">
        <f t="shared" si="31"/>
        <v>0</v>
      </c>
      <c r="C78" s="23">
        <f>IFERROR(B78/B16, "NA")</f>
        <v>0</v>
      </c>
      <c r="D78" s="22">
        <f t="shared" si="32"/>
        <v>0</v>
      </c>
      <c r="E78" s="23">
        <f>IFERROR(D78/D16, "NA")</f>
        <v>0</v>
      </c>
      <c r="F78" s="22">
        <f t="shared" si="33"/>
        <v>0</v>
      </c>
      <c r="G78" s="23">
        <f>IFERROR(F78/F16, "NA")</f>
        <v>0</v>
      </c>
      <c r="H78" s="22">
        <f t="shared" si="34"/>
        <v>0</v>
      </c>
      <c r="I78" s="23">
        <f>IFERROR(H78/H16, "NA")</f>
        <v>0</v>
      </c>
      <c r="J78" s="22">
        <f t="shared" si="35"/>
        <v>0</v>
      </c>
      <c r="K78" s="23">
        <f>IFERROR(J78/J16, "NA")</f>
        <v>0</v>
      </c>
      <c r="L78" s="22"/>
      <c r="M78" s="23">
        <f>IFERROR(L78/L16, "NA")</f>
        <v>0</v>
      </c>
    </row>
    <row r="79" ht="16.5" customHeight="1">
      <c r="A79" s="16" t="s">
        <v>131</v>
      </c>
      <c r="B79" s="22">
        <f t="shared" si="31"/>
        <v>300</v>
      </c>
      <c r="C79" s="23">
        <f>IFERROR(B79/B16, "NA")</f>
        <v>0.01497395281</v>
      </c>
      <c r="D79" s="22">
        <f t="shared" si="32"/>
        <v>1150</v>
      </c>
      <c r="E79" s="23">
        <f>IFERROR(D79/D16, "NA")</f>
        <v>0.02896768491</v>
      </c>
      <c r="F79" s="22">
        <f t="shared" si="33"/>
        <v>500</v>
      </c>
      <c r="G79" s="23">
        <f>IFERROR(F79/F16, "NA")</f>
        <v>0.03054287517</v>
      </c>
      <c r="H79" s="22">
        <f t="shared" si="34"/>
        <v>500</v>
      </c>
      <c r="I79" s="23">
        <f>IFERROR(H79/H16, "NA")</f>
        <v>0.02877409687</v>
      </c>
      <c r="J79" s="22">
        <f t="shared" si="35"/>
        <v>500</v>
      </c>
      <c r="K79" s="23">
        <f>IFERROR(J79/J16, "NA")</f>
        <v>0.02226035173</v>
      </c>
      <c r="L79" s="22">
        <f>+J79+H79+F79+D79+B79</f>
        <v>2950</v>
      </c>
      <c r="M79" s="23">
        <f>IFERROR(L79/L16, "NA")</f>
        <v>0.02544357422</v>
      </c>
    </row>
    <row r="80" ht="16.5" customHeight="1">
      <c r="A80" s="9" t="s">
        <v>132</v>
      </c>
      <c r="B80" s="11"/>
      <c r="C80" s="12"/>
      <c r="D80" s="11"/>
      <c r="E80" s="12"/>
      <c r="F80" s="11"/>
      <c r="G80" s="12"/>
      <c r="H80" s="11"/>
      <c r="I80" s="12"/>
      <c r="J80" s="11"/>
      <c r="K80" s="12"/>
      <c r="L80" s="11"/>
      <c r="M80" s="12"/>
    </row>
    <row r="81" ht="16.5" customHeight="1">
      <c r="A81" s="16" t="s">
        <v>133</v>
      </c>
      <c r="B81" s="22">
        <f t="shared" ref="B81:B92" si="37">INDEX(INDIRECT("'"&amp;B$4&amp;"'!$1:$1048576"),MATCH($A81,INDIRECT("'"&amp;B$4&amp;"'!$A:$A"),0),MATCH($A$2,INDIRECT("'"&amp;B$4&amp;"'!$5:$5"),0))</f>
        <v>624.46</v>
      </c>
      <c r="C81" s="23">
        <f>IFERROR(B81/B16, "NA")</f>
        <v>0.0311687819</v>
      </c>
      <c r="D81" s="22">
        <f t="shared" ref="D81:D92" si="38">INDEX(INDIRECT("'"&amp;D$4&amp;"'!$1:$1048576"),MATCH($A81,INDIRECT("'"&amp;D$4&amp;"'!$A:$A"),0),MATCH($A$2,INDIRECT("'"&amp;D$4&amp;"'!$5:$5"),0))</f>
        <v>1025.61</v>
      </c>
      <c r="E81" s="23">
        <f>IFERROR(D81/D16, "NA")</f>
        <v>0.02583438897</v>
      </c>
      <c r="F81" s="22">
        <f t="shared" ref="F81:F92" si="39">INDEX(INDIRECT("'"&amp;F$4&amp;"'!$1:$1048576"),MATCH($A81,INDIRECT("'"&amp;F$4&amp;"'!$A:$A"),0),MATCH($A$2,INDIRECT("'"&amp;F$4&amp;"'!$5:$5"),0))</f>
        <v>430.65</v>
      </c>
      <c r="G81" s="23">
        <f>IFERROR(F81/F16, "NA")</f>
        <v>0.02630657839</v>
      </c>
      <c r="H81" s="22">
        <f t="shared" ref="H81:H92" si="40">INDEX(INDIRECT("'"&amp;H$4&amp;"'!$1:$1048576"),MATCH($A81,INDIRECT("'"&amp;H$4&amp;"'!$A:$A"),0),MATCH($A$2,INDIRECT("'"&amp;H$4&amp;"'!$5:$5"),0))</f>
        <v>423.82</v>
      </c>
      <c r="I81" s="23">
        <f>IFERROR(H81/H16, "NA")</f>
        <v>0.02439007547</v>
      </c>
      <c r="J81" s="22">
        <f t="shared" ref="J81:J92" si="41">INDEX(INDIRECT("'"&amp;J$4&amp;"'!$1:$1048576"),MATCH($A81,INDIRECT("'"&amp;J$4&amp;"'!$A:$A"),0),MATCH($A$2,INDIRECT("'"&amp;J$4&amp;"'!$5:$5"),0))</f>
        <v>568.43</v>
      </c>
      <c r="K81" s="23">
        <f>IFERROR(J81/J16, "NA")</f>
        <v>0.02530690347</v>
      </c>
      <c r="L81" s="22">
        <f t="shared" ref="L81:L92" si="42">+J81+H81+F81+D81+B81</f>
        <v>3072.97</v>
      </c>
      <c r="M81" s="23">
        <f>IFERROR(L81/L16, "NA")</f>
        <v>0.02650418314</v>
      </c>
    </row>
    <row r="82" ht="16.5" hidden="1" customHeight="1">
      <c r="A82" s="16" t="s">
        <v>134</v>
      </c>
      <c r="B82" s="22">
        <f t="shared" si="37"/>
        <v>0</v>
      </c>
      <c r="C82" s="23">
        <f>IFERROR(B82/B16, "NA")</f>
        <v>0</v>
      </c>
      <c r="D82" s="22">
        <f t="shared" si="38"/>
        <v>0</v>
      </c>
      <c r="E82" s="23">
        <f>IFERROR(D82/D16, "NA")</f>
        <v>0</v>
      </c>
      <c r="F82" s="22">
        <f t="shared" si="39"/>
        <v>0</v>
      </c>
      <c r="G82" s="23">
        <f>IFERROR(F82/F16, "NA")</f>
        <v>0</v>
      </c>
      <c r="H82" s="22">
        <f t="shared" si="40"/>
        <v>0</v>
      </c>
      <c r="I82" s="23">
        <f>IFERROR(H82/H16, "NA")</f>
        <v>0</v>
      </c>
      <c r="J82" s="22">
        <f t="shared" si="41"/>
        <v>0</v>
      </c>
      <c r="K82" s="23">
        <f>IFERROR(J82/J16, "NA")</f>
        <v>0</v>
      </c>
      <c r="L82" s="22">
        <f t="shared" si="42"/>
        <v>0</v>
      </c>
      <c r="M82" s="23">
        <f>IFERROR(L82/L16, "NA")</f>
        <v>0</v>
      </c>
    </row>
    <row r="83" ht="16.5" hidden="1" customHeight="1">
      <c r="A83" s="16" t="s">
        <v>135</v>
      </c>
      <c r="B83" s="22">
        <f t="shared" si="37"/>
        <v>0</v>
      </c>
      <c r="C83" s="23">
        <f>IFERROR(B83/B16, "NA")</f>
        <v>0</v>
      </c>
      <c r="D83" s="22">
        <f t="shared" si="38"/>
        <v>0</v>
      </c>
      <c r="E83" s="23">
        <f>IFERROR(D83/D16, "NA")</f>
        <v>0</v>
      </c>
      <c r="F83" s="22">
        <f t="shared" si="39"/>
        <v>0</v>
      </c>
      <c r="G83" s="23">
        <f>IFERROR(F83/F16, "NA")</f>
        <v>0</v>
      </c>
      <c r="H83" s="22">
        <f t="shared" si="40"/>
        <v>0</v>
      </c>
      <c r="I83" s="23">
        <f>IFERROR(H83/H16, "NA")</f>
        <v>0</v>
      </c>
      <c r="J83" s="22">
        <f t="shared" si="41"/>
        <v>0</v>
      </c>
      <c r="K83" s="23">
        <f>IFERROR(J83/J16, "NA")</f>
        <v>0</v>
      </c>
      <c r="L83" s="22">
        <f t="shared" si="42"/>
        <v>0</v>
      </c>
      <c r="M83" s="23">
        <f>IFERROR(L83/L16, "NA")</f>
        <v>0</v>
      </c>
    </row>
    <row r="84" ht="16.5" hidden="1" customHeight="1">
      <c r="A84" s="16" t="s">
        <v>136</v>
      </c>
      <c r="B84" s="22">
        <f t="shared" si="37"/>
        <v>0</v>
      </c>
      <c r="C84" s="23">
        <f>IFERROR(B84/B16, "NA")</f>
        <v>0</v>
      </c>
      <c r="D84" s="22">
        <f t="shared" si="38"/>
        <v>0</v>
      </c>
      <c r="E84" s="23">
        <f>IFERROR(D84/D16, "NA")</f>
        <v>0</v>
      </c>
      <c r="F84" s="22">
        <f t="shared" si="39"/>
        <v>0</v>
      </c>
      <c r="G84" s="23">
        <f>IFERROR(F84/F16, "NA")</f>
        <v>0</v>
      </c>
      <c r="H84" s="22">
        <f t="shared" si="40"/>
        <v>0</v>
      </c>
      <c r="I84" s="23">
        <f>IFERROR(H84/H16, "NA")</f>
        <v>0</v>
      </c>
      <c r="J84" s="22">
        <f t="shared" si="41"/>
        <v>0</v>
      </c>
      <c r="K84" s="23">
        <f>IFERROR(J84/J16, "NA")</f>
        <v>0</v>
      </c>
      <c r="L84" s="22">
        <f t="shared" si="42"/>
        <v>0</v>
      </c>
      <c r="M84" s="23">
        <f>IFERROR(L84/L16, "NA")</f>
        <v>0</v>
      </c>
    </row>
    <row r="85" ht="16.5" hidden="1" customHeight="1">
      <c r="A85" s="16" t="s">
        <v>137</v>
      </c>
      <c r="B85" s="22">
        <f t="shared" si="37"/>
        <v>0</v>
      </c>
      <c r="C85" s="23">
        <f>IFERROR(B85/B16, "NA")</f>
        <v>0</v>
      </c>
      <c r="D85" s="22">
        <f t="shared" si="38"/>
        <v>0</v>
      </c>
      <c r="E85" s="23">
        <f>IFERROR(D85/D16, "NA")</f>
        <v>0</v>
      </c>
      <c r="F85" s="22">
        <f t="shared" si="39"/>
        <v>0</v>
      </c>
      <c r="G85" s="23">
        <f>IFERROR(F85/F16, "NA")</f>
        <v>0</v>
      </c>
      <c r="H85" s="22">
        <f t="shared" si="40"/>
        <v>0</v>
      </c>
      <c r="I85" s="23">
        <f>IFERROR(H85/H16, "NA")</f>
        <v>0</v>
      </c>
      <c r="J85" s="22">
        <f t="shared" si="41"/>
        <v>0</v>
      </c>
      <c r="K85" s="23">
        <f>IFERROR(J85/J16, "NA")</f>
        <v>0</v>
      </c>
      <c r="L85" s="22">
        <f t="shared" si="42"/>
        <v>0</v>
      </c>
      <c r="M85" s="23">
        <f>IFERROR(L85/L16, "NA")</f>
        <v>0</v>
      </c>
    </row>
    <row r="86" ht="16.5" hidden="1" customHeight="1">
      <c r="A86" s="16" t="s">
        <v>139</v>
      </c>
      <c r="B86" s="22">
        <f t="shared" si="37"/>
        <v>0</v>
      </c>
      <c r="C86" s="23">
        <f>IFERROR(B86/B16, "NA")</f>
        <v>0</v>
      </c>
      <c r="D86" s="22">
        <f t="shared" si="38"/>
        <v>0</v>
      </c>
      <c r="E86" s="23">
        <f>IFERROR(D86/D16, "NA")</f>
        <v>0</v>
      </c>
      <c r="F86" s="22">
        <f t="shared" si="39"/>
        <v>0</v>
      </c>
      <c r="G86" s="23">
        <f>IFERROR(F86/F16, "NA")</f>
        <v>0</v>
      </c>
      <c r="H86" s="22">
        <f t="shared" si="40"/>
        <v>0</v>
      </c>
      <c r="I86" s="23">
        <f>IFERROR(H86/H16, "NA")</f>
        <v>0</v>
      </c>
      <c r="J86" s="22">
        <f t="shared" si="41"/>
        <v>0</v>
      </c>
      <c r="K86" s="23">
        <f>IFERROR(J86/J16, "NA")</f>
        <v>0</v>
      </c>
      <c r="L86" s="22">
        <f t="shared" si="42"/>
        <v>0</v>
      </c>
      <c r="M86" s="23">
        <f>IFERROR(L86/L16, "NA")</f>
        <v>0</v>
      </c>
    </row>
    <row r="87" ht="16.5" hidden="1" customHeight="1">
      <c r="A87" s="16" t="s">
        <v>141</v>
      </c>
      <c r="B87" s="22">
        <f t="shared" si="37"/>
        <v>0</v>
      </c>
      <c r="C87" s="23">
        <f>IFERROR(B87/B16, "NA")</f>
        <v>0</v>
      </c>
      <c r="D87" s="22">
        <f t="shared" si="38"/>
        <v>0</v>
      </c>
      <c r="E87" s="23">
        <f>IFERROR(D87/D16, "NA")</f>
        <v>0</v>
      </c>
      <c r="F87" s="22">
        <f t="shared" si="39"/>
        <v>0</v>
      </c>
      <c r="G87" s="23">
        <f>IFERROR(F87/F16, "NA")</f>
        <v>0</v>
      </c>
      <c r="H87" s="22">
        <f t="shared" si="40"/>
        <v>0</v>
      </c>
      <c r="I87" s="23">
        <f>IFERROR(H87/H16, "NA")</f>
        <v>0</v>
      </c>
      <c r="J87" s="22">
        <f t="shared" si="41"/>
        <v>0</v>
      </c>
      <c r="K87" s="23">
        <f>IFERROR(J87/J16, "NA")</f>
        <v>0</v>
      </c>
      <c r="L87" s="22">
        <f t="shared" si="42"/>
        <v>0</v>
      </c>
      <c r="M87" s="23">
        <f>IFERROR(L87/L16, "NA")</f>
        <v>0</v>
      </c>
    </row>
    <row r="88" ht="16.5" customHeight="1">
      <c r="A88" s="70" t="s">
        <v>142</v>
      </c>
      <c r="B88" s="71">
        <f t="shared" si="37"/>
        <v>624.46</v>
      </c>
      <c r="C88" s="67">
        <f>IFERROR(B88/B16, "NA")</f>
        <v>0.0311687819</v>
      </c>
      <c r="D88" s="71">
        <f t="shared" si="38"/>
        <v>1025.61</v>
      </c>
      <c r="E88" s="67">
        <f>IFERROR(D88/D16, "NA")</f>
        <v>0.02583438897</v>
      </c>
      <c r="F88" s="71">
        <f t="shared" si="39"/>
        <v>430.65</v>
      </c>
      <c r="G88" s="67">
        <f>IFERROR(F88/F16, "NA")</f>
        <v>0.02630657839</v>
      </c>
      <c r="H88" s="71">
        <f t="shared" si="40"/>
        <v>423.82</v>
      </c>
      <c r="I88" s="67">
        <f>IFERROR(H88/H16, "NA")</f>
        <v>0.02439007547</v>
      </c>
      <c r="J88" s="71">
        <f t="shared" si="41"/>
        <v>568.43</v>
      </c>
      <c r="K88" s="67">
        <f>IFERROR(J88/J16, "NA")</f>
        <v>0.02530690347</v>
      </c>
      <c r="L88" s="71">
        <f t="shared" si="42"/>
        <v>3072.97</v>
      </c>
      <c r="M88" s="67">
        <f>IFERROR(L88/L16, "NA")</f>
        <v>0.02650418314</v>
      </c>
    </row>
    <row r="89" ht="16.5" customHeight="1">
      <c r="A89" s="16" t="s">
        <v>145</v>
      </c>
      <c r="B89" s="22">
        <f t="shared" si="37"/>
        <v>0</v>
      </c>
      <c r="C89" s="23">
        <f>IFERROR(B89/B16, "NA")</f>
        <v>0</v>
      </c>
      <c r="D89" s="22">
        <f t="shared" si="38"/>
        <v>0</v>
      </c>
      <c r="E89" s="23">
        <f>IFERROR(D89/D16, "NA")</f>
        <v>0</v>
      </c>
      <c r="F89" s="22">
        <f t="shared" si="39"/>
        <v>0</v>
      </c>
      <c r="G89" s="23">
        <f>IFERROR(F89/F16, "NA")</f>
        <v>0</v>
      </c>
      <c r="H89" s="22">
        <f t="shared" si="40"/>
        <v>0</v>
      </c>
      <c r="I89" s="23">
        <f>IFERROR(H89/H16, "NA")</f>
        <v>0</v>
      </c>
      <c r="J89" s="22">
        <f t="shared" si="41"/>
        <v>0</v>
      </c>
      <c r="K89" s="23">
        <f>IFERROR(J89/J16, "NA")</f>
        <v>0</v>
      </c>
      <c r="L89" s="22">
        <f t="shared" si="42"/>
        <v>0</v>
      </c>
      <c r="M89" s="23">
        <f>IFERROR(L89/L16, "NA")</f>
        <v>0</v>
      </c>
    </row>
    <row r="90" ht="16.5" customHeight="1">
      <c r="A90" s="16" t="s">
        <v>147</v>
      </c>
      <c r="B90" s="22">
        <f t="shared" si="37"/>
        <v>-10.72</v>
      </c>
      <c r="C90" s="23">
        <f>IFERROR(B90/B16, "NA")</f>
        <v>-0.000535069247</v>
      </c>
      <c r="D90" s="22">
        <f t="shared" si="38"/>
        <v>-61.25</v>
      </c>
      <c r="E90" s="23">
        <f>IFERROR(D90/D16, "NA")</f>
        <v>-0.001542844088</v>
      </c>
      <c r="F90" s="22">
        <f t="shared" si="39"/>
        <v>0</v>
      </c>
      <c r="G90" s="23">
        <f>IFERROR(F90/F16, "NA")</f>
        <v>0</v>
      </c>
      <c r="H90" s="22">
        <f t="shared" si="40"/>
        <v>-236.49</v>
      </c>
      <c r="I90" s="23">
        <f>IFERROR(H90/H16, "NA")</f>
        <v>-0.01360957234</v>
      </c>
      <c r="J90" s="22">
        <f t="shared" si="41"/>
        <v>0</v>
      </c>
      <c r="K90" s="23">
        <f>IFERROR(J90/J16, "NA")</f>
        <v>0</v>
      </c>
      <c r="L90" s="22">
        <f t="shared" si="42"/>
        <v>-308.46</v>
      </c>
      <c r="M90" s="23">
        <f>IFERROR(L90/L16, "NA")</f>
        <v>-0.00266044912</v>
      </c>
    </row>
    <row r="91" ht="16.5" customHeight="1">
      <c r="A91" s="70" t="s">
        <v>56</v>
      </c>
      <c r="B91" s="71">
        <f t="shared" si="37"/>
        <v>6159.29</v>
      </c>
      <c r="C91" s="67">
        <f>IFERROR(B91/B16, "NA")</f>
        <v>0.307429726</v>
      </c>
      <c r="D91" s="71">
        <f t="shared" si="38"/>
        <v>10695.55</v>
      </c>
      <c r="E91" s="67">
        <f>IFERROR(D91/D16, "NA")</f>
        <v>0.2694133238</v>
      </c>
      <c r="F91" s="71">
        <f t="shared" si="39"/>
        <v>5484.62</v>
      </c>
      <c r="G91" s="67">
        <f>IFERROR(F91/F16, "NA")</f>
        <v>0.3350321281</v>
      </c>
      <c r="H91" s="71">
        <f t="shared" si="40"/>
        <v>5273.7</v>
      </c>
      <c r="I91" s="67">
        <f>IFERROR(H91/H16, "NA")</f>
        <v>0.3034919093</v>
      </c>
      <c r="J91" s="71">
        <f t="shared" si="41"/>
        <v>6765.49</v>
      </c>
      <c r="K91" s="67">
        <f>IFERROR(J91/J16, "NA")</f>
        <v>0.3012043741</v>
      </c>
      <c r="L91" s="71">
        <f t="shared" si="42"/>
        <v>34378.65</v>
      </c>
      <c r="M91" s="67">
        <f>IFERROR(L91/L16, "NA")</f>
        <v>0.2965138077</v>
      </c>
    </row>
    <row r="92" ht="16.5" customHeight="1">
      <c r="A92" s="70" t="s">
        <v>56</v>
      </c>
      <c r="B92" s="91">
        <f t="shared" si="37"/>
        <v>6159.29</v>
      </c>
      <c r="C92" s="92">
        <f>IFERROR(B92/B16, "NA")</f>
        <v>0.307429726</v>
      </c>
      <c r="D92" s="91">
        <f t="shared" si="38"/>
        <v>10695.55</v>
      </c>
      <c r="E92" s="92">
        <f>IFERROR(D92/D16, "NA")</f>
        <v>0.2694133238</v>
      </c>
      <c r="F92" s="91">
        <f t="shared" si="39"/>
        <v>5484.62</v>
      </c>
      <c r="G92" s="92">
        <f>IFERROR(F92/F16, "NA")</f>
        <v>0.3350321281</v>
      </c>
      <c r="H92" s="91">
        <f t="shared" si="40"/>
        <v>5273.7</v>
      </c>
      <c r="I92" s="92">
        <f>IFERROR(H92/H16, "NA")</f>
        <v>0.3034919093</v>
      </c>
      <c r="J92" s="91">
        <f t="shared" si="41"/>
        <v>6765.49</v>
      </c>
      <c r="K92" s="92">
        <f>IFERROR(J92/J16, "NA")</f>
        <v>0.3012043741</v>
      </c>
      <c r="L92" s="91">
        <f t="shared" si="42"/>
        <v>34378.65</v>
      </c>
      <c r="M92" s="93">
        <f>IFERROR(L92/L16, "NA")</f>
        <v>0.2965138077</v>
      </c>
    </row>
    <row r="93" ht="3.75" customHeight="1">
      <c r="A93" s="96"/>
      <c r="B93" s="97"/>
      <c r="C93" s="74"/>
      <c r="D93" s="97"/>
      <c r="E93" s="74"/>
      <c r="F93" s="97"/>
      <c r="G93" s="74"/>
      <c r="H93" s="97"/>
      <c r="I93" s="74"/>
      <c r="J93" s="97"/>
      <c r="K93" s="74"/>
      <c r="L93" s="97"/>
      <c r="M93" s="74"/>
    </row>
    <row r="94" ht="15.0" customHeight="1">
      <c r="A94" s="56" t="s">
        <v>57</v>
      </c>
      <c r="B94" s="95">
        <f t="array" ref="B94">INDEX(INDIRECT("'"&amp;B$4&amp;"'!$1:$1048576"),MATCH($A94,INDIRECT("'"&amp;B$4&amp;"'!$A:$A"),0),MATCH($A$2,INDIRECT("'"&amp;B$4&amp;"'!$5:$5"),0))</f>
        <v>8348.58</v>
      </c>
      <c r="C94" s="94">
        <f>IFERROR(B94/B16, "NA")</f>
        <v>0.4167041431</v>
      </c>
      <c r="D94" s="95">
        <f t="array" ref="D94">INDEX(INDIRECT("'"&amp;D$4&amp;"'!$1:$1048576"),MATCH($A94,INDIRECT("'"&amp;D$4&amp;"'!$A:$A"),0),MATCH($A$2,INDIRECT("'"&amp;D$4&amp;"'!$5:$5"),0))</f>
        <v>19228.83</v>
      </c>
      <c r="E94" s="94">
        <f>IFERROR(D94/D16, "NA")</f>
        <v>0.4843605988</v>
      </c>
      <c r="F94" s="95">
        <f t="array" ref="F94">INDEX(INDIRECT("'"&amp;F$4&amp;"'!$1:$1048576"),MATCH($A94,INDIRECT("'"&amp;F$4&amp;"'!$A:$A"),0),MATCH($A$2,INDIRECT("'"&amp;F$4&amp;"'!$5:$5"),0))</f>
        <v>6731.05</v>
      </c>
      <c r="G94" s="94">
        <f>IFERROR(F94/F16, "NA")</f>
        <v>0.4111712399</v>
      </c>
      <c r="H94" s="95">
        <f t="array" ref="H94">INDEX(INDIRECT("'"&amp;H$4&amp;"'!$1:$1048576"),MATCH($A94,INDIRECT("'"&amp;H$4&amp;"'!$A:$A"),0),MATCH($A$2,INDIRECT("'"&amp;H$4&amp;"'!$5:$5"),0))</f>
        <v>7245.65</v>
      </c>
      <c r="I94" s="94">
        <f>IFERROR(H94/H16, "NA")</f>
        <v>0.4169740699</v>
      </c>
      <c r="J94" s="95">
        <f t="array" ref="J94">INDEX(INDIRECT("'"&amp;J$4&amp;"'!$1:$1048576"),MATCH($A94,INDIRECT("'"&amp;J$4&amp;"'!$A:$A"),0),MATCH($A$2,INDIRECT("'"&amp;J$4&amp;"'!$5:$5"),0))</f>
        <v>8680.92</v>
      </c>
      <c r="K94" s="94">
        <f>IFERROR(J94/J16, "NA")</f>
        <v>0.3864806651</v>
      </c>
      <c r="L94" s="95">
        <f>+J94+H94+F94+D94+B94</f>
        <v>50235.03</v>
      </c>
      <c r="M94" s="116">
        <f>IFERROR(L94/L16, "NA")</f>
        <v>0.4332741404</v>
      </c>
    </row>
    <row r="95" ht="15.0" customHeight="1">
      <c r="A95" s="96"/>
      <c r="B95" s="97"/>
      <c r="C95" s="74"/>
      <c r="D95" s="97"/>
      <c r="E95" s="74"/>
      <c r="F95" s="97"/>
      <c r="G95" s="74"/>
      <c r="H95" s="97"/>
      <c r="I95" s="74"/>
      <c r="J95" s="97"/>
      <c r="K95" s="74"/>
      <c r="L95" s="3"/>
    </row>
    <row r="96" ht="15.0" customHeight="1">
      <c r="B96" s="3"/>
      <c r="D96" s="3"/>
      <c r="F96" s="3"/>
      <c r="H96" s="3"/>
      <c r="J96" s="3"/>
      <c r="L96" s="3"/>
    </row>
    <row r="97" ht="14.25" customHeight="1">
      <c r="B97" s="3"/>
      <c r="D97" s="3"/>
      <c r="F97" s="3"/>
      <c r="H97" s="3"/>
      <c r="J97" s="3"/>
      <c r="L97" s="3"/>
    </row>
    <row r="98" ht="14.25" customHeight="1">
      <c r="B98" s="3"/>
      <c r="D98" s="3"/>
      <c r="F98" s="3"/>
      <c r="H98" s="3"/>
      <c r="J98" s="3"/>
      <c r="L98" s="3"/>
    </row>
    <row r="99" ht="14.25" customHeight="1">
      <c r="B99" s="3"/>
      <c r="D99" s="3"/>
      <c r="F99" s="3"/>
      <c r="H99" s="3"/>
      <c r="J99" s="3"/>
      <c r="L99" s="3"/>
    </row>
    <row r="100" ht="14.25" customHeight="1">
      <c r="B100" s="3"/>
      <c r="D100" s="3"/>
      <c r="F100" s="3"/>
      <c r="H100" s="3"/>
      <c r="J100" s="3"/>
      <c r="L100" s="3"/>
    </row>
    <row r="101" ht="14.25" customHeight="1">
      <c r="B101" s="3"/>
      <c r="D101" s="3"/>
      <c r="F101" s="3"/>
      <c r="H101" s="3"/>
      <c r="J101" s="3"/>
      <c r="L101" s="3"/>
    </row>
    <row r="102" ht="14.25" customHeight="1">
      <c r="B102" s="3"/>
      <c r="D102" s="3"/>
      <c r="F102" s="3"/>
      <c r="H102" s="3"/>
      <c r="J102" s="3"/>
      <c r="L102" s="3"/>
    </row>
    <row r="103" ht="14.25" customHeight="1">
      <c r="B103" s="3"/>
      <c r="D103" s="3"/>
      <c r="F103" s="3"/>
      <c r="H103" s="3"/>
      <c r="J103" s="3"/>
      <c r="L103" s="3"/>
    </row>
    <row r="104" ht="14.25" customHeight="1">
      <c r="B104" s="3"/>
      <c r="D104" s="3"/>
      <c r="F104" s="3"/>
      <c r="H104" s="3"/>
      <c r="J104" s="3"/>
      <c r="L104" s="3"/>
    </row>
    <row r="105" ht="14.25" customHeight="1">
      <c r="B105" s="3"/>
      <c r="D105" s="3"/>
      <c r="F105" s="3"/>
      <c r="H105" s="3"/>
      <c r="J105" s="3"/>
      <c r="L105" s="3"/>
    </row>
    <row r="106" ht="14.25" customHeight="1">
      <c r="B106" s="3"/>
      <c r="D106" s="3"/>
      <c r="F106" s="3"/>
      <c r="H106" s="3"/>
      <c r="J106" s="3"/>
      <c r="L106" s="3"/>
    </row>
    <row r="107" ht="14.25" customHeight="1">
      <c r="B107" s="3"/>
      <c r="D107" s="3"/>
      <c r="F107" s="3"/>
      <c r="H107" s="3"/>
      <c r="J107" s="3"/>
      <c r="L107" s="3"/>
    </row>
    <row r="108" ht="14.25" customHeight="1">
      <c r="B108" s="3"/>
      <c r="D108" s="3"/>
      <c r="F108" s="3"/>
      <c r="H108" s="3"/>
      <c r="J108" s="3"/>
      <c r="L108" s="3"/>
    </row>
    <row r="109" ht="14.25" customHeight="1">
      <c r="B109" s="3"/>
      <c r="D109" s="3"/>
      <c r="F109" s="3"/>
      <c r="H109" s="3"/>
      <c r="J109" s="3"/>
      <c r="L109" s="3"/>
    </row>
    <row r="110" ht="14.25" customHeight="1">
      <c r="B110" s="3"/>
      <c r="D110" s="3"/>
      <c r="F110" s="3"/>
      <c r="H110" s="3"/>
      <c r="J110" s="3"/>
      <c r="L110" s="3"/>
    </row>
    <row r="111" ht="14.25" customHeight="1">
      <c r="B111" s="3"/>
      <c r="D111" s="3"/>
      <c r="F111" s="3"/>
      <c r="H111" s="3"/>
      <c r="J111" s="3"/>
      <c r="L111" s="3"/>
    </row>
    <row r="112" ht="14.25" customHeight="1">
      <c r="B112" s="3"/>
      <c r="D112" s="3"/>
      <c r="F112" s="3"/>
      <c r="H112" s="3"/>
      <c r="J112" s="3"/>
      <c r="L112" s="3"/>
    </row>
    <row r="113" ht="14.25" customHeight="1">
      <c r="B113" s="3"/>
      <c r="D113" s="3"/>
      <c r="F113" s="3"/>
      <c r="H113" s="3"/>
      <c r="J113" s="3"/>
      <c r="L113" s="3"/>
    </row>
    <row r="114" ht="14.25" customHeight="1">
      <c r="B114" s="3"/>
      <c r="D114" s="3"/>
      <c r="F114" s="3"/>
      <c r="H114" s="3"/>
      <c r="J114" s="3"/>
      <c r="L114" s="3"/>
    </row>
    <row r="115" ht="14.25" customHeight="1">
      <c r="B115" s="3"/>
      <c r="D115" s="3"/>
      <c r="F115" s="3"/>
      <c r="H115" s="3"/>
      <c r="J115" s="3"/>
      <c r="L115" s="3"/>
    </row>
    <row r="116" ht="14.25" customHeight="1">
      <c r="B116" s="3"/>
      <c r="D116" s="3"/>
      <c r="F116" s="3"/>
      <c r="H116" s="3"/>
      <c r="J116" s="3"/>
      <c r="L116" s="3"/>
    </row>
    <row r="117" ht="14.25" customHeight="1">
      <c r="B117" s="3"/>
      <c r="D117" s="3"/>
      <c r="F117" s="3"/>
      <c r="H117" s="3"/>
      <c r="J117" s="3"/>
      <c r="L117" s="3"/>
    </row>
    <row r="118" ht="14.25" customHeight="1">
      <c r="B118" s="3"/>
      <c r="D118" s="3"/>
      <c r="F118" s="3"/>
      <c r="H118" s="3"/>
      <c r="J118" s="3"/>
      <c r="L118" s="3"/>
    </row>
    <row r="119" ht="14.25" customHeight="1">
      <c r="B119" s="3"/>
      <c r="D119" s="3"/>
      <c r="F119" s="3"/>
      <c r="H119" s="3"/>
      <c r="J119" s="3"/>
      <c r="L119" s="3"/>
    </row>
    <row r="120" ht="14.25" customHeight="1">
      <c r="B120" s="3"/>
      <c r="D120" s="3"/>
      <c r="F120" s="3"/>
      <c r="H120" s="3"/>
      <c r="J120" s="3"/>
      <c r="L120" s="3"/>
    </row>
    <row r="121" ht="14.25" customHeight="1">
      <c r="B121" s="3"/>
      <c r="D121" s="3"/>
      <c r="F121" s="3"/>
      <c r="H121" s="3"/>
      <c r="J121" s="3"/>
      <c r="L121" s="3"/>
    </row>
    <row r="122" ht="14.25" customHeight="1">
      <c r="B122" s="3"/>
      <c r="D122" s="3"/>
      <c r="F122" s="3"/>
      <c r="H122" s="3"/>
      <c r="J122" s="3"/>
      <c r="L122" s="3"/>
    </row>
    <row r="123" ht="14.25" customHeight="1">
      <c r="B123" s="3"/>
      <c r="D123" s="3"/>
      <c r="F123" s="3"/>
      <c r="H123" s="3"/>
      <c r="J123" s="3"/>
      <c r="L123" s="3"/>
    </row>
    <row r="124" ht="14.25" customHeight="1">
      <c r="B124" s="3"/>
      <c r="D124" s="3"/>
      <c r="F124" s="3"/>
      <c r="H124" s="3"/>
      <c r="J124" s="3"/>
      <c r="L124" s="3"/>
    </row>
    <row r="125" ht="14.25" customHeight="1">
      <c r="B125" s="3"/>
      <c r="D125" s="3"/>
      <c r="F125" s="3"/>
      <c r="H125" s="3"/>
      <c r="J125" s="3"/>
      <c r="L125" s="3"/>
    </row>
    <row r="126" ht="14.25" customHeight="1">
      <c r="B126" s="3"/>
      <c r="D126" s="3"/>
      <c r="F126" s="3"/>
      <c r="H126" s="3"/>
      <c r="J126" s="3"/>
      <c r="L126" s="3"/>
    </row>
    <row r="127" ht="14.25" customHeight="1">
      <c r="B127" s="3"/>
      <c r="D127" s="3"/>
      <c r="F127" s="3"/>
      <c r="H127" s="3"/>
      <c r="J127" s="3"/>
      <c r="L127" s="3"/>
    </row>
    <row r="128" ht="14.25" customHeight="1">
      <c r="B128" s="3"/>
      <c r="D128" s="3"/>
      <c r="F128" s="3"/>
      <c r="H128" s="3"/>
      <c r="J128" s="3"/>
      <c r="L128" s="3"/>
    </row>
    <row r="129" ht="14.25" customHeight="1">
      <c r="B129" s="3"/>
      <c r="D129" s="3"/>
      <c r="F129" s="3"/>
      <c r="H129" s="3"/>
      <c r="J129" s="3"/>
      <c r="L129" s="3"/>
    </row>
    <row r="130" ht="14.25" customHeight="1">
      <c r="B130" s="3"/>
      <c r="D130" s="3"/>
      <c r="F130" s="3"/>
      <c r="H130" s="3"/>
      <c r="J130" s="3"/>
      <c r="L130" s="3"/>
    </row>
    <row r="131" ht="14.25" customHeight="1">
      <c r="B131" s="3"/>
      <c r="D131" s="3"/>
      <c r="F131" s="3"/>
      <c r="H131" s="3"/>
      <c r="J131" s="3"/>
      <c r="L131" s="3"/>
    </row>
    <row r="132" ht="14.25" customHeight="1">
      <c r="B132" s="3"/>
      <c r="D132" s="3"/>
      <c r="F132" s="3"/>
      <c r="H132" s="3"/>
      <c r="J132" s="3"/>
      <c r="L132" s="3"/>
    </row>
    <row r="133" ht="14.25" customHeight="1">
      <c r="B133" s="3"/>
      <c r="D133" s="3"/>
      <c r="F133" s="3"/>
      <c r="H133" s="3"/>
      <c r="J133" s="3"/>
      <c r="L133" s="3"/>
    </row>
    <row r="134" ht="14.25" customHeight="1">
      <c r="B134" s="3"/>
      <c r="D134" s="3"/>
      <c r="F134" s="3"/>
      <c r="H134" s="3"/>
      <c r="J134" s="3"/>
      <c r="L134" s="3"/>
    </row>
    <row r="135" ht="14.25" customHeight="1">
      <c r="B135" s="3"/>
      <c r="D135" s="3"/>
      <c r="F135" s="3"/>
      <c r="H135" s="3"/>
      <c r="J135" s="3"/>
      <c r="L135" s="3"/>
    </row>
    <row r="136" ht="14.25" customHeight="1">
      <c r="B136" s="3"/>
      <c r="D136" s="3"/>
      <c r="F136" s="3"/>
      <c r="H136" s="3"/>
      <c r="J136" s="3"/>
      <c r="L136" s="3"/>
    </row>
    <row r="137" ht="14.25" customHeight="1">
      <c r="B137" s="3"/>
      <c r="D137" s="3"/>
      <c r="F137" s="3"/>
      <c r="H137" s="3"/>
      <c r="J137" s="3"/>
      <c r="L137" s="3"/>
    </row>
    <row r="138" ht="14.25" customHeight="1">
      <c r="B138" s="3"/>
      <c r="D138" s="3"/>
      <c r="F138" s="3"/>
      <c r="H138" s="3"/>
      <c r="J138" s="3"/>
      <c r="L138" s="3"/>
    </row>
    <row r="139" ht="14.25" customHeight="1">
      <c r="B139" s="3"/>
      <c r="D139" s="3"/>
      <c r="F139" s="3"/>
      <c r="H139" s="3"/>
      <c r="J139" s="3"/>
      <c r="L139" s="3"/>
    </row>
    <row r="140" ht="14.25" customHeight="1">
      <c r="B140" s="3"/>
      <c r="D140" s="3"/>
      <c r="F140" s="3"/>
      <c r="H140" s="3"/>
      <c r="J140" s="3"/>
      <c r="L140" s="3"/>
    </row>
    <row r="141" ht="14.25" customHeight="1">
      <c r="B141" s="3"/>
      <c r="D141" s="3"/>
      <c r="F141" s="3"/>
      <c r="H141" s="3"/>
      <c r="J141" s="3"/>
      <c r="L141" s="3"/>
    </row>
    <row r="142" ht="14.25" customHeight="1">
      <c r="B142" s="3"/>
      <c r="D142" s="3"/>
      <c r="F142" s="3"/>
      <c r="H142" s="3"/>
      <c r="J142" s="3"/>
      <c r="L142" s="3"/>
    </row>
    <row r="143" ht="14.25" customHeight="1">
      <c r="B143" s="3"/>
      <c r="D143" s="3"/>
      <c r="F143" s="3"/>
      <c r="H143" s="3"/>
      <c r="J143" s="3"/>
      <c r="L143" s="3"/>
    </row>
    <row r="144" ht="14.25" customHeight="1">
      <c r="B144" s="3"/>
      <c r="D144" s="3"/>
      <c r="F144" s="3"/>
      <c r="H144" s="3"/>
      <c r="J144" s="3"/>
      <c r="L144" s="3"/>
    </row>
    <row r="145" ht="14.25" customHeight="1">
      <c r="B145" s="3"/>
      <c r="D145" s="3"/>
      <c r="F145" s="3"/>
      <c r="H145" s="3"/>
      <c r="J145" s="3"/>
      <c r="L145" s="3"/>
    </row>
    <row r="146" ht="14.25" customHeight="1">
      <c r="B146" s="3"/>
      <c r="D146" s="3"/>
      <c r="F146" s="3"/>
      <c r="H146" s="3"/>
      <c r="J146" s="3"/>
      <c r="L146" s="3"/>
    </row>
    <row r="147" ht="14.25" customHeight="1">
      <c r="B147" s="3"/>
      <c r="D147" s="3"/>
      <c r="F147" s="3"/>
      <c r="H147" s="3"/>
      <c r="J147" s="3"/>
      <c r="L147" s="3"/>
    </row>
    <row r="148" ht="14.25" customHeight="1">
      <c r="B148" s="3"/>
      <c r="D148" s="3"/>
      <c r="F148" s="3"/>
      <c r="H148" s="3"/>
      <c r="J148" s="3"/>
      <c r="L148" s="3"/>
    </row>
    <row r="149" ht="14.25" customHeight="1">
      <c r="B149" s="3"/>
      <c r="D149" s="3"/>
      <c r="F149" s="3"/>
      <c r="H149" s="3"/>
      <c r="J149" s="3"/>
      <c r="L149" s="3"/>
    </row>
    <row r="150" ht="14.25" customHeight="1">
      <c r="B150" s="3"/>
      <c r="D150" s="3"/>
      <c r="F150" s="3"/>
      <c r="H150" s="3"/>
      <c r="J150" s="3"/>
      <c r="L150" s="3"/>
    </row>
    <row r="151" ht="14.25" customHeight="1">
      <c r="B151" s="3"/>
      <c r="D151" s="3"/>
      <c r="F151" s="3"/>
      <c r="H151" s="3"/>
      <c r="J151" s="3"/>
      <c r="L151" s="3"/>
    </row>
    <row r="152" ht="14.25" customHeight="1">
      <c r="B152" s="3"/>
      <c r="D152" s="3"/>
      <c r="F152" s="3"/>
      <c r="H152" s="3"/>
      <c r="J152" s="3"/>
      <c r="L152" s="3"/>
    </row>
    <row r="153" ht="14.25" customHeight="1">
      <c r="B153" s="3"/>
      <c r="D153" s="3"/>
      <c r="F153" s="3"/>
      <c r="H153" s="3"/>
      <c r="J153" s="3"/>
      <c r="L153" s="3"/>
    </row>
    <row r="154" ht="14.25" customHeight="1">
      <c r="B154" s="3"/>
      <c r="D154" s="3"/>
      <c r="F154" s="3"/>
      <c r="H154" s="3"/>
      <c r="J154" s="3"/>
      <c r="L154" s="3"/>
    </row>
    <row r="155" ht="14.25" customHeight="1">
      <c r="B155" s="3"/>
      <c r="D155" s="3"/>
      <c r="F155" s="3"/>
      <c r="H155" s="3"/>
      <c r="J155" s="3"/>
      <c r="L155" s="3"/>
    </row>
    <row r="156" ht="14.25" customHeight="1">
      <c r="B156" s="3"/>
      <c r="D156" s="3"/>
      <c r="F156" s="3"/>
      <c r="H156" s="3"/>
      <c r="J156" s="3"/>
      <c r="L156" s="3"/>
    </row>
    <row r="157" ht="14.25" customHeight="1">
      <c r="B157" s="3"/>
      <c r="D157" s="3"/>
      <c r="F157" s="3"/>
      <c r="H157" s="3"/>
      <c r="J157" s="3"/>
      <c r="L157" s="3"/>
    </row>
    <row r="158" ht="14.25" customHeight="1">
      <c r="B158" s="3"/>
      <c r="D158" s="3"/>
      <c r="F158" s="3"/>
      <c r="H158" s="3"/>
      <c r="J158" s="3"/>
      <c r="L158" s="3"/>
    </row>
    <row r="159" ht="14.25" customHeight="1">
      <c r="B159" s="3"/>
      <c r="D159" s="3"/>
      <c r="F159" s="3"/>
      <c r="H159" s="3"/>
      <c r="J159" s="3"/>
      <c r="L159" s="3"/>
    </row>
    <row r="160" ht="14.25" customHeight="1">
      <c r="B160" s="3"/>
      <c r="D160" s="3"/>
      <c r="F160" s="3"/>
      <c r="H160" s="3"/>
      <c r="J160" s="3"/>
      <c r="L160" s="3"/>
    </row>
    <row r="161" ht="14.25" customHeight="1">
      <c r="B161" s="3"/>
      <c r="D161" s="3"/>
      <c r="F161" s="3"/>
      <c r="H161" s="3"/>
      <c r="J161" s="3"/>
      <c r="L161" s="3"/>
    </row>
    <row r="162" ht="14.25" customHeight="1">
      <c r="B162" s="3"/>
      <c r="D162" s="3"/>
      <c r="F162" s="3"/>
      <c r="H162" s="3"/>
      <c r="J162" s="3"/>
      <c r="L162" s="3"/>
    </row>
    <row r="163" ht="14.25" customHeight="1">
      <c r="B163" s="3"/>
      <c r="D163" s="3"/>
      <c r="F163" s="3"/>
      <c r="H163" s="3"/>
      <c r="J163" s="3"/>
      <c r="L163" s="3"/>
    </row>
    <row r="164" ht="14.25" customHeight="1">
      <c r="B164" s="3"/>
      <c r="D164" s="3"/>
      <c r="F164" s="3"/>
      <c r="H164" s="3"/>
      <c r="J164" s="3"/>
      <c r="L164" s="3"/>
    </row>
    <row r="165" ht="14.25" customHeight="1">
      <c r="B165" s="3"/>
      <c r="D165" s="3"/>
      <c r="F165" s="3"/>
      <c r="H165" s="3"/>
      <c r="J165" s="3"/>
      <c r="L165" s="3"/>
    </row>
    <row r="166" ht="14.25" customHeight="1">
      <c r="B166" s="3"/>
      <c r="D166" s="3"/>
      <c r="F166" s="3"/>
      <c r="H166" s="3"/>
      <c r="J166" s="3"/>
      <c r="L166" s="3"/>
    </row>
    <row r="167" ht="14.25" customHeight="1">
      <c r="B167" s="3"/>
      <c r="D167" s="3"/>
      <c r="F167" s="3"/>
      <c r="H167" s="3"/>
      <c r="J167" s="3"/>
      <c r="L167" s="3"/>
    </row>
    <row r="168" ht="14.25" customHeight="1">
      <c r="B168" s="3"/>
      <c r="D168" s="3"/>
      <c r="F168" s="3"/>
      <c r="H168" s="3"/>
      <c r="J168" s="3"/>
      <c r="L168" s="3"/>
    </row>
    <row r="169" ht="14.25" customHeight="1">
      <c r="B169" s="3"/>
      <c r="D169" s="3"/>
      <c r="F169" s="3"/>
      <c r="H169" s="3"/>
      <c r="J169" s="3"/>
      <c r="L169" s="3"/>
    </row>
    <row r="170" ht="14.25" customHeight="1">
      <c r="B170" s="3"/>
      <c r="D170" s="3"/>
      <c r="F170" s="3"/>
      <c r="H170" s="3"/>
      <c r="J170" s="3"/>
      <c r="L170" s="3"/>
    </row>
    <row r="171" ht="14.25" customHeight="1">
      <c r="B171" s="3"/>
      <c r="D171" s="3"/>
      <c r="F171" s="3"/>
      <c r="H171" s="3"/>
      <c r="J171" s="3"/>
      <c r="L171" s="3"/>
    </row>
    <row r="172" ht="14.25" customHeight="1">
      <c r="B172" s="3"/>
      <c r="D172" s="3"/>
      <c r="F172" s="3"/>
      <c r="H172" s="3"/>
      <c r="J172" s="3"/>
      <c r="L172" s="3"/>
    </row>
    <row r="173" ht="14.25" customHeight="1">
      <c r="B173" s="3"/>
      <c r="D173" s="3"/>
      <c r="F173" s="3"/>
      <c r="H173" s="3"/>
      <c r="J173" s="3"/>
      <c r="L173" s="3"/>
    </row>
    <row r="174" ht="14.25" customHeight="1">
      <c r="B174" s="3"/>
      <c r="D174" s="3"/>
      <c r="F174" s="3"/>
      <c r="H174" s="3"/>
      <c r="J174" s="3"/>
      <c r="L174" s="3"/>
    </row>
    <row r="175" ht="14.25" customHeight="1">
      <c r="B175" s="3"/>
      <c r="D175" s="3"/>
      <c r="F175" s="3"/>
      <c r="H175" s="3"/>
      <c r="J175" s="3"/>
      <c r="L175" s="3"/>
    </row>
    <row r="176" ht="14.25" customHeight="1">
      <c r="B176" s="3"/>
      <c r="D176" s="3"/>
      <c r="F176" s="3"/>
      <c r="H176" s="3"/>
      <c r="J176" s="3"/>
      <c r="L176" s="3"/>
    </row>
    <row r="177" ht="14.25" customHeight="1">
      <c r="B177" s="3"/>
      <c r="D177" s="3"/>
      <c r="F177" s="3"/>
      <c r="H177" s="3"/>
      <c r="J177" s="3"/>
      <c r="L177" s="3"/>
    </row>
    <row r="178" ht="14.25" customHeight="1">
      <c r="B178" s="3"/>
      <c r="D178" s="3"/>
      <c r="F178" s="3"/>
      <c r="H178" s="3"/>
      <c r="J178" s="3"/>
      <c r="L178" s="3"/>
    </row>
    <row r="179" ht="14.25" customHeight="1">
      <c r="B179" s="3"/>
      <c r="D179" s="3"/>
      <c r="F179" s="3"/>
      <c r="H179" s="3"/>
      <c r="J179" s="3"/>
      <c r="L179" s="3"/>
    </row>
    <row r="180" ht="14.25" customHeight="1">
      <c r="B180" s="3"/>
      <c r="D180" s="3"/>
      <c r="F180" s="3"/>
      <c r="H180" s="3"/>
      <c r="J180" s="3"/>
      <c r="L180" s="3"/>
    </row>
    <row r="181" ht="14.25" customHeight="1">
      <c r="B181" s="3"/>
      <c r="D181" s="3"/>
      <c r="F181" s="3"/>
      <c r="H181" s="3"/>
      <c r="J181" s="3"/>
      <c r="L181" s="3"/>
    </row>
    <row r="182" ht="14.25" customHeight="1">
      <c r="B182" s="3"/>
      <c r="D182" s="3"/>
      <c r="F182" s="3"/>
      <c r="H182" s="3"/>
      <c r="J182" s="3"/>
      <c r="L182" s="3"/>
    </row>
    <row r="183" ht="14.25" customHeight="1">
      <c r="B183" s="3"/>
      <c r="D183" s="3"/>
      <c r="F183" s="3"/>
      <c r="H183" s="3"/>
      <c r="J183" s="3"/>
      <c r="L183" s="3"/>
    </row>
    <row r="184" ht="14.25" customHeight="1">
      <c r="B184" s="3"/>
      <c r="D184" s="3"/>
      <c r="F184" s="3"/>
      <c r="H184" s="3"/>
      <c r="J184" s="3"/>
      <c r="L184" s="3"/>
    </row>
    <row r="185" ht="14.25" customHeight="1">
      <c r="B185" s="3"/>
      <c r="D185" s="3"/>
      <c r="F185" s="3"/>
      <c r="H185" s="3"/>
      <c r="J185" s="3"/>
      <c r="L185" s="3"/>
    </row>
    <row r="186" ht="14.25" customHeight="1">
      <c r="B186" s="3"/>
      <c r="D186" s="3"/>
      <c r="F186" s="3"/>
      <c r="H186" s="3"/>
      <c r="J186" s="3"/>
      <c r="L186" s="3"/>
    </row>
    <row r="187" ht="14.25" customHeight="1">
      <c r="B187" s="3"/>
      <c r="D187" s="3"/>
      <c r="F187" s="3"/>
      <c r="H187" s="3"/>
      <c r="J187" s="3"/>
      <c r="L187" s="3"/>
    </row>
    <row r="188" ht="14.25" customHeight="1">
      <c r="B188" s="3"/>
      <c r="D188" s="3"/>
      <c r="F188" s="3"/>
      <c r="H188" s="3"/>
      <c r="J188" s="3"/>
      <c r="L188" s="3"/>
    </row>
    <row r="189" ht="14.25" customHeight="1">
      <c r="B189" s="3"/>
      <c r="D189" s="3"/>
      <c r="F189" s="3"/>
      <c r="H189" s="3"/>
      <c r="J189" s="3"/>
      <c r="L189" s="3"/>
    </row>
    <row r="190" ht="14.25" customHeight="1">
      <c r="B190" s="3"/>
      <c r="D190" s="3"/>
      <c r="F190" s="3"/>
      <c r="H190" s="3"/>
      <c r="J190" s="3"/>
      <c r="L190" s="3"/>
    </row>
    <row r="191" ht="14.25" customHeight="1">
      <c r="B191" s="3"/>
      <c r="D191" s="3"/>
      <c r="F191" s="3"/>
      <c r="H191" s="3"/>
      <c r="J191" s="3"/>
      <c r="L191" s="3"/>
    </row>
    <row r="192" ht="14.25" customHeight="1">
      <c r="B192" s="3"/>
      <c r="D192" s="3"/>
      <c r="F192" s="3"/>
      <c r="H192" s="3"/>
      <c r="J192" s="3"/>
      <c r="L192" s="3"/>
    </row>
    <row r="193" ht="14.25" customHeight="1">
      <c r="B193" s="3"/>
      <c r="D193" s="3"/>
      <c r="F193" s="3"/>
      <c r="H193" s="3"/>
      <c r="J193" s="3"/>
      <c r="L193" s="3"/>
    </row>
    <row r="194" ht="14.25" customHeight="1">
      <c r="B194" s="3"/>
      <c r="D194" s="3"/>
      <c r="F194" s="3"/>
      <c r="H194" s="3"/>
      <c r="J194" s="3"/>
      <c r="L194" s="3"/>
    </row>
    <row r="195" ht="14.25" customHeight="1">
      <c r="B195" s="3"/>
      <c r="D195" s="3"/>
      <c r="F195" s="3"/>
      <c r="H195" s="3"/>
      <c r="J195" s="3"/>
      <c r="L195" s="3"/>
    </row>
    <row r="196" ht="14.25" customHeight="1">
      <c r="B196" s="3"/>
      <c r="D196" s="3"/>
      <c r="F196" s="3"/>
      <c r="H196" s="3"/>
      <c r="J196" s="3"/>
      <c r="L196" s="3"/>
    </row>
    <row r="197" ht="14.25" customHeight="1">
      <c r="B197" s="3"/>
      <c r="D197" s="3"/>
      <c r="F197" s="3"/>
      <c r="H197" s="3"/>
      <c r="J197" s="3"/>
      <c r="L197" s="3"/>
    </row>
    <row r="198" ht="14.25" customHeight="1">
      <c r="B198" s="3"/>
      <c r="D198" s="3"/>
      <c r="F198" s="3"/>
      <c r="H198" s="3"/>
      <c r="J198" s="3"/>
      <c r="L198" s="3"/>
    </row>
    <row r="199" ht="14.25" customHeight="1">
      <c r="B199" s="3"/>
      <c r="D199" s="3"/>
      <c r="F199" s="3"/>
      <c r="H199" s="3"/>
      <c r="J199" s="3"/>
      <c r="L199" s="3"/>
    </row>
    <row r="200" ht="14.25" customHeight="1">
      <c r="B200" s="3"/>
      <c r="D200" s="3"/>
      <c r="F200" s="3"/>
      <c r="H200" s="3"/>
      <c r="J200" s="3"/>
      <c r="L200" s="3"/>
    </row>
    <row r="201" ht="14.25" customHeight="1">
      <c r="B201" s="3"/>
      <c r="D201" s="3"/>
      <c r="F201" s="3"/>
      <c r="H201" s="3"/>
      <c r="J201" s="3"/>
      <c r="L201" s="3"/>
    </row>
    <row r="202" ht="14.25" customHeight="1">
      <c r="B202" s="3"/>
      <c r="D202" s="3"/>
      <c r="F202" s="3"/>
      <c r="H202" s="3"/>
      <c r="J202" s="3"/>
      <c r="L202" s="3"/>
    </row>
    <row r="203" ht="14.25" customHeight="1">
      <c r="B203" s="3"/>
      <c r="D203" s="3"/>
      <c r="F203" s="3"/>
      <c r="H203" s="3"/>
      <c r="J203" s="3"/>
      <c r="L203" s="3"/>
    </row>
    <row r="204" ht="14.25" customHeight="1">
      <c r="B204" s="3"/>
      <c r="D204" s="3"/>
      <c r="F204" s="3"/>
      <c r="H204" s="3"/>
      <c r="J204" s="3"/>
      <c r="L204" s="3"/>
    </row>
    <row r="205" ht="14.25" customHeight="1">
      <c r="B205" s="3"/>
      <c r="D205" s="3"/>
      <c r="F205" s="3"/>
      <c r="H205" s="3"/>
      <c r="J205" s="3"/>
      <c r="L205" s="3"/>
    </row>
    <row r="206" ht="14.25" customHeight="1">
      <c r="B206" s="3"/>
      <c r="D206" s="3"/>
      <c r="F206" s="3"/>
      <c r="H206" s="3"/>
      <c r="J206" s="3"/>
      <c r="L206" s="3"/>
    </row>
    <row r="207" ht="14.25" customHeight="1">
      <c r="B207" s="3"/>
      <c r="D207" s="3"/>
      <c r="F207" s="3"/>
      <c r="H207" s="3"/>
      <c r="J207" s="3"/>
      <c r="L207" s="3"/>
    </row>
    <row r="208" ht="14.25" customHeight="1">
      <c r="B208" s="3"/>
      <c r="D208" s="3"/>
      <c r="F208" s="3"/>
      <c r="H208" s="3"/>
      <c r="J208" s="3"/>
      <c r="L208" s="3"/>
    </row>
    <row r="209" ht="14.25" customHeight="1">
      <c r="B209" s="3"/>
      <c r="D209" s="3"/>
      <c r="F209" s="3"/>
      <c r="H209" s="3"/>
      <c r="J209" s="3"/>
      <c r="L209" s="3"/>
    </row>
    <row r="210" ht="14.25" customHeight="1">
      <c r="B210" s="3"/>
      <c r="D210" s="3"/>
      <c r="F210" s="3"/>
      <c r="H210" s="3"/>
      <c r="J210" s="3"/>
      <c r="L210" s="3"/>
    </row>
    <row r="211" ht="14.25" customHeight="1">
      <c r="B211" s="3"/>
      <c r="D211" s="3"/>
      <c r="F211" s="3"/>
      <c r="H211" s="3"/>
      <c r="J211" s="3"/>
      <c r="L211" s="3"/>
    </row>
    <row r="212" ht="14.25" customHeight="1">
      <c r="B212" s="3"/>
      <c r="D212" s="3"/>
      <c r="F212" s="3"/>
      <c r="H212" s="3"/>
      <c r="J212" s="3"/>
      <c r="L212" s="3"/>
    </row>
    <row r="213" ht="14.25" customHeight="1">
      <c r="B213" s="3"/>
      <c r="D213" s="3"/>
      <c r="F213" s="3"/>
      <c r="H213" s="3"/>
      <c r="J213" s="3"/>
      <c r="L213" s="3"/>
    </row>
    <row r="214" ht="14.25" customHeight="1">
      <c r="B214" s="3"/>
      <c r="D214" s="3"/>
      <c r="F214" s="3"/>
      <c r="H214" s="3"/>
      <c r="J214" s="3"/>
      <c r="L214" s="3"/>
    </row>
    <row r="215" ht="14.25" customHeight="1">
      <c r="B215" s="3"/>
      <c r="D215" s="3"/>
      <c r="F215" s="3"/>
      <c r="H215" s="3"/>
      <c r="J215" s="3"/>
      <c r="L215" s="3"/>
    </row>
    <row r="216" ht="14.25" customHeight="1">
      <c r="B216" s="3"/>
      <c r="D216" s="3"/>
      <c r="F216" s="3"/>
      <c r="H216" s="3"/>
      <c r="J216" s="3"/>
      <c r="L216" s="3"/>
    </row>
    <row r="217" ht="14.25" customHeight="1">
      <c r="B217" s="3"/>
      <c r="D217" s="3"/>
      <c r="F217" s="3"/>
      <c r="H217" s="3"/>
      <c r="J217" s="3"/>
      <c r="L217" s="3"/>
    </row>
    <row r="218" ht="14.25" customHeight="1">
      <c r="B218" s="3"/>
      <c r="D218" s="3"/>
      <c r="F218" s="3"/>
      <c r="H218" s="3"/>
      <c r="J218" s="3"/>
      <c r="L218" s="3"/>
    </row>
    <row r="219" ht="14.25" customHeight="1">
      <c r="B219" s="3"/>
      <c r="D219" s="3"/>
      <c r="F219" s="3"/>
      <c r="H219" s="3"/>
      <c r="J219" s="3"/>
      <c r="L219" s="3"/>
    </row>
    <row r="220" ht="14.25" customHeight="1">
      <c r="B220" s="3"/>
      <c r="D220" s="3"/>
      <c r="F220" s="3"/>
      <c r="H220" s="3"/>
      <c r="J220" s="3"/>
      <c r="L220" s="3"/>
    </row>
    <row r="221" ht="14.25" customHeight="1">
      <c r="B221" s="3"/>
      <c r="D221" s="3"/>
      <c r="F221" s="3"/>
      <c r="H221" s="3"/>
      <c r="J221" s="3"/>
      <c r="L221" s="3"/>
    </row>
    <row r="222" ht="14.25" customHeight="1">
      <c r="B222" s="3"/>
      <c r="D222" s="3"/>
      <c r="F222" s="3"/>
      <c r="H222" s="3"/>
      <c r="J222" s="3"/>
      <c r="L222" s="3"/>
    </row>
    <row r="223" ht="14.25" customHeight="1">
      <c r="B223" s="3"/>
      <c r="D223" s="3"/>
      <c r="F223" s="3"/>
      <c r="H223" s="3"/>
      <c r="J223" s="3"/>
      <c r="L223" s="3"/>
    </row>
    <row r="224" ht="14.25" customHeight="1">
      <c r="B224" s="3"/>
      <c r="D224" s="3"/>
      <c r="F224" s="3"/>
      <c r="H224" s="3"/>
      <c r="J224" s="3"/>
      <c r="L224" s="3"/>
    </row>
    <row r="225" ht="14.25" customHeight="1">
      <c r="B225" s="3"/>
      <c r="D225" s="3"/>
      <c r="F225" s="3"/>
      <c r="H225" s="3"/>
      <c r="J225" s="3"/>
      <c r="L225" s="3"/>
    </row>
    <row r="226" ht="14.25" customHeight="1">
      <c r="B226" s="3"/>
      <c r="D226" s="3"/>
      <c r="F226" s="3"/>
      <c r="H226" s="3"/>
      <c r="J226" s="3"/>
      <c r="L226" s="3"/>
    </row>
    <row r="227" ht="14.25" customHeight="1">
      <c r="B227" s="3"/>
      <c r="D227" s="3"/>
      <c r="F227" s="3"/>
      <c r="H227" s="3"/>
      <c r="J227" s="3"/>
      <c r="L227" s="3"/>
    </row>
    <row r="228" ht="14.25" customHeight="1">
      <c r="B228" s="3"/>
      <c r="D228" s="3"/>
      <c r="F228" s="3"/>
      <c r="H228" s="3"/>
      <c r="J228" s="3"/>
      <c r="L228" s="3"/>
    </row>
    <row r="229" ht="14.25" customHeight="1">
      <c r="B229" s="3"/>
      <c r="D229" s="3"/>
      <c r="F229" s="3"/>
      <c r="H229" s="3"/>
      <c r="J229" s="3"/>
      <c r="L229" s="3"/>
    </row>
    <row r="230" ht="14.25" customHeight="1">
      <c r="B230" s="3"/>
      <c r="D230" s="3"/>
      <c r="F230" s="3"/>
      <c r="H230" s="3"/>
      <c r="J230" s="3"/>
      <c r="L230" s="3"/>
    </row>
    <row r="231" ht="14.25" customHeight="1">
      <c r="B231" s="3"/>
      <c r="D231" s="3"/>
      <c r="F231" s="3"/>
      <c r="H231" s="3"/>
      <c r="J231" s="3"/>
      <c r="L231" s="3"/>
    </row>
    <row r="232" ht="14.25" customHeight="1">
      <c r="B232" s="3"/>
      <c r="D232" s="3"/>
      <c r="F232" s="3"/>
      <c r="H232" s="3"/>
      <c r="J232" s="3"/>
      <c r="L232" s="3"/>
    </row>
    <row r="233" ht="14.25" customHeight="1">
      <c r="B233" s="3"/>
      <c r="D233" s="3"/>
      <c r="F233" s="3"/>
      <c r="H233" s="3"/>
      <c r="J233" s="3"/>
      <c r="L233" s="3"/>
    </row>
    <row r="234" ht="14.25" customHeight="1">
      <c r="B234" s="3"/>
      <c r="D234" s="3"/>
      <c r="F234" s="3"/>
      <c r="H234" s="3"/>
      <c r="J234" s="3"/>
      <c r="L234" s="3"/>
    </row>
    <row r="235" ht="14.25" customHeight="1">
      <c r="B235" s="3"/>
      <c r="D235" s="3"/>
      <c r="F235" s="3"/>
      <c r="H235" s="3"/>
      <c r="J235" s="3"/>
      <c r="L235" s="3"/>
    </row>
    <row r="236" ht="14.25" customHeight="1">
      <c r="B236" s="3"/>
      <c r="D236" s="3"/>
      <c r="F236" s="3"/>
      <c r="H236" s="3"/>
      <c r="J236" s="3"/>
      <c r="L236" s="3"/>
    </row>
    <row r="237" ht="14.25" customHeight="1">
      <c r="B237" s="3"/>
      <c r="D237" s="3"/>
      <c r="F237" s="3"/>
      <c r="H237" s="3"/>
      <c r="J237" s="3"/>
      <c r="L237" s="3"/>
    </row>
    <row r="238" ht="14.25" customHeight="1">
      <c r="B238" s="3"/>
      <c r="D238" s="3"/>
      <c r="F238" s="3"/>
      <c r="H238" s="3"/>
      <c r="J238" s="3"/>
      <c r="L238" s="3"/>
    </row>
    <row r="239" ht="14.25" customHeight="1">
      <c r="B239" s="3"/>
      <c r="D239" s="3"/>
      <c r="F239" s="3"/>
      <c r="H239" s="3"/>
      <c r="J239" s="3"/>
      <c r="L239" s="3"/>
    </row>
    <row r="240" ht="14.25" customHeight="1">
      <c r="B240" s="3"/>
      <c r="D240" s="3"/>
      <c r="F240" s="3"/>
      <c r="H240" s="3"/>
      <c r="J240" s="3"/>
      <c r="L240" s="3"/>
    </row>
    <row r="241" ht="14.25" customHeight="1">
      <c r="B241" s="3"/>
      <c r="D241" s="3"/>
      <c r="F241" s="3"/>
      <c r="H241" s="3"/>
      <c r="J241" s="3"/>
      <c r="L241" s="3"/>
    </row>
    <row r="242" ht="14.25" customHeight="1">
      <c r="B242" s="3"/>
      <c r="D242" s="3"/>
      <c r="F242" s="3"/>
      <c r="H242" s="3"/>
      <c r="J242" s="3"/>
      <c r="L242" s="3"/>
    </row>
    <row r="243" ht="14.25" customHeight="1">
      <c r="B243" s="3"/>
      <c r="D243" s="3"/>
      <c r="F243" s="3"/>
      <c r="H243" s="3"/>
      <c r="J243" s="3"/>
      <c r="L243" s="3"/>
    </row>
    <row r="244" ht="14.25" customHeight="1">
      <c r="B244" s="3"/>
      <c r="D244" s="3"/>
      <c r="F244" s="3"/>
      <c r="H244" s="3"/>
      <c r="J244" s="3"/>
      <c r="L244" s="3"/>
    </row>
    <row r="245" ht="14.25" customHeight="1">
      <c r="B245" s="3"/>
      <c r="D245" s="3"/>
      <c r="F245" s="3"/>
      <c r="H245" s="3"/>
      <c r="J245" s="3"/>
      <c r="L245" s="3"/>
    </row>
    <row r="246" ht="14.25" customHeight="1">
      <c r="B246" s="3"/>
      <c r="D246" s="3"/>
      <c r="F246" s="3"/>
      <c r="H246" s="3"/>
      <c r="J246" s="3"/>
      <c r="L246" s="3"/>
    </row>
    <row r="247" ht="14.25" customHeight="1">
      <c r="B247" s="3"/>
      <c r="D247" s="3"/>
      <c r="F247" s="3"/>
      <c r="H247" s="3"/>
      <c r="J247" s="3"/>
      <c r="L247" s="3"/>
    </row>
    <row r="248" ht="14.25" customHeight="1">
      <c r="B248" s="3"/>
      <c r="D248" s="3"/>
      <c r="F248" s="3"/>
      <c r="H248" s="3"/>
      <c r="J248" s="3"/>
      <c r="L248" s="3"/>
    </row>
    <row r="249" ht="14.25" customHeight="1">
      <c r="B249" s="3"/>
      <c r="D249" s="3"/>
      <c r="F249" s="3"/>
      <c r="H249" s="3"/>
      <c r="J249" s="3"/>
      <c r="L249" s="3"/>
    </row>
    <row r="250" ht="14.25" customHeight="1">
      <c r="B250" s="3"/>
      <c r="D250" s="3"/>
      <c r="F250" s="3"/>
      <c r="H250" s="3"/>
      <c r="J250" s="3"/>
      <c r="L250" s="3"/>
    </row>
    <row r="251" ht="14.25" customHeight="1">
      <c r="B251" s="3"/>
      <c r="D251" s="3"/>
      <c r="F251" s="3"/>
      <c r="H251" s="3"/>
      <c r="J251" s="3"/>
      <c r="L251" s="3"/>
    </row>
    <row r="252" ht="14.25" customHeight="1">
      <c r="B252" s="3"/>
      <c r="D252" s="3"/>
      <c r="F252" s="3"/>
      <c r="H252" s="3"/>
      <c r="J252" s="3"/>
      <c r="L252" s="3"/>
    </row>
    <row r="253" ht="14.25" customHeight="1">
      <c r="B253" s="3"/>
      <c r="D253" s="3"/>
      <c r="F253" s="3"/>
      <c r="H253" s="3"/>
      <c r="J253" s="3"/>
      <c r="L253" s="3"/>
    </row>
    <row r="254" ht="14.25" customHeight="1">
      <c r="B254" s="3"/>
      <c r="D254" s="3"/>
      <c r="F254" s="3"/>
      <c r="H254" s="3"/>
      <c r="J254" s="3"/>
      <c r="L254" s="3"/>
    </row>
    <row r="255" ht="14.25" customHeight="1">
      <c r="B255" s="3"/>
      <c r="D255" s="3"/>
      <c r="F255" s="3"/>
      <c r="H255" s="3"/>
      <c r="J255" s="3"/>
      <c r="L255" s="3"/>
    </row>
    <row r="256" ht="14.25" customHeight="1">
      <c r="B256" s="3"/>
      <c r="D256" s="3"/>
      <c r="F256" s="3"/>
      <c r="H256" s="3"/>
      <c r="J256" s="3"/>
      <c r="L256" s="3"/>
    </row>
    <row r="257" ht="14.25" customHeight="1">
      <c r="B257" s="3"/>
      <c r="D257" s="3"/>
      <c r="F257" s="3"/>
      <c r="H257" s="3"/>
      <c r="J257" s="3"/>
      <c r="L257" s="3"/>
    </row>
    <row r="258" ht="14.25" customHeight="1">
      <c r="B258" s="3"/>
      <c r="D258" s="3"/>
      <c r="F258" s="3"/>
      <c r="H258" s="3"/>
      <c r="J258" s="3"/>
      <c r="L258" s="3"/>
    </row>
    <row r="259" ht="14.25" customHeight="1">
      <c r="B259" s="3"/>
      <c r="D259" s="3"/>
      <c r="F259" s="3"/>
      <c r="H259" s="3"/>
      <c r="J259" s="3"/>
      <c r="L259" s="3"/>
    </row>
    <row r="260" ht="14.25" customHeight="1">
      <c r="B260" s="3"/>
      <c r="D260" s="3"/>
      <c r="F260" s="3"/>
      <c r="H260" s="3"/>
      <c r="J260" s="3"/>
      <c r="L260" s="3"/>
    </row>
    <row r="261" ht="14.25" customHeight="1">
      <c r="B261" s="3"/>
      <c r="D261" s="3"/>
      <c r="F261" s="3"/>
      <c r="H261" s="3"/>
      <c r="J261" s="3"/>
      <c r="L261" s="3"/>
    </row>
    <row r="262" ht="14.25" customHeight="1">
      <c r="B262" s="3"/>
      <c r="D262" s="3"/>
      <c r="F262" s="3"/>
      <c r="H262" s="3"/>
      <c r="J262" s="3"/>
      <c r="L262" s="3"/>
    </row>
    <row r="263" ht="14.25" customHeight="1">
      <c r="B263" s="3"/>
      <c r="D263" s="3"/>
      <c r="F263" s="3"/>
      <c r="H263" s="3"/>
      <c r="J263" s="3"/>
      <c r="L263" s="3"/>
    </row>
    <row r="264" ht="14.25" customHeight="1">
      <c r="B264" s="3"/>
      <c r="D264" s="3"/>
      <c r="F264" s="3"/>
      <c r="H264" s="3"/>
      <c r="J264" s="3"/>
      <c r="L264" s="3"/>
    </row>
    <row r="265" ht="14.25" customHeight="1">
      <c r="B265" s="3"/>
      <c r="D265" s="3"/>
      <c r="F265" s="3"/>
      <c r="H265" s="3"/>
      <c r="J265" s="3"/>
      <c r="L265" s="3"/>
    </row>
    <row r="266" ht="14.25" customHeight="1">
      <c r="B266" s="3"/>
      <c r="D266" s="3"/>
      <c r="F266" s="3"/>
      <c r="H266" s="3"/>
      <c r="J266" s="3"/>
      <c r="L266" s="3"/>
    </row>
    <row r="267" ht="14.25" customHeight="1">
      <c r="B267" s="3"/>
      <c r="D267" s="3"/>
      <c r="F267" s="3"/>
      <c r="H267" s="3"/>
      <c r="J267" s="3"/>
      <c r="L267" s="3"/>
    </row>
    <row r="268" ht="14.25" customHeight="1">
      <c r="B268" s="3"/>
      <c r="D268" s="3"/>
      <c r="F268" s="3"/>
      <c r="H268" s="3"/>
      <c r="J268" s="3"/>
      <c r="L268" s="3"/>
    </row>
    <row r="269" ht="14.25" customHeight="1">
      <c r="B269" s="3"/>
      <c r="D269" s="3"/>
      <c r="F269" s="3"/>
      <c r="H269" s="3"/>
      <c r="J269" s="3"/>
      <c r="L269" s="3"/>
    </row>
    <row r="270" ht="14.25" customHeight="1">
      <c r="B270" s="3"/>
      <c r="D270" s="3"/>
      <c r="F270" s="3"/>
      <c r="H270" s="3"/>
      <c r="J270" s="3"/>
      <c r="L270" s="3"/>
    </row>
    <row r="271" ht="14.25" customHeight="1">
      <c r="B271" s="3"/>
      <c r="D271" s="3"/>
      <c r="F271" s="3"/>
      <c r="H271" s="3"/>
      <c r="J271" s="3"/>
      <c r="L271" s="3"/>
    </row>
    <row r="272" ht="14.25" customHeight="1">
      <c r="B272" s="3"/>
      <c r="D272" s="3"/>
      <c r="F272" s="3"/>
      <c r="H272" s="3"/>
      <c r="J272" s="3"/>
      <c r="L272" s="3"/>
    </row>
    <row r="273" ht="14.25" customHeight="1">
      <c r="B273" s="3"/>
      <c r="D273" s="3"/>
      <c r="F273" s="3"/>
      <c r="H273" s="3"/>
      <c r="J273" s="3"/>
      <c r="L273" s="3"/>
    </row>
    <row r="274" ht="14.25" customHeight="1">
      <c r="B274" s="3"/>
      <c r="D274" s="3"/>
      <c r="F274" s="3"/>
      <c r="H274" s="3"/>
      <c r="J274" s="3"/>
      <c r="L274" s="3"/>
    </row>
    <row r="275" ht="14.25" customHeight="1">
      <c r="B275" s="3"/>
      <c r="D275" s="3"/>
      <c r="F275" s="3"/>
      <c r="H275" s="3"/>
      <c r="J275" s="3"/>
      <c r="L275" s="3"/>
    </row>
    <row r="276" ht="14.25" customHeight="1">
      <c r="B276" s="3"/>
      <c r="D276" s="3"/>
      <c r="F276" s="3"/>
      <c r="H276" s="3"/>
      <c r="J276" s="3"/>
      <c r="L276" s="3"/>
    </row>
    <row r="277" ht="14.25" customHeight="1">
      <c r="B277" s="3"/>
      <c r="D277" s="3"/>
      <c r="F277" s="3"/>
      <c r="H277" s="3"/>
      <c r="J277" s="3"/>
      <c r="L277" s="3"/>
    </row>
    <row r="278" ht="14.25" customHeight="1">
      <c r="B278" s="3"/>
      <c r="D278" s="3"/>
      <c r="F278" s="3"/>
      <c r="H278" s="3"/>
      <c r="J278" s="3"/>
      <c r="L278" s="3"/>
    </row>
    <row r="279" ht="14.25" customHeight="1">
      <c r="B279" s="3"/>
      <c r="D279" s="3"/>
      <c r="F279" s="3"/>
      <c r="H279" s="3"/>
      <c r="J279" s="3"/>
      <c r="L279" s="3"/>
    </row>
    <row r="280" ht="14.25" customHeight="1">
      <c r="B280" s="3"/>
      <c r="D280" s="3"/>
      <c r="F280" s="3"/>
      <c r="H280" s="3"/>
      <c r="J280" s="3"/>
      <c r="L280" s="3"/>
    </row>
    <row r="281" ht="14.25" customHeight="1">
      <c r="B281" s="3"/>
      <c r="D281" s="3"/>
      <c r="F281" s="3"/>
      <c r="H281" s="3"/>
      <c r="J281" s="3"/>
      <c r="L281" s="3"/>
    </row>
    <row r="282" ht="14.25" customHeight="1">
      <c r="B282" s="3"/>
      <c r="D282" s="3"/>
      <c r="F282" s="3"/>
      <c r="H282" s="3"/>
      <c r="J282" s="3"/>
      <c r="L282" s="3"/>
    </row>
    <row r="283" ht="14.25" customHeight="1">
      <c r="B283" s="3"/>
      <c r="D283" s="3"/>
      <c r="F283" s="3"/>
      <c r="H283" s="3"/>
      <c r="J283" s="3"/>
      <c r="L283" s="3"/>
    </row>
    <row r="284" ht="14.25" customHeight="1">
      <c r="B284" s="3"/>
      <c r="D284" s="3"/>
      <c r="F284" s="3"/>
      <c r="H284" s="3"/>
      <c r="J284" s="3"/>
      <c r="L284" s="3"/>
    </row>
    <row r="285" ht="14.25" customHeight="1">
      <c r="B285" s="3"/>
      <c r="D285" s="3"/>
      <c r="F285" s="3"/>
      <c r="H285" s="3"/>
      <c r="J285" s="3"/>
      <c r="L285" s="3"/>
    </row>
    <row r="286" ht="14.25" customHeight="1">
      <c r="B286" s="3"/>
      <c r="D286" s="3"/>
      <c r="F286" s="3"/>
      <c r="H286" s="3"/>
      <c r="J286" s="3"/>
      <c r="L286" s="3"/>
    </row>
    <row r="287" ht="14.25" customHeight="1">
      <c r="B287" s="3"/>
      <c r="D287" s="3"/>
      <c r="F287" s="3"/>
      <c r="H287" s="3"/>
      <c r="J287" s="3"/>
      <c r="L287" s="3"/>
    </row>
    <row r="288" ht="14.25" customHeight="1">
      <c r="B288" s="3"/>
      <c r="D288" s="3"/>
      <c r="F288" s="3"/>
      <c r="H288" s="3"/>
      <c r="J288" s="3"/>
      <c r="L288" s="3"/>
    </row>
    <row r="289" ht="14.25" customHeight="1">
      <c r="B289" s="3"/>
      <c r="D289" s="3"/>
      <c r="F289" s="3"/>
      <c r="H289" s="3"/>
      <c r="J289" s="3"/>
      <c r="L289" s="3"/>
    </row>
    <row r="290" ht="14.25" customHeight="1">
      <c r="B290" s="3"/>
      <c r="D290" s="3"/>
      <c r="F290" s="3"/>
      <c r="H290" s="3"/>
      <c r="J290" s="3"/>
      <c r="L290" s="3"/>
    </row>
    <row r="291" ht="14.25" customHeight="1">
      <c r="B291" s="3"/>
      <c r="D291" s="3"/>
      <c r="F291" s="3"/>
      <c r="H291" s="3"/>
      <c r="J291" s="3"/>
      <c r="L291" s="3"/>
    </row>
    <row r="292" ht="14.25" customHeight="1">
      <c r="B292" s="3"/>
      <c r="D292" s="3"/>
      <c r="F292" s="3"/>
      <c r="H292" s="3"/>
      <c r="J292" s="3"/>
      <c r="L292" s="3"/>
    </row>
    <row r="293" ht="14.25" customHeight="1">
      <c r="B293" s="3"/>
      <c r="D293" s="3"/>
      <c r="F293" s="3"/>
      <c r="H293" s="3"/>
      <c r="J293" s="3"/>
      <c r="L293" s="3"/>
    </row>
    <row r="294" ht="14.25" customHeight="1">
      <c r="B294" s="3"/>
      <c r="D294" s="3"/>
      <c r="F294" s="3"/>
      <c r="H294" s="3"/>
      <c r="J294" s="3"/>
      <c r="L294" s="3"/>
    </row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9">
    <mergeCell ref="J4:K4"/>
    <mergeCell ref="L4:M4"/>
    <mergeCell ref="A1:K1"/>
    <mergeCell ref="A2:K2"/>
    <mergeCell ref="A3:K3"/>
    <mergeCell ref="B4:C4"/>
    <mergeCell ref="D4:E4"/>
    <mergeCell ref="F4:G4"/>
    <mergeCell ref="H4:I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2" t="s">
        <v>0</v>
      </c>
    </row>
    <row r="2" ht="14.25" customHeight="1">
      <c r="A2" s="4" t="s">
        <v>1</v>
      </c>
    </row>
    <row r="3" ht="14.25" customHeight="1">
      <c r="A3" s="5" t="s">
        <v>2</v>
      </c>
    </row>
    <row r="4" ht="14.25" customHeight="1"/>
    <row r="5" ht="13.5" customHeight="1">
      <c r="A5" s="7"/>
      <c r="B5" s="1" t="s">
        <v>3</v>
      </c>
      <c r="D5" s="1" t="s">
        <v>4</v>
      </c>
      <c r="F5" s="1" t="s">
        <v>5</v>
      </c>
      <c r="H5" s="1" t="s">
        <v>7</v>
      </c>
      <c r="J5" s="1" t="s">
        <v>8</v>
      </c>
      <c r="L5" s="1" t="s">
        <v>10</v>
      </c>
      <c r="N5" s="1" t="s">
        <v>11</v>
      </c>
      <c r="P5" s="1" t="s">
        <v>13</v>
      </c>
      <c r="R5" s="1" t="s">
        <v>15</v>
      </c>
      <c r="T5" s="1" t="s">
        <v>17</v>
      </c>
      <c r="V5" s="1" t="s">
        <v>19</v>
      </c>
      <c r="X5" s="1" t="s">
        <v>21</v>
      </c>
      <c r="Z5" s="1" t="s">
        <v>22</v>
      </c>
      <c r="AB5" s="1" t="s">
        <v>24</v>
      </c>
      <c r="AD5" s="10" t="s">
        <v>26</v>
      </c>
      <c r="AF5" s="10" t="s">
        <v>27</v>
      </c>
      <c r="AG5" s="1" t="s">
        <v>29</v>
      </c>
      <c r="AI5" s="10" t="s">
        <v>30</v>
      </c>
      <c r="AK5" s="10" t="s">
        <v>31</v>
      </c>
    </row>
    <row r="6" ht="16.5" customHeight="1">
      <c r="A6" s="13" t="s">
        <v>25</v>
      </c>
      <c r="B6" s="14"/>
      <c r="C6" s="12"/>
      <c r="D6" s="14"/>
      <c r="E6" s="12"/>
      <c r="F6" s="14"/>
      <c r="G6" s="12"/>
      <c r="H6" s="14"/>
      <c r="I6" s="12"/>
      <c r="J6" s="14"/>
      <c r="K6" s="12"/>
      <c r="L6" s="14"/>
      <c r="M6" s="12"/>
      <c r="N6" s="14"/>
      <c r="O6" s="12"/>
      <c r="P6" s="14"/>
      <c r="Q6" s="12"/>
      <c r="R6" s="14"/>
      <c r="S6" s="12"/>
      <c r="T6" s="14"/>
      <c r="U6" s="12"/>
      <c r="V6" s="14"/>
      <c r="W6" s="12"/>
      <c r="X6" s="14"/>
      <c r="Y6" s="12"/>
      <c r="Z6" s="14"/>
      <c r="AA6" s="12"/>
      <c r="AB6" s="14"/>
      <c r="AC6" s="12"/>
      <c r="AD6" s="17"/>
      <c r="AE6" s="18"/>
      <c r="AF6" s="17"/>
      <c r="AG6" s="14"/>
      <c r="AH6" s="12"/>
      <c r="AI6" s="17"/>
      <c r="AJ6" s="18"/>
      <c r="AK6" s="17"/>
      <c r="AL6" s="18"/>
    </row>
    <row r="7" ht="16.5" customHeight="1">
      <c r="A7" s="19" t="s">
        <v>25</v>
      </c>
      <c r="B7" s="21">
        <v>203694.32</v>
      </c>
      <c r="C7" s="23">
        <f>IFERROR(B7/B148, "NA")</f>
        <v>1</v>
      </c>
      <c r="D7" s="21">
        <v>185604.19</v>
      </c>
      <c r="E7" s="23">
        <f>IFERROR(D7/D148, "NA")</f>
        <v>1</v>
      </c>
      <c r="F7" s="21">
        <v>141258.89</v>
      </c>
      <c r="G7" s="23">
        <f>IFERROR(F7/F148, "NA")</f>
        <v>1</v>
      </c>
      <c r="H7" s="21">
        <v>74664.32</v>
      </c>
      <c r="I7" s="23">
        <f>IFERROR(H7/H148, "NA")</f>
        <v>1</v>
      </c>
      <c r="J7" s="21">
        <v>142398.2</v>
      </c>
      <c r="K7" s="23">
        <f>IFERROR(J7/J148, "NA")</f>
        <v>1</v>
      </c>
      <c r="L7" s="21">
        <v>135140.37</v>
      </c>
      <c r="M7" s="23">
        <f>IFERROR(L7/L148, "NA")</f>
        <v>1</v>
      </c>
      <c r="N7" s="21">
        <v>121597.41</v>
      </c>
      <c r="O7" s="23">
        <f>IFERROR(N7/N148, "NA")</f>
        <v>1</v>
      </c>
      <c r="P7" s="21">
        <v>56612.63</v>
      </c>
      <c r="Q7" s="23">
        <f>IFERROR(P7/P148, "NA")</f>
        <v>1</v>
      </c>
      <c r="R7" s="21">
        <v>69486.64</v>
      </c>
      <c r="S7" s="23">
        <f>IFERROR(R7/R148, "NA")</f>
        <v>1</v>
      </c>
      <c r="T7" s="21">
        <v>110506.18</v>
      </c>
      <c r="U7" s="23">
        <f>IFERROR(T7/T148, "NA")</f>
        <v>1</v>
      </c>
      <c r="V7" s="21">
        <v>135051.74</v>
      </c>
      <c r="W7" s="23">
        <f>IFERROR(V7/V148, "NA")</f>
        <v>1</v>
      </c>
      <c r="X7" s="21">
        <v>115942.83</v>
      </c>
      <c r="Y7" s="23">
        <f>IFERROR(X7/X148, "NA")</f>
        <v>1</v>
      </c>
      <c r="Z7" s="21">
        <v>430987.39</v>
      </c>
      <c r="AA7" s="23">
        <f>IFERROR(Z7/Z148, "NA")</f>
        <v>1</v>
      </c>
      <c r="AB7" s="28">
        <f t="shared" ref="AB7:AB9" si="1">IFERROR((R7+T7+V7+X7)/4, "NA")</f>
        <v>107746.8475</v>
      </c>
      <c r="AC7" s="23">
        <f>IFERROR(AB7/AB148, "NA")</f>
        <v>1</v>
      </c>
      <c r="AD7" s="29">
        <f t="shared" ref="AD7:AD9" si="2">IFERROR(X7-AB7, "NA")</f>
        <v>8195.9825</v>
      </c>
      <c r="AE7" s="30">
        <f>IFERROR(AD7/AD148, "NA")</f>
        <v>1</v>
      </c>
      <c r="AF7" s="29">
        <f t="shared" ref="AF7:AF9" si="3">IFERROR((X7-AB7)/AB7, "NA")</f>
        <v>0.07606702832</v>
      </c>
      <c r="AG7" s="28">
        <f t="shared" ref="AG7:AG9" si="4">IFERROR((J7+L7+N7+P7+R7+T7+V7+X7)/8, "NA")</f>
        <v>110842</v>
      </c>
      <c r="AH7" s="23">
        <f>IFERROR(AG7/AG148, "NA")</f>
        <v>1</v>
      </c>
      <c r="AI7" s="29">
        <f t="shared" ref="AI7:AI9" si="5">IFERROR(X7-AG7, "NA")</f>
        <v>5100.83</v>
      </c>
      <c r="AJ7" s="30">
        <f>IFERROR(AI7/AI148, "NA")</f>
        <v>1</v>
      </c>
      <c r="AK7" s="29">
        <f t="shared" ref="AK7:AK9" si="6">IFERROR((X7-AG7)/AG7, "NA")</f>
        <v>0.04601892784</v>
      </c>
      <c r="AL7" s="30">
        <f>IFERROR(AK7/AK148, "NA")</f>
        <v>1</v>
      </c>
    </row>
    <row r="8" ht="30.75" hidden="1" customHeight="1">
      <c r="A8" s="19" t="s">
        <v>46</v>
      </c>
      <c r="B8" s="21">
        <v>0.0</v>
      </c>
      <c r="C8" s="23">
        <f>IFERROR(B8/B148, "NA")</f>
        <v>0</v>
      </c>
      <c r="D8" s="21">
        <v>0.0</v>
      </c>
      <c r="E8" s="23">
        <f>IFERROR(D8/D148, "NA")</f>
        <v>0</v>
      </c>
      <c r="F8" s="21">
        <v>0.0</v>
      </c>
      <c r="G8" s="23">
        <f>IFERROR(F8/F148, "NA")</f>
        <v>0</v>
      </c>
      <c r="H8" s="21">
        <v>0.0</v>
      </c>
      <c r="I8" s="23">
        <f>IFERROR(H8/H148, "NA")</f>
        <v>0</v>
      </c>
      <c r="J8" s="21">
        <v>0.0</v>
      </c>
      <c r="K8" s="23">
        <f>IFERROR(J8/J148, "NA")</f>
        <v>0</v>
      </c>
      <c r="L8" s="21">
        <v>0.0</v>
      </c>
      <c r="M8" s="23">
        <f>IFERROR(L8/L148, "NA")</f>
        <v>0</v>
      </c>
      <c r="N8" s="21">
        <v>0.0</v>
      </c>
      <c r="O8" s="23">
        <f>IFERROR(N8/N148, "NA")</f>
        <v>0</v>
      </c>
      <c r="P8" s="21">
        <v>0.0</v>
      </c>
      <c r="Q8" s="23">
        <f>IFERROR(P8/P148, "NA")</f>
        <v>0</v>
      </c>
      <c r="R8" s="21">
        <v>0.0</v>
      </c>
      <c r="S8" s="23">
        <f>IFERROR(R8/R148, "NA")</f>
        <v>0</v>
      </c>
      <c r="T8" s="21">
        <v>0.0</v>
      </c>
      <c r="U8" s="23">
        <f>IFERROR(T8/T148, "NA")</f>
        <v>0</v>
      </c>
      <c r="V8" s="21">
        <v>0.0</v>
      </c>
      <c r="W8" s="23">
        <f>IFERROR(V8/V148, "NA")</f>
        <v>0</v>
      </c>
      <c r="X8" s="21">
        <v>0.0</v>
      </c>
      <c r="Y8" s="23">
        <f>IFERROR(X8/X148, "NA")</f>
        <v>0</v>
      </c>
      <c r="Z8" s="21">
        <v>0.0</v>
      </c>
      <c r="AA8" s="23">
        <f>IFERROR(Z8/Z148, "NA")</f>
        <v>0</v>
      </c>
      <c r="AB8" s="28">
        <f t="shared" si="1"/>
        <v>0</v>
      </c>
      <c r="AC8" s="23">
        <f>IFERROR(AB8/AB148, "NA")</f>
        <v>0</v>
      </c>
      <c r="AD8" s="29">
        <f t="shared" si="2"/>
        <v>0</v>
      </c>
      <c r="AE8" s="30">
        <f>IFERROR(AD8/AD148, "NA")</f>
        <v>0</v>
      </c>
      <c r="AF8" s="29" t="str">
        <f t="shared" si="3"/>
        <v>NA</v>
      </c>
      <c r="AG8" s="28">
        <f t="shared" si="4"/>
        <v>0</v>
      </c>
      <c r="AH8" s="23">
        <f>IFERROR(AG8/AG148, "NA")</f>
        <v>0</v>
      </c>
      <c r="AI8" s="29">
        <f t="shared" si="5"/>
        <v>0</v>
      </c>
      <c r="AJ8" s="30">
        <f>IFERROR(AI8/AI148, "NA")</f>
        <v>0</v>
      </c>
      <c r="AK8" s="29" t="str">
        <f t="shared" si="6"/>
        <v>NA</v>
      </c>
      <c r="AL8" s="30" t="str">
        <f>IFERROR(AK8/AK148, "NA")</f>
        <v>NA</v>
      </c>
    </row>
    <row r="9" ht="16.5" customHeight="1">
      <c r="A9" s="65" t="s">
        <v>54</v>
      </c>
      <c r="B9" s="66">
        <f>IFERROR(B7+B8, "NA")</f>
        <v>203694.32</v>
      </c>
      <c r="C9" s="67">
        <f>IFERROR(B9/B148, "NA")</f>
        <v>1</v>
      </c>
      <c r="D9" s="66">
        <f>IFERROR(D7+D8, "NA")</f>
        <v>185604.19</v>
      </c>
      <c r="E9" s="67">
        <f>IFERROR(D9/D148, "NA")</f>
        <v>1</v>
      </c>
      <c r="F9" s="66">
        <f>IFERROR(F7+F8, "NA")</f>
        <v>141258.89</v>
      </c>
      <c r="G9" s="67">
        <f>IFERROR(F9/F148, "NA")</f>
        <v>1</v>
      </c>
      <c r="H9" s="66">
        <f>IFERROR(H7+H8, "NA")</f>
        <v>74664.32</v>
      </c>
      <c r="I9" s="67">
        <f>IFERROR(H9/H148, "NA")</f>
        <v>1</v>
      </c>
      <c r="J9" s="66">
        <f>IFERROR(J7+J8, "NA")</f>
        <v>142398.2</v>
      </c>
      <c r="K9" s="67">
        <f>IFERROR(J9/J148, "NA")</f>
        <v>1</v>
      </c>
      <c r="L9" s="66">
        <f>IFERROR(L7+L8, "NA")</f>
        <v>135140.37</v>
      </c>
      <c r="M9" s="67">
        <f>IFERROR(L9/L148, "NA")</f>
        <v>1</v>
      </c>
      <c r="N9" s="66">
        <f>IFERROR(N7+N8, "NA")</f>
        <v>121597.41</v>
      </c>
      <c r="O9" s="67">
        <f>IFERROR(N9/N148, "NA")</f>
        <v>1</v>
      </c>
      <c r="P9" s="66">
        <f>IFERROR(P7+P8, "NA")</f>
        <v>56612.63</v>
      </c>
      <c r="Q9" s="67">
        <f>IFERROR(P9/P148, "NA")</f>
        <v>1</v>
      </c>
      <c r="R9" s="66">
        <f>IFERROR(R7+R8, "NA")</f>
        <v>69486.64</v>
      </c>
      <c r="S9" s="67">
        <f>IFERROR(R9/R148, "NA")</f>
        <v>1</v>
      </c>
      <c r="T9" s="66">
        <f>IFERROR(T7+T8, "NA")</f>
        <v>110506.18</v>
      </c>
      <c r="U9" s="67">
        <f>IFERROR(T9/T148, "NA")</f>
        <v>1</v>
      </c>
      <c r="V9" s="66">
        <f>IFERROR(V7+V8, "NA")</f>
        <v>135051.74</v>
      </c>
      <c r="W9" s="67">
        <f>IFERROR(V9/V148, "NA")</f>
        <v>1</v>
      </c>
      <c r="X9" s="66">
        <f>IFERROR(X7+X8, "NA")</f>
        <v>115942.83</v>
      </c>
      <c r="Y9" s="67">
        <f>IFERROR(X9/X148, "NA")</f>
        <v>1</v>
      </c>
      <c r="Z9" s="66">
        <f>IFERROR(Z7+Z8, "NA")</f>
        <v>430987.39</v>
      </c>
      <c r="AA9" s="67">
        <f>IFERROR(Z9/Z148, "NA")</f>
        <v>1</v>
      </c>
      <c r="AB9" s="66">
        <f t="shared" si="1"/>
        <v>107746.8475</v>
      </c>
      <c r="AC9" s="67">
        <f>IFERROR(AB9/AB148, "NA")</f>
        <v>1</v>
      </c>
      <c r="AD9" s="75">
        <f t="shared" si="2"/>
        <v>8195.9825</v>
      </c>
      <c r="AE9" s="76">
        <f>IFERROR(AD9/AD148, "NA")</f>
        <v>1</v>
      </c>
      <c r="AF9" s="75">
        <f t="shared" si="3"/>
        <v>0.07606702832</v>
      </c>
      <c r="AG9" s="66">
        <f t="shared" si="4"/>
        <v>110842</v>
      </c>
      <c r="AH9" s="67">
        <f>IFERROR(AG9/AG148, "NA")</f>
        <v>1</v>
      </c>
      <c r="AI9" s="75">
        <f t="shared" si="5"/>
        <v>5100.83</v>
      </c>
      <c r="AJ9" s="76">
        <f>IFERROR(AI9/AI148, "NA")</f>
        <v>1</v>
      </c>
      <c r="AK9" s="75">
        <f t="shared" si="6"/>
        <v>0.04601892784</v>
      </c>
      <c r="AL9" s="76">
        <f>IFERROR(AK9/AK148, "NA")</f>
        <v>1</v>
      </c>
    </row>
    <row r="10" ht="3.75" customHeight="1">
      <c r="A10" s="77"/>
      <c r="B10" s="78"/>
      <c r="C10" s="74"/>
      <c r="D10" s="78"/>
      <c r="E10" s="74"/>
      <c r="F10" s="78"/>
      <c r="G10" s="74"/>
      <c r="H10" s="78"/>
      <c r="I10" s="74"/>
      <c r="J10" s="78"/>
      <c r="K10" s="74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4"/>
      <c r="AB10" s="78"/>
      <c r="AC10" s="74"/>
      <c r="AD10" s="79"/>
      <c r="AE10" s="80"/>
      <c r="AF10" s="79"/>
      <c r="AG10" s="78"/>
      <c r="AH10" s="74"/>
      <c r="AI10" s="79"/>
      <c r="AJ10" s="80"/>
      <c r="AK10" s="79"/>
      <c r="AL10" s="80"/>
    </row>
    <row r="11" ht="16.5" customHeight="1">
      <c r="A11" s="13" t="s">
        <v>65</v>
      </c>
      <c r="B11" s="14"/>
      <c r="C11" s="12"/>
      <c r="D11" s="14"/>
      <c r="E11" s="12"/>
      <c r="F11" s="14"/>
      <c r="G11" s="12"/>
      <c r="H11" s="14"/>
      <c r="I11" s="12"/>
      <c r="J11" s="14"/>
      <c r="K11" s="12"/>
      <c r="L11" s="14"/>
      <c r="M11" s="12"/>
      <c r="N11" s="14"/>
      <c r="O11" s="12"/>
      <c r="P11" s="14"/>
      <c r="Q11" s="12"/>
      <c r="R11" s="14"/>
      <c r="S11" s="12"/>
      <c r="T11" s="14"/>
      <c r="U11" s="12"/>
      <c r="V11" s="14"/>
      <c r="W11" s="12"/>
      <c r="X11" s="14"/>
      <c r="Y11" s="12"/>
      <c r="Z11" s="14"/>
      <c r="AA11" s="12"/>
      <c r="AB11" s="14"/>
      <c r="AC11" s="12"/>
      <c r="AD11" s="17"/>
      <c r="AE11" s="18"/>
      <c r="AF11" s="17"/>
      <c r="AG11" s="14"/>
      <c r="AH11" s="12"/>
      <c r="AI11" s="17"/>
      <c r="AJ11" s="18"/>
      <c r="AK11" s="17"/>
      <c r="AL11" s="18"/>
    </row>
    <row r="12" ht="16.5" customHeight="1">
      <c r="A12" s="13" t="s">
        <v>66</v>
      </c>
      <c r="B12" s="14"/>
      <c r="C12" s="12"/>
      <c r="D12" s="14"/>
      <c r="E12" s="12"/>
      <c r="F12" s="14"/>
      <c r="G12" s="12"/>
      <c r="H12" s="14"/>
      <c r="I12" s="12"/>
      <c r="J12" s="14"/>
      <c r="K12" s="12"/>
      <c r="L12" s="14"/>
      <c r="M12" s="12"/>
      <c r="N12" s="14"/>
      <c r="O12" s="12"/>
      <c r="P12" s="14"/>
      <c r="Q12" s="12"/>
      <c r="R12" s="14"/>
      <c r="S12" s="12"/>
      <c r="T12" s="14"/>
      <c r="U12" s="12"/>
      <c r="V12" s="14"/>
      <c r="W12" s="12"/>
      <c r="X12" s="14"/>
      <c r="Y12" s="12"/>
      <c r="Z12" s="14"/>
      <c r="AA12" s="12"/>
      <c r="AB12" s="14"/>
      <c r="AC12" s="12"/>
      <c r="AD12" s="17"/>
      <c r="AE12" s="18"/>
      <c r="AF12" s="17"/>
      <c r="AG12" s="14"/>
      <c r="AH12" s="12"/>
      <c r="AI12" s="17"/>
      <c r="AJ12" s="18"/>
      <c r="AK12" s="17"/>
      <c r="AL12" s="18"/>
    </row>
    <row r="13" ht="16.5" hidden="1" customHeight="1">
      <c r="A13" s="19" t="s">
        <v>67</v>
      </c>
      <c r="B13" s="21">
        <v>0.0</v>
      </c>
      <c r="C13" s="23">
        <f>IFERROR(B13/B148, "NA")</f>
        <v>0</v>
      </c>
      <c r="D13" s="21">
        <v>0.0</v>
      </c>
      <c r="E13" s="23">
        <f>IFERROR(D13/D148, "NA")</f>
        <v>0</v>
      </c>
      <c r="F13" s="21">
        <v>0.0</v>
      </c>
      <c r="G13" s="23">
        <f>IFERROR(F13/F148, "NA")</f>
        <v>0</v>
      </c>
      <c r="H13" s="21">
        <v>0.0</v>
      </c>
      <c r="I13" s="23">
        <f>IFERROR(H13/H148, "NA")</f>
        <v>0</v>
      </c>
      <c r="J13" s="21">
        <v>0.0</v>
      </c>
      <c r="K13" s="23">
        <f>IFERROR(J13/J148, "NA")</f>
        <v>0</v>
      </c>
      <c r="L13" s="21">
        <v>0.0</v>
      </c>
      <c r="M13" s="23">
        <f>IFERROR(L13/L148, "NA")</f>
        <v>0</v>
      </c>
      <c r="N13" s="21">
        <v>0.0</v>
      </c>
      <c r="O13" s="23">
        <f>IFERROR(N13/N148, "NA")</f>
        <v>0</v>
      </c>
      <c r="P13" s="21">
        <v>0.0</v>
      </c>
      <c r="Q13" s="23">
        <f>IFERROR(P13/P148, "NA")</f>
        <v>0</v>
      </c>
      <c r="R13" s="21">
        <v>0.0</v>
      </c>
      <c r="S13" s="23">
        <f>IFERROR(R13/R148, "NA")</f>
        <v>0</v>
      </c>
      <c r="T13" s="21">
        <v>0.0</v>
      </c>
      <c r="U13" s="23">
        <f>IFERROR(T13/T148, "NA")</f>
        <v>0</v>
      </c>
      <c r="V13" s="21">
        <v>0.0</v>
      </c>
      <c r="W13" s="23">
        <f>IFERROR(V13/V148, "NA")</f>
        <v>0</v>
      </c>
      <c r="X13" s="21">
        <v>0.0</v>
      </c>
      <c r="Y13" s="23">
        <f>IFERROR(X13/X148, "NA")</f>
        <v>0</v>
      </c>
      <c r="Z13" s="21">
        <v>0.0</v>
      </c>
      <c r="AA13" s="23">
        <f>IFERROR(Z13/Z148, "NA")</f>
        <v>0</v>
      </c>
      <c r="AB13" s="28">
        <f>IFERROR((R13+T13+V13+X13)/4, "NA")</f>
        <v>0</v>
      </c>
      <c r="AC13" s="23">
        <f>IFERROR(AB13/AB148, "NA")</f>
        <v>0</v>
      </c>
      <c r="AD13" s="29">
        <f>IFERROR(X13-AB13, "NA")</f>
        <v>0</v>
      </c>
      <c r="AE13" s="30">
        <f>IFERROR(AD13/AD148, "NA")</f>
        <v>0</v>
      </c>
      <c r="AF13" s="29" t="str">
        <f>IFERROR((X13-AB13)/AB13, "NA")</f>
        <v>NA</v>
      </c>
      <c r="AG13" s="28">
        <f>IFERROR((J13+L13+N13+P13+R13+T13+V13+X13)/8, "NA")</f>
        <v>0</v>
      </c>
      <c r="AH13" s="23">
        <f>IFERROR(AG13/AG148, "NA")</f>
        <v>0</v>
      </c>
      <c r="AI13" s="29">
        <f>IFERROR(X13-AG13, "NA")</f>
        <v>0</v>
      </c>
      <c r="AJ13" s="30">
        <f>IFERROR(AI13/AI148, "NA")</f>
        <v>0</v>
      </c>
      <c r="AK13" s="29" t="str">
        <f>IFERROR((X13-AG13)/AG13, "NA")</f>
        <v>NA</v>
      </c>
      <c r="AL13" s="30" t="str">
        <f>IFERROR(AK13/AK148, "NA")</f>
        <v>NA</v>
      </c>
    </row>
    <row r="14" ht="16.5" customHeight="1">
      <c r="A14" s="13" t="s">
        <v>68</v>
      </c>
      <c r="B14" s="14"/>
      <c r="C14" s="12"/>
      <c r="D14" s="14"/>
      <c r="E14" s="12"/>
      <c r="F14" s="14"/>
      <c r="G14" s="12"/>
      <c r="H14" s="14"/>
      <c r="I14" s="12"/>
      <c r="J14" s="14"/>
      <c r="K14" s="12"/>
      <c r="L14" s="14"/>
      <c r="M14" s="12"/>
      <c r="N14" s="14"/>
      <c r="O14" s="12"/>
      <c r="P14" s="14"/>
      <c r="Q14" s="12"/>
      <c r="R14" s="14"/>
      <c r="S14" s="12"/>
      <c r="T14" s="14"/>
      <c r="U14" s="12"/>
      <c r="V14" s="14"/>
      <c r="W14" s="12"/>
      <c r="X14" s="14"/>
      <c r="Y14" s="12"/>
      <c r="Z14" s="14"/>
      <c r="AA14" s="12"/>
      <c r="AB14" s="14"/>
      <c r="AC14" s="12"/>
      <c r="AD14" s="17"/>
      <c r="AE14" s="18"/>
      <c r="AF14" s="17"/>
      <c r="AG14" s="14"/>
      <c r="AH14" s="12"/>
      <c r="AI14" s="17"/>
      <c r="AJ14" s="18"/>
      <c r="AK14" s="17"/>
      <c r="AL14" s="18"/>
    </row>
    <row r="15" ht="16.5" hidden="1" customHeight="1">
      <c r="A15" s="19" t="s">
        <v>69</v>
      </c>
      <c r="B15" s="21">
        <v>0.0</v>
      </c>
      <c r="C15" s="23">
        <f>IFERROR(B15/B148, "NA")</f>
        <v>0</v>
      </c>
      <c r="D15" s="21">
        <v>0.0</v>
      </c>
      <c r="E15" s="23">
        <f>IFERROR(D15/D148, "NA")</f>
        <v>0</v>
      </c>
      <c r="F15" s="21">
        <v>0.0</v>
      </c>
      <c r="G15" s="23">
        <f>IFERROR(F15/F148, "NA")</f>
        <v>0</v>
      </c>
      <c r="H15" s="21">
        <v>0.0</v>
      </c>
      <c r="I15" s="23">
        <f>IFERROR(H15/H148, "NA")</f>
        <v>0</v>
      </c>
      <c r="J15" s="21">
        <v>0.0</v>
      </c>
      <c r="K15" s="23">
        <f>IFERROR(J15/J148, "NA")</f>
        <v>0</v>
      </c>
      <c r="L15" s="21">
        <v>0.0</v>
      </c>
      <c r="M15" s="23">
        <f>IFERROR(L15/L148, "NA")</f>
        <v>0</v>
      </c>
      <c r="N15" s="21">
        <v>0.0</v>
      </c>
      <c r="O15" s="23">
        <f>IFERROR(N15/N148, "NA")</f>
        <v>0</v>
      </c>
      <c r="P15" s="21">
        <v>0.0</v>
      </c>
      <c r="Q15" s="23">
        <f>IFERROR(P15/P148, "NA")</f>
        <v>0</v>
      </c>
      <c r="R15" s="21">
        <v>0.0</v>
      </c>
      <c r="S15" s="23">
        <f>IFERROR(R15/R148, "NA")</f>
        <v>0</v>
      </c>
      <c r="T15" s="21">
        <v>0.0</v>
      </c>
      <c r="U15" s="23">
        <f>IFERROR(T15/T148, "NA")</f>
        <v>0</v>
      </c>
      <c r="V15" s="21">
        <v>0.0</v>
      </c>
      <c r="W15" s="23">
        <f>IFERROR(V15/V148, "NA")</f>
        <v>0</v>
      </c>
      <c r="X15" s="21">
        <v>0.0</v>
      </c>
      <c r="Y15" s="23">
        <f>IFERROR(X15/X148, "NA")</f>
        <v>0</v>
      </c>
      <c r="Z15" s="21">
        <v>0.0</v>
      </c>
      <c r="AA15" s="23">
        <f>IFERROR(Z15/Z148, "NA")</f>
        <v>0</v>
      </c>
      <c r="AB15" s="28">
        <f t="shared" ref="AB15:AB27" si="7">IFERROR((R15+T15+V15+X15)/4, "NA")</f>
        <v>0</v>
      </c>
      <c r="AC15" s="23">
        <f>IFERROR(AB15/AB148, "NA")</f>
        <v>0</v>
      </c>
      <c r="AD15" s="29">
        <f t="shared" ref="AD15:AD27" si="8">IFERROR(X15-AB15, "NA")</f>
        <v>0</v>
      </c>
      <c r="AE15" s="30">
        <f>IFERROR(AD15/AD148, "NA")</f>
        <v>0</v>
      </c>
      <c r="AF15" s="29" t="str">
        <f t="shared" ref="AF15:AF27" si="9">IFERROR((X15-AB15)/AB15, "NA")</f>
        <v>NA</v>
      </c>
      <c r="AG15" s="28">
        <f t="shared" ref="AG15:AG27" si="10">IFERROR((J15+L15+N15+P15+R15+T15+V15+X15)/8, "NA")</f>
        <v>0</v>
      </c>
      <c r="AH15" s="23">
        <f>IFERROR(AG15/AG148, "NA")</f>
        <v>0</v>
      </c>
      <c r="AI15" s="29">
        <f t="shared" ref="AI15:AI27" si="11">IFERROR(X15-AG15, "NA")</f>
        <v>0</v>
      </c>
      <c r="AJ15" s="30">
        <f>IFERROR(AI15/AI148, "NA")</f>
        <v>0</v>
      </c>
      <c r="AK15" s="29" t="str">
        <f t="shared" ref="AK15:AK27" si="12">IFERROR((X15-AG15)/AG15, "NA")</f>
        <v>NA</v>
      </c>
      <c r="AL15" s="30" t="str">
        <f>IFERROR(AK15/AK148, "NA")</f>
        <v>NA</v>
      </c>
    </row>
    <row r="16" ht="16.5" customHeight="1">
      <c r="A16" s="19" t="s">
        <v>70</v>
      </c>
      <c r="B16" s="21">
        <v>8746.78</v>
      </c>
      <c r="C16" s="23">
        <f>IFERROR(B16/B148, "NA")</f>
        <v>0.04294071627</v>
      </c>
      <c r="D16" s="21">
        <v>9248.4</v>
      </c>
      <c r="E16" s="23">
        <f>IFERROR(D16/D148, "NA")</f>
        <v>0.04982861648</v>
      </c>
      <c r="F16" s="21">
        <v>7029.09</v>
      </c>
      <c r="G16" s="23">
        <f>IFERROR(F16/F148, "NA")</f>
        <v>0.04976033721</v>
      </c>
      <c r="H16" s="21">
        <v>3865.17</v>
      </c>
      <c r="I16" s="23">
        <f>IFERROR(H16/H148, "NA")</f>
        <v>0.05176729662</v>
      </c>
      <c r="J16" s="21">
        <v>7809.73</v>
      </c>
      <c r="K16" s="23">
        <f>IFERROR(J16/J148, "NA")</f>
        <v>0.05484430281</v>
      </c>
      <c r="L16" s="21">
        <v>7124.1</v>
      </c>
      <c r="M16" s="23">
        <f>IFERROR(L16/L148, "NA")</f>
        <v>0.05271629788</v>
      </c>
      <c r="N16" s="21">
        <v>6096.73</v>
      </c>
      <c r="O16" s="23">
        <f>IFERROR(N16/N148, "NA")</f>
        <v>0.05013865016</v>
      </c>
      <c r="P16" s="21">
        <v>2764.73</v>
      </c>
      <c r="Q16" s="23">
        <f>IFERROR(P16/P148, "NA")</f>
        <v>0.0488359223</v>
      </c>
      <c r="R16" s="21">
        <v>3856.81</v>
      </c>
      <c r="S16" s="23">
        <f>IFERROR(R16/R148, "NA")</f>
        <v>0.05550433868</v>
      </c>
      <c r="T16" s="21">
        <v>6091.47</v>
      </c>
      <c r="U16" s="23">
        <f>IFERROR(T16/T148, "NA")</f>
        <v>0.05512334242</v>
      </c>
      <c r="V16" s="21">
        <v>5827.11</v>
      </c>
      <c r="W16" s="23">
        <f>IFERROR(V16/V148, "NA")</f>
        <v>0.0431472412</v>
      </c>
      <c r="X16" s="21">
        <v>5706.65</v>
      </c>
      <c r="Y16" s="23">
        <f>IFERROR(X16/X148, "NA")</f>
        <v>0.0492195162</v>
      </c>
      <c r="Z16" s="21">
        <v>21482.04</v>
      </c>
      <c r="AA16" s="23">
        <f>IFERROR(Z16/Z148, "NA")</f>
        <v>0.04984377849</v>
      </c>
      <c r="AB16" s="28">
        <f t="shared" si="7"/>
        <v>5370.51</v>
      </c>
      <c r="AC16" s="23">
        <f>IFERROR(AB16/AB148, "NA")</f>
        <v>0.04984377849</v>
      </c>
      <c r="AD16" s="29">
        <f t="shared" si="8"/>
        <v>336.14</v>
      </c>
      <c r="AE16" s="30">
        <f>IFERROR(AD16/AD148, "NA")</f>
        <v>0.04101277669</v>
      </c>
      <c r="AF16" s="29">
        <f t="shared" si="9"/>
        <v>0.06258995887</v>
      </c>
      <c r="AG16" s="28">
        <f t="shared" si="10"/>
        <v>5659.66625</v>
      </c>
      <c r="AH16" s="23">
        <f>IFERROR(AG16/AG148, "NA")</f>
        <v>0.05106066518</v>
      </c>
      <c r="AI16" s="29">
        <f t="shared" si="11"/>
        <v>46.98375</v>
      </c>
      <c r="AJ16" s="30">
        <f>IFERROR(AI16/AI148, "NA")</f>
        <v>0.009211000955</v>
      </c>
      <c r="AK16" s="29">
        <f t="shared" si="12"/>
        <v>0.008301505411</v>
      </c>
      <c r="AL16" s="30">
        <f>IFERROR(AK16/AK148, "NA")</f>
        <v>0.1803932816</v>
      </c>
    </row>
    <row r="17" ht="16.5" customHeight="1">
      <c r="A17" s="19" t="s">
        <v>71</v>
      </c>
      <c r="B17" s="21">
        <v>5260.0</v>
      </c>
      <c r="C17" s="23">
        <f>IFERROR(B17/B148, "NA")</f>
        <v>0.02582300773</v>
      </c>
      <c r="D17" s="21">
        <v>4969.77</v>
      </c>
      <c r="E17" s="23">
        <f>IFERROR(D17/D148, "NA")</f>
        <v>0.02677617353</v>
      </c>
      <c r="F17" s="21">
        <v>2276.43</v>
      </c>
      <c r="G17" s="23">
        <f>IFERROR(F17/F148, "NA")</f>
        <v>0.01611530432</v>
      </c>
      <c r="H17" s="21">
        <v>3133.64</v>
      </c>
      <c r="I17" s="23">
        <f>IFERROR(H17/H148, "NA")</f>
        <v>0.04196971191</v>
      </c>
      <c r="J17" s="21">
        <v>3897.98</v>
      </c>
      <c r="K17" s="23">
        <f>IFERROR(J17/J148, "NA")</f>
        <v>0.02737380107</v>
      </c>
      <c r="L17" s="21">
        <v>3504.4</v>
      </c>
      <c r="M17" s="23">
        <f>IFERROR(L17/L148, "NA")</f>
        <v>0.02593155546</v>
      </c>
      <c r="N17" s="21">
        <v>3716.12</v>
      </c>
      <c r="O17" s="23">
        <f>IFERROR(N17/N148, "NA")</f>
        <v>0.03056084829</v>
      </c>
      <c r="P17" s="21">
        <v>1701.2</v>
      </c>
      <c r="Q17" s="23">
        <f>IFERROR(P17/P148, "NA")</f>
        <v>0.03004983164</v>
      </c>
      <c r="R17" s="21">
        <v>2170.02</v>
      </c>
      <c r="S17" s="23">
        <f>IFERROR(R17/R148, "NA")</f>
        <v>0.03122931257</v>
      </c>
      <c r="T17" s="21">
        <v>3608.22</v>
      </c>
      <c r="U17" s="23">
        <f>IFERROR(T17/T148, "NA")</f>
        <v>0.03265174853</v>
      </c>
      <c r="V17" s="21">
        <v>3971.59</v>
      </c>
      <c r="W17" s="23">
        <f>IFERROR(V17/V148, "NA")</f>
        <v>0.02940791433</v>
      </c>
      <c r="X17" s="21">
        <v>3334.05</v>
      </c>
      <c r="Y17" s="23">
        <f>IFERROR(X17/X148, "NA")</f>
        <v>0.02875598258</v>
      </c>
      <c r="Z17" s="21">
        <v>13083.88</v>
      </c>
      <c r="AA17" s="23">
        <f>IFERROR(Z17/Z148, "NA")</f>
        <v>0.03035791836</v>
      </c>
      <c r="AB17" s="28">
        <f t="shared" si="7"/>
        <v>3270.97</v>
      </c>
      <c r="AC17" s="23">
        <f>IFERROR(AB17/AB148, "NA")</f>
        <v>0.03035791836</v>
      </c>
      <c r="AD17" s="29">
        <f t="shared" si="8"/>
        <v>63.08</v>
      </c>
      <c r="AE17" s="30">
        <f>IFERROR(AD17/AD148, "NA")</f>
        <v>0.00769645372</v>
      </c>
      <c r="AF17" s="29">
        <f t="shared" si="9"/>
        <v>0.01928479931</v>
      </c>
      <c r="AG17" s="28">
        <f t="shared" si="10"/>
        <v>3237.9475</v>
      </c>
      <c r="AH17" s="23">
        <f>IFERROR(AG17/AG148, "NA")</f>
        <v>0.02921227964</v>
      </c>
      <c r="AI17" s="29">
        <f t="shared" si="11"/>
        <v>96.1025</v>
      </c>
      <c r="AJ17" s="30">
        <f>IFERROR(AI17/AI148, "NA")</f>
        <v>0.01884056124</v>
      </c>
      <c r="AK17" s="29">
        <f t="shared" si="12"/>
        <v>0.02968006739</v>
      </c>
      <c r="AL17" s="30">
        <f>IFERROR(AK17/AK148, "NA")</f>
        <v>0.6449534741</v>
      </c>
    </row>
    <row r="18" ht="16.5" customHeight="1">
      <c r="A18" s="19" t="s">
        <v>74</v>
      </c>
      <c r="B18" s="21">
        <v>6799.85</v>
      </c>
      <c r="C18" s="23">
        <f>IFERROR(B18/B148, "NA")</f>
        <v>0.0333826196</v>
      </c>
      <c r="D18" s="21">
        <v>5423.64</v>
      </c>
      <c r="E18" s="23">
        <f>IFERROR(D18/D148, "NA")</f>
        <v>0.02922153859</v>
      </c>
      <c r="F18" s="21">
        <v>3961.02</v>
      </c>
      <c r="G18" s="23">
        <f>IFERROR(F18/F148, "NA")</f>
        <v>0.02804085463</v>
      </c>
      <c r="H18" s="21">
        <v>1889.36</v>
      </c>
      <c r="I18" s="23">
        <f>IFERROR(H18/H148, "NA")</f>
        <v>0.02530472386</v>
      </c>
      <c r="J18" s="21">
        <v>4291.23</v>
      </c>
      <c r="K18" s="23">
        <f>IFERROR(J18/J148, "NA")</f>
        <v>0.03013542306</v>
      </c>
      <c r="L18" s="21">
        <v>3689.51</v>
      </c>
      <c r="M18" s="23">
        <f>IFERROR(L18/L148, "NA")</f>
        <v>0.0273013164</v>
      </c>
      <c r="N18" s="21">
        <v>3337.95</v>
      </c>
      <c r="O18" s="23">
        <f>IFERROR(N18/N148, "NA")</f>
        <v>0.0274508314</v>
      </c>
      <c r="P18" s="21">
        <v>1547.04</v>
      </c>
      <c r="Q18" s="23">
        <f>IFERROR(P18/P148, "NA")</f>
        <v>0.02732676436</v>
      </c>
      <c r="R18" s="21">
        <v>2060.87</v>
      </c>
      <c r="S18" s="23">
        <f>IFERROR(R18/R148, "NA")</f>
        <v>0.02965850702</v>
      </c>
      <c r="T18" s="21">
        <v>3255.41</v>
      </c>
      <c r="U18" s="23">
        <f>IFERROR(T18/T148, "NA")</f>
        <v>0.02945907641</v>
      </c>
      <c r="V18" s="21">
        <v>4374.13</v>
      </c>
      <c r="W18" s="23">
        <f>IFERROR(V18/V148, "NA")</f>
        <v>0.03238854975</v>
      </c>
      <c r="X18" s="21">
        <v>3243.26</v>
      </c>
      <c r="Y18" s="23">
        <f>IFERROR(X18/X148, "NA")</f>
        <v>0.02797292424</v>
      </c>
      <c r="Z18" s="21">
        <v>12933.67</v>
      </c>
      <c r="AA18" s="23">
        <f>IFERROR(Z18/Z148, "NA")</f>
        <v>0.03000939308</v>
      </c>
      <c r="AB18" s="28">
        <f t="shared" si="7"/>
        <v>3233.4175</v>
      </c>
      <c r="AC18" s="23">
        <f>IFERROR(AB18/AB148, "NA")</f>
        <v>0.03000939308</v>
      </c>
      <c r="AD18" s="29">
        <f t="shared" si="8"/>
        <v>9.8425</v>
      </c>
      <c r="AE18" s="30">
        <f>IFERROR(AD18/AD148, "NA")</f>
        <v>0.001200893243</v>
      </c>
      <c r="AF18" s="29">
        <f t="shared" si="9"/>
        <v>0.003043992927</v>
      </c>
      <c r="AG18" s="28">
        <f t="shared" si="10"/>
        <v>3224.925</v>
      </c>
      <c r="AH18" s="23">
        <f>IFERROR(AG18/AG148, "NA")</f>
        <v>0.02909479259</v>
      </c>
      <c r="AI18" s="29">
        <f t="shared" si="11"/>
        <v>18.335</v>
      </c>
      <c r="AJ18" s="30">
        <f>IFERROR(AI18/AI148, "NA")</f>
        <v>0.00359451305</v>
      </c>
      <c r="AK18" s="29">
        <f t="shared" si="12"/>
        <v>0.005685403537</v>
      </c>
      <c r="AL18" s="30">
        <f>IFERROR(AK18/AK148, "NA")</f>
        <v>0.1235448934</v>
      </c>
    </row>
    <row r="19" ht="16.5" customHeight="1">
      <c r="A19" s="19" t="s">
        <v>75</v>
      </c>
      <c r="B19" s="21">
        <v>3772.39</v>
      </c>
      <c r="C19" s="23">
        <f>IFERROR(B19/B148, "NA")</f>
        <v>0.01851985858</v>
      </c>
      <c r="D19" s="21">
        <v>3067.71</v>
      </c>
      <c r="E19" s="23">
        <f>IFERROR(D19/D148, "NA")</f>
        <v>0.01652823678</v>
      </c>
      <c r="F19" s="21">
        <v>2734.9</v>
      </c>
      <c r="G19" s="23">
        <f>IFERROR(F19/F148, "NA")</f>
        <v>0.01936090536</v>
      </c>
      <c r="H19" s="21">
        <v>2794.02</v>
      </c>
      <c r="I19" s="23">
        <f>IFERROR(H19/H148, "NA")</f>
        <v>0.03742108681</v>
      </c>
      <c r="J19" s="21">
        <v>3139.48</v>
      </c>
      <c r="K19" s="23">
        <f>IFERROR(J19/J148, "NA")</f>
        <v>0.0220471888</v>
      </c>
      <c r="L19" s="21">
        <v>3497.43</v>
      </c>
      <c r="M19" s="23">
        <f>IFERROR(L19/L148, "NA")</f>
        <v>0.02587997946</v>
      </c>
      <c r="N19" s="21">
        <v>2933.33</v>
      </c>
      <c r="O19" s="23">
        <f>IFERROR(N19/N148, "NA")</f>
        <v>0.02412329342</v>
      </c>
      <c r="P19" s="21">
        <v>1267.09</v>
      </c>
      <c r="Q19" s="23">
        <f>IFERROR(P19/P148, "NA")</f>
        <v>0.02238175474</v>
      </c>
      <c r="R19" s="21">
        <v>1996.08</v>
      </c>
      <c r="S19" s="23">
        <f>IFERROR(R19/R148, "NA")</f>
        <v>0.02872609756</v>
      </c>
      <c r="T19" s="21">
        <v>2401.35</v>
      </c>
      <c r="U19" s="23">
        <f>IFERROR(T19/T148, "NA")</f>
        <v>0.02173045888</v>
      </c>
      <c r="V19" s="21">
        <v>3371.43</v>
      </c>
      <c r="W19" s="23">
        <f>IFERROR(V19/V148, "NA")</f>
        <v>0.02496398788</v>
      </c>
      <c r="X19" s="21">
        <v>2408.37</v>
      </c>
      <c r="Y19" s="23">
        <f>IFERROR(X19/X148, "NA")</f>
        <v>0.02077204774</v>
      </c>
      <c r="Z19" s="21">
        <v>10177.23</v>
      </c>
      <c r="AA19" s="23">
        <f>IFERROR(Z19/Z148, "NA")</f>
        <v>0.02361375353</v>
      </c>
      <c r="AB19" s="28">
        <f t="shared" si="7"/>
        <v>2544.3075</v>
      </c>
      <c r="AC19" s="23">
        <f>IFERROR(AB19/AB148, "NA")</f>
        <v>0.02361375353</v>
      </c>
      <c r="AD19" s="29">
        <f t="shared" si="8"/>
        <v>-135.9375</v>
      </c>
      <c r="AE19" s="30">
        <f>IFERROR(AD19/AD148, "NA")</f>
        <v>-0.01658586997</v>
      </c>
      <c r="AF19" s="29">
        <f t="shared" si="9"/>
        <v>-0.05342809389</v>
      </c>
      <c r="AG19" s="28">
        <f t="shared" si="10"/>
        <v>2626.82</v>
      </c>
      <c r="AH19" s="23">
        <f>IFERROR(AG19/AG148, "NA")</f>
        <v>0.02369877844</v>
      </c>
      <c r="AI19" s="29">
        <f t="shared" si="11"/>
        <v>-218.45</v>
      </c>
      <c r="AJ19" s="30">
        <f>IFERROR(AI19/AI148, "NA")</f>
        <v>-0.04282636355</v>
      </c>
      <c r="AK19" s="29">
        <f t="shared" si="12"/>
        <v>-0.08316138906</v>
      </c>
      <c r="AL19" s="30">
        <f>IFERROR(AK19/AK148, "NA")</f>
        <v>-1.807112702</v>
      </c>
    </row>
    <row r="20" ht="16.5" customHeight="1">
      <c r="A20" s="19" t="s">
        <v>76</v>
      </c>
      <c r="B20" s="21">
        <v>1749.18</v>
      </c>
      <c r="C20" s="23">
        <f>IFERROR(B20/B148, "NA")</f>
        <v>0.008587279213</v>
      </c>
      <c r="D20" s="21">
        <v>1435.1</v>
      </c>
      <c r="E20" s="23">
        <f>IFERROR(D20/D148, "NA")</f>
        <v>0.007732045273</v>
      </c>
      <c r="F20" s="21">
        <v>674.19</v>
      </c>
      <c r="G20" s="23">
        <f>IFERROR(F20/F148, "NA")</f>
        <v>0.004772726163</v>
      </c>
      <c r="H20" s="21">
        <v>1763.42</v>
      </c>
      <c r="I20" s="23">
        <f>IFERROR(H20/H148, "NA")</f>
        <v>0.02361797442</v>
      </c>
      <c r="J20" s="21">
        <v>1748.02</v>
      </c>
      <c r="K20" s="23">
        <f>IFERROR(J20/J148, "NA")</f>
        <v>0.01227557652</v>
      </c>
      <c r="L20" s="21">
        <v>1792.71</v>
      </c>
      <c r="M20" s="23">
        <f>IFERROR(L20/L148, "NA")</f>
        <v>0.01326554012</v>
      </c>
      <c r="N20" s="21">
        <v>1431.0</v>
      </c>
      <c r="O20" s="23">
        <f>IFERROR(N20/N148, "NA")</f>
        <v>0.01176834276</v>
      </c>
      <c r="P20" s="21">
        <v>747.13</v>
      </c>
      <c r="Q20" s="23">
        <f>IFERROR(P20/P148, "NA")</f>
        <v>0.01319723178</v>
      </c>
      <c r="R20" s="21">
        <v>1072.79</v>
      </c>
      <c r="S20" s="23">
        <f>IFERROR(R20/R148, "NA")</f>
        <v>0.01543879514</v>
      </c>
      <c r="T20" s="21">
        <v>1260.74</v>
      </c>
      <c r="U20" s="23">
        <f>IFERROR(T20/T148, "NA")</f>
        <v>0.0114087737</v>
      </c>
      <c r="V20" s="21">
        <v>1475.29</v>
      </c>
      <c r="W20" s="23">
        <f>IFERROR(V20/V148, "NA")</f>
        <v>0.01092388739</v>
      </c>
      <c r="X20" s="21">
        <v>1298.26</v>
      </c>
      <c r="Y20" s="23">
        <f>IFERROR(X20/X148, "NA")</f>
        <v>0.01119741514</v>
      </c>
      <c r="Z20" s="21">
        <v>5107.08</v>
      </c>
      <c r="AA20" s="23">
        <f>IFERROR(Z20/Z148, "NA")</f>
        <v>0.01184972024</v>
      </c>
      <c r="AB20" s="28">
        <f t="shared" si="7"/>
        <v>1276.77</v>
      </c>
      <c r="AC20" s="23">
        <f>IFERROR(AB20/AB148, "NA")</f>
        <v>0.01184972024</v>
      </c>
      <c r="AD20" s="29">
        <f t="shared" si="8"/>
        <v>21.49</v>
      </c>
      <c r="AE20" s="30">
        <f>IFERROR(AD20/AD148, "NA")</f>
        <v>0.002622016335</v>
      </c>
      <c r="AF20" s="29">
        <f t="shared" si="9"/>
        <v>0.01683153583</v>
      </c>
      <c r="AG20" s="28">
        <f t="shared" si="10"/>
        <v>1353.2425</v>
      </c>
      <c r="AH20" s="23">
        <f>IFERROR(AG20/AG148, "NA")</f>
        <v>0.0122087521</v>
      </c>
      <c r="AI20" s="29">
        <f t="shared" si="11"/>
        <v>-54.9825</v>
      </c>
      <c r="AJ20" s="30">
        <f>IFERROR(AI20/AI148, "NA")</f>
        <v>-0.0107791281</v>
      </c>
      <c r="AK20" s="29">
        <f t="shared" si="12"/>
        <v>-0.04063019008</v>
      </c>
      <c r="AL20" s="30">
        <f>IFERROR(AK20/AK148, "NA")</f>
        <v>-0.8829017099</v>
      </c>
    </row>
    <row r="21" ht="16.5" customHeight="1">
      <c r="A21" s="19" t="s">
        <v>77</v>
      </c>
      <c r="B21" s="21">
        <v>1034.75</v>
      </c>
      <c r="C21" s="23">
        <f>IFERROR(B21/B148, "NA")</f>
        <v>0.005079915827</v>
      </c>
      <c r="D21" s="21">
        <v>1148.33</v>
      </c>
      <c r="E21" s="23">
        <f>IFERROR(D21/D148, "NA")</f>
        <v>0.006186983171</v>
      </c>
      <c r="F21" s="21">
        <v>1174.98</v>
      </c>
      <c r="G21" s="23">
        <f>IFERROR(F21/F148, "NA")</f>
        <v>0.008317918964</v>
      </c>
      <c r="H21" s="21">
        <v>572.71</v>
      </c>
      <c r="I21" s="23">
        <f>IFERROR(H21/H148, "NA")</f>
        <v>0.007670464286</v>
      </c>
      <c r="J21" s="21">
        <v>-557.31</v>
      </c>
      <c r="K21" s="23">
        <f>IFERROR(J21/J148, "NA")</f>
        <v>-0.003913743292</v>
      </c>
      <c r="L21" s="21">
        <v>3077.26</v>
      </c>
      <c r="M21" s="23">
        <f>IFERROR(L21/L148, "NA")</f>
        <v>0.0227708419</v>
      </c>
      <c r="N21" s="21">
        <v>896.98</v>
      </c>
      <c r="O21" s="23">
        <f>IFERROR(N21/N148, "NA")</f>
        <v>0.007376637381</v>
      </c>
      <c r="P21" s="21">
        <v>434.26</v>
      </c>
      <c r="Q21" s="23">
        <f>IFERROR(P21/P148, "NA")</f>
        <v>0.007670726479</v>
      </c>
      <c r="R21" s="21">
        <v>594.6</v>
      </c>
      <c r="S21" s="23">
        <f>IFERROR(R21/R148, "NA")</f>
        <v>0.008557040605</v>
      </c>
      <c r="T21" s="21">
        <v>1013.54</v>
      </c>
      <c r="U21" s="23">
        <f>IFERROR(T21/T148, "NA")</f>
        <v>0.009171794736</v>
      </c>
      <c r="V21" s="21">
        <v>1063.54</v>
      </c>
      <c r="W21" s="23">
        <f>IFERROR(V21/V148, "NA")</f>
        <v>0.007875055886</v>
      </c>
      <c r="X21" s="21">
        <v>1168.94</v>
      </c>
      <c r="Y21" s="23">
        <f>IFERROR(X21/X148, "NA")</f>
        <v>0.01008203785</v>
      </c>
      <c r="Z21" s="21">
        <v>3840.62</v>
      </c>
      <c r="AA21" s="23">
        <f>IFERROR(Z21/Z148, "NA")</f>
        <v>0.008911211996</v>
      </c>
      <c r="AB21" s="28">
        <f t="shared" si="7"/>
        <v>960.155</v>
      </c>
      <c r="AC21" s="23">
        <f>IFERROR(AB21/AB148, "NA")</f>
        <v>0.008911211996</v>
      </c>
      <c r="AD21" s="29">
        <f t="shared" si="8"/>
        <v>208.785</v>
      </c>
      <c r="AE21" s="30">
        <f>IFERROR(AD21/AD148, "NA")</f>
        <v>0.0254740661</v>
      </c>
      <c r="AF21" s="29">
        <f t="shared" si="9"/>
        <v>0.217449266</v>
      </c>
      <c r="AG21" s="28">
        <f t="shared" si="10"/>
        <v>961.47625</v>
      </c>
      <c r="AH21" s="23">
        <f>IFERROR(AG21/AG148, "NA")</f>
        <v>0.008674295393</v>
      </c>
      <c r="AI21" s="29">
        <f t="shared" si="11"/>
        <v>207.46375</v>
      </c>
      <c r="AJ21" s="30">
        <f>IFERROR(AI21/AI148, "NA")</f>
        <v>0.04067254741</v>
      </c>
      <c r="AK21" s="29">
        <f t="shared" si="12"/>
        <v>0.2157762607</v>
      </c>
      <c r="AL21" s="30">
        <f>IFERROR(AK21/AK148, "NA")</f>
        <v>4.688858929</v>
      </c>
    </row>
    <row r="22" ht="16.5" hidden="1" customHeight="1">
      <c r="A22" s="19" t="s">
        <v>78</v>
      </c>
      <c r="B22" s="21">
        <v>0.0</v>
      </c>
      <c r="C22" s="23">
        <f>IFERROR(B22/B148, "NA")</f>
        <v>0</v>
      </c>
      <c r="D22" s="21">
        <v>0.0</v>
      </c>
      <c r="E22" s="23">
        <f>IFERROR(D22/D148, "NA")</f>
        <v>0</v>
      </c>
      <c r="F22" s="21">
        <v>0.0</v>
      </c>
      <c r="G22" s="23">
        <f>IFERROR(F22/F148, "NA")</f>
        <v>0</v>
      </c>
      <c r="H22" s="21">
        <v>0.0</v>
      </c>
      <c r="I22" s="23">
        <f>IFERROR(H22/H148, "NA")</f>
        <v>0</v>
      </c>
      <c r="J22" s="21">
        <v>0.0</v>
      </c>
      <c r="K22" s="23">
        <f>IFERROR(J22/J148, "NA")</f>
        <v>0</v>
      </c>
      <c r="L22" s="21">
        <v>0.0</v>
      </c>
      <c r="M22" s="23">
        <f>IFERROR(L22/L148, "NA")</f>
        <v>0</v>
      </c>
      <c r="N22" s="21">
        <v>0.0</v>
      </c>
      <c r="O22" s="23">
        <f>IFERROR(N22/N148, "NA")</f>
        <v>0</v>
      </c>
      <c r="P22" s="21">
        <v>0.0</v>
      </c>
      <c r="Q22" s="23">
        <f>IFERROR(P22/P148, "NA")</f>
        <v>0</v>
      </c>
      <c r="R22" s="21">
        <v>0.0</v>
      </c>
      <c r="S22" s="23">
        <f>IFERROR(R22/R148, "NA")</f>
        <v>0</v>
      </c>
      <c r="T22" s="21">
        <v>0.0</v>
      </c>
      <c r="U22" s="23">
        <f>IFERROR(T22/T148, "NA")</f>
        <v>0</v>
      </c>
      <c r="V22" s="21">
        <v>0.0</v>
      </c>
      <c r="W22" s="23">
        <f>IFERROR(V22/V148, "NA")</f>
        <v>0</v>
      </c>
      <c r="X22" s="21">
        <v>0.0</v>
      </c>
      <c r="Y22" s="23">
        <f>IFERROR(X22/X148, "NA")</f>
        <v>0</v>
      </c>
      <c r="Z22" s="21">
        <v>0.0</v>
      </c>
      <c r="AA22" s="23">
        <f>IFERROR(Z22/Z148, "NA")</f>
        <v>0</v>
      </c>
      <c r="AB22" s="28">
        <f t="shared" si="7"/>
        <v>0</v>
      </c>
      <c r="AC22" s="23">
        <f>IFERROR(AB22/AB148, "NA")</f>
        <v>0</v>
      </c>
      <c r="AD22" s="29">
        <f t="shared" si="8"/>
        <v>0</v>
      </c>
      <c r="AE22" s="30">
        <f>IFERROR(AD22/AD148, "NA")</f>
        <v>0</v>
      </c>
      <c r="AF22" s="29" t="str">
        <f t="shared" si="9"/>
        <v>NA</v>
      </c>
      <c r="AG22" s="28">
        <f t="shared" si="10"/>
        <v>0</v>
      </c>
      <c r="AH22" s="23">
        <f>IFERROR(AG22/AG148, "NA")</f>
        <v>0</v>
      </c>
      <c r="AI22" s="29">
        <f t="shared" si="11"/>
        <v>0</v>
      </c>
      <c r="AJ22" s="30">
        <f>IFERROR(AI22/AI148, "NA")</f>
        <v>0</v>
      </c>
      <c r="AK22" s="29" t="str">
        <f t="shared" si="12"/>
        <v>NA</v>
      </c>
      <c r="AL22" s="30" t="str">
        <f>IFERROR(AK22/AK148, "NA")</f>
        <v>NA</v>
      </c>
    </row>
    <row r="23" ht="16.5" customHeight="1">
      <c r="A23" s="19" t="s">
        <v>79</v>
      </c>
      <c r="B23" s="21">
        <v>338.77</v>
      </c>
      <c r="C23" s="23">
        <f>IFERROR(B23/B148, "NA")</f>
        <v>0.00166312934</v>
      </c>
      <c r="D23" s="21">
        <v>799.35</v>
      </c>
      <c r="E23" s="23">
        <f>IFERROR(D23/D148, "NA")</f>
        <v>0.004306745446</v>
      </c>
      <c r="F23" s="21">
        <v>483.86</v>
      </c>
      <c r="G23" s="23">
        <f>IFERROR(F23/F148, "NA")</f>
        <v>0.003425341938</v>
      </c>
      <c r="H23" s="21">
        <v>488.32</v>
      </c>
      <c r="I23" s="23">
        <f>IFERROR(H23/H148, "NA")</f>
        <v>0.006540205549</v>
      </c>
      <c r="J23" s="21">
        <v>721.15</v>
      </c>
      <c r="K23" s="23">
        <f>IFERROR(J23/J148, "NA")</f>
        <v>0.005064319633</v>
      </c>
      <c r="L23" s="21">
        <v>367.58</v>
      </c>
      <c r="M23" s="23">
        <f>IFERROR(L23/L148, "NA")</f>
        <v>0.002719986633</v>
      </c>
      <c r="N23" s="21">
        <v>827.01</v>
      </c>
      <c r="O23" s="23">
        <f>IFERROR(N23/N148, "NA")</f>
        <v>0.00680121394</v>
      </c>
      <c r="P23" s="21">
        <v>247.45</v>
      </c>
      <c r="Q23" s="23">
        <f>IFERROR(P23/P148, "NA")</f>
        <v>0.004370932776</v>
      </c>
      <c r="R23" s="21">
        <v>627.4</v>
      </c>
      <c r="S23" s="23">
        <f>IFERROR(R23/R148, "NA")</f>
        <v>0.00902907379</v>
      </c>
      <c r="T23" s="21">
        <v>462.15</v>
      </c>
      <c r="U23" s="23">
        <f>IFERROR(T23/T148, "NA")</f>
        <v>0.004182119045</v>
      </c>
      <c r="V23" s="21">
        <v>737.08</v>
      </c>
      <c r="W23" s="23">
        <f>IFERROR(V23/V148, "NA")</f>
        <v>0.005457760115</v>
      </c>
      <c r="X23" s="21">
        <v>542.14</v>
      </c>
      <c r="Y23" s="23">
        <f>IFERROR(X23/X148, "NA")</f>
        <v>0.004675925195</v>
      </c>
      <c r="Z23" s="21">
        <v>2368.77</v>
      </c>
      <c r="AA23" s="23">
        <f>IFERROR(Z23/Z148, "NA")</f>
        <v>0.005496146883</v>
      </c>
      <c r="AB23" s="28">
        <f t="shared" si="7"/>
        <v>592.1925</v>
      </c>
      <c r="AC23" s="23">
        <f>IFERROR(AB23/AB148, "NA")</f>
        <v>0.005496146883</v>
      </c>
      <c r="AD23" s="29">
        <f t="shared" si="8"/>
        <v>-50.0525</v>
      </c>
      <c r="AE23" s="30">
        <f>IFERROR(AD23/AD148, "NA")</f>
        <v>-0.00610695545</v>
      </c>
      <c r="AF23" s="29">
        <f t="shared" si="9"/>
        <v>-0.0845206584</v>
      </c>
      <c r="AG23" s="28">
        <f t="shared" si="10"/>
        <v>566.495</v>
      </c>
      <c r="AH23" s="23">
        <f>IFERROR(AG23/AG148, "NA")</f>
        <v>0.005110833439</v>
      </c>
      <c r="AI23" s="29">
        <f t="shared" si="11"/>
        <v>-24.355</v>
      </c>
      <c r="AJ23" s="30">
        <f>IFERROR(AI23/AI148, "NA")</f>
        <v>-0.004774713135</v>
      </c>
      <c r="AK23" s="29">
        <f t="shared" si="12"/>
        <v>-0.04299243594</v>
      </c>
      <c r="AL23" s="30">
        <f>IFERROR(AK23/AK148, "NA")</f>
        <v>-0.934233759</v>
      </c>
    </row>
    <row r="24" ht="16.5" customHeight="1">
      <c r="A24" s="19" t="s">
        <v>80</v>
      </c>
      <c r="B24" s="21">
        <v>14639.08</v>
      </c>
      <c r="C24" s="23">
        <f>IFERROR(B24/B148, "NA")</f>
        <v>0.07186788517</v>
      </c>
      <c r="D24" s="21">
        <v>13572.96</v>
      </c>
      <c r="E24" s="23">
        <f>IFERROR(D24/D148, "NA")</f>
        <v>0.07312852151</v>
      </c>
      <c r="F24" s="21">
        <v>10551.28</v>
      </c>
      <c r="G24" s="23">
        <f>IFERROR(F24/F148, "NA")</f>
        <v>0.0746946263</v>
      </c>
      <c r="H24" s="21">
        <v>5547.31</v>
      </c>
      <c r="I24" s="23">
        <f>IFERROR(H24/H148, "NA")</f>
        <v>0.0742966654</v>
      </c>
      <c r="J24" s="21">
        <v>10707.26</v>
      </c>
      <c r="K24" s="23">
        <f>IFERROR(J24/J148, "NA")</f>
        <v>0.07519238305</v>
      </c>
      <c r="L24" s="21">
        <v>9469.51</v>
      </c>
      <c r="M24" s="23">
        <f>IFERROR(L24/L148, "NA")</f>
        <v>0.07007165956</v>
      </c>
      <c r="N24" s="21">
        <v>8680.64</v>
      </c>
      <c r="O24" s="23">
        <f>IFERROR(N24/N148, "NA")</f>
        <v>0.07138836263</v>
      </c>
      <c r="P24" s="21">
        <v>5066.18</v>
      </c>
      <c r="Q24" s="23">
        <f>IFERROR(P24/P148, "NA")</f>
        <v>0.08948851166</v>
      </c>
      <c r="R24" s="21">
        <v>6074.61</v>
      </c>
      <c r="S24" s="23">
        <f>IFERROR(R24/R148, "NA")</f>
        <v>0.08742126544</v>
      </c>
      <c r="T24" s="21">
        <v>7983.05</v>
      </c>
      <c r="U24" s="23">
        <f>IFERROR(T24/T148, "NA")</f>
        <v>0.07224075613</v>
      </c>
      <c r="V24" s="21">
        <v>10236.53</v>
      </c>
      <c r="W24" s="23">
        <f>IFERROR(V24/V148, "NA")</f>
        <v>0.07579709821</v>
      </c>
      <c r="X24" s="21">
        <v>7543.02</v>
      </c>
      <c r="Y24" s="23">
        <f>IFERROR(X24/X148, "NA")</f>
        <v>0.06505809803</v>
      </c>
      <c r="Z24" s="21">
        <v>31837.21</v>
      </c>
      <c r="AA24" s="23">
        <f>IFERROR(Z24/Z148, "NA")</f>
        <v>0.07387039793</v>
      </c>
      <c r="AB24" s="28">
        <f t="shared" si="7"/>
        <v>7959.3025</v>
      </c>
      <c r="AC24" s="23">
        <f>IFERROR(AB24/AB148, "NA")</f>
        <v>0.07387039793</v>
      </c>
      <c r="AD24" s="29">
        <f t="shared" si="8"/>
        <v>-416.2825</v>
      </c>
      <c r="AE24" s="30">
        <f>IFERROR(AD24/AD148, "NA")</f>
        <v>-0.05079104305</v>
      </c>
      <c r="AF24" s="29">
        <f t="shared" si="9"/>
        <v>-0.05230137942</v>
      </c>
      <c r="AG24" s="28">
        <f t="shared" si="10"/>
        <v>8220.1</v>
      </c>
      <c r="AH24" s="23">
        <f>IFERROR(AG24/AG148, "NA")</f>
        <v>0.07416051677</v>
      </c>
      <c r="AI24" s="29">
        <f t="shared" si="11"/>
        <v>-677.08</v>
      </c>
      <c r="AJ24" s="30">
        <f>IFERROR(AI24/AI148, "NA")</f>
        <v>-0.1327391817</v>
      </c>
      <c r="AK24" s="29">
        <f t="shared" si="12"/>
        <v>-0.08236882763</v>
      </c>
      <c r="AL24" s="30">
        <f>IFERROR(AK24/AK148, "NA")</f>
        <v>-1.789890193</v>
      </c>
    </row>
    <row r="25" ht="16.5" hidden="1" customHeight="1">
      <c r="A25" s="19" t="s">
        <v>81</v>
      </c>
      <c r="B25" s="21">
        <v>0.0</v>
      </c>
      <c r="C25" s="23">
        <f>IFERROR(B25/B148, "NA")</f>
        <v>0</v>
      </c>
      <c r="D25" s="21">
        <v>0.0</v>
      </c>
      <c r="E25" s="23">
        <f>IFERROR(D25/D148, "NA")</f>
        <v>0</v>
      </c>
      <c r="F25" s="21">
        <v>0.0</v>
      </c>
      <c r="G25" s="23">
        <f>IFERROR(F25/F148, "NA")</f>
        <v>0</v>
      </c>
      <c r="H25" s="21">
        <v>0.0</v>
      </c>
      <c r="I25" s="23">
        <f>IFERROR(H25/H148, "NA")</f>
        <v>0</v>
      </c>
      <c r="J25" s="21">
        <v>0.0</v>
      </c>
      <c r="K25" s="23">
        <f>IFERROR(J25/J148, "NA")</f>
        <v>0</v>
      </c>
      <c r="L25" s="21">
        <v>0.0</v>
      </c>
      <c r="M25" s="23">
        <f>IFERROR(L25/L148, "NA")</f>
        <v>0</v>
      </c>
      <c r="N25" s="21">
        <v>0.0</v>
      </c>
      <c r="O25" s="23">
        <f>IFERROR(N25/N148, "NA")</f>
        <v>0</v>
      </c>
      <c r="P25" s="21">
        <v>0.0</v>
      </c>
      <c r="Q25" s="23">
        <f>IFERROR(P25/P148, "NA")</f>
        <v>0</v>
      </c>
      <c r="R25" s="21">
        <v>0.0</v>
      </c>
      <c r="S25" s="23">
        <f>IFERROR(R25/R148, "NA")</f>
        <v>0</v>
      </c>
      <c r="T25" s="21">
        <v>0.0</v>
      </c>
      <c r="U25" s="23">
        <f>IFERROR(T25/T148, "NA")</f>
        <v>0</v>
      </c>
      <c r="V25" s="21">
        <v>0.0</v>
      </c>
      <c r="W25" s="23">
        <f>IFERROR(V25/V148, "NA")</f>
        <v>0</v>
      </c>
      <c r="X25" s="21">
        <v>0.0</v>
      </c>
      <c r="Y25" s="23">
        <f>IFERROR(X25/X148, "NA")</f>
        <v>0</v>
      </c>
      <c r="Z25" s="21">
        <v>0.0</v>
      </c>
      <c r="AA25" s="23">
        <f>IFERROR(Z25/Z148, "NA")</f>
        <v>0</v>
      </c>
      <c r="AB25" s="28">
        <f t="shared" si="7"/>
        <v>0</v>
      </c>
      <c r="AC25" s="23">
        <f>IFERROR(AB25/AB148, "NA")</f>
        <v>0</v>
      </c>
      <c r="AD25" s="29">
        <f t="shared" si="8"/>
        <v>0</v>
      </c>
      <c r="AE25" s="30">
        <f>IFERROR(AD25/AD148, "NA")</f>
        <v>0</v>
      </c>
      <c r="AF25" s="29" t="str">
        <f t="shared" si="9"/>
        <v>NA</v>
      </c>
      <c r="AG25" s="28">
        <f t="shared" si="10"/>
        <v>0</v>
      </c>
      <c r="AH25" s="23">
        <f>IFERROR(AG25/AG148, "NA")</f>
        <v>0</v>
      </c>
      <c r="AI25" s="29">
        <f t="shared" si="11"/>
        <v>0</v>
      </c>
      <c r="AJ25" s="30">
        <f>IFERROR(AI25/AI148, "NA")</f>
        <v>0</v>
      </c>
      <c r="AK25" s="29" t="str">
        <f t="shared" si="12"/>
        <v>NA</v>
      </c>
      <c r="AL25" s="30" t="str">
        <f>IFERROR(AK25/AK148, "NA")</f>
        <v>NA</v>
      </c>
    </row>
    <row r="26" ht="16.5" hidden="1" customHeight="1">
      <c r="A26" s="19" t="s">
        <v>84</v>
      </c>
      <c r="B26" s="21">
        <v>0.0</v>
      </c>
      <c r="C26" s="23">
        <f>IFERROR(B26/B148, "NA")</f>
        <v>0</v>
      </c>
      <c r="D26" s="21">
        <v>0.0</v>
      </c>
      <c r="E26" s="23">
        <f>IFERROR(D26/D148, "NA")</f>
        <v>0</v>
      </c>
      <c r="F26" s="21">
        <v>0.0</v>
      </c>
      <c r="G26" s="23">
        <f>IFERROR(F26/F148, "NA")</f>
        <v>0</v>
      </c>
      <c r="H26" s="21">
        <v>0.0</v>
      </c>
      <c r="I26" s="23">
        <f>IFERROR(H26/H148, "NA")</f>
        <v>0</v>
      </c>
      <c r="J26" s="21">
        <v>0.0</v>
      </c>
      <c r="K26" s="23">
        <f>IFERROR(J26/J148, "NA")</f>
        <v>0</v>
      </c>
      <c r="L26" s="21">
        <v>0.0</v>
      </c>
      <c r="M26" s="23">
        <f>IFERROR(L26/L148, "NA")</f>
        <v>0</v>
      </c>
      <c r="N26" s="21">
        <v>0.0</v>
      </c>
      <c r="O26" s="23">
        <f>IFERROR(N26/N148, "NA")</f>
        <v>0</v>
      </c>
      <c r="P26" s="21">
        <v>0.0</v>
      </c>
      <c r="Q26" s="23">
        <f>IFERROR(P26/P148, "NA")</f>
        <v>0</v>
      </c>
      <c r="R26" s="21">
        <v>0.0</v>
      </c>
      <c r="S26" s="23">
        <f>IFERROR(R26/R148, "NA")</f>
        <v>0</v>
      </c>
      <c r="T26" s="21">
        <v>0.0</v>
      </c>
      <c r="U26" s="23">
        <f>IFERROR(T26/T148, "NA")</f>
        <v>0</v>
      </c>
      <c r="V26" s="21">
        <v>0.0</v>
      </c>
      <c r="W26" s="23">
        <f>IFERROR(V26/V148, "NA")</f>
        <v>0</v>
      </c>
      <c r="X26" s="21">
        <v>0.0</v>
      </c>
      <c r="Y26" s="23">
        <f>IFERROR(X26/X148, "NA")</f>
        <v>0</v>
      </c>
      <c r="Z26" s="21">
        <v>0.0</v>
      </c>
      <c r="AA26" s="23">
        <f>IFERROR(Z26/Z148, "NA")</f>
        <v>0</v>
      </c>
      <c r="AB26" s="28">
        <f t="shared" si="7"/>
        <v>0</v>
      </c>
      <c r="AC26" s="23">
        <f>IFERROR(AB26/AB148, "NA")</f>
        <v>0</v>
      </c>
      <c r="AD26" s="29">
        <f t="shared" si="8"/>
        <v>0</v>
      </c>
      <c r="AE26" s="30">
        <f>IFERROR(AD26/AD148, "NA")</f>
        <v>0</v>
      </c>
      <c r="AF26" s="29" t="str">
        <f t="shared" si="9"/>
        <v>NA</v>
      </c>
      <c r="AG26" s="28">
        <f t="shared" si="10"/>
        <v>0</v>
      </c>
      <c r="AH26" s="23">
        <f>IFERROR(AG26/AG148, "NA")</f>
        <v>0</v>
      </c>
      <c r="AI26" s="29">
        <f t="shared" si="11"/>
        <v>0</v>
      </c>
      <c r="AJ26" s="30">
        <f>IFERROR(AI26/AI148, "NA")</f>
        <v>0</v>
      </c>
      <c r="AK26" s="29" t="str">
        <f t="shared" si="12"/>
        <v>NA</v>
      </c>
      <c r="AL26" s="30" t="str">
        <f>IFERROR(AK26/AK148, "NA")</f>
        <v>NA</v>
      </c>
    </row>
    <row r="27" ht="16.5" customHeight="1">
      <c r="A27" s="65" t="s">
        <v>85</v>
      </c>
      <c r="B27" s="66">
        <f>IFERROR(B15+B16+B17+B18+B19+B20+B21+B22+B23+B24+B25+B26, "NA")</f>
        <v>42340.8</v>
      </c>
      <c r="C27" s="67">
        <f>IFERROR(B27/B148, "NA")</f>
        <v>0.2078644117</v>
      </c>
      <c r="D27" s="66">
        <f>IFERROR(D15+D16+D17+D18+D19+D20+D21+D22+D23+D24+D25+D26, "NA")</f>
        <v>39665.26</v>
      </c>
      <c r="E27" s="67">
        <f>IFERROR(D27/D148, "NA")</f>
        <v>0.2137088608</v>
      </c>
      <c r="F27" s="66">
        <f>IFERROR(F15+F16+F17+F18+F19+F20+F21+F22+F23+F24+F25+F26, "NA")</f>
        <v>28885.75</v>
      </c>
      <c r="G27" s="67">
        <f>IFERROR(F27/F148, "NA")</f>
        <v>0.2044880149</v>
      </c>
      <c r="H27" s="66">
        <f>IFERROR(H15+H16+H17+H18+H19+H20+H21+H22+H23+H24+H25+H26, "NA")</f>
        <v>20053.95</v>
      </c>
      <c r="I27" s="67">
        <f>IFERROR(H27/H148, "NA")</f>
        <v>0.2685881288</v>
      </c>
      <c r="J27" s="66">
        <f>IFERROR(J15+J16+J17+J18+J19+J20+J21+J22+J23+J24+J25+J26, "NA")</f>
        <v>31757.54</v>
      </c>
      <c r="K27" s="67">
        <f>IFERROR(J27/J148, "NA")</f>
        <v>0.2230192516</v>
      </c>
      <c r="L27" s="66">
        <f>IFERROR(L15+L16+L17+L18+L19+L20+L21+L22+L23+L24+L25+L26, "NA")</f>
        <v>32522.5</v>
      </c>
      <c r="M27" s="67">
        <f>IFERROR(L27/L148, "NA")</f>
        <v>0.2406571774</v>
      </c>
      <c r="N27" s="66">
        <f>IFERROR(N15+N16+N17+N18+N19+N20+N21+N22+N23+N24+N25+N26, "NA")</f>
        <v>27919.76</v>
      </c>
      <c r="O27" s="67">
        <f>IFERROR(N27/N148, "NA")</f>
        <v>0.22960818</v>
      </c>
      <c r="P27" s="66">
        <f>IFERROR(P15+P16+P17+P18+P19+P20+P21+P22+P23+P24+P25+P26, "NA")</f>
        <v>13775.08</v>
      </c>
      <c r="Q27" s="67">
        <f>IFERROR(P27/P148, "NA")</f>
        <v>0.2433216757</v>
      </c>
      <c r="R27" s="66">
        <f>IFERROR(R15+R16+R17+R18+R19+R20+R21+R22+R23+R24+R25+R26, "NA")</f>
        <v>18453.18</v>
      </c>
      <c r="S27" s="67">
        <f>IFERROR(R27/R148, "NA")</f>
        <v>0.2655644308</v>
      </c>
      <c r="T27" s="66">
        <f>IFERROR(T15+T16+T17+T18+T19+T20+T21+T22+T23+T24+T25+T26, "NA")</f>
        <v>26075.93</v>
      </c>
      <c r="U27" s="67">
        <f>IFERROR(T27/T148, "NA")</f>
        <v>0.2359680698</v>
      </c>
      <c r="V27" s="66">
        <f>IFERROR(V15+V16+V17+V18+V19+V20+V21+V22+V23+V24+V25+V26, "NA")</f>
        <v>31056.7</v>
      </c>
      <c r="W27" s="67">
        <f>IFERROR(V27/V148, "NA")</f>
        <v>0.2299614948</v>
      </c>
      <c r="X27" s="66">
        <f>IFERROR(X15+X16+X17+X18+X19+X20+X21+X22+X23+X24+X25+X26, "NA")</f>
        <v>25244.69</v>
      </c>
      <c r="Y27" s="67">
        <f>IFERROR(X27/X148, "NA")</f>
        <v>0.217733947</v>
      </c>
      <c r="Z27" s="66">
        <f>IFERROR(Z15+Z16+Z17+Z18+Z19+Z20+Z21+Z22+Z23+Z24+Z25+Z26, "NA")</f>
        <v>100830.5</v>
      </c>
      <c r="AA27" s="67">
        <f>IFERROR(Z27/Z148, "NA")</f>
        <v>0.2339523205</v>
      </c>
      <c r="AB27" s="66">
        <f t="shared" si="7"/>
        <v>25207.625</v>
      </c>
      <c r="AC27" s="67">
        <f>IFERROR(AB27/AB148, "NA")</f>
        <v>0.2339523205</v>
      </c>
      <c r="AD27" s="75">
        <f t="shared" si="8"/>
        <v>37.065</v>
      </c>
      <c r="AE27" s="76">
        <f>IFERROR(AD27/AD148, "NA")</f>
        <v>0.004522337621</v>
      </c>
      <c r="AF27" s="75">
        <f t="shared" si="9"/>
        <v>0.001470388424</v>
      </c>
      <c r="AG27" s="66">
        <f t="shared" si="10"/>
        <v>25850.6725</v>
      </c>
      <c r="AH27" s="67">
        <f>IFERROR(AG27/AG148, "NA")</f>
        <v>0.2332209136</v>
      </c>
      <c r="AI27" s="75">
        <f t="shared" si="11"/>
        <v>-605.9825</v>
      </c>
      <c r="AJ27" s="76">
        <f>IFERROR(AI27/AI148, "NA")</f>
        <v>-0.1188007638</v>
      </c>
      <c r="AK27" s="75">
        <f t="shared" si="12"/>
        <v>-0.02344165321</v>
      </c>
      <c r="AL27" s="76">
        <f>IFERROR(AK27/AK148, "NA")</f>
        <v>-0.5093915549</v>
      </c>
    </row>
    <row r="28" ht="16.5" customHeight="1">
      <c r="A28" s="13" t="s">
        <v>86</v>
      </c>
      <c r="B28" s="14"/>
      <c r="C28" s="12"/>
      <c r="D28" s="14"/>
      <c r="E28" s="12"/>
      <c r="F28" s="14"/>
      <c r="G28" s="12"/>
      <c r="H28" s="14"/>
      <c r="I28" s="12"/>
      <c r="J28" s="14"/>
      <c r="K28" s="12"/>
      <c r="L28" s="14"/>
      <c r="M28" s="12"/>
      <c r="N28" s="14"/>
      <c r="O28" s="12"/>
      <c r="P28" s="14"/>
      <c r="Q28" s="12"/>
      <c r="R28" s="14"/>
      <c r="S28" s="12"/>
      <c r="T28" s="14"/>
      <c r="U28" s="12"/>
      <c r="V28" s="14"/>
      <c r="W28" s="12"/>
      <c r="X28" s="14"/>
      <c r="Y28" s="12"/>
      <c r="Z28" s="14"/>
      <c r="AA28" s="12"/>
      <c r="AB28" s="14"/>
      <c r="AC28" s="12"/>
      <c r="AD28" s="17"/>
      <c r="AE28" s="18"/>
      <c r="AF28" s="17"/>
      <c r="AG28" s="14"/>
      <c r="AH28" s="12"/>
      <c r="AI28" s="17"/>
      <c r="AJ28" s="18"/>
      <c r="AK28" s="17"/>
      <c r="AL28" s="18"/>
    </row>
    <row r="29" ht="16.5" hidden="1" customHeight="1">
      <c r="A29" s="19" t="s">
        <v>87</v>
      </c>
      <c r="B29" s="21">
        <v>0.0</v>
      </c>
      <c r="C29" s="23">
        <f>IFERROR(B29/B148, "NA")</f>
        <v>0</v>
      </c>
      <c r="D29" s="21">
        <v>0.0</v>
      </c>
      <c r="E29" s="23">
        <f>IFERROR(D29/D148, "NA")</f>
        <v>0</v>
      </c>
      <c r="F29" s="21">
        <v>0.0</v>
      </c>
      <c r="G29" s="23">
        <f>IFERROR(F29/F148, "NA")</f>
        <v>0</v>
      </c>
      <c r="H29" s="21">
        <v>0.0</v>
      </c>
      <c r="I29" s="23">
        <f>IFERROR(H29/H148, "NA")</f>
        <v>0</v>
      </c>
      <c r="J29" s="21">
        <v>0.0</v>
      </c>
      <c r="K29" s="23">
        <f>IFERROR(J29/J148, "NA")</f>
        <v>0</v>
      </c>
      <c r="L29" s="21">
        <v>0.0</v>
      </c>
      <c r="M29" s="23">
        <f>IFERROR(L29/L148, "NA")</f>
        <v>0</v>
      </c>
      <c r="N29" s="21">
        <v>0.0</v>
      </c>
      <c r="O29" s="23">
        <f>IFERROR(N29/N148, "NA")</f>
        <v>0</v>
      </c>
      <c r="P29" s="21">
        <v>0.0</v>
      </c>
      <c r="Q29" s="23">
        <f>IFERROR(P29/P148, "NA")</f>
        <v>0</v>
      </c>
      <c r="R29" s="21">
        <v>0.0</v>
      </c>
      <c r="S29" s="23">
        <f>IFERROR(R29/R148, "NA")</f>
        <v>0</v>
      </c>
      <c r="T29" s="21">
        <v>0.0</v>
      </c>
      <c r="U29" s="23">
        <f>IFERROR(T29/T148, "NA")</f>
        <v>0</v>
      </c>
      <c r="V29" s="21">
        <v>0.0</v>
      </c>
      <c r="W29" s="23">
        <f>IFERROR(V29/V148, "NA")</f>
        <v>0</v>
      </c>
      <c r="X29" s="21">
        <v>0.0</v>
      </c>
      <c r="Y29" s="23">
        <f>IFERROR(X29/X148, "NA")</f>
        <v>0</v>
      </c>
      <c r="Z29" s="21">
        <v>0.0</v>
      </c>
      <c r="AA29" s="23">
        <f>IFERROR(Z29/Z148, "NA")</f>
        <v>0</v>
      </c>
      <c r="AB29" s="28">
        <f t="shared" ref="AB29:AB35" si="13">IFERROR((R29+T29+V29+X29)/4, "NA")</f>
        <v>0</v>
      </c>
      <c r="AC29" s="23">
        <f>IFERROR(AB29/AB148, "NA")</f>
        <v>0</v>
      </c>
      <c r="AD29" s="29">
        <f t="shared" ref="AD29:AD35" si="14">IFERROR(X29-AB29, "NA")</f>
        <v>0</v>
      </c>
      <c r="AE29" s="30">
        <f>IFERROR(AD29/AD148, "NA")</f>
        <v>0</v>
      </c>
      <c r="AF29" s="29" t="str">
        <f t="shared" ref="AF29:AF35" si="15">IFERROR((X29-AB29)/AB29, "NA")</f>
        <v>NA</v>
      </c>
      <c r="AG29" s="28">
        <f t="shared" ref="AG29:AG35" si="16">IFERROR((J29+L29+N29+P29+R29+T29+V29+X29)/8, "NA")</f>
        <v>0</v>
      </c>
      <c r="AH29" s="23">
        <f>IFERROR(AG29/AG148, "NA")</f>
        <v>0</v>
      </c>
      <c r="AI29" s="29">
        <f t="shared" ref="AI29:AI35" si="17">IFERROR(X29-AG29, "NA")</f>
        <v>0</v>
      </c>
      <c r="AJ29" s="30">
        <f>IFERROR(AI29/AI148, "NA")</f>
        <v>0</v>
      </c>
      <c r="AK29" s="29" t="str">
        <f t="shared" ref="AK29:AK35" si="18">IFERROR((X29-AG29)/AG29, "NA")</f>
        <v>NA</v>
      </c>
      <c r="AL29" s="30" t="str">
        <f>IFERROR(AK29/AK148, "NA")</f>
        <v>NA</v>
      </c>
    </row>
    <row r="30" ht="16.5" customHeight="1">
      <c r="A30" s="19" t="s">
        <v>88</v>
      </c>
      <c r="B30" s="21">
        <v>1879.47</v>
      </c>
      <c r="C30" s="23">
        <f>IFERROR(B30/B148, "NA")</f>
        <v>0.009226914133</v>
      </c>
      <c r="D30" s="21">
        <v>1972.86</v>
      </c>
      <c r="E30" s="23">
        <f>IFERROR(D30/D148, "NA")</f>
        <v>0.01062939366</v>
      </c>
      <c r="F30" s="21">
        <v>1508.95</v>
      </c>
      <c r="G30" s="23">
        <f>IFERROR(F30/F148, "NA")</f>
        <v>0.01068215954</v>
      </c>
      <c r="H30" s="21">
        <v>1179.95</v>
      </c>
      <c r="I30" s="23">
        <f>IFERROR(H30/H148, "NA")</f>
        <v>0.01580339846</v>
      </c>
      <c r="J30" s="21">
        <v>1334.11</v>
      </c>
      <c r="K30" s="23">
        <f>IFERROR(J30/J148, "NA")</f>
        <v>0.009368868427</v>
      </c>
      <c r="L30" s="21">
        <v>1911.05</v>
      </c>
      <c r="M30" s="23">
        <f>IFERROR(L30/L148, "NA")</f>
        <v>0.0141412222</v>
      </c>
      <c r="N30" s="21">
        <v>1195.14</v>
      </c>
      <c r="O30" s="23">
        <f>IFERROR(N30/N148, "NA")</f>
        <v>0.009828663291</v>
      </c>
      <c r="P30" s="21">
        <v>1060.18</v>
      </c>
      <c r="Q30" s="23">
        <f>IFERROR(P30/P148, "NA")</f>
        <v>0.01872691659</v>
      </c>
      <c r="R30" s="21">
        <v>857.99</v>
      </c>
      <c r="S30" s="23">
        <f>IFERROR(R30/R148, "NA")</f>
        <v>0.01234755343</v>
      </c>
      <c r="T30" s="21">
        <v>1530.36</v>
      </c>
      <c r="U30" s="23">
        <f>IFERROR(T30/T148, "NA")</f>
        <v>0.01384863724</v>
      </c>
      <c r="V30" s="21">
        <v>1470.33</v>
      </c>
      <c r="W30" s="23">
        <f>IFERROR(V30/V148, "NA")</f>
        <v>0.01088716073</v>
      </c>
      <c r="X30" s="21">
        <v>1433.98</v>
      </c>
      <c r="Y30" s="23">
        <f>IFERROR(X30/X148, "NA")</f>
        <v>0.01236799205</v>
      </c>
      <c r="Z30" s="21">
        <v>5292.66</v>
      </c>
      <c r="AA30" s="23">
        <f>IFERROR(Z30/Z148, "NA")</f>
        <v>0.01228031289</v>
      </c>
      <c r="AB30" s="28">
        <f t="shared" si="13"/>
        <v>1323.165</v>
      </c>
      <c r="AC30" s="23">
        <f>IFERROR(AB30/AB148, "NA")</f>
        <v>0.01228031289</v>
      </c>
      <c r="AD30" s="29">
        <f t="shared" si="14"/>
        <v>110.815</v>
      </c>
      <c r="AE30" s="30">
        <f>IFERROR(AD30/AD148, "NA")</f>
        <v>0.01352064868</v>
      </c>
      <c r="AF30" s="29">
        <f t="shared" si="15"/>
        <v>0.08374994804</v>
      </c>
      <c r="AG30" s="28">
        <f t="shared" si="16"/>
        <v>1349.1425</v>
      </c>
      <c r="AH30" s="23">
        <f>IFERROR(AG30/AG148, "NA")</f>
        <v>0.01217176251</v>
      </c>
      <c r="AI30" s="29">
        <f t="shared" si="17"/>
        <v>84.8375</v>
      </c>
      <c r="AJ30" s="30">
        <f>IFERROR(AI30/AI148, "NA")</f>
        <v>0.01663209713</v>
      </c>
      <c r="AK30" s="29">
        <f t="shared" si="18"/>
        <v>0.06288253465</v>
      </c>
      <c r="AL30" s="30">
        <f>IFERROR(AK30/AK148, "NA")</f>
        <v>1.366449363</v>
      </c>
    </row>
    <row r="31" ht="16.5" customHeight="1">
      <c r="A31" s="19" t="s">
        <v>89</v>
      </c>
      <c r="B31" s="21">
        <v>-155.27</v>
      </c>
      <c r="C31" s="23">
        <f>IFERROR(B31/B148, "NA")</f>
        <v>-0.0007622696598</v>
      </c>
      <c r="D31" s="21">
        <v>147.08</v>
      </c>
      <c r="E31" s="23">
        <f>IFERROR(D31/D148, "NA")</f>
        <v>0.0007924390069</v>
      </c>
      <c r="F31" s="21">
        <v>-64.88</v>
      </c>
      <c r="G31" s="23">
        <f>IFERROR(F31/F148, "NA")</f>
        <v>-0.0004592985263</v>
      </c>
      <c r="H31" s="21">
        <v>59.03</v>
      </c>
      <c r="I31" s="23">
        <f>IFERROR(H31/H148, "NA")</f>
        <v>0.0007906052047</v>
      </c>
      <c r="J31" s="21">
        <v>108.66</v>
      </c>
      <c r="K31" s="23">
        <f>IFERROR(J31/J148, "NA")</f>
        <v>0.0007630714433</v>
      </c>
      <c r="L31" s="21">
        <v>59.2</v>
      </c>
      <c r="M31" s="23">
        <f>IFERROR(L31/L148, "NA")</f>
        <v>0.0004380630303</v>
      </c>
      <c r="N31" s="21">
        <v>37.65</v>
      </c>
      <c r="O31" s="23">
        <f>IFERROR(N31/N148, "NA")</f>
        <v>0.0003096283054</v>
      </c>
      <c r="P31" s="21">
        <v>28.78</v>
      </c>
      <c r="Q31" s="23">
        <f>IFERROR(P31/P148, "NA")</f>
        <v>0.0005083671259</v>
      </c>
      <c r="R31" s="21">
        <v>22.8</v>
      </c>
      <c r="S31" s="23">
        <f>IFERROR(R31/R148, "NA")</f>
        <v>0.0003281206287</v>
      </c>
      <c r="T31" s="21">
        <v>80.05</v>
      </c>
      <c r="U31" s="23">
        <f>IFERROR(T31/T148, "NA")</f>
        <v>0.0007243938755</v>
      </c>
      <c r="V31" s="21">
        <v>26.71</v>
      </c>
      <c r="W31" s="23">
        <f>IFERROR(V31/V148, "NA")</f>
        <v>0.0001977760523</v>
      </c>
      <c r="X31" s="21">
        <v>59.28</v>
      </c>
      <c r="Y31" s="23">
        <f>IFERROR(X31/X148, "NA")</f>
        <v>0.0005112864676</v>
      </c>
      <c r="Z31" s="21">
        <v>188.84</v>
      </c>
      <c r="AA31" s="23">
        <f>IFERROR(Z31/Z148, "NA")</f>
        <v>0.0004381566709</v>
      </c>
      <c r="AB31" s="28">
        <f t="shared" si="13"/>
        <v>47.21</v>
      </c>
      <c r="AC31" s="23">
        <f>IFERROR(AB31/AB148, "NA")</f>
        <v>0.0004381566709</v>
      </c>
      <c r="AD31" s="29">
        <f t="shared" si="14"/>
        <v>12.07</v>
      </c>
      <c r="AE31" s="30">
        <f>IFERROR(AD31/AD148, "NA")</f>
        <v>0.001472672739</v>
      </c>
      <c r="AF31" s="29">
        <f t="shared" si="15"/>
        <v>0.2556661724</v>
      </c>
      <c r="AG31" s="28">
        <f t="shared" si="16"/>
        <v>52.89125</v>
      </c>
      <c r="AH31" s="23">
        <f>IFERROR(AG31/AG148, "NA")</f>
        <v>0.0004771769726</v>
      </c>
      <c r="AI31" s="29">
        <f t="shared" si="17"/>
        <v>6.38875</v>
      </c>
      <c r="AJ31" s="30">
        <f>IFERROR(AI31/AI148, "NA")</f>
        <v>0.001252492241</v>
      </c>
      <c r="AK31" s="29">
        <f t="shared" si="18"/>
        <v>0.1207903009</v>
      </c>
      <c r="AL31" s="30">
        <f>IFERROR(AK31/AK148, "NA")</f>
        <v>2.624796068</v>
      </c>
    </row>
    <row r="32" ht="16.5" customHeight="1">
      <c r="A32" s="19" t="s">
        <v>90</v>
      </c>
      <c r="B32" s="21">
        <v>-31.57</v>
      </c>
      <c r="C32" s="23">
        <f>IFERROR(B32/B148, "NA")</f>
        <v>-0.0001549871396</v>
      </c>
      <c r="D32" s="21">
        <v>20.29</v>
      </c>
      <c r="E32" s="23">
        <f>IFERROR(D32/D148, "NA")</f>
        <v>0.0001093186528</v>
      </c>
      <c r="F32" s="21">
        <v>269.66</v>
      </c>
      <c r="G32" s="23">
        <f>IFERROR(F32/F148, "NA")</f>
        <v>0.001908977198</v>
      </c>
      <c r="H32" s="21">
        <v>-336.03</v>
      </c>
      <c r="I32" s="23">
        <f>IFERROR(H32/H148, "NA")</f>
        <v>-0.004500543231</v>
      </c>
      <c r="J32" s="21">
        <v>216.71</v>
      </c>
      <c r="K32" s="23">
        <f>IFERROR(J32/J148, "NA")</f>
        <v>0.001521859125</v>
      </c>
      <c r="L32" s="21">
        <v>127.34</v>
      </c>
      <c r="M32" s="23">
        <f>IFERROR(L32/L148, "NA")</f>
        <v>0.000942279498</v>
      </c>
      <c r="N32" s="21">
        <v>127.02</v>
      </c>
      <c r="O32" s="23">
        <f>IFERROR(N32/N148, "NA")</f>
        <v>0.001044594618</v>
      </c>
      <c r="P32" s="21">
        <v>462.72</v>
      </c>
      <c r="Q32" s="23">
        <f>IFERROR(P32/P148, "NA")</f>
        <v>0.008173441156</v>
      </c>
      <c r="R32" s="21">
        <v>43.31</v>
      </c>
      <c r="S32" s="23">
        <f>IFERROR(R32/R148, "NA")</f>
        <v>0.0006232852819</v>
      </c>
      <c r="T32" s="21">
        <v>17.59</v>
      </c>
      <c r="U32" s="23">
        <f>IFERROR(T32/T148, "NA")</f>
        <v>0.000159176618</v>
      </c>
      <c r="V32" s="21">
        <v>5.28</v>
      </c>
      <c r="W32" s="23">
        <f>IFERROR(V32/V148, "NA")</f>
        <v>0.00003909612716</v>
      </c>
      <c r="X32" s="21">
        <v>30.7</v>
      </c>
      <c r="Y32" s="23">
        <f>IFERROR(X32/X148, "NA")</f>
        <v>0.0002647856707</v>
      </c>
      <c r="Z32" s="21">
        <v>96.88</v>
      </c>
      <c r="AA32" s="23">
        <f>IFERROR(Z32/Z148, "NA")</f>
        <v>0.0002247861591</v>
      </c>
      <c r="AB32" s="28">
        <f t="shared" si="13"/>
        <v>24.22</v>
      </c>
      <c r="AC32" s="23">
        <f>IFERROR(AB32/AB148, "NA")</f>
        <v>0.0002247861591</v>
      </c>
      <c r="AD32" s="29">
        <f t="shared" si="14"/>
        <v>6.48</v>
      </c>
      <c r="AE32" s="30">
        <f>IFERROR(AD32/AD148, "NA")</f>
        <v>0.0007906312635</v>
      </c>
      <c r="AF32" s="29">
        <f t="shared" si="15"/>
        <v>0.2675474814</v>
      </c>
      <c r="AG32" s="28">
        <f t="shared" si="16"/>
        <v>128.83375</v>
      </c>
      <c r="AH32" s="23">
        <f>IFERROR(AG32/AG148, "NA")</f>
        <v>0.001162318886</v>
      </c>
      <c r="AI32" s="29">
        <f t="shared" si="17"/>
        <v>-98.13375</v>
      </c>
      <c r="AJ32" s="30">
        <f>IFERROR(AI32/AI148, "NA")</f>
        <v>-0.01923878075</v>
      </c>
      <c r="AK32" s="29">
        <f t="shared" si="18"/>
        <v>-0.7617084033</v>
      </c>
      <c r="AL32" s="30">
        <f>IFERROR(AK32/AK148, "NA")</f>
        <v>-16.55206757</v>
      </c>
    </row>
    <row r="33" ht="16.5" customHeight="1">
      <c r="A33" s="19" t="s">
        <v>91</v>
      </c>
      <c r="B33" s="21">
        <v>17.0</v>
      </c>
      <c r="C33" s="23">
        <f>IFERROR(B33/B148, "NA")</f>
        <v>0.00008345839</v>
      </c>
      <c r="D33" s="21">
        <v>23.59</v>
      </c>
      <c r="E33" s="23">
        <f>IFERROR(D33/D148, "NA")</f>
        <v>0.0001270984238</v>
      </c>
      <c r="F33" s="21">
        <v>12.88</v>
      </c>
      <c r="G33" s="23">
        <f>IFERROR(F33/F148, "NA")</f>
        <v>0.00009118010201</v>
      </c>
      <c r="H33" s="21">
        <v>28.38</v>
      </c>
      <c r="I33" s="23">
        <f>IFERROR(H33/H148, "NA")</f>
        <v>0.0003801012318</v>
      </c>
      <c r="J33" s="21">
        <v>39.4</v>
      </c>
      <c r="K33" s="23">
        <f>IFERROR(J33/J148, "NA")</f>
        <v>0.0002766888907</v>
      </c>
      <c r="L33" s="21">
        <v>-30.46</v>
      </c>
      <c r="M33" s="23">
        <f>IFERROR(L33/L148, "NA")</f>
        <v>-0.0002253952686</v>
      </c>
      <c r="N33" s="21">
        <v>15.02</v>
      </c>
      <c r="O33" s="23">
        <f>IFERROR(N33/N148, "NA")</f>
        <v>0.0001235223678</v>
      </c>
      <c r="P33" s="21">
        <v>12.7</v>
      </c>
      <c r="Q33" s="23">
        <f>IFERROR(P33/P148, "NA")</f>
        <v>0.000224331567</v>
      </c>
      <c r="R33" s="21">
        <v>-16.94</v>
      </c>
      <c r="S33" s="23">
        <f>IFERROR(R33/R148, "NA")</f>
        <v>-0.0002437878706</v>
      </c>
      <c r="T33" s="21">
        <v>45.7</v>
      </c>
      <c r="U33" s="23">
        <f>IFERROR(T33/T148, "NA")</f>
        <v>0.0004135515317</v>
      </c>
      <c r="V33" s="21">
        <v>-21.61</v>
      </c>
      <c r="W33" s="23">
        <f>IFERROR(V33/V148, "NA")</f>
        <v>-0.0001600127477</v>
      </c>
      <c r="X33" s="21">
        <v>40.28</v>
      </c>
      <c r="Y33" s="23">
        <f>IFERROR(X33/X148, "NA")</f>
        <v>0.0003474125998</v>
      </c>
      <c r="Z33" s="21">
        <v>47.43</v>
      </c>
      <c r="AA33" s="23">
        <f>IFERROR(Z33/Z148, "NA")</f>
        <v>0.0001100496235</v>
      </c>
      <c r="AB33" s="28">
        <f t="shared" si="13"/>
        <v>11.8575</v>
      </c>
      <c r="AC33" s="23">
        <f>IFERROR(AB33/AB148, "NA")</f>
        <v>0.0001100496235</v>
      </c>
      <c r="AD33" s="29">
        <f t="shared" si="14"/>
        <v>28.4225</v>
      </c>
      <c r="AE33" s="30">
        <f>IFERROR(AD33/AD148, "NA")</f>
        <v>0.003467857575</v>
      </c>
      <c r="AF33" s="29">
        <f t="shared" si="15"/>
        <v>2.397006114</v>
      </c>
      <c r="AG33" s="28">
        <f t="shared" si="16"/>
        <v>10.51125</v>
      </c>
      <c r="AH33" s="23">
        <f>IFERROR(AG33/AG148, "NA")</f>
        <v>0.00009483093051</v>
      </c>
      <c r="AI33" s="29">
        <f t="shared" si="17"/>
        <v>29.76875</v>
      </c>
      <c r="AJ33" s="30">
        <f>IFERROR(AI33/AI148, "NA")</f>
        <v>0.005836060014</v>
      </c>
      <c r="AK33" s="29">
        <f t="shared" si="18"/>
        <v>2.832084671</v>
      </c>
      <c r="AL33" s="30">
        <f>IFERROR(AK33/AK148, "NA")</f>
        <v>61.54173519</v>
      </c>
    </row>
    <row r="34" ht="16.5" customHeight="1">
      <c r="A34" s="65" t="s">
        <v>94</v>
      </c>
      <c r="B34" s="66">
        <f>IFERROR(B29+B30+B31+B32+B33, "NA")</f>
        <v>1709.63</v>
      </c>
      <c r="C34" s="67">
        <f>IFERROR(B34/B148, "NA")</f>
        <v>0.008393115724</v>
      </c>
      <c r="D34" s="66">
        <f>IFERROR(D29+D30+D31+D32+D33, "NA")</f>
        <v>2163.82</v>
      </c>
      <c r="E34" s="67">
        <f>IFERROR(D34/D148, "NA")</f>
        <v>0.01165824974</v>
      </c>
      <c r="F34" s="66">
        <f>IFERROR(F29+F30+F31+F32+F33, "NA")</f>
        <v>1726.61</v>
      </c>
      <c r="G34" s="67">
        <f>IFERROR(F34/F148, "NA")</f>
        <v>0.01222301832</v>
      </c>
      <c r="H34" s="66">
        <f>IFERROR(H29+H30+H31+H32+H33, "NA")</f>
        <v>931.33</v>
      </c>
      <c r="I34" s="67">
        <f>IFERROR(H34/H148, "NA")</f>
        <v>0.01247356167</v>
      </c>
      <c r="J34" s="66">
        <f>IFERROR(J29+J30+J31+J32+J33, "NA")</f>
        <v>1698.88</v>
      </c>
      <c r="K34" s="67">
        <f>IFERROR(J34/J148, "NA")</f>
        <v>0.01193048789</v>
      </c>
      <c r="L34" s="66">
        <f>IFERROR(L29+L30+L31+L32+L33, "NA")</f>
        <v>2067.13</v>
      </c>
      <c r="M34" s="67">
        <f>IFERROR(L34/L148, "NA")</f>
        <v>0.01529616946</v>
      </c>
      <c r="N34" s="66">
        <f>IFERROR(N29+N30+N31+N32+N33, "NA")</f>
        <v>1374.83</v>
      </c>
      <c r="O34" s="67">
        <f>IFERROR(N34/N148, "NA")</f>
        <v>0.01130640858</v>
      </c>
      <c r="P34" s="66">
        <f>IFERROR(P29+P30+P31+P32+P33, "NA")</f>
        <v>1564.38</v>
      </c>
      <c r="Q34" s="67">
        <f>IFERROR(P34/P148, "NA")</f>
        <v>0.02763305644</v>
      </c>
      <c r="R34" s="66">
        <f>IFERROR(R29+R30+R31+R32+R33, "NA")</f>
        <v>907.16</v>
      </c>
      <c r="S34" s="67">
        <f>IFERROR(R34/R148, "NA")</f>
        <v>0.01305517147</v>
      </c>
      <c r="T34" s="66">
        <f>IFERROR(T29+T30+T31+T32+T33, "NA")</f>
        <v>1673.7</v>
      </c>
      <c r="U34" s="67">
        <f>IFERROR(T34/T148, "NA")</f>
        <v>0.01514575927</v>
      </c>
      <c r="V34" s="66">
        <f>IFERROR(V29+V30+V31+V32+V33, "NA")</f>
        <v>1480.71</v>
      </c>
      <c r="W34" s="67">
        <f>IFERROR(V34/V148, "NA")</f>
        <v>0.01096402016</v>
      </c>
      <c r="X34" s="66">
        <f>IFERROR(X29+X30+X31+X32+X33, "NA")</f>
        <v>1564.24</v>
      </c>
      <c r="Y34" s="67">
        <f>IFERROR(X34/X148, "NA")</f>
        <v>0.01349147679</v>
      </c>
      <c r="Z34" s="66">
        <f>IFERROR(Z29+Z30+Z31+Z32+Z33, "NA")</f>
        <v>5625.81</v>
      </c>
      <c r="AA34" s="67">
        <f>IFERROR(Z34/Z148, "NA")</f>
        <v>0.01305330534</v>
      </c>
      <c r="AB34" s="66">
        <f t="shared" si="13"/>
        <v>1406.4525</v>
      </c>
      <c r="AC34" s="67">
        <f>IFERROR(AB34/AB148, "NA")</f>
        <v>0.01305330534</v>
      </c>
      <c r="AD34" s="75">
        <f t="shared" si="14"/>
        <v>157.7875</v>
      </c>
      <c r="AE34" s="76">
        <f>IFERROR(AD34/AD148, "NA")</f>
        <v>0.01925181026</v>
      </c>
      <c r="AF34" s="75">
        <f t="shared" si="15"/>
        <v>0.1121882893</v>
      </c>
      <c r="AG34" s="66">
        <f t="shared" si="16"/>
        <v>1541.37875</v>
      </c>
      <c r="AH34" s="67">
        <f>IFERROR(AG34/AG148, "NA")</f>
        <v>0.0139060893</v>
      </c>
      <c r="AI34" s="75">
        <f t="shared" si="17"/>
        <v>22.86125</v>
      </c>
      <c r="AJ34" s="76">
        <f>IFERROR(AI34/AI148, "NA")</f>
        <v>0.004481868637</v>
      </c>
      <c r="AK34" s="75">
        <f t="shared" si="18"/>
        <v>0.01483168884</v>
      </c>
      <c r="AL34" s="76">
        <f>IFERROR(AK34/AK148, "NA")</f>
        <v>0.3222954017</v>
      </c>
    </row>
    <row r="35" ht="16.5" customHeight="1">
      <c r="A35" s="65" t="s">
        <v>95</v>
      </c>
      <c r="B35" s="66">
        <f>IFERROR(B13+B15+B16+B17+B18+B19+B20+B21+B22+B23+B24+B25+B26+B29+B30+B31+B32+B33, "NA")</f>
        <v>44050.43</v>
      </c>
      <c r="C35" s="67">
        <f>IFERROR(B35/B148, "NA")</f>
        <v>0.2162575275</v>
      </c>
      <c r="D35" s="66">
        <f>IFERROR(D13+D15+D16+D17+D18+D19+D20+D21+D22+D23+D24+D25+D26+D29+D30+D31+D32+D33, "NA")</f>
        <v>41829.08</v>
      </c>
      <c r="E35" s="67">
        <f>IFERROR(D35/D148, "NA")</f>
        <v>0.2253671105</v>
      </c>
      <c r="F35" s="66">
        <f>IFERROR(F13+F15+F16+F17+F18+F19+F20+F21+F22+F23+F24+F25+F26+F29+F30+F31+F32+F33, "NA")</f>
        <v>30612.36</v>
      </c>
      <c r="G35" s="67">
        <f>IFERROR(F35/F148, "NA")</f>
        <v>0.2167110332</v>
      </c>
      <c r="H35" s="66">
        <f>IFERROR(H13+H15+H16+H17+H18+H19+H20+H21+H22+H23+H24+H25+H26+H29+H30+H31+H32+H33, "NA")</f>
        <v>20985.28</v>
      </c>
      <c r="I35" s="67">
        <f>IFERROR(H35/H148, "NA")</f>
        <v>0.2810616905</v>
      </c>
      <c r="J35" s="66">
        <f>IFERROR(J13+J15+J16+J17+J18+J19+J20+J21+J22+J23+J24+J25+J26+J29+J30+J31+J32+J33, "NA")</f>
        <v>33456.42</v>
      </c>
      <c r="K35" s="67">
        <f>IFERROR(J35/J148, "NA")</f>
        <v>0.2349497395</v>
      </c>
      <c r="L35" s="66">
        <f>IFERROR(L13+L15+L16+L17+L18+L19+L20+L21+L22+L23+L24+L25+L26+L29+L30+L31+L32+L33, "NA")</f>
        <v>34589.63</v>
      </c>
      <c r="M35" s="67">
        <f>IFERROR(L35/L148, "NA")</f>
        <v>0.2559533469</v>
      </c>
      <c r="N35" s="66">
        <f>IFERROR(N13+N15+N16+N17+N18+N19+N20+N21+N22+N23+N24+N25+N26+N29+N30+N31+N32+N33, "NA")</f>
        <v>29294.59</v>
      </c>
      <c r="O35" s="67">
        <f>IFERROR(N35/N148, "NA")</f>
        <v>0.2409145886</v>
      </c>
      <c r="P35" s="66">
        <f>IFERROR(P13+P15+P16+P17+P18+P19+P20+P21+P22+P23+P24+P25+P26+P29+P30+P31+P32+P33, "NA")</f>
        <v>15339.46</v>
      </c>
      <c r="Q35" s="67">
        <f>IFERROR(P35/P148, "NA")</f>
        <v>0.2709547322</v>
      </c>
      <c r="R35" s="66">
        <f>IFERROR(R13+R15+R16+R17+R18+R19+R20+R21+R22+R23+R24+R25+R26+R29+R30+R31+R32+R33, "NA")</f>
        <v>19360.34</v>
      </c>
      <c r="S35" s="67">
        <f>IFERROR(R35/R148, "NA")</f>
        <v>0.2786196023</v>
      </c>
      <c r="T35" s="66">
        <f>IFERROR(T13+T15+T16+T17+T18+T19+T20+T21+T22+T23+T24+T25+T26+T29+T30+T31+T32+T33, "NA")</f>
        <v>27749.63</v>
      </c>
      <c r="U35" s="67">
        <f>IFERROR(T35/T148, "NA")</f>
        <v>0.2511138291</v>
      </c>
      <c r="V35" s="66">
        <f>IFERROR(V13+V15+V16+V17+V18+V19+V20+V21+V22+V23+V24+V25+V26+V29+V30+V31+V32+V33, "NA")</f>
        <v>32537.41</v>
      </c>
      <c r="W35" s="67">
        <f>IFERROR(V35/V148, "NA")</f>
        <v>0.2409255149</v>
      </c>
      <c r="X35" s="66">
        <f>IFERROR(X13+X15+X16+X17+X18+X19+X20+X21+X22+X23+X24+X25+X26+X29+X30+X31+X32+X33, "NA")</f>
        <v>26808.93</v>
      </c>
      <c r="Y35" s="67">
        <f>IFERROR(X35/X148, "NA")</f>
        <v>0.2312254238</v>
      </c>
      <c r="Z35" s="66">
        <f>IFERROR(Z13+Z15+Z16+Z17+Z18+Z19+Z20+Z21+Z22+Z23+Z24+Z25+Z26+Z29+Z30+Z31+Z32+Z33, "NA")</f>
        <v>106456.31</v>
      </c>
      <c r="AA35" s="67">
        <f>IFERROR(Z35/Z148, "NA")</f>
        <v>0.2470056258</v>
      </c>
      <c r="AB35" s="66">
        <f t="shared" si="13"/>
        <v>26614.0775</v>
      </c>
      <c r="AC35" s="67">
        <f>IFERROR(AB35/AB148, "NA")</f>
        <v>0.2470056258</v>
      </c>
      <c r="AD35" s="75">
        <f t="shared" si="14"/>
        <v>194.8525</v>
      </c>
      <c r="AE35" s="76">
        <f>IFERROR(AD35/AD148, "NA")</f>
        <v>0.02377414788</v>
      </c>
      <c r="AF35" s="75">
        <f t="shared" si="15"/>
        <v>0.007321407251</v>
      </c>
      <c r="AG35" s="66">
        <f t="shared" si="16"/>
        <v>27392.05125</v>
      </c>
      <c r="AH35" s="67">
        <f>IFERROR(AG35/AG148, "NA")</f>
        <v>0.2471270029</v>
      </c>
      <c r="AI35" s="75">
        <f t="shared" si="17"/>
        <v>-583.12125</v>
      </c>
      <c r="AJ35" s="76">
        <f>IFERROR(AI35/AI148, "NA")</f>
        <v>-0.1143188952</v>
      </c>
      <c r="AK35" s="75">
        <f t="shared" si="18"/>
        <v>-0.02128797309</v>
      </c>
      <c r="AL35" s="76">
        <f>IFERROR(AK35/AK148, "NA")</f>
        <v>-0.4625916789</v>
      </c>
    </row>
    <row r="36" ht="16.5" customHeight="1">
      <c r="A36" s="13" t="s">
        <v>96</v>
      </c>
      <c r="B36" s="14"/>
      <c r="C36" s="12"/>
      <c r="D36" s="14"/>
      <c r="E36" s="12"/>
      <c r="F36" s="14"/>
      <c r="G36" s="12"/>
      <c r="H36" s="14"/>
      <c r="I36" s="12"/>
      <c r="J36" s="14"/>
      <c r="K36" s="12"/>
      <c r="L36" s="14"/>
      <c r="M36" s="12"/>
      <c r="N36" s="14"/>
      <c r="O36" s="12"/>
      <c r="P36" s="14"/>
      <c r="Q36" s="12"/>
      <c r="R36" s="14"/>
      <c r="S36" s="12"/>
      <c r="T36" s="14"/>
      <c r="U36" s="12"/>
      <c r="V36" s="14"/>
      <c r="W36" s="12"/>
      <c r="X36" s="14"/>
      <c r="Y36" s="12"/>
      <c r="Z36" s="14"/>
      <c r="AA36" s="12"/>
      <c r="AB36" s="14"/>
      <c r="AC36" s="12"/>
      <c r="AD36" s="17"/>
      <c r="AE36" s="18"/>
      <c r="AF36" s="17"/>
      <c r="AG36" s="14"/>
      <c r="AH36" s="12"/>
      <c r="AI36" s="17"/>
      <c r="AJ36" s="18"/>
      <c r="AK36" s="17"/>
      <c r="AL36" s="18"/>
    </row>
    <row r="37" ht="16.5" hidden="1" customHeight="1">
      <c r="A37" s="19" t="s">
        <v>97</v>
      </c>
      <c r="B37" s="21">
        <v>0.0</v>
      </c>
      <c r="C37" s="23">
        <f>IFERROR(B37/B148, "NA")</f>
        <v>0</v>
      </c>
      <c r="D37" s="21">
        <v>0.0</v>
      </c>
      <c r="E37" s="23">
        <f>IFERROR(D37/D148, "NA")</f>
        <v>0</v>
      </c>
      <c r="F37" s="21">
        <v>0.0</v>
      </c>
      <c r="G37" s="23">
        <f>IFERROR(F37/F148, "NA")</f>
        <v>0</v>
      </c>
      <c r="H37" s="21">
        <v>0.0</v>
      </c>
      <c r="I37" s="23">
        <f>IFERROR(H37/H148, "NA")</f>
        <v>0</v>
      </c>
      <c r="J37" s="21">
        <v>0.0</v>
      </c>
      <c r="K37" s="23">
        <f>IFERROR(J37/J148, "NA")</f>
        <v>0</v>
      </c>
      <c r="L37" s="21">
        <v>0.0</v>
      </c>
      <c r="M37" s="23">
        <f>IFERROR(L37/L148, "NA")</f>
        <v>0</v>
      </c>
      <c r="N37" s="21">
        <v>0.0</v>
      </c>
      <c r="O37" s="23">
        <f>IFERROR(N37/N148, "NA")</f>
        <v>0</v>
      </c>
      <c r="P37" s="21">
        <v>0.0</v>
      </c>
      <c r="Q37" s="23">
        <f>IFERROR(P37/P148, "NA")</f>
        <v>0</v>
      </c>
      <c r="R37" s="21">
        <v>0.0</v>
      </c>
      <c r="S37" s="23">
        <f>IFERROR(R37/R148, "NA")</f>
        <v>0</v>
      </c>
      <c r="T37" s="21">
        <v>0.0</v>
      </c>
      <c r="U37" s="23">
        <f>IFERROR(T37/T148, "NA")</f>
        <v>0</v>
      </c>
      <c r="V37" s="21">
        <v>0.0</v>
      </c>
      <c r="W37" s="23">
        <f>IFERROR(V37/V148, "NA")</f>
        <v>0</v>
      </c>
      <c r="X37" s="21">
        <v>0.0</v>
      </c>
      <c r="Y37" s="23">
        <f>IFERROR(X37/X148, "NA")</f>
        <v>0</v>
      </c>
      <c r="Z37" s="21">
        <v>0.0</v>
      </c>
      <c r="AA37" s="23">
        <f>IFERROR(Z37/Z148, "NA")</f>
        <v>0</v>
      </c>
      <c r="AB37" s="28">
        <f>IFERROR((R37+T37+V37+X37)/4, "NA")</f>
        <v>0</v>
      </c>
      <c r="AC37" s="23">
        <f>IFERROR(AB37/AB148, "NA")</f>
        <v>0</v>
      </c>
      <c r="AD37" s="29">
        <f>IFERROR(X37-AB37, "NA")</f>
        <v>0</v>
      </c>
      <c r="AE37" s="30">
        <f>IFERROR(AD37/AD148, "NA")</f>
        <v>0</v>
      </c>
      <c r="AF37" s="29" t="str">
        <f>IFERROR((X37-AB37)/AB37, "NA")</f>
        <v>NA</v>
      </c>
      <c r="AG37" s="28">
        <f>IFERROR((J37+L37+N37+P37+R37+T37+V37+X37)/8, "NA")</f>
        <v>0</v>
      </c>
      <c r="AH37" s="23">
        <f>IFERROR(AG37/AG148, "NA")</f>
        <v>0</v>
      </c>
      <c r="AI37" s="29">
        <f>IFERROR(X37-AG37, "NA")</f>
        <v>0</v>
      </c>
      <c r="AJ37" s="30">
        <f>IFERROR(AI37/AI148, "NA")</f>
        <v>0</v>
      </c>
      <c r="AK37" s="29" t="str">
        <f>IFERROR((X37-AG37)/AG37, "NA")</f>
        <v>NA</v>
      </c>
      <c r="AL37" s="30" t="str">
        <f>IFERROR(AK37/AK148, "NA")</f>
        <v>NA</v>
      </c>
    </row>
    <row r="38" ht="16.5" customHeight="1">
      <c r="A38" s="13" t="s">
        <v>98</v>
      </c>
      <c r="B38" s="14"/>
      <c r="C38" s="12"/>
      <c r="D38" s="14"/>
      <c r="E38" s="12"/>
      <c r="F38" s="14"/>
      <c r="G38" s="12"/>
      <c r="H38" s="14"/>
      <c r="I38" s="12"/>
      <c r="J38" s="14"/>
      <c r="K38" s="12"/>
      <c r="L38" s="14"/>
      <c r="M38" s="12"/>
      <c r="N38" s="14"/>
      <c r="O38" s="12"/>
      <c r="P38" s="14"/>
      <c r="Q38" s="12"/>
      <c r="R38" s="14"/>
      <c r="S38" s="12"/>
      <c r="T38" s="14"/>
      <c r="U38" s="12"/>
      <c r="V38" s="14"/>
      <c r="W38" s="12"/>
      <c r="X38" s="14"/>
      <c r="Y38" s="12"/>
      <c r="Z38" s="14"/>
      <c r="AA38" s="12"/>
      <c r="AB38" s="14"/>
      <c r="AC38" s="12"/>
      <c r="AD38" s="17"/>
      <c r="AE38" s="18"/>
      <c r="AF38" s="17"/>
      <c r="AG38" s="14"/>
      <c r="AH38" s="12"/>
      <c r="AI38" s="17"/>
      <c r="AJ38" s="18"/>
      <c r="AK38" s="17"/>
      <c r="AL38" s="18"/>
    </row>
    <row r="39" ht="16.5" hidden="1" customHeight="1">
      <c r="A39" s="19" t="s">
        <v>99</v>
      </c>
      <c r="B39" s="21">
        <v>0.0</v>
      </c>
      <c r="C39" s="23">
        <f>IFERROR(B39/B148, "NA")</f>
        <v>0</v>
      </c>
      <c r="D39" s="21">
        <v>0.0</v>
      </c>
      <c r="E39" s="23">
        <f>IFERROR(D39/D148, "NA")</f>
        <v>0</v>
      </c>
      <c r="F39" s="21">
        <v>0.0</v>
      </c>
      <c r="G39" s="23">
        <f>IFERROR(F39/F148, "NA")</f>
        <v>0</v>
      </c>
      <c r="H39" s="21">
        <v>0.0</v>
      </c>
      <c r="I39" s="23">
        <f>IFERROR(H39/H148, "NA")</f>
        <v>0</v>
      </c>
      <c r="J39" s="21">
        <v>0.0</v>
      </c>
      <c r="K39" s="23">
        <f>IFERROR(J39/J148, "NA")</f>
        <v>0</v>
      </c>
      <c r="L39" s="21">
        <v>0.0</v>
      </c>
      <c r="M39" s="23">
        <f>IFERROR(L39/L148, "NA")</f>
        <v>0</v>
      </c>
      <c r="N39" s="21">
        <v>0.0</v>
      </c>
      <c r="O39" s="23">
        <f>IFERROR(N39/N148, "NA")</f>
        <v>0</v>
      </c>
      <c r="P39" s="21">
        <v>0.0</v>
      </c>
      <c r="Q39" s="23">
        <f>IFERROR(P39/P148, "NA")</f>
        <v>0</v>
      </c>
      <c r="R39" s="21">
        <v>0.0</v>
      </c>
      <c r="S39" s="23">
        <f>IFERROR(R39/R148, "NA")</f>
        <v>0</v>
      </c>
      <c r="T39" s="21">
        <v>0.0</v>
      </c>
      <c r="U39" s="23">
        <f>IFERROR(T39/T148, "NA")</f>
        <v>0</v>
      </c>
      <c r="V39" s="21">
        <v>0.0</v>
      </c>
      <c r="W39" s="23">
        <f>IFERROR(V39/V148, "NA")</f>
        <v>0</v>
      </c>
      <c r="X39" s="21">
        <v>0.0</v>
      </c>
      <c r="Y39" s="23">
        <f>IFERROR(X39/X148, "NA")</f>
        <v>0</v>
      </c>
      <c r="Z39" s="21">
        <v>0.0</v>
      </c>
      <c r="AA39" s="23">
        <f>IFERROR(Z39/Z148, "NA")</f>
        <v>0</v>
      </c>
      <c r="AB39" s="28">
        <f t="shared" ref="AB39:AB44" si="19">IFERROR((R39+T39+V39+X39)/4, "NA")</f>
        <v>0</v>
      </c>
      <c r="AC39" s="23">
        <f>IFERROR(AB39/AB148, "NA")</f>
        <v>0</v>
      </c>
      <c r="AD39" s="29">
        <f t="shared" ref="AD39:AD44" si="20">IFERROR(X39-AB39, "NA")</f>
        <v>0</v>
      </c>
      <c r="AE39" s="30">
        <f>IFERROR(AD39/AD148, "NA")</f>
        <v>0</v>
      </c>
      <c r="AF39" s="29" t="str">
        <f t="shared" ref="AF39:AF44" si="21">IFERROR((X39-AB39)/AB39, "NA")</f>
        <v>NA</v>
      </c>
      <c r="AG39" s="28">
        <f t="shared" ref="AG39:AG44" si="22">IFERROR((J39+L39+N39+P39+R39+T39+V39+X39)/8, "NA")</f>
        <v>0</v>
      </c>
      <c r="AH39" s="23">
        <f>IFERROR(AG39/AG148, "NA")</f>
        <v>0</v>
      </c>
      <c r="AI39" s="29">
        <f t="shared" ref="AI39:AI44" si="23">IFERROR(X39-AG39, "NA")</f>
        <v>0</v>
      </c>
      <c r="AJ39" s="30">
        <f>IFERROR(AI39/AI148, "NA")</f>
        <v>0</v>
      </c>
      <c r="AK39" s="29" t="str">
        <f t="shared" ref="AK39:AK44" si="24">IFERROR((X39-AG39)/AG39, "NA")</f>
        <v>NA</v>
      </c>
      <c r="AL39" s="30" t="str">
        <f>IFERROR(AK39/AK148, "NA")</f>
        <v>NA</v>
      </c>
    </row>
    <row r="40" ht="16.5" customHeight="1">
      <c r="A40" s="19" t="s">
        <v>100</v>
      </c>
      <c r="B40" s="21">
        <v>4562.2</v>
      </c>
      <c r="C40" s="23">
        <f>IFERROR(B40/B148, "NA")</f>
        <v>0.02239728629</v>
      </c>
      <c r="D40" s="21">
        <v>3606.95</v>
      </c>
      <c r="E40" s="23">
        <f>IFERROR(D40/D148, "NA")</f>
        <v>0.01943355912</v>
      </c>
      <c r="F40" s="21">
        <v>4047.68</v>
      </c>
      <c r="G40" s="23">
        <f>IFERROR(F40/F148, "NA")</f>
        <v>0.02865433814</v>
      </c>
      <c r="H40" s="21">
        <v>2757.06</v>
      </c>
      <c r="I40" s="23">
        <f>IFERROR(H40/H148, "NA")</f>
        <v>0.03692607125</v>
      </c>
      <c r="J40" s="21">
        <v>4648.55</v>
      </c>
      <c r="K40" s="23">
        <f>IFERROR(J40/J148, "NA")</f>
        <v>0.03264472444</v>
      </c>
      <c r="L40" s="21">
        <v>3797.96</v>
      </c>
      <c r="M40" s="23">
        <f>IFERROR(L40/L148, "NA")</f>
        <v>0.02810381531</v>
      </c>
      <c r="N40" s="21">
        <v>4126.53</v>
      </c>
      <c r="O40" s="23">
        <f>IFERROR(N40/N148, "NA")</f>
        <v>0.03393600242</v>
      </c>
      <c r="P40" s="21">
        <v>1925.3</v>
      </c>
      <c r="Q40" s="23">
        <f>IFERROR(P40/P148, "NA")</f>
        <v>0.03400831228</v>
      </c>
      <c r="R40" s="21">
        <v>2508.36</v>
      </c>
      <c r="S40" s="23">
        <f>IFERROR(R40/R148, "NA")</f>
        <v>0.03609845</v>
      </c>
      <c r="T40" s="21">
        <v>3680.76</v>
      </c>
      <c r="U40" s="23">
        <f>IFERROR(T40/T148, "NA")</f>
        <v>0.0333081824</v>
      </c>
      <c r="V40" s="21">
        <v>4252.7</v>
      </c>
      <c r="W40" s="23">
        <f>IFERROR(V40/V148, "NA")</f>
        <v>0.03148941287</v>
      </c>
      <c r="X40" s="21">
        <v>3496.12</v>
      </c>
      <c r="Y40" s="23">
        <f>IFERROR(X40/X148, "NA")</f>
        <v>0.03015382667</v>
      </c>
      <c r="Z40" s="21">
        <v>13937.94</v>
      </c>
      <c r="AA40" s="23">
        <f>IFERROR(Z40/Z148, "NA")</f>
        <v>0.03233955406</v>
      </c>
      <c r="AB40" s="28">
        <f t="shared" si="19"/>
        <v>3484.485</v>
      </c>
      <c r="AC40" s="23">
        <f>IFERROR(AB40/AB148, "NA")</f>
        <v>0.03233955406</v>
      </c>
      <c r="AD40" s="29">
        <f t="shared" si="20"/>
        <v>11.635</v>
      </c>
      <c r="AE40" s="30">
        <f>IFERROR(AD40/AD148, "NA")</f>
        <v>0.001419597955</v>
      </c>
      <c r="AF40" s="29">
        <f t="shared" si="21"/>
        <v>0.003339087412</v>
      </c>
      <c r="AG40" s="28">
        <f t="shared" si="22"/>
        <v>3554.535</v>
      </c>
      <c r="AH40" s="23">
        <f>IFERROR(AG40/AG148, "NA")</f>
        <v>0.03206848487</v>
      </c>
      <c r="AI40" s="29">
        <f t="shared" si="23"/>
        <v>-58.415</v>
      </c>
      <c r="AJ40" s="30">
        <f>IFERROR(AI40/AI148, "NA")</f>
        <v>-0.0114520578</v>
      </c>
      <c r="AK40" s="29">
        <f t="shared" si="24"/>
        <v>-0.0164339358</v>
      </c>
      <c r="AL40" s="30">
        <f>IFERROR(AK40/AK148, "NA")</f>
        <v>-0.3571125312</v>
      </c>
    </row>
    <row r="41" ht="16.5" customHeight="1">
      <c r="A41" s="19" t="s">
        <v>101</v>
      </c>
      <c r="B41" s="21">
        <v>3635.08</v>
      </c>
      <c r="C41" s="23">
        <f>IFERROR(B41/B148, "NA")</f>
        <v>0.01784576025</v>
      </c>
      <c r="D41" s="21">
        <v>2815.87</v>
      </c>
      <c r="E41" s="23">
        <f>IFERROR(D41/D148, "NA")</f>
        <v>0.01517137086</v>
      </c>
      <c r="F41" s="21">
        <v>1457.32</v>
      </c>
      <c r="G41" s="23">
        <f>IFERROR(F41/F148, "NA")</f>
        <v>0.01031666042</v>
      </c>
      <c r="H41" s="21">
        <v>438.41</v>
      </c>
      <c r="I41" s="23">
        <f>IFERROR(H41/H148, "NA")</f>
        <v>0.005871747041</v>
      </c>
      <c r="J41" s="21">
        <v>2088.51</v>
      </c>
      <c r="K41" s="23">
        <f>IFERROR(J41/J148, "NA")</f>
        <v>0.0146666882</v>
      </c>
      <c r="L41" s="21">
        <v>2112.72</v>
      </c>
      <c r="M41" s="23">
        <f>IFERROR(L41/L148, "NA")</f>
        <v>0.01563352239</v>
      </c>
      <c r="N41" s="21">
        <v>1976.47</v>
      </c>
      <c r="O41" s="23">
        <f>IFERROR(N41/N148, "NA")</f>
        <v>0.01625421134</v>
      </c>
      <c r="P41" s="21">
        <v>95.63</v>
      </c>
      <c r="Q41" s="23">
        <f>IFERROR(P41/P148, "NA")</f>
        <v>0.001689199036</v>
      </c>
      <c r="R41" s="21">
        <v>458.89</v>
      </c>
      <c r="S41" s="23">
        <f>IFERROR(R41/R148, "NA")</f>
        <v>0.006604003302</v>
      </c>
      <c r="T41" s="21">
        <v>1249.34</v>
      </c>
      <c r="U41" s="23">
        <f>IFERROR(T41/T148, "NA")</f>
        <v>0.01130561205</v>
      </c>
      <c r="V41" s="21">
        <v>1234.84</v>
      </c>
      <c r="W41" s="23">
        <f>IFERROR(V41/V148, "NA")</f>
        <v>0.009143458648</v>
      </c>
      <c r="X41" s="21">
        <v>1645.68</v>
      </c>
      <c r="Y41" s="23">
        <f>IFERROR(X41/X148, "NA")</f>
        <v>0.01419389194</v>
      </c>
      <c r="Z41" s="21">
        <v>4588.75</v>
      </c>
      <c r="AA41" s="23">
        <f>IFERROR(Z41/Z148, "NA")</f>
        <v>0.01064706325</v>
      </c>
      <c r="AB41" s="28">
        <f t="shared" si="19"/>
        <v>1147.1875</v>
      </c>
      <c r="AC41" s="23">
        <f>IFERROR(AB41/AB148, "NA")</f>
        <v>0.01064706325</v>
      </c>
      <c r="AD41" s="29">
        <f t="shared" si="20"/>
        <v>498.4925</v>
      </c>
      <c r="AE41" s="30">
        <f>IFERROR(AD41/AD148, "NA")</f>
        <v>0.06082156715</v>
      </c>
      <c r="AF41" s="29">
        <f t="shared" si="21"/>
        <v>0.4345344593</v>
      </c>
      <c r="AG41" s="28">
        <f t="shared" si="22"/>
        <v>1357.76</v>
      </c>
      <c r="AH41" s="23">
        <f>IFERROR(AG41/AG148, "NA")</f>
        <v>0.01224950831</v>
      </c>
      <c r="AI41" s="29">
        <f t="shared" si="23"/>
        <v>287.92</v>
      </c>
      <c r="AJ41" s="30">
        <f>IFERROR(AI41/AI148, "NA")</f>
        <v>0.0564457157</v>
      </c>
      <c r="AK41" s="29">
        <f t="shared" si="24"/>
        <v>0.2120551497</v>
      </c>
      <c r="AL41" s="30">
        <f>IFERROR(AK41/AK148, "NA")</f>
        <v>4.607998482</v>
      </c>
    </row>
    <row r="42" ht="16.5" customHeight="1">
      <c r="A42" s="19" t="s">
        <v>102</v>
      </c>
      <c r="B42" s="21">
        <v>0.0</v>
      </c>
      <c r="C42" s="23">
        <f>IFERROR(B42/B148, "NA")</f>
        <v>0</v>
      </c>
      <c r="D42" s="21">
        <v>0.0</v>
      </c>
      <c r="E42" s="23">
        <f>IFERROR(D42/D148, "NA")</f>
        <v>0</v>
      </c>
      <c r="F42" s="21">
        <v>0.0</v>
      </c>
      <c r="G42" s="23">
        <f>IFERROR(F42/F148, "NA")</f>
        <v>0</v>
      </c>
      <c r="H42" s="21">
        <v>0.0</v>
      </c>
      <c r="I42" s="23">
        <f>IFERROR(H42/H148, "NA")</f>
        <v>0</v>
      </c>
      <c r="J42" s="21">
        <v>0.0</v>
      </c>
      <c r="K42" s="23">
        <f>IFERROR(J42/J148, "NA")</f>
        <v>0</v>
      </c>
      <c r="L42" s="21">
        <v>0.0</v>
      </c>
      <c r="M42" s="23">
        <f>IFERROR(L42/L148, "NA")</f>
        <v>0</v>
      </c>
      <c r="N42" s="21">
        <v>0.0</v>
      </c>
      <c r="O42" s="23">
        <f>IFERROR(N42/N148, "NA")</f>
        <v>0</v>
      </c>
      <c r="P42" s="21">
        <v>0.0</v>
      </c>
      <c r="Q42" s="23">
        <f>IFERROR(P42/P148, "NA")</f>
        <v>0</v>
      </c>
      <c r="R42" s="21">
        <v>0.0</v>
      </c>
      <c r="S42" s="23">
        <f>IFERROR(R42/R148, "NA")</f>
        <v>0</v>
      </c>
      <c r="T42" s="21">
        <v>74.2</v>
      </c>
      <c r="U42" s="23">
        <f>IFERROR(T42/T148, "NA")</f>
        <v>0.0006714556598</v>
      </c>
      <c r="V42" s="21">
        <v>0.0</v>
      </c>
      <c r="W42" s="23">
        <f>IFERROR(V42/V148, "NA")</f>
        <v>0</v>
      </c>
      <c r="X42" s="21">
        <v>0.0</v>
      </c>
      <c r="Y42" s="23">
        <f>IFERROR(X42/X148, "NA")</f>
        <v>0</v>
      </c>
      <c r="Z42" s="21">
        <v>74.2</v>
      </c>
      <c r="AA42" s="23">
        <f>IFERROR(Z42/Z148, "NA")</f>
        <v>0.0001721628097</v>
      </c>
      <c r="AB42" s="28">
        <f t="shared" si="19"/>
        <v>18.55</v>
      </c>
      <c r="AC42" s="23">
        <f>IFERROR(AB42/AB148, "NA")</f>
        <v>0.0001721628097</v>
      </c>
      <c r="AD42" s="29">
        <f t="shared" si="20"/>
        <v>-18.55</v>
      </c>
      <c r="AE42" s="30">
        <f>IFERROR(AD42/AD148, "NA")</f>
        <v>-0.002263304003</v>
      </c>
      <c r="AF42" s="29">
        <f t="shared" si="21"/>
        <v>-1</v>
      </c>
      <c r="AG42" s="28">
        <f t="shared" si="22"/>
        <v>9.275</v>
      </c>
      <c r="AH42" s="23">
        <f>IFERROR(AG42/AG148, "NA")</f>
        <v>0.00008367766731</v>
      </c>
      <c r="AI42" s="29">
        <f t="shared" si="23"/>
        <v>-9.275</v>
      </c>
      <c r="AJ42" s="30">
        <f>IFERROR(AI42/AI148, "NA")</f>
        <v>-0.001818331526</v>
      </c>
      <c r="AK42" s="29">
        <f t="shared" si="24"/>
        <v>-1</v>
      </c>
      <c r="AL42" s="30">
        <f>IFERROR(AK42/AK148, "NA")</f>
        <v>-21.73018901</v>
      </c>
    </row>
    <row r="43" ht="16.5" hidden="1" customHeight="1">
      <c r="A43" s="19" t="s">
        <v>103</v>
      </c>
      <c r="B43" s="21">
        <v>0.0</v>
      </c>
      <c r="C43" s="23">
        <f>IFERROR(B43/B148, "NA")</f>
        <v>0</v>
      </c>
      <c r="D43" s="21">
        <v>0.0</v>
      </c>
      <c r="E43" s="23">
        <f>IFERROR(D43/D148, "NA")</f>
        <v>0</v>
      </c>
      <c r="F43" s="21">
        <v>0.0</v>
      </c>
      <c r="G43" s="23">
        <f>IFERROR(F43/F148, "NA")</f>
        <v>0</v>
      </c>
      <c r="H43" s="21">
        <v>0.0</v>
      </c>
      <c r="I43" s="23">
        <f>IFERROR(H43/H148, "NA")</f>
        <v>0</v>
      </c>
      <c r="J43" s="21">
        <v>0.0</v>
      </c>
      <c r="K43" s="23">
        <f>IFERROR(J43/J148, "NA")</f>
        <v>0</v>
      </c>
      <c r="L43" s="21">
        <v>0.0</v>
      </c>
      <c r="M43" s="23">
        <f>IFERROR(L43/L148, "NA")</f>
        <v>0</v>
      </c>
      <c r="N43" s="21">
        <v>0.0</v>
      </c>
      <c r="O43" s="23">
        <f>IFERROR(N43/N148, "NA")</f>
        <v>0</v>
      </c>
      <c r="P43" s="21">
        <v>0.0</v>
      </c>
      <c r="Q43" s="23">
        <f>IFERROR(P43/P148, "NA")</f>
        <v>0</v>
      </c>
      <c r="R43" s="21">
        <v>0.0</v>
      </c>
      <c r="S43" s="23">
        <f>IFERROR(R43/R148, "NA")</f>
        <v>0</v>
      </c>
      <c r="T43" s="21">
        <v>0.0</v>
      </c>
      <c r="U43" s="23">
        <f>IFERROR(T43/T148, "NA")</f>
        <v>0</v>
      </c>
      <c r="V43" s="21">
        <v>0.0</v>
      </c>
      <c r="W43" s="23">
        <f>IFERROR(V43/V148, "NA")</f>
        <v>0</v>
      </c>
      <c r="X43" s="21">
        <v>0.0</v>
      </c>
      <c r="Y43" s="23">
        <f>IFERROR(X43/X148, "NA")</f>
        <v>0</v>
      </c>
      <c r="Z43" s="21">
        <v>0.0</v>
      </c>
      <c r="AA43" s="23">
        <f>IFERROR(Z43/Z148, "NA")</f>
        <v>0</v>
      </c>
      <c r="AB43" s="28">
        <f t="shared" si="19"/>
        <v>0</v>
      </c>
      <c r="AC43" s="23">
        <f>IFERROR(AB43/AB148, "NA")</f>
        <v>0</v>
      </c>
      <c r="AD43" s="29">
        <f t="shared" si="20"/>
        <v>0</v>
      </c>
      <c r="AE43" s="30">
        <f>IFERROR(AD43/AD148, "NA")</f>
        <v>0</v>
      </c>
      <c r="AF43" s="29" t="str">
        <f t="shared" si="21"/>
        <v>NA</v>
      </c>
      <c r="AG43" s="28">
        <f t="shared" si="22"/>
        <v>0</v>
      </c>
      <c r="AH43" s="23">
        <f>IFERROR(AG43/AG148, "NA")</f>
        <v>0</v>
      </c>
      <c r="AI43" s="29">
        <f t="shared" si="23"/>
        <v>0</v>
      </c>
      <c r="AJ43" s="30">
        <f>IFERROR(AI43/AI148, "NA")</f>
        <v>0</v>
      </c>
      <c r="AK43" s="29" t="str">
        <f t="shared" si="24"/>
        <v>NA</v>
      </c>
      <c r="AL43" s="30" t="str">
        <f>IFERROR(AK43/AK148, "NA")</f>
        <v>NA</v>
      </c>
    </row>
    <row r="44" ht="16.5" customHeight="1">
      <c r="A44" s="65" t="s">
        <v>105</v>
      </c>
      <c r="B44" s="66">
        <f>IFERROR(B39+B40+B41+B42+B43, "NA")</f>
        <v>8197.28</v>
      </c>
      <c r="C44" s="67">
        <f>IFERROR(B44/B148, "NA")</f>
        <v>0.04024304654</v>
      </c>
      <c r="D44" s="66">
        <f>IFERROR(D39+D40+D41+D42+D43, "NA")</f>
        <v>6422.82</v>
      </c>
      <c r="E44" s="67">
        <f>IFERROR(D44/D148, "NA")</f>
        <v>0.03460492999</v>
      </c>
      <c r="F44" s="66">
        <f>IFERROR(F39+F40+F41+F42+F43, "NA")</f>
        <v>5505</v>
      </c>
      <c r="G44" s="67">
        <f>IFERROR(F44/F148, "NA")</f>
        <v>0.03897099857</v>
      </c>
      <c r="H44" s="66">
        <f>IFERROR(H39+H40+H41+H42+H43, "NA")</f>
        <v>3195.47</v>
      </c>
      <c r="I44" s="67">
        <f>IFERROR(H44/H148, "NA")</f>
        <v>0.04279781829</v>
      </c>
      <c r="J44" s="66">
        <f>IFERROR(J39+J40+J41+J42+J43, "NA")</f>
        <v>6737.06</v>
      </c>
      <c r="K44" s="67">
        <f>IFERROR(J44/J148, "NA")</f>
        <v>0.04731141264</v>
      </c>
      <c r="L44" s="66">
        <f>IFERROR(L39+L40+L41+L42+L43, "NA")</f>
        <v>5910.68</v>
      </c>
      <c r="M44" s="67">
        <f>IFERROR(L44/L148, "NA")</f>
        <v>0.0437373377</v>
      </c>
      <c r="N44" s="66">
        <f>IFERROR(N39+N40+N41+N42+N43, "NA")</f>
        <v>6103</v>
      </c>
      <c r="O44" s="67">
        <f>IFERROR(N44/N148, "NA")</f>
        <v>0.05019021376</v>
      </c>
      <c r="P44" s="66">
        <f>IFERROR(P39+P40+P41+P42+P43, "NA")</f>
        <v>2020.93</v>
      </c>
      <c r="Q44" s="67">
        <f>IFERROR(P44/P148, "NA")</f>
        <v>0.03569751132</v>
      </c>
      <c r="R44" s="66">
        <f>IFERROR(R39+R40+R41+R42+R43, "NA")</f>
        <v>2967.25</v>
      </c>
      <c r="S44" s="67">
        <f>IFERROR(R44/R148, "NA")</f>
        <v>0.04270245331</v>
      </c>
      <c r="T44" s="66">
        <f>IFERROR(T39+T40+T41+T42+T43, "NA")</f>
        <v>5004.3</v>
      </c>
      <c r="U44" s="67">
        <f>IFERROR(T44/T148, "NA")</f>
        <v>0.04528525011</v>
      </c>
      <c r="V44" s="66">
        <f>IFERROR(V39+V40+V41+V42+V43, "NA")</f>
        <v>5487.54</v>
      </c>
      <c r="W44" s="67">
        <f>IFERROR(V44/V148, "NA")</f>
        <v>0.04063287152</v>
      </c>
      <c r="X44" s="66">
        <f>IFERROR(X39+X40+X41+X42+X43, "NA")</f>
        <v>5141.8</v>
      </c>
      <c r="Y44" s="67">
        <f>IFERROR(X44/X148, "NA")</f>
        <v>0.04434771861</v>
      </c>
      <c r="Z44" s="66">
        <f>IFERROR(Z39+Z40+Z41+Z42+Z43, "NA")</f>
        <v>18600.89</v>
      </c>
      <c r="AA44" s="67">
        <f>IFERROR(Z44/Z148, "NA")</f>
        <v>0.04315878012</v>
      </c>
      <c r="AB44" s="66">
        <f t="shared" si="19"/>
        <v>4650.2225</v>
      </c>
      <c r="AC44" s="67">
        <f>IFERROR(AB44/AB148, "NA")</f>
        <v>0.04315878012</v>
      </c>
      <c r="AD44" s="75">
        <f t="shared" si="20"/>
        <v>491.5775</v>
      </c>
      <c r="AE44" s="76">
        <f>IFERROR(AD44/AD148, "NA")</f>
        <v>0.0599778611</v>
      </c>
      <c r="AF44" s="75">
        <f t="shared" si="21"/>
        <v>0.1057105332</v>
      </c>
      <c r="AG44" s="66">
        <f t="shared" si="22"/>
        <v>4921.57</v>
      </c>
      <c r="AH44" s="67">
        <f>IFERROR(AG44/AG148, "NA")</f>
        <v>0.04440167085</v>
      </c>
      <c r="AI44" s="75">
        <f t="shared" si="23"/>
        <v>220.23</v>
      </c>
      <c r="AJ44" s="76">
        <f>IFERROR(AI44/AI148, "NA")</f>
        <v>0.04317532637</v>
      </c>
      <c r="AK44" s="75">
        <f t="shared" si="24"/>
        <v>0.04474791581</v>
      </c>
      <c r="AL44" s="76">
        <f>IFERROR(AK44/AK148, "NA")</f>
        <v>0.9723806682</v>
      </c>
    </row>
    <row r="45" ht="16.5" customHeight="1">
      <c r="A45" s="13" t="s">
        <v>106</v>
      </c>
      <c r="B45" s="14"/>
      <c r="C45" s="12"/>
      <c r="D45" s="14"/>
      <c r="E45" s="12"/>
      <c r="F45" s="14"/>
      <c r="G45" s="12"/>
      <c r="H45" s="14"/>
      <c r="I45" s="12"/>
      <c r="J45" s="14"/>
      <c r="K45" s="12"/>
      <c r="L45" s="14"/>
      <c r="M45" s="12"/>
      <c r="N45" s="14"/>
      <c r="O45" s="12"/>
      <c r="P45" s="14"/>
      <c r="Q45" s="12"/>
      <c r="R45" s="14"/>
      <c r="S45" s="12"/>
      <c r="T45" s="14"/>
      <c r="U45" s="12"/>
      <c r="V45" s="14"/>
      <c r="W45" s="12"/>
      <c r="X45" s="14"/>
      <c r="Y45" s="12"/>
      <c r="Z45" s="14"/>
      <c r="AA45" s="12"/>
      <c r="AB45" s="14"/>
      <c r="AC45" s="12"/>
      <c r="AD45" s="17"/>
      <c r="AE45" s="18"/>
      <c r="AF45" s="17"/>
      <c r="AG45" s="14"/>
      <c r="AH45" s="12"/>
      <c r="AI45" s="17"/>
      <c r="AJ45" s="18"/>
      <c r="AK45" s="17"/>
      <c r="AL45" s="18"/>
    </row>
    <row r="46" ht="16.5" hidden="1" customHeight="1">
      <c r="A46" s="19" t="s">
        <v>107</v>
      </c>
      <c r="B46" s="21">
        <v>0.0</v>
      </c>
      <c r="C46" s="23">
        <f>IFERROR(B46/B148, "NA")</f>
        <v>0</v>
      </c>
      <c r="D46" s="21">
        <v>0.0</v>
      </c>
      <c r="E46" s="23">
        <f>IFERROR(D46/D148, "NA")</f>
        <v>0</v>
      </c>
      <c r="F46" s="21">
        <v>0.0</v>
      </c>
      <c r="G46" s="23">
        <f>IFERROR(F46/F148, "NA")</f>
        <v>0</v>
      </c>
      <c r="H46" s="21">
        <v>0.0</v>
      </c>
      <c r="I46" s="23">
        <f>IFERROR(H46/H148, "NA")</f>
        <v>0</v>
      </c>
      <c r="J46" s="21">
        <v>0.0</v>
      </c>
      <c r="K46" s="23">
        <f>IFERROR(J46/J148, "NA")</f>
        <v>0</v>
      </c>
      <c r="L46" s="21">
        <v>0.0</v>
      </c>
      <c r="M46" s="23">
        <f>IFERROR(L46/L148, "NA")</f>
        <v>0</v>
      </c>
      <c r="N46" s="21">
        <v>0.0</v>
      </c>
      <c r="O46" s="23">
        <f>IFERROR(N46/N148, "NA")</f>
        <v>0</v>
      </c>
      <c r="P46" s="21">
        <v>0.0</v>
      </c>
      <c r="Q46" s="23">
        <f>IFERROR(P46/P148, "NA")</f>
        <v>0</v>
      </c>
      <c r="R46" s="21">
        <v>0.0</v>
      </c>
      <c r="S46" s="23">
        <f>IFERROR(R46/R148, "NA")</f>
        <v>0</v>
      </c>
      <c r="T46" s="21">
        <v>0.0</v>
      </c>
      <c r="U46" s="23">
        <f>IFERROR(T46/T148, "NA")</f>
        <v>0</v>
      </c>
      <c r="V46" s="21">
        <v>0.0</v>
      </c>
      <c r="W46" s="23">
        <f>IFERROR(V46/V148, "NA")</f>
        <v>0</v>
      </c>
      <c r="X46" s="21">
        <v>0.0</v>
      </c>
      <c r="Y46" s="23">
        <f>IFERROR(X46/X148, "NA")</f>
        <v>0</v>
      </c>
      <c r="Z46" s="21">
        <v>0.0</v>
      </c>
      <c r="AA46" s="23">
        <f>IFERROR(Z46/Z148, "NA")</f>
        <v>0</v>
      </c>
      <c r="AB46" s="28">
        <f t="shared" ref="AB46:AB57" si="25">IFERROR((R46+T46+V46+X46)/4, "NA")</f>
        <v>0</v>
      </c>
      <c r="AC46" s="23">
        <f>IFERROR(AB46/AB148, "NA")</f>
        <v>0</v>
      </c>
      <c r="AD46" s="29">
        <f t="shared" ref="AD46:AD57" si="26">IFERROR(X46-AB46, "NA")</f>
        <v>0</v>
      </c>
      <c r="AE46" s="30">
        <f>IFERROR(AD46/AD148, "NA")</f>
        <v>0</v>
      </c>
      <c r="AF46" s="29" t="str">
        <f t="shared" ref="AF46:AF57" si="27">IFERROR((X46-AB46)/AB46, "NA")</f>
        <v>NA</v>
      </c>
      <c r="AG46" s="28">
        <f t="shared" ref="AG46:AG57" si="28">IFERROR((J46+L46+N46+P46+R46+T46+V46+X46)/8, "NA")</f>
        <v>0</v>
      </c>
      <c r="AH46" s="23">
        <f>IFERROR(AG46/AG148, "NA")</f>
        <v>0</v>
      </c>
      <c r="AI46" s="29">
        <f t="shared" ref="AI46:AI57" si="29">IFERROR(X46-AG46, "NA")</f>
        <v>0</v>
      </c>
      <c r="AJ46" s="30">
        <f>IFERROR(AI46/AI148, "NA")</f>
        <v>0</v>
      </c>
      <c r="AK46" s="29" t="str">
        <f t="shared" ref="AK46:AK57" si="30">IFERROR((X46-AG46)/AG46, "NA")</f>
        <v>NA</v>
      </c>
      <c r="AL46" s="30" t="str">
        <f>IFERROR(AK46/AK148, "NA")</f>
        <v>NA</v>
      </c>
    </row>
    <row r="47" ht="16.5" customHeight="1">
      <c r="A47" s="19" t="s">
        <v>108</v>
      </c>
      <c r="B47" s="21">
        <v>491.54</v>
      </c>
      <c r="C47" s="23">
        <f>IFERROR(B47/B148, "NA")</f>
        <v>0.002413125707</v>
      </c>
      <c r="D47" s="21">
        <v>569.87</v>
      </c>
      <c r="E47" s="23">
        <f>IFERROR(D47/D148, "NA")</f>
        <v>0.003070350944</v>
      </c>
      <c r="F47" s="21">
        <v>671.05</v>
      </c>
      <c r="G47" s="23">
        <f>IFERROR(F47/F148, "NA")</f>
        <v>0.004750497473</v>
      </c>
      <c r="H47" s="21">
        <v>286.82</v>
      </c>
      <c r="I47" s="23">
        <f>IFERROR(H47/H148, "NA")</f>
        <v>0.003841460017</v>
      </c>
      <c r="J47" s="21">
        <v>377.48</v>
      </c>
      <c r="K47" s="23">
        <f>IFERROR(J47/J148, "NA")</f>
        <v>0.002650876205</v>
      </c>
      <c r="L47" s="21">
        <v>407.42</v>
      </c>
      <c r="M47" s="23">
        <f>IFERROR(L47/L148, "NA")</f>
        <v>0.003014791213</v>
      </c>
      <c r="N47" s="21">
        <v>331.61</v>
      </c>
      <c r="O47" s="23">
        <f>IFERROR(N47/N148, "NA")</f>
        <v>0.002727114007</v>
      </c>
      <c r="P47" s="21">
        <v>249.25</v>
      </c>
      <c r="Q47" s="23">
        <f>IFERROR(P47/P148, "NA")</f>
        <v>0.004402727801</v>
      </c>
      <c r="R47" s="21">
        <v>357.17</v>
      </c>
      <c r="S47" s="23">
        <f>IFERROR(R47/R148, "NA")</f>
        <v>0.005140124778</v>
      </c>
      <c r="T47" s="21">
        <v>371.8</v>
      </c>
      <c r="U47" s="23">
        <f>IFERROR(T47/T148, "NA")</f>
        <v>0.003364517713</v>
      </c>
      <c r="V47" s="21">
        <v>181.36</v>
      </c>
      <c r="W47" s="23">
        <f>IFERROR(V47/V148, "NA")</f>
        <v>0.001342892731</v>
      </c>
      <c r="X47" s="21">
        <v>214.59</v>
      </c>
      <c r="Y47" s="23">
        <f>IFERROR(X47/X148, "NA")</f>
        <v>0.001850825963</v>
      </c>
      <c r="Z47" s="21">
        <v>1124.92</v>
      </c>
      <c r="AA47" s="23">
        <f>IFERROR(Z47/Z148, "NA")</f>
        <v>0.002610099567</v>
      </c>
      <c r="AB47" s="28">
        <f t="shared" si="25"/>
        <v>281.23</v>
      </c>
      <c r="AC47" s="23">
        <f>IFERROR(AB47/AB148, "NA")</f>
        <v>0.002610099567</v>
      </c>
      <c r="AD47" s="29">
        <f t="shared" si="26"/>
        <v>-66.64</v>
      </c>
      <c r="AE47" s="30">
        <f>IFERROR(AD47/AD148, "NA")</f>
        <v>-0.008130812871</v>
      </c>
      <c r="AF47" s="29">
        <f t="shared" si="27"/>
        <v>-0.2369590726</v>
      </c>
      <c r="AG47" s="28">
        <f t="shared" si="28"/>
        <v>311.335</v>
      </c>
      <c r="AH47" s="23">
        <f>IFERROR(AG47/AG148, "NA")</f>
        <v>0.002808817957</v>
      </c>
      <c r="AI47" s="29">
        <f t="shared" si="29"/>
        <v>-96.745</v>
      </c>
      <c r="AJ47" s="30">
        <f>IFERROR(AI47/AI148, "NA")</f>
        <v>-0.01896652113</v>
      </c>
      <c r="AK47" s="29">
        <f t="shared" si="30"/>
        <v>-0.3107424478</v>
      </c>
      <c r="AL47" s="30">
        <f>IFERROR(AK47/AK148, "NA")</f>
        <v>-6.752492125</v>
      </c>
    </row>
    <row r="48" ht="16.5" customHeight="1">
      <c r="A48" s="19" t="s">
        <v>109</v>
      </c>
      <c r="B48" s="21">
        <v>0.0</v>
      </c>
      <c r="C48" s="23">
        <f>IFERROR(B48/B148, "NA")</f>
        <v>0</v>
      </c>
      <c r="D48" s="21">
        <v>0.0</v>
      </c>
      <c r="E48" s="23">
        <f>IFERROR(D48/D148, "NA")</f>
        <v>0</v>
      </c>
      <c r="F48" s="21">
        <v>0.0</v>
      </c>
      <c r="G48" s="23">
        <f>IFERROR(F48/F148, "NA")</f>
        <v>0</v>
      </c>
      <c r="H48" s="21">
        <v>0.0</v>
      </c>
      <c r="I48" s="23">
        <f>IFERROR(H48/H148, "NA")</f>
        <v>0</v>
      </c>
      <c r="J48" s="21">
        <v>0.0</v>
      </c>
      <c r="K48" s="23">
        <f>IFERROR(J48/J148, "NA")</f>
        <v>0</v>
      </c>
      <c r="L48" s="21">
        <v>5.83</v>
      </c>
      <c r="M48" s="23">
        <f>IFERROR(L48/L148, "NA")</f>
        <v>0.00004314032883</v>
      </c>
      <c r="N48" s="21">
        <v>0.0</v>
      </c>
      <c r="O48" s="23">
        <f>IFERROR(N48/N148, "NA")</f>
        <v>0</v>
      </c>
      <c r="P48" s="21">
        <v>0.0</v>
      </c>
      <c r="Q48" s="23">
        <f>IFERROR(P48/P148, "NA")</f>
        <v>0</v>
      </c>
      <c r="R48" s="21">
        <v>3.5</v>
      </c>
      <c r="S48" s="23">
        <f>IFERROR(R48/R148, "NA")</f>
        <v>0.00005036939475</v>
      </c>
      <c r="T48" s="21">
        <v>0.0</v>
      </c>
      <c r="U48" s="23">
        <f>IFERROR(T48/T148, "NA")</f>
        <v>0</v>
      </c>
      <c r="V48" s="21">
        <v>0.0</v>
      </c>
      <c r="W48" s="23">
        <f>IFERROR(V48/V148, "NA")</f>
        <v>0</v>
      </c>
      <c r="X48" s="21">
        <v>0.0</v>
      </c>
      <c r="Y48" s="23">
        <f>IFERROR(X48/X148, "NA")</f>
        <v>0</v>
      </c>
      <c r="Z48" s="21">
        <v>3.5</v>
      </c>
      <c r="AA48" s="23">
        <f>IFERROR(Z48/Z148, "NA")</f>
        <v>0.000008120887249</v>
      </c>
      <c r="AB48" s="28">
        <f t="shared" si="25"/>
        <v>0.875</v>
      </c>
      <c r="AC48" s="23">
        <f>IFERROR(AB48/AB148, "NA")</f>
        <v>0.000008120887249</v>
      </c>
      <c r="AD48" s="29">
        <f t="shared" si="26"/>
        <v>-0.875</v>
      </c>
      <c r="AE48" s="30">
        <f>IFERROR(AD48/AD148, "NA")</f>
        <v>-0.0001067596228</v>
      </c>
      <c r="AF48" s="29">
        <f t="shared" si="27"/>
        <v>-1</v>
      </c>
      <c r="AG48" s="28">
        <f t="shared" si="28"/>
        <v>1.16625</v>
      </c>
      <c r="AH48" s="23">
        <f>IFERROR(AG48/AG148, "NA")</f>
        <v>0.00001052173364</v>
      </c>
      <c r="AI48" s="29">
        <f t="shared" si="29"/>
        <v>-1.16625</v>
      </c>
      <c r="AJ48" s="30">
        <f>IFERROR(AI48/AI148, "NA")</f>
        <v>-0.0002286392607</v>
      </c>
      <c r="AK48" s="29">
        <f t="shared" si="30"/>
        <v>-1</v>
      </c>
      <c r="AL48" s="30">
        <f>IFERROR(AK48/AK148, "NA")</f>
        <v>-21.73018901</v>
      </c>
    </row>
    <row r="49" ht="16.5" customHeight="1">
      <c r="A49" s="19" t="s">
        <v>110</v>
      </c>
      <c r="B49" s="21">
        <v>0.0</v>
      </c>
      <c r="C49" s="23">
        <f>IFERROR(B49/B148, "NA")</f>
        <v>0</v>
      </c>
      <c r="D49" s="21">
        <v>0.0</v>
      </c>
      <c r="E49" s="23">
        <f>IFERROR(D49/D148, "NA")</f>
        <v>0</v>
      </c>
      <c r="F49" s="21">
        <v>0.0</v>
      </c>
      <c r="G49" s="23">
        <f>IFERROR(F49/F148, "NA")</f>
        <v>0</v>
      </c>
      <c r="H49" s="21">
        <v>0.0</v>
      </c>
      <c r="I49" s="23">
        <f>IFERROR(H49/H148, "NA")</f>
        <v>0</v>
      </c>
      <c r="J49" s="21">
        <v>0.0</v>
      </c>
      <c r="K49" s="23">
        <f>IFERROR(J49/J148, "NA")</f>
        <v>0</v>
      </c>
      <c r="L49" s="21">
        <v>0.0</v>
      </c>
      <c r="M49" s="23">
        <f>IFERROR(L49/L148, "NA")</f>
        <v>0</v>
      </c>
      <c r="N49" s="21">
        <v>0.0</v>
      </c>
      <c r="O49" s="23">
        <f>IFERROR(N49/N148, "NA")</f>
        <v>0</v>
      </c>
      <c r="P49" s="21">
        <v>1.4</v>
      </c>
      <c r="Q49" s="23">
        <f>IFERROR(P49/P148, "NA")</f>
        <v>0.00002472946408</v>
      </c>
      <c r="R49" s="21">
        <v>0.0</v>
      </c>
      <c r="S49" s="23">
        <f>IFERROR(R49/R148, "NA")</f>
        <v>0</v>
      </c>
      <c r="T49" s="21">
        <v>0.0</v>
      </c>
      <c r="U49" s="23">
        <f>IFERROR(T49/T148, "NA")</f>
        <v>0</v>
      </c>
      <c r="V49" s="21">
        <v>0.0</v>
      </c>
      <c r="W49" s="23">
        <f>IFERROR(V49/V148, "NA")</f>
        <v>0</v>
      </c>
      <c r="X49" s="21">
        <v>0.0</v>
      </c>
      <c r="Y49" s="23">
        <f>IFERROR(X49/X148, "NA")</f>
        <v>0</v>
      </c>
      <c r="Z49" s="21">
        <v>0.0</v>
      </c>
      <c r="AA49" s="23">
        <f>IFERROR(Z49/Z148, "NA")</f>
        <v>0</v>
      </c>
      <c r="AB49" s="28">
        <f t="shared" si="25"/>
        <v>0</v>
      </c>
      <c r="AC49" s="23">
        <f>IFERROR(AB49/AB148, "NA")</f>
        <v>0</v>
      </c>
      <c r="AD49" s="29">
        <f t="shared" si="26"/>
        <v>0</v>
      </c>
      <c r="AE49" s="30">
        <f>IFERROR(AD49/AD148, "NA")</f>
        <v>0</v>
      </c>
      <c r="AF49" s="29" t="str">
        <f t="shared" si="27"/>
        <v>NA</v>
      </c>
      <c r="AG49" s="28">
        <f t="shared" si="28"/>
        <v>0.175</v>
      </c>
      <c r="AH49" s="23">
        <f>IFERROR(AG49/AG148, "NA")</f>
        <v>0.000001578823912</v>
      </c>
      <c r="AI49" s="29">
        <f t="shared" si="29"/>
        <v>-0.175</v>
      </c>
      <c r="AJ49" s="30">
        <f>IFERROR(AI49/AI148, "NA")</f>
        <v>-0.00003430814201</v>
      </c>
      <c r="AK49" s="29">
        <f t="shared" si="30"/>
        <v>-1</v>
      </c>
      <c r="AL49" s="30">
        <f>IFERROR(AK49/AK148, "NA")</f>
        <v>-21.73018901</v>
      </c>
    </row>
    <row r="50" ht="16.5" hidden="1" customHeight="1">
      <c r="A50" s="19" t="s">
        <v>111</v>
      </c>
      <c r="B50" s="21">
        <v>0.0</v>
      </c>
      <c r="C50" s="23">
        <f>IFERROR(B50/B148, "NA")</f>
        <v>0</v>
      </c>
      <c r="D50" s="21">
        <v>0.0</v>
      </c>
      <c r="E50" s="23">
        <f>IFERROR(D50/D148, "NA")</f>
        <v>0</v>
      </c>
      <c r="F50" s="21">
        <v>0.0</v>
      </c>
      <c r="G50" s="23">
        <f>IFERROR(F50/F148, "NA")</f>
        <v>0</v>
      </c>
      <c r="H50" s="21">
        <v>0.0</v>
      </c>
      <c r="I50" s="23">
        <f>IFERROR(H50/H148, "NA")</f>
        <v>0</v>
      </c>
      <c r="J50" s="21">
        <v>0.0</v>
      </c>
      <c r="K50" s="23">
        <f>IFERROR(J50/J148, "NA")</f>
        <v>0</v>
      </c>
      <c r="L50" s="21">
        <v>0.0</v>
      </c>
      <c r="M50" s="23">
        <f>IFERROR(L50/L148, "NA")</f>
        <v>0</v>
      </c>
      <c r="N50" s="21">
        <v>0.0</v>
      </c>
      <c r="O50" s="23">
        <f>IFERROR(N50/N148, "NA")</f>
        <v>0</v>
      </c>
      <c r="P50" s="21">
        <v>0.0</v>
      </c>
      <c r="Q50" s="23">
        <f>IFERROR(P50/P148, "NA")</f>
        <v>0</v>
      </c>
      <c r="R50" s="21">
        <v>0.0</v>
      </c>
      <c r="S50" s="23">
        <f>IFERROR(R50/R148, "NA")</f>
        <v>0</v>
      </c>
      <c r="T50" s="21">
        <v>0.0</v>
      </c>
      <c r="U50" s="23">
        <f>IFERROR(T50/T148, "NA")</f>
        <v>0</v>
      </c>
      <c r="V50" s="21">
        <v>0.0</v>
      </c>
      <c r="W50" s="23">
        <f>IFERROR(V50/V148, "NA")</f>
        <v>0</v>
      </c>
      <c r="X50" s="21">
        <v>0.0</v>
      </c>
      <c r="Y50" s="23">
        <f>IFERROR(X50/X148, "NA")</f>
        <v>0</v>
      </c>
      <c r="Z50" s="21">
        <v>0.0</v>
      </c>
      <c r="AA50" s="23">
        <f>IFERROR(Z50/Z148, "NA")</f>
        <v>0</v>
      </c>
      <c r="AB50" s="28">
        <f t="shared" si="25"/>
        <v>0</v>
      </c>
      <c r="AC50" s="23">
        <f>IFERROR(AB50/AB148, "NA")</f>
        <v>0</v>
      </c>
      <c r="AD50" s="29">
        <f t="shared" si="26"/>
        <v>0</v>
      </c>
      <c r="AE50" s="30">
        <f>IFERROR(AD50/AD148, "NA")</f>
        <v>0</v>
      </c>
      <c r="AF50" s="29" t="str">
        <f t="shared" si="27"/>
        <v>NA</v>
      </c>
      <c r="AG50" s="28">
        <f t="shared" si="28"/>
        <v>0</v>
      </c>
      <c r="AH50" s="23">
        <f>IFERROR(AG50/AG148, "NA")</f>
        <v>0</v>
      </c>
      <c r="AI50" s="29">
        <f t="shared" si="29"/>
        <v>0</v>
      </c>
      <c r="AJ50" s="30">
        <f>IFERROR(AI50/AI148, "NA")</f>
        <v>0</v>
      </c>
      <c r="AK50" s="29" t="str">
        <f t="shared" si="30"/>
        <v>NA</v>
      </c>
      <c r="AL50" s="30" t="str">
        <f>IFERROR(AK50/AK148, "NA")</f>
        <v>NA</v>
      </c>
    </row>
    <row r="51" ht="16.5" hidden="1" customHeight="1">
      <c r="A51" s="19" t="s">
        <v>112</v>
      </c>
      <c r="B51" s="21">
        <v>0.0</v>
      </c>
      <c r="C51" s="23">
        <f>IFERROR(B51/B148, "NA")</f>
        <v>0</v>
      </c>
      <c r="D51" s="21">
        <v>0.0</v>
      </c>
      <c r="E51" s="23">
        <f>IFERROR(D51/D148, "NA")</f>
        <v>0</v>
      </c>
      <c r="F51" s="21">
        <v>0.0</v>
      </c>
      <c r="G51" s="23">
        <f>IFERROR(F51/F148, "NA")</f>
        <v>0</v>
      </c>
      <c r="H51" s="21">
        <v>0.0</v>
      </c>
      <c r="I51" s="23">
        <f>IFERROR(H51/H148, "NA")</f>
        <v>0</v>
      </c>
      <c r="J51" s="21">
        <v>0.0</v>
      </c>
      <c r="K51" s="23">
        <f>IFERROR(J51/J148, "NA")</f>
        <v>0</v>
      </c>
      <c r="L51" s="21">
        <v>0.0</v>
      </c>
      <c r="M51" s="23">
        <f>IFERROR(L51/L148, "NA")</f>
        <v>0</v>
      </c>
      <c r="N51" s="21">
        <v>0.0</v>
      </c>
      <c r="O51" s="23">
        <f>IFERROR(N51/N148, "NA")</f>
        <v>0</v>
      </c>
      <c r="P51" s="21">
        <v>0.0</v>
      </c>
      <c r="Q51" s="23">
        <f>IFERROR(P51/P148, "NA")</f>
        <v>0</v>
      </c>
      <c r="R51" s="21">
        <v>0.0</v>
      </c>
      <c r="S51" s="23">
        <f>IFERROR(R51/R148, "NA")</f>
        <v>0</v>
      </c>
      <c r="T51" s="21">
        <v>0.0</v>
      </c>
      <c r="U51" s="23">
        <f>IFERROR(T51/T148, "NA")</f>
        <v>0</v>
      </c>
      <c r="V51" s="21">
        <v>0.0</v>
      </c>
      <c r="W51" s="23">
        <f>IFERROR(V51/V148, "NA")</f>
        <v>0</v>
      </c>
      <c r="X51" s="21">
        <v>0.0</v>
      </c>
      <c r="Y51" s="23">
        <f>IFERROR(X51/X148, "NA")</f>
        <v>0</v>
      </c>
      <c r="Z51" s="21">
        <v>0.0</v>
      </c>
      <c r="AA51" s="23">
        <f>IFERROR(Z51/Z148, "NA")</f>
        <v>0</v>
      </c>
      <c r="AB51" s="28">
        <f t="shared" si="25"/>
        <v>0</v>
      </c>
      <c r="AC51" s="23">
        <f>IFERROR(AB51/AB148, "NA")</f>
        <v>0</v>
      </c>
      <c r="AD51" s="29">
        <f t="shared" si="26"/>
        <v>0</v>
      </c>
      <c r="AE51" s="30">
        <f>IFERROR(AD51/AD148, "NA")</f>
        <v>0</v>
      </c>
      <c r="AF51" s="29" t="str">
        <f t="shared" si="27"/>
        <v>NA</v>
      </c>
      <c r="AG51" s="28">
        <f t="shared" si="28"/>
        <v>0</v>
      </c>
      <c r="AH51" s="23">
        <f>IFERROR(AG51/AG148, "NA")</f>
        <v>0</v>
      </c>
      <c r="AI51" s="29">
        <f t="shared" si="29"/>
        <v>0</v>
      </c>
      <c r="AJ51" s="30">
        <f>IFERROR(AI51/AI148, "NA")</f>
        <v>0</v>
      </c>
      <c r="AK51" s="29" t="str">
        <f t="shared" si="30"/>
        <v>NA</v>
      </c>
      <c r="AL51" s="30" t="str">
        <f>IFERROR(AK51/AK148, "NA")</f>
        <v>NA</v>
      </c>
    </row>
    <row r="52" ht="16.5" customHeight="1">
      <c r="A52" s="65" t="s">
        <v>113</v>
      </c>
      <c r="B52" s="66">
        <f>IFERROR(B46+B47+B48+B49+B50+B51, "NA")</f>
        <v>491.54</v>
      </c>
      <c r="C52" s="67">
        <f>IFERROR(B52/B148, "NA")</f>
        <v>0.002413125707</v>
      </c>
      <c r="D52" s="66">
        <f>IFERROR(D46+D47+D48+D49+D50+D51, "NA")</f>
        <v>569.87</v>
      </c>
      <c r="E52" s="67">
        <f>IFERROR(D52/D148, "NA")</f>
        <v>0.003070350944</v>
      </c>
      <c r="F52" s="66">
        <f>IFERROR(F46+F47+F48+F49+F50+F51, "NA")</f>
        <v>671.05</v>
      </c>
      <c r="G52" s="67">
        <f>IFERROR(F52/F148, "NA")</f>
        <v>0.004750497473</v>
      </c>
      <c r="H52" s="66">
        <f>IFERROR(H46+H47+H48+H49+H50+H51, "NA")</f>
        <v>286.82</v>
      </c>
      <c r="I52" s="67">
        <f>IFERROR(H52/H148, "NA")</f>
        <v>0.003841460017</v>
      </c>
      <c r="J52" s="66">
        <f>IFERROR(J46+J47+J48+J49+J50+J51, "NA")</f>
        <v>377.48</v>
      </c>
      <c r="K52" s="67">
        <f>IFERROR(J52/J148, "NA")</f>
        <v>0.002650876205</v>
      </c>
      <c r="L52" s="66">
        <f>IFERROR(L46+L47+L48+L49+L50+L51, "NA")</f>
        <v>413.25</v>
      </c>
      <c r="M52" s="67">
        <f>IFERROR(L52/L148, "NA")</f>
        <v>0.003057931542</v>
      </c>
      <c r="N52" s="66">
        <f>IFERROR(N46+N47+N48+N49+N50+N51, "NA")</f>
        <v>331.61</v>
      </c>
      <c r="O52" s="67">
        <f>IFERROR(N52/N148, "NA")</f>
        <v>0.002727114007</v>
      </c>
      <c r="P52" s="66">
        <f>IFERROR(P46+P47+P48+P49+P50+P51, "NA")</f>
        <v>250.65</v>
      </c>
      <c r="Q52" s="67">
        <f>IFERROR(P52/P148, "NA")</f>
        <v>0.004427457265</v>
      </c>
      <c r="R52" s="66">
        <f>IFERROR(R46+R47+R48+R49+R50+R51, "NA")</f>
        <v>360.67</v>
      </c>
      <c r="S52" s="67">
        <f>IFERROR(R52/R148, "NA")</f>
        <v>0.005190494173</v>
      </c>
      <c r="T52" s="66">
        <f>IFERROR(T46+T47+T48+T49+T50+T51, "NA")</f>
        <v>371.8</v>
      </c>
      <c r="U52" s="67">
        <f>IFERROR(T52/T148, "NA")</f>
        <v>0.003364517713</v>
      </c>
      <c r="V52" s="66">
        <f>IFERROR(V46+V47+V48+V49+V50+V51, "NA")</f>
        <v>181.36</v>
      </c>
      <c r="W52" s="67">
        <f>IFERROR(V52/V148, "NA")</f>
        <v>0.001342892731</v>
      </c>
      <c r="X52" s="66">
        <f>IFERROR(X46+X47+X48+X49+X50+X51, "NA")</f>
        <v>214.59</v>
      </c>
      <c r="Y52" s="67">
        <f>IFERROR(X52/X148, "NA")</f>
        <v>0.001850825963</v>
      </c>
      <c r="Z52" s="66">
        <f>IFERROR(Z46+Z47+Z48+Z49+Z50+Z51, "NA")</f>
        <v>1128.42</v>
      </c>
      <c r="AA52" s="67">
        <f>IFERROR(Z52/Z148, "NA")</f>
        <v>0.002618220454</v>
      </c>
      <c r="AB52" s="66">
        <f t="shared" si="25"/>
        <v>282.105</v>
      </c>
      <c r="AC52" s="67">
        <f>IFERROR(AB52/AB148, "NA")</f>
        <v>0.002618220454</v>
      </c>
      <c r="AD52" s="75">
        <f t="shared" si="26"/>
        <v>-67.515</v>
      </c>
      <c r="AE52" s="76">
        <f>IFERROR(AD52/AD148, "NA")</f>
        <v>-0.008237572494</v>
      </c>
      <c r="AF52" s="75">
        <f t="shared" si="27"/>
        <v>-0.239325783</v>
      </c>
      <c r="AG52" s="66">
        <f t="shared" si="28"/>
        <v>312.67625</v>
      </c>
      <c r="AH52" s="67">
        <f>IFERROR(AG52/AG148, "NA")</f>
        <v>0.002820918515</v>
      </c>
      <c r="AI52" s="75">
        <f t="shared" si="29"/>
        <v>-98.08625</v>
      </c>
      <c r="AJ52" s="76">
        <f>IFERROR(AI52/AI148, "NA")</f>
        <v>-0.01922946854</v>
      </c>
      <c r="AK52" s="75">
        <f t="shared" si="30"/>
        <v>-0.3136990737</v>
      </c>
      <c r="AL52" s="76">
        <f>IFERROR(AK52/AK148, "NA")</f>
        <v>-6.816740164</v>
      </c>
    </row>
    <row r="53" ht="16.5" customHeight="1">
      <c r="A53" s="19" t="s">
        <v>114</v>
      </c>
      <c r="B53" s="21">
        <v>267.71</v>
      </c>
      <c r="C53" s="23">
        <f>IFERROR(B53/B148, "NA")</f>
        <v>0.00131427327</v>
      </c>
      <c r="D53" s="21">
        <v>189.62</v>
      </c>
      <c r="E53" s="23">
        <f>IFERROR(D53/D148, "NA")</f>
        <v>0.001021636419</v>
      </c>
      <c r="F53" s="21">
        <v>211.77</v>
      </c>
      <c r="G53" s="23">
        <f>IFERROR(F53/F148, "NA")</f>
        <v>0.001499162283</v>
      </c>
      <c r="H53" s="21">
        <v>140.72</v>
      </c>
      <c r="I53" s="23">
        <f>IFERROR(H53/H148, "NA")</f>
        <v>0.001884702091</v>
      </c>
      <c r="J53" s="21">
        <v>180.15</v>
      </c>
      <c r="K53" s="23">
        <f>IFERROR(J53/J148, "NA")</f>
        <v>0.001265114306</v>
      </c>
      <c r="L53" s="21">
        <v>208.72</v>
      </c>
      <c r="M53" s="23">
        <f>IFERROR(L53/L148, "NA")</f>
        <v>0.00154446817</v>
      </c>
      <c r="N53" s="21">
        <v>223.36</v>
      </c>
      <c r="O53" s="23">
        <f>IFERROR(N53/N148, "NA")</f>
        <v>0.00183688123</v>
      </c>
      <c r="P53" s="21">
        <v>44.13</v>
      </c>
      <c r="Q53" s="23">
        <f>IFERROR(P53/P148, "NA")</f>
        <v>0.0007795080356</v>
      </c>
      <c r="R53" s="21">
        <v>163.74</v>
      </c>
      <c r="S53" s="23">
        <f>IFERROR(R53/R148, "NA")</f>
        <v>0.002356424199</v>
      </c>
      <c r="T53" s="21">
        <v>183.45</v>
      </c>
      <c r="U53" s="23">
        <f>IFERROR(T53/T148, "NA")</f>
        <v>0.001660088151</v>
      </c>
      <c r="V53" s="21">
        <v>234.19</v>
      </c>
      <c r="W53" s="23">
        <f>IFERROR(V53/V148, "NA")</f>
        <v>0.00173407614</v>
      </c>
      <c r="X53" s="21">
        <v>143.35</v>
      </c>
      <c r="Y53" s="23">
        <f>IFERROR(X53/X148, "NA")</f>
        <v>0.001236385208</v>
      </c>
      <c r="Z53" s="21">
        <v>724.73</v>
      </c>
      <c r="AA53" s="23">
        <f>IFERROR(Z53/Z148, "NA")</f>
        <v>0.001681557319</v>
      </c>
      <c r="AB53" s="28">
        <f t="shared" si="25"/>
        <v>181.1825</v>
      </c>
      <c r="AC53" s="23">
        <f>IFERROR(AB53/AB148, "NA")</f>
        <v>0.001681557319</v>
      </c>
      <c r="AD53" s="29">
        <f t="shared" si="26"/>
        <v>-37.8325</v>
      </c>
      <c r="AE53" s="30">
        <f>IFERROR(AD53/AD148, "NA")</f>
        <v>-0.004615981061</v>
      </c>
      <c r="AF53" s="29">
        <f t="shared" si="27"/>
        <v>-0.2088087978</v>
      </c>
      <c r="AG53" s="28">
        <f t="shared" si="28"/>
        <v>172.63625</v>
      </c>
      <c r="AH53" s="23">
        <f>IFERROR(AG53/AG148, "NA")</f>
        <v>0.001557498511</v>
      </c>
      <c r="AI53" s="29">
        <f t="shared" si="29"/>
        <v>-29.28625</v>
      </c>
      <c r="AJ53" s="30">
        <f>IFERROR(AI53/AI148, "NA")</f>
        <v>-0.005741467565</v>
      </c>
      <c r="AK53" s="29">
        <f t="shared" si="30"/>
        <v>-0.1696413702</v>
      </c>
      <c r="AL53" s="30">
        <f>IFERROR(AK53/AK148, "NA")</f>
        <v>-3.686339039</v>
      </c>
    </row>
    <row r="54" ht="16.5" customHeight="1">
      <c r="A54" s="19" t="s">
        <v>115</v>
      </c>
      <c r="B54" s="21">
        <v>60.62</v>
      </c>
      <c r="C54" s="23">
        <f>IFERROR(B54/B148, "NA")</f>
        <v>0.0002976028001</v>
      </c>
      <c r="D54" s="21">
        <v>42.0</v>
      </c>
      <c r="E54" s="23">
        <f>IFERROR(D54/D148, "NA")</f>
        <v>0.0002262879949</v>
      </c>
      <c r="F54" s="21">
        <v>30.31</v>
      </c>
      <c r="G54" s="23">
        <f>IFERROR(F54/F148, "NA")</f>
        <v>0.0002145705661</v>
      </c>
      <c r="H54" s="21">
        <v>36.62</v>
      </c>
      <c r="I54" s="23">
        <f>IFERROR(H54/H148, "NA")</f>
        <v>0.0004904618431</v>
      </c>
      <c r="J54" s="21">
        <v>51.93</v>
      </c>
      <c r="K54" s="23">
        <f>IFERROR(J54/J148, "NA")</f>
        <v>0.000364681576</v>
      </c>
      <c r="L54" s="21">
        <v>51.0</v>
      </c>
      <c r="M54" s="23">
        <f>IFERROR(L54/L148, "NA")</f>
        <v>0.0003773853808</v>
      </c>
      <c r="N54" s="21">
        <v>39.0</v>
      </c>
      <c r="O54" s="23">
        <f>IFERROR(N54/N148, "NA")</f>
        <v>0.0003207305156</v>
      </c>
      <c r="P54" s="21">
        <v>15.0</v>
      </c>
      <c r="Q54" s="23">
        <f>IFERROR(P54/P148, "NA")</f>
        <v>0.0002649585437</v>
      </c>
      <c r="R54" s="21">
        <v>27.0</v>
      </c>
      <c r="S54" s="23">
        <f>IFERROR(R54/R148, "NA")</f>
        <v>0.0003885639024</v>
      </c>
      <c r="T54" s="21">
        <v>33.31</v>
      </c>
      <c r="U54" s="23">
        <f>IFERROR(T54/T148, "NA")</f>
        <v>0.0003014311055</v>
      </c>
      <c r="V54" s="21">
        <v>42.31</v>
      </c>
      <c r="W54" s="23">
        <f>IFERROR(V54/V148, "NA")</f>
        <v>0.0003132873371</v>
      </c>
      <c r="X54" s="21">
        <v>48.93</v>
      </c>
      <c r="Y54" s="23">
        <f>IFERROR(X54/X148, "NA")</f>
        <v>0.0004220183344</v>
      </c>
      <c r="Z54" s="21">
        <v>151.55</v>
      </c>
      <c r="AA54" s="23">
        <f>IFERROR(Z54/Z148, "NA")</f>
        <v>0.0003516344179</v>
      </c>
      <c r="AB54" s="28">
        <f t="shared" si="25"/>
        <v>37.8875</v>
      </c>
      <c r="AC54" s="23">
        <f>IFERROR(AB54/AB148, "NA")</f>
        <v>0.0003516344179</v>
      </c>
      <c r="AD54" s="29">
        <f t="shared" si="26"/>
        <v>11.0425</v>
      </c>
      <c r="AE54" s="30">
        <f>IFERROR(AD54/AD148, "NA")</f>
        <v>0.001347306439</v>
      </c>
      <c r="AF54" s="29">
        <f t="shared" si="27"/>
        <v>0.2914549654</v>
      </c>
      <c r="AG54" s="28">
        <f t="shared" si="28"/>
        <v>38.56</v>
      </c>
      <c r="AH54" s="23">
        <f>IFERROR(AG54/AG148, "NA")</f>
        <v>0.0003478825716</v>
      </c>
      <c r="AI54" s="29">
        <f t="shared" si="29"/>
        <v>10.37</v>
      </c>
      <c r="AJ54" s="30">
        <f>IFERROR(AI54/AI148, "NA")</f>
        <v>0.002033002472</v>
      </c>
      <c r="AK54" s="29">
        <f t="shared" si="30"/>
        <v>0.2689315353</v>
      </c>
      <c r="AL54" s="30">
        <f>IFERROR(AK54/AK148, "NA")</f>
        <v>5.843933092</v>
      </c>
    </row>
    <row r="55" ht="16.5" customHeight="1">
      <c r="A55" s="19" t="s">
        <v>116</v>
      </c>
      <c r="B55" s="21">
        <v>-1518.21</v>
      </c>
      <c r="C55" s="23">
        <f>IFERROR(B55/B148, "NA")</f>
        <v>-0.007453374252</v>
      </c>
      <c r="D55" s="21">
        <v>-1428.82</v>
      </c>
      <c r="E55" s="23">
        <f>IFERROR(D55/D148, "NA")</f>
        <v>-0.00769820983</v>
      </c>
      <c r="F55" s="21">
        <v>-1482.31</v>
      </c>
      <c r="G55" s="23">
        <f>IFERROR(F55/F148, "NA")</f>
        <v>-0.01049356964</v>
      </c>
      <c r="H55" s="21">
        <v>-994.81</v>
      </c>
      <c r="I55" s="23">
        <f>IFERROR(H55/H148, "NA")</f>
        <v>-0.01332376696</v>
      </c>
      <c r="J55" s="21">
        <v>-2832.96</v>
      </c>
      <c r="K55" s="23">
        <f>IFERROR(J55/J148, "NA")</f>
        <v>-0.0198946335</v>
      </c>
      <c r="L55" s="21">
        <v>-2176.7</v>
      </c>
      <c r="M55" s="23">
        <f>IFERROR(L55/L148, "NA")</f>
        <v>-0.01610695605</v>
      </c>
      <c r="N55" s="21">
        <v>-1715.9</v>
      </c>
      <c r="O55" s="23">
        <f>IFERROR(N55/N148, "NA")</f>
        <v>-0.0141113203</v>
      </c>
      <c r="P55" s="21">
        <v>-904.17</v>
      </c>
      <c r="Q55" s="23">
        <f>IFERROR(P55/P148, "NA")</f>
        <v>-0.0159711711</v>
      </c>
      <c r="R55" s="21">
        <v>-1132.04</v>
      </c>
      <c r="S55" s="23">
        <f>IFERROR(R55/R148, "NA")</f>
        <v>-0.01629147704</v>
      </c>
      <c r="T55" s="21">
        <v>-1919.55</v>
      </c>
      <c r="U55" s="23">
        <f>IFERROR(T55/T148, "NA")</f>
        <v>-0.01737052172</v>
      </c>
      <c r="V55" s="21">
        <v>-1227.99</v>
      </c>
      <c r="W55" s="23">
        <f>IFERROR(V55/V148, "NA")</f>
        <v>-0.009092737346</v>
      </c>
      <c r="X55" s="21">
        <v>-1028.45</v>
      </c>
      <c r="Y55" s="23">
        <f>IFERROR(X55/X148, "NA")</f>
        <v>-0.008870319967</v>
      </c>
      <c r="Z55" s="21">
        <v>-5308.03</v>
      </c>
      <c r="AA55" s="23">
        <f>IFERROR(Z55/Z148, "NA")</f>
        <v>-0.01231597518</v>
      </c>
      <c r="AB55" s="28">
        <f t="shared" si="25"/>
        <v>-1327.0075</v>
      </c>
      <c r="AC55" s="23">
        <f>IFERROR(AB55/AB148, "NA")</f>
        <v>-0.01231597518</v>
      </c>
      <c r="AD55" s="29">
        <f t="shared" si="26"/>
        <v>298.5575</v>
      </c>
      <c r="AE55" s="30">
        <f>IFERROR(AD55/AD148, "NA")</f>
        <v>0.03642729837</v>
      </c>
      <c r="AF55" s="29">
        <f t="shared" si="27"/>
        <v>-0.2249855408</v>
      </c>
      <c r="AG55" s="28">
        <f t="shared" si="28"/>
        <v>-1617.22</v>
      </c>
      <c r="AH55" s="23">
        <f>IFERROR(AG55/AG148, "NA")</f>
        <v>-0.01459031775</v>
      </c>
      <c r="AI55" s="29">
        <f t="shared" si="29"/>
        <v>588.77</v>
      </c>
      <c r="AJ55" s="30">
        <f>IFERROR(AI55/AI148, "NA")</f>
        <v>0.115426313</v>
      </c>
      <c r="AK55" s="29">
        <f t="shared" si="30"/>
        <v>-0.3640630217</v>
      </c>
      <c r="AL55" s="30">
        <f>IFERROR(AK55/AK148, "NA")</f>
        <v>-7.911158273</v>
      </c>
    </row>
    <row r="56" ht="16.5" customHeight="1">
      <c r="A56" s="65" t="s">
        <v>117</v>
      </c>
      <c r="B56" s="66">
        <f>IFERROR(B37+B39+B40+B41+B42+B43+B46+B47+B48+B49+B50+B51+B53+B54+B55, "NA")</f>
        <v>7498.94</v>
      </c>
      <c r="C56" s="67">
        <f>IFERROR(B56/B148, "NA")</f>
        <v>0.03681467407</v>
      </c>
      <c r="D56" s="66">
        <f>IFERROR(D37+D39+D40+D41+D42+D43+D46+D47+D48+D49+D50+D51+D53+D54+D55, "NA")</f>
        <v>5795.49</v>
      </c>
      <c r="E56" s="67">
        <f>IFERROR(D56/D148, "NA")</f>
        <v>0.03122499551</v>
      </c>
      <c r="F56" s="66">
        <f>IFERROR(F37+F39+F40+F41+F42+F43+F46+F47+F48+F49+F50+F51+F53+F54+F55, "NA")</f>
        <v>4935.82</v>
      </c>
      <c r="G56" s="67">
        <f>IFERROR(F56/F148, "NA")</f>
        <v>0.03494165925</v>
      </c>
      <c r="H56" s="66">
        <f>IFERROR(H37+H39+H40+H41+H42+H43+H46+H47+H48+H49+H50+H51+H53+H54+H55, "NA")</f>
        <v>2664.82</v>
      </c>
      <c r="I56" s="67">
        <f>IFERROR(H56/H148, "NA")</f>
        <v>0.03569067528</v>
      </c>
      <c r="J56" s="66">
        <f>IFERROR(J37+J39+J40+J41+J42+J43+J46+J47+J48+J49+J50+J51+J53+J54+J55, "NA")</f>
        <v>4513.66</v>
      </c>
      <c r="K56" s="67">
        <f>IFERROR(J56/J148, "NA")</f>
        <v>0.03169745123</v>
      </c>
      <c r="L56" s="66">
        <f>IFERROR(L37+L39+L40+L41+L42+L43+L46+L47+L48+L49+L50+L51+L53+L54+L55, "NA")</f>
        <v>4406.95</v>
      </c>
      <c r="M56" s="67">
        <f>IFERROR(L56/L148, "NA")</f>
        <v>0.03261016675</v>
      </c>
      <c r="N56" s="66">
        <f>IFERROR(N37+N39+N40+N41+N42+N43+N46+N47+N48+N49+N50+N51+N53+N54+N55, "NA")</f>
        <v>4981.07</v>
      </c>
      <c r="O56" s="67">
        <f>IFERROR(N56/N148, "NA")</f>
        <v>0.04096361921</v>
      </c>
      <c r="P56" s="66">
        <f>IFERROR(P37+P39+P40+P41+P42+P43+P46+P47+P48+P49+P50+P51+P53+P54+P55, "NA")</f>
        <v>1426.54</v>
      </c>
      <c r="Q56" s="67">
        <f>IFERROR(P56/P148, "NA")</f>
        <v>0.02519826406</v>
      </c>
      <c r="R56" s="66">
        <f>IFERROR(R37+R39+R40+R41+R42+R43+R46+R47+R48+R49+R50+R51+R53+R54+R55, "NA")</f>
        <v>2386.62</v>
      </c>
      <c r="S56" s="67">
        <f>IFERROR(R56/R148, "NA")</f>
        <v>0.03434645854</v>
      </c>
      <c r="T56" s="66">
        <f>IFERROR(T37+T39+T40+T41+T42+T43+T46+T47+T48+T49+T50+T51+T53+T54+T55, "NA")</f>
        <v>3673.31</v>
      </c>
      <c r="U56" s="67">
        <f>IFERROR(T56/T148, "NA")</f>
        <v>0.03324076536</v>
      </c>
      <c r="V56" s="66">
        <f>IFERROR(V37+V39+V40+V41+V42+V43+V46+V47+V48+V49+V50+V51+V53+V54+V55, "NA")</f>
        <v>4717.41</v>
      </c>
      <c r="W56" s="67">
        <f>IFERROR(V56/V148, "NA")</f>
        <v>0.03493039038</v>
      </c>
      <c r="X56" s="66">
        <f>IFERROR(X37+X39+X40+X41+X42+X43+X46+X47+X48+X49+X50+X51+X53+X54+X55, "NA")</f>
        <v>4520.22</v>
      </c>
      <c r="Y56" s="67">
        <f>IFERROR(X56/X148, "NA")</f>
        <v>0.03898662815</v>
      </c>
      <c r="Z56" s="66">
        <f>IFERROR(Z37+Z39+Z40+Z41+Z42+Z43+Z46+Z47+Z48+Z49+Z50+Z51+Z53+Z54+Z55, "NA")</f>
        <v>15297.56</v>
      </c>
      <c r="AA56" s="67">
        <f>IFERROR(Z56/Z148, "NA")</f>
        <v>0.03549421713</v>
      </c>
      <c r="AB56" s="66">
        <f t="shared" si="25"/>
        <v>3824.39</v>
      </c>
      <c r="AC56" s="67">
        <f>IFERROR(AB56/AB148, "NA")</f>
        <v>0.03549421713</v>
      </c>
      <c r="AD56" s="75">
        <f t="shared" si="26"/>
        <v>695.83</v>
      </c>
      <c r="AE56" s="76">
        <f>IFERROR(AD56/AD148, "NA")</f>
        <v>0.08489891236</v>
      </c>
      <c r="AF56" s="75">
        <f t="shared" si="27"/>
        <v>0.181945356</v>
      </c>
      <c r="AG56" s="66">
        <f t="shared" si="28"/>
        <v>3828.2225</v>
      </c>
      <c r="AH56" s="67">
        <f>IFERROR(AG56/AG148, "NA")</f>
        <v>0.03453765269</v>
      </c>
      <c r="AI56" s="75">
        <f t="shared" si="29"/>
        <v>691.9975</v>
      </c>
      <c r="AJ56" s="76">
        <f>IFERROR(AI56/AI148, "NA")</f>
        <v>0.1356637057</v>
      </c>
      <c r="AK56" s="75">
        <f t="shared" si="30"/>
        <v>0.18076209</v>
      </c>
      <c r="AL56" s="76">
        <f>IFERROR(AK56/AK148, "NA")</f>
        <v>3.927994381</v>
      </c>
    </row>
    <row r="57" ht="16.5" customHeight="1">
      <c r="A57" s="65" t="s">
        <v>55</v>
      </c>
      <c r="B57" s="118">
        <f>IFERROR(B13+B15+B16+B17+B18+B19+B20+B21+B22+B23+B24+B25+B26+B29+B30+B31+B32+B33+B37+B39+B40+B41+B42+B43+B46+B47+B48+B49+B50+B51+B53+B54+B55, "NA")</f>
        <v>51549.37</v>
      </c>
      <c r="C57" s="92">
        <f>IFERROR(B57/B148, "NA")</f>
        <v>0.2530722015</v>
      </c>
      <c r="D57" s="118">
        <f>IFERROR(D13+D15+D16+D17+D18+D19+D20+D21+D22+D23+D24+D25+D26+D29+D30+D31+D32+D33+D37+D39+D40+D41+D42+D43+D46+D47+D48+D49+D50+D51+D53+D54+D55, "NA")</f>
        <v>47624.57</v>
      </c>
      <c r="E57" s="92">
        <f>IFERROR(D57/D148, "NA")</f>
        <v>0.256592106</v>
      </c>
      <c r="F57" s="118">
        <f>IFERROR(F13+F15+F16+F17+F18+F19+F20+F21+F22+F23+F24+F25+F26+F29+F30+F31+F32+F33+F37+F39+F40+F41+F42+F43+F46+F47+F48+F49+F50+F51+F53+F54+F55, "NA")</f>
        <v>35548.18</v>
      </c>
      <c r="G57" s="92">
        <f>IFERROR(F57/F148, "NA")</f>
        <v>0.2516526924</v>
      </c>
      <c r="H57" s="118">
        <f>IFERROR(H13+H15+H16+H17+H18+H19+H20+H21+H22+H23+H24+H25+H26+H29+H30+H31+H32+H33+H37+H39+H40+H41+H42+H43+H46+H47+H48+H49+H50+H51+H53+H54+H55, "NA")</f>
        <v>23650.1</v>
      </c>
      <c r="I57" s="92">
        <f>IFERROR(H57/H148, "NA")</f>
        <v>0.3167523658</v>
      </c>
      <c r="J57" s="118">
        <f>IFERROR(J13+J15+J16+J17+J18+J19+J20+J21+J22+J23+J24+J25+J26+J29+J30+J31+J32+J33+J37+J39+J40+J41+J42+J43+J46+J47+J48+J49+J50+J51+J53+J54+J55, "NA")</f>
        <v>37970.08</v>
      </c>
      <c r="K57" s="92">
        <f>IFERROR(J57/J148, "NA")</f>
        <v>0.2666471908</v>
      </c>
      <c r="L57" s="118">
        <f>IFERROR(L13+L15+L16+L17+L18+L19+L20+L21+L22+L23+L24+L25+L26+L29+L30+L31+L32+L33+L37+L39+L40+L41+L42+L43+L46+L47+L48+L49+L50+L51+L53+L54+L55, "NA")</f>
        <v>38996.58</v>
      </c>
      <c r="M57" s="92">
        <f>IFERROR(L57/L148, "NA")</f>
        <v>0.2885635136</v>
      </c>
      <c r="N57" s="118">
        <f>IFERROR(N13+N15+N16+N17+N18+N19+N20+N21+N22+N23+N24+N25+N26+N29+N30+N31+N32+N33+N37+N39+N40+N41+N42+N43+N46+N47+N48+N49+N50+N51+N53+N54+N55, "NA")</f>
        <v>34275.66</v>
      </c>
      <c r="O57" s="92">
        <f>IFERROR(N57/N148, "NA")</f>
        <v>0.2818782078</v>
      </c>
      <c r="P57" s="118">
        <f>IFERROR(P13+P15+P16+P17+P18+P19+P20+P21+P22+P23+P24+P25+P26+P29+P30+P31+P32+P33+P37+P39+P40+P41+P42+P43+P46+P47+P48+P49+P50+P51+P53+P54+P55, "NA")</f>
        <v>16766</v>
      </c>
      <c r="Q57" s="92">
        <f>IFERROR(P57/P148, "NA")</f>
        <v>0.2961529962</v>
      </c>
      <c r="R57" s="118">
        <f>IFERROR(R13+R15+R16+R17+R18+R19+R20+R21+R22+R23+R24+R25+R26+R29+R30+R31+R32+R33+R37+R39+R40+R41+R42+R43+R46+R47+R48+R49+R50+R51+R53+R54+R55, "NA")</f>
        <v>21746.96</v>
      </c>
      <c r="S57" s="92">
        <f>IFERROR(R57/R148, "NA")</f>
        <v>0.3129660608</v>
      </c>
      <c r="T57" s="118">
        <f>IFERROR(T13+T15+T16+T17+T18+T19+T20+T21+T22+T23+T24+T25+T26+T29+T30+T31+T32+T33+T37+T39+T40+T41+T42+T43+T46+T47+T48+T49+T50+T51+T53+T54+T55, "NA")</f>
        <v>31422.94</v>
      </c>
      <c r="U57" s="92">
        <f>IFERROR(T57/T148, "NA")</f>
        <v>0.2843545945</v>
      </c>
      <c r="V57" s="118">
        <f>IFERROR(V13+V15+V16+V17+V18+V19+V20+V21+V22+V23+V24+V25+V26+V29+V30+V31+V32+V33+V37+V39+V40+V41+V42+V43+V46+V47+V48+V49+V50+V51+V53+V54+V55, "NA")</f>
        <v>37254.82</v>
      </c>
      <c r="W57" s="92">
        <f>IFERROR(V57/V148, "NA")</f>
        <v>0.2758559053</v>
      </c>
      <c r="X57" s="118">
        <f>IFERROR(X13+X15+X16+X17+X18+X19+X20+X21+X22+X23+X24+X25+X26+X29+X30+X31+X32+X33+X37+X39+X40+X41+X42+X43+X46+X47+X48+X49+X50+X51+X53+X54+X55, "NA")</f>
        <v>31329.15</v>
      </c>
      <c r="Y57" s="92">
        <f>IFERROR(X57/X148, "NA")</f>
        <v>0.2702120519</v>
      </c>
      <c r="Z57" s="118">
        <f>IFERROR(Z13+Z15+Z16+Z17+Z18+Z19+Z20+Z21+Z22+Z23+Z24+Z25+Z26+Z29+Z30+Z31+Z32+Z33+Z37+Z39+Z40+Z41+Z42+Z43+Z46+Z47+Z48+Z49+Z50+Z51+Z53+Z54+Z55, "NA")</f>
        <v>121753.87</v>
      </c>
      <c r="AA57" s="92">
        <f>IFERROR(Z57/Z148, "NA")</f>
        <v>0.282499843</v>
      </c>
      <c r="AB57" s="118">
        <f t="shared" si="25"/>
        <v>30438.4675</v>
      </c>
      <c r="AC57" s="92">
        <f>IFERROR(AB57/AB148, "NA")</f>
        <v>0.282499843</v>
      </c>
      <c r="AD57" s="119">
        <f t="shared" si="26"/>
        <v>890.6825</v>
      </c>
      <c r="AE57" s="120">
        <f>IFERROR(AD57/AD148, "NA")</f>
        <v>0.1086730602</v>
      </c>
      <c r="AF57" s="119">
        <f t="shared" si="27"/>
        <v>0.02926173928</v>
      </c>
      <c r="AG57" s="118">
        <f t="shared" si="28"/>
        <v>31220.27375</v>
      </c>
      <c r="AH57" s="92">
        <f>IFERROR(AG57/AG148, "NA")</f>
        <v>0.2816646555</v>
      </c>
      <c r="AI57" s="119">
        <f t="shared" si="29"/>
        <v>108.87625</v>
      </c>
      <c r="AJ57" s="120">
        <f>IFERROR(AI57/AI148, "NA")</f>
        <v>0.02134481055</v>
      </c>
      <c r="AK57" s="119">
        <f t="shared" si="30"/>
        <v>0.003487357314</v>
      </c>
      <c r="AL57" s="120">
        <f>IFERROR(AK57/AK148, "NA")</f>
        <v>0.07578093357</v>
      </c>
    </row>
    <row r="58" ht="3.75" customHeight="1">
      <c r="A58" s="77"/>
      <c r="B58" s="78"/>
      <c r="C58" s="74"/>
      <c r="D58" s="78"/>
      <c r="E58" s="74"/>
      <c r="F58" s="78"/>
      <c r="G58" s="74"/>
      <c r="H58" s="78"/>
      <c r="I58" s="74"/>
      <c r="J58" s="78"/>
      <c r="K58" s="74"/>
      <c r="L58" s="78"/>
      <c r="M58" s="74"/>
      <c r="N58" s="78"/>
      <c r="O58" s="74"/>
      <c r="P58" s="78"/>
      <c r="Q58" s="74"/>
      <c r="R58" s="78"/>
      <c r="S58" s="74"/>
      <c r="T58" s="78"/>
      <c r="U58" s="74"/>
      <c r="V58" s="78"/>
      <c r="W58" s="74"/>
      <c r="X58" s="78"/>
      <c r="Y58" s="74"/>
      <c r="Z58" s="78"/>
      <c r="AA58" s="74"/>
      <c r="AB58" s="78"/>
      <c r="AC58" s="74"/>
      <c r="AD58" s="79"/>
      <c r="AE58" s="80"/>
      <c r="AF58" s="79"/>
      <c r="AG58" s="78"/>
      <c r="AH58" s="74"/>
      <c r="AI58" s="79"/>
      <c r="AJ58" s="80"/>
      <c r="AK58" s="79"/>
      <c r="AL58" s="80"/>
    </row>
    <row r="59" ht="16.5" customHeight="1">
      <c r="A59" s="121" t="s">
        <v>118</v>
      </c>
      <c r="B59" s="122">
        <f>IFERROR(B9-B57, "NA")</f>
        <v>152144.95</v>
      </c>
      <c r="C59" s="94">
        <f>IFERROR(B59/B148, "NA")</f>
        <v>0.7469277985</v>
      </c>
      <c r="D59" s="122">
        <f>IFERROR(D9-D57, "NA")</f>
        <v>137979.62</v>
      </c>
      <c r="E59" s="94">
        <f>IFERROR(D59/D148, "NA")</f>
        <v>0.743407894</v>
      </c>
      <c r="F59" s="122">
        <f>IFERROR(F9-F57, "NA")</f>
        <v>105710.71</v>
      </c>
      <c r="G59" s="94">
        <f>IFERROR(F59/F148, "NA")</f>
        <v>0.7483473076</v>
      </c>
      <c r="H59" s="122">
        <f>IFERROR(H9-H57, "NA")</f>
        <v>51014.22</v>
      </c>
      <c r="I59" s="94">
        <f>IFERROR(H59/H148, "NA")</f>
        <v>0.6832476342</v>
      </c>
      <c r="J59" s="122">
        <f>IFERROR(J9-J57, "NA")</f>
        <v>104428.12</v>
      </c>
      <c r="K59" s="94">
        <f>IFERROR(J59/J148, "NA")</f>
        <v>0.7333528092</v>
      </c>
      <c r="L59" s="122">
        <f>IFERROR(L9-L57, "NA")</f>
        <v>96143.79</v>
      </c>
      <c r="M59" s="94">
        <f>IFERROR(L59/L148, "NA")</f>
        <v>0.7114364864</v>
      </c>
      <c r="N59" s="122">
        <f>IFERROR(N9-N57, "NA")</f>
        <v>87321.75</v>
      </c>
      <c r="O59" s="94">
        <f>IFERROR(N59/N148, "NA")</f>
        <v>0.7181217922</v>
      </c>
      <c r="P59" s="122">
        <f>IFERROR(P9-P57, "NA")</f>
        <v>39846.63</v>
      </c>
      <c r="Q59" s="94">
        <f>IFERROR(P59/P148, "NA")</f>
        <v>0.7038470038</v>
      </c>
      <c r="R59" s="122">
        <f>IFERROR(R9-R57, "NA")</f>
        <v>47739.68</v>
      </c>
      <c r="S59" s="94">
        <f>IFERROR(R59/R148, "NA")</f>
        <v>0.6870339392</v>
      </c>
      <c r="T59" s="122">
        <f>IFERROR(T9-T57, "NA")</f>
        <v>79083.24</v>
      </c>
      <c r="U59" s="94">
        <f>IFERROR(T59/T148, "NA")</f>
        <v>0.7156454055</v>
      </c>
      <c r="V59" s="122">
        <f>IFERROR(V9-V57, "NA")</f>
        <v>97796.92</v>
      </c>
      <c r="W59" s="94">
        <f>IFERROR(V59/V148, "NA")</f>
        <v>0.7241440947</v>
      </c>
      <c r="X59" s="122">
        <f>IFERROR(X9-X57, "NA")</f>
        <v>84613.68</v>
      </c>
      <c r="Y59" s="94">
        <f>IFERROR(X59/X148, "NA")</f>
        <v>0.7297879481</v>
      </c>
      <c r="Z59" s="122">
        <f>IFERROR(Z9-Z57, "NA")</f>
        <v>309233.52</v>
      </c>
      <c r="AA59" s="94">
        <f>IFERROR(Z59/Z148, "NA")</f>
        <v>0.717500157</v>
      </c>
      <c r="AB59" s="122">
        <f>IFERROR((R59+T59+V59+X59)/4, "NA")</f>
        <v>77308.38</v>
      </c>
      <c r="AC59" s="94">
        <f>IFERROR(AB59/AB148, "NA")</f>
        <v>0.717500157</v>
      </c>
      <c r="AD59" s="75">
        <f>IFERROR(X59-AB59, "NA")</f>
        <v>7305.3</v>
      </c>
      <c r="AE59" s="76">
        <f>IFERROR(AD59/AD148, "NA")</f>
        <v>0.8913269398</v>
      </c>
      <c r="AF59" s="75">
        <f>IFERROR((X59-AB59)/AB59, "NA")</f>
        <v>0.09449557732</v>
      </c>
      <c r="AG59" s="122">
        <f>IFERROR((J59+L59+N59+P59+R59+T59+V59+X59)/8, "NA")</f>
        <v>79621.72625</v>
      </c>
      <c r="AH59" s="94">
        <f>IFERROR(AG59/AG148, "NA")</f>
        <v>0.7183353445</v>
      </c>
      <c r="AI59" s="75">
        <f>IFERROR(X59-AG59, "NA")</f>
        <v>4991.95375</v>
      </c>
      <c r="AJ59" s="76">
        <f>IFERROR(AI59/AI148, "NA")</f>
        <v>0.9786551894</v>
      </c>
      <c r="AK59" s="75">
        <f>IFERROR((X59-AG59)/AG59, "NA")</f>
        <v>0.06269587442</v>
      </c>
      <c r="AL59" s="76">
        <f>IFERROR(AK59/AK148, "NA")</f>
        <v>1.362393201</v>
      </c>
    </row>
    <row r="60" ht="3.75" customHeight="1">
      <c r="A60" s="123"/>
      <c r="B60" s="124"/>
      <c r="C60" s="74"/>
      <c r="D60" s="124"/>
      <c r="E60" s="74"/>
      <c r="F60" s="124"/>
      <c r="G60" s="74"/>
      <c r="H60" s="124"/>
      <c r="I60" s="74"/>
      <c r="J60" s="124"/>
      <c r="K60" s="74"/>
      <c r="L60" s="124"/>
      <c r="M60" s="74"/>
      <c r="N60" s="124"/>
      <c r="O60" s="74"/>
      <c r="P60" s="124"/>
      <c r="Q60" s="74"/>
      <c r="R60" s="124"/>
      <c r="S60" s="74"/>
      <c r="T60" s="124"/>
      <c r="U60" s="74"/>
      <c r="V60" s="124"/>
      <c r="W60" s="74"/>
      <c r="X60" s="124"/>
      <c r="Y60" s="74"/>
      <c r="Z60" s="124"/>
      <c r="AA60" s="74"/>
      <c r="AB60" s="124"/>
      <c r="AC60" s="74"/>
      <c r="AD60" s="125"/>
      <c r="AE60" s="80"/>
      <c r="AF60" s="125"/>
      <c r="AG60" s="124"/>
      <c r="AH60" s="74"/>
      <c r="AI60" s="125"/>
      <c r="AJ60" s="80"/>
      <c r="AK60" s="125"/>
      <c r="AL60" s="80"/>
    </row>
    <row r="61" ht="16.5" customHeight="1">
      <c r="A61" s="13" t="s">
        <v>119</v>
      </c>
      <c r="B61" s="14"/>
      <c r="C61" s="12"/>
      <c r="D61" s="14"/>
      <c r="E61" s="12"/>
      <c r="F61" s="14"/>
      <c r="G61" s="12"/>
      <c r="H61" s="14"/>
      <c r="I61" s="12"/>
      <c r="J61" s="14"/>
      <c r="K61" s="12"/>
      <c r="L61" s="14"/>
      <c r="M61" s="12"/>
      <c r="N61" s="14"/>
      <c r="O61" s="12"/>
      <c r="P61" s="14"/>
      <c r="Q61" s="12"/>
      <c r="R61" s="14"/>
      <c r="S61" s="12"/>
      <c r="T61" s="14"/>
      <c r="U61" s="12"/>
      <c r="V61" s="14"/>
      <c r="W61" s="12"/>
      <c r="X61" s="14"/>
      <c r="Y61" s="12"/>
      <c r="Z61" s="14"/>
      <c r="AA61" s="12"/>
      <c r="AB61" s="14"/>
      <c r="AC61" s="12"/>
      <c r="AD61" s="17"/>
      <c r="AE61" s="18"/>
      <c r="AF61" s="17"/>
      <c r="AG61" s="14"/>
      <c r="AH61" s="12"/>
      <c r="AI61" s="17"/>
      <c r="AJ61" s="18"/>
      <c r="AK61" s="17"/>
      <c r="AL61" s="18"/>
    </row>
    <row r="62" ht="16.5" customHeight="1">
      <c r="A62" s="13" t="s">
        <v>119</v>
      </c>
      <c r="B62" s="14"/>
      <c r="C62" s="12"/>
      <c r="D62" s="14"/>
      <c r="E62" s="12"/>
      <c r="F62" s="14"/>
      <c r="G62" s="12"/>
      <c r="H62" s="14"/>
      <c r="I62" s="12"/>
      <c r="J62" s="14"/>
      <c r="K62" s="12"/>
      <c r="L62" s="14"/>
      <c r="M62" s="12"/>
      <c r="N62" s="14"/>
      <c r="O62" s="12"/>
      <c r="P62" s="14"/>
      <c r="Q62" s="12"/>
      <c r="R62" s="14"/>
      <c r="S62" s="12"/>
      <c r="T62" s="14"/>
      <c r="U62" s="12"/>
      <c r="V62" s="14"/>
      <c r="W62" s="12"/>
      <c r="X62" s="14"/>
      <c r="Y62" s="12"/>
      <c r="Z62" s="14"/>
      <c r="AA62" s="12"/>
      <c r="AB62" s="14"/>
      <c r="AC62" s="12"/>
      <c r="AD62" s="17"/>
      <c r="AE62" s="18"/>
      <c r="AF62" s="17"/>
      <c r="AG62" s="14"/>
      <c r="AH62" s="12"/>
      <c r="AI62" s="17"/>
      <c r="AJ62" s="18"/>
      <c r="AK62" s="17"/>
      <c r="AL62" s="18"/>
    </row>
    <row r="63" ht="16.5" hidden="1" customHeight="1">
      <c r="A63" s="19" t="s">
        <v>120</v>
      </c>
      <c r="B63" s="21">
        <v>0.0</v>
      </c>
      <c r="C63" s="23">
        <f>IFERROR(B63/B148, "NA")</f>
        <v>0</v>
      </c>
      <c r="D63" s="21">
        <v>0.0</v>
      </c>
      <c r="E63" s="23">
        <f>IFERROR(D63/D148, "NA")</f>
        <v>0</v>
      </c>
      <c r="F63" s="21">
        <v>0.0</v>
      </c>
      <c r="G63" s="23">
        <f>IFERROR(F63/F148, "NA")</f>
        <v>0</v>
      </c>
      <c r="H63" s="21">
        <v>0.0</v>
      </c>
      <c r="I63" s="23">
        <f>IFERROR(H63/H148, "NA")</f>
        <v>0</v>
      </c>
      <c r="J63" s="21">
        <v>0.0</v>
      </c>
      <c r="K63" s="23">
        <f>IFERROR(J63/J148, "NA")</f>
        <v>0</v>
      </c>
      <c r="L63" s="21">
        <v>0.0</v>
      </c>
      <c r="M63" s="23">
        <f>IFERROR(L63/L148, "NA")</f>
        <v>0</v>
      </c>
      <c r="N63" s="21">
        <v>0.0</v>
      </c>
      <c r="O63" s="23">
        <f>IFERROR(N63/N148, "NA")</f>
        <v>0</v>
      </c>
      <c r="P63" s="21">
        <v>0.0</v>
      </c>
      <c r="Q63" s="23">
        <f>IFERROR(P63/P148, "NA")</f>
        <v>0</v>
      </c>
      <c r="R63" s="21">
        <v>0.0</v>
      </c>
      <c r="S63" s="23">
        <f>IFERROR(R63/R148, "NA")</f>
        <v>0</v>
      </c>
      <c r="T63" s="21">
        <v>0.0</v>
      </c>
      <c r="U63" s="23">
        <f>IFERROR(T63/T148, "NA")</f>
        <v>0</v>
      </c>
      <c r="V63" s="21">
        <v>0.0</v>
      </c>
      <c r="W63" s="23">
        <f>IFERROR(V63/V148, "NA")</f>
        <v>0</v>
      </c>
      <c r="X63" s="21">
        <v>0.0</v>
      </c>
      <c r="Y63" s="23">
        <f>IFERROR(X63/X148, "NA")</f>
        <v>0</v>
      </c>
      <c r="Z63" s="21">
        <v>0.0</v>
      </c>
      <c r="AA63" s="23">
        <f>IFERROR(Z63/Z148, "NA")</f>
        <v>0</v>
      </c>
      <c r="AB63" s="28">
        <f>IFERROR((R63+T63+V63+X63)/4, "NA")</f>
        <v>0</v>
      </c>
      <c r="AC63" s="23">
        <f>IFERROR(AB63/AB148, "NA")</f>
        <v>0</v>
      </c>
      <c r="AD63" s="29">
        <f>IFERROR(X63-AB63, "NA")</f>
        <v>0</v>
      </c>
      <c r="AE63" s="30">
        <f>IFERROR(AD63/AD148, "NA")</f>
        <v>0</v>
      </c>
      <c r="AF63" s="29" t="str">
        <f>IFERROR((X63-AB63)/AB63, "NA")</f>
        <v>NA</v>
      </c>
      <c r="AG63" s="28">
        <f>IFERROR((J63+L63+N63+P63+R63+T63+V63+X63)/8, "NA")</f>
        <v>0</v>
      </c>
      <c r="AH63" s="23">
        <f>IFERROR(AG63/AG148, "NA")</f>
        <v>0</v>
      </c>
      <c r="AI63" s="29">
        <f>IFERROR(X63-AG63, "NA")</f>
        <v>0</v>
      </c>
      <c r="AJ63" s="30">
        <f>IFERROR(AI63/AI148, "NA")</f>
        <v>0</v>
      </c>
      <c r="AK63" s="29" t="str">
        <f>IFERROR((X63-AG63)/AG63, "NA")</f>
        <v>NA</v>
      </c>
      <c r="AL63" s="30" t="str">
        <f>IFERROR(AK63/AK148, "NA")</f>
        <v>NA</v>
      </c>
    </row>
    <row r="64" ht="16.5" customHeight="1">
      <c r="A64" s="13" t="s">
        <v>121</v>
      </c>
      <c r="B64" s="14"/>
      <c r="C64" s="12"/>
      <c r="D64" s="14"/>
      <c r="E64" s="12"/>
      <c r="F64" s="14"/>
      <c r="G64" s="12"/>
      <c r="H64" s="14"/>
      <c r="I64" s="12"/>
      <c r="J64" s="14"/>
      <c r="K64" s="12"/>
      <c r="L64" s="14"/>
      <c r="M64" s="12"/>
      <c r="N64" s="14"/>
      <c r="O64" s="12"/>
      <c r="P64" s="14"/>
      <c r="Q64" s="12"/>
      <c r="R64" s="14"/>
      <c r="S64" s="12"/>
      <c r="T64" s="14"/>
      <c r="U64" s="12"/>
      <c r="V64" s="14"/>
      <c r="W64" s="12"/>
      <c r="X64" s="14"/>
      <c r="Y64" s="12"/>
      <c r="Z64" s="14"/>
      <c r="AA64" s="12"/>
      <c r="AB64" s="14"/>
      <c r="AC64" s="12"/>
      <c r="AD64" s="17"/>
      <c r="AE64" s="18"/>
      <c r="AF64" s="17"/>
      <c r="AG64" s="14"/>
      <c r="AH64" s="12"/>
      <c r="AI64" s="17"/>
      <c r="AJ64" s="18"/>
      <c r="AK64" s="17"/>
      <c r="AL64" s="18"/>
    </row>
    <row r="65" ht="16.5" hidden="1" customHeight="1">
      <c r="A65" s="19" t="s">
        <v>122</v>
      </c>
      <c r="B65" s="21">
        <v>0.0</v>
      </c>
      <c r="C65" s="23">
        <f>IFERROR(B65/B148, "NA")</f>
        <v>0</v>
      </c>
      <c r="D65" s="21">
        <v>0.0</v>
      </c>
      <c r="E65" s="23">
        <f>IFERROR(D65/D148, "NA")</f>
        <v>0</v>
      </c>
      <c r="F65" s="21">
        <v>0.0</v>
      </c>
      <c r="G65" s="23">
        <f>IFERROR(F65/F148, "NA")</f>
        <v>0</v>
      </c>
      <c r="H65" s="21">
        <v>0.0</v>
      </c>
      <c r="I65" s="23">
        <f>IFERROR(H65/H148, "NA")</f>
        <v>0</v>
      </c>
      <c r="J65" s="21">
        <v>0.0</v>
      </c>
      <c r="K65" s="23">
        <f>IFERROR(J65/J148, "NA")</f>
        <v>0</v>
      </c>
      <c r="L65" s="21">
        <v>0.0</v>
      </c>
      <c r="M65" s="23">
        <f>IFERROR(L65/L148, "NA")</f>
        <v>0</v>
      </c>
      <c r="N65" s="21">
        <v>0.0</v>
      </c>
      <c r="O65" s="23">
        <f>IFERROR(N65/N148, "NA")</f>
        <v>0</v>
      </c>
      <c r="P65" s="21">
        <v>0.0</v>
      </c>
      <c r="Q65" s="23">
        <f>IFERROR(P65/P148, "NA")</f>
        <v>0</v>
      </c>
      <c r="R65" s="21">
        <v>0.0</v>
      </c>
      <c r="S65" s="23">
        <f>IFERROR(R65/R148, "NA")</f>
        <v>0</v>
      </c>
      <c r="T65" s="21">
        <v>0.0</v>
      </c>
      <c r="U65" s="23">
        <f>IFERROR(T65/T148, "NA")</f>
        <v>0</v>
      </c>
      <c r="V65" s="21">
        <v>0.0</v>
      </c>
      <c r="W65" s="23">
        <f>IFERROR(V65/V148, "NA")</f>
        <v>0</v>
      </c>
      <c r="X65" s="21">
        <v>0.0</v>
      </c>
      <c r="Y65" s="23">
        <f>IFERROR(X65/X148, "NA")</f>
        <v>0</v>
      </c>
      <c r="Z65" s="21">
        <v>0.0</v>
      </c>
      <c r="AA65" s="23">
        <f>IFERROR(Z65/Z148, "NA")</f>
        <v>0</v>
      </c>
      <c r="AB65" s="28">
        <f t="shared" ref="AB65:AB72" si="31">IFERROR((R65+T65+V65+X65)/4, "NA")</f>
        <v>0</v>
      </c>
      <c r="AC65" s="23">
        <f>IFERROR(AB65/AB148, "NA")</f>
        <v>0</v>
      </c>
      <c r="AD65" s="29">
        <f t="shared" ref="AD65:AD72" si="32">IFERROR(X65-AB65, "NA")</f>
        <v>0</v>
      </c>
      <c r="AE65" s="30">
        <f>IFERROR(AD65/AD148, "NA")</f>
        <v>0</v>
      </c>
      <c r="AF65" s="29" t="str">
        <f t="shared" ref="AF65:AF72" si="33">IFERROR((X65-AB65)/AB65, "NA")</f>
        <v>NA</v>
      </c>
      <c r="AG65" s="28">
        <f t="shared" ref="AG65:AG72" si="34">IFERROR((J65+L65+N65+P65+R65+T65+V65+X65)/8, "NA")</f>
        <v>0</v>
      </c>
      <c r="AH65" s="23">
        <f>IFERROR(AG65/AG148, "NA")</f>
        <v>0</v>
      </c>
      <c r="AI65" s="29">
        <f t="shared" ref="AI65:AI72" si="35">IFERROR(X65-AG65, "NA")</f>
        <v>0</v>
      </c>
      <c r="AJ65" s="30">
        <f>IFERROR(AI65/AI148, "NA")</f>
        <v>0</v>
      </c>
      <c r="AK65" s="29" t="str">
        <f t="shared" ref="AK65:AK72" si="36">IFERROR((X65-AG65)/AG65, "NA")</f>
        <v>NA</v>
      </c>
      <c r="AL65" s="30" t="str">
        <f>IFERROR(AK65/AK148, "NA")</f>
        <v>NA</v>
      </c>
    </row>
    <row r="66" ht="16.5" customHeight="1">
      <c r="A66" s="19" t="s">
        <v>125</v>
      </c>
      <c r="B66" s="21">
        <v>7958.08</v>
      </c>
      <c r="C66" s="23">
        <f>IFERROR(B66/B148, "NA")</f>
        <v>0.0390687379</v>
      </c>
      <c r="D66" s="21">
        <v>7958.08</v>
      </c>
      <c r="E66" s="23">
        <f>IFERROR(D66/D148, "NA")</f>
        <v>0.04287661825</v>
      </c>
      <c r="F66" s="21">
        <v>7958.08</v>
      </c>
      <c r="G66" s="23">
        <f>IFERROR(F66/F148, "NA")</f>
        <v>0.05633684365</v>
      </c>
      <c r="H66" s="21">
        <v>7958.08</v>
      </c>
      <c r="I66" s="23">
        <f>IFERROR(H66/H148, "NA")</f>
        <v>0.1065847784</v>
      </c>
      <c r="J66" s="21">
        <v>7958.08</v>
      </c>
      <c r="K66" s="23">
        <f>IFERROR(J66/J148, "NA")</f>
        <v>0.05588609968</v>
      </c>
      <c r="L66" s="21">
        <v>7958.08</v>
      </c>
      <c r="M66" s="23">
        <f>IFERROR(L66/L148, "NA")</f>
        <v>0.05888751082</v>
      </c>
      <c r="N66" s="21">
        <v>7958.08</v>
      </c>
      <c r="O66" s="23">
        <f>IFERROR(N66/N148, "NA")</f>
        <v>0.0654461308</v>
      </c>
      <c r="P66" s="21">
        <v>7958.08</v>
      </c>
      <c r="Q66" s="23">
        <f>IFERROR(P66/P148, "NA")</f>
        <v>0.1405707525</v>
      </c>
      <c r="R66" s="21">
        <v>7958.08</v>
      </c>
      <c r="S66" s="23">
        <f>IFERROR(R66/R148, "NA")</f>
        <v>0.1145267637</v>
      </c>
      <c r="T66" s="21">
        <v>7958.08</v>
      </c>
      <c r="U66" s="23">
        <f>IFERROR(T66/T148, "NA")</f>
        <v>0.07201479591</v>
      </c>
      <c r="V66" s="21">
        <v>7958.08</v>
      </c>
      <c r="W66" s="23">
        <f>IFERROR(V66/V148, "NA")</f>
        <v>0.05892615675</v>
      </c>
      <c r="X66" s="21">
        <v>7958.08</v>
      </c>
      <c r="Y66" s="23">
        <f>IFERROR(X66/X148, "NA")</f>
        <v>0.0686379658</v>
      </c>
      <c r="Z66" s="21">
        <v>31832.32</v>
      </c>
      <c r="AA66" s="23">
        <f>IFERROR(Z66/Z148, "NA")</f>
        <v>0.07385905189</v>
      </c>
      <c r="AB66" s="28">
        <f t="shared" si="31"/>
        <v>7958.08</v>
      </c>
      <c r="AC66" s="23">
        <f>IFERROR(AB66/AB148, "NA")</f>
        <v>0.07385905189</v>
      </c>
      <c r="AD66" s="29">
        <f t="shared" si="32"/>
        <v>0</v>
      </c>
      <c r="AE66" s="30">
        <f>IFERROR(AD66/AD148, "NA")</f>
        <v>0</v>
      </c>
      <c r="AF66" s="29">
        <f t="shared" si="33"/>
        <v>0</v>
      </c>
      <c r="AG66" s="28">
        <f t="shared" si="34"/>
        <v>7958.08</v>
      </c>
      <c r="AH66" s="23">
        <f>IFERROR(AG66/AG148, "NA")</f>
        <v>0.07179661139</v>
      </c>
      <c r="AI66" s="29">
        <f t="shared" si="35"/>
        <v>0</v>
      </c>
      <c r="AJ66" s="30">
        <f>IFERROR(AI66/AI148, "NA")</f>
        <v>0</v>
      </c>
      <c r="AK66" s="29">
        <f t="shared" si="36"/>
        <v>0</v>
      </c>
      <c r="AL66" s="30">
        <f>IFERROR(AK66/AK148, "NA")</f>
        <v>0</v>
      </c>
    </row>
    <row r="67" ht="16.5" hidden="1" customHeight="1">
      <c r="A67" s="19" t="s">
        <v>126</v>
      </c>
      <c r="B67" s="21">
        <v>0.0</v>
      </c>
      <c r="C67" s="23">
        <f>IFERROR(B67/B148, "NA")</f>
        <v>0</v>
      </c>
      <c r="D67" s="21">
        <v>0.0</v>
      </c>
      <c r="E67" s="23">
        <f>IFERROR(D67/D148, "NA")</f>
        <v>0</v>
      </c>
      <c r="F67" s="21">
        <v>0.0</v>
      </c>
      <c r="G67" s="23">
        <f>IFERROR(F67/F148, "NA")</f>
        <v>0</v>
      </c>
      <c r="H67" s="21">
        <v>0.0</v>
      </c>
      <c r="I67" s="23">
        <f>IFERROR(H67/H148, "NA")</f>
        <v>0</v>
      </c>
      <c r="J67" s="21">
        <v>0.0</v>
      </c>
      <c r="K67" s="23">
        <f>IFERROR(J67/J148, "NA")</f>
        <v>0</v>
      </c>
      <c r="L67" s="21">
        <v>0.0</v>
      </c>
      <c r="M67" s="23">
        <f>IFERROR(L67/L148, "NA")</f>
        <v>0</v>
      </c>
      <c r="N67" s="21">
        <v>0.0</v>
      </c>
      <c r="O67" s="23">
        <f>IFERROR(N67/N148, "NA")</f>
        <v>0</v>
      </c>
      <c r="P67" s="21">
        <v>0.0</v>
      </c>
      <c r="Q67" s="23">
        <f>IFERROR(P67/P148, "NA")</f>
        <v>0</v>
      </c>
      <c r="R67" s="21">
        <v>0.0</v>
      </c>
      <c r="S67" s="23">
        <f>IFERROR(R67/R148, "NA")</f>
        <v>0</v>
      </c>
      <c r="T67" s="21">
        <v>0.0</v>
      </c>
      <c r="U67" s="23">
        <f>IFERROR(T67/T148, "NA")</f>
        <v>0</v>
      </c>
      <c r="V67" s="21">
        <v>0.0</v>
      </c>
      <c r="W67" s="23">
        <f>IFERROR(V67/V148, "NA")</f>
        <v>0</v>
      </c>
      <c r="X67" s="21">
        <v>0.0</v>
      </c>
      <c r="Y67" s="23">
        <f>IFERROR(X67/X148, "NA")</f>
        <v>0</v>
      </c>
      <c r="Z67" s="21">
        <v>0.0</v>
      </c>
      <c r="AA67" s="23">
        <f>IFERROR(Z67/Z148, "NA")</f>
        <v>0</v>
      </c>
      <c r="AB67" s="28">
        <f t="shared" si="31"/>
        <v>0</v>
      </c>
      <c r="AC67" s="23">
        <f>IFERROR(AB67/AB148, "NA")</f>
        <v>0</v>
      </c>
      <c r="AD67" s="29">
        <f t="shared" si="32"/>
        <v>0</v>
      </c>
      <c r="AE67" s="30">
        <f>IFERROR(AD67/AD148, "NA")</f>
        <v>0</v>
      </c>
      <c r="AF67" s="29" t="str">
        <f t="shared" si="33"/>
        <v>NA</v>
      </c>
      <c r="AG67" s="28">
        <f t="shared" si="34"/>
        <v>0</v>
      </c>
      <c r="AH67" s="23">
        <f>IFERROR(AG67/AG148, "NA")</f>
        <v>0</v>
      </c>
      <c r="AI67" s="29">
        <f t="shared" si="35"/>
        <v>0</v>
      </c>
      <c r="AJ67" s="30">
        <f>IFERROR(AI67/AI148, "NA")</f>
        <v>0</v>
      </c>
      <c r="AK67" s="29" t="str">
        <f t="shared" si="36"/>
        <v>NA</v>
      </c>
      <c r="AL67" s="30" t="str">
        <f>IFERROR(AK67/AK148, "NA")</f>
        <v>NA</v>
      </c>
    </row>
    <row r="68" ht="16.5" customHeight="1">
      <c r="A68" s="19" t="s">
        <v>127</v>
      </c>
      <c r="B68" s="21">
        <v>29406.27</v>
      </c>
      <c r="C68" s="23">
        <f>IFERROR(B68/B148, "NA")</f>
        <v>0.144364703</v>
      </c>
      <c r="D68" s="21">
        <v>28064.66</v>
      </c>
      <c r="E68" s="23">
        <f>IFERROR(D68/D148, "NA")</f>
        <v>0.151207039</v>
      </c>
      <c r="F68" s="21">
        <v>26735.3</v>
      </c>
      <c r="G68" s="23">
        <f>IFERROR(F68/F148, "NA")</f>
        <v>0.1892645482</v>
      </c>
      <c r="H68" s="21">
        <v>16782.3</v>
      </c>
      <c r="I68" s="23">
        <f>IFERROR(H68/H148, "NA")</f>
        <v>0.2247700106</v>
      </c>
      <c r="J68" s="21">
        <v>26541.67</v>
      </c>
      <c r="K68" s="23">
        <f>IFERROR(J68/J148, "NA")</f>
        <v>0.1863904881</v>
      </c>
      <c r="L68" s="21">
        <v>25988.08</v>
      </c>
      <c r="M68" s="23">
        <f>IFERROR(L68/L148, "NA")</f>
        <v>0.1923043425</v>
      </c>
      <c r="N68" s="21">
        <v>24937.08</v>
      </c>
      <c r="O68" s="23">
        <f>IFERROR(N68/N148, "NA")</f>
        <v>0.2050790391</v>
      </c>
      <c r="P68" s="21">
        <v>14320.07</v>
      </c>
      <c r="Q68" s="23">
        <f>IFERROR(P68/P148, "NA")</f>
        <v>0.2529483262</v>
      </c>
      <c r="R68" s="21">
        <v>17605.45</v>
      </c>
      <c r="S68" s="23">
        <f>IFERROR(R68/R148, "NA")</f>
        <v>0.2533645317</v>
      </c>
      <c r="T68" s="21">
        <v>24137.86</v>
      </c>
      <c r="U68" s="23">
        <f>IFERROR(T68/T148, "NA")</f>
        <v>0.2184299557</v>
      </c>
      <c r="V68" s="21">
        <v>22759.54</v>
      </c>
      <c r="W68" s="23">
        <f>IFERROR(V68/V148, "NA")</f>
        <v>0.1685245966</v>
      </c>
      <c r="X68" s="21">
        <v>20494.97</v>
      </c>
      <c r="Y68" s="23">
        <f>IFERROR(X68/X148, "NA")</f>
        <v>0.176767895</v>
      </c>
      <c r="Z68" s="21">
        <v>84997.82</v>
      </c>
      <c r="AA68" s="23">
        <f>IFERROR(Z68/Z148, "NA")</f>
        <v>0.1972164893</v>
      </c>
      <c r="AB68" s="28">
        <f t="shared" si="31"/>
        <v>21249.455</v>
      </c>
      <c r="AC68" s="23">
        <f>IFERROR(AB68/AB148, "NA")</f>
        <v>0.1972164893</v>
      </c>
      <c r="AD68" s="29">
        <f t="shared" si="32"/>
        <v>-754.485</v>
      </c>
      <c r="AE68" s="30">
        <f>IFERROR(AD68/AD148, "NA")</f>
        <v>-0.09205546742</v>
      </c>
      <c r="AF68" s="29">
        <f t="shared" si="33"/>
        <v>-0.0355060871</v>
      </c>
      <c r="AG68" s="28">
        <f t="shared" si="34"/>
        <v>22098.09</v>
      </c>
      <c r="AH68" s="23">
        <f>IFERROR(AG68/AG148, "NA")</f>
        <v>0.1993656737</v>
      </c>
      <c r="AI68" s="29">
        <f t="shared" si="35"/>
        <v>-1603.12</v>
      </c>
      <c r="AJ68" s="30">
        <f>IFERROR(AI68/AI148, "NA")</f>
        <v>-0.3142861064</v>
      </c>
      <c r="AK68" s="29">
        <f t="shared" si="36"/>
        <v>-0.0725456363</v>
      </c>
      <c r="AL68" s="30">
        <f>IFERROR(AK68/AK148, "NA")</f>
        <v>-1.576430388</v>
      </c>
    </row>
    <row r="69" ht="16.5" customHeight="1">
      <c r="A69" s="19" t="s">
        <v>128</v>
      </c>
      <c r="B69" s="21">
        <v>3259.94</v>
      </c>
      <c r="C69" s="23">
        <f>IFERROR(B69/B148, "NA")</f>
        <v>0.01600407905</v>
      </c>
      <c r="D69" s="21">
        <v>2834.35</v>
      </c>
      <c r="E69" s="23">
        <f>IFERROR(D69/D148, "NA")</f>
        <v>0.01527093758</v>
      </c>
      <c r="F69" s="21">
        <v>1103.4</v>
      </c>
      <c r="G69" s="23">
        <f>IFERROR(F69/F148, "NA")</f>
        <v>0.007811189795</v>
      </c>
      <c r="H69" s="21">
        <v>0.0</v>
      </c>
      <c r="I69" s="23">
        <f>IFERROR(H69/H148, "NA")</f>
        <v>0</v>
      </c>
      <c r="J69" s="21">
        <v>540.95</v>
      </c>
      <c r="K69" s="23">
        <f>IFERROR(J69/J148, "NA")</f>
        <v>0.003798854199</v>
      </c>
      <c r="L69" s="21">
        <v>426.26</v>
      </c>
      <c r="M69" s="23">
        <f>IFERROR(L69/L148, "NA")</f>
        <v>0.003154201813</v>
      </c>
      <c r="N69" s="21">
        <v>236.4</v>
      </c>
      <c r="O69" s="23">
        <f>IFERROR(N69/N148, "NA")</f>
        <v>0.001944120356</v>
      </c>
      <c r="P69" s="21">
        <v>0.0</v>
      </c>
      <c r="Q69" s="23">
        <f>IFERROR(P69/P148, "NA")</f>
        <v>0</v>
      </c>
      <c r="R69" s="21">
        <v>0.0</v>
      </c>
      <c r="S69" s="23">
        <f>IFERROR(R69/R148, "NA")</f>
        <v>0</v>
      </c>
      <c r="T69" s="21">
        <v>0.0</v>
      </c>
      <c r="U69" s="23">
        <f>IFERROR(T69/T148, "NA")</f>
        <v>0</v>
      </c>
      <c r="V69" s="21">
        <v>0.0</v>
      </c>
      <c r="W69" s="23">
        <f>IFERROR(V69/V148, "NA")</f>
        <v>0</v>
      </c>
      <c r="X69" s="21">
        <v>211.09</v>
      </c>
      <c r="Y69" s="23">
        <f>IFERROR(X69/X148, "NA")</f>
        <v>0.001820638672</v>
      </c>
      <c r="Z69" s="21">
        <v>211.09</v>
      </c>
      <c r="AA69" s="23">
        <f>IFERROR(Z69/Z148, "NA")</f>
        <v>0.0004897823113</v>
      </c>
      <c r="AB69" s="28">
        <f t="shared" si="31"/>
        <v>52.7725</v>
      </c>
      <c r="AC69" s="23">
        <f>IFERROR(AB69/AB148, "NA")</f>
        <v>0.0004897823113</v>
      </c>
      <c r="AD69" s="29">
        <f t="shared" si="32"/>
        <v>158.3175</v>
      </c>
      <c r="AE69" s="30">
        <f>IFERROR(AD69/AD148, "NA")</f>
        <v>0.01931647609</v>
      </c>
      <c r="AF69" s="29">
        <f t="shared" si="33"/>
        <v>3</v>
      </c>
      <c r="AG69" s="28">
        <f t="shared" si="34"/>
        <v>176.8375</v>
      </c>
      <c r="AH69" s="23">
        <f>IFERROR(AG69/AG148, "NA")</f>
        <v>0.001595401563</v>
      </c>
      <c r="AI69" s="29">
        <f t="shared" si="35"/>
        <v>34.2525</v>
      </c>
      <c r="AJ69" s="30">
        <f>IFERROR(AI69/AI148, "NA")</f>
        <v>0.006715083624</v>
      </c>
      <c r="AK69" s="29">
        <f t="shared" si="36"/>
        <v>0.1936947763</v>
      </c>
      <c r="AL69" s="30">
        <f>IFERROR(AK69/AK148, "NA")</f>
        <v>4.209024098</v>
      </c>
    </row>
    <row r="70" ht="16.5" customHeight="1">
      <c r="A70" s="65" t="s">
        <v>129</v>
      </c>
      <c r="B70" s="66">
        <f>IFERROR(B65+B66+B67+B68+B69, "NA")</f>
        <v>40624.29</v>
      </c>
      <c r="C70" s="67">
        <f>IFERROR(B70/B148, "NA")</f>
        <v>0.1994375199</v>
      </c>
      <c r="D70" s="66">
        <f>IFERROR(D65+D66+D67+D68+D69, "NA")</f>
        <v>38857.09</v>
      </c>
      <c r="E70" s="67">
        <f>IFERROR(D70/D148, "NA")</f>
        <v>0.2093545949</v>
      </c>
      <c r="F70" s="66">
        <f>IFERROR(F65+F66+F67+F68+F69, "NA")</f>
        <v>35796.78</v>
      </c>
      <c r="G70" s="67">
        <f>IFERROR(F70/F148, "NA")</f>
        <v>0.2534125817</v>
      </c>
      <c r="H70" s="66">
        <f>IFERROR(H65+H66+H67+H68+H69, "NA")</f>
        <v>24740.38</v>
      </c>
      <c r="I70" s="67">
        <f>IFERROR(H70/H148, "NA")</f>
        <v>0.331354789</v>
      </c>
      <c r="J70" s="66">
        <f>IFERROR(J65+J66+J67+J68+J69, "NA")</f>
        <v>35040.7</v>
      </c>
      <c r="K70" s="67">
        <f>IFERROR(J70/J148, "NA")</f>
        <v>0.246075442</v>
      </c>
      <c r="L70" s="66">
        <f>IFERROR(L65+L66+L67+L68+L69, "NA")</f>
        <v>34372.42</v>
      </c>
      <c r="M70" s="67">
        <f>IFERROR(L70/L148, "NA")</f>
        <v>0.2543460551</v>
      </c>
      <c r="N70" s="66">
        <f>IFERROR(N65+N66+N67+N68+N69, "NA")</f>
        <v>33131.56</v>
      </c>
      <c r="O70" s="67">
        <f>IFERROR(N70/N148, "NA")</f>
        <v>0.2724692903</v>
      </c>
      <c r="P70" s="66">
        <f>IFERROR(P65+P66+P67+P68+P69, "NA")</f>
        <v>22278.15</v>
      </c>
      <c r="Q70" s="67">
        <f>IFERROR(P70/P148, "NA")</f>
        <v>0.3935190787</v>
      </c>
      <c r="R70" s="66">
        <f>IFERROR(R65+R66+R67+R68+R69, "NA")</f>
        <v>25563.53</v>
      </c>
      <c r="S70" s="67">
        <f>IFERROR(R70/R148, "NA")</f>
        <v>0.3678912954</v>
      </c>
      <c r="T70" s="66">
        <f>IFERROR(T65+T66+T67+T68+T69, "NA")</f>
        <v>32095.94</v>
      </c>
      <c r="U70" s="67">
        <f>IFERROR(T70/T148, "NA")</f>
        <v>0.2904447516</v>
      </c>
      <c r="V70" s="66">
        <f>IFERROR(V65+V66+V67+V68+V69, "NA")</f>
        <v>30717.62</v>
      </c>
      <c r="W70" s="67">
        <f>IFERROR(V70/V148, "NA")</f>
        <v>0.2274507533</v>
      </c>
      <c r="X70" s="66">
        <f>IFERROR(X65+X66+X67+X68+X69, "NA")</f>
        <v>28664.14</v>
      </c>
      <c r="Y70" s="67">
        <f>IFERROR(X70/X148, "NA")</f>
        <v>0.2472264995</v>
      </c>
      <c r="Z70" s="66">
        <f>IFERROR(Z65+Z66+Z67+Z68+Z69, "NA")</f>
        <v>117041.23</v>
      </c>
      <c r="AA70" s="67">
        <f>IFERROR(Z70/Z148, "NA")</f>
        <v>0.2715653235</v>
      </c>
      <c r="AB70" s="66">
        <f t="shared" si="31"/>
        <v>29260.3075</v>
      </c>
      <c r="AC70" s="67">
        <f>IFERROR(AB70/AB148, "NA")</f>
        <v>0.2715653235</v>
      </c>
      <c r="AD70" s="75">
        <f t="shared" si="32"/>
        <v>-596.1675</v>
      </c>
      <c r="AE70" s="76">
        <f>IFERROR(AD70/AD148, "NA")</f>
        <v>-0.07273899133</v>
      </c>
      <c r="AF70" s="75">
        <f t="shared" si="33"/>
        <v>-0.020374615</v>
      </c>
      <c r="AG70" s="66">
        <f t="shared" si="34"/>
        <v>30233.0075</v>
      </c>
      <c r="AH70" s="67">
        <f>IFERROR(AG70/AG148, "NA")</f>
        <v>0.2727576866</v>
      </c>
      <c r="AI70" s="75">
        <f t="shared" si="35"/>
        <v>-1568.8675</v>
      </c>
      <c r="AJ70" s="76">
        <f>IFERROR(AI70/AI148, "NA")</f>
        <v>-0.3075710228</v>
      </c>
      <c r="AK70" s="75">
        <f t="shared" si="36"/>
        <v>-0.05189253831</v>
      </c>
      <c r="AL70" s="76">
        <f>IFERROR(AK70/AK148, "NA")</f>
        <v>-1.127634666</v>
      </c>
    </row>
    <row r="71" ht="16.5" hidden="1" customHeight="1">
      <c r="A71" s="19" t="s">
        <v>130</v>
      </c>
      <c r="B71" s="21">
        <v>0.0</v>
      </c>
      <c r="C71" s="23">
        <f>IFERROR(B71/B148, "NA")</f>
        <v>0</v>
      </c>
      <c r="D71" s="21">
        <v>0.0</v>
      </c>
      <c r="E71" s="23">
        <f>IFERROR(D71/D148, "NA")</f>
        <v>0</v>
      </c>
      <c r="F71" s="21">
        <v>0.0</v>
      </c>
      <c r="G71" s="23">
        <f>IFERROR(F71/F148, "NA")</f>
        <v>0</v>
      </c>
      <c r="H71" s="21">
        <v>0.0</v>
      </c>
      <c r="I71" s="23">
        <f>IFERROR(H71/H148, "NA")</f>
        <v>0</v>
      </c>
      <c r="J71" s="21">
        <v>0.0</v>
      </c>
      <c r="K71" s="23">
        <f>IFERROR(J71/J148, "NA")</f>
        <v>0</v>
      </c>
      <c r="L71" s="21">
        <v>0.0</v>
      </c>
      <c r="M71" s="23">
        <f>IFERROR(L71/L148, "NA")</f>
        <v>0</v>
      </c>
      <c r="N71" s="21">
        <v>0.0</v>
      </c>
      <c r="O71" s="23">
        <f>IFERROR(N71/N148, "NA")</f>
        <v>0</v>
      </c>
      <c r="P71" s="21">
        <v>0.0</v>
      </c>
      <c r="Q71" s="23">
        <f>IFERROR(P71/P148, "NA")</f>
        <v>0</v>
      </c>
      <c r="R71" s="21">
        <v>0.0</v>
      </c>
      <c r="S71" s="23">
        <f>IFERROR(R71/R148, "NA")</f>
        <v>0</v>
      </c>
      <c r="T71" s="21">
        <v>0.0</v>
      </c>
      <c r="U71" s="23">
        <f>IFERROR(T71/T148, "NA")</f>
        <v>0</v>
      </c>
      <c r="V71" s="21">
        <v>0.0</v>
      </c>
      <c r="W71" s="23">
        <f>IFERROR(V71/V148, "NA")</f>
        <v>0</v>
      </c>
      <c r="X71" s="21">
        <v>0.0</v>
      </c>
      <c r="Y71" s="23">
        <f>IFERROR(X71/X148, "NA")</f>
        <v>0</v>
      </c>
      <c r="Z71" s="21">
        <v>0.0</v>
      </c>
      <c r="AA71" s="23">
        <f>IFERROR(Z71/Z148, "NA")</f>
        <v>0</v>
      </c>
      <c r="AB71" s="28">
        <f t="shared" si="31"/>
        <v>0</v>
      </c>
      <c r="AC71" s="23">
        <f>IFERROR(AB71/AB148, "NA")</f>
        <v>0</v>
      </c>
      <c r="AD71" s="29">
        <f t="shared" si="32"/>
        <v>0</v>
      </c>
      <c r="AE71" s="30">
        <f>IFERROR(AD71/AD148, "NA")</f>
        <v>0</v>
      </c>
      <c r="AF71" s="29" t="str">
        <f t="shared" si="33"/>
        <v>NA</v>
      </c>
      <c r="AG71" s="28">
        <f t="shared" si="34"/>
        <v>0</v>
      </c>
      <c r="AH71" s="23">
        <f>IFERROR(AG71/AG148, "NA")</f>
        <v>0</v>
      </c>
      <c r="AI71" s="29">
        <f t="shared" si="35"/>
        <v>0</v>
      </c>
      <c r="AJ71" s="30">
        <f>IFERROR(AI71/AI148, "NA")</f>
        <v>0</v>
      </c>
      <c r="AK71" s="29" t="str">
        <f t="shared" si="36"/>
        <v>NA</v>
      </c>
      <c r="AL71" s="30" t="str">
        <f>IFERROR(AK71/AK148, "NA")</f>
        <v>NA</v>
      </c>
    </row>
    <row r="72" ht="16.5" customHeight="1">
      <c r="A72" s="19" t="s">
        <v>131</v>
      </c>
      <c r="B72" s="21">
        <v>0.0</v>
      </c>
      <c r="C72" s="23">
        <f>IFERROR(B72/B148, "NA")</f>
        <v>0</v>
      </c>
      <c r="D72" s="21">
        <v>0.0</v>
      </c>
      <c r="E72" s="23">
        <f>IFERROR(D72/D148, "NA")</f>
        <v>0</v>
      </c>
      <c r="F72" s="21">
        <v>-3400.0</v>
      </c>
      <c r="G72" s="23">
        <f>IFERROR(F72/F148, "NA")</f>
        <v>-0.02406928159</v>
      </c>
      <c r="H72" s="21">
        <v>0.0</v>
      </c>
      <c r="I72" s="23">
        <f>IFERROR(H72/H148, "NA")</f>
        <v>0</v>
      </c>
      <c r="J72" s="21">
        <v>0.0</v>
      </c>
      <c r="K72" s="23">
        <f>IFERROR(J72/J148, "NA")</f>
        <v>0</v>
      </c>
      <c r="L72" s="21">
        <v>0.0</v>
      </c>
      <c r="M72" s="23">
        <f>IFERROR(L72/L148, "NA")</f>
        <v>0</v>
      </c>
      <c r="N72" s="21">
        <v>0.0</v>
      </c>
      <c r="O72" s="23">
        <f>IFERROR(N72/N148, "NA")</f>
        <v>0</v>
      </c>
      <c r="P72" s="21">
        <v>2950.0</v>
      </c>
      <c r="Q72" s="23">
        <f>IFERROR(P72/P148, "NA")</f>
        <v>0.05210851359</v>
      </c>
      <c r="R72" s="21">
        <v>0.0</v>
      </c>
      <c r="S72" s="23">
        <f>IFERROR(R72/R148, "NA")</f>
        <v>0</v>
      </c>
      <c r="T72" s="21">
        <v>0.0</v>
      </c>
      <c r="U72" s="23">
        <f>IFERROR(T72/T148, "NA")</f>
        <v>0</v>
      </c>
      <c r="V72" s="21">
        <v>0.0</v>
      </c>
      <c r="W72" s="23">
        <f>IFERROR(V72/V148, "NA")</f>
        <v>0</v>
      </c>
      <c r="X72" s="21">
        <v>2950.0</v>
      </c>
      <c r="Y72" s="23">
        <f>IFERROR(X72/X148, "NA")</f>
        <v>0.02544357422</v>
      </c>
      <c r="Z72" s="21">
        <v>2950.0</v>
      </c>
      <c r="AA72" s="23">
        <f>IFERROR(Z72/Z148, "NA")</f>
        <v>0.006844747824</v>
      </c>
      <c r="AB72" s="28">
        <f t="shared" si="31"/>
        <v>737.5</v>
      </c>
      <c r="AC72" s="23">
        <f>IFERROR(AB72/AB148, "NA")</f>
        <v>0.006844747824</v>
      </c>
      <c r="AD72" s="29">
        <f t="shared" si="32"/>
        <v>2212.5</v>
      </c>
      <c r="AE72" s="30">
        <f>IFERROR(AD72/AD148, "NA")</f>
        <v>0.2699493319</v>
      </c>
      <c r="AF72" s="29">
        <f t="shared" si="33"/>
        <v>3</v>
      </c>
      <c r="AG72" s="28">
        <f t="shared" si="34"/>
        <v>737.5</v>
      </c>
      <c r="AH72" s="23">
        <f>IFERROR(AG72/AG148, "NA")</f>
        <v>0.006653615056</v>
      </c>
      <c r="AI72" s="29">
        <f t="shared" si="35"/>
        <v>2212.5</v>
      </c>
      <c r="AJ72" s="30">
        <f>IFERROR(AI72/AI148, "NA")</f>
        <v>0.4337529382</v>
      </c>
      <c r="AK72" s="29">
        <f t="shared" si="36"/>
        <v>3</v>
      </c>
      <c r="AL72" s="30">
        <f>IFERROR(AK72/AK148, "NA")</f>
        <v>65.19056703</v>
      </c>
    </row>
    <row r="73" ht="16.5" customHeight="1">
      <c r="A73" s="13" t="s">
        <v>132</v>
      </c>
      <c r="B73" s="14"/>
      <c r="C73" s="12"/>
      <c r="D73" s="14"/>
      <c r="E73" s="12"/>
      <c r="F73" s="14"/>
      <c r="G73" s="12"/>
      <c r="H73" s="14"/>
      <c r="I73" s="12"/>
      <c r="J73" s="14"/>
      <c r="K73" s="12"/>
      <c r="L73" s="14"/>
      <c r="M73" s="12"/>
      <c r="N73" s="14"/>
      <c r="O73" s="12"/>
      <c r="P73" s="14"/>
      <c r="Q73" s="12"/>
      <c r="R73" s="14"/>
      <c r="S73" s="12"/>
      <c r="T73" s="14"/>
      <c r="U73" s="12"/>
      <c r="V73" s="14"/>
      <c r="W73" s="12"/>
      <c r="X73" s="14"/>
      <c r="Y73" s="12"/>
      <c r="Z73" s="14"/>
      <c r="AA73" s="12"/>
      <c r="AB73" s="14"/>
      <c r="AC73" s="12"/>
      <c r="AD73" s="17"/>
      <c r="AE73" s="18"/>
      <c r="AF73" s="17"/>
      <c r="AG73" s="14"/>
      <c r="AH73" s="12"/>
      <c r="AI73" s="17"/>
      <c r="AJ73" s="18"/>
      <c r="AK73" s="17"/>
      <c r="AL73" s="18"/>
    </row>
    <row r="74" ht="16.5" customHeight="1">
      <c r="A74" s="19" t="s">
        <v>133</v>
      </c>
      <c r="B74" s="21">
        <v>3753.42</v>
      </c>
      <c r="C74" s="23">
        <f>IFERROR(B74/B148, "NA")</f>
        <v>0.01842672884</v>
      </c>
      <c r="D74" s="21">
        <v>3471.16</v>
      </c>
      <c r="E74" s="23">
        <f>IFERROR(D74/D148, "NA")</f>
        <v>0.01870194849</v>
      </c>
      <c r="F74" s="21">
        <v>3504.27</v>
      </c>
      <c r="G74" s="23">
        <f>IFERROR(F74/F148, "NA")</f>
        <v>0.02480742982</v>
      </c>
      <c r="H74" s="21">
        <v>2200.35</v>
      </c>
      <c r="I74" s="23">
        <f>IFERROR(H74/H148, "NA")</f>
        <v>0.02946989941</v>
      </c>
      <c r="J74" s="21">
        <v>3111.96</v>
      </c>
      <c r="K74" s="23">
        <f>IFERROR(J74/J148, "NA")</f>
        <v>0.02185392793</v>
      </c>
      <c r="L74" s="21">
        <v>3148.4</v>
      </c>
      <c r="M74" s="23">
        <f>IFERROR(L74/L148, "NA")</f>
        <v>0.02329725751</v>
      </c>
      <c r="N74" s="21">
        <v>3000.89</v>
      </c>
      <c r="O74" s="23">
        <f>IFERROR(N74/N148, "NA")</f>
        <v>0.02467889735</v>
      </c>
      <c r="P74" s="21">
        <v>2326.41</v>
      </c>
      <c r="Q74" s="23">
        <f>IFERROR(P74/P148, "NA")</f>
        <v>0.04109348038</v>
      </c>
      <c r="R74" s="21">
        <v>2626.38</v>
      </c>
      <c r="S74" s="23">
        <f>IFERROR(R74/R148, "NA")</f>
        <v>0.037796906</v>
      </c>
      <c r="T74" s="21">
        <v>3409.67</v>
      </c>
      <c r="U74" s="23">
        <f>IFERROR(T74/T148, "NA")</f>
        <v>0.03085501643</v>
      </c>
      <c r="V74" s="21">
        <v>3335.01</v>
      </c>
      <c r="W74" s="23">
        <f>IFERROR(V74/V148, "NA")</f>
        <v>0.02469431345</v>
      </c>
      <c r="X74" s="21">
        <v>3072.97</v>
      </c>
      <c r="Y74" s="23">
        <f>IFERROR(X74/X148, "NA")</f>
        <v>0.02650418314</v>
      </c>
      <c r="Z74" s="21">
        <v>12444.03</v>
      </c>
      <c r="AA74" s="23">
        <f>IFERROR(Z74/Z148, "NA")</f>
        <v>0.02887330416</v>
      </c>
      <c r="AB74" s="28">
        <f t="shared" ref="AB74:AB85" si="37">IFERROR((R74+T74+V74+X74)/4, "NA")</f>
        <v>3111.0075</v>
      </c>
      <c r="AC74" s="23">
        <f>IFERROR(AB74/AB148, "NA")</f>
        <v>0.02887330416</v>
      </c>
      <c r="AD74" s="29">
        <f t="shared" ref="AD74:AD85" si="38">IFERROR(X74-AB74, "NA")</f>
        <v>-38.0375</v>
      </c>
      <c r="AE74" s="30">
        <f>IFERROR(AD74/AD148, "NA")</f>
        <v>-0.004640993316</v>
      </c>
      <c r="AF74" s="29">
        <f t="shared" ref="AF74:AF85" si="39">IFERROR((X74-AB74)/AB74, "NA")</f>
        <v>-0.01222674648</v>
      </c>
      <c r="AG74" s="28">
        <f t="shared" ref="AG74:AG85" si="40">IFERROR((J74+L74+N74+P74+R74+T74+V74+X74)/8, "NA")</f>
        <v>3003.96125</v>
      </c>
      <c r="AH74" s="23">
        <f>IFERROR(AG74/AG148, "NA")</f>
        <v>0.02710129058</v>
      </c>
      <c r="AI74" s="29">
        <f t="shared" ref="AI74:AI85" si="41">IFERROR(X74-AG74, "NA")</f>
        <v>69.00875</v>
      </c>
      <c r="AJ74" s="30">
        <f>IFERROR(AI74/AI148, "NA")</f>
        <v>0.01352892568</v>
      </c>
      <c r="AK74" s="29">
        <f t="shared" ref="AK74:AK85" si="42">IFERROR((X74-AG74)/AG74, "NA")</f>
        <v>0.02297258328</v>
      </c>
      <c r="AL74" s="30">
        <f>IFERROR(AK74/AK148, "NA")</f>
        <v>0.4991985768</v>
      </c>
    </row>
    <row r="75" ht="16.5" hidden="1" customHeight="1">
      <c r="A75" s="19" t="s">
        <v>134</v>
      </c>
      <c r="B75" s="21">
        <v>0.0</v>
      </c>
      <c r="C75" s="23">
        <f>IFERROR(B75/B148, "NA")</f>
        <v>0</v>
      </c>
      <c r="D75" s="21">
        <v>0.0</v>
      </c>
      <c r="E75" s="23">
        <f>IFERROR(D75/D148, "NA")</f>
        <v>0</v>
      </c>
      <c r="F75" s="21">
        <v>0.0</v>
      </c>
      <c r="G75" s="23">
        <f>IFERROR(F75/F148, "NA")</f>
        <v>0</v>
      </c>
      <c r="H75" s="21">
        <v>0.0</v>
      </c>
      <c r="I75" s="23">
        <f>IFERROR(H75/H148, "NA")</f>
        <v>0</v>
      </c>
      <c r="J75" s="21">
        <v>0.0</v>
      </c>
      <c r="K75" s="23">
        <f>IFERROR(J75/J148, "NA")</f>
        <v>0</v>
      </c>
      <c r="L75" s="21">
        <v>0.0</v>
      </c>
      <c r="M75" s="23">
        <f>IFERROR(L75/L148, "NA")</f>
        <v>0</v>
      </c>
      <c r="N75" s="21">
        <v>0.0</v>
      </c>
      <c r="O75" s="23">
        <f>IFERROR(N75/N148, "NA")</f>
        <v>0</v>
      </c>
      <c r="P75" s="21">
        <v>0.0</v>
      </c>
      <c r="Q75" s="23">
        <f>IFERROR(P75/P148, "NA")</f>
        <v>0</v>
      </c>
      <c r="R75" s="21">
        <v>0.0</v>
      </c>
      <c r="S75" s="23">
        <f>IFERROR(R75/R148, "NA")</f>
        <v>0</v>
      </c>
      <c r="T75" s="21">
        <v>0.0</v>
      </c>
      <c r="U75" s="23">
        <f>IFERROR(T75/T148, "NA")</f>
        <v>0</v>
      </c>
      <c r="V75" s="21">
        <v>0.0</v>
      </c>
      <c r="W75" s="23">
        <f>IFERROR(V75/V148, "NA")</f>
        <v>0</v>
      </c>
      <c r="X75" s="21">
        <v>0.0</v>
      </c>
      <c r="Y75" s="23">
        <f>IFERROR(X75/X148, "NA")</f>
        <v>0</v>
      </c>
      <c r="Z75" s="21">
        <v>0.0</v>
      </c>
      <c r="AA75" s="23">
        <f>IFERROR(Z75/Z148, "NA")</f>
        <v>0</v>
      </c>
      <c r="AB75" s="28">
        <f t="shared" si="37"/>
        <v>0</v>
      </c>
      <c r="AC75" s="23">
        <f>IFERROR(AB75/AB148, "NA")</f>
        <v>0</v>
      </c>
      <c r="AD75" s="29">
        <f t="shared" si="38"/>
        <v>0</v>
      </c>
      <c r="AE75" s="30">
        <f>IFERROR(AD75/AD148, "NA")</f>
        <v>0</v>
      </c>
      <c r="AF75" s="29" t="str">
        <f t="shared" si="39"/>
        <v>NA</v>
      </c>
      <c r="AG75" s="28">
        <f t="shared" si="40"/>
        <v>0</v>
      </c>
      <c r="AH75" s="23">
        <f>IFERROR(AG75/AG148, "NA")</f>
        <v>0</v>
      </c>
      <c r="AI75" s="29">
        <f t="shared" si="41"/>
        <v>0</v>
      </c>
      <c r="AJ75" s="30">
        <f>IFERROR(AI75/AI148, "NA")</f>
        <v>0</v>
      </c>
      <c r="AK75" s="29" t="str">
        <f t="shared" si="42"/>
        <v>NA</v>
      </c>
      <c r="AL75" s="30" t="str">
        <f>IFERROR(AK75/AK148, "NA")</f>
        <v>NA</v>
      </c>
    </row>
    <row r="76" ht="16.5" hidden="1" customHeight="1">
      <c r="A76" s="19" t="s">
        <v>135</v>
      </c>
      <c r="B76" s="21">
        <v>0.0</v>
      </c>
      <c r="C76" s="23">
        <f>IFERROR(B76/B148, "NA")</f>
        <v>0</v>
      </c>
      <c r="D76" s="21">
        <v>0.0</v>
      </c>
      <c r="E76" s="23">
        <f>IFERROR(D76/D148, "NA")</f>
        <v>0</v>
      </c>
      <c r="F76" s="21">
        <v>0.0</v>
      </c>
      <c r="G76" s="23">
        <f>IFERROR(F76/F148, "NA")</f>
        <v>0</v>
      </c>
      <c r="H76" s="21">
        <v>0.0</v>
      </c>
      <c r="I76" s="23">
        <f>IFERROR(H76/H148, "NA")</f>
        <v>0</v>
      </c>
      <c r="J76" s="21">
        <v>0.0</v>
      </c>
      <c r="K76" s="23">
        <f>IFERROR(J76/J148, "NA")</f>
        <v>0</v>
      </c>
      <c r="L76" s="21">
        <v>0.0</v>
      </c>
      <c r="M76" s="23">
        <f>IFERROR(L76/L148, "NA")</f>
        <v>0</v>
      </c>
      <c r="N76" s="21">
        <v>0.0</v>
      </c>
      <c r="O76" s="23">
        <f>IFERROR(N76/N148, "NA")</f>
        <v>0</v>
      </c>
      <c r="P76" s="21">
        <v>0.0</v>
      </c>
      <c r="Q76" s="23">
        <f>IFERROR(P76/P148, "NA")</f>
        <v>0</v>
      </c>
      <c r="R76" s="21">
        <v>0.0</v>
      </c>
      <c r="S76" s="23">
        <f>IFERROR(R76/R148, "NA")</f>
        <v>0</v>
      </c>
      <c r="T76" s="21">
        <v>0.0</v>
      </c>
      <c r="U76" s="23">
        <f>IFERROR(T76/T148, "NA")</f>
        <v>0</v>
      </c>
      <c r="V76" s="21">
        <v>0.0</v>
      </c>
      <c r="W76" s="23">
        <f>IFERROR(V76/V148, "NA")</f>
        <v>0</v>
      </c>
      <c r="X76" s="21">
        <v>0.0</v>
      </c>
      <c r="Y76" s="23">
        <f>IFERROR(X76/X148, "NA")</f>
        <v>0</v>
      </c>
      <c r="Z76" s="21">
        <v>0.0</v>
      </c>
      <c r="AA76" s="23">
        <f>IFERROR(Z76/Z148, "NA")</f>
        <v>0</v>
      </c>
      <c r="AB76" s="28">
        <f t="shared" si="37"/>
        <v>0</v>
      </c>
      <c r="AC76" s="23">
        <f>IFERROR(AB76/AB148, "NA")</f>
        <v>0</v>
      </c>
      <c r="AD76" s="29">
        <f t="shared" si="38"/>
        <v>0</v>
      </c>
      <c r="AE76" s="30">
        <f>IFERROR(AD76/AD148, "NA")</f>
        <v>0</v>
      </c>
      <c r="AF76" s="29" t="str">
        <f t="shared" si="39"/>
        <v>NA</v>
      </c>
      <c r="AG76" s="28">
        <f t="shared" si="40"/>
        <v>0</v>
      </c>
      <c r="AH76" s="23">
        <f>IFERROR(AG76/AG148, "NA")</f>
        <v>0</v>
      </c>
      <c r="AI76" s="29">
        <f t="shared" si="41"/>
        <v>0</v>
      </c>
      <c r="AJ76" s="30">
        <f>IFERROR(AI76/AI148, "NA")</f>
        <v>0</v>
      </c>
      <c r="AK76" s="29" t="str">
        <f t="shared" si="42"/>
        <v>NA</v>
      </c>
      <c r="AL76" s="30" t="str">
        <f>IFERROR(AK76/AK148, "NA")</f>
        <v>NA</v>
      </c>
    </row>
    <row r="77" ht="16.5" hidden="1" customHeight="1">
      <c r="A77" s="19" t="s">
        <v>136</v>
      </c>
      <c r="B77" s="21">
        <v>0.0</v>
      </c>
      <c r="C77" s="23">
        <f>IFERROR(B77/B148, "NA")</f>
        <v>0</v>
      </c>
      <c r="D77" s="21">
        <v>0.0</v>
      </c>
      <c r="E77" s="23">
        <f>IFERROR(D77/D148, "NA")</f>
        <v>0</v>
      </c>
      <c r="F77" s="21">
        <v>0.0</v>
      </c>
      <c r="G77" s="23">
        <f>IFERROR(F77/F148, "NA")</f>
        <v>0</v>
      </c>
      <c r="H77" s="21">
        <v>0.0</v>
      </c>
      <c r="I77" s="23">
        <f>IFERROR(H77/H148, "NA")</f>
        <v>0</v>
      </c>
      <c r="J77" s="21">
        <v>0.0</v>
      </c>
      <c r="K77" s="23">
        <f>IFERROR(J77/J148, "NA")</f>
        <v>0</v>
      </c>
      <c r="L77" s="21">
        <v>0.0</v>
      </c>
      <c r="M77" s="23">
        <f>IFERROR(L77/L148, "NA")</f>
        <v>0</v>
      </c>
      <c r="N77" s="21">
        <v>0.0</v>
      </c>
      <c r="O77" s="23">
        <f>IFERROR(N77/N148, "NA")</f>
        <v>0</v>
      </c>
      <c r="P77" s="21">
        <v>0.0</v>
      </c>
      <c r="Q77" s="23">
        <f>IFERROR(P77/P148, "NA")</f>
        <v>0</v>
      </c>
      <c r="R77" s="21">
        <v>0.0</v>
      </c>
      <c r="S77" s="23">
        <f>IFERROR(R77/R148, "NA")</f>
        <v>0</v>
      </c>
      <c r="T77" s="21">
        <v>0.0</v>
      </c>
      <c r="U77" s="23">
        <f>IFERROR(T77/T148, "NA")</f>
        <v>0</v>
      </c>
      <c r="V77" s="21">
        <v>0.0</v>
      </c>
      <c r="W77" s="23">
        <f>IFERROR(V77/V148, "NA")</f>
        <v>0</v>
      </c>
      <c r="X77" s="21">
        <v>0.0</v>
      </c>
      <c r="Y77" s="23">
        <f>IFERROR(X77/X148, "NA")</f>
        <v>0</v>
      </c>
      <c r="Z77" s="21">
        <v>0.0</v>
      </c>
      <c r="AA77" s="23">
        <f>IFERROR(Z77/Z148, "NA")</f>
        <v>0</v>
      </c>
      <c r="AB77" s="28">
        <f t="shared" si="37"/>
        <v>0</v>
      </c>
      <c r="AC77" s="23">
        <f>IFERROR(AB77/AB148, "NA")</f>
        <v>0</v>
      </c>
      <c r="AD77" s="29">
        <f t="shared" si="38"/>
        <v>0</v>
      </c>
      <c r="AE77" s="30">
        <f>IFERROR(AD77/AD148, "NA")</f>
        <v>0</v>
      </c>
      <c r="AF77" s="29" t="str">
        <f t="shared" si="39"/>
        <v>NA</v>
      </c>
      <c r="AG77" s="28">
        <f t="shared" si="40"/>
        <v>0</v>
      </c>
      <c r="AH77" s="23">
        <f>IFERROR(AG77/AG148, "NA")</f>
        <v>0</v>
      </c>
      <c r="AI77" s="29">
        <f t="shared" si="41"/>
        <v>0</v>
      </c>
      <c r="AJ77" s="30">
        <f>IFERROR(AI77/AI148, "NA")</f>
        <v>0</v>
      </c>
      <c r="AK77" s="29" t="str">
        <f t="shared" si="42"/>
        <v>NA</v>
      </c>
      <c r="AL77" s="30" t="str">
        <f>IFERROR(AK77/AK148, "NA")</f>
        <v>NA</v>
      </c>
    </row>
    <row r="78" ht="16.5" hidden="1" customHeight="1">
      <c r="A78" s="19" t="s">
        <v>137</v>
      </c>
      <c r="B78" s="21">
        <v>0.0</v>
      </c>
      <c r="C78" s="23">
        <f>IFERROR(B78/B148, "NA")</f>
        <v>0</v>
      </c>
      <c r="D78" s="21">
        <v>0.0</v>
      </c>
      <c r="E78" s="23">
        <f>IFERROR(D78/D148, "NA")</f>
        <v>0</v>
      </c>
      <c r="F78" s="21">
        <v>0.0</v>
      </c>
      <c r="G78" s="23">
        <f>IFERROR(F78/F148, "NA")</f>
        <v>0</v>
      </c>
      <c r="H78" s="21">
        <v>0.0</v>
      </c>
      <c r="I78" s="23">
        <f>IFERROR(H78/H148, "NA")</f>
        <v>0</v>
      </c>
      <c r="J78" s="21">
        <v>0.0</v>
      </c>
      <c r="K78" s="23">
        <f>IFERROR(J78/J148, "NA")</f>
        <v>0</v>
      </c>
      <c r="L78" s="21">
        <v>0.0</v>
      </c>
      <c r="M78" s="23">
        <f>IFERROR(L78/L148, "NA")</f>
        <v>0</v>
      </c>
      <c r="N78" s="21">
        <v>0.0</v>
      </c>
      <c r="O78" s="23">
        <f>IFERROR(N78/N148, "NA")</f>
        <v>0</v>
      </c>
      <c r="P78" s="21">
        <v>0.0</v>
      </c>
      <c r="Q78" s="23">
        <f>IFERROR(P78/P148, "NA")</f>
        <v>0</v>
      </c>
      <c r="R78" s="21">
        <v>0.0</v>
      </c>
      <c r="S78" s="23">
        <f>IFERROR(R78/R148, "NA")</f>
        <v>0</v>
      </c>
      <c r="T78" s="21">
        <v>0.0</v>
      </c>
      <c r="U78" s="23">
        <f>IFERROR(T78/T148, "NA")</f>
        <v>0</v>
      </c>
      <c r="V78" s="21">
        <v>0.0</v>
      </c>
      <c r="W78" s="23">
        <f>IFERROR(V78/V148, "NA")</f>
        <v>0</v>
      </c>
      <c r="X78" s="21">
        <v>0.0</v>
      </c>
      <c r="Y78" s="23">
        <f>IFERROR(X78/X148, "NA")</f>
        <v>0</v>
      </c>
      <c r="Z78" s="21">
        <v>0.0</v>
      </c>
      <c r="AA78" s="23">
        <f>IFERROR(Z78/Z148, "NA")</f>
        <v>0</v>
      </c>
      <c r="AB78" s="28">
        <f t="shared" si="37"/>
        <v>0</v>
      </c>
      <c r="AC78" s="23">
        <f>IFERROR(AB78/AB148, "NA")</f>
        <v>0</v>
      </c>
      <c r="AD78" s="29">
        <f t="shared" si="38"/>
        <v>0</v>
      </c>
      <c r="AE78" s="30">
        <f>IFERROR(AD78/AD148, "NA")</f>
        <v>0</v>
      </c>
      <c r="AF78" s="29" t="str">
        <f t="shared" si="39"/>
        <v>NA</v>
      </c>
      <c r="AG78" s="28">
        <f t="shared" si="40"/>
        <v>0</v>
      </c>
      <c r="AH78" s="23">
        <f>IFERROR(AG78/AG148, "NA")</f>
        <v>0</v>
      </c>
      <c r="AI78" s="29">
        <f t="shared" si="41"/>
        <v>0</v>
      </c>
      <c r="AJ78" s="30">
        <f>IFERROR(AI78/AI148, "NA")</f>
        <v>0</v>
      </c>
      <c r="AK78" s="29" t="str">
        <f t="shared" si="42"/>
        <v>NA</v>
      </c>
      <c r="AL78" s="30" t="str">
        <f>IFERROR(AK78/AK148, "NA")</f>
        <v>NA</v>
      </c>
    </row>
    <row r="79" ht="16.5" hidden="1" customHeight="1">
      <c r="A79" s="19" t="s">
        <v>139</v>
      </c>
      <c r="B79" s="21">
        <v>0.0</v>
      </c>
      <c r="C79" s="23">
        <f>IFERROR(B79/B148, "NA")</f>
        <v>0</v>
      </c>
      <c r="D79" s="21">
        <v>0.0</v>
      </c>
      <c r="E79" s="23">
        <f>IFERROR(D79/D148, "NA")</f>
        <v>0</v>
      </c>
      <c r="F79" s="21">
        <v>0.0</v>
      </c>
      <c r="G79" s="23">
        <f>IFERROR(F79/F148, "NA")</f>
        <v>0</v>
      </c>
      <c r="H79" s="21">
        <v>0.0</v>
      </c>
      <c r="I79" s="23">
        <f>IFERROR(H79/H148, "NA")</f>
        <v>0</v>
      </c>
      <c r="J79" s="21">
        <v>0.0</v>
      </c>
      <c r="K79" s="23">
        <f>IFERROR(J79/J148, "NA")</f>
        <v>0</v>
      </c>
      <c r="L79" s="21">
        <v>0.0</v>
      </c>
      <c r="M79" s="23">
        <f>IFERROR(L79/L148, "NA")</f>
        <v>0</v>
      </c>
      <c r="N79" s="21">
        <v>0.0</v>
      </c>
      <c r="O79" s="23">
        <f>IFERROR(N79/N148, "NA")</f>
        <v>0</v>
      </c>
      <c r="P79" s="21">
        <v>0.0</v>
      </c>
      <c r="Q79" s="23">
        <f>IFERROR(P79/P148, "NA")</f>
        <v>0</v>
      </c>
      <c r="R79" s="21">
        <v>0.0</v>
      </c>
      <c r="S79" s="23">
        <f>IFERROR(R79/R148, "NA")</f>
        <v>0</v>
      </c>
      <c r="T79" s="21">
        <v>0.0</v>
      </c>
      <c r="U79" s="23">
        <f>IFERROR(T79/T148, "NA")</f>
        <v>0</v>
      </c>
      <c r="V79" s="21">
        <v>0.0</v>
      </c>
      <c r="W79" s="23">
        <f>IFERROR(V79/V148, "NA")</f>
        <v>0</v>
      </c>
      <c r="X79" s="21">
        <v>0.0</v>
      </c>
      <c r="Y79" s="23">
        <f>IFERROR(X79/X148, "NA")</f>
        <v>0</v>
      </c>
      <c r="Z79" s="21">
        <v>0.0</v>
      </c>
      <c r="AA79" s="23">
        <f>IFERROR(Z79/Z148, "NA")</f>
        <v>0</v>
      </c>
      <c r="AB79" s="28">
        <f t="shared" si="37"/>
        <v>0</v>
      </c>
      <c r="AC79" s="23">
        <f>IFERROR(AB79/AB148, "NA")</f>
        <v>0</v>
      </c>
      <c r="AD79" s="29">
        <f t="shared" si="38"/>
        <v>0</v>
      </c>
      <c r="AE79" s="30">
        <f>IFERROR(AD79/AD148, "NA")</f>
        <v>0</v>
      </c>
      <c r="AF79" s="29" t="str">
        <f t="shared" si="39"/>
        <v>NA</v>
      </c>
      <c r="AG79" s="28">
        <f t="shared" si="40"/>
        <v>0</v>
      </c>
      <c r="AH79" s="23">
        <f>IFERROR(AG79/AG148, "NA")</f>
        <v>0</v>
      </c>
      <c r="AI79" s="29">
        <f t="shared" si="41"/>
        <v>0</v>
      </c>
      <c r="AJ79" s="30">
        <f>IFERROR(AI79/AI148, "NA")</f>
        <v>0</v>
      </c>
      <c r="AK79" s="29" t="str">
        <f t="shared" si="42"/>
        <v>NA</v>
      </c>
      <c r="AL79" s="30" t="str">
        <f>IFERROR(AK79/AK148, "NA")</f>
        <v>NA</v>
      </c>
    </row>
    <row r="80" ht="16.5" hidden="1" customHeight="1">
      <c r="A80" s="19" t="s">
        <v>141</v>
      </c>
      <c r="B80" s="21">
        <v>0.0</v>
      </c>
      <c r="C80" s="23">
        <f>IFERROR(B80/B148, "NA")</f>
        <v>0</v>
      </c>
      <c r="D80" s="21">
        <v>0.0</v>
      </c>
      <c r="E80" s="23">
        <f>IFERROR(D80/D148, "NA")</f>
        <v>0</v>
      </c>
      <c r="F80" s="21">
        <v>0.0</v>
      </c>
      <c r="G80" s="23">
        <f>IFERROR(F80/F148, "NA")</f>
        <v>0</v>
      </c>
      <c r="H80" s="21">
        <v>0.0</v>
      </c>
      <c r="I80" s="23">
        <f>IFERROR(H80/H148, "NA")</f>
        <v>0</v>
      </c>
      <c r="J80" s="21">
        <v>0.0</v>
      </c>
      <c r="K80" s="23">
        <f>IFERROR(J80/J148, "NA")</f>
        <v>0</v>
      </c>
      <c r="L80" s="21">
        <v>0.0</v>
      </c>
      <c r="M80" s="23">
        <f>IFERROR(L80/L148, "NA")</f>
        <v>0</v>
      </c>
      <c r="N80" s="21">
        <v>0.0</v>
      </c>
      <c r="O80" s="23">
        <f>IFERROR(N80/N148, "NA")</f>
        <v>0</v>
      </c>
      <c r="P80" s="21">
        <v>0.0</v>
      </c>
      <c r="Q80" s="23">
        <f>IFERROR(P80/P148, "NA")</f>
        <v>0</v>
      </c>
      <c r="R80" s="21">
        <v>0.0</v>
      </c>
      <c r="S80" s="23">
        <f>IFERROR(R80/R148, "NA")</f>
        <v>0</v>
      </c>
      <c r="T80" s="21">
        <v>0.0</v>
      </c>
      <c r="U80" s="23">
        <f>IFERROR(T80/T148, "NA")</f>
        <v>0</v>
      </c>
      <c r="V80" s="21">
        <v>0.0</v>
      </c>
      <c r="W80" s="23">
        <f>IFERROR(V80/V148, "NA")</f>
        <v>0</v>
      </c>
      <c r="X80" s="21">
        <v>0.0</v>
      </c>
      <c r="Y80" s="23">
        <f>IFERROR(X80/X148, "NA")</f>
        <v>0</v>
      </c>
      <c r="Z80" s="21">
        <v>0.0</v>
      </c>
      <c r="AA80" s="23">
        <f>IFERROR(Z80/Z148, "NA")</f>
        <v>0</v>
      </c>
      <c r="AB80" s="28">
        <f t="shared" si="37"/>
        <v>0</v>
      </c>
      <c r="AC80" s="23">
        <f>IFERROR(AB80/AB148, "NA")</f>
        <v>0</v>
      </c>
      <c r="AD80" s="29">
        <f t="shared" si="38"/>
        <v>0</v>
      </c>
      <c r="AE80" s="30">
        <f>IFERROR(AD80/AD148, "NA")</f>
        <v>0</v>
      </c>
      <c r="AF80" s="29" t="str">
        <f t="shared" si="39"/>
        <v>NA</v>
      </c>
      <c r="AG80" s="28">
        <f t="shared" si="40"/>
        <v>0</v>
      </c>
      <c r="AH80" s="23">
        <f>IFERROR(AG80/AG148, "NA")</f>
        <v>0</v>
      </c>
      <c r="AI80" s="29">
        <f t="shared" si="41"/>
        <v>0</v>
      </c>
      <c r="AJ80" s="30">
        <f>IFERROR(AI80/AI148, "NA")</f>
        <v>0</v>
      </c>
      <c r="AK80" s="29" t="str">
        <f t="shared" si="42"/>
        <v>NA</v>
      </c>
      <c r="AL80" s="30" t="str">
        <f>IFERROR(AK80/AK148, "NA")</f>
        <v>NA</v>
      </c>
    </row>
    <row r="81" ht="16.5" customHeight="1">
      <c r="A81" s="65" t="s">
        <v>142</v>
      </c>
      <c r="B81" s="66">
        <f>IFERROR(B74+B75+B76+B77+B78+B79+B80, "NA")</f>
        <v>3753.42</v>
      </c>
      <c r="C81" s="67">
        <f>IFERROR(B81/B148, "NA")</f>
        <v>0.01842672884</v>
      </c>
      <c r="D81" s="66">
        <f>IFERROR(D74+D75+D76+D77+D78+D79+D80, "NA")</f>
        <v>3471.16</v>
      </c>
      <c r="E81" s="67">
        <f>IFERROR(D81/D148, "NA")</f>
        <v>0.01870194849</v>
      </c>
      <c r="F81" s="66">
        <f>IFERROR(F74+F75+F76+F77+F78+F79+F80, "NA")</f>
        <v>3504.27</v>
      </c>
      <c r="G81" s="67">
        <f>IFERROR(F81/F148, "NA")</f>
        <v>0.02480742982</v>
      </c>
      <c r="H81" s="66">
        <f>IFERROR(H74+H75+H76+H77+H78+H79+H80, "NA")</f>
        <v>2200.35</v>
      </c>
      <c r="I81" s="67">
        <f>IFERROR(H81/H148, "NA")</f>
        <v>0.02946989941</v>
      </c>
      <c r="J81" s="66">
        <f>IFERROR(J74+J75+J76+J77+J78+J79+J80, "NA")</f>
        <v>3111.96</v>
      </c>
      <c r="K81" s="67">
        <f>IFERROR(J81/J148, "NA")</f>
        <v>0.02185392793</v>
      </c>
      <c r="L81" s="66">
        <f>IFERROR(L74+L75+L76+L77+L78+L79+L80, "NA")</f>
        <v>3148.4</v>
      </c>
      <c r="M81" s="67">
        <f>IFERROR(L81/L148, "NA")</f>
        <v>0.02329725751</v>
      </c>
      <c r="N81" s="66">
        <f>IFERROR(N74+N75+N76+N77+N78+N79+N80, "NA")</f>
        <v>3000.89</v>
      </c>
      <c r="O81" s="67">
        <f>IFERROR(N81/N148, "NA")</f>
        <v>0.02467889735</v>
      </c>
      <c r="P81" s="66">
        <f>IFERROR(P74+P75+P76+P77+P78+P79+P80, "NA")</f>
        <v>2326.41</v>
      </c>
      <c r="Q81" s="67">
        <f>IFERROR(P81/P148, "NA")</f>
        <v>0.04109348038</v>
      </c>
      <c r="R81" s="66">
        <f>IFERROR(R74+R75+R76+R77+R78+R79+R80, "NA")</f>
        <v>2626.38</v>
      </c>
      <c r="S81" s="67">
        <f>IFERROR(R81/R148, "NA")</f>
        <v>0.037796906</v>
      </c>
      <c r="T81" s="66">
        <f>IFERROR(T74+T75+T76+T77+T78+T79+T80, "NA")</f>
        <v>3409.67</v>
      </c>
      <c r="U81" s="67">
        <f>IFERROR(T81/T148, "NA")</f>
        <v>0.03085501643</v>
      </c>
      <c r="V81" s="66">
        <f>IFERROR(V74+V75+V76+V77+V78+V79+V80, "NA")</f>
        <v>3335.01</v>
      </c>
      <c r="W81" s="67">
        <f>IFERROR(V81/V148, "NA")</f>
        <v>0.02469431345</v>
      </c>
      <c r="X81" s="66">
        <f>IFERROR(X74+X75+X76+X77+X78+X79+X80, "NA")</f>
        <v>3072.97</v>
      </c>
      <c r="Y81" s="67">
        <f>IFERROR(X81/X148, "NA")</f>
        <v>0.02650418314</v>
      </c>
      <c r="Z81" s="66">
        <f>IFERROR(Z74+Z75+Z76+Z77+Z78+Z79+Z80, "NA")</f>
        <v>12444.03</v>
      </c>
      <c r="AA81" s="67">
        <f>IFERROR(Z81/Z148, "NA")</f>
        <v>0.02887330416</v>
      </c>
      <c r="AB81" s="66">
        <f t="shared" si="37"/>
        <v>3111.0075</v>
      </c>
      <c r="AC81" s="67">
        <f>IFERROR(AB81/AB148, "NA")</f>
        <v>0.02887330416</v>
      </c>
      <c r="AD81" s="75">
        <f t="shared" si="38"/>
        <v>-38.0375</v>
      </c>
      <c r="AE81" s="76">
        <f>IFERROR(AD81/AD148, "NA")</f>
        <v>-0.004640993316</v>
      </c>
      <c r="AF81" s="75">
        <f t="shared" si="39"/>
        <v>-0.01222674648</v>
      </c>
      <c r="AG81" s="66">
        <f t="shared" si="40"/>
        <v>3003.96125</v>
      </c>
      <c r="AH81" s="67">
        <f>IFERROR(AG81/AG148, "NA")</f>
        <v>0.02710129058</v>
      </c>
      <c r="AI81" s="75">
        <f t="shared" si="41"/>
        <v>69.00875</v>
      </c>
      <c r="AJ81" s="76">
        <f>IFERROR(AI81/AI148, "NA")</f>
        <v>0.01352892568</v>
      </c>
      <c r="AK81" s="75">
        <f t="shared" si="42"/>
        <v>0.02297258328</v>
      </c>
      <c r="AL81" s="76">
        <f>IFERROR(AK81/AK148, "NA")</f>
        <v>0.4991985768</v>
      </c>
    </row>
    <row r="82" ht="16.5" customHeight="1">
      <c r="A82" s="19" t="s">
        <v>145</v>
      </c>
      <c r="B82" s="21">
        <v>0.0</v>
      </c>
      <c r="C82" s="23">
        <f>IFERROR(B82/B148, "NA")</f>
        <v>0</v>
      </c>
      <c r="D82" s="21">
        <v>0.0</v>
      </c>
      <c r="E82" s="23">
        <f>IFERROR(D82/D148, "NA")</f>
        <v>0</v>
      </c>
      <c r="F82" s="21">
        <v>0.0</v>
      </c>
      <c r="G82" s="23">
        <f>IFERROR(F82/F148, "NA")</f>
        <v>0</v>
      </c>
      <c r="H82" s="21">
        <v>1286.08</v>
      </c>
      <c r="I82" s="23">
        <f>IFERROR(H82/H148, "NA")</f>
        <v>0.01722482707</v>
      </c>
      <c r="J82" s="21">
        <v>0.0</v>
      </c>
      <c r="K82" s="23">
        <f>IFERROR(J82/J148, "NA")</f>
        <v>0</v>
      </c>
      <c r="L82" s="21">
        <v>0.0</v>
      </c>
      <c r="M82" s="23">
        <f>IFERROR(L82/L148, "NA")</f>
        <v>0</v>
      </c>
      <c r="N82" s="21">
        <v>0.0</v>
      </c>
      <c r="O82" s="23">
        <f>IFERROR(N82/N148, "NA")</f>
        <v>0</v>
      </c>
      <c r="P82" s="21">
        <v>0.0</v>
      </c>
      <c r="Q82" s="23">
        <f>IFERROR(P82/P148, "NA")</f>
        <v>0</v>
      </c>
      <c r="R82" s="21">
        <v>1286.8</v>
      </c>
      <c r="S82" s="23">
        <f>IFERROR(R82/R148, "NA")</f>
        <v>0.01851866776</v>
      </c>
      <c r="T82" s="21">
        <v>0.0</v>
      </c>
      <c r="U82" s="23">
        <f>IFERROR(T82/T148, "NA")</f>
        <v>0</v>
      </c>
      <c r="V82" s="21">
        <v>0.0</v>
      </c>
      <c r="W82" s="23">
        <f>IFERROR(V82/V148, "NA")</f>
        <v>0</v>
      </c>
      <c r="X82" s="21">
        <v>0.0</v>
      </c>
      <c r="Y82" s="23">
        <f>IFERROR(X82/X148, "NA")</f>
        <v>0</v>
      </c>
      <c r="Z82" s="21">
        <v>1286.8</v>
      </c>
      <c r="AA82" s="23">
        <f>IFERROR(Z82/Z148, "NA")</f>
        <v>0.002985702203</v>
      </c>
      <c r="AB82" s="28">
        <f t="shared" si="37"/>
        <v>321.7</v>
      </c>
      <c r="AC82" s="23">
        <f>IFERROR(AB82/AB148, "NA")</f>
        <v>0.002985702203</v>
      </c>
      <c r="AD82" s="29">
        <f t="shared" si="38"/>
        <v>-321.7</v>
      </c>
      <c r="AE82" s="30">
        <f>IFERROR(AD82/AD148, "NA")</f>
        <v>-0.03925093788</v>
      </c>
      <c r="AF82" s="29">
        <f t="shared" si="39"/>
        <v>-1</v>
      </c>
      <c r="AG82" s="28">
        <f t="shared" si="40"/>
        <v>160.85</v>
      </c>
      <c r="AH82" s="23">
        <f>IFERROR(AG82/AG148, "NA")</f>
        <v>0.001451164721</v>
      </c>
      <c r="AI82" s="29">
        <f t="shared" si="41"/>
        <v>-160.85</v>
      </c>
      <c r="AJ82" s="30">
        <f>IFERROR(AI82/AI148, "NA")</f>
        <v>-0.03153408367</v>
      </c>
      <c r="AK82" s="29">
        <f t="shared" si="42"/>
        <v>-1</v>
      </c>
      <c r="AL82" s="30">
        <f>IFERROR(AK82/AK148, "NA")</f>
        <v>-21.73018901</v>
      </c>
    </row>
    <row r="83" ht="16.5" customHeight="1">
      <c r="A83" s="19" t="s">
        <v>147</v>
      </c>
      <c r="B83" s="21">
        <v>-330.77</v>
      </c>
      <c r="C83" s="23">
        <f>IFERROR(B83/B148, "NA")</f>
        <v>-0.001623854804</v>
      </c>
      <c r="D83" s="21">
        <v>1000.88</v>
      </c>
      <c r="E83" s="23">
        <f>IFERROR(D83/D148, "NA")</f>
        <v>0.005392550675</v>
      </c>
      <c r="F83" s="21">
        <v>-330.77</v>
      </c>
      <c r="G83" s="23">
        <f>IFERROR(F83/F148, "NA")</f>
        <v>-0.002341587138</v>
      </c>
      <c r="H83" s="21">
        <v>-330.77</v>
      </c>
      <c r="I83" s="23">
        <f>IFERROR(H83/H148, "NA")</f>
        <v>-0.004430094589</v>
      </c>
      <c r="J83" s="21">
        <v>-346.87</v>
      </c>
      <c r="K83" s="23">
        <f>IFERROR(J83/J148, "NA")</f>
        <v>-0.002435915623</v>
      </c>
      <c r="L83" s="21">
        <v>-337.93</v>
      </c>
      <c r="M83" s="23">
        <f>IFERROR(L83/L148, "NA")</f>
        <v>-0.002500585132</v>
      </c>
      <c r="N83" s="21">
        <v>3513.42</v>
      </c>
      <c r="O83" s="23">
        <f>IFERROR(N83/N148, "NA")</f>
        <v>0.028893872</v>
      </c>
      <c r="P83" s="21">
        <v>-308.46</v>
      </c>
      <c r="Q83" s="23">
        <f>IFERROR(P83/P148, "NA")</f>
        <v>-0.005448607493</v>
      </c>
      <c r="R83" s="21">
        <v>-308.46</v>
      </c>
      <c r="S83" s="23">
        <f>IFERROR(R83/R148, "NA")</f>
        <v>-0.004439126716</v>
      </c>
      <c r="T83" s="21">
        <v>-308.46</v>
      </c>
      <c r="U83" s="23">
        <f>IFERROR(T83/T148, "NA")</f>
        <v>-0.0027913371</v>
      </c>
      <c r="V83" s="21">
        <v>2769.95</v>
      </c>
      <c r="W83" s="23">
        <f>IFERROR(V83/V148, "NA")</f>
        <v>0.02051028739</v>
      </c>
      <c r="X83" s="21">
        <v>-308.46</v>
      </c>
      <c r="Y83" s="23">
        <f>IFERROR(X83/X148, "NA")</f>
        <v>-0.00266044912</v>
      </c>
      <c r="Z83" s="21">
        <v>1844.57</v>
      </c>
      <c r="AA83" s="23">
        <f>IFERROR(Z83/Z148, "NA")</f>
        <v>0.004279869998</v>
      </c>
      <c r="AB83" s="28">
        <f t="shared" si="37"/>
        <v>461.1425</v>
      </c>
      <c r="AC83" s="23">
        <f>IFERROR(AB83/AB148, "NA")</f>
        <v>0.004279869998</v>
      </c>
      <c r="AD83" s="29">
        <f t="shared" si="38"/>
        <v>-769.6025</v>
      </c>
      <c r="AE83" s="30">
        <f>IFERROR(AD83/AD148, "NA")</f>
        <v>-0.09389996867</v>
      </c>
      <c r="AF83" s="29">
        <f t="shared" si="39"/>
        <v>-1.668903864</v>
      </c>
      <c r="AG83" s="28">
        <f t="shared" si="40"/>
        <v>545.59125</v>
      </c>
      <c r="AH83" s="23">
        <f>IFERROR(AG83/AG148, "NA")</f>
        <v>0.004922242922</v>
      </c>
      <c r="AI83" s="29">
        <f t="shared" si="41"/>
        <v>-854.05125</v>
      </c>
      <c r="AJ83" s="30">
        <f>IFERROR(AI83/AI148, "NA")</f>
        <v>-0.1674337804</v>
      </c>
      <c r="AK83" s="29">
        <f t="shared" si="42"/>
        <v>-1.565368305</v>
      </c>
      <c r="AL83" s="30">
        <f>IFERROR(AK83/AK148, "NA")</f>
        <v>-34.01574913</v>
      </c>
    </row>
    <row r="84" ht="16.5" customHeight="1">
      <c r="A84" s="65" t="s">
        <v>56</v>
      </c>
      <c r="B84" s="66">
        <f>IFERROR(B63+B65+B66+B67+B68+B69+B71+B72+B74+B75+B76+B77+B78+B79+B80+B82+B83, "NA")</f>
        <v>44046.94</v>
      </c>
      <c r="C84" s="67">
        <f>IFERROR(B84/B148, "NA")</f>
        <v>0.2162403939</v>
      </c>
      <c r="D84" s="66">
        <f>IFERROR(D63+D65+D66+D67+D68+D69+D71+D72+D74+D75+D76+D77+D78+D79+D80+D82+D83, "NA")</f>
        <v>43329.13</v>
      </c>
      <c r="E84" s="67">
        <f>IFERROR(D84/D148, "NA")</f>
        <v>0.233449094</v>
      </c>
      <c r="F84" s="66">
        <f>IFERROR(F63+F65+F66+F67+F68+F69+F71+F72+F74+F75+F76+F77+F78+F79+F80+F82+F83, "NA")</f>
        <v>35570.28</v>
      </c>
      <c r="G84" s="67">
        <f>IFERROR(F84/F148, "NA")</f>
        <v>0.2518091428</v>
      </c>
      <c r="H84" s="66">
        <f>IFERROR(H63+H65+H66+H67+H68+H69+H71+H72+H74+H75+H76+H77+H78+H79+H80+H82+H83, "NA")</f>
        <v>27896.04</v>
      </c>
      <c r="I84" s="67">
        <f>IFERROR(H84/H148, "NA")</f>
        <v>0.3736194209</v>
      </c>
      <c r="J84" s="66">
        <f>IFERROR(J63+J65+J66+J67+J68+J69+J71+J72+J74+J75+J76+J77+J78+J79+J80+J82+J83, "NA")</f>
        <v>37805.79</v>
      </c>
      <c r="K84" s="67">
        <f>IFERROR(J84/J148, "NA")</f>
        <v>0.2654934543</v>
      </c>
      <c r="L84" s="66">
        <f>IFERROR(L63+L65+L66+L67+L68+L69+L71+L72+L74+L75+L76+L77+L78+L79+L80+L82+L83, "NA")</f>
        <v>37182.89</v>
      </c>
      <c r="M84" s="67">
        <f>IFERROR(L84/L148, "NA")</f>
        <v>0.2751427275</v>
      </c>
      <c r="N84" s="66">
        <f>IFERROR(N63+N65+N66+N67+N68+N69+N71+N72+N74+N75+N76+N77+N78+N79+N80+N82+N83, "NA")</f>
        <v>39645.87</v>
      </c>
      <c r="O84" s="67">
        <f>IFERROR(N84/N148, "NA")</f>
        <v>0.3260420596</v>
      </c>
      <c r="P84" s="66">
        <f>IFERROR(P63+P65+P66+P67+P68+P69+P71+P72+P74+P75+P76+P77+P78+P79+P80+P82+P83, "NA")</f>
        <v>27246.1</v>
      </c>
      <c r="Q84" s="67">
        <f>IFERROR(P84/P148, "NA")</f>
        <v>0.4812724652</v>
      </c>
      <c r="R84" s="66">
        <f>IFERROR(R63+R65+R66+R67+R68+R69+R71+R72+R74+R75+R76+R77+R78+R79+R80+R82+R83, "NA")</f>
        <v>29168.25</v>
      </c>
      <c r="S84" s="67">
        <f>IFERROR(R84/R148, "NA")</f>
        <v>0.4197677424</v>
      </c>
      <c r="T84" s="66">
        <f>IFERROR(T63+T65+T66+T67+T68+T69+T71+T72+T74+T75+T76+T77+T78+T79+T80+T82+T83, "NA")</f>
        <v>35197.15</v>
      </c>
      <c r="U84" s="67">
        <f>IFERROR(T84/T148, "NA")</f>
        <v>0.3185084309</v>
      </c>
      <c r="V84" s="66">
        <f>IFERROR(V63+V65+V66+V67+V68+V69+V71+V72+V74+V75+V76+V77+V78+V79+V80+V82+V83, "NA")</f>
        <v>36822.58</v>
      </c>
      <c r="W84" s="67">
        <f>IFERROR(V84/V148, "NA")</f>
        <v>0.2726553542</v>
      </c>
      <c r="X84" s="66">
        <f>IFERROR(X63+X65+X66+X67+X68+X69+X71+X72+X74+X75+X76+X77+X78+X79+X80+X82+X83, "NA")</f>
        <v>34378.65</v>
      </c>
      <c r="Y84" s="67">
        <f>IFERROR(X84/X148, "NA")</f>
        <v>0.2965138077</v>
      </c>
      <c r="Z84" s="66">
        <f>IFERROR(Z63+Z65+Z66+Z67+Z68+Z69+Z71+Z72+Z74+Z75+Z76+Z77+Z78+Z79+Z80+Z82+Z83, "NA")</f>
        <v>135566.63</v>
      </c>
      <c r="AA84" s="67">
        <f>IFERROR(Z84/Z148, "NA")</f>
        <v>0.3145489477</v>
      </c>
      <c r="AB84" s="66">
        <f t="shared" si="37"/>
        <v>33891.6575</v>
      </c>
      <c r="AC84" s="67">
        <f>IFERROR(AB84/AB148, "NA")</f>
        <v>0.3145489477</v>
      </c>
      <c r="AD84" s="75">
        <f t="shared" si="38"/>
        <v>486.9925</v>
      </c>
      <c r="AE84" s="76">
        <f>IFERROR(AD84/AD148, "NA")</f>
        <v>0.05941844068</v>
      </c>
      <c r="AF84" s="75">
        <f t="shared" si="39"/>
        <v>0.01436909658</v>
      </c>
      <c r="AG84" s="66">
        <f t="shared" si="40"/>
        <v>34680.91</v>
      </c>
      <c r="AH84" s="67">
        <f>IFERROR(AG84/AG148, "NA")</f>
        <v>0.3128859999</v>
      </c>
      <c r="AI84" s="75">
        <f t="shared" si="41"/>
        <v>-302.26</v>
      </c>
      <c r="AJ84" s="76">
        <f>IFERROR(AI84/AI148, "NA")</f>
        <v>-0.05925702288</v>
      </c>
      <c r="AK84" s="75">
        <f t="shared" si="42"/>
        <v>-0.008715457582</v>
      </c>
      <c r="AL84" s="76">
        <f>IFERROR(AK84/AK148, "NA")</f>
        <v>-0.1893885405</v>
      </c>
    </row>
    <row r="85" ht="16.5" customHeight="1">
      <c r="A85" s="65" t="s">
        <v>56</v>
      </c>
      <c r="B85" s="118">
        <f>IFERROR(B63+B65+B66+B67+B68+B69+B71+B72+B74+B75+B76+B77+B78+B79+B80+B82+B83, "NA")</f>
        <v>44046.94</v>
      </c>
      <c r="C85" s="92">
        <f>IFERROR(B85/B148, "NA")</f>
        <v>0.2162403939</v>
      </c>
      <c r="D85" s="118">
        <f>IFERROR(D63+D65+D66+D67+D68+D69+D71+D72+D74+D75+D76+D77+D78+D79+D80+D82+D83, "NA")</f>
        <v>43329.13</v>
      </c>
      <c r="E85" s="92">
        <f>IFERROR(D85/D148, "NA")</f>
        <v>0.233449094</v>
      </c>
      <c r="F85" s="118">
        <f>IFERROR(F63+F65+F66+F67+F68+F69+F71+F72+F74+F75+F76+F77+F78+F79+F80+F82+F83, "NA")</f>
        <v>35570.28</v>
      </c>
      <c r="G85" s="92">
        <f>IFERROR(F85/F148, "NA")</f>
        <v>0.2518091428</v>
      </c>
      <c r="H85" s="118">
        <f>IFERROR(H63+H65+H66+H67+H68+H69+H71+H72+H74+H75+H76+H77+H78+H79+H80+H82+H83, "NA")</f>
        <v>27896.04</v>
      </c>
      <c r="I85" s="92">
        <f>IFERROR(H85/H148, "NA")</f>
        <v>0.3736194209</v>
      </c>
      <c r="J85" s="118">
        <f>IFERROR(J63+J65+J66+J67+J68+J69+J71+J72+J74+J75+J76+J77+J78+J79+J80+J82+J83, "NA")</f>
        <v>37805.79</v>
      </c>
      <c r="K85" s="92">
        <f>IFERROR(J85/J148, "NA")</f>
        <v>0.2654934543</v>
      </c>
      <c r="L85" s="118">
        <f>IFERROR(L63+L65+L66+L67+L68+L69+L71+L72+L74+L75+L76+L77+L78+L79+L80+L82+L83, "NA")</f>
        <v>37182.89</v>
      </c>
      <c r="M85" s="92">
        <f>IFERROR(L85/L148, "NA")</f>
        <v>0.2751427275</v>
      </c>
      <c r="N85" s="118">
        <f>IFERROR(N63+N65+N66+N67+N68+N69+N71+N72+N74+N75+N76+N77+N78+N79+N80+N82+N83, "NA")</f>
        <v>39645.87</v>
      </c>
      <c r="O85" s="92">
        <f>IFERROR(N85/N148, "NA")</f>
        <v>0.3260420596</v>
      </c>
      <c r="P85" s="118">
        <f>IFERROR(P63+P65+P66+P67+P68+P69+P71+P72+P74+P75+P76+P77+P78+P79+P80+P82+P83, "NA")</f>
        <v>27246.1</v>
      </c>
      <c r="Q85" s="92">
        <f>IFERROR(P85/P148, "NA")</f>
        <v>0.4812724652</v>
      </c>
      <c r="R85" s="118">
        <f>IFERROR(R63+R65+R66+R67+R68+R69+R71+R72+R74+R75+R76+R77+R78+R79+R80+R82+R83, "NA")</f>
        <v>29168.25</v>
      </c>
      <c r="S85" s="92">
        <f>IFERROR(R85/R148, "NA")</f>
        <v>0.4197677424</v>
      </c>
      <c r="T85" s="118">
        <f>IFERROR(T63+T65+T66+T67+T68+T69+T71+T72+T74+T75+T76+T77+T78+T79+T80+T82+T83, "NA")</f>
        <v>35197.15</v>
      </c>
      <c r="U85" s="92">
        <f>IFERROR(T85/T148, "NA")</f>
        <v>0.3185084309</v>
      </c>
      <c r="V85" s="118">
        <f>IFERROR(V63+V65+V66+V67+V68+V69+V71+V72+V74+V75+V76+V77+V78+V79+V80+V82+V83, "NA")</f>
        <v>36822.58</v>
      </c>
      <c r="W85" s="92">
        <f>IFERROR(V85/V148, "NA")</f>
        <v>0.2726553542</v>
      </c>
      <c r="X85" s="118">
        <f>IFERROR(X63+X65+X66+X67+X68+X69+X71+X72+X74+X75+X76+X77+X78+X79+X80+X82+X83, "NA")</f>
        <v>34378.65</v>
      </c>
      <c r="Y85" s="92">
        <f>IFERROR(X85/X148, "NA")</f>
        <v>0.2965138077</v>
      </c>
      <c r="Z85" s="118">
        <f>IFERROR(Z63+Z65+Z66+Z67+Z68+Z69+Z71+Z72+Z74+Z75+Z76+Z77+Z78+Z79+Z80+Z82+Z83, "NA")</f>
        <v>135566.63</v>
      </c>
      <c r="AA85" s="92">
        <f>IFERROR(Z85/Z148, "NA")</f>
        <v>0.3145489477</v>
      </c>
      <c r="AB85" s="118">
        <f t="shared" si="37"/>
        <v>33891.6575</v>
      </c>
      <c r="AC85" s="92">
        <f>IFERROR(AB85/AB148, "NA")</f>
        <v>0.3145489477</v>
      </c>
      <c r="AD85" s="119">
        <f t="shared" si="38"/>
        <v>486.9925</v>
      </c>
      <c r="AE85" s="120">
        <f>IFERROR(AD85/AD148, "NA")</f>
        <v>0.05941844068</v>
      </c>
      <c r="AF85" s="119">
        <f t="shared" si="39"/>
        <v>0.01436909658</v>
      </c>
      <c r="AG85" s="118">
        <f t="shared" si="40"/>
        <v>34680.91</v>
      </c>
      <c r="AH85" s="92">
        <f>IFERROR(AG85/AG148, "NA")</f>
        <v>0.3128859999</v>
      </c>
      <c r="AI85" s="119">
        <f t="shared" si="41"/>
        <v>-302.26</v>
      </c>
      <c r="AJ85" s="120">
        <f>IFERROR(AI85/AI148, "NA")</f>
        <v>-0.05925702288</v>
      </c>
      <c r="AK85" s="119">
        <f t="shared" si="42"/>
        <v>-0.008715457582</v>
      </c>
      <c r="AL85" s="120">
        <f>IFERROR(AK85/AK148, "NA")</f>
        <v>-0.1893885405</v>
      </c>
    </row>
    <row r="86" ht="3.75" customHeight="1">
      <c r="A86" s="123"/>
      <c r="B86" s="124"/>
      <c r="C86" s="74"/>
      <c r="D86" s="124"/>
      <c r="E86" s="74"/>
      <c r="F86" s="124"/>
      <c r="G86" s="74"/>
      <c r="H86" s="124"/>
      <c r="I86" s="74"/>
      <c r="J86" s="124"/>
      <c r="K86" s="74"/>
      <c r="L86" s="124"/>
      <c r="M86" s="74"/>
      <c r="N86" s="124"/>
      <c r="O86" s="74"/>
      <c r="P86" s="124"/>
      <c r="Q86" s="74"/>
      <c r="R86" s="124"/>
      <c r="S86" s="74"/>
      <c r="T86" s="124"/>
      <c r="U86" s="74"/>
      <c r="V86" s="124"/>
      <c r="W86" s="74"/>
      <c r="X86" s="124"/>
      <c r="Y86" s="74"/>
      <c r="Z86" s="124"/>
      <c r="AA86" s="74"/>
      <c r="AB86" s="124"/>
      <c r="AC86" s="74"/>
      <c r="AD86" s="125"/>
      <c r="AE86" s="80"/>
      <c r="AF86" s="125"/>
      <c r="AG86" s="124"/>
      <c r="AH86" s="74"/>
      <c r="AI86" s="125"/>
      <c r="AJ86" s="80"/>
      <c r="AK86" s="125"/>
      <c r="AL86" s="80"/>
    </row>
    <row r="87" ht="16.5" customHeight="1">
      <c r="A87" s="121" t="s">
        <v>57</v>
      </c>
      <c r="B87" s="122">
        <f>IFERROR(B59-B85, "NA")</f>
        <v>108098.01</v>
      </c>
      <c r="C87" s="94">
        <f>IFERROR(B87/B148, "NA")</f>
        <v>0.5306874045</v>
      </c>
      <c r="D87" s="122">
        <f>IFERROR(D59-D85, "NA")</f>
        <v>94650.49</v>
      </c>
      <c r="E87" s="94">
        <f>IFERROR(D87/D148, "NA")</f>
        <v>0.5099588</v>
      </c>
      <c r="F87" s="122">
        <f>IFERROR(F59-F85, "NA")</f>
        <v>70140.43</v>
      </c>
      <c r="G87" s="94">
        <f>IFERROR(F87/F148, "NA")</f>
        <v>0.4965381648</v>
      </c>
      <c r="H87" s="122">
        <f>IFERROR(H59-H85, "NA")</f>
        <v>23118.18</v>
      </c>
      <c r="I87" s="94">
        <f>IFERROR(H87/H148, "NA")</f>
        <v>0.3096282133</v>
      </c>
      <c r="J87" s="122">
        <f>IFERROR(J59-J85, "NA")</f>
        <v>66622.33</v>
      </c>
      <c r="K87" s="94">
        <f>IFERROR(J87/J148, "NA")</f>
        <v>0.467859355</v>
      </c>
      <c r="L87" s="122">
        <f>IFERROR(L59-L85, "NA")</f>
        <v>58960.9</v>
      </c>
      <c r="M87" s="94">
        <f>IFERROR(L87/L148, "NA")</f>
        <v>0.4362937589</v>
      </c>
      <c r="N87" s="122">
        <f>IFERROR(N59-N85, "NA")</f>
        <v>47675.88</v>
      </c>
      <c r="O87" s="94">
        <f>IFERROR(N87/N148, "NA")</f>
        <v>0.3920797326</v>
      </c>
      <c r="P87" s="122">
        <f>IFERROR(P59-P85, "NA")</f>
        <v>12600.53</v>
      </c>
      <c r="Q87" s="94">
        <f>IFERROR(P87/P148, "NA")</f>
        <v>0.2225745386</v>
      </c>
      <c r="R87" s="122">
        <f>IFERROR(R59-R85, "NA")</f>
        <v>18571.43</v>
      </c>
      <c r="S87" s="94">
        <f>IFERROR(R87/R148, "NA")</f>
        <v>0.2672661968</v>
      </c>
      <c r="T87" s="122">
        <f>IFERROR(T59-T85, "NA")</f>
        <v>43886.09</v>
      </c>
      <c r="U87" s="94">
        <f>IFERROR(T87/T148, "NA")</f>
        <v>0.3971369746</v>
      </c>
      <c r="V87" s="122">
        <f>IFERROR(V59-V85, "NA")</f>
        <v>60974.34</v>
      </c>
      <c r="W87" s="94">
        <f>IFERROR(V87/V148, "NA")</f>
        <v>0.4514887405</v>
      </c>
      <c r="X87" s="122">
        <f>IFERROR(X59-X85, "NA")</f>
        <v>50235.03</v>
      </c>
      <c r="Y87" s="94">
        <f>IFERROR(X87/X148, "NA")</f>
        <v>0.4332741404</v>
      </c>
      <c r="Z87" s="122">
        <f>IFERROR(Z59-Z85, "NA")</f>
        <v>173666.89</v>
      </c>
      <c r="AA87" s="94">
        <f>IFERROR(Z87/Z148, "NA")</f>
        <v>0.4029512093</v>
      </c>
      <c r="AB87" s="122">
        <f>IFERROR((R87+T87+V87+X87)/4, "NA")</f>
        <v>43416.7225</v>
      </c>
      <c r="AC87" s="94">
        <f>IFERROR(AB87/AB148, "NA")</f>
        <v>0.4029512093</v>
      </c>
      <c r="AD87" s="75">
        <f>IFERROR(X87-AB87, "NA")</f>
        <v>6818.3075</v>
      </c>
      <c r="AE87" s="76">
        <f>IFERROR(AD87/AD148, "NA")</f>
        <v>0.8319084991</v>
      </c>
      <c r="AF87" s="75">
        <f>IFERROR((X87-AB87)/AB87, "NA")</f>
        <v>0.1570433489</v>
      </c>
      <c r="AG87" s="122">
        <f>IFERROR((J87+L87+N87+P87+R87+T87+V87+X87)/8, "NA")</f>
        <v>44940.81625</v>
      </c>
      <c r="AH87" s="94">
        <f>IFERROR(AG87/AG148, "NA")</f>
        <v>0.4054493446</v>
      </c>
      <c r="AI87" s="75">
        <f>IFERROR(X87-AG87, "NA")</f>
        <v>5294.21375</v>
      </c>
      <c r="AJ87" s="76">
        <f>IFERROR(AI87/AI148, "NA")</f>
        <v>1.037912212</v>
      </c>
      <c r="AK87" s="75">
        <f>IFERROR((X87-AG87)/AG87, "NA")</f>
        <v>0.1178041298</v>
      </c>
      <c r="AL87" s="76">
        <f>IFERROR(AK87/AK148, "NA")</f>
        <v>2.559906006</v>
      </c>
    </row>
    <row r="88" ht="3.75" customHeight="1">
      <c r="A88" s="123"/>
      <c r="B88" s="124"/>
      <c r="C88" s="74"/>
      <c r="D88" s="124"/>
      <c r="E88" s="74"/>
      <c r="F88" s="124"/>
      <c r="G88" s="74"/>
      <c r="H88" s="124"/>
      <c r="I88" s="74"/>
      <c r="J88" s="124"/>
      <c r="K88" s="74"/>
      <c r="L88" s="124"/>
      <c r="M88" s="74"/>
      <c r="N88" s="124"/>
      <c r="O88" s="74"/>
      <c r="P88" s="124"/>
      <c r="Q88" s="74"/>
      <c r="R88" s="124"/>
      <c r="S88" s="74"/>
      <c r="T88" s="124"/>
      <c r="U88" s="74"/>
      <c r="V88" s="124"/>
      <c r="W88" s="74"/>
      <c r="X88" s="124"/>
      <c r="Y88" s="74"/>
      <c r="Z88" s="124"/>
      <c r="AA88" s="74"/>
      <c r="AB88" s="124"/>
      <c r="AC88" s="74"/>
      <c r="AD88" s="125"/>
      <c r="AE88" s="80"/>
      <c r="AF88" s="125"/>
      <c r="AG88" s="124"/>
      <c r="AH88" s="74"/>
      <c r="AI88" s="125"/>
      <c r="AJ88" s="80"/>
      <c r="AK88" s="125"/>
      <c r="AL88" s="80"/>
    </row>
    <row r="89" ht="16.5" hidden="1" customHeight="1">
      <c r="A89" s="13" t="s">
        <v>203</v>
      </c>
      <c r="B89" s="14"/>
      <c r="C89" s="12"/>
      <c r="D89" s="14"/>
      <c r="E89" s="12"/>
      <c r="F89" s="14"/>
      <c r="G89" s="12"/>
      <c r="H89" s="14"/>
      <c r="I89" s="12"/>
      <c r="J89" s="14"/>
      <c r="K89" s="12"/>
      <c r="L89" s="14"/>
      <c r="M89" s="12"/>
      <c r="N89" s="14"/>
      <c r="O89" s="12"/>
      <c r="P89" s="14"/>
      <c r="Q89" s="12"/>
      <c r="R89" s="14"/>
      <c r="S89" s="12"/>
      <c r="T89" s="14"/>
      <c r="U89" s="12"/>
      <c r="V89" s="14"/>
      <c r="W89" s="12"/>
      <c r="X89" s="14"/>
      <c r="Y89" s="12"/>
      <c r="Z89" s="14"/>
      <c r="AA89" s="12"/>
      <c r="AB89" s="14"/>
      <c r="AC89" s="12"/>
      <c r="AD89" s="17"/>
      <c r="AE89" s="18"/>
      <c r="AF89" s="17"/>
      <c r="AG89" s="14"/>
      <c r="AH89" s="12"/>
      <c r="AI89" s="17"/>
      <c r="AJ89" s="18"/>
      <c r="AK89" s="17"/>
      <c r="AL89" s="18"/>
    </row>
    <row r="90" ht="16.5" hidden="1" customHeight="1">
      <c r="A90" s="19" t="s">
        <v>204</v>
      </c>
      <c r="B90" s="21">
        <v>4586.19</v>
      </c>
      <c r="C90" s="23">
        <f>IFERROR(B90/B148, "NA")</f>
        <v>0.0225150608</v>
      </c>
      <c r="D90" s="21">
        <v>3657.42</v>
      </c>
      <c r="E90" s="23">
        <f>IFERROR(D90/D148, "NA")</f>
        <v>0.01970548186</v>
      </c>
      <c r="F90" s="21">
        <v>2502.11</v>
      </c>
      <c r="G90" s="23">
        <f>IFERROR(F90/F148, "NA")</f>
        <v>0.01771293828</v>
      </c>
      <c r="H90" s="21">
        <v>3274.54</v>
      </c>
      <c r="I90" s="23">
        <f>IFERROR(H90/H148, "NA")</f>
        <v>0.04385682479</v>
      </c>
      <c r="J90" s="21">
        <v>5304.25</v>
      </c>
      <c r="K90" s="23">
        <f>IFERROR(J90/J148, "NA")</f>
        <v>0.03724941748</v>
      </c>
      <c r="L90" s="21">
        <v>3128.04</v>
      </c>
      <c r="M90" s="23">
        <f>IFERROR(L90/L148, "NA")</f>
        <v>0.02314659935</v>
      </c>
      <c r="N90" s="21">
        <v>2616.22</v>
      </c>
      <c r="O90" s="23">
        <f>IFERROR(N90/N148, "NA")</f>
        <v>0.02151542537</v>
      </c>
      <c r="P90" s="21">
        <v>1851.03</v>
      </c>
      <c r="Q90" s="23">
        <f>IFERROR(P90/P148, "NA")</f>
        <v>0.03269641421</v>
      </c>
      <c r="R90" s="21">
        <v>2105.04</v>
      </c>
      <c r="S90" s="23">
        <f>IFERROR(R90/R148, "NA")</f>
        <v>0.03029416878</v>
      </c>
      <c r="T90" s="21">
        <v>3137.56</v>
      </c>
      <c r="U90" s="23">
        <f>IFERROR(T90/T148, "NA")</f>
        <v>0.02839262021</v>
      </c>
      <c r="V90" s="21">
        <v>2920.66</v>
      </c>
      <c r="W90" s="23">
        <f>IFERROR(V90/V148, "NA")</f>
        <v>0.02162623007</v>
      </c>
      <c r="X90" s="21">
        <v>2008.72</v>
      </c>
      <c r="Y90" s="23">
        <f>IFERROR(X90/X148, "NA")</f>
        <v>0.01732509031</v>
      </c>
      <c r="Z90" s="21">
        <v>10171.98</v>
      </c>
      <c r="AA90" s="23">
        <f>IFERROR(Z90/Z148, "NA")</f>
        <v>0.02360157219</v>
      </c>
      <c r="AB90" s="28">
        <f t="shared" ref="AB90:AB99" si="43">IFERROR((R90+T90+V90+X90)/4, "NA")</f>
        <v>2542.995</v>
      </c>
      <c r="AC90" s="23">
        <f>IFERROR(AB90/AB148, "NA")</f>
        <v>0.02360157219</v>
      </c>
      <c r="AD90" s="29">
        <f t="shared" ref="AD90:AD99" si="44">IFERROR(X90-AB90, "NA")</f>
        <v>-534.275</v>
      </c>
      <c r="AE90" s="30">
        <f>IFERROR(AD90/AD148, "NA")</f>
        <v>-0.06518742567</v>
      </c>
      <c r="AF90" s="29">
        <f t="shared" ref="AF90:AF99" si="45">IFERROR((X90-AB90)/AB90, "NA")</f>
        <v>-0.210096756</v>
      </c>
      <c r="AG90" s="28">
        <f t="shared" ref="AG90:AG99" si="46">IFERROR((J90+L90+N90+P90+R90+T90+V90+X90)/8, "NA")</f>
        <v>2883.94</v>
      </c>
      <c r="AH90" s="23">
        <f>IFERROR(AG90/AG148, "NA")</f>
        <v>0.02601847675</v>
      </c>
      <c r="AI90" s="29">
        <f t="shared" ref="AI90:AI99" si="47">IFERROR(X90-AG90, "NA")</f>
        <v>-875.22</v>
      </c>
      <c r="AJ90" s="30">
        <f>IFERROR(AI90/AI148, "NA")</f>
        <v>-0.1715838403</v>
      </c>
      <c r="AK90" s="29">
        <f t="shared" ref="AK90:AK99" si="48">IFERROR((X90-AG90)/AG90, "NA")</f>
        <v>-0.3034806549</v>
      </c>
      <c r="AL90" s="30">
        <f>IFERROR(AK90/AK148, "NA")</f>
        <v>-6.594691992</v>
      </c>
    </row>
    <row r="91" ht="16.5" hidden="1" customHeight="1">
      <c r="A91" s="19" t="s">
        <v>205</v>
      </c>
      <c r="B91" s="21">
        <v>5600.57</v>
      </c>
      <c r="C91" s="23">
        <f>IFERROR(B91/B148, "NA")</f>
        <v>0.02749497384</v>
      </c>
      <c r="D91" s="21">
        <v>4805.01</v>
      </c>
      <c r="E91" s="23">
        <f>IFERROR(D91/D148, "NA")</f>
        <v>0.02588847806</v>
      </c>
      <c r="F91" s="21">
        <v>5562.86</v>
      </c>
      <c r="G91" s="23">
        <f>IFERROR(F91/F148, "NA")</f>
        <v>0.03938060111</v>
      </c>
      <c r="H91" s="21">
        <v>4451.82</v>
      </c>
      <c r="I91" s="23">
        <f>IFERROR(H91/H148, "NA")</f>
        <v>0.0596244632</v>
      </c>
      <c r="J91" s="21">
        <v>6100.83</v>
      </c>
      <c r="K91" s="23">
        <f>IFERROR(J91/J148, "NA")</f>
        <v>0.04284344886</v>
      </c>
      <c r="L91" s="21">
        <v>5508.43</v>
      </c>
      <c r="M91" s="23">
        <f>IFERROR(L91/L148, "NA")</f>
        <v>0.04076080301</v>
      </c>
      <c r="N91" s="21">
        <v>4005.19</v>
      </c>
      <c r="O91" s="23">
        <f>IFERROR(N91/N148, "NA")</f>
        <v>0.03293811932</v>
      </c>
      <c r="P91" s="21">
        <v>1701.53</v>
      </c>
      <c r="Q91" s="23">
        <f>IFERROR(P91/P148, "NA")</f>
        <v>0.03005566072</v>
      </c>
      <c r="R91" s="21">
        <v>1932.35</v>
      </c>
      <c r="S91" s="23">
        <f>IFERROR(R91/R148, "NA")</f>
        <v>0.02780894284</v>
      </c>
      <c r="T91" s="21">
        <v>2504.09</v>
      </c>
      <c r="U91" s="23">
        <f>IFERROR(T91/T148, "NA")</f>
        <v>0.02266018063</v>
      </c>
      <c r="V91" s="21">
        <v>4651.05</v>
      </c>
      <c r="W91" s="23">
        <f>IFERROR(V91/V148, "NA")</f>
        <v>0.03443902315</v>
      </c>
      <c r="X91" s="21">
        <v>4514.64</v>
      </c>
      <c r="Y91" s="23">
        <f>IFERROR(X91/X148, "NA")</f>
        <v>0.03893850098</v>
      </c>
      <c r="Z91" s="21">
        <v>13602.13</v>
      </c>
      <c r="AA91" s="23">
        <f>IFERROR(Z91/Z148, "NA")</f>
        <v>0.03156038974</v>
      </c>
      <c r="AB91" s="28">
        <f t="shared" si="43"/>
        <v>3400.5325</v>
      </c>
      <c r="AC91" s="23">
        <f>IFERROR(AB91/AB148, "NA")</f>
        <v>0.03156038974</v>
      </c>
      <c r="AD91" s="29">
        <f t="shared" si="44"/>
        <v>1114.1075</v>
      </c>
      <c r="AE91" s="30">
        <f>IFERROR(AD91/AD148, "NA")</f>
        <v>0.1359333674</v>
      </c>
      <c r="AF91" s="29">
        <f t="shared" si="45"/>
        <v>0.3276273642</v>
      </c>
      <c r="AG91" s="28">
        <f t="shared" si="46"/>
        <v>3864.76375</v>
      </c>
      <c r="AH91" s="23">
        <f>IFERROR(AG91/AG148, "NA")</f>
        <v>0.0348673224</v>
      </c>
      <c r="AI91" s="29">
        <f t="shared" si="47"/>
        <v>649.87625</v>
      </c>
      <c r="AJ91" s="30">
        <f>IFERROR(AI91/AI148, "NA")</f>
        <v>0.127405981</v>
      </c>
      <c r="AK91" s="29">
        <f t="shared" si="48"/>
        <v>0.1681541983</v>
      </c>
      <c r="AL91" s="30">
        <f>IFERROR(AK91/AK148, "NA")</f>
        <v>3.654022512</v>
      </c>
    </row>
    <row r="92" ht="16.5" hidden="1" customHeight="1">
      <c r="A92" s="19" t="s">
        <v>206</v>
      </c>
      <c r="B92" s="21">
        <v>2603.47</v>
      </c>
      <c r="C92" s="23">
        <f>IFERROR(B92/B148, "NA")</f>
        <v>0.01278125968</v>
      </c>
      <c r="D92" s="21">
        <v>2254.83</v>
      </c>
      <c r="E92" s="23">
        <f>IFERROR(D92/D148, "NA")</f>
        <v>0.01214859427</v>
      </c>
      <c r="F92" s="21">
        <v>2135.79</v>
      </c>
      <c r="G92" s="23">
        <f>IFERROR(F92/F148, "NA")</f>
        <v>0.01511968556</v>
      </c>
      <c r="H92" s="21">
        <v>1542.36</v>
      </c>
      <c r="I92" s="23">
        <f>IFERROR(H92/H148, "NA")</f>
        <v>0.02065725637</v>
      </c>
      <c r="J92" s="21">
        <v>2173.49</v>
      </c>
      <c r="K92" s="23">
        <f>IFERROR(J92/J148, "NA")</f>
        <v>0.01526346541</v>
      </c>
      <c r="L92" s="21">
        <v>2442.79</v>
      </c>
      <c r="M92" s="23">
        <f>IFERROR(L92/L148, "NA")</f>
        <v>0.01807594577</v>
      </c>
      <c r="N92" s="21">
        <v>2434.89</v>
      </c>
      <c r="O92" s="23">
        <f>IFERROR(N92/N148, "NA")</f>
        <v>0.02002419295</v>
      </c>
      <c r="P92" s="21">
        <v>257.56</v>
      </c>
      <c r="Q92" s="23">
        <f>IFERROR(P92/P148, "NA")</f>
        <v>0.004549514834</v>
      </c>
      <c r="R92" s="21">
        <v>1113.39</v>
      </c>
      <c r="S92" s="23">
        <f>IFERROR(R92/R148, "NA")</f>
        <v>0.01602308012</v>
      </c>
      <c r="T92" s="21">
        <v>1632.78</v>
      </c>
      <c r="U92" s="23">
        <f>IFERROR(T92/T148, "NA")</f>
        <v>0.01477546324</v>
      </c>
      <c r="V92" s="21">
        <v>2305.98</v>
      </c>
      <c r="W92" s="23">
        <f>IFERROR(V92/V148, "NA")</f>
        <v>0.01707478926</v>
      </c>
      <c r="X92" s="21">
        <v>2047.2</v>
      </c>
      <c r="Y92" s="23">
        <f>IFERROR(X92/X148, "NA")</f>
        <v>0.01765697801</v>
      </c>
      <c r="Z92" s="21">
        <v>7099.35</v>
      </c>
      <c r="AA92" s="23">
        <f>IFERROR(Z92/Z148, "NA")</f>
        <v>0.01647229168</v>
      </c>
      <c r="AB92" s="28">
        <f t="shared" si="43"/>
        <v>1774.8375</v>
      </c>
      <c r="AC92" s="23">
        <f>IFERROR(AB92/AB148, "NA")</f>
        <v>0.01647229168</v>
      </c>
      <c r="AD92" s="29">
        <f t="shared" si="44"/>
        <v>272.3625</v>
      </c>
      <c r="AE92" s="30">
        <f>IFERROR(AD92/AD148, "NA")</f>
        <v>0.0332312203</v>
      </c>
      <c r="AF92" s="29">
        <f t="shared" si="45"/>
        <v>0.1534577109</v>
      </c>
      <c r="AG92" s="28">
        <f t="shared" si="46"/>
        <v>1801.01</v>
      </c>
      <c r="AH92" s="23">
        <f>IFERROR(AG92/AG148, "NA")</f>
        <v>0.01624844373</v>
      </c>
      <c r="AI92" s="29">
        <f t="shared" si="47"/>
        <v>246.19</v>
      </c>
      <c r="AJ92" s="30">
        <f>IFERROR(AI92/AI148, "NA")</f>
        <v>0.04826469418</v>
      </c>
      <c r="AK92" s="29">
        <f t="shared" si="48"/>
        <v>0.1366955208</v>
      </c>
      <c r="AL92" s="30">
        <f>IFERROR(AK92/AK148, "NA")</f>
        <v>2.970419505</v>
      </c>
    </row>
    <row r="93" ht="16.5" hidden="1" customHeight="1">
      <c r="A93" s="19" t="s">
        <v>207</v>
      </c>
      <c r="B93" s="21">
        <v>10470.68</v>
      </c>
      <c r="C93" s="23">
        <f>IFERROR(B93/B148, "NA")</f>
        <v>0.05140388794</v>
      </c>
      <c r="D93" s="21">
        <v>9973.22</v>
      </c>
      <c r="E93" s="23">
        <f>IFERROR(D93/D148, "NA")</f>
        <v>0.05373380849</v>
      </c>
      <c r="F93" s="21">
        <v>11622.16</v>
      </c>
      <c r="G93" s="23">
        <f>IFERROR(F93/F148, "NA")</f>
        <v>0.08227560049</v>
      </c>
      <c r="H93" s="21">
        <v>5343.48</v>
      </c>
      <c r="I93" s="23">
        <f>IFERROR(H93/H148, "NA")</f>
        <v>0.07156671353</v>
      </c>
      <c r="J93" s="21">
        <v>12720.71</v>
      </c>
      <c r="K93" s="23">
        <f>IFERROR(J93/J148, "NA")</f>
        <v>0.08933195785</v>
      </c>
      <c r="L93" s="21">
        <v>11484.18</v>
      </c>
      <c r="M93" s="23">
        <f>IFERROR(L93/L148, "NA")</f>
        <v>0.08497964006</v>
      </c>
      <c r="N93" s="21">
        <v>9332.57</v>
      </c>
      <c r="O93" s="23">
        <f>IFERROR(N93/N148, "NA")</f>
        <v>0.07674974327</v>
      </c>
      <c r="P93" s="21">
        <v>3768.83</v>
      </c>
      <c r="Q93" s="23">
        <f>IFERROR(P93/P148, "NA")</f>
        <v>0.06657224722</v>
      </c>
      <c r="R93" s="21">
        <v>3479.81</v>
      </c>
      <c r="S93" s="23">
        <f>IFERROR(R93/R148, "NA")</f>
        <v>0.0500788353</v>
      </c>
      <c r="T93" s="21">
        <v>7829.64</v>
      </c>
      <c r="U93" s="23">
        <f>IFERROR(T93/T148, "NA")</f>
        <v>0.07085250798</v>
      </c>
      <c r="V93" s="21">
        <v>10375.89</v>
      </c>
      <c r="W93" s="23">
        <f>IFERROR(V93/V148, "NA")</f>
        <v>0.07682899902</v>
      </c>
      <c r="X93" s="21">
        <v>8876.44</v>
      </c>
      <c r="Y93" s="23">
        <f>IFERROR(X93/X148, "NA")</f>
        <v>0.07655876607</v>
      </c>
      <c r="Z93" s="21">
        <v>30561.78</v>
      </c>
      <c r="AA93" s="23">
        <f>IFERROR(Z93/Z148, "NA")</f>
        <v>0.070911077</v>
      </c>
      <c r="AB93" s="28">
        <f t="shared" si="43"/>
        <v>7640.445</v>
      </c>
      <c r="AC93" s="23">
        <f>IFERROR(AB93/AB148, "NA")</f>
        <v>0.070911077</v>
      </c>
      <c r="AD93" s="29">
        <f t="shared" si="44"/>
        <v>1235.995</v>
      </c>
      <c r="AE93" s="30">
        <f>IFERROR(AD93/AD148, "NA")</f>
        <v>0.1508049828</v>
      </c>
      <c r="AF93" s="29">
        <f t="shared" si="45"/>
        <v>0.1617700278</v>
      </c>
      <c r="AG93" s="28">
        <f t="shared" si="46"/>
        <v>8483.50875</v>
      </c>
      <c r="AH93" s="23">
        <f>IFERROR(AG93/AG148, "NA")</f>
        <v>0.07653695125</v>
      </c>
      <c r="AI93" s="29">
        <f t="shared" si="47"/>
        <v>392.93125</v>
      </c>
      <c r="AJ93" s="30">
        <f>IFERROR(AI93/AI148, "NA")</f>
        <v>0.07703280643</v>
      </c>
      <c r="AK93" s="29">
        <f t="shared" si="48"/>
        <v>0.04631706781</v>
      </c>
      <c r="AL93" s="30">
        <f>IFERROR(AK93/AK148, "NA")</f>
        <v>1.006478638</v>
      </c>
    </row>
    <row r="94" ht="16.5" hidden="1" customHeight="1">
      <c r="A94" s="19" t="s">
        <v>208</v>
      </c>
      <c r="B94" s="21">
        <v>3863.62</v>
      </c>
      <c r="C94" s="23">
        <f>IFERROR(B94/B148, "NA")</f>
        <v>0.01896773558</v>
      </c>
      <c r="D94" s="21">
        <v>3286.66</v>
      </c>
      <c r="E94" s="23">
        <f>IFERROR(D94/D148, "NA")</f>
        <v>0.01770789765</v>
      </c>
      <c r="F94" s="21">
        <v>3400.61</v>
      </c>
      <c r="G94" s="23">
        <f>IFERROR(F94/F148, "NA")</f>
        <v>0.0240735999</v>
      </c>
      <c r="H94" s="21">
        <v>1855.57</v>
      </c>
      <c r="I94" s="23">
        <f>IFERROR(H94/H148, "NA")</f>
        <v>0.024852165</v>
      </c>
      <c r="J94" s="21">
        <v>3835.67</v>
      </c>
      <c r="K94" s="23">
        <f>IFERROR(J94/J148, "NA")</f>
        <v>0.02693622532</v>
      </c>
      <c r="L94" s="21">
        <v>3361.44</v>
      </c>
      <c r="M94" s="23">
        <f>IFERROR(L94/L148, "NA")</f>
        <v>0.02487369244</v>
      </c>
      <c r="N94" s="21">
        <v>3004.72</v>
      </c>
      <c r="O94" s="23">
        <f>IFERROR(N94/N148, "NA")</f>
        <v>0.02471039474</v>
      </c>
      <c r="P94" s="21">
        <v>1332.42</v>
      </c>
      <c r="Q94" s="23">
        <f>IFERROR(P94/P148, "NA")</f>
        <v>0.02353573752</v>
      </c>
      <c r="R94" s="21">
        <v>1681.1</v>
      </c>
      <c r="S94" s="23">
        <f>IFERROR(R94/R148, "NA")</f>
        <v>0.02419313986</v>
      </c>
      <c r="T94" s="21">
        <v>3009.79</v>
      </c>
      <c r="U94" s="23">
        <f>IFERROR(T94/T148, "NA")</f>
        <v>0.02723639529</v>
      </c>
      <c r="V94" s="21">
        <v>2933.44</v>
      </c>
      <c r="W94" s="23">
        <f>IFERROR(V94/V148, "NA")</f>
        <v>0.02172086046</v>
      </c>
      <c r="X94" s="21">
        <v>2555.0</v>
      </c>
      <c r="Y94" s="23">
        <f>IFERROR(X94/X148, "NA")</f>
        <v>0.02203672275</v>
      </c>
      <c r="Z94" s="21">
        <v>10179.33</v>
      </c>
      <c r="AA94" s="23">
        <f>IFERROR(Z94/Z148, "NA")</f>
        <v>0.02361862606</v>
      </c>
      <c r="AB94" s="28">
        <f t="shared" si="43"/>
        <v>2544.8325</v>
      </c>
      <c r="AC94" s="23">
        <f>IFERROR(AB94/AB148, "NA")</f>
        <v>0.02361862606</v>
      </c>
      <c r="AD94" s="29">
        <f t="shared" si="44"/>
        <v>10.1675</v>
      </c>
      <c r="AE94" s="30">
        <f>IFERROR(AD94/AD148, "NA")</f>
        <v>0.001240546817</v>
      </c>
      <c r="AF94" s="29">
        <f t="shared" si="45"/>
        <v>0.003995351364</v>
      </c>
      <c r="AG94" s="28">
        <f t="shared" si="46"/>
        <v>2714.1975</v>
      </c>
      <c r="AH94" s="23">
        <f>IFERROR(AG94/AG148, "NA")</f>
        <v>0.02448708522</v>
      </c>
      <c r="AI94" s="29">
        <f t="shared" si="47"/>
        <v>-159.1975</v>
      </c>
      <c r="AJ94" s="30">
        <f>IFERROR(AI94/AI148, "NA")</f>
        <v>-0.03121011678</v>
      </c>
      <c r="AK94" s="29">
        <f t="shared" si="48"/>
        <v>-0.05865361677</v>
      </c>
      <c r="AL94" s="30">
        <f>IFERROR(AK94/AK148, "NA")</f>
        <v>-1.274554178</v>
      </c>
    </row>
    <row r="95" ht="16.5" hidden="1" customHeight="1">
      <c r="A95" s="19" t="s">
        <v>209</v>
      </c>
      <c r="B95" s="21">
        <v>0.0</v>
      </c>
      <c r="C95" s="23">
        <f>IFERROR(B95/B148, "NA")</f>
        <v>0</v>
      </c>
      <c r="D95" s="21">
        <v>0.0</v>
      </c>
      <c r="E95" s="23">
        <f>IFERROR(D95/D148, "NA")</f>
        <v>0</v>
      </c>
      <c r="F95" s="21">
        <v>6295.31</v>
      </c>
      <c r="G95" s="23">
        <f>IFERROR(F95/F148, "NA")</f>
        <v>0.04456576149</v>
      </c>
      <c r="H95" s="21">
        <v>0.0</v>
      </c>
      <c r="I95" s="23">
        <f>IFERROR(H95/H148, "NA")</f>
        <v>0</v>
      </c>
      <c r="J95" s="21">
        <v>0.0</v>
      </c>
      <c r="K95" s="23">
        <f>IFERROR(J95/J148, "NA")</f>
        <v>0</v>
      </c>
      <c r="L95" s="21">
        <v>0.0</v>
      </c>
      <c r="M95" s="23">
        <f>IFERROR(L95/L148, "NA")</f>
        <v>0</v>
      </c>
      <c r="N95" s="21">
        <v>0.0</v>
      </c>
      <c r="O95" s="23">
        <f>IFERROR(N95/N148, "NA")</f>
        <v>0</v>
      </c>
      <c r="P95" s="21">
        <v>6340.83</v>
      </c>
      <c r="Q95" s="23">
        <f>IFERROR(P95/P148, "NA")</f>
        <v>0.1120038055</v>
      </c>
      <c r="R95" s="21">
        <v>0.0</v>
      </c>
      <c r="S95" s="23">
        <f>IFERROR(R95/R148, "NA")</f>
        <v>0</v>
      </c>
      <c r="T95" s="21">
        <v>0.0</v>
      </c>
      <c r="U95" s="23">
        <f>IFERROR(T95/T148, "NA")</f>
        <v>0</v>
      </c>
      <c r="V95" s="21">
        <v>0.0</v>
      </c>
      <c r="W95" s="23">
        <f>IFERROR(V95/V148, "NA")</f>
        <v>0</v>
      </c>
      <c r="X95" s="21">
        <v>0.0</v>
      </c>
      <c r="Y95" s="23">
        <f>IFERROR(X95/X148, "NA")</f>
        <v>0</v>
      </c>
      <c r="Z95" s="21">
        <v>0.0</v>
      </c>
      <c r="AA95" s="23">
        <f>IFERROR(Z95/Z148, "NA")</f>
        <v>0</v>
      </c>
      <c r="AB95" s="28">
        <f t="shared" si="43"/>
        <v>0</v>
      </c>
      <c r="AC95" s="23">
        <f>IFERROR(AB95/AB148, "NA")</f>
        <v>0</v>
      </c>
      <c r="AD95" s="29">
        <f t="shared" si="44"/>
        <v>0</v>
      </c>
      <c r="AE95" s="30">
        <f>IFERROR(AD95/AD148, "NA")</f>
        <v>0</v>
      </c>
      <c r="AF95" s="29" t="str">
        <f t="shared" si="45"/>
        <v>NA</v>
      </c>
      <c r="AG95" s="28">
        <f t="shared" si="46"/>
        <v>792.60375</v>
      </c>
      <c r="AH95" s="23">
        <f>IFERROR(AG95/AG148, "NA")</f>
        <v>0.007150752873</v>
      </c>
      <c r="AI95" s="29">
        <f t="shared" si="47"/>
        <v>-792.60375</v>
      </c>
      <c r="AJ95" s="30">
        <f>IFERROR(AI95/AI148, "NA")</f>
        <v>-0.1553872115</v>
      </c>
      <c r="AK95" s="29">
        <f t="shared" si="48"/>
        <v>-1</v>
      </c>
      <c r="AL95" s="30">
        <f>IFERROR(AK95/AK148, "NA")</f>
        <v>-21.73018901</v>
      </c>
    </row>
    <row r="96" ht="16.5" hidden="1" customHeight="1">
      <c r="A96" s="19" t="s">
        <v>210</v>
      </c>
      <c r="B96" s="21">
        <v>0.0</v>
      </c>
      <c r="C96" s="23">
        <f>IFERROR(B96/B148, "NA")</f>
        <v>0</v>
      </c>
      <c r="D96" s="21">
        <v>0.0</v>
      </c>
      <c r="E96" s="23">
        <f>IFERROR(D96/D148, "NA")</f>
        <v>0</v>
      </c>
      <c r="F96" s="21">
        <v>0.0</v>
      </c>
      <c r="G96" s="23">
        <f>IFERROR(F96/F148, "NA")</f>
        <v>0</v>
      </c>
      <c r="H96" s="21">
        <v>0.0</v>
      </c>
      <c r="I96" s="23">
        <f>IFERROR(H96/H148, "NA")</f>
        <v>0</v>
      </c>
      <c r="J96" s="21">
        <v>0.0</v>
      </c>
      <c r="K96" s="23">
        <f>IFERROR(J96/J148, "NA")</f>
        <v>0</v>
      </c>
      <c r="L96" s="21">
        <v>0.0</v>
      </c>
      <c r="M96" s="23">
        <f>IFERROR(L96/L148, "NA")</f>
        <v>0</v>
      </c>
      <c r="N96" s="21">
        <v>0.0</v>
      </c>
      <c r="O96" s="23">
        <f>IFERROR(N96/N148, "NA")</f>
        <v>0</v>
      </c>
      <c r="P96" s="21">
        <v>0.0</v>
      </c>
      <c r="Q96" s="23">
        <f>IFERROR(P96/P148, "NA")</f>
        <v>0</v>
      </c>
      <c r="R96" s="21">
        <v>0.0</v>
      </c>
      <c r="S96" s="23">
        <f>IFERROR(R96/R148, "NA")</f>
        <v>0</v>
      </c>
      <c r="T96" s="21">
        <v>0.0</v>
      </c>
      <c r="U96" s="23">
        <f>IFERROR(T96/T148, "NA")</f>
        <v>0</v>
      </c>
      <c r="V96" s="21">
        <v>0.0</v>
      </c>
      <c r="W96" s="23">
        <f>IFERROR(V96/V148, "NA")</f>
        <v>0</v>
      </c>
      <c r="X96" s="21">
        <v>0.0</v>
      </c>
      <c r="Y96" s="23">
        <f>IFERROR(X96/X148, "NA")</f>
        <v>0</v>
      </c>
      <c r="Z96" s="21">
        <v>0.0</v>
      </c>
      <c r="AA96" s="23">
        <f>IFERROR(Z96/Z148, "NA")</f>
        <v>0</v>
      </c>
      <c r="AB96" s="28">
        <f t="shared" si="43"/>
        <v>0</v>
      </c>
      <c r="AC96" s="23">
        <f>IFERROR(AB96/AB148, "NA")</f>
        <v>0</v>
      </c>
      <c r="AD96" s="29">
        <f t="shared" si="44"/>
        <v>0</v>
      </c>
      <c r="AE96" s="30">
        <f>IFERROR(AD96/AD148, "NA")</f>
        <v>0</v>
      </c>
      <c r="AF96" s="29" t="str">
        <f t="shared" si="45"/>
        <v>NA</v>
      </c>
      <c r="AG96" s="28">
        <f t="shared" si="46"/>
        <v>0</v>
      </c>
      <c r="AH96" s="23">
        <f>IFERROR(AG96/AG148, "NA")</f>
        <v>0</v>
      </c>
      <c r="AI96" s="29">
        <f t="shared" si="47"/>
        <v>0</v>
      </c>
      <c r="AJ96" s="30">
        <f>IFERROR(AI96/AI148, "NA")</f>
        <v>0</v>
      </c>
      <c r="AK96" s="29" t="str">
        <f t="shared" si="48"/>
        <v>NA</v>
      </c>
      <c r="AL96" s="30" t="str">
        <f>IFERROR(AK96/AK148, "NA")</f>
        <v>NA</v>
      </c>
    </row>
    <row r="97" ht="16.5" hidden="1" customHeight="1">
      <c r="A97" s="19" t="s">
        <v>211</v>
      </c>
      <c r="B97" s="21">
        <v>2282.21</v>
      </c>
      <c r="C97" s="23">
        <f>IFERROR(B97/B148, "NA")</f>
        <v>0.01120409249</v>
      </c>
      <c r="D97" s="21">
        <v>2512.65</v>
      </c>
      <c r="E97" s="23">
        <f>IFERROR(D97/D148, "NA")</f>
        <v>0.01353767929</v>
      </c>
      <c r="F97" s="21">
        <v>4568.9</v>
      </c>
      <c r="G97" s="23">
        <f>IFERROR(F97/F148, "NA")</f>
        <v>0.03234415901</v>
      </c>
      <c r="H97" s="21">
        <v>1620.61</v>
      </c>
      <c r="I97" s="23">
        <f>IFERROR(H97/H148, "NA")</f>
        <v>0.02170528038</v>
      </c>
      <c r="J97" s="21">
        <v>602.4</v>
      </c>
      <c r="K97" s="23">
        <f>IFERROR(J97/J148, "NA")</f>
        <v>0.004230390553</v>
      </c>
      <c r="L97" s="21">
        <v>2226.78</v>
      </c>
      <c r="M97" s="23">
        <f>IFERROR(L97/L148, "NA")</f>
        <v>0.01647753369</v>
      </c>
      <c r="N97" s="21">
        <v>5204.35</v>
      </c>
      <c r="O97" s="23">
        <f>IFERROR(N97/N148, "NA")</f>
        <v>0.04279984253</v>
      </c>
      <c r="P97" s="21">
        <v>4049.47</v>
      </c>
      <c r="Q97" s="23">
        <f>IFERROR(P97/P148, "NA")</f>
        <v>0.07152944493</v>
      </c>
      <c r="R97" s="21">
        <v>4113.1</v>
      </c>
      <c r="S97" s="23">
        <f>IFERROR(R97/R148, "NA")</f>
        <v>0.05919267358</v>
      </c>
      <c r="T97" s="21">
        <v>3388.44</v>
      </c>
      <c r="U97" s="23">
        <f>IFERROR(T97/T148, "NA")</f>
        <v>0.03066290048</v>
      </c>
      <c r="V97" s="21">
        <v>1436.28</v>
      </c>
      <c r="W97" s="23">
        <f>IFERROR(V97/V148, "NA")</f>
        <v>0.01063503514</v>
      </c>
      <c r="X97" s="21">
        <v>1067.59</v>
      </c>
      <c r="Y97" s="23">
        <f>IFERROR(X97/X148, "NA")</f>
        <v>0.009207900135</v>
      </c>
      <c r="Z97" s="21">
        <v>10005.41</v>
      </c>
      <c r="AA97" s="23">
        <f>IFERROR(Z97/Z148, "NA")</f>
        <v>0.02321508757</v>
      </c>
      <c r="AB97" s="28">
        <f t="shared" si="43"/>
        <v>2501.3525</v>
      </c>
      <c r="AC97" s="23">
        <f>IFERROR(AB97/AB148, "NA")</f>
        <v>0.02321508757</v>
      </c>
      <c r="AD97" s="29">
        <f t="shared" si="44"/>
        <v>-1433.7625</v>
      </c>
      <c r="AE97" s="30">
        <f>IFERROR(AD97/AD148, "NA")</f>
        <v>-0.1749347927</v>
      </c>
      <c r="AF97" s="29">
        <f t="shared" si="45"/>
        <v>-0.5731949016</v>
      </c>
      <c r="AG97" s="28">
        <f t="shared" si="46"/>
        <v>2761.05125</v>
      </c>
      <c r="AH97" s="23">
        <f>IFERROR(AG97/AG148, "NA")</f>
        <v>0.02490979277</v>
      </c>
      <c r="AI97" s="29">
        <f t="shared" si="47"/>
        <v>-1693.46125</v>
      </c>
      <c r="AJ97" s="30">
        <f>IFERROR(AI97/AI148, "NA")</f>
        <v>-0.3319971946</v>
      </c>
      <c r="AK97" s="29">
        <f t="shared" si="48"/>
        <v>-0.6133393033</v>
      </c>
      <c r="AL97" s="30">
        <f>IFERROR(AK97/AK148, "NA")</f>
        <v>-13.32797899</v>
      </c>
    </row>
    <row r="98" ht="16.5" hidden="1" customHeight="1">
      <c r="A98" s="19" t="s">
        <v>212</v>
      </c>
      <c r="B98" s="21">
        <v>2285.66</v>
      </c>
      <c r="C98" s="23">
        <f>IFERROR(B98/B148, "NA")</f>
        <v>0.01122102963</v>
      </c>
      <c r="D98" s="21">
        <v>12133.48</v>
      </c>
      <c r="E98" s="23">
        <f>IFERROR(D98/D148, "NA")</f>
        <v>0.06537287763</v>
      </c>
      <c r="F98" s="21">
        <v>5278.38</v>
      </c>
      <c r="G98" s="23">
        <f>IFERROR(F98/F148, "NA")</f>
        <v>0.03736671016</v>
      </c>
      <c r="H98" s="21">
        <v>1148.31</v>
      </c>
      <c r="I98" s="23">
        <f>IFERROR(H98/H148, "NA")</f>
        <v>0.01537963515</v>
      </c>
      <c r="J98" s="21">
        <v>3679.82</v>
      </c>
      <c r="K98" s="23">
        <f>IFERROR(J98/J148, "NA")</f>
        <v>0.02584175924</v>
      </c>
      <c r="L98" s="21">
        <v>2693.54</v>
      </c>
      <c r="M98" s="23">
        <f>IFERROR(L98/L148, "NA")</f>
        <v>0.0199314239</v>
      </c>
      <c r="N98" s="21">
        <v>11809.89</v>
      </c>
      <c r="O98" s="23">
        <f>IFERROR(N98/N148, "NA")</f>
        <v>0.09712287457</v>
      </c>
      <c r="P98" s="21">
        <v>4584.08</v>
      </c>
      <c r="Q98" s="23">
        <f>IFERROR(P98/P148, "NA")</f>
        <v>0.08097274407</v>
      </c>
      <c r="R98" s="21">
        <v>1656.87</v>
      </c>
      <c r="S98" s="23">
        <f>IFERROR(R98/R148, "NA")</f>
        <v>0.02384443974</v>
      </c>
      <c r="T98" s="21">
        <v>2630.97</v>
      </c>
      <c r="U98" s="23">
        <f>IFERROR(T98/T148, "NA")</f>
        <v>0.02380835171</v>
      </c>
      <c r="V98" s="21">
        <v>12681.9</v>
      </c>
      <c r="W98" s="23">
        <f>IFERROR(V98/V148, "NA")</f>
        <v>0.09390401042</v>
      </c>
      <c r="X98" s="21">
        <v>1932.33</v>
      </c>
      <c r="Y98" s="23">
        <f>IFERROR(X98/X148, "NA")</f>
        <v>0.01666623111</v>
      </c>
      <c r="Z98" s="21">
        <v>18902.07</v>
      </c>
      <c r="AA98" s="23">
        <f>IFERROR(Z98/Z148, "NA")</f>
        <v>0.04385759407</v>
      </c>
      <c r="AB98" s="28">
        <f t="shared" si="43"/>
        <v>4725.5175</v>
      </c>
      <c r="AC98" s="23">
        <f>IFERROR(AB98/AB148, "NA")</f>
        <v>0.04385759407</v>
      </c>
      <c r="AD98" s="29">
        <f t="shared" si="44"/>
        <v>-2793.1875</v>
      </c>
      <c r="AE98" s="30">
        <f>IFERROR(AD98/AD148, "NA")</f>
        <v>-0.340799593</v>
      </c>
      <c r="AF98" s="29">
        <f t="shared" si="45"/>
        <v>-0.5910860557</v>
      </c>
      <c r="AG98" s="28">
        <f t="shared" si="46"/>
        <v>5208.675</v>
      </c>
      <c r="AH98" s="23">
        <f>IFERROR(AG98/AG148, "NA")</f>
        <v>0.04699188936</v>
      </c>
      <c r="AI98" s="29">
        <f t="shared" si="47"/>
        <v>-3276.345</v>
      </c>
      <c r="AJ98" s="30">
        <f>IFERROR(AI98/AI148, "NA")</f>
        <v>-0.6423160544</v>
      </c>
      <c r="AK98" s="29">
        <f t="shared" si="48"/>
        <v>-0.6290169765</v>
      </c>
      <c r="AL98" s="30">
        <f>IFERROR(AK98/AK148, "NA")</f>
        <v>-13.66865779</v>
      </c>
    </row>
    <row r="99" ht="16.5" hidden="1" customHeight="1">
      <c r="A99" s="65" t="s">
        <v>213</v>
      </c>
      <c r="B99" s="66">
        <f>IFERROR(B90+B91+B92+B93+B94+B95+B96+B97+B98, "NA")</f>
        <v>31692.4</v>
      </c>
      <c r="C99" s="67">
        <f>IFERROR(B99/B148, "NA")</f>
        <v>0.15558804</v>
      </c>
      <c r="D99" s="66">
        <f>IFERROR(D90+D91+D92+D93+D94+D95+D96+D97+D98, "NA")</f>
        <v>38623.27</v>
      </c>
      <c r="E99" s="67">
        <f>IFERROR(D99/D148, "NA")</f>
        <v>0.2080948173</v>
      </c>
      <c r="F99" s="66">
        <f>IFERROR(F90+F91+F92+F93+F94+F95+F96+F97+F98, "NA")</f>
        <v>41366.12</v>
      </c>
      <c r="G99" s="67">
        <f>IFERROR(F99/F148, "NA")</f>
        <v>0.292839056</v>
      </c>
      <c r="H99" s="66">
        <f>IFERROR(H90+H91+H92+H93+H94+H95+H96+H97+H98, "NA")</f>
        <v>19236.69</v>
      </c>
      <c r="I99" s="67">
        <f>IFERROR(H99/H148, "NA")</f>
        <v>0.2576423384</v>
      </c>
      <c r="J99" s="66">
        <f>IFERROR(J90+J91+J92+J93+J94+J95+J96+J97+J98, "NA")</f>
        <v>34417.17</v>
      </c>
      <c r="K99" s="67">
        <f>IFERROR(J99/J148, "NA")</f>
        <v>0.2416966647</v>
      </c>
      <c r="L99" s="66">
        <f>IFERROR(L90+L91+L92+L93+L94+L95+L96+L97+L98, "NA")</f>
        <v>30845.2</v>
      </c>
      <c r="M99" s="67">
        <f>IFERROR(L99/L148, "NA")</f>
        <v>0.2282456382</v>
      </c>
      <c r="N99" s="66">
        <f>IFERROR(N90+N91+N92+N93+N94+N95+N96+N97+N98, "NA")</f>
        <v>38407.83</v>
      </c>
      <c r="O99" s="67">
        <f>IFERROR(N99/N148, "NA")</f>
        <v>0.3158605928</v>
      </c>
      <c r="P99" s="66">
        <f>IFERROR(P90+P91+P92+P93+P94+P95+P96+P97+P98, "NA")</f>
        <v>23885.75</v>
      </c>
      <c r="Q99" s="67">
        <f>IFERROR(P99/P148, "NA")</f>
        <v>0.421915569</v>
      </c>
      <c r="R99" s="66">
        <f>IFERROR(R90+R91+R92+R93+R94+R95+R96+R97+R98, "NA")</f>
        <v>16081.66</v>
      </c>
      <c r="S99" s="67">
        <f>IFERROR(R99/R148, "NA")</f>
        <v>0.2314352802</v>
      </c>
      <c r="T99" s="66">
        <f>IFERROR(T90+T91+T92+T93+T94+T95+T96+T97+T98, "NA")</f>
        <v>24133.27</v>
      </c>
      <c r="U99" s="67">
        <f>IFERROR(T99/T148, "NA")</f>
        <v>0.2183884195</v>
      </c>
      <c r="V99" s="66">
        <f>IFERROR(V90+V91+V92+V93+V94+V95+V96+V97+V98, "NA")</f>
        <v>37305.2</v>
      </c>
      <c r="W99" s="67">
        <f>IFERROR(V99/V148, "NA")</f>
        <v>0.2762289475</v>
      </c>
      <c r="X99" s="66">
        <f>IFERROR(X90+X91+X92+X93+X94+X95+X96+X97+X98, "NA")</f>
        <v>23001.92</v>
      </c>
      <c r="Y99" s="67">
        <f>IFERROR(X99/X148, "NA")</f>
        <v>0.1983901894</v>
      </c>
      <c r="Z99" s="66">
        <f>IFERROR(Z90+Z91+Z92+Z93+Z94+Z95+Z96+Z97+Z98, "NA")</f>
        <v>100522.05</v>
      </c>
      <c r="AA99" s="67">
        <f>IFERROR(Z99/Z148, "NA")</f>
        <v>0.2332366383</v>
      </c>
      <c r="AB99" s="66">
        <f t="shared" si="43"/>
        <v>25130.5125</v>
      </c>
      <c r="AC99" s="67">
        <f>IFERROR(AB99/AB148, "NA")</f>
        <v>0.2332366383</v>
      </c>
      <c r="AD99" s="75">
        <f t="shared" si="44"/>
        <v>-2128.5925</v>
      </c>
      <c r="AE99" s="76">
        <f>IFERROR(AD99/AD148, "NA")</f>
        <v>-0.2597116941</v>
      </c>
      <c r="AF99" s="75">
        <f t="shared" si="45"/>
        <v>-0.08470151574</v>
      </c>
      <c r="AG99" s="66">
        <f t="shared" si="46"/>
        <v>28509.75</v>
      </c>
      <c r="AH99" s="67">
        <f>IFERROR(AG99/AG148, "NA")</f>
        <v>0.2572107144</v>
      </c>
      <c r="AI99" s="75">
        <f t="shared" si="47"/>
        <v>-5507.83</v>
      </c>
      <c r="AJ99" s="76">
        <f>IFERROR(AI99/AI148, "NA")</f>
        <v>-1.079790936</v>
      </c>
      <c r="AK99" s="75">
        <f t="shared" si="48"/>
        <v>-0.1931911013</v>
      </c>
      <c r="AL99" s="76">
        <f>IFERROR(AK99/AK148, "NA")</f>
        <v>-4.198079146</v>
      </c>
    </row>
    <row r="100" ht="16.5" hidden="1" customHeight="1">
      <c r="A100" s="123"/>
      <c r="B100" s="124"/>
      <c r="C100" s="74"/>
      <c r="D100" s="124"/>
      <c r="E100" s="74"/>
      <c r="F100" s="124"/>
      <c r="G100" s="74"/>
      <c r="H100" s="124"/>
      <c r="I100" s="74"/>
      <c r="J100" s="124"/>
      <c r="K100" s="74"/>
      <c r="L100" s="124"/>
      <c r="M100" s="74"/>
      <c r="N100" s="124"/>
      <c r="O100" s="74"/>
      <c r="P100" s="124"/>
      <c r="Q100" s="74"/>
      <c r="R100" s="124"/>
      <c r="S100" s="74"/>
      <c r="T100" s="124"/>
      <c r="U100" s="74"/>
      <c r="V100" s="124"/>
      <c r="W100" s="74"/>
      <c r="X100" s="124"/>
      <c r="Y100" s="74"/>
      <c r="Z100" s="124"/>
      <c r="AA100" s="74"/>
      <c r="AB100" s="124"/>
      <c r="AC100" s="74"/>
      <c r="AD100" s="125"/>
      <c r="AE100" s="80"/>
      <c r="AF100" s="125"/>
      <c r="AG100" s="124"/>
      <c r="AH100" s="74"/>
      <c r="AI100" s="125"/>
      <c r="AJ100" s="80"/>
      <c r="AK100" s="125"/>
      <c r="AL100" s="80"/>
    </row>
    <row r="101" ht="16.5" hidden="1" customHeight="1">
      <c r="A101" s="121" t="s">
        <v>214</v>
      </c>
      <c r="B101" s="122">
        <f>IFERROR(B87-B99, "NA")</f>
        <v>76405.61</v>
      </c>
      <c r="C101" s="94">
        <f>IFERROR(B101/B148, "NA")</f>
        <v>0.3750993646</v>
      </c>
      <c r="D101" s="122">
        <f>IFERROR(D87-D99, "NA")</f>
        <v>56027.22</v>
      </c>
      <c r="E101" s="94">
        <f>IFERROR(D101/D148, "NA")</f>
        <v>0.3018639827</v>
      </c>
      <c r="F101" s="122">
        <f>IFERROR(F87-F99, "NA")</f>
        <v>28774.31</v>
      </c>
      <c r="G101" s="94">
        <f>IFERROR(F101/F148, "NA")</f>
        <v>0.2036991088</v>
      </c>
      <c r="H101" s="122">
        <f>IFERROR(H87-H99, "NA")</f>
        <v>3881.49</v>
      </c>
      <c r="I101" s="94">
        <f>IFERROR(H101/H148, "NA")</f>
        <v>0.05198587491</v>
      </c>
      <c r="J101" s="122">
        <f>IFERROR(J87-J99, "NA")</f>
        <v>32205.16</v>
      </c>
      <c r="K101" s="94">
        <f>IFERROR(J101/J148, "NA")</f>
        <v>0.2261626903</v>
      </c>
      <c r="L101" s="122">
        <f>IFERROR(L87-L99, "NA")</f>
        <v>28115.7</v>
      </c>
      <c r="M101" s="94">
        <f>IFERROR(L101/L148, "NA")</f>
        <v>0.2080481206</v>
      </c>
      <c r="N101" s="122">
        <f>IFERROR(N87-N99, "NA")</f>
        <v>9268.05</v>
      </c>
      <c r="O101" s="94">
        <f>IFERROR(N101/N148, "NA")</f>
        <v>0.07621913986</v>
      </c>
      <c r="P101" s="122">
        <f>IFERROR(P87-P99, "NA")</f>
        <v>-11285.22</v>
      </c>
      <c r="Q101" s="94">
        <f>IFERROR(P101/P148, "NA")</f>
        <v>-0.1993410304</v>
      </c>
      <c r="R101" s="122">
        <f>IFERROR(R87-R99, "NA")</f>
        <v>2489.77</v>
      </c>
      <c r="S101" s="94">
        <f>IFERROR(R101/R148, "NA")</f>
        <v>0.03583091656</v>
      </c>
      <c r="T101" s="122">
        <f>IFERROR(T87-T99, "NA")</f>
        <v>19752.82</v>
      </c>
      <c r="U101" s="94">
        <f>IFERROR(T101/T148, "NA")</f>
        <v>0.1787485551</v>
      </c>
      <c r="V101" s="122">
        <f>IFERROR(V87-V99, "NA")</f>
        <v>23669.14</v>
      </c>
      <c r="W101" s="94">
        <f>IFERROR(V101/V148, "NA")</f>
        <v>0.175259793</v>
      </c>
      <c r="X101" s="122">
        <f>IFERROR(X87-X99, "NA")</f>
        <v>27233.11</v>
      </c>
      <c r="Y101" s="94">
        <f>IFERROR(X101/X148, "NA")</f>
        <v>0.234883951</v>
      </c>
      <c r="Z101" s="122">
        <f>IFERROR(Z87-Z99, "NA")</f>
        <v>73144.84</v>
      </c>
      <c r="AA101" s="94">
        <f>IFERROR(Z101/Z148, "NA")</f>
        <v>0.169714571</v>
      </c>
      <c r="AB101" s="122">
        <f>IFERROR((R101+T101+V101+X101)/4, "NA")</f>
        <v>18286.21</v>
      </c>
      <c r="AC101" s="94">
        <f>IFERROR(AB101/AB148, "NA")</f>
        <v>0.169714571</v>
      </c>
      <c r="AD101" s="75">
        <f>IFERROR(X101-AB101, "NA")</f>
        <v>8946.9</v>
      </c>
      <c r="AE101" s="76">
        <f>IFERROR(AD101/AD148, "NA")</f>
        <v>1.091620193</v>
      </c>
      <c r="AF101" s="75">
        <f>IFERROR((X101-AB101)/AB101, "NA")</f>
        <v>0.4892703299</v>
      </c>
      <c r="AG101" s="122">
        <f>IFERROR((J101+L101+N101+P101+R101+T101+V101+X101)/8, "NA")</f>
        <v>16431.06625</v>
      </c>
      <c r="AH101" s="94">
        <f>IFERROR(AG101/AG148, "NA")</f>
        <v>0.1482386302</v>
      </c>
      <c r="AI101" s="75">
        <f>IFERROR(X101-AG101, "NA")</f>
        <v>10802.04375</v>
      </c>
      <c r="AJ101" s="76">
        <f>IFERROR(AI101/AI148, "NA")</f>
        <v>2.117703148</v>
      </c>
      <c r="AK101" s="75">
        <f>IFERROR((X101-AG101)/AG101, "NA")</f>
        <v>0.6574158722</v>
      </c>
      <c r="AL101" s="76">
        <f>IFERROR(AK101/AK148, "NA")</f>
        <v>14.28577116</v>
      </c>
    </row>
    <row r="102" ht="3.75" hidden="1" customHeight="1">
      <c r="A102" s="123"/>
      <c r="B102" s="124"/>
      <c r="C102" s="74"/>
      <c r="D102" s="124"/>
      <c r="E102" s="74"/>
      <c r="F102" s="124"/>
      <c r="G102" s="74"/>
      <c r="H102" s="124"/>
      <c r="I102" s="74"/>
      <c r="J102" s="124"/>
      <c r="K102" s="74"/>
      <c r="L102" s="124"/>
      <c r="M102" s="74"/>
      <c r="N102" s="124"/>
      <c r="O102" s="74"/>
      <c r="P102" s="124"/>
      <c r="Q102" s="74"/>
      <c r="R102" s="124"/>
      <c r="S102" s="74"/>
      <c r="T102" s="124"/>
      <c r="U102" s="74"/>
      <c r="V102" s="124"/>
      <c r="W102" s="74"/>
      <c r="X102" s="124"/>
      <c r="Y102" s="74"/>
      <c r="Z102" s="124"/>
      <c r="AA102" s="74"/>
      <c r="AB102" s="124"/>
      <c r="AC102" s="74"/>
      <c r="AD102" s="125"/>
      <c r="AE102" s="80"/>
      <c r="AF102" s="125"/>
      <c r="AG102" s="124"/>
      <c r="AH102" s="74"/>
      <c r="AI102" s="125"/>
      <c r="AJ102" s="80"/>
      <c r="AK102" s="125"/>
      <c r="AL102" s="80"/>
    </row>
    <row r="103" ht="16.5" hidden="1" customHeight="1">
      <c r="A103" s="13" t="s">
        <v>215</v>
      </c>
      <c r="B103" s="14"/>
      <c r="C103" s="12"/>
      <c r="D103" s="14"/>
      <c r="E103" s="12"/>
      <c r="F103" s="14"/>
      <c r="G103" s="12"/>
      <c r="H103" s="14"/>
      <c r="I103" s="12"/>
      <c r="J103" s="14"/>
      <c r="K103" s="12"/>
      <c r="L103" s="14"/>
      <c r="M103" s="12"/>
      <c r="N103" s="14"/>
      <c r="O103" s="12"/>
      <c r="P103" s="14"/>
      <c r="Q103" s="12"/>
      <c r="R103" s="14"/>
      <c r="S103" s="12"/>
      <c r="T103" s="14"/>
      <c r="U103" s="12"/>
      <c r="V103" s="14"/>
      <c r="W103" s="12"/>
      <c r="X103" s="14"/>
      <c r="Y103" s="12"/>
      <c r="Z103" s="14"/>
      <c r="AA103" s="12"/>
      <c r="AB103" s="14"/>
      <c r="AC103" s="12"/>
      <c r="AD103" s="17"/>
      <c r="AE103" s="18"/>
      <c r="AF103" s="17"/>
      <c r="AG103" s="14"/>
      <c r="AH103" s="12"/>
      <c r="AI103" s="17"/>
      <c r="AJ103" s="18"/>
      <c r="AK103" s="17"/>
      <c r="AL103" s="18"/>
    </row>
    <row r="104" ht="16.5" hidden="1" customHeight="1">
      <c r="A104" s="126" t="s">
        <v>216</v>
      </c>
      <c r="B104" s="127">
        <v>0.0</v>
      </c>
      <c r="C104" s="94">
        <f>IFERROR(B104/B148, "NA")</f>
        <v>0</v>
      </c>
      <c r="D104" s="127">
        <v>12127.08</v>
      </c>
      <c r="E104" s="94">
        <f>IFERROR(D104/D148, "NA")</f>
        <v>0.06533839565</v>
      </c>
      <c r="F104" s="127">
        <v>76356.57</v>
      </c>
      <c r="G104" s="94">
        <f>IFERROR(F104/F148, "NA")</f>
        <v>0.540543466</v>
      </c>
      <c r="H104" s="127">
        <v>-1471.98</v>
      </c>
      <c r="I104" s="94">
        <f>IFERROR(H104/H148, "NA")</f>
        <v>-0.01971463746</v>
      </c>
      <c r="J104" s="127">
        <v>0.0</v>
      </c>
      <c r="K104" s="94">
        <f>IFERROR(J104/J148, "NA")</f>
        <v>0</v>
      </c>
      <c r="L104" s="127">
        <v>0.0</v>
      </c>
      <c r="M104" s="94">
        <f>IFERROR(L104/L148, "NA")</f>
        <v>0</v>
      </c>
      <c r="N104" s="127">
        <v>13317.49</v>
      </c>
      <c r="O104" s="94">
        <f>IFERROR(N104/N148, "NA")</f>
        <v>0.109521165</v>
      </c>
      <c r="P104" s="127">
        <v>85872.83</v>
      </c>
      <c r="Q104" s="94">
        <f>IFERROR(P104/P148, "NA")</f>
        <v>1.516849332</v>
      </c>
      <c r="R104" s="127">
        <v>-4573.37</v>
      </c>
      <c r="S104" s="94">
        <f>IFERROR(R104/R148, "NA")</f>
        <v>-0.06581653682</v>
      </c>
      <c r="T104" s="127">
        <v>0.0</v>
      </c>
      <c r="U104" s="94">
        <f>IFERROR(T104/T148, "NA")</f>
        <v>0</v>
      </c>
      <c r="V104" s="127">
        <v>8521.86</v>
      </c>
      <c r="W104" s="94">
        <f>IFERROR(V104/V148, "NA")</f>
        <v>0.06310070496</v>
      </c>
      <c r="X104" s="127">
        <v>67934.04</v>
      </c>
      <c r="Y104" s="94">
        <f>IFERROR(X104/X148, "NA")</f>
        <v>0.585927047</v>
      </c>
      <c r="Z104" s="127">
        <v>71882.53</v>
      </c>
      <c r="AA104" s="94">
        <f>IFERROR(Z104/Z148, "NA")</f>
        <v>0.1667856918</v>
      </c>
      <c r="AB104" s="122">
        <f t="shared" ref="AB104:AB105" si="49">IFERROR((R104+T104+V104+X104)/4, "NA")</f>
        <v>17970.6325</v>
      </c>
      <c r="AC104" s="94">
        <f>IFERROR(AB104/AB148, "NA")</f>
        <v>0.1667856918</v>
      </c>
      <c r="AD104" s="75">
        <f t="shared" ref="AD104:AD105" si="50">IFERROR(X104-AB104, "NA")</f>
        <v>49963.4075</v>
      </c>
      <c r="AE104" s="76">
        <f>IFERROR(AD104/AD148, "NA")</f>
        <v>6.096085186</v>
      </c>
      <c r="AF104" s="75">
        <f t="shared" ref="AF104:AF105" si="51">IFERROR((X104-AB104)/AB104, "NA")</f>
        <v>2.780280967</v>
      </c>
      <c r="AG104" s="122">
        <f t="shared" ref="AG104:AG105" si="52">IFERROR((J104+L104+N104+P104+R104+T104+V104+X104)/8, "NA")</f>
        <v>21384.10625</v>
      </c>
      <c r="AH104" s="94">
        <f>IFERROR(AG104/AG148, "NA")</f>
        <v>0.1929242187</v>
      </c>
      <c r="AI104" s="75">
        <f t="shared" ref="AI104:AI105" si="53">IFERROR(X104-AG104, "NA")</f>
        <v>46549.93375</v>
      </c>
      <c r="AJ104" s="76">
        <f>IFERROR(AI104/AI148, "NA")</f>
        <v>9.125952786</v>
      </c>
      <c r="AK104" s="75">
        <f t="shared" ref="AK104:AK105" si="54">IFERROR((X104-AG104)/AG104, "NA")</f>
        <v>2.17684729</v>
      </c>
      <c r="AL104" s="76">
        <f>IFERROR(AK104/AK148, "NA")</f>
        <v>47.30330307</v>
      </c>
    </row>
    <row r="105" ht="16.5" hidden="1" customHeight="1">
      <c r="A105" s="65" t="s">
        <v>217</v>
      </c>
      <c r="B105" s="66">
        <f>IFERROR(B104, "NA")</f>
        <v>0</v>
      </c>
      <c r="C105" s="67">
        <f>IFERROR(B105/B148, "NA")</f>
        <v>0</v>
      </c>
      <c r="D105" s="66">
        <f>IFERROR(D104, "NA")</f>
        <v>12127.08</v>
      </c>
      <c r="E105" s="67">
        <f>IFERROR(D105/D148, "NA")</f>
        <v>0.06533839565</v>
      </c>
      <c r="F105" s="66">
        <f>IFERROR(F104, "NA")</f>
        <v>76356.57</v>
      </c>
      <c r="G105" s="67">
        <f>IFERROR(F105/F148, "NA")</f>
        <v>0.540543466</v>
      </c>
      <c r="H105" s="66">
        <f>IFERROR(H104, "NA")</f>
        <v>-1471.98</v>
      </c>
      <c r="I105" s="67">
        <f>IFERROR(H105/H148, "NA")</f>
        <v>-0.01971463746</v>
      </c>
      <c r="J105" s="66">
        <f>IFERROR(J104, "NA")</f>
        <v>0</v>
      </c>
      <c r="K105" s="67">
        <f>IFERROR(J105/J148, "NA")</f>
        <v>0</v>
      </c>
      <c r="L105" s="66">
        <f>IFERROR(L104, "NA")</f>
        <v>0</v>
      </c>
      <c r="M105" s="67">
        <f>IFERROR(L105/L148, "NA")</f>
        <v>0</v>
      </c>
      <c r="N105" s="66">
        <f>IFERROR(N104, "NA")</f>
        <v>13317.49</v>
      </c>
      <c r="O105" s="67">
        <f>IFERROR(N105/N148, "NA")</f>
        <v>0.109521165</v>
      </c>
      <c r="P105" s="66">
        <f>IFERROR(P104, "NA")</f>
        <v>85872.83</v>
      </c>
      <c r="Q105" s="67">
        <f>IFERROR(P105/P148, "NA")</f>
        <v>1.516849332</v>
      </c>
      <c r="R105" s="66">
        <f>IFERROR(R104, "NA")</f>
        <v>-4573.37</v>
      </c>
      <c r="S105" s="67">
        <f>IFERROR(R105/R148, "NA")</f>
        <v>-0.06581653682</v>
      </c>
      <c r="T105" s="66">
        <f>IFERROR(T104, "NA")</f>
        <v>0</v>
      </c>
      <c r="U105" s="67">
        <f>IFERROR(T105/T148, "NA")</f>
        <v>0</v>
      </c>
      <c r="V105" s="66">
        <f>IFERROR(V104, "NA")</f>
        <v>8521.86</v>
      </c>
      <c r="W105" s="67">
        <f>IFERROR(V105/V148, "NA")</f>
        <v>0.06310070496</v>
      </c>
      <c r="X105" s="66">
        <f>IFERROR(X104, "NA")</f>
        <v>67934.04</v>
      </c>
      <c r="Y105" s="67">
        <f>IFERROR(X105/X148, "NA")</f>
        <v>0.585927047</v>
      </c>
      <c r="Z105" s="66">
        <f>IFERROR(Z104, "NA")</f>
        <v>71882.53</v>
      </c>
      <c r="AA105" s="67">
        <f>IFERROR(Z105/Z148, "NA")</f>
        <v>0.1667856918</v>
      </c>
      <c r="AB105" s="66">
        <f t="shared" si="49"/>
        <v>17970.6325</v>
      </c>
      <c r="AC105" s="67">
        <f>IFERROR(AB105/AB148, "NA")</f>
        <v>0.1667856918</v>
      </c>
      <c r="AD105" s="75">
        <f t="shared" si="50"/>
        <v>49963.4075</v>
      </c>
      <c r="AE105" s="76">
        <f>IFERROR(AD105/AD148, "NA")</f>
        <v>6.096085186</v>
      </c>
      <c r="AF105" s="75">
        <f t="shared" si="51"/>
        <v>2.780280967</v>
      </c>
      <c r="AG105" s="66">
        <f t="shared" si="52"/>
        <v>21384.10625</v>
      </c>
      <c r="AH105" s="67">
        <f>IFERROR(AG105/AG148, "NA")</f>
        <v>0.1929242187</v>
      </c>
      <c r="AI105" s="75">
        <f t="shared" si="53"/>
        <v>46549.93375</v>
      </c>
      <c r="AJ105" s="76">
        <f>IFERROR(AI105/AI148, "NA")</f>
        <v>9.125952786</v>
      </c>
      <c r="AK105" s="75">
        <f t="shared" si="54"/>
        <v>2.17684729</v>
      </c>
      <c r="AL105" s="76">
        <f>IFERROR(AK105/AK148, "NA")</f>
        <v>47.30330307</v>
      </c>
    </row>
    <row r="106" ht="16.5" hidden="1" customHeight="1">
      <c r="A106" s="123"/>
      <c r="B106" s="124"/>
      <c r="C106" s="74"/>
      <c r="D106" s="124"/>
      <c r="E106" s="74"/>
      <c r="F106" s="124"/>
      <c r="G106" s="74"/>
      <c r="H106" s="124"/>
      <c r="I106" s="74"/>
      <c r="J106" s="124"/>
      <c r="K106" s="74"/>
      <c r="L106" s="124"/>
      <c r="M106" s="74"/>
      <c r="N106" s="124"/>
      <c r="O106" s="74"/>
      <c r="P106" s="124"/>
      <c r="Q106" s="74"/>
      <c r="R106" s="124"/>
      <c r="S106" s="74"/>
      <c r="T106" s="124"/>
      <c r="U106" s="74"/>
      <c r="V106" s="124"/>
      <c r="W106" s="74"/>
      <c r="X106" s="124"/>
      <c r="Y106" s="74"/>
      <c r="Z106" s="124"/>
      <c r="AA106" s="74"/>
      <c r="AB106" s="124"/>
      <c r="AC106" s="74"/>
      <c r="AD106" s="125"/>
      <c r="AE106" s="80"/>
      <c r="AF106" s="125"/>
      <c r="AG106" s="124"/>
      <c r="AH106" s="74"/>
      <c r="AI106" s="125"/>
      <c r="AJ106" s="80"/>
      <c r="AK106" s="125"/>
      <c r="AL106" s="80"/>
    </row>
    <row r="107" ht="16.5" hidden="1" customHeight="1">
      <c r="A107" s="121" t="s">
        <v>218</v>
      </c>
      <c r="B107" s="122">
        <f>IFERROR(B87-B99-B105, "NA")</f>
        <v>76405.61</v>
      </c>
      <c r="C107" s="94">
        <f>IFERROR(B107/B148, "NA")</f>
        <v>0.3750993646</v>
      </c>
      <c r="D107" s="122">
        <f>IFERROR(D87-D99-D105, "NA")</f>
        <v>43900.14</v>
      </c>
      <c r="E107" s="94">
        <f>IFERROR(D107/D148, "NA")</f>
        <v>0.2365255871</v>
      </c>
      <c r="F107" s="122">
        <f>IFERROR(F87-F99-F105, "NA")</f>
        <v>-47582.26</v>
      </c>
      <c r="G107" s="94">
        <f>IFERROR(F107/F148, "NA")</f>
        <v>-0.3368443572</v>
      </c>
      <c r="H107" s="122">
        <f>IFERROR(H87-H99-H105, "NA")</f>
        <v>5353.47</v>
      </c>
      <c r="I107" s="94">
        <f>IFERROR(H107/H148, "NA")</f>
        <v>0.07170051237</v>
      </c>
      <c r="J107" s="122">
        <f>IFERROR(J87-J99-J105, "NA")</f>
        <v>32205.16</v>
      </c>
      <c r="K107" s="94">
        <f>IFERROR(J107/J148, "NA")</f>
        <v>0.2261626903</v>
      </c>
      <c r="L107" s="122">
        <f>IFERROR(L87-L99-L105, "NA")</f>
        <v>28115.7</v>
      </c>
      <c r="M107" s="94">
        <f>IFERROR(L107/L148, "NA")</f>
        <v>0.2080481206</v>
      </c>
      <c r="N107" s="122">
        <f>IFERROR(N87-N99-N105, "NA")</f>
        <v>-4049.44</v>
      </c>
      <c r="O107" s="94">
        <f>IFERROR(N107/N148, "NA")</f>
        <v>-0.0333020251</v>
      </c>
      <c r="P107" s="122">
        <f>IFERROR(P87-P99-P105, "NA")</f>
        <v>-97158.05</v>
      </c>
      <c r="Q107" s="94">
        <f>IFERROR(P107/P148, "NA")</f>
        <v>-1.716190362</v>
      </c>
      <c r="R107" s="122">
        <f>IFERROR(R87-R99-R105, "NA")</f>
        <v>7063.14</v>
      </c>
      <c r="S107" s="94">
        <f>IFERROR(R107/R148, "NA")</f>
        <v>0.1016474534</v>
      </c>
      <c r="T107" s="122">
        <f>IFERROR(T87-T99-T105, "NA")</f>
        <v>19752.82</v>
      </c>
      <c r="U107" s="94">
        <f>IFERROR(T107/T148, "NA")</f>
        <v>0.1787485551</v>
      </c>
      <c r="V107" s="122">
        <f>IFERROR(V87-V99-V105, "NA")</f>
        <v>15147.28</v>
      </c>
      <c r="W107" s="94">
        <f>IFERROR(V107/V148, "NA")</f>
        <v>0.1121590881</v>
      </c>
      <c r="X107" s="122">
        <f>IFERROR(X87-X99-X105, "NA")</f>
        <v>-40700.93</v>
      </c>
      <c r="Y107" s="94">
        <f>IFERROR(X107/X148, "NA")</f>
        <v>-0.351043096</v>
      </c>
      <c r="Z107" s="122">
        <f>IFERROR(Z87-Z99-Z105, "NA")</f>
        <v>1262.31</v>
      </c>
      <c r="AA107" s="94">
        <f>IFERROR(Z107/Z148, "NA")</f>
        <v>0.002928879195</v>
      </c>
      <c r="AB107" s="122">
        <f>IFERROR((R107+T107+V107+X107)/4, "NA")</f>
        <v>315.5775</v>
      </c>
      <c r="AC107" s="94">
        <f>IFERROR(AB107/AB148, "NA")</f>
        <v>0.002928879195</v>
      </c>
      <c r="AD107" s="75">
        <f>IFERROR(X107-AB107, "NA")</f>
        <v>-41016.5075</v>
      </c>
      <c r="AE107" s="76">
        <f>IFERROR(AD107/AD148, "NA")</f>
        <v>-5.004464992</v>
      </c>
      <c r="AF107" s="75">
        <f>IFERROR((X107-AB107)/AB107, "NA")</f>
        <v>-129.9728514</v>
      </c>
      <c r="AG107" s="122">
        <f>IFERROR((J107+L107+N107+P107+R107+T107+V107+X107)/8, "NA")</f>
        <v>-4953.04</v>
      </c>
      <c r="AH107" s="94">
        <f>IFERROR(AG107/AG148, "NA")</f>
        <v>-0.0446855885</v>
      </c>
      <c r="AI107" s="75">
        <f>IFERROR(X107-AG107, "NA")</f>
        <v>-35747.89</v>
      </c>
      <c r="AJ107" s="76">
        <f>IFERROR(AI107/AI148, "NA")</f>
        <v>-7.008249638</v>
      </c>
      <c r="AK107" s="75">
        <f>IFERROR((X107-AG107)/AG107, "NA")</f>
        <v>7.217363478</v>
      </c>
      <c r="AL107" s="76">
        <f>IFERROR(AK107/AK148, "NA")</f>
        <v>156.8346725</v>
      </c>
    </row>
    <row r="108" ht="3.75" hidden="1" customHeight="1">
      <c r="A108" s="123"/>
      <c r="B108" s="124"/>
      <c r="C108" s="74"/>
      <c r="D108" s="124"/>
      <c r="E108" s="74"/>
      <c r="F108" s="124"/>
      <c r="G108" s="74"/>
      <c r="H108" s="124"/>
      <c r="I108" s="74"/>
      <c r="J108" s="124"/>
      <c r="K108" s="74"/>
      <c r="L108" s="124"/>
      <c r="M108" s="74"/>
      <c r="N108" s="124"/>
      <c r="O108" s="74"/>
      <c r="P108" s="124"/>
      <c r="Q108" s="74"/>
      <c r="R108" s="124"/>
      <c r="S108" s="74"/>
      <c r="T108" s="124"/>
      <c r="U108" s="74"/>
      <c r="V108" s="124"/>
      <c r="W108" s="74"/>
      <c r="X108" s="124"/>
      <c r="Y108" s="74"/>
      <c r="Z108" s="124"/>
      <c r="AA108" s="74"/>
      <c r="AB108" s="124"/>
      <c r="AC108" s="74"/>
      <c r="AD108" s="125"/>
      <c r="AE108" s="80"/>
      <c r="AF108" s="125"/>
      <c r="AG108" s="124"/>
      <c r="AH108" s="74"/>
      <c r="AI108" s="125"/>
      <c r="AJ108" s="80"/>
      <c r="AK108" s="125"/>
      <c r="AL108" s="80"/>
    </row>
    <row r="109" ht="16.5" hidden="1" customHeight="1">
      <c r="A109" s="13" t="s">
        <v>219</v>
      </c>
      <c r="B109" s="14"/>
      <c r="C109" s="12"/>
      <c r="D109" s="14"/>
      <c r="E109" s="12"/>
      <c r="F109" s="14"/>
      <c r="G109" s="12"/>
      <c r="H109" s="14"/>
      <c r="I109" s="12"/>
      <c r="J109" s="14"/>
      <c r="K109" s="12"/>
      <c r="L109" s="14"/>
      <c r="M109" s="12"/>
      <c r="N109" s="14"/>
      <c r="O109" s="12"/>
      <c r="P109" s="14"/>
      <c r="Q109" s="12"/>
      <c r="R109" s="14"/>
      <c r="S109" s="12"/>
      <c r="T109" s="14"/>
      <c r="U109" s="12"/>
      <c r="V109" s="14"/>
      <c r="W109" s="12"/>
      <c r="X109" s="14"/>
      <c r="Y109" s="12"/>
      <c r="Z109" s="14"/>
      <c r="AA109" s="12"/>
      <c r="AB109" s="14"/>
      <c r="AC109" s="12"/>
      <c r="AD109" s="17"/>
      <c r="AE109" s="18"/>
      <c r="AF109" s="17"/>
      <c r="AG109" s="14"/>
      <c r="AH109" s="12"/>
      <c r="AI109" s="17"/>
      <c r="AJ109" s="18"/>
      <c r="AK109" s="17"/>
      <c r="AL109" s="18"/>
    </row>
    <row r="110" ht="16.5" hidden="1" customHeight="1">
      <c r="A110" s="19" t="s">
        <v>220</v>
      </c>
      <c r="B110" s="21">
        <v>0.0</v>
      </c>
      <c r="C110" s="23">
        <f>IFERROR(B110/B148, "NA")</f>
        <v>0</v>
      </c>
      <c r="D110" s="21">
        <v>0.0</v>
      </c>
      <c r="E110" s="23">
        <f>IFERROR(D110/D148, "NA")</f>
        <v>0</v>
      </c>
      <c r="F110" s="21">
        <v>0.0</v>
      </c>
      <c r="G110" s="23">
        <f>IFERROR(F110/F148, "NA")</f>
        <v>0</v>
      </c>
      <c r="H110" s="21">
        <v>0.0</v>
      </c>
      <c r="I110" s="23">
        <f>IFERROR(H110/H148, "NA")</f>
        <v>0</v>
      </c>
      <c r="J110" s="21">
        <v>0.0</v>
      </c>
      <c r="K110" s="23">
        <f>IFERROR(J110/J148, "NA")</f>
        <v>0</v>
      </c>
      <c r="L110" s="21">
        <v>0.0</v>
      </c>
      <c r="M110" s="23">
        <f>IFERROR(L110/L148, "NA")</f>
        <v>0</v>
      </c>
      <c r="N110" s="21">
        <v>0.0</v>
      </c>
      <c r="O110" s="23">
        <f>IFERROR(N110/N148, "NA")</f>
        <v>0</v>
      </c>
      <c r="P110" s="21">
        <v>0.0</v>
      </c>
      <c r="Q110" s="23">
        <f>IFERROR(P110/P148, "NA")</f>
        <v>0</v>
      </c>
      <c r="R110" s="21">
        <v>0.0</v>
      </c>
      <c r="S110" s="23">
        <f>IFERROR(R110/R148, "NA")</f>
        <v>0</v>
      </c>
      <c r="T110" s="21">
        <v>0.0</v>
      </c>
      <c r="U110" s="23">
        <f>IFERROR(T110/T148, "NA")</f>
        <v>0</v>
      </c>
      <c r="V110" s="21">
        <v>0.0</v>
      </c>
      <c r="W110" s="23">
        <f>IFERROR(V110/V148, "NA")</f>
        <v>0</v>
      </c>
      <c r="X110" s="21">
        <v>0.0</v>
      </c>
      <c r="Y110" s="23">
        <f>IFERROR(X110/X148, "NA")</f>
        <v>0</v>
      </c>
      <c r="Z110" s="21">
        <v>0.0</v>
      </c>
      <c r="AA110" s="23">
        <f>IFERROR(Z110/Z148, "NA")</f>
        <v>0</v>
      </c>
      <c r="AB110" s="28">
        <f t="shared" ref="AB110:AB135" si="55">IFERROR((R110+T110+V110+X110)/4, "NA")</f>
        <v>0</v>
      </c>
      <c r="AC110" s="23">
        <f>IFERROR(AB110/AB148, "NA")</f>
        <v>0</v>
      </c>
      <c r="AD110" s="29">
        <f t="shared" ref="AD110:AD135" si="56">IFERROR(X110-AB110, "NA")</f>
        <v>0</v>
      </c>
      <c r="AE110" s="30">
        <f>IFERROR(AD110/AD148, "NA")</f>
        <v>0</v>
      </c>
      <c r="AF110" s="29" t="str">
        <f t="shared" ref="AF110:AF135" si="57">IFERROR((X110-AB110)/AB110, "NA")</f>
        <v>NA</v>
      </c>
      <c r="AG110" s="28">
        <f t="shared" ref="AG110:AG135" si="58">IFERROR((J110+L110+N110+P110+R110+T110+V110+X110)/8, "NA")</f>
        <v>0</v>
      </c>
      <c r="AH110" s="23">
        <f>IFERROR(AG110/AG148, "NA")</f>
        <v>0</v>
      </c>
      <c r="AI110" s="29">
        <f t="shared" ref="AI110:AI135" si="59">IFERROR(X110-AG110, "NA")</f>
        <v>0</v>
      </c>
      <c r="AJ110" s="30">
        <f>IFERROR(AI110/AI148, "NA")</f>
        <v>0</v>
      </c>
      <c r="AK110" s="29" t="str">
        <f t="shared" ref="AK110:AK135" si="60">IFERROR((X110-AG110)/AG110, "NA")</f>
        <v>NA</v>
      </c>
      <c r="AL110" s="30" t="str">
        <f>IFERROR(AK110/AK148, "NA")</f>
        <v>NA</v>
      </c>
    </row>
    <row r="111" ht="16.5" hidden="1" customHeight="1">
      <c r="A111" s="19" t="s">
        <v>221</v>
      </c>
      <c r="B111" s="21">
        <v>0.0</v>
      </c>
      <c r="C111" s="23">
        <f>IFERROR(B111/B148, "NA")</f>
        <v>0</v>
      </c>
      <c r="D111" s="21">
        <v>0.0</v>
      </c>
      <c r="E111" s="23">
        <f>IFERROR(D111/D148, "NA")</f>
        <v>0</v>
      </c>
      <c r="F111" s="21">
        <v>0.0</v>
      </c>
      <c r="G111" s="23">
        <f>IFERROR(F111/F148, "NA")</f>
        <v>0</v>
      </c>
      <c r="H111" s="21">
        <v>0.0</v>
      </c>
      <c r="I111" s="23">
        <f>IFERROR(H111/H148, "NA")</f>
        <v>0</v>
      </c>
      <c r="J111" s="21">
        <v>0.0</v>
      </c>
      <c r="K111" s="23">
        <f>IFERROR(J111/J148, "NA")</f>
        <v>0</v>
      </c>
      <c r="L111" s="21">
        <v>0.0</v>
      </c>
      <c r="M111" s="23">
        <f>IFERROR(L111/L148, "NA")</f>
        <v>0</v>
      </c>
      <c r="N111" s="21">
        <v>0.0</v>
      </c>
      <c r="O111" s="23">
        <f>IFERROR(N111/N148, "NA")</f>
        <v>0</v>
      </c>
      <c r="P111" s="21">
        <v>0.0</v>
      </c>
      <c r="Q111" s="23">
        <f>IFERROR(P111/P148, "NA")</f>
        <v>0</v>
      </c>
      <c r="R111" s="21">
        <v>0.0</v>
      </c>
      <c r="S111" s="23">
        <f>IFERROR(R111/R148, "NA")</f>
        <v>0</v>
      </c>
      <c r="T111" s="21">
        <v>0.0</v>
      </c>
      <c r="U111" s="23">
        <f>IFERROR(T111/T148, "NA")</f>
        <v>0</v>
      </c>
      <c r="V111" s="21">
        <v>0.0</v>
      </c>
      <c r="W111" s="23">
        <f>IFERROR(V111/V148, "NA")</f>
        <v>0</v>
      </c>
      <c r="X111" s="21">
        <v>0.0</v>
      </c>
      <c r="Y111" s="23">
        <f>IFERROR(X111/X148, "NA")</f>
        <v>0</v>
      </c>
      <c r="Z111" s="21">
        <v>0.0</v>
      </c>
      <c r="AA111" s="23">
        <f>IFERROR(Z111/Z148, "NA")</f>
        <v>0</v>
      </c>
      <c r="AB111" s="28">
        <f t="shared" si="55"/>
        <v>0</v>
      </c>
      <c r="AC111" s="23">
        <f>IFERROR(AB111/AB148, "NA")</f>
        <v>0</v>
      </c>
      <c r="AD111" s="29">
        <f t="shared" si="56"/>
        <v>0</v>
      </c>
      <c r="AE111" s="30">
        <f>IFERROR(AD111/AD148, "NA")</f>
        <v>0</v>
      </c>
      <c r="AF111" s="29" t="str">
        <f t="shared" si="57"/>
        <v>NA</v>
      </c>
      <c r="AG111" s="28">
        <f t="shared" si="58"/>
        <v>0</v>
      </c>
      <c r="AH111" s="23">
        <f>IFERROR(AG111/AG148, "NA")</f>
        <v>0</v>
      </c>
      <c r="AI111" s="29">
        <f t="shared" si="59"/>
        <v>0</v>
      </c>
      <c r="AJ111" s="30">
        <f>IFERROR(AI111/AI148, "NA")</f>
        <v>0</v>
      </c>
      <c r="AK111" s="29" t="str">
        <f t="shared" si="60"/>
        <v>NA</v>
      </c>
      <c r="AL111" s="30" t="str">
        <f>IFERROR(AK111/AK148, "NA")</f>
        <v>NA</v>
      </c>
    </row>
    <row r="112" ht="16.5" hidden="1" customHeight="1">
      <c r="A112" s="19" t="s">
        <v>222</v>
      </c>
      <c r="B112" s="21">
        <v>0.0</v>
      </c>
      <c r="C112" s="23">
        <f>IFERROR(B112/B148, "NA")</f>
        <v>0</v>
      </c>
      <c r="D112" s="21">
        <v>0.0</v>
      </c>
      <c r="E112" s="23">
        <f>IFERROR(D112/D148, "NA")</f>
        <v>0</v>
      </c>
      <c r="F112" s="21">
        <v>0.0</v>
      </c>
      <c r="G112" s="23">
        <f>IFERROR(F112/F148, "NA")</f>
        <v>0</v>
      </c>
      <c r="H112" s="21">
        <v>0.0</v>
      </c>
      <c r="I112" s="23">
        <f>IFERROR(H112/H148, "NA")</f>
        <v>0</v>
      </c>
      <c r="J112" s="21">
        <v>0.0</v>
      </c>
      <c r="K112" s="23">
        <f>IFERROR(J112/J148, "NA")</f>
        <v>0</v>
      </c>
      <c r="L112" s="21">
        <v>0.0</v>
      </c>
      <c r="M112" s="23">
        <f>IFERROR(L112/L148, "NA")</f>
        <v>0</v>
      </c>
      <c r="N112" s="21">
        <v>0.0</v>
      </c>
      <c r="O112" s="23">
        <f>IFERROR(N112/N148, "NA")</f>
        <v>0</v>
      </c>
      <c r="P112" s="21">
        <v>0.0</v>
      </c>
      <c r="Q112" s="23">
        <f>IFERROR(P112/P148, "NA")</f>
        <v>0</v>
      </c>
      <c r="R112" s="21">
        <v>0.0</v>
      </c>
      <c r="S112" s="23">
        <f>IFERROR(R112/R148, "NA")</f>
        <v>0</v>
      </c>
      <c r="T112" s="21">
        <v>0.0</v>
      </c>
      <c r="U112" s="23">
        <f>IFERROR(T112/T148, "NA")</f>
        <v>0</v>
      </c>
      <c r="V112" s="21">
        <v>0.0</v>
      </c>
      <c r="W112" s="23">
        <f>IFERROR(V112/V148, "NA")</f>
        <v>0</v>
      </c>
      <c r="X112" s="21">
        <v>0.0</v>
      </c>
      <c r="Y112" s="23">
        <f>IFERROR(X112/X148, "NA")</f>
        <v>0</v>
      </c>
      <c r="Z112" s="21">
        <v>0.0</v>
      </c>
      <c r="AA112" s="23">
        <f>IFERROR(Z112/Z148, "NA")</f>
        <v>0</v>
      </c>
      <c r="AB112" s="28">
        <f t="shared" si="55"/>
        <v>0</v>
      </c>
      <c r="AC112" s="23">
        <f>IFERROR(AB112/AB148, "NA")</f>
        <v>0</v>
      </c>
      <c r="AD112" s="29">
        <f t="shared" si="56"/>
        <v>0</v>
      </c>
      <c r="AE112" s="30">
        <f>IFERROR(AD112/AD148, "NA")</f>
        <v>0</v>
      </c>
      <c r="AF112" s="29" t="str">
        <f t="shared" si="57"/>
        <v>NA</v>
      </c>
      <c r="AG112" s="28">
        <f t="shared" si="58"/>
        <v>0</v>
      </c>
      <c r="AH112" s="23">
        <f>IFERROR(AG112/AG148, "NA")</f>
        <v>0</v>
      </c>
      <c r="AI112" s="29">
        <f t="shared" si="59"/>
        <v>0</v>
      </c>
      <c r="AJ112" s="30">
        <f>IFERROR(AI112/AI148, "NA")</f>
        <v>0</v>
      </c>
      <c r="AK112" s="29" t="str">
        <f t="shared" si="60"/>
        <v>NA</v>
      </c>
      <c r="AL112" s="30" t="str">
        <f>IFERROR(AK112/AK148, "NA")</f>
        <v>NA</v>
      </c>
    </row>
    <row r="113" ht="16.5" hidden="1" customHeight="1">
      <c r="A113" s="19" t="s">
        <v>223</v>
      </c>
      <c r="B113" s="21">
        <v>0.0</v>
      </c>
      <c r="C113" s="23">
        <f>IFERROR(B113/B148, "NA")</f>
        <v>0</v>
      </c>
      <c r="D113" s="21">
        <v>0.0</v>
      </c>
      <c r="E113" s="23">
        <f>IFERROR(D113/D148, "NA")</f>
        <v>0</v>
      </c>
      <c r="F113" s="21">
        <v>0.0</v>
      </c>
      <c r="G113" s="23">
        <f>IFERROR(F113/F148, "NA")</f>
        <v>0</v>
      </c>
      <c r="H113" s="21">
        <v>0.0</v>
      </c>
      <c r="I113" s="23">
        <f>IFERROR(H113/H148, "NA")</f>
        <v>0</v>
      </c>
      <c r="J113" s="21">
        <v>0.0</v>
      </c>
      <c r="K113" s="23">
        <f>IFERROR(J113/J148, "NA")</f>
        <v>0</v>
      </c>
      <c r="L113" s="21">
        <v>0.0</v>
      </c>
      <c r="M113" s="23">
        <f>IFERROR(L113/L148, "NA")</f>
        <v>0</v>
      </c>
      <c r="N113" s="21">
        <v>0.0</v>
      </c>
      <c r="O113" s="23">
        <f>IFERROR(N113/N148, "NA")</f>
        <v>0</v>
      </c>
      <c r="P113" s="21">
        <v>0.0</v>
      </c>
      <c r="Q113" s="23">
        <f>IFERROR(P113/P148, "NA")</f>
        <v>0</v>
      </c>
      <c r="R113" s="21">
        <v>0.0</v>
      </c>
      <c r="S113" s="23">
        <f>IFERROR(R113/R148, "NA")</f>
        <v>0</v>
      </c>
      <c r="T113" s="21">
        <v>0.0</v>
      </c>
      <c r="U113" s="23">
        <f>IFERROR(T113/T148, "NA")</f>
        <v>0</v>
      </c>
      <c r="V113" s="21">
        <v>0.0</v>
      </c>
      <c r="W113" s="23">
        <f>IFERROR(V113/V148, "NA")</f>
        <v>0</v>
      </c>
      <c r="X113" s="21">
        <v>0.0</v>
      </c>
      <c r="Y113" s="23">
        <f>IFERROR(X113/X148, "NA")</f>
        <v>0</v>
      </c>
      <c r="Z113" s="21">
        <v>0.0</v>
      </c>
      <c r="AA113" s="23">
        <f>IFERROR(Z113/Z148, "NA")</f>
        <v>0</v>
      </c>
      <c r="AB113" s="28">
        <f t="shared" si="55"/>
        <v>0</v>
      </c>
      <c r="AC113" s="23">
        <f>IFERROR(AB113/AB148, "NA")</f>
        <v>0</v>
      </c>
      <c r="AD113" s="29">
        <f t="shared" si="56"/>
        <v>0</v>
      </c>
      <c r="AE113" s="30">
        <f>IFERROR(AD113/AD148, "NA")</f>
        <v>0</v>
      </c>
      <c r="AF113" s="29" t="str">
        <f t="shared" si="57"/>
        <v>NA</v>
      </c>
      <c r="AG113" s="28">
        <f t="shared" si="58"/>
        <v>0</v>
      </c>
      <c r="AH113" s="23">
        <f>IFERROR(AG113/AG148, "NA")</f>
        <v>0</v>
      </c>
      <c r="AI113" s="29">
        <f t="shared" si="59"/>
        <v>0</v>
      </c>
      <c r="AJ113" s="30">
        <f>IFERROR(AI113/AI148, "NA")</f>
        <v>0</v>
      </c>
      <c r="AK113" s="29" t="str">
        <f t="shared" si="60"/>
        <v>NA</v>
      </c>
      <c r="AL113" s="30" t="str">
        <f>IFERROR(AK113/AK148, "NA")</f>
        <v>NA</v>
      </c>
    </row>
    <row r="114" ht="16.5" hidden="1" customHeight="1">
      <c r="A114" s="19" t="s">
        <v>224</v>
      </c>
      <c r="B114" s="21">
        <v>0.0</v>
      </c>
      <c r="C114" s="23">
        <f>IFERROR(B114/B148, "NA")</f>
        <v>0</v>
      </c>
      <c r="D114" s="21">
        <v>0.0</v>
      </c>
      <c r="E114" s="23">
        <f>IFERROR(D114/D148, "NA")</f>
        <v>0</v>
      </c>
      <c r="F114" s="21">
        <v>0.0</v>
      </c>
      <c r="G114" s="23">
        <f>IFERROR(F114/F148, "NA")</f>
        <v>0</v>
      </c>
      <c r="H114" s="21">
        <v>0.0</v>
      </c>
      <c r="I114" s="23">
        <f>IFERROR(H114/H148, "NA")</f>
        <v>0</v>
      </c>
      <c r="J114" s="21">
        <v>0.0</v>
      </c>
      <c r="K114" s="23">
        <f>IFERROR(J114/J148, "NA")</f>
        <v>0</v>
      </c>
      <c r="L114" s="21">
        <v>0.0</v>
      </c>
      <c r="M114" s="23">
        <f>IFERROR(L114/L148, "NA")</f>
        <v>0</v>
      </c>
      <c r="N114" s="21">
        <v>0.0</v>
      </c>
      <c r="O114" s="23">
        <f>IFERROR(N114/N148, "NA")</f>
        <v>0</v>
      </c>
      <c r="P114" s="21">
        <v>0.0</v>
      </c>
      <c r="Q114" s="23">
        <f>IFERROR(P114/P148, "NA")</f>
        <v>0</v>
      </c>
      <c r="R114" s="21">
        <v>0.0</v>
      </c>
      <c r="S114" s="23">
        <f>IFERROR(R114/R148, "NA")</f>
        <v>0</v>
      </c>
      <c r="T114" s="21">
        <v>0.0</v>
      </c>
      <c r="U114" s="23">
        <f>IFERROR(T114/T148, "NA")</f>
        <v>0</v>
      </c>
      <c r="V114" s="21">
        <v>0.0</v>
      </c>
      <c r="W114" s="23">
        <f>IFERROR(V114/V148, "NA")</f>
        <v>0</v>
      </c>
      <c r="X114" s="21">
        <v>0.0</v>
      </c>
      <c r="Y114" s="23">
        <f>IFERROR(X114/X148, "NA")</f>
        <v>0</v>
      </c>
      <c r="Z114" s="21">
        <v>0.0</v>
      </c>
      <c r="AA114" s="23">
        <f>IFERROR(Z114/Z148, "NA")</f>
        <v>0</v>
      </c>
      <c r="AB114" s="28">
        <f t="shared" si="55"/>
        <v>0</v>
      </c>
      <c r="AC114" s="23">
        <f>IFERROR(AB114/AB148, "NA")</f>
        <v>0</v>
      </c>
      <c r="AD114" s="29">
        <f t="shared" si="56"/>
        <v>0</v>
      </c>
      <c r="AE114" s="30">
        <f>IFERROR(AD114/AD148, "NA")</f>
        <v>0</v>
      </c>
      <c r="AF114" s="29" t="str">
        <f t="shared" si="57"/>
        <v>NA</v>
      </c>
      <c r="AG114" s="28">
        <f t="shared" si="58"/>
        <v>0</v>
      </c>
      <c r="AH114" s="23">
        <f>IFERROR(AG114/AG148, "NA")</f>
        <v>0</v>
      </c>
      <c r="AI114" s="29">
        <f t="shared" si="59"/>
        <v>0</v>
      </c>
      <c r="AJ114" s="30">
        <f>IFERROR(AI114/AI148, "NA")</f>
        <v>0</v>
      </c>
      <c r="AK114" s="29" t="str">
        <f t="shared" si="60"/>
        <v>NA</v>
      </c>
      <c r="AL114" s="30" t="str">
        <f>IFERROR(AK114/AK148, "NA")</f>
        <v>NA</v>
      </c>
    </row>
    <row r="115" ht="16.5" hidden="1" customHeight="1">
      <c r="A115" s="19" t="s">
        <v>225</v>
      </c>
      <c r="B115" s="21">
        <v>0.0</v>
      </c>
      <c r="C115" s="23">
        <f>IFERROR(B115/B148, "NA")</f>
        <v>0</v>
      </c>
      <c r="D115" s="21">
        <v>0.0</v>
      </c>
      <c r="E115" s="23">
        <f>IFERROR(D115/D148, "NA")</f>
        <v>0</v>
      </c>
      <c r="F115" s="21">
        <v>0.0</v>
      </c>
      <c r="G115" s="23">
        <f>IFERROR(F115/F148, "NA")</f>
        <v>0</v>
      </c>
      <c r="H115" s="21">
        <v>0.0</v>
      </c>
      <c r="I115" s="23">
        <f>IFERROR(H115/H148, "NA")</f>
        <v>0</v>
      </c>
      <c r="J115" s="21">
        <v>0.0</v>
      </c>
      <c r="K115" s="23">
        <f>IFERROR(J115/J148, "NA")</f>
        <v>0</v>
      </c>
      <c r="L115" s="21">
        <v>0.0</v>
      </c>
      <c r="M115" s="23">
        <f>IFERROR(L115/L148, "NA")</f>
        <v>0</v>
      </c>
      <c r="N115" s="21">
        <v>0.0</v>
      </c>
      <c r="O115" s="23">
        <f>IFERROR(N115/N148, "NA")</f>
        <v>0</v>
      </c>
      <c r="P115" s="21">
        <v>0.0</v>
      </c>
      <c r="Q115" s="23">
        <f>IFERROR(P115/P148, "NA")</f>
        <v>0</v>
      </c>
      <c r="R115" s="21">
        <v>0.0</v>
      </c>
      <c r="S115" s="23">
        <f>IFERROR(R115/R148, "NA")</f>
        <v>0</v>
      </c>
      <c r="T115" s="21">
        <v>0.0</v>
      </c>
      <c r="U115" s="23">
        <f>IFERROR(T115/T148, "NA")</f>
        <v>0</v>
      </c>
      <c r="V115" s="21">
        <v>0.0</v>
      </c>
      <c r="W115" s="23">
        <f>IFERROR(V115/V148, "NA")</f>
        <v>0</v>
      </c>
      <c r="X115" s="21">
        <v>0.0</v>
      </c>
      <c r="Y115" s="23">
        <f>IFERROR(X115/X148, "NA")</f>
        <v>0</v>
      </c>
      <c r="Z115" s="21">
        <v>0.0</v>
      </c>
      <c r="AA115" s="23">
        <f>IFERROR(Z115/Z148, "NA")</f>
        <v>0</v>
      </c>
      <c r="AB115" s="28">
        <f t="shared" si="55"/>
        <v>0</v>
      </c>
      <c r="AC115" s="23">
        <f>IFERROR(AB115/AB148, "NA")</f>
        <v>0</v>
      </c>
      <c r="AD115" s="29">
        <f t="shared" si="56"/>
        <v>0</v>
      </c>
      <c r="AE115" s="30">
        <f>IFERROR(AD115/AD148, "NA")</f>
        <v>0</v>
      </c>
      <c r="AF115" s="29" t="str">
        <f t="shared" si="57"/>
        <v>NA</v>
      </c>
      <c r="AG115" s="28">
        <f t="shared" si="58"/>
        <v>0</v>
      </c>
      <c r="AH115" s="23">
        <f>IFERROR(AG115/AG148, "NA")</f>
        <v>0</v>
      </c>
      <c r="AI115" s="29">
        <f t="shared" si="59"/>
        <v>0</v>
      </c>
      <c r="AJ115" s="30">
        <f>IFERROR(AI115/AI148, "NA")</f>
        <v>0</v>
      </c>
      <c r="AK115" s="29" t="str">
        <f t="shared" si="60"/>
        <v>NA</v>
      </c>
      <c r="AL115" s="30" t="str">
        <f>IFERROR(AK115/AK148, "NA")</f>
        <v>NA</v>
      </c>
    </row>
    <row r="116" ht="16.5" hidden="1" customHeight="1">
      <c r="A116" s="19" t="s">
        <v>226</v>
      </c>
      <c r="B116" s="21">
        <v>0.0</v>
      </c>
      <c r="C116" s="23">
        <f>IFERROR(B116/B148, "NA")</f>
        <v>0</v>
      </c>
      <c r="D116" s="21">
        <v>0.0</v>
      </c>
      <c r="E116" s="23">
        <f>IFERROR(D116/D148, "NA")</f>
        <v>0</v>
      </c>
      <c r="F116" s="21">
        <v>0.0</v>
      </c>
      <c r="G116" s="23">
        <f>IFERROR(F116/F148, "NA")</f>
        <v>0</v>
      </c>
      <c r="H116" s="21">
        <v>0.0</v>
      </c>
      <c r="I116" s="23">
        <f>IFERROR(H116/H148, "NA")</f>
        <v>0</v>
      </c>
      <c r="J116" s="21">
        <v>0.0</v>
      </c>
      <c r="K116" s="23">
        <f>IFERROR(J116/J148, "NA")</f>
        <v>0</v>
      </c>
      <c r="L116" s="21">
        <v>0.0</v>
      </c>
      <c r="M116" s="23">
        <f>IFERROR(L116/L148, "NA")</f>
        <v>0</v>
      </c>
      <c r="N116" s="21">
        <v>0.0</v>
      </c>
      <c r="O116" s="23">
        <f>IFERROR(N116/N148, "NA")</f>
        <v>0</v>
      </c>
      <c r="P116" s="21">
        <v>0.0</v>
      </c>
      <c r="Q116" s="23">
        <f>IFERROR(P116/P148, "NA")</f>
        <v>0</v>
      </c>
      <c r="R116" s="21">
        <v>0.0</v>
      </c>
      <c r="S116" s="23">
        <f>IFERROR(R116/R148, "NA")</f>
        <v>0</v>
      </c>
      <c r="T116" s="21">
        <v>0.0</v>
      </c>
      <c r="U116" s="23">
        <f>IFERROR(T116/T148, "NA")</f>
        <v>0</v>
      </c>
      <c r="V116" s="21">
        <v>0.0</v>
      </c>
      <c r="W116" s="23">
        <f>IFERROR(V116/V148, "NA")</f>
        <v>0</v>
      </c>
      <c r="X116" s="21">
        <v>0.0</v>
      </c>
      <c r="Y116" s="23">
        <f>IFERROR(X116/X148, "NA")</f>
        <v>0</v>
      </c>
      <c r="Z116" s="21">
        <v>0.0</v>
      </c>
      <c r="AA116" s="23">
        <f>IFERROR(Z116/Z148, "NA")</f>
        <v>0</v>
      </c>
      <c r="AB116" s="28">
        <f t="shared" si="55"/>
        <v>0</v>
      </c>
      <c r="AC116" s="23">
        <f>IFERROR(AB116/AB148, "NA")</f>
        <v>0</v>
      </c>
      <c r="AD116" s="29">
        <f t="shared" si="56"/>
        <v>0</v>
      </c>
      <c r="AE116" s="30">
        <f>IFERROR(AD116/AD148, "NA")</f>
        <v>0</v>
      </c>
      <c r="AF116" s="29" t="str">
        <f t="shared" si="57"/>
        <v>NA</v>
      </c>
      <c r="AG116" s="28">
        <f t="shared" si="58"/>
        <v>0</v>
      </c>
      <c r="AH116" s="23">
        <f>IFERROR(AG116/AG148, "NA")</f>
        <v>0</v>
      </c>
      <c r="AI116" s="29">
        <f t="shared" si="59"/>
        <v>0</v>
      </c>
      <c r="AJ116" s="30">
        <f>IFERROR(AI116/AI148, "NA")</f>
        <v>0</v>
      </c>
      <c r="AK116" s="29" t="str">
        <f t="shared" si="60"/>
        <v>NA</v>
      </c>
      <c r="AL116" s="30" t="str">
        <f>IFERROR(AK116/AK148, "NA")</f>
        <v>NA</v>
      </c>
    </row>
    <row r="117" ht="16.5" hidden="1" customHeight="1">
      <c r="A117" s="19" t="s">
        <v>227</v>
      </c>
      <c r="B117" s="21">
        <v>0.0</v>
      </c>
      <c r="C117" s="23">
        <f>IFERROR(B117/B148, "NA")</f>
        <v>0</v>
      </c>
      <c r="D117" s="21">
        <v>0.0</v>
      </c>
      <c r="E117" s="23">
        <f>IFERROR(D117/D148, "NA")</f>
        <v>0</v>
      </c>
      <c r="F117" s="21">
        <v>0.0</v>
      </c>
      <c r="G117" s="23">
        <f>IFERROR(F117/F148, "NA")</f>
        <v>0</v>
      </c>
      <c r="H117" s="21">
        <v>0.0</v>
      </c>
      <c r="I117" s="23">
        <f>IFERROR(H117/H148, "NA")</f>
        <v>0</v>
      </c>
      <c r="J117" s="21">
        <v>0.0</v>
      </c>
      <c r="K117" s="23">
        <f>IFERROR(J117/J148, "NA")</f>
        <v>0</v>
      </c>
      <c r="L117" s="21">
        <v>0.0</v>
      </c>
      <c r="M117" s="23">
        <f>IFERROR(L117/L148, "NA")</f>
        <v>0</v>
      </c>
      <c r="N117" s="21">
        <v>0.0</v>
      </c>
      <c r="O117" s="23">
        <f>IFERROR(N117/N148, "NA")</f>
        <v>0</v>
      </c>
      <c r="P117" s="21">
        <v>0.0</v>
      </c>
      <c r="Q117" s="23">
        <f>IFERROR(P117/P148, "NA")</f>
        <v>0</v>
      </c>
      <c r="R117" s="21">
        <v>0.0</v>
      </c>
      <c r="S117" s="23">
        <f>IFERROR(R117/R148, "NA")</f>
        <v>0</v>
      </c>
      <c r="T117" s="21">
        <v>0.0</v>
      </c>
      <c r="U117" s="23">
        <f>IFERROR(T117/T148, "NA")</f>
        <v>0</v>
      </c>
      <c r="V117" s="21">
        <v>0.0</v>
      </c>
      <c r="W117" s="23">
        <f>IFERROR(V117/V148, "NA")</f>
        <v>0</v>
      </c>
      <c r="X117" s="21">
        <v>0.0</v>
      </c>
      <c r="Y117" s="23">
        <f>IFERROR(X117/X148, "NA")</f>
        <v>0</v>
      </c>
      <c r="Z117" s="21">
        <v>0.0</v>
      </c>
      <c r="AA117" s="23">
        <f>IFERROR(Z117/Z148, "NA")</f>
        <v>0</v>
      </c>
      <c r="AB117" s="28">
        <f t="shared" si="55"/>
        <v>0</v>
      </c>
      <c r="AC117" s="23">
        <f>IFERROR(AB117/AB148, "NA")</f>
        <v>0</v>
      </c>
      <c r="AD117" s="29">
        <f t="shared" si="56"/>
        <v>0</v>
      </c>
      <c r="AE117" s="30">
        <f>IFERROR(AD117/AD148, "NA")</f>
        <v>0</v>
      </c>
      <c r="AF117" s="29" t="str">
        <f t="shared" si="57"/>
        <v>NA</v>
      </c>
      <c r="AG117" s="28">
        <f t="shared" si="58"/>
        <v>0</v>
      </c>
      <c r="AH117" s="23">
        <f>IFERROR(AG117/AG148, "NA")</f>
        <v>0</v>
      </c>
      <c r="AI117" s="29">
        <f t="shared" si="59"/>
        <v>0</v>
      </c>
      <c r="AJ117" s="30">
        <f>IFERROR(AI117/AI148, "NA")</f>
        <v>0</v>
      </c>
      <c r="AK117" s="29" t="str">
        <f t="shared" si="60"/>
        <v>NA</v>
      </c>
      <c r="AL117" s="30" t="str">
        <f>IFERROR(AK117/AK148, "NA")</f>
        <v>NA</v>
      </c>
    </row>
    <row r="118" ht="16.5" hidden="1" customHeight="1">
      <c r="A118" s="19" t="s">
        <v>228</v>
      </c>
      <c r="B118" s="21">
        <v>0.0</v>
      </c>
      <c r="C118" s="23">
        <f>IFERROR(B118/B148, "NA")</f>
        <v>0</v>
      </c>
      <c r="D118" s="21">
        <v>0.0</v>
      </c>
      <c r="E118" s="23">
        <f>IFERROR(D118/D148, "NA")</f>
        <v>0</v>
      </c>
      <c r="F118" s="21">
        <v>0.0</v>
      </c>
      <c r="G118" s="23">
        <f>IFERROR(F118/F148, "NA")</f>
        <v>0</v>
      </c>
      <c r="H118" s="21">
        <v>0.0</v>
      </c>
      <c r="I118" s="23">
        <f>IFERROR(H118/H148, "NA")</f>
        <v>0</v>
      </c>
      <c r="J118" s="21">
        <v>0.0</v>
      </c>
      <c r="K118" s="23">
        <f>IFERROR(J118/J148, "NA")</f>
        <v>0</v>
      </c>
      <c r="L118" s="21">
        <v>0.0</v>
      </c>
      <c r="M118" s="23">
        <f>IFERROR(L118/L148, "NA")</f>
        <v>0</v>
      </c>
      <c r="N118" s="21">
        <v>0.0</v>
      </c>
      <c r="O118" s="23">
        <f>IFERROR(N118/N148, "NA")</f>
        <v>0</v>
      </c>
      <c r="P118" s="21">
        <v>0.0</v>
      </c>
      <c r="Q118" s="23">
        <f>IFERROR(P118/P148, "NA")</f>
        <v>0</v>
      </c>
      <c r="R118" s="21">
        <v>0.0</v>
      </c>
      <c r="S118" s="23">
        <f>IFERROR(R118/R148, "NA")</f>
        <v>0</v>
      </c>
      <c r="T118" s="21">
        <v>0.0</v>
      </c>
      <c r="U118" s="23">
        <f>IFERROR(T118/T148, "NA")</f>
        <v>0</v>
      </c>
      <c r="V118" s="21">
        <v>0.0</v>
      </c>
      <c r="W118" s="23">
        <f>IFERROR(V118/V148, "NA")</f>
        <v>0</v>
      </c>
      <c r="X118" s="21">
        <v>0.0</v>
      </c>
      <c r="Y118" s="23">
        <f>IFERROR(X118/X148, "NA")</f>
        <v>0</v>
      </c>
      <c r="Z118" s="21">
        <v>0.0</v>
      </c>
      <c r="AA118" s="23">
        <f>IFERROR(Z118/Z148, "NA")</f>
        <v>0</v>
      </c>
      <c r="AB118" s="28">
        <f t="shared" si="55"/>
        <v>0</v>
      </c>
      <c r="AC118" s="23">
        <f>IFERROR(AB118/AB148, "NA")</f>
        <v>0</v>
      </c>
      <c r="AD118" s="29">
        <f t="shared" si="56"/>
        <v>0</v>
      </c>
      <c r="AE118" s="30">
        <f>IFERROR(AD118/AD148, "NA")</f>
        <v>0</v>
      </c>
      <c r="AF118" s="29" t="str">
        <f t="shared" si="57"/>
        <v>NA</v>
      </c>
      <c r="AG118" s="28">
        <f t="shared" si="58"/>
        <v>0</v>
      </c>
      <c r="AH118" s="23">
        <f>IFERROR(AG118/AG148, "NA")</f>
        <v>0</v>
      </c>
      <c r="AI118" s="29">
        <f t="shared" si="59"/>
        <v>0</v>
      </c>
      <c r="AJ118" s="30">
        <f>IFERROR(AI118/AI148, "NA")</f>
        <v>0</v>
      </c>
      <c r="AK118" s="29" t="str">
        <f t="shared" si="60"/>
        <v>NA</v>
      </c>
      <c r="AL118" s="30" t="str">
        <f>IFERROR(AK118/AK148, "NA")</f>
        <v>NA</v>
      </c>
    </row>
    <row r="119" ht="16.5" hidden="1" customHeight="1">
      <c r="A119" s="19" t="s">
        <v>229</v>
      </c>
      <c r="B119" s="21">
        <v>0.0</v>
      </c>
      <c r="C119" s="23">
        <f>IFERROR(B119/B148, "NA")</f>
        <v>0</v>
      </c>
      <c r="D119" s="21">
        <v>0.0</v>
      </c>
      <c r="E119" s="23">
        <f>IFERROR(D119/D148, "NA")</f>
        <v>0</v>
      </c>
      <c r="F119" s="21">
        <v>0.0</v>
      </c>
      <c r="G119" s="23">
        <f>IFERROR(F119/F148, "NA")</f>
        <v>0</v>
      </c>
      <c r="H119" s="21">
        <v>0.0</v>
      </c>
      <c r="I119" s="23">
        <f>IFERROR(H119/H148, "NA")</f>
        <v>0</v>
      </c>
      <c r="J119" s="21">
        <v>0.0</v>
      </c>
      <c r="K119" s="23">
        <f>IFERROR(J119/J148, "NA")</f>
        <v>0</v>
      </c>
      <c r="L119" s="21">
        <v>0.0</v>
      </c>
      <c r="M119" s="23">
        <f>IFERROR(L119/L148, "NA")</f>
        <v>0</v>
      </c>
      <c r="N119" s="21">
        <v>0.0</v>
      </c>
      <c r="O119" s="23">
        <f>IFERROR(N119/N148, "NA")</f>
        <v>0</v>
      </c>
      <c r="P119" s="21">
        <v>0.0</v>
      </c>
      <c r="Q119" s="23">
        <f>IFERROR(P119/P148, "NA")</f>
        <v>0</v>
      </c>
      <c r="R119" s="21">
        <v>0.0</v>
      </c>
      <c r="S119" s="23">
        <f>IFERROR(R119/R148, "NA")</f>
        <v>0</v>
      </c>
      <c r="T119" s="21">
        <v>0.0</v>
      </c>
      <c r="U119" s="23">
        <f>IFERROR(T119/T148, "NA")</f>
        <v>0</v>
      </c>
      <c r="V119" s="21">
        <v>0.0</v>
      </c>
      <c r="W119" s="23">
        <f>IFERROR(V119/V148, "NA")</f>
        <v>0</v>
      </c>
      <c r="X119" s="21">
        <v>0.0</v>
      </c>
      <c r="Y119" s="23">
        <f>IFERROR(X119/X148, "NA")</f>
        <v>0</v>
      </c>
      <c r="Z119" s="21">
        <v>0.0</v>
      </c>
      <c r="AA119" s="23">
        <f>IFERROR(Z119/Z148, "NA")</f>
        <v>0</v>
      </c>
      <c r="AB119" s="28">
        <f t="shared" si="55"/>
        <v>0</v>
      </c>
      <c r="AC119" s="23">
        <f>IFERROR(AB119/AB148, "NA")</f>
        <v>0</v>
      </c>
      <c r="AD119" s="29">
        <f t="shared" si="56"/>
        <v>0</v>
      </c>
      <c r="AE119" s="30">
        <f>IFERROR(AD119/AD148, "NA")</f>
        <v>0</v>
      </c>
      <c r="AF119" s="29" t="str">
        <f t="shared" si="57"/>
        <v>NA</v>
      </c>
      <c r="AG119" s="28">
        <f t="shared" si="58"/>
        <v>0</v>
      </c>
      <c r="AH119" s="23">
        <f>IFERROR(AG119/AG148, "NA")</f>
        <v>0</v>
      </c>
      <c r="AI119" s="29">
        <f t="shared" si="59"/>
        <v>0</v>
      </c>
      <c r="AJ119" s="30">
        <f>IFERROR(AI119/AI148, "NA")</f>
        <v>0</v>
      </c>
      <c r="AK119" s="29" t="str">
        <f t="shared" si="60"/>
        <v>NA</v>
      </c>
      <c r="AL119" s="30" t="str">
        <f>IFERROR(AK119/AK148, "NA")</f>
        <v>NA</v>
      </c>
    </row>
    <row r="120" ht="16.5" hidden="1" customHeight="1">
      <c r="A120" s="19" t="s">
        <v>230</v>
      </c>
      <c r="B120" s="21">
        <v>0.0</v>
      </c>
      <c r="C120" s="23">
        <f>IFERROR(B120/B148, "NA")</f>
        <v>0</v>
      </c>
      <c r="D120" s="21">
        <v>0.0</v>
      </c>
      <c r="E120" s="23">
        <f>IFERROR(D120/D148, "NA")</f>
        <v>0</v>
      </c>
      <c r="F120" s="21">
        <v>0.0</v>
      </c>
      <c r="G120" s="23">
        <f>IFERROR(F120/F148, "NA")</f>
        <v>0</v>
      </c>
      <c r="H120" s="21">
        <v>0.0</v>
      </c>
      <c r="I120" s="23">
        <f>IFERROR(H120/H148, "NA")</f>
        <v>0</v>
      </c>
      <c r="J120" s="21">
        <v>0.0</v>
      </c>
      <c r="K120" s="23">
        <f>IFERROR(J120/J148, "NA")</f>
        <v>0</v>
      </c>
      <c r="L120" s="21">
        <v>0.0</v>
      </c>
      <c r="M120" s="23">
        <f>IFERROR(L120/L148, "NA")</f>
        <v>0</v>
      </c>
      <c r="N120" s="21">
        <v>0.0</v>
      </c>
      <c r="O120" s="23">
        <f>IFERROR(N120/N148, "NA")</f>
        <v>0</v>
      </c>
      <c r="P120" s="21">
        <v>0.0</v>
      </c>
      <c r="Q120" s="23">
        <f>IFERROR(P120/P148, "NA")</f>
        <v>0</v>
      </c>
      <c r="R120" s="21">
        <v>0.0</v>
      </c>
      <c r="S120" s="23">
        <f>IFERROR(R120/R148, "NA")</f>
        <v>0</v>
      </c>
      <c r="T120" s="21">
        <v>0.0</v>
      </c>
      <c r="U120" s="23">
        <f>IFERROR(T120/T148, "NA")</f>
        <v>0</v>
      </c>
      <c r="V120" s="21">
        <v>0.0</v>
      </c>
      <c r="W120" s="23">
        <f>IFERROR(V120/V148, "NA")</f>
        <v>0</v>
      </c>
      <c r="X120" s="21">
        <v>0.0</v>
      </c>
      <c r="Y120" s="23">
        <f>IFERROR(X120/X148, "NA")</f>
        <v>0</v>
      </c>
      <c r="Z120" s="21">
        <v>0.0</v>
      </c>
      <c r="AA120" s="23">
        <f>IFERROR(Z120/Z148, "NA")</f>
        <v>0</v>
      </c>
      <c r="AB120" s="28">
        <f t="shared" si="55"/>
        <v>0</v>
      </c>
      <c r="AC120" s="23">
        <f>IFERROR(AB120/AB148, "NA")</f>
        <v>0</v>
      </c>
      <c r="AD120" s="29">
        <f t="shared" si="56"/>
        <v>0</v>
      </c>
      <c r="AE120" s="30">
        <f>IFERROR(AD120/AD148, "NA")</f>
        <v>0</v>
      </c>
      <c r="AF120" s="29" t="str">
        <f t="shared" si="57"/>
        <v>NA</v>
      </c>
      <c r="AG120" s="28">
        <f t="shared" si="58"/>
        <v>0</v>
      </c>
      <c r="AH120" s="23">
        <f>IFERROR(AG120/AG148, "NA")</f>
        <v>0</v>
      </c>
      <c r="AI120" s="29">
        <f t="shared" si="59"/>
        <v>0</v>
      </c>
      <c r="AJ120" s="30">
        <f>IFERROR(AI120/AI148, "NA")</f>
        <v>0</v>
      </c>
      <c r="AK120" s="29" t="str">
        <f t="shared" si="60"/>
        <v>NA</v>
      </c>
      <c r="AL120" s="30" t="str">
        <f>IFERROR(AK120/AK148, "NA")</f>
        <v>NA</v>
      </c>
    </row>
    <row r="121" ht="16.5" hidden="1" customHeight="1">
      <c r="A121" s="19" t="s">
        <v>231</v>
      </c>
      <c r="B121" s="21">
        <v>0.0</v>
      </c>
      <c r="C121" s="23">
        <f>IFERROR(B121/B148, "NA")</f>
        <v>0</v>
      </c>
      <c r="D121" s="21">
        <v>0.0</v>
      </c>
      <c r="E121" s="23">
        <f>IFERROR(D121/D148, "NA")</f>
        <v>0</v>
      </c>
      <c r="F121" s="21">
        <v>0.0</v>
      </c>
      <c r="G121" s="23">
        <f>IFERROR(F121/F148, "NA")</f>
        <v>0</v>
      </c>
      <c r="H121" s="21">
        <v>0.0</v>
      </c>
      <c r="I121" s="23">
        <f>IFERROR(H121/H148, "NA")</f>
        <v>0</v>
      </c>
      <c r="J121" s="21">
        <v>0.0</v>
      </c>
      <c r="K121" s="23">
        <f>IFERROR(J121/J148, "NA")</f>
        <v>0</v>
      </c>
      <c r="L121" s="21">
        <v>0.0</v>
      </c>
      <c r="M121" s="23">
        <f>IFERROR(L121/L148, "NA")</f>
        <v>0</v>
      </c>
      <c r="N121" s="21">
        <v>0.0</v>
      </c>
      <c r="O121" s="23">
        <f>IFERROR(N121/N148, "NA")</f>
        <v>0</v>
      </c>
      <c r="P121" s="21">
        <v>0.0</v>
      </c>
      <c r="Q121" s="23">
        <f>IFERROR(P121/P148, "NA")</f>
        <v>0</v>
      </c>
      <c r="R121" s="21">
        <v>0.0</v>
      </c>
      <c r="S121" s="23">
        <f>IFERROR(R121/R148, "NA")</f>
        <v>0</v>
      </c>
      <c r="T121" s="21">
        <v>0.0</v>
      </c>
      <c r="U121" s="23">
        <f>IFERROR(T121/T148, "NA")</f>
        <v>0</v>
      </c>
      <c r="V121" s="21">
        <v>0.0</v>
      </c>
      <c r="W121" s="23">
        <f>IFERROR(V121/V148, "NA")</f>
        <v>0</v>
      </c>
      <c r="X121" s="21">
        <v>0.0</v>
      </c>
      <c r="Y121" s="23">
        <f>IFERROR(X121/X148, "NA")</f>
        <v>0</v>
      </c>
      <c r="Z121" s="21">
        <v>0.0</v>
      </c>
      <c r="AA121" s="23">
        <f>IFERROR(Z121/Z148, "NA")</f>
        <v>0</v>
      </c>
      <c r="AB121" s="28">
        <f t="shared" si="55"/>
        <v>0</v>
      </c>
      <c r="AC121" s="23">
        <f>IFERROR(AB121/AB148, "NA")</f>
        <v>0</v>
      </c>
      <c r="AD121" s="29">
        <f t="shared" si="56"/>
        <v>0</v>
      </c>
      <c r="AE121" s="30">
        <f>IFERROR(AD121/AD148, "NA")</f>
        <v>0</v>
      </c>
      <c r="AF121" s="29" t="str">
        <f t="shared" si="57"/>
        <v>NA</v>
      </c>
      <c r="AG121" s="28">
        <f t="shared" si="58"/>
        <v>0</v>
      </c>
      <c r="AH121" s="23">
        <f>IFERROR(AG121/AG148, "NA")</f>
        <v>0</v>
      </c>
      <c r="AI121" s="29">
        <f t="shared" si="59"/>
        <v>0</v>
      </c>
      <c r="AJ121" s="30">
        <f>IFERROR(AI121/AI148, "NA")</f>
        <v>0</v>
      </c>
      <c r="AK121" s="29" t="str">
        <f t="shared" si="60"/>
        <v>NA</v>
      </c>
      <c r="AL121" s="30" t="str">
        <f>IFERROR(AK121/AK148, "NA")</f>
        <v>NA</v>
      </c>
    </row>
    <row r="122" ht="16.5" hidden="1" customHeight="1">
      <c r="A122" s="19" t="s">
        <v>232</v>
      </c>
      <c r="B122" s="21">
        <v>0.0</v>
      </c>
      <c r="C122" s="23">
        <f>IFERROR(B122/B148, "NA")</f>
        <v>0</v>
      </c>
      <c r="D122" s="21">
        <v>0.0</v>
      </c>
      <c r="E122" s="23">
        <f>IFERROR(D122/D148, "NA")</f>
        <v>0</v>
      </c>
      <c r="F122" s="21">
        <v>0.0</v>
      </c>
      <c r="G122" s="23">
        <f>IFERROR(F122/F148, "NA")</f>
        <v>0</v>
      </c>
      <c r="H122" s="21">
        <v>0.0</v>
      </c>
      <c r="I122" s="23">
        <f>IFERROR(H122/H148, "NA")</f>
        <v>0</v>
      </c>
      <c r="J122" s="21">
        <v>0.0</v>
      </c>
      <c r="K122" s="23">
        <f>IFERROR(J122/J148, "NA")</f>
        <v>0</v>
      </c>
      <c r="L122" s="21">
        <v>0.0</v>
      </c>
      <c r="M122" s="23">
        <f>IFERROR(L122/L148, "NA")</f>
        <v>0</v>
      </c>
      <c r="N122" s="21">
        <v>0.0</v>
      </c>
      <c r="O122" s="23">
        <f>IFERROR(N122/N148, "NA")</f>
        <v>0</v>
      </c>
      <c r="P122" s="21">
        <v>0.0</v>
      </c>
      <c r="Q122" s="23">
        <f>IFERROR(P122/P148, "NA")</f>
        <v>0</v>
      </c>
      <c r="R122" s="21">
        <v>0.0</v>
      </c>
      <c r="S122" s="23">
        <f>IFERROR(R122/R148, "NA")</f>
        <v>0</v>
      </c>
      <c r="T122" s="21">
        <v>0.0</v>
      </c>
      <c r="U122" s="23">
        <f>IFERROR(T122/T148, "NA")</f>
        <v>0</v>
      </c>
      <c r="V122" s="21">
        <v>0.0</v>
      </c>
      <c r="W122" s="23">
        <f>IFERROR(V122/V148, "NA")</f>
        <v>0</v>
      </c>
      <c r="X122" s="21">
        <v>0.0</v>
      </c>
      <c r="Y122" s="23">
        <f>IFERROR(X122/X148, "NA")</f>
        <v>0</v>
      </c>
      <c r="Z122" s="21">
        <v>0.0</v>
      </c>
      <c r="AA122" s="23">
        <f>IFERROR(Z122/Z148, "NA")</f>
        <v>0</v>
      </c>
      <c r="AB122" s="28">
        <f t="shared" si="55"/>
        <v>0</v>
      </c>
      <c r="AC122" s="23">
        <f>IFERROR(AB122/AB148, "NA")</f>
        <v>0</v>
      </c>
      <c r="AD122" s="29">
        <f t="shared" si="56"/>
        <v>0</v>
      </c>
      <c r="AE122" s="30">
        <f>IFERROR(AD122/AD148, "NA")</f>
        <v>0</v>
      </c>
      <c r="AF122" s="29" t="str">
        <f t="shared" si="57"/>
        <v>NA</v>
      </c>
      <c r="AG122" s="28">
        <f t="shared" si="58"/>
        <v>0</v>
      </c>
      <c r="AH122" s="23">
        <f>IFERROR(AG122/AG148, "NA")</f>
        <v>0</v>
      </c>
      <c r="AI122" s="29">
        <f t="shared" si="59"/>
        <v>0</v>
      </c>
      <c r="AJ122" s="30">
        <f>IFERROR(AI122/AI148, "NA")</f>
        <v>0</v>
      </c>
      <c r="AK122" s="29" t="str">
        <f t="shared" si="60"/>
        <v>NA</v>
      </c>
      <c r="AL122" s="30" t="str">
        <f>IFERROR(AK122/AK148, "NA")</f>
        <v>NA</v>
      </c>
    </row>
    <row r="123" ht="16.5" hidden="1" customHeight="1">
      <c r="A123" s="19" t="s">
        <v>233</v>
      </c>
      <c r="B123" s="21">
        <v>0.0</v>
      </c>
      <c r="C123" s="23">
        <f>IFERROR(B123/B148, "NA")</f>
        <v>0</v>
      </c>
      <c r="D123" s="21">
        <v>0.0</v>
      </c>
      <c r="E123" s="23">
        <f>IFERROR(D123/D148, "NA")</f>
        <v>0</v>
      </c>
      <c r="F123" s="21">
        <v>0.0</v>
      </c>
      <c r="G123" s="23">
        <f>IFERROR(F123/F148, "NA")</f>
        <v>0</v>
      </c>
      <c r="H123" s="21">
        <v>0.0</v>
      </c>
      <c r="I123" s="23">
        <f>IFERROR(H123/H148, "NA")</f>
        <v>0</v>
      </c>
      <c r="J123" s="21">
        <v>0.0</v>
      </c>
      <c r="K123" s="23">
        <f>IFERROR(J123/J148, "NA")</f>
        <v>0</v>
      </c>
      <c r="L123" s="21">
        <v>0.0</v>
      </c>
      <c r="M123" s="23">
        <f>IFERROR(L123/L148, "NA")</f>
        <v>0</v>
      </c>
      <c r="N123" s="21">
        <v>0.0</v>
      </c>
      <c r="O123" s="23">
        <f>IFERROR(N123/N148, "NA")</f>
        <v>0</v>
      </c>
      <c r="P123" s="21">
        <v>0.0</v>
      </c>
      <c r="Q123" s="23">
        <f>IFERROR(P123/P148, "NA")</f>
        <v>0</v>
      </c>
      <c r="R123" s="21">
        <v>0.0</v>
      </c>
      <c r="S123" s="23">
        <f>IFERROR(R123/R148, "NA")</f>
        <v>0</v>
      </c>
      <c r="T123" s="21">
        <v>0.0</v>
      </c>
      <c r="U123" s="23">
        <f>IFERROR(T123/T148, "NA")</f>
        <v>0</v>
      </c>
      <c r="V123" s="21">
        <v>0.0</v>
      </c>
      <c r="W123" s="23">
        <f>IFERROR(V123/V148, "NA")</f>
        <v>0</v>
      </c>
      <c r="X123" s="21">
        <v>0.0</v>
      </c>
      <c r="Y123" s="23">
        <f>IFERROR(X123/X148, "NA")</f>
        <v>0</v>
      </c>
      <c r="Z123" s="21">
        <v>0.0</v>
      </c>
      <c r="AA123" s="23">
        <f>IFERROR(Z123/Z148, "NA")</f>
        <v>0</v>
      </c>
      <c r="AB123" s="28">
        <f t="shared" si="55"/>
        <v>0</v>
      </c>
      <c r="AC123" s="23">
        <f>IFERROR(AB123/AB148, "NA")</f>
        <v>0</v>
      </c>
      <c r="AD123" s="29">
        <f t="shared" si="56"/>
        <v>0</v>
      </c>
      <c r="AE123" s="30">
        <f>IFERROR(AD123/AD148, "NA")</f>
        <v>0</v>
      </c>
      <c r="AF123" s="29" t="str">
        <f t="shared" si="57"/>
        <v>NA</v>
      </c>
      <c r="AG123" s="28">
        <f t="shared" si="58"/>
        <v>0</v>
      </c>
      <c r="AH123" s="23">
        <f>IFERROR(AG123/AG148, "NA")</f>
        <v>0</v>
      </c>
      <c r="AI123" s="29">
        <f t="shared" si="59"/>
        <v>0</v>
      </c>
      <c r="AJ123" s="30">
        <f>IFERROR(AI123/AI148, "NA")</f>
        <v>0</v>
      </c>
      <c r="AK123" s="29" t="str">
        <f t="shared" si="60"/>
        <v>NA</v>
      </c>
      <c r="AL123" s="30" t="str">
        <f>IFERROR(AK123/AK148, "NA")</f>
        <v>NA</v>
      </c>
    </row>
    <row r="124" ht="16.5" hidden="1" customHeight="1">
      <c r="A124" s="19" t="s">
        <v>234</v>
      </c>
      <c r="B124" s="21">
        <v>0.0</v>
      </c>
      <c r="C124" s="23">
        <f>IFERROR(B124/B148, "NA")</f>
        <v>0</v>
      </c>
      <c r="D124" s="21">
        <v>0.0</v>
      </c>
      <c r="E124" s="23">
        <f>IFERROR(D124/D148, "NA")</f>
        <v>0</v>
      </c>
      <c r="F124" s="21">
        <v>0.0</v>
      </c>
      <c r="G124" s="23">
        <f>IFERROR(F124/F148, "NA")</f>
        <v>0</v>
      </c>
      <c r="H124" s="21">
        <v>0.0</v>
      </c>
      <c r="I124" s="23">
        <f>IFERROR(H124/H148, "NA")</f>
        <v>0</v>
      </c>
      <c r="J124" s="21">
        <v>0.0</v>
      </c>
      <c r="K124" s="23">
        <f>IFERROR(J124/J148, "NA")</f>
        <v>0</v>
      </c>
      <c r="L124" s="21">
        <v>0.0</v>
      </c>
      <c r="M124" s="23">
        <f>IFERROR(L124/L148, "NA")</f>
        <v>0</v>
      </c>
      <c r="N124" s="21">
        <v>0.0</v>
      </c>
      <c r="O124" s="23">
        <f>IFERROR(N124/N148, "NA")</f>
        <v>0</v>
      </c>
      <c r="P124" s="21">
        <v>0.0</v>
      </c>
      <c r="Q124" s="23">
        <f>IFERROR(P124/P148, "NA")</f>
        <v>0</v>
      </c>
      <c r="R124" s="21">
        <v>0.0</v>
      </c>
      <c r="S124" s="23">
        <f>IFERROR(R124/R148, "NA")</f>
        <v>0</v>
      </c>
      <c r="T124" s="21">
        <v>0.0</v>
      </c>
      <c r="U124" s="23">
        <f>IFERROR(T124/T148, "NA")</f>
        <v>0</v>
      </c>
      <c r="V124" s="21">
        <v>0.0</v>
      </c>
      <c r="W124" s="23">
        <f>IFERROR(V124/V148, "NA")</f>
        <v>0</v>
      </c>
      <c r="X124" s="21">
        <v>0.0</v>
      </c>
      <c r="Y124" s="23">
        <f>IFERROR(X124/X148, "NA")</f>
        <v>0</v>
      </c>
      <c r="Z124" s="21">
        <v>0.0</v>
      </c>
      <c r="AA124" s="23">
        <f>IFERROR(Z124/Z148, "NA")</f>
        <v>0</v>
      </c>
      <c r="AB124" s="28">
        <f t="shared" si="55"/>
        <v>0</v>
      </c>
      <c r="AC124" s="23">
        <f>IFERROR(AB124/AB148, "NA")</f>
        <v>0</v>
      </c>
      <c r="AD124" s="29">
        <f t="shared" si="56"/>
        <v>0</v>
      </c>
      <c r="AE124" s="30">
        <f>IFERROR(AD124/AD148, "NA")</f>
        <v>0</v>
      </c>
      <c r="AF124" s="29" t="str">
        <f t="shared" si="57"/>
        <v>NA</v>
      </c>
      <c r="AG124" s="28">
        <f t="shared" si="58"/>
        <v>0</v>
      </c>
      <c r="AH124" s="23">
        <f>IFERROR(AG124/AG148, "NA")</f>
        <v>0</v>
      </c>
      <c r="AI124" s="29">
        <f t="shared" si="59"/>
        <v>0</v>
      </c>
      <c r="AJ124" s="30">
        <f>IFERROR(AI124/AI148, "NA")</f>
        <v>0</v>
      </c>
      <c r="AK124" s="29" t="str">
        <f t="shared" si="60"/>
        <v>NA</v>
      </c>
      <c r="AL124" s="30" t="str">
        <f>IFERROR(AK124/AK148, "NA")</f>
        <v>NA</v>
      </c>
    </row>
    <row r="125" ht="16.5" hidden="1" customHeight="1">
      <c r="A125" s="19" t="s">
        <v>235</v>
      </c>
      <c r="B125" s="21">
        <v>0.0</v>
      </c>
      <c r="C125" s="23">
        <f>IFERROR(B125/B148, "NA")</f>
        <v>0</v>
      </c>
      <c r="D125" s="21">
        <v>0.0</v>
      </c>
      <c r="E125" s="23">
        <f>IFERROR(D125/D148, "NA")</f>
        <v>0</v>
      </c>
      <c r="F125" s="21">
        <v>0.0</v>
      </c>
      <c r="G125" s="23">
        <f>IFERROR(F125/F148, "NA")</f>
        <v>0</v>
      </c>
      <c r="H125" s="21">
        <v>0.0</v>
      </c>
      <c r="I125" s="23">
        <f>IFERROR(H125/H148, "NA")</f>
        <v>0</v>
      </c>
      <c r="J125" s="21">
        <v>0.0</v>
      </c>
      <c r="K125" s="23">
        <f>IFERROR(J125/J148, "NA")</f>
        <v>0</v>
      </c>
      <c r="L125" s="21">
        <v>0.0</v>
      </c>
      <c r="M125" s="23">
        <f>IFERROR(L125/L148, "NA")</f>
        <v>0</v>
      </c>
      <c r="N125" s="21">
        <v>0.0</v>
      </c>
      <c r="O125" s="23">
        <f>IFERROR(N125/N148, "NA")</f>
        <v>0</v>
      </c>
      <c r="P125" s="21">
        <v>0.0</v>
      </c>
      <c r="Q125" s="23">
        <f>IFERROR(P125/P148, "NA")</f>
        <v>0</v>
      </c>
      <c r="R125" s="21">
        <v>0.0</v>
      </c>
      <c r="S125" s="23">
        <f>IFERROR(R125/R148, "NA")</f>
        <v>0</v>
      </c>
      <c r="T125" s="21">
        <v>0.0</v>
      </c>
      <c r="U125" s="23">
        <f>IFERROR(T125/T148, "NA")</f>
        <v>0</v>
      </c>
      <c r="V125" s="21">
        <v>0.0</v>
      </c>
      <c r="W125" s="23">
        <f>IFERROR(V125/V148, "NA")</f>
        <v>0</v>
      </c>
      <c r="X125" s="21">
        <v>0.0</v>
      </c>
      <c r="Y125" s="23">
        <f>IFERROR(X125/X148, "NA")</f>
        <v>0</v>
      </c>
      <c r="Z125" s="21">
        <v>0.0</v>
      </c>
      <c r="AA125" s="23">
        <f>IFERROR(Z125/Z148, "NA")</f>
        <v>0</v>
      </c>
      <c r="AB125" s="28">
        <f t="shared" si="55"/>
        <v>0</v>
      </c>
      <c r="AC125" s="23">
        <f>IFERROR(AB125/AB148, "NA")</f>
        <v>0</v>
      </c>
      <c r="AD125" s="29">
        <f t="shared" si="56"/>
        <v>0</v>
      </c>
      <c r="AE125" s="30">
        <f>IFERROR(AD125/AD148, "NA")</f>
        <v>0</v>
      </c>
      <c r="AF125" s="29" t="str">
        <f t="shared" si="57"/>
        <v>NA</v>
      </c>
      <c r="AG125" s="28">
        <f t="shared" si="58"/>
        <v>0</v>
      </c>
      <c r="AH125" s="23">
        <f>IFERROR(AG125/AG148, "NA")</f>
        <v>0</v>
      </c>
      <c r="AI125" s="29">
        <f t="shared" si="59"/>
        <v>0</v>
      </c>
      <c r="AJ125" s="30">
        <f>IFERROR(AI125/AI148, "NA")</f>
        <v>0</v>
      </c>
      <c r="AK125" s="29" t="str">
        <f t="shared" si="60"/>
        <v>NA</v>
      </c>
      <c r="AL125" s="30" t="str">
        <f>IFERROR(AK125/AK148, "NA")</f>
        <v>NA</v>
      </c>
    </row>
    <row r="126" ht="16.5" hidden="1" customHeight="1">
      <c r="A126" s="19" t="s">
        <v>236</v>
      </c>
      <c r="B126" s="21">
        <v>0.0</v>
      </c>
      <c r="C126" s="23">
        <f>IFERROR(B126/B148, "NA")</f>
        <v>0</v>
      </c>
      <c r="D126" s="21">
        <v>0.0</v>
      </c>
      <c r="E126" s="23">
        <f>IFERROR(D126/D148, "NA")</f>
        <v>0</v>
      </c>
      <c r="F126" s="21">
        <v>0.0</v>
      </c>
      <c r="G126" s="23">
        <f>IFERROR(F126/F148, "NA")</f>
        <v>0</v>
      </c>
      <c r="H126" s="21">
        <v>0.0</v>
      </c>
      <c r="I126" s="23">
        <f>IFERROR(H126/H148, "NA")</f>
        <v>0</v>
      </c>
      <c r="J126" s="21">
        <v>0.0</v>
      </c>
      <c r="K126" s="23">
        <f>IFERROR(J126/J148, "NA")</f>
        <v>0</v>
      </c>
      <c r="L126" s="21">
        <v>0.0</v>
      </c>
      <c r="M126" s="23">
        <f>IFERROR(L126/L148, "NA")</f>
        <v>0</v>
      </c>
      <c r="N126" s="21">
        <v>0.0</v>
      </c>
      <c r="O126" s="23">
        <f>IFERROR(N126/N148, "NA")</f>
        <v>0</v>
      </c>
      <c r="P126" s="21">
        <v>0.0</v>
      </c>
      <c r="Q126" s="23">
        <f>IFERROR(P126/P148, "NA")</f>
        <v>0</v>
      </c>
      <c r="R126" s="21">
        <v>0.0</v>
      </c>
      <c r="S126" s="23">
        <f>IFERROR(R126/R148, "NA")</f>
        <v>0</v>
      </c>
      <c r="T126" s="21">
        <v>0.0</v>
      </c>
      <c r="U126" s="23">
        <f>IFERROR(T126/T148, "NA")</f>
        <v>0</v>
      </c>
      <c r="V126" s="21">
        <v>0.0</v>
      </c>
      <c r="W126" s="23">
        <f>IFERROR(V126/V148, "NA")</f>
        <v>0</v>
      </c>
      <c r="X126" s="21">
        <v>0.0</v>
      </c>
      <c r="Y126" s="23">
        <f>IFERROR(X126/X148, "NA")</f>
        <v>0</v>
      </c>
      <c r="Z126" s="21">
        <v>0.0</v>
      </c>
      <c r="AA126" s="23">
        <f>IFERROR(Z126/Z148, "NA")</f>
        <v>0</v>
      </c>
      <c r="AB126" s="28">
        <f t="shared" si="55"/>
        <v>0</v>
      </c>
      <c r="AC126" s="23">
        <f>IFERROR(AB126/AB148, "NA")</f>
        <v>0</v>
      </c>
      <c r="AD126" s="29">
        <f t="shared" si="56"/>
        <v>0</v>
      </c>
      <c r="AE126" s="30">
        <f>IFERROR(AD126/AD148, "NA")</f>
        <v>0</v>
      </c>
      <c r="AF126" s="29" t="str">
        <f t="shared" si="57"/>
        <v>NA</v>
      </c>
      <c r="AG126" s="28">
        <f t="shared" si="58"/>
        <v>0</v>
      </c>
      <c r="AH126" s="23">
        <f>IFERROR(AG126/AG148, "NA")</f>
        <v>0</v>
      </c>
      <c r="AI126" s="29">
        <f t="shared" si="59"/>
        <v>0</v>
      </c>
      <c r="AJ126" s="30">
        <f>IFERROR(AI126/AI148, "NA")</f>
        <v>0</v>
      </c>
      <c r="AK126" s="29" t="str">
        <f t="shared" si="60"/>
        <v>NA</v>
      </c>
      <c r="AL126" s="30" t="str">
        <f>IFERROR(AK126/AK148, "NA")</f>
        <v>NA</v>
      </c>
    </row>
    <row r="127" ht="16.5" hidden="1" customHeight="1">
      <c r="A127" s="19" t="s">
        <v>237</v>
      </c>
      <c r="B127" s="21">
        <v>0.0</v>
      </c>
      <c r="C127" s="23">
        <f>IFERROR(B127/B148, "NA")</f>
        <v>0</v>
      </c>
      <c r="D127" s="21">
        <v>0.0</v>
      </c>
      <c r="E127" s="23">
        <f>IFERROR(D127/D148, "NA")</f>
        <v>0</v>
      </c>
      <c r="F127" s="21">
        <v>0.0</v>
      </c>
      <c r="G127" s="23">
        <f>IFERROR(F127/F148, "NA")</f>
        <v>0</v>
      </c>
      <c r="H127" s="21">
        <v>0.0</v>
      </c>
      <c r="I127" s="23">
        <f>IFERROR(H127/H148, "NA")</f>
        <v>0</v>
      </c>
      <c r="J127" s="21">
        <v>0.0</v>
      </c>
      <c r="K127" s="23">
        <f>IFERROR(J127/J148, "NA")</f>
        <v>0</v>
      </c>
      <c r="L127" s="21">
        <v>0.0</v>
      </c>
      <c r="M127" s="23">
        <f>IFERROR(L127/L148, "NA")</f>
        <v>0</v>
      </c>
      <c r="N127" s="21">
        <v>0.0</v>
      </c>
      <c r="O127" s="23">
        <f>IFERROR(N127/N148, "NA")</f>
        <v>0</v>
      </c>
      <c r="P127" s="21">
        <v>0.0</v>
      </c>
      <c r="Q127" s="23">
        <f>IFERROR(P127/P148, "NA")</f>
        <v>0</v>
      </c>
      <c r="R127" s="21">
        <v>0.0</v>
      </c>
      <c r="S127" s="23">
        <f>IFERROR(R127/R148, "NA")</f>
        <v>0</v>
      </c>
      <c r="T127" s="21">
        <v>0.0</v>
      </c>
      <c r="U127" s="23">
        <f>IFERROR(T127/T148, "NA")</f>
        <v>0</v>
      </c>
      <c r="V127" s="21">
        <v>0.0</v>
      </c>
      <c r="W127" s="23">
        <f>IFERROR(V127/V148, "NA")</f>
        <v>0</v>
      </c>
      <c r="X127" s="21">
        <v>0.0</v>
      </c>
      <c r="Y127" s="23">
        <f>IFERROR(X127/X148, "NA")</f>
        <v>0</v>
      </c>
      <c r="Z127" s="21">
        <v>0.0</v>
      </c>
      <c r="AA127" s="23">
        <f>IFERROR(Z127/Z148, "NA")</f>
        <v>0</v>
      </c>
      <c r="AB127" s="28">
        <f t="shared" si="55"/>
        <v>0</v>
      </c>
      <c r="AC127" s="23">
        <f>IFERROR(AB127/AB148, "NA")</f>
        <v>0</v>
      </c>
      <c r="AD127" s="29">
        <f t="shared" si="56"/>
        <v>0</v>
      </c>
      <c r="AE127" s="30">
        <f>IFERROR(AD127/AD148, "NA")</f>
        <v>0</v>
      </c>
      <c r="AF127" s="29" t="str">
        <f t="shared" si="57"/>
        <v>NA</v>
      </c>
      <c r="AG127" s="28">
        <f t="shared" si="58"/>
        <v>0</v>
      </c>
      <c r="AH127" s="23">
        <f>IFERROR(AG127/AG148, "NA")</f>
        <v>0</v>
      </c>
      <c r="AI127" s="29">
        <f t="shared" si="59"/>
        <v>0</v>
      </c>
      <c r="AJ127" s="30">
        <f>IFERROR(AI127/AI148, "NA")</f>
        <v>0</v>
      </c>
      <c r="AK127" s="29" t="str">
        <f t="shared" si="60"/>
        <v>NA</v>
      </c>
      <c r="AL127" s="30" t="str">
        <f>IFERROR(AK127/AK148, "NA")</f>
        <v>NA</v>
      </c>
    </row>
    <row r="128" ht="16.5" hidden="1" customHeight="1">
      <c r="A128" s="19" t="s">
        <v>238</v>
      </c>
      <c r="B128" s="21">
        <v>2992.55</v>
      </c>
      <c r="C128" s="23">
        <f>IFERROR(B128/B148, "NA")</f>
        <v>0.01469137676</v>
      </c>
      <c r="D128" s="21">
        <v>2681.44</v>
      </c>
      <c r="E128" s="23">
        <f>IFERROR(D128/D148, "NA")</f>
        <v>0.01444708764</v>
      </c>
      <c r="F128" s="21">
        <v>-8889.44</v>
      </c>
      <c r="G128" s="23">
        <f>IFERROR(F128/F148, "NA")</f>
        <v>-0.0629301278</v>
      </c>
      <c r="H128" s="21">
        <v>2287.65</v>
      </c>
      <c r="I128" s="23">
        <f>IFERROR(H128/H148, "NA")</f>
        <v>0.03063913259</v>
      </c>
      <c r="J128" s="21">
        <v>3224.34</v>
      </c>
      <c r="K128" s="23">
        <f>IFERROR(J128/J148, "NA")</f>
        <v>0.0226431233</v>
      </c>
      <c r="L128" s="21">
        <v>3488.45</v>
      </c>
      <c r="M128" s="23">
        <f>IFERROR(L128/L148, "NA")</f>
        <v>0.02581353004</v>
      </c>
      <c r="N128" s="21">
        <v>2943.14</v>
      </c>
      <c r="O128" s="23">
        <f>IFERROR(N128/N148, "NA")</f>
        <v>0.02420396948</v>
      </c>
      <c r="P128" s="21">
        <v>-11943.58</v>
      </c>
      <c r="Q128" s="23">
        <f>IFERROR(P128/P148, "NA")</f>
        <v>-0.2109702376</v>
      </c>
      <c r="R128" s="21">
        <v>3364.26</v>
      </c>
      <c r="S128" s="23">
        <f>IFERROR(R128/R148, "NA")</f>
        <v>0.04841592571</v>
      </c>
      <c r="T128" s="21">
        <v>2834.06</v>
      </c>
      <c r="U128" s="23">
        <f>IFERROR(T128/T148, "NA")</f>
        <v>0.02564616748</v>
      </c>
      <c r="V128" s="21">
        <v>3055.75</v>
      </c>
      <c r="W128" s="23">
        <f>IFERROR(V128/V148, "NA")</f>
        <v>0.02262651336</v>
      </c>
      <c r="X128" s="21">
        <v>2483.9</v>
      </c>
      <c r="Y128" s="23">
        <f>IFERROR(X128/X148, "NA")</f>
        <v>0.02142348949</v>
      </c>
      <c r="Z128" s="21">
        <v>11737.97</v>
      </c>
      <c r="AA128" s="23">
        <f>IFERROR(Z128/Z148, "NA")</f>
        <v>0.02723506597</v>
      </c>
      <c r="AB128" s="28">
        <f t="shared" si="55"/>
        <v>2934.4925</v>
      </c>
      <c r="AC128" s="23">
        <f>IFERROR(AB128/AB148, "NA")</f>
        <v>0.02723506597</v>
      </c>
      <c r="AD128" s="29">
        <f t="shared" si="56"/>
        <v>-450.5925</v>
      </c>
      <c r="AE128" s="30">
        <f>IFERROR(AD128/AD148, "NA")</f>
        <v>-0.05497724037</v>
      </c>
      <c r="AF128" s="29">
        <f t="shared" si="57"/>
        <v>-0.153550401</v>
      </c>
      <c r="AG128" s="28">
        <f t="shared" si="58"/>
        <v>1181.29</v>
      </c>
      <c r="AH128" s="23">
        <f>IFERROR(AG128/AG148, "NA")</f>
        <v>0.01065742228</v>
      </c>
      <c r="AI128" s="29">
        <f t="shared" si="59"/>
        <v>1302.61</v>
      </c>
      <c r="AJ128" s="30">
        <f>IFERROR(AI128/AI148, "NA")</f>
        <v>0.2553721649</v>
      </c>
      <c r="AK128" s="29">
        <f t="shared" si="60"/>
        <v>1.102701284</v>
      </c>
      <c r="AL128" s="30">
        <f>IFERROR(AK128/AK148, "NA")</f>
        <v>23.96190733</v>
      </c>
    </row>
    <row r="129" ht="16.5" hidden="1" customHeight="1">
      <c r="A129" s="19" t="s">
        <v>239</v>
      </c>
      <c r="B129" s="21">
        <v>0.0</v>
      </c>
      <c r="C129" s="23">
        <f>IFERROR(B129/B148, "NA")</f>
        <v>0</v>
      </c>
      <c r="D129" s="21">
        <v>0.0</v>
      </c>
      <c r="E129" s="23">
        <f>IFERROR(D129/D148, "NA")</f>
        <v>0</v>
      </c>
      <c r="F129" s="21">
        <v>0.0</v>
      </c>
      <c r="G129" s="23">
        <f>IFERROR(F129/F148, "NA")</f>
        <v>0</v>
      </c>
      <c r="H129" s="21">
        <v>0.0</v>
      </c>
      <c r="I129" s="23">
        <f>IFERROR(H129/H148, "NA")</f>
        <v>0</v>
      </c>
      <c r="J129" s="21">
        <v>0.0</v>
      </c>
      <c r="K129" s="23">
        <f>IFERROR(J129/J148, "NA")</f>
        <v>0</v>
      </c>
      <c r="L129" s="21">
        <v>0.0</v>
      </c>
      <c r="M129" s="23">
        <f>IFERROR(L129/L148, "NA")</f>
        <v>0</v>
      </c>
      <c r="N129" s="21">
        <v>0.0</v>
      </c>
      <c r="O129" s="23">
        <f>IFERROR(N129/N148, "NA")</f>
        <v>0</v>
      </c>
      <c r="P129" s="21">
        <v>0.0</v>
      </c>
      <c r="Q129" s="23">
        <f>IFERROR(P129/P148, "NA")</f>
        <v>0</v>
      </c>
      <c r="R129" s="21">
        <v>0.0</v>
      </c>
      <c r="S129" s="23">
        <f>IFERROR(R129/R148, "NA")</f>
        <v>0</v>
      </c>
      <c r="T129" s="21">
        <v>0.0</v>
      </c>
      <c r="U129" s="23">
        <f>IFERROR(T129/T148, "NA")</f>
        <v>0</v>
      </c>
      <c r="V129" s="21">
        <v>0.0</v>
      </c>
      <c r="W129" s="23">
        <f>IFERROR(V129/V148, "NA")</f>
        <v>0</v>
      </c>
      <c r="X129" s="21">
        <v>0.0</v>
      </c>
      <c r="Y129" s="23">
        <f>IFERROR(X129/X148, "NA")</f>
        <v>0</v>
      </c>
      <c r="Z129" s="21">
        <v>0.0</v>
      </c>
      <c r="AA129" s="23">
        <f>IFERROR(Z129/Z148, "NA")</f>
        <v>0</v>
      </c>
      <c r="AB129" s="28">
        <f t="shared" si="55"/>
        <v>0</v>
      </c>
      <c r="AC129" s="23">
        <f>IFERROR(AB129/AB148, "NA")</f>
        <v>0</v>
      </c>
      <c r="AD129" s="29">
        <f t="shared" si="56"/>
        <v>0</v>
      </c>
      <c r="AE129" s="30">
        <f>IFERROR(AD129/AD148, "NA")</f>
        <v>0</v>
      </c>
      <c r="AF129" s="29" t="str">
        <f t="shared" si="57"/>
        <v>NA</v>
      </c>
      <c r="AG129" s="28">
        <f t="shared" si="58"/>
        <v>0</v>
      </c>
      <c r="AH129" s="23">
        <f>IFERROR(AG129/AG148, "NA")</f>
        <v>0</v>
      </c>
      <c r="AI129" s="29">
        <f t="shared" si="59"/>
        <v>0</v>
      </c>
      <c r="AJ129" s="30">
        <f>IFERROR(AI129/AI148, "NA")</f>
        <v>0</v>
      </c>
      <c r="AK129" s="29" t="str">
        <f t="shared" si="60"/>
        <v>NA</v>
      </c>
      <c r="AL129" s="30" t="str">
        <f>IFERROR(AK129/AK148, "NA")</f>
        <v>NA</v>
      </c>
    </row>
    <row r="130" ht="16.5" hidden="1" customHeight="1">
      <c r="A130" s="19" t="s">
        <v>240</v>
      </c>
      <c r="B130" s="21">
        <v>0.0</v>
      </c>
      <c r="C130" s="23">
        <f>IFERROR(B130/B148, "NA")</f>
        <v>0</v>
      </c>
      <c r="D130" s="21">
        <v>0.0</v>
      </c>
      <c r="E130" s="23">
        <f>IFERROR(D130/D148, "NA")</f>
        <v>0</v>
      </c>
      <c r="F130" s="21">
        <v>0.0</v>
      </c>
      <c r="G130" s="23">
        <f>IFERROR(F130/F148, "NA")</f>
        <v>0</v>
      </c>
      <c r="H130" s="21">
        <v>0.0</v>
      </c>
      <c r="I130" s="23">
        <f>IFERROR(H130/H148, "NA")</f>
        <v>0</v>
      </c>
      <c r="J130" s="21">
        <v>0.0</v>
      </c>
      <c r="K130" s="23">
        <f>IFERROR(J130/J148, "NA")</f>
        <v>0</v>
      </c>
      <c r="L130" s="21">
        <v>0.0</v>
      </c>
      <c r="M130" s="23">
        <f>IFERROR(L130/L148, "NA")</f>
        <v>0</v>
      </c>
      <c r="N130" s="21">
        <v>0.0</v>
      </c>
      <c r="O130" s="23">
        <f>IFERROR(N130/N148, "NA")</f>
        <v>0</v>
      </c>
      <c r="P130" s="21">
        <v>0.0</v>
      </c>
      <c r="Q130" s="23">
        <f>IFERROR(P130/P148, "NA")</f>
        <v>0</v>
      </c>
      <c r="R130" s="21">
        <v>0.0</v>
      </c>
      <c r="S130" s="23">
        <f>IFERROR(R130/R148, "NA")</f>
        <v>0</v>
      </c>
      <c r="T130" s="21">
        <v>0.0</v>
      </c>
      <c r="U130" s="23">
        <f>IFERROR(T130/T148, "NA")</f>
        <v>0</v>
      </c>
      <c r="V130" s="21">
        <v>0.0</v>
      </c>
      <c r="W130" s="23">
        <f>IFERROR(V130/V148, "NA")</f>
        <v>0</v>
      </c>
      <c r="X130" s="21">
        <v>0.0</v>
      </c>
      <c r="Y130" s="23">
        <f>IFERROR(X130/X148, "NA")</f>
        <v>0</v>
      </c>
      <c r="Z130" s="21">
        <v>0.0</v>
      </c>
      <c r="AA130" s="23">
        <f>IFERROR(Z130/Z148, "NA")</f>
        <v>0</v>
      </c>
      <c r="AB130" s="28">
        <f t="shared" si="55"/>
        <v>0</v>
      </c>
      <c r="AC130" s="23">
        <f>IFERROR(AB130/AB148, "NA")</f>
        <v>0</v>
      </c>
      <c r="AD130" s="29">
        <f t="shared" si="56"/>
        <v>0</v>
      </c>
      <c r="AE130" s="30">
        <f>IFERROR(AD130/AD148, "NA")</f>
        <v>0</v>
      </c>
      <c r="AF130" s="29" t="str">
        <f t="shared" si="57"/>
        <v>NA</v>
      </c>
      <c r="AG130" s="28">
        <f t="shared" si="58"/>
        <v>0</v>
      </c>
      <c r="AH130" s="23">
        <f>IFERROR(AG130/AG148, "NA")</f>
        <v>0</v>
      </c>
      <c r="AI130" s="29">
        <f t="shared" si="59"/>
        <v>0</v>
      </c>
      <c r="AJ130" s="30">
        <f>IFERROR(AI130/AI148, "NA")</f>
        <v>0</v>
      </c>
      <c r="AK130" s="29" t="str">
        <f t="shared" si="60"/>
        <v>NA</v>
      </c>
      <c r="AL130" s="30" t="str">
        <f>IFERROR(AK130/AK148, "NA")</f>
        <v>NA</v>
      </c>
    </row>
    <row r="131" ht="16.5" hidden="1" customHeight="1">
      <c r="A131" s="19" t="s">
        <v>241</v>
      </c>
      <c r="B131" s="21">
        <v>0.0</v>
      </c>
      <c r="C131" s="23">
        <f>IFERROR(B131/B148, "NA")</f>
        <v>0</v>
      </c>
      <c r="D131" s="21">
        <v>0.0</v>
      </c>
      <c r="E131" s="23">
        <f>IFERROR(D131/D148, "NA")</f>
        <v>0</v>
      </c>
      <c r="F131" s="21">
        <v>0.0</v>
      </c>
      <c r="G131" s="23">
        <f>IFERROR(F131/F148, "NA")</f>
        <v>0</v>
      </c>
      <c r="H131" s="21">
        <v>0.0</v>
      </c>
      <c r="I131" s="23">
        <f>IFERROR(H131/H148, "NA")</f>
        <v>0</v>
      </c>
      <c r="J131" s="21">
        <v>0.0</v>
      </c>
      <c r="K131" s="23">
        <f>IFERROR(J131/J148, "NA")</f>
        <v>0</v>
      </c>
      <c r="L131" s="21">
        <v>0.0</v>
      </c>
      <c r="M131" s="23">
        <f>IFERROR(L131/L148, "NA")</f>
        <v>0</v>
      </c>
      <c r="N131" s="21">
        <v>0.0</v>
      </c>
      <c r="O131" s="23">
        <f>IFERROR(N131/N148, "NA")</f>
        <v>0</v>
      </c>
      <c r="P131" s="21">
        <v>0.0</v>
      </c>
      <c r="Q131" s="23">
        <f>IFERROR(P131/P148, "NA")</f>
        <v>0</v>
      </c>
      <c r="R131" s="21">
        <v>0.0</v>
      </c>
      <c r="S131" s="23">
        <f>IFERROR(R131/R148, "NA")</f>
        <v>0</v>
      </c>
      <c r="T131" s="21">
        <v>0.0</v>
      </c>
      <c r="U131" s="23">
        <f>IFERROR(T131/T148, "NA")</f>
        <v>0</v>
      </c>
      <c r="V131" s="21">
        <v>0.0</v>
      </c>
      <c r="W131" s="23">
        <f>IFERROR(V131/V148, "NA")</f>
        <v>0</v>
      </c>
      <c r="X131" s="21">
        <v>0.0</v>
      </c>
      <c r="Y131" s="23">
        <f>IFERROR(X131/X148, "NA")</f>
        <v>0</v>
      </c>
      <c r="Z131" s="21">
        <v>0.0</v>
      </c>
      <c r="AA131" s="23">
        <f>IFERROR(Z131/Z148, "NA")</f>
        <v>0</v>
      </c>
      <c r="AB131" s="28">
        <f t="shared" si="55"/>
        <v>0</v>
      </c>
      <c r="AC131" s="23">
        <f>IFERROR(AB131/AB148, "NA")</f>
        <v>0</v>
      </c>
      <c r="AD131" s="29">
        <f t="shared" si="56"/>
        <v>0</v>
      </c>
      <c r="AE131" s="30">
        <f>IFERROR(AD131/AD148, "NA")</f>
        <v>0</v>
      </c>
      <c r="AF131" s="29" t="str">
        <f t="shared" si="57"/>
        <v>NA</v>
      </c>
      <c r="AG131" s="28">
        <f t="shared" si="58"/>
        <v>0</v>
      </c>
      <c r="AH131" s="23">
        <f>IFERROR(AG131/AG148, "NA")</f>
        <v>0</v>
      </c>
      <c r="AI131" s="29">
        <f t="shared" si="59"/>
        <v>0</v>
      </c>
      <c r="AJ131" s="30">
        <f>IFERROR(AI131/AI148, "NA")</f>
        <v>0</v>
      </c>
      <c r="AK131" s="29" t="str">
        <f t="shared" si="60"/>
        <v>NA</v>
      </c>
      <c r="AL131" s="30" t="str">
        <f>IFERROR(AK131/AK148, "NA")</f>
        <v>NA</v>
      </c>
    </row>
    <row r="132" ht="16.5" hidden="1" customHeight="1">
      <c r="A132" s="19" t="s">
        <v>242</v>
      </c>
      <c r="B132" s="21">
        <v>0.0</v>
      </c>
      <c r="C132" s="23">
        <f>IFERROR(B132/B148, "NA")</f>
        <v>0</v>
      </c>
      <c r="D132" s="21">
        <v>0.0</v>
      </c>
      <c r="E132" s="23">
        <f>IFERROR(D132/D148, "NA")</f>
        <v>0</v>
      </c>
      <c r="F132" s="21">
        <v>0.0</v>
      </c>
      <c r="G132" s="23">
        <f>IFERROR(F132/F148, "NA")</f>
        <v>0</v>
      </c>
      <c r="H132" s="21">
        <v>0.0</v>
      </c>
      <c r="I132" s="23">
        <f>IFERROR(H132/H148, "NA")</f>
        <v>0</v>
      </c>
      <c r="J132" s="21">
        <v>0.0</v>
      </c>
      <c r="K132" s="23">
        <f>IFERROR(J132/J148, "NA")</f>
        <v>0</v>
      </c>
      <c r="L132" s="21">
        <v>0.0</v>
      </c>
      <c r="M132" s="23">
        <f>IFERROR(L132/L148, "NA")</f>
        <v>0</v>
      </c>
      <c r="N132" s="21">
        <v>0.0</v>
      </c>
      <c r="O132" s="23">
        <f>IFERROR(N132/N148, "NA")</f>
        <v>0</v>
      </c>
      <c r="P132" s="21">
        <v>0.0</v>
      </c>
      <c r="Q132" s="23">
        <f>IFERROR(P132/P148, "NA")</f>
        <v>0</v>
      </c>
      <c r="R132" s="21">
        <v>0.0</v>
      </c>
      <c r="S132" s="23">
        <f>IFERROR(R132/R148, "NA")</f>
        <v>0</v>
      </c>
      <c r="T132" s="21">
        <v>0.0</v>
      </c>
      <c r="U132" s="23">
        <f>IFERROR(T132/T148, "NA")</f>
        <v>0</v>
      </c>
      <c r="V132" s="21">
        <v>0.0</v>
      </c>
      <c r="W132" s="23">
        <f>IFERROR(V132/V148, "NA")</f>
        <v>0</v>
      </c>
      <c r="X132" s="21">
        <v>0.0</v>
      </c>
      <c r="Y132" s="23">
        <f>IFERROR(X132/X148, "NA")</f>
        <v>0</v>
      </c>
      <c r="Z132" s="21">
        <v>0.0</v>
      </c>
      <c r="AA132" s="23">
        <f>IFERROR(Z132/Z148, "NA")</f>
        <v>0</v>
      </c>
      <c r="AB132" s="28">
        <f t="shared" si="55"/>
        <v>0</v>
      </c>
      <c r="AC132" s="23">
        <f>IFERROR(AB132/AB148, "NA")</f>
        <v>0</v>
      </c>
      <c r="AD132" s="29">
        <f t="shared" si="56"/>
        <v>0</v>
      </c>
      <c r="AE132" s="30">
        <f>IFERROR(AD132/AD148, "NA")</f>
        <v>0</v>
      </c>
      <c r="AF132" s="29" t="str">
        <f t="shared" si="57"/>
        <v>NA</v>
      </c>
      <c r="AG132" s="28">
        <f t="shared" si="58"/>
        <v>0</v>
      </c>
      <c r="AH132" s="23">
        <f>IFERROR(AG132/AG148, "NA")</f>
        <v>0</v>
      </c>
      <c r="AI132" s="29">
        <f t="shared" si="59"/>
        <v>0</v>
      </c>
      <c r="AJ132" s="30">
        <f>IFERROR(AI132/AI148, "NA")</f>
        <v>0</v>
      </c>
      <c r="AK132" s="29" t="str">
        <f t="shared" si="60"/>
        <v>NA</v>
      </c>
      <c r="AL132" s="30" t="str">
        <f>IFERROR(AK132/AK148, "NA")</f>
        <v>NA</v>
      </c>
    </row>
    <row r="133" ht="16.5" hidden="1" customHeight="1">
      <c r="A133" s="19" t="s">
        <v>243</v>
      </c>
      <c r="B133" s="21">
        <v>0.0</v>
      </c>
      <c r="C133" s="23">
        <f>IFERROR(B133/B148, "NA")</f>
        <v>0</v>
      </c>
      <c r="D133" s="21">
        <v>0.0</v>
      </c>
      <c r="E133" s="23">
        <f>IFERROR(D133/D148, "NA")</f>
        <v>0</v>
      </c>
      <c r="F133" s="21">
        <v>0.0</v>
      </c>
      <c r="G133" s="23">
        <f>IFERROR(F133/F148, "NA")</f>
        <v>0</v>
      </c>
      <c r="H133" s="21">
        <v>0.0</v>
      </c>
      <c r="I133" s="23">
        <f>IFERROR(H133/H148, "NA")</f>
        <v>0</v>
      </c>
      <c r="J133" s="21">
        <v>0.0</v>
      </c>
      <c r="K133" s="23">
        <f>IFERROR(J133/J148, "NA")</f>
        <v>0</v>
      </c>
      <c r="L133" s="21">
        <v>0.0</v>
      </c>
      <c r="M133" s="23">
        <f>IFERROR(L133/L148, "NA")</f>
        <v>0</v>
      </c>
      <c r="N133" s="21">
        <v>0.0</v>
      </c>
      <c r="O133" s="23">
        <f>IFERROR(N133/N148, "NA")</f>
        <v>0</v>
      </c>
      <c r="P133" s="21">
        <v>0.0</v>
      </c>
      <c r="Q133" s="23">
        <f>IFERROR(P133/P148, "NA")</f>
        <v>0</v>
      </c>
      <c r="R133" s="21">
        <v>0.0</v>
      </c>
      <c r="S133" s="23">
        <f>IFERROR(R133/R148, "NA")</f>
        <v>0</v>
      </c>
      <c r="T133" s="21">
        <v>0.0</v>
      </c>
      <c r="U133" s="23">
        <f>IFERROR(T133/T148, "NA")</f>
        <v>0</v>
      </c>
      <c r="V133" s="21">
        <v>0.0</v>
      </c>
      <c r="W133" s="23">
        <f>IFERROR(V133/V148, "NA")</f>
        <v>0</v>
      </c>
      <c r="X133" s="21">
        <v>0.0</v>
      </c>
      <c r="Y133" s="23">
        <f>IFERROR(X133/X148, "NA")</f>
        <v>0</v>
      </c>
      <c r="Z133" s="21">
        <v>0.0</v>
      </c>
      <c r="AA133" s="23">
        <f>IFERROR(Z133/Z148, "NA")</f>
        <v>0</v>
      </c>
      <c r="AB133" s="28">
        <f t="shared" si="55"/>
        <v>0</v>
      </c>
      <c r="AC133" s="23">
        <f>IFERROR(AB133/AB148, "NA")</f>
        <v>0</v>
      </c>
      <c r="AD133" s="29">
        <f t="shared" si="56"/>
        <v>0</v>
      </c>
      <c r="AE133" s="30">
        <f>IFERROR(AD133/AD148, "NA")</f>
        <v>0</v>
      </c>
      <c r="AF133" s="29" t="str">
        <f t="shared" si="57"/>
        <v>NA</v>
      </c>
      <c r="AG133" s="28">
        <f t="shared" si="58"/>
        <v>0</v>
      </c>
      <c r="AH133" s="23">
        <f>IFERROR(AG133/AG148, "NA")</f>
        <v>0</v>
      </c>
      <c r="AI133" s="29">
        <f t="shared" si="59"/>
        <v>0</v>
      </c>
      <c r="AJ133" s="30">
        <f>IFERROR(AI133/AI148, "NA")</f>
        <v>0</v>
      </c>
      <c r="AK133" s="29" t="str">
        <f t="shared" si="60"/>
        <v>NA</v>
      </c>
      <c r="AL133" s="30" t="str">
        <f>IFERROR(AK133/AK148, "NA")</f>
        <v>NA</v>
      </c>
    </row>
    <row r="134" ht="16.5" hidden="1" customHeight="1">
      <c r="A134" s="19" t="s">
        <v>244</v>
      </c>
      <c r="B134" s="21">
        <v>0.0</v>
      </c>
      <c r="C134" s="23">
        <f>IFERROR(B134/B148, "NA")</f>
        <v>0</v>
      </c>
      <c r="D134" s="21">
        <v>0.0</v>
      </c>
      <c r="E134" s="23">
        <f>IFERROR(D134/D148, "NA")</f>
        <v>0</v>
      </c>
      <c r="F134" s="21">
        <v>0.0</v>
      </c>
      <c r="G134" s="23">
        <f>IFERROR(F134/F148, "NA")</f>
        <v>0</v>
      </c>
      <c r="H134" s="21">
        <v>0.0</v>
      </c>
      <c r="I134" s="23">
        <f>IFERROR(H134/H148, "NA")</f>
        <v>0</v>
      </c>
      <c r="J134" s="21">
        <v>0.0</v>
      </c>
      <c r="K134" s="23">
        <f>IFERROR(J134/J148, "NA")</f>
        <v>0</v>
      </c>
      <c r="L134" s="21">
        <v>0.0</v>
      </c>
      <c r="M134" s="23">
        <f>IFERROR(L134/L148, "NA")</f>
        <v>0</v>
      </c>
      <c r="N134" s="21">
        <v>0.0</v>
      </c>
      <c r="O134" s="23">
        <f>IFERROR(N134/N148, "NA")</f>
        <v>0</v>
      </c>
      <c r="P134" s="21">
        <v>0.0</v>
      </c>
      <c r="Q134" s="23">
        <f>IFERROR(P134/P148, "NA")</f>
        <v>0</v>
      </c>
      <c r="R134" s="21">
        <v>0.0</v>
      </c>
      <c r="S134" s="23">
        <f>IFERROR(R134/R148, "NA")</f>
        <v>0</v>
      </c>
      <c r="T134" s="21">
        <v>0.0</v>
      </c>
      <c r="U134" s="23">
        <f>IFERROR(T134/T148, "NA")</f>
        <v>0</v>
      </c>
      <c r="V134" s="21">
        <v>0.0</v>
      </c>
      <c r="W134" s="23">
        <f>IFERROR(V134/V148, "NA")</f>
        <v>0</v>
      </c>
      <c r="X134" s="21">
        <v>0.0</v>
      </c>
      <c r="Y134" s="23">
        <f>IFERROR(X134/X148, "NA")</f>
        <v>0</v>
      </c>
      <c r="Z134" s="21">
        <v>0.0</v>
      </c>
      <c r="AA134" s="23">
        <f>IFERROR(Z134/Z148, "NA")</f>
        <v>0</v>
      </c>
      <c r="AB134" s="28">
        <f t="shared" si="55"/>
        <v>0</v>
      </c>
      <c r="AC134" s="23">
        <f>IFERROR(AB134/AB148, "NA")</f>
        <v>0</v>
      </c>
      <c r="AD134" s="29">
        <f t="shared" si="56"/>
        <v>0</v>
      </c>
      <c r="AE134" s="30">
        <f>IFERROR(AD134/AD148, "NA")</f>
        <v>0</v>
      </c>
      <c r="AF134" s="29" t="str">
        <f t="shared" si="57"/>
        <v>NA</v>
      </c>
      <c r="AG134" s="28">
        <f t="shared" si="58"/>
        <v>0</v>
      </c>
      <c r="AH134" s="23">
        <f>IFERROR(AG134/AG148, "NA")</f>
        <v>0</v>
      </c>
      <c r="AI134" s="29">
        <f t="shared" si="59"/>
        <v>0</v>
      </c>
      <c r="AJ134" s="30">
        <f>IFERROR(AI134/AI148, "NA")</f>
        <v>0</v>
      </c>
      <c r="AK134" s="29" t="str">
        <f t="shared" si="60"/>
        <v>NA</v>
      </c>
      <c r="AL134" s="30" t="str">
        <f>IFERROR(AK134/AK148, "NA")</f>
        <v>NA</v>
      </c>
    </row>
    <row r="135" ht="16.5" hidden="1" customHeight="1">
      <c r="A135" s="65" t="s">
        <v>245</v>
      </c>
      <c r="B135" s="66">
        <f>IFERROR(B110+B111+B112+B113+B114+B115+B116+B117+B118+B119+B120+B121+B122+B123+B124+B125+B126+B127+B128+B129+B130+B131+B132+B133+B134, "NA")</f>
        <v>2992.55</v>
      </c>
      <c r="C135" s="67">
        <f>IFERROR(B135/B148, "NA")</f>
        <v>0.01469137676</v>
      </c>
      <c r="D135" s="66">
        <f>IFERROR(D110+D111+D112+D113+D114+D115+D116+D117+D118+D119+D120+D121+D122+D123+D124+D125+D126+D127+D128+D129+D130+D131+D132+D133+D134, "NA")</f>
        <v>2681.44</v>
      </c>
      <c r="E135" s="67">
        <f>IFERROR(D135/D148, "NA")</f>
        <v>0.01444708764</v>
      </c>
      <c r="F135" s="66">
        <f>IFERROR(F110+F111+F112+F113+F114+F115+F116+F117+F118+F119+F120+F121+F122+F123+F124+F125+F126+F127+F128+F129+F130+F131+F132+F133+F134, "NA")</f>
        <v>-8889.44</v>
      </c>
      <c r="G135" s="67">
        <f>IFERROR(F135/F148, "NA")</f>
        <v>-0.0629301278</v>
      </c>
      <c r="H135" s="66">
        <f>IFERROR(H110+H111+H112+H113+H114+H115+H116+H117+H118+H119+H120+H121+H122+H123+H124+H125+H126+H127+H128+H129+H130+H131+H132+H133+H134, "NA")</f>
        <v>2287.65</v>
      </c>
      <c r="I135" s="67">
        <f>IFERROR(H135/H148, "NA")</f>
        <v>0.03063913259</v>
      </c>
      <c r="J135" s="66">
        <f>IFERROR(J110+J111+J112+J113+J114+J115+J116+J117+J118+J119+J120+J121+J122+J123+J124+J125+J126+J127+J128+J129+J130+J131+J132+J133+J134, "NA")</f>
        <v>3224.34</v>
      </c>
      <c r="K135" s="67">
        <f>IFERROR(J135/J148, "NA")</f>
        <v>0.0226431233</v>
      </c>
      <c r="L135" s="66">
        <f>IFERROR(L110+L111+L112+L113+L114+L115+L116+L117+L118+L119+L120+L121+L122+L123+L124+L125+L126+L127+L128+L129+L130+L131+L132+L133+L134, "NA")</f>
        <v>3488.45</v>
      </c>
      <c r="M135" s="67">
        <f>IFERROR(L135/L148, "NA")</f>
        <v>0.02581353004</v>
      </c>
      <c r="N135" s="66">
        <f>IFERROR(N110+N111+N112+N113+N114+N115+N116+N117+N118+N119+N120+N121+N122+N123+N124+N125+N126+N127+N128+N129+N130+N131+N132+N133+N134, "NA")</f>
        <v>2943.14</v>
      </c>
      <c r="O135" s="67">
        <f>IFERROR(N135/N148, "NA")</f>
        <v>0.02420396948</v>
      </c>
      <c r="P135" s="66">
        <f>IFERROR(P110+P111+P112+P113+P114+P115+P116+P117+P118+P119+P120+P121+P122+P123+P124+P125+P126+P127+P128+P129+P130+P131+P132+P133+P134, "NA")</f>
        <v>-11943.58</v>
      </c>
      <c r="Q135" s="67">
        <f>IFERROR(P135/P148, "NA")</f>
        <v>-0.2109702376</v>
      </c>
      <c r="R135" s="66">
        <f>IFERROR(R110+R111+R112+R113+R114+R115+R116+R117+R118+R119+R120+R121+R122+R123+R124+R125+R126+R127+R128+R129+R130+R131+R132+R133+R134, "NA")</f>
        <v>3364.26</v>
      </c>
      <c r="S135" s="67">
        <f>IFERROR(R135/R148, "NA")</f>
        <v>0.04841592571</v>
      </c>
      <c r="T135" s="66">
        <f>IFERROR(T110+T111+T112+T113+T114+T115+T116+T117+T118+T119+T120+T121+T122+T123+T124+T125+T126+T127+T128+T129+T130+T131+T132+T133+T134, "NA")</f>
        <v>2834.06</v>
      </c>
      <c r="U135" s="67">
        <f>IFERROR(T135/T148, "NA")</f>
        <v>0.02564616748</v>
      </c>
      <c r="V135" s="66">
        <f>IFERROR(V110+V111+V112+V113+V114+V115+V116+V117+V118+V119+V120+V121+V122+V123+V124+V125+V126+V127+V128+V129+V130+V131+V132+V133+V134, "NA")</f>
        <v>3055.75</v>
      </c>
      <c r="W135" s="67">
        <f>IFERROR(V135/V148, "NA")</f>
        <v>0.02262651336</v>
      </c>
      <c r="X135" s="66">
        <f>IFERROR(X110+X111+X112+X113+X114+X115+X116+X117+X118+X119+X120+X121+X122+X123+X124+X125+X126+X127+X128+X129+X130+X131+X132+X133+X134, "NA")</f>
        <v>2483.9</v>
      </c>
      <c r="Y135" s="67">
        <f>IFERROR(X135/X148, "NA")</f>
        <v>0.02142348949</v>
      </c>
      <c r="Z135" s="66">
        <f>IFERROR(Z110+Z111+Z112+Z113+Z114+Z115+Z116+Z117+Z118+Z119+Z120+Z121+Z122+Z123+Z124+Z125+Z126+Z127+Z128+Z129+Z130+Z131+Z132+Z133+Z134, "NA")</f>
        <v>11737.97</v>
      </c>
      <c r="AA135" s="67">
        <f>IFERROR(Z135/Z148, "NA")</f>
        <v>0.02723506597</v>
      </c>
      <c r="AB135" s="66">
        <f t="shared" si="55"/>
        <v>2934.4925</v>
      </c>
      <c r="AC135" s="67">
        <f>IFERROR(AB135/AB148, "NA")</f>
        <v>0.02723506597</v>
      </c>
      <c r="AD135" s="75">
        <f t="shared" si="56"/>
        <v>-450.5925</v>
      </c>
      <c r="AE135" s="76">
        <f>IFERROR(AD135/AD148, "NA")</f>
        <v>-0.05497724037</v>
      </c>
      <c r="AF135" s="75">
        <f t="shared" si="57"/>
        <v>-0.153550401</v>
      </c>
      <c r="AG135" s="66">
        <f t="shared" si="58"/>
        <v>1181.29</v>
      </c>
      <c r="AH135" s="67">
        <f>IFERROR(AG135/AG148, "NA")</f>
        <v>0.01065742228</v>
      </c>
      <c r="AI135" s="75">
        <f t="shared" si="59"/>
        <v>1302.61</v>
      </c>
      <c r="AJ135" s="76">
        <f>IFERROR(AI135/AI148, "NA")</f>
        <v>0.2553721649</v>
      </c>
      <c r="AK135" s="75">
        <f t="shared" si="60"/>
        <v>1.102701284</v>
      </c>
      <c r="AL135" s="76">
        <f>IFERROR(AK135/AK148, "NA")</f>
        <v>23.96190733</v>
      </c>
    </row>
    <row r="136" ht="16.5" hidden="1" customHeight="1">
      <c r="A136" s="123"/>
      <c r="B136" s="124"/>
      <c r="C136" s="74"/>
      <c r="D136" s="124"/>
      <c r="E136" s="74"/>
      <c r="F136" s="124"/>
      <c r="G136" s="74"/>
      <c r="H136" s="124"/>
      <c r="I136" s="74"/>
      <c r="J136" s="124"/>
      <c r="K136" s="74"/>
      <c r="L136" s="124"/>
      <c r="M136" s="74"/>
      <c r="N136" s="124"/>
      <c r="O136" s="74"/>
      <c r="P136" s="124"/>
      <c r="Q136" s="74"/>
      <c r="R136" s="124"/>
      <c r="S136" s="74"/>
      <c r="T136" s="124"/>
      <c r="U136" s="74"/>
      <c r="V136" s="124"/>
      <c r="W136" s="74"/>
      <c r="X136" s="124"/>
      <c r="Y136" s="74"/>
      <c r="Z136" s="124"/>
      <c r="AA136" s="74"/>
      <c r="AB136" s="124"/>
      <c r="AC136" s="74"/>
      <c r="AD136" s="125"/>
      <c r="AE136" s="80"/>
      <c r="AF136" s="125"/>
      <c r="AG136" s="124"/>
      <c r="AH136" s="74"/>
      <c r="AI136" s="125"/>
      <c r="AJ136" s="80"/>
      <c r="AK136" s="125"/>
      <c r="AL136" s="80"/>
    </row>
    <row r="137" ht="16.5" hidden="1" customHeight="1">
      <c r="A137" s="121" t="s">
        <v>246</v>
      </c>
      <c r="B137" s="122">
        <f>IFERROR(B107-B135, "NA")</f>
        <v>73413.06</v>
      </c>
      <c r="C137" s="94">
        <f>IFERROR(B137/B148, "NA")</f>
        <v>0.3604079878</v>
      </c>
      <c r="D137" s="122">
        <f>IFERROR(D107-D135, "NA")</f>
        <v>41218.7</v>
      </c>
      <c r="E137" s="94">
        <f>IFERROR(D137/D148, "NA")</f>
        <v>0.2220784994</v>
      </c>
      <c r="F137" s="122">
        <f>IFERROR(F107-F135, "NA")</f>
        <v>-38692.82</v>
      </c>
      <c r="G137" s="94">
        <f>IFERROR(F137/F148, "NA")</f>
        <v>-0.2739142294</v>
      </c>
      <c r="H137" s="122">
        <f>IFERROR(H107-H135, "NA")</f>
        <v>3065.82</v>
      </c>
      <c r="I137" s="94">
        <f>IFERROR(H137/H148, "NA")</f>
        <v>0.04106137979</v>
      </c>
      <c r="J137" s="122">
        <f>IFERROR(J107-J135, "NA")</f>
        <v>28980.82</v>
      </c>
      <c r="K137" s="94">
        <f>IFERROR(J137/J148, "NA")</f>
        <v>0.203519567</v>
      </c>
      <c r="L137" s="122">
        <f>IFERROR(L107-L135, "NA")</f>
        <v>24627.25</v>
      </c>
      <c r="M137" s="94">
        <f>IFERROR(L137/L148, "NA")</f>
        <v>0.1822345906</v>
      </c>
      <c r="N137" s="122">
        <f>IFERROR(N107-N135, "NA")</f>
        <v>-6992.58</v>
      </c>
      <c r="O137" s="94">
        <f>IFERROR(N137/N148, "NA")</f>
        <v>-0.05750599458</v>
      </c>
      <c r="P137" s="122">
        <f>IFERROR(P107-P135, "NA")</f>
        <v>-85214.47</v>
      </c>
      <c r="Q137" s="94">
        <f>IFERROR(P137/P148, "NA")</f>
        <v>-1.505220125</v>
      </c>
      <c r="R137" s="122">
        <f>IFERROR(R107-R135, "NA")</f>
        <v>3698.88</v>
      </c>
      <c r="S137" s="94">
        <f>IFERROR(R137/R148, "NA")</f>
        <v>0.05323152767</v>
      </c>
      <c r="T137" s="122">
        <f>IFERROR(T107-T135, "NA")</f>
        <v>16918.76</v>
      </c>
      <c r="U137" s="94">
        <f>IFERROR(T137/T148, "NA")</f>
        <v>0.1531023876</v>
      </c>
      <c r="V137" s="122">
        <f>IFERROR(V107-V135, "NA")</f>
        <v>12091.53</v>
      </c>
      <c r="W137" s="94">
        <f>IFERROR(V137/V148, "NA")</f>
        <v>0.0895325747</v>
      </c>
      <c r="X137" s="122">
        <f>IFERROR(X107-X135, "NA")</f>
        <v>-43184.83</v>
      </c>
      <c r="Y137" s="94">
        <f>IFERROR(X137/X148, "NA")</f>
        <v>-0.3724665855</v>
      </c>
      <c r="Z137" s="122">
        <f>IFERROR(Z107-Z135, "NA")</f>
        <v>-10475.66</v>
      </c>
      <c r="AA137" s="94">
        <f>IFERROR(Z137/Z148, "NA")</f>
        <v>-0.02430618678</v>
      </c>
      <c r="AB137" s="122">
        <f>IFERROR((R137+T137+V137+X137)/4, "NA")</f>
        <v>-2618.915</v>
      </c>
      <c r="AC137" s="94">
        <f>IFERROR(AB137/AB148, "NA")</f>
        <v>-0.02430618678</v>
      </c>
      <c r="AD137" s="75">
        <f>IFERROR(X137-AB137, "NA")</f>
        <v>-40565.915</v>
      </c>
      <c r="AE137" s="76">
        <f>IFERROR(AD137/AD148, "NA")</f>
        <v>-4.949487752</v>
      </c>
      <c r="AF137" s="75">
        <f>IFERROR((X137-AB137)/AB137, "NA")</f>
        <v>15.48958825</v>
      </c>
      <c r="AG137" s="122">
        <f>IFERROR((J137+L137+N137+P137+R137+T137+V137+X137)/8, "NA")</f>
        <v>-6134.33</v>
      </c>
      <c r="AH137" s="94">
        <f>IFERROR(AG137/AG148, "NA")</f>
        <v>-0.05534301077</v>
      </c>
      <c r="AI137" s="75">
        <f>IFERROR(X137-AG137, "NA")</f>
        <v>-37050.5</v>
      </c>
      <c r="AJ137" s="76">
        <f>IFERROR(AI137/AI148, "NA")</f>
        <v>-7.263621803</v>
      </c>
      <c r="AK137" s="75">
        <f>IFERROR((X137-AG137)/AG137, "NA")</f>
        <v>6.039860914</v>
      </c>
      <c r="AL137" s="76">
        <f>IFERROR(AK137/AK148, "NA")</f>
        <v>131.2473192</v>
      </c>
    </row>
    <row r="138" ht="3.75" hidden="1" customHeight="1">
      <c r="A138" s="123"/>
      <c r="B138" s="124"/>
      <c r="C138" s="74"/>
      <c r="D138" s="124"/>
      <c r="E138" s="74"/>
      <c r="F138" s="124"/>
      <c r="G138" s="74"/>
      <c r="H138" s="124"/>
      <c r="I138" s="74"/>
      <c r="J138" s="124"/>
      <c r="K138" s="74"/>
      <c r="L138" s="124"/>
      <c r="M138" s="74"/>
      <c r="N138" s="124"/>
      <c r="O138" s="74"/>
      <c r="P138" s="124"/>
      <c r="Q138" s="74"/>
      <c r="R138" s="124"/>
      <c r="S138" s="74"/>
      <c r="T138" s="124"/>
      <c r="U138" s="74"/>
      <c r="V138" s="124"/>
      <c r="W138" s="74"/>
      <c r="X138" s="124"/>
      <c r="Y138" s="74"/>
      <c r="Z138" s="124"/>
      <c r="AA138" s="74"/>
      <c r="AB138" s="124"/>
      <c r="AC138" s="74"/>
      <c r="AD138" s="125"/>
      <c r="AE138" s="80"/>
      <c r="AF138" s="125"/>
      <c r="AG138" s="124"/>
      <c r="AH138" s="74"/>
      <c r="AI138" s="125"/>
      <c r="AJ138" s="80"/>
      <c r="AK138" s="125"/>
      <c r="AL138" s="80"/>
    </row>
    <row r="139" ht="16.5" hidden="1" customHeight="1">
      <c r="A139" s="13" t="s">
        <v>247</v>
      </c>
      <c r="B139" s="14"/>
      <c r="C139" s="12"/>
      <c r="D139" s="14"/>
      <c r="E139" s="12"/>
      <c r="F139" s="14"/>
      <c r="G139" s="12"/>
      <c r="H139" s="14"/>
      <c r="I139" s="12"/>
      <c r="J139" s="14"/>
      <c r="K139" s="12"/>
      <c r="L139" s="14"/>
      <c r="M139" s="12"/>
      <c r="N139" s="14"/>
      <c r="O139" s="12"/>
      <c r="P139" s="14"/>
      <c r="Q139" s="12"/>
      <c r="R139" s="14"/>
      <c r="S139" s="12"/>
      <c r="T139" s="14"/>
      <c r="U139" s="12"/>
      <c r="V139" s="14"/>
      <c r="W139" s="12"/>
      <c r="X139" s="14"/>
      <c r="Y139" s="12"/>
      <c r="Z139" s="14"/>
      <c r="AA139" s="12"/>
      <c r="AB139" s="14"/>
      <c r="AC139" s="12"/>
      <c r="AD139" s="17"/>
      <c r="AE139" s="18"/>
      <c r="AF139" s="17"/>
      <c r="AG139" s="14"/>
      <c r="AH139" s="12"/>
      <c r="AI139" s="17"/>
      <c r="AJ139" s="18"/>
      <c r="AK139" s="17"/>
      <c r="AL139" s="18"/>
    </row>
    <row r="140" ht="16.5" hidden="1" customHeight="1">
      <c r="A140" s="19" t="s">
        <v>248</v>
      </c>
      <c r="B140" s="21">
        <v>0.0</v>
      </c>
      <c r="C140" s="23">
        <f>IFERROR(B140/B148, "NA")</f>
        <v>0</v>
      </c>
      <c r="D140" s="21">
        <v>0.0</v>
      </c>
      <c r="E140" s="23">
        <f>IFERROR(D140/D148, "NA")</f>
        <v>0</v>
      </c>
      <c r="F140" s="21">
        <v>31305.82</v>
      </c>
      <c r="G140" s="23">
        <f>IFERROR(F140/F148, "NA")</f>
        <v>0.2216201756</v>
      </c>
      <c r="H140" s="21">
        <v>-95.63</v>
      </c>
      <c r="I140" s="23">
        <f>IFERROR(H140/H148, "NA")</f>
        <v>-0.001280799182</v>
      </c>
      <c r="J140" s="21">
        <v>-3.2</v>
      </c>
      <c r="K140" s="23">
        <f>IFERROR(J140/J148, "NA")</f>
        <v>-0.00002247219417</v>
      </c>
      <c r="L140" s="21">
        <v>0.0</v>
      </c>
      <c r="M140" s="23">
        <f>IFERROR(L140/L148, "NA")</f>
        <v>0</v>
      </c>
      <c r="N140" s="21">
        <v>-107.24</v>
      </c>
      <c r="O140" s="23">
        <f>IFERROR(N140/N148, "NA")</f>
        <v>-0.0008819266792</v>
      </c>
      <c r="P140" s="21">
        <v>31222.01</v>
      </c>
      <c r="Q140" s="23">
        <f>IFERROR(P140/P148, "NA")</f>
        <v>0.5515025534</v>
      </c>
      <c r="R140" s="21">
        <v>-90.83</v>
      </c>
      <c r="S140" s="23">
        <f>IFERROR(R140/R148, "NA")</f>
        <v>-0.00130715775</v>
      </c>
      <c r="T140" s="21">
        <v>0.0</v>
      </c>
      <c r="U140" s="23">
        <f>IFERROR(T140/T148, "NA")</f>
        <v>0</v>
      </c>
      <c r="V140" s="21">
        <v>-0.52</v>
      </c>
      <c r="W140" s="23">
        <f>IFERROR(V140/V148, "NA")</f>
        <v>-0.00000385037616</v>
      </c>
      <c r="X140" s="21">
        <v>-103.39</v>
      </c>
      <c r="Y140" s="23">
        <f>IFERROR(X140/X148, "NA")</f>
        <v>-0.0008917325892</v>
      </c>
      <c r="Z140" s="21">
        <v>-194.74</v>
      </c>
      <c r="AA140" s="23">
        <f>IFERROR(Z140/Z148, "NA")</f>
        <v>-0.0004518461665</v>
      </c>
      <c r="AB140" s="28">
        <f t="shared" ref="AB140:AB141" si="61">IFERROR((R140+T140+V140+X140)/4, "NA")</f>
        <v>-48.685</v>
      </c>
      <c r="AC140" s="23">
        <f>IFERROR(AB140/AB148, "NA")</f>
        <v>-0.0004518461665</v>
      </c>
      <c r="AD140" s="29">
        <f t="shared" ref="AD140:AD141" si="62">IFERROR(X140-AB140, "NA")</f>
        <v>-54.705</v>
      </c>
      <c r="AE140" s="30">
        <f>IFERROR(AD140/AD148, "NA")</f>
        <v>-0.006674611616</v>
      </c>
      <c r="AF140" s="29">
        <f t="shared" ref="AF140:AF141" si="63">IFERROR((X140-AB140)/AB140, "NA")</f>
        <v>1.123652049</v>
      </c>
      <c r="AG140" s="28">
        <f t="shared" ref="AG140:AG141" si="64">IFERROR((J140+L140+N140+P140+R140+T140+V140+X140)/8, "NA")</f>
        <v>3864.60375</v>
      </c>
      <c r="AH140" s="23">
        <f>IFERROR(AG140/AG148, "NA")</f>
        <v>0.03486587891</v>
      </c>
      <c r="AI140" s="29">
        <f t="shared" ref="AI140:AI141" si="65">IFERROR(X140-AG140, "NA")</f>
        <v>-3967.99375</v>
      </c>
      <c r="AJ140" s="30">
        <f>IFERROR(AI140/AI148, "NA")</f>
        <v>-0.7779113889</v>
      </c>
      <c r="AK140" s="29">
        <f t="shared" ref="AK140:AK141" si="66">IFERROR((X140-AG140)/AG140, "NA")</f>
        <v>-1.026753066</v>
      </c>
      <c r="AL140" s="30">
        <f>IFERROR(AK140/AK148, "NA")</f>
        <v>-22.31153819</v>
      </c>
    </row>
    <row r="141" ht="16.5" hidden="1" customHeight="1">
      <c r="A141" s="65" t="s">
        <v>249</v>
      </c>
      <c r="B141" s="66">
        <f>IFERROR(B140, "NA")</f>
        <v>0</v>
      </c>
      <c r="C141" s="67">
        <f>IFERROR(B141/B148, "NA")</f>
        <v>0</v>
      </c>
      <c r="D141" s="66">
        <f>IFERROR(D140, "NA")</f>
        <v>0</v>
      </c>
      <c r="E141" s="67">
        <f>IFERROR(D141/D148, "NA")</f>
        <v>0</v>
      </c>
      <c r="F141" s="66">
        <f>IFERROR(F140, "NA")</f>
        <v>31305.82</v>
      </c>
      <c r="G141" s="67">
        <f>IFERROR(F141/F148, "NA")</f>
        <v>0.2216201756</v>
      </c>
      <c r="H141" s="66">
        <f>IFERROR(H140, "NA")</f>
        <v>-95.63</v>
      </c>
      <c r="I141" s="67">
        <f>IFERROR(H141/H148, "NA")</f>
        <v>-0.001280799182</v>
      </c>
      <c r="J141" s="66">
        <f>IFERROR(J140, "NA")</f>
        <v>-3.2</v>
      </c>
      <c r="K141" s="67">
        <f>IFERROR(J141/J148, "NA")</f>
        <v>-0.00002247219417</v>
      </c>
      <c r="L141" s="66">
        <f>IFERROR(L140, "NA")</f>
        <v>0</v>
      </c>
      <c r="M141" s="67">
        <f>IFERROR(L141/L148, "NA")</f>
        <v>0</v>
      </c>
      <c r="N141" s="66">
        <f>IFERROR(N140, "NA")</f>
        <v>-107.24</v>
      </c>
      <c r="O141" s="67">
        <f>IFERROR(N141/N148, "NA")</f>
        <v>-0.0008819266792</v>
      </c>
      <c r="P141" s="66">
        <f>IFERROR(P140, "NA")</f>
        <v>31222.01</v>
      </c>
      <c r="Q141" s="67">
        <f>IFERROR(P141/P148, "NA")</f>
        <v>0.5515025534</v>
      </c>
      <c r="R141" s="66">
        <f>IFERROR(R140, "NA")</f>
        <v>-90.83</v>
      </c>
      <c r="S141" s="67">
        <f>IFERROR(R141/R148, "NA")</f>
        <v>-0.00130715775</v>
      </c>
      <c r="T141" s="66">
        <f>IFERROR(T140, "NA")</f>
        <v>0</v>
      </c>
      <c r="U141" s="67">
        <f>IFERROR(T141/T148, "NA")</f>
        <v>0</v>
      </c>
      <c r="V141" s="66">
        <f>IFERROR(V140, "NA")</f>
        <v>-0.52</v>
      </c>
      <c r="W141" s="67">
        <f>IFERROR(V141/V148, "NA")</f>
        <v>-0.00000385037616</v>
      </c>
      <c r="X141" s="66">
        <f>IFERROR(X140, "NA")</f>
        <v>-103.39</v>
      </c>
      <c r="Y141" s="67">
        <f>IFERROR(X141/X148, "NA")</f>
        <v>-0.0008917325892</v>
      </c>
      <c r="Z141" s="66">
        <f>IFERROR(Z140, "NA")</f>
        <v>-194.74</v>
      </c>
      <c r="AA141" s="67">
        <f>IFERROR(Z141/Z148, "NA")</f>
        <v>-0.0004518461665</v>
      </c>
      <c r="AB141" s="66">
        <f t="shared" si="61"/>
        <v>-48.685</v>
      </c>
      <c r="AC141" s="67">
        <f>IFERROR(AB141/AB148, "NA")</f>
        <v>-0.0004518461665</v>
      </c>
      <c r="AD141" s="75">
        <f t="shared" si="62"/>
        <v>-54.705</v>
      </c>
      <c r="AE141" s="76">
        <f>IFERROR(AD141/AD148, "NA")</f>
        <v>-0.006674611616</v>
      </c>
      <c r="AF141" s="75">
        <f t="shared" si="63"/>
        <v>1.123652049</v>
      </c>
      <c r="AG141" s="66">
        <f t="shared" si="64"/>
        <v>3864.60375</v>
      </c>
      <c r="AH141" s="67">
        <f>IFERROR(AG141/AG148, "NA")</f>
        <v>0.03486587891</v>
      </c>
      <c r="AI141" s="75">
        <f t="shared" si="65"/>
        <v>-3967.99375</v>
      </c>
      <c r="AJ141" s="76">
        <f>IFERROR(AI141/AI148, "NA")</f>
        <v>-0.7779113889</v>
      </c>
      <c r="AK141" s="75">
        <f t="shared" si="66"/>
        <v>-1.026753066</v>
      </c>
      <c r="AL141" s="76">
        <f>IFERROR(AK141/AK148, "NA")</f>
        <v>-22.31153819</v>
      </c>
    </row>
    <row r="142" ht="3.75" hidden="1" customHeight="1">
      <c r="A142" s="123"/>
      <c r="B142" s="124"/>
      <c r="C142" s="74"/>
      <c r="D142" s="124"/>
      <c r="E142" s="74"/>
      <c r="F142" s="124"/>
      <c r="G142" s="74"/>
      <c r="H142" s="124"/>
      <c r="I142" s="74"/>
      <c r="J142" s="124"/>
      <c r="K142" s="74"/>
      <c r="L142" s="124"/>
      <c r="M142" s="74"/>
      <c r="N142" s="124"/>
      <c r="O142" s="74"/>
      <c r="P142" s="124"/>
      <c r="Q142" s="74"/>
      <c r="R142" s="124"/>
      <c r="S142" s="74"/>
      <c r="T142" s="124"/>
      <c r="U142" s="74"/>
      <c r="V142" s="124"/>
      <c r="W142" s="74"/>
      <c r="X142" s="124"/>
      <c r="Y142" s="74"/>
      <c r="Z142" s="124"/>
      <c r="AA142" s="74"/>
      <c r="AB142" s="124"/>
      <c r="AC142" s="74"/>
      <c r="AD142" s="125"/>
      <c r="AE142" s="80"/>
      <c r="AF142" s="125"/>
      <c r="AG142" s="124"/>
      <c r="AH142" s="74"/>
      <c r="AI142" s="125"/>
      <c r="AJ142" s="80"/>
      <c r="AK142" s="125"/>
      <c r="AL142" s="80"/>
    </row>
    <row r="143" ht="16.5" hidden="1" customHeight="1">
      <c r="A143" s="13" t="s">
        <v>250</v>
      </c>
      <c r="B143" s="14"/>
      <c r="C143" s="12"/>
      <c r="D143" s="14"/>
      <c r="E143" s="12"/>
      <c r="F143" s="14"/>
      <c r="G143" s="12"/>
      <c r="H143" s="14"/>
      <c r="I143" s="12"/>
      <c r="J143" s="14"/>
      <c r="K143" s="12"/>
      <c r="L143" s="14"/>
      <c r="M143" s="12"/>
      <c r="N143" s="14"/>
      <c r="O143" s="12"/>
      <c r="P143" s="14"/>
      <c r="Q143" s="12"/>
      <c r="R143" s="14"/>
      <c r="S143" s="12"/>
      <c r="T143" s="14"/>
      <c r="U143" s="12"/>
      <c r="V143" s="14"/>
      <c r="W143" s="12"/>
      <c r="X143" s="14"/>
      <c r="Y143" s="12"/>
      <c r="Z143" s="14"/>
      <c r="AA143" s="12"/>
      <c r="AB143" s="14"/>
      <c r="AC143" s="12"/>
      <c r="AD143" s="17"/>
      <c r="AE143" s="18"/>
      <c r="AF143" s="17"/>
      <c r="AG143" s="14"/>
      <c r="AH143" s="12"/>
      <c r="AI143" s="17"/>
      <c r="AJ143" s="18"/>
      <c r="AK143" s="17"/>
      <c r="AL143" s="18"/>
    </row>
    <row r="144" ht="16.5" hidden="1" customHeight="1">
      <c r="A144" s="19" t="s">
        <v>251</v>
      </c>
      <c r="B144" s="21">
        <v>0.0</v>
      </c>
      <c r="C144" s="23">
        <f>IFERROR(B144/B148, "NA")</f>
        <v>0</v>
      </c>
      <c r="D144" s="21">
        <v>0.0</v>
      </c>
      <c r="E144" s="23">
        <f>IFERROR(D144/D148, "NA")</f>
        <v>0</v>
      </c>
      <c r="F144" s="21">
        <v>0.0</v>
      </c>
      <c r="G144" s="23">
        <f>IFERROR(F144/F148, "NA")</f>
        <v>0</v>
      </c>
      <c r="H144" s="21">
        <v>0.0</v>
      </c>
      <c r="I144" s="23">
        <f>IFERROR(H144/H148, "NA")</f>
        <v>0</v>
      </c>
      <c r="J144" s="21">
        <v>0.0</v>
      </c>
      <c r="K144" s="23">
        <f>IFERROR(J144/J148, "NA")</f>
        <v>0</v>
      </c>
      <c r="L144" s="21">
        <v>0.0</v>
      </c>
      <c r="M144" s="23">
        <f>IFERROR(L144/L148, "NA")</f>
        <v>0</v>
      </c>
      <c r="N144" s="21">
        <v>0.0</v>
      </c>
      <c r="O144" s="23">
        <f>IFERROR(N144/N148, "NA")</f>
        <v>0</v>
      </c>
      <c r="P144" s="21">
        <v>0.0</v>
      </c>
      <c r="Q144" s="23">
        <f>IFERROR(P144/P148, "NA")</f>
        <v>0</v>
      </c>
      <c r="R144" s="21">
        <v>0.0</v>
      </c>
      <c r="S144" s="23">
        <f>IFERROR(R144/R148, "NA")</f>
        <v>0</v>
      </c>
      <c r="T144" s="21">
        <v>0.0</v>
      </c>
      <c r="U144" s="23">
        <f>IFERROR(T144/T148, "NA")</f>
        <v>0</v>
      </c>
      <c r="V144" s="21">
        <v>0.0</v>
      </c>
      <c r="W144" s="23">
        <f>IFERROR(V144/V148, "NA")</f>
        <v>0</v>
      </c>
      <c r="X144" s="21">
        <v>0.0</v>
      </c>
      <c r="Y144" s="23">
        <f>IFERROR(X144/X148, "NA")</f>
        <v>0</v>
      </c>
      <c r="Z144" s="21">
        <v>0.0</v>
      </c>
      <c r="AA144" s="23">
        <f>IFERROR(Z144/Z148, "NA")</f>
        <v>0</v>
      </c>
      <c r="AB144" s="28">
        <f t="shared" ref="AB144:AB145" si="67">IFERROR((R144+T144+V144+X144)/4, "NA")</f>
        <v>0</v>
      </c>
      <c r="AC144" s="23">
        <f>IFERROR(AB144/AB148, "NA")</f>
        <v>0</v>
      </c>
      <c r="AD144" s="29">
        <f t="shared" ref="AD144:AD145" si="68">IFERROR(X144-AB144, "NA")</f>
        <v>0</v>
      </c>
      <c r="AE144" s="30">
        <f>IFERROR(AD144/AD148, "NA")</f>
        <v>0</v>
      </c>
      <c r="AF144" s="29" t="str">
        <f t="shared" ref="AF144:AF145" si="69">IFERROR((X144-AB144)/AB144, "NA")</f>
        <v>NA</v>
      </c>
      <c r="AG144" s="28">
        <f t="shared" ref="AG144:AG145" si="70">IFERROR((J144+L144+N144+P144+R144+T144+V144+X144)/8, "NA")</f>
        <v>0</v>
      </c>
      <c r="AH144" s="23">
        <f>IFERROR(AG144/AG148, "NA")</f>
        <v>0</v>
      </c>
      <c r="AI144" s="29">
        <f t="shared" ref="AI144:AI145" si="71">IFERROR(X144-AG144, "NA")</f>
        <v>0</v>
      </c>
      <c r="AJ144" s="30">
        <f>IFERROR(AI144/AI148, "NA")</f>
        <v>0</v>
      </c>
      <c r="AK144" s="29" t="str">
        <f t="shared" ref="AK144:AK145" si="72">IFERROR((X144-AG144)/AG144, "NA")</f>
        <v>NA</v>
      </c>
      <c r="AL144" s="30" t="str">
        <f>IFERROR(AK144/AK148, "NA")</f>
        <v>NA</v>
      </c>
    </row>
    <row r="145" ht="16.5" hidden="1" customHeight="1">
      <c r="A145" s="65" t="s">
        <v>252</v>
      </c>
      <c r="B145" s="66">
        <f>IFERROR(B144, "NA")</f>
        <v>0</v>
      </c>
      <c r="C145" s="67">
        <f>IFERROR(B145/B148, "NA")</f>
        <v>0</v>
      </c>
      <c r="D145" s="66">
        <f>IFERROR(D144, "NA")</f>
        <v>0</v>
      </c>
      <c r="E145" s="67">
        <f>IFERROR(D145/D148, "NA")</f>
        <v>0</v>
      </c>
      <c r="F145" s="66">
        <f>IFERROR(F144, "NA")</f>
        <v>0</v>
      </c>
      <c r="G145" s="67">
        <f>IFERROR(F145/F148, "NA")</f>
        <v>0</v>
      </c>
      <c r="H145" s="66">
        <f>IFERROR(H144, "NA")</f>
        <v>0</v>
      </c>
      <c r="I145" s="67">
        <f>IFERROR(H145/H148, "NA")</f>
        <v>0</v>
      </c>
      <c r="J145" s="66">
        <f>IFERROR(J144, "NA")</f>
        <v>0</v>
      </c>
      <c r="K145" s="67">
        <f>IFERROR(J145/J148, "NA")</f>
        <v>0</v>
      </c>
      <c r="L145" s="66">
        <f>IFERROR(L144, "NA")</f>
        <v>0</v>
      </c>
      <c r="M145" s="67">
        <f>IFERROR(L145/L148, "NA")</f>
        <v>0</v>
      </c>
      <c r="N145" s="66">
        <f>IFERROR(N144, "NA")</f>
        <v>0</v>
      </c>
      <c r="O145" s="67">
        <f>IFERROR(N145/N148, "NA")</f>
        <v>0</v>
      </c>
      <c r="P145" s="66">
        <f>IFERROR(P144, "NA")</f>
        <v>0</v>
      </c>
      <c r="Q145" s="67">
        <f>IFERROR(P145/P148, "NA")</f>
        <v>0</v>
      </c>
      <c r="R145" s="66">
        <f>IFERROR(R144, "NA")</f>
        <v>0</v>
      </c>
      <c r="S145" s="67">
        <f>IFERROR(R145/R148, "NA")</f>
        <v>0</v>
      </c>
      <c r="T145" s="66">
        <f>IFERROR(T144, "NA")</f>
        <v>0</v>
      </c>
      <c r="U145" s="67">
        <f>IFERROR(T145/T148, "NA")</f>
        <v>0</v>
      </c>
      <c r="V145" s="66">
        <f>IFERROR(V144, "NA")</f>
        <v>0</v>
      </c>
      <c r="W145" s="67">
        <f>IFERROR(V145/V148, "NA")</f>
        <v>0</v>
      </c>
      <c r="X145" s="66">
        <f>IFERROR(X144, "NA")</f>
        <v>0</v>
      </c>
      <c r="Y145" s="67">
        <f>IFERROR(X145/X148, "NA")</f>
        <v>0</v>
      </c>
      <c r="Z145" s="66">
        <f>IFERROR(Z144, "NA")</f>
        <v>0</v>
      </c>
      <c r="AA145" s="67">
        <f>IFERROR(Z145/Z148, "NA")</f>
        <v>0</v>
      </c>
      <c r="AB145" s="66">
        <f t="shared" si="67"/>
        <v>0</v>
      </c>
      <c r="AC145" s="67">
        <f>IFERROR(AB145/AB148, "NA")</f>
        <v>0</v>
      </c>
      <c r="AD145" s="75">
        <f t="shared" si="68"/>
        <v>0</v>
      </c>
      <c r="AE145" s="76">
        <f>IFERROR(AD145/AD148, "NA")</f>
        <v>0</v>
      </c>
      <c r="AF145" s="75" t="str">
        <f t="shared" si="69"/>
        <v>NA</v>
      </c>
      <c r="AG145" s="66">
        <f t="shared" si="70"/>
        <v>0</v>
      </c>
      <c r="AH145" s="67">
        <f>IFERROR(AG145/AG148, "NA")</f>
        <v>0</v>
      </c>
      <c r="AI145" s="75">
        <f t="shared" si="71"/>
        <v>0</v>
      </c>
      <c r="AJ145" s="76">
        <f>IFERROR(AI145/AI148, "NA")</f>
        <v>0</v>
      </c>
      <c r="AK145" s="75" t="str">
        <f t="shared" si="72"/>
        <v>NA</v>
      </c>
      <c r="AL145" s="76" t="str">
        <f>IFERROR(AK145/AK148, "NA")</f>
        <v>NA</v>
      </c>
    </row>
    <row r="146" ht="3.75" hidden="1" customHeight="1">
      <c r="A146" s="123"/>
      <c r="B146" s="124"/>
      <c r="C146" s="74"/>
      <c r="D146" s="124"/>
      <c r="E146" s="74"/>
      <c r="F146" s="124"/>
      <c r="G146" s="74"/>
      <c r="H146" s="124"/>
      <c r="I146" s="74"/>
      <c r="J146" s="124"/>
      <c r="K146" s="74"/>
      <c r="L146" s="124"/>
      <c r="M146" s="74"/>
      <c r="N146" s="124"/>
      <c r="O146" s="74"/>
      <c r="P146" s="124"/>
      <c r="Q146" s="74"/>
      <c r="R146" s="124"/>
      <c r="S146" s="74"/>
      <c r="T146" s="124"/>
      <c r="U146" s="74"/>
      <c r="V146" s="124"/>
      <c r="W146" s="74"/>
      <c r="X146" s="124"/>
      <c r="Y146" s="74"/>
      <c r="Z146" s="124"/>
      <c r="AA146" s="74"/>
      <c r="AB146" s="124"/>
      <c r="AC146" s="74"/>
      <c r="AD146" s="125"/>
      <c r="AE146" s="80"/>
      <c r="AF146" s="125"/>
      <c r="AG146" s="124"/>
      <c r="AH146" s="74"/>
      <c r="AI146" s="125"/>
      <c r="AJ146" s="80"/>
      <c r="AK146" s="125"/>
      <c r="AL146" s="80"/>
    </row>
    <row r="147" ht="16.5" hidden="1" customHeight="1">
      <c r="A147" s="121" t="s">
        <v>253</v>
      </c>
      <c r="B147" s="122">
        <f>IFERROR(B137-B141-B145, "NA")</f>
        <v>73413.06</v>
      </c>
      <c r="C147" s="94">
        <f>IFERROR(B147/B148, "NA")</f>
        <v>0.3604079878</v>
      </c>
      <c r="D147" s="122">
        <f>IFERROR(D137-D141-D145, "NA")</f>
        <v>41218.7</v>
      </c>
      <c r="E147" s="94">
        <f>IFERROR(D147/D148, "NA")</f>
        <v>0.2220784994</v>
      </c>
      <c r="F147" s="122">
        <f>IFERROR(F137-F141-F145, "NA")</f>
        <v>-69998.64</v>
      </c>
      <c r="G147" s="94">
        <f>IFERROR(F147/F148, "NA")</f>
        <v>-0.4955344049</v>
      </c>
      <c r="H147" s="122">
        <f>IFERROR(H137-H141-H145, "NA")</f>
        <v>3161.45</v>
      </c>
      <c r="I147" s="94">
        <f>IFERROR(H147/H148, "NA")</f>
        <v>0.04234217897</v>
      </c>
      <c r="J147" s="122">
        <f>IFERROR(J137-J141-J145, "NA")</f>
        <v>28984.02</v>
      </c>
      <c r="K147" s="94">
        <f>IFERROR(J147/J148, "NA")</f>
        <v>0.2035420392</v>
      </c>
      <c r="L147" s="122">
        <f>IFERROR(L137-L141-L145, "NA")</f>
        <v>24627.25</v>
      </c>
      <c r="M147" s="94">
        <f>IFERROR(L147/L148, "NA")</f>
        <v>0.1822345906</v>
      </c>
      <c r="N147" s="122">
        <f>IFERROR(N137-N141-N145, "NA")</f>
        <v>-6885.34</v>
      </c>
      <c r="O147" s="94">
        <f>IFERROR(N147/N148, "NA")</f>
        <v>-0.0566240679</v>
      </c>
      <c r="P147" s="122">
        <f>IFERROR(P137-P141-P145, "NA")</f>
        <v>-116436.48</v>
      </c>
      <c r="Q147" s="94">
        <f>IFERROR(P147/P148, "NA")</f>
        <v>-2.056722678</v>
      </c>
      <c r="R147" s="122">
        <f>IFERROR(R137-R141-R145, "NA")</f>
        <v>3789.71</v>
      </c>
      <c r="S147" s="94">
        <f>IFERROR(R147/R148, "NA")</f>
        <v>0.05453868542</v>
      </c>
      <c r="T147" s="122">
        <f>IFERROR(T137-T141-T145, "NA")</f>
        <v>16918.76</v>
      </c>
      <c r="U147" s="94">
        <f>IFERROR(T147/T148, "NA")</f>
        <v>0.1531023876</v>
      </c>
      <c r="V147" s="122">
        <f>IFERROR(V137-V141-V145, "NA")</f>
        <v>12092.05</v>
      </c>
      <c r="W147" s="94">
        <f>IFERROR(V147/V148, "NA")</f>
        <v>0.08953642508</v>
      </c>
      <c r="X147" s="122">
        <f>IFERROR(X137-X141-X145, "NA")</f>
        <v>-43081.44</v>
      </c>
      <c r="Y147" s="94">
        <f>IFERROR(X147/X148, "NA")</f>
        <v>-0.3715748529</v>
      </c>
      <c r="Z147" s="122">
        <f>IFERROR(Z137-Z141-Z145, "NA")</f>
        <v>-10280.92</v>
      </c>
      <c r="AA147" s="94">
        <f>IFERROR(Z147/Z148, "NA")</f>
        <v>-0.02385434061</v>
      </c>
      <c r="AB147" s="122">
        <f t="shared" ref="AB147:AB148" si="73">IFERROR((R147+T147+V147+X147)/4, "NA")</f>
        <v>-2570.23</v>
      </c>
      <c r="AC147" s="94">
        <f>IFERROR(AB147/AB148, "NA")</f>
        <v>-0.02385434061</v>
      </c>
      <c r="AD147" s="75">
        <f t="shared" ref="AD147:AD148" si="74">IFERROR(X147-AB147, "NA")</f>
        <v>-40511.21</v>
      </c>
      <c r="AE147" s="76">
        <f>IFERROR(AD147/AD148, "NA")</f>
        <v>-4.94281314</v>
      </c>
      <c r="AF147" s="75">
        <f t="shared" ref="AF147:AF148" si="75">IFERROR((X147-AB147)/AB147, "NA")</f>
        <v>15.76170615</v>
      </c>
      <c r="AG147" s="122">
        <f t="shared" ref="AG147:AG148" si="76">IFERROR((J147+L147+N147+P147+R147+T147+V147+X147)/8, "NA")</f>
        <v>-9998.93375</v>
      </c>
      <c r="AH147" s="94">
        <f>IFERROR(AG147/AG148, "NA")</f>
        <v>-0.09020888968</v>
      </c>
      <c r="AI147" s="75">
        <f t="shared" ref="AI147:AI148" si="77">IFERROR(X147-AG147, "NA")</f>
        <v>-33082.50625</v>
      </c>
      <c r="AJ147" s="76">
        <f>IFERROR(AI147/AI148, "NA")</f>
        <v>-6.485710414</v>
      </c>
      <c r="AK147" s="75">
        <f t="shared" ref="AK147:AK148" si="78">IFERROR((X147-AG147)/AG147, "NA")</f>
        <v>3.308603405</v>
      </c>
      <c r="AL147" s="76">
        <f>IFERROR(AK147/AK148, "NA")</f>
        <v>71.89657734</v>
      </c>
    </row>
    <row r="148" ht="14.25" hidden="1" customHeight="1">
      <c r="A148" s="19" t="s">
        <v>54</v>
      </c>
      <c r="B148" s="21">
        <v>203694.32</v>
      </c>
      <c r="C148" s="128"/>
      <c r="D148" s="21">
        <v>185604.19</v>
      </c>
      <c r="E148" s="128"/>
      <c r="F148" s="21">
        <v>141258.89</v>
      </c>
      <c r="G148" s="128"/>
      <c r="H148" s="21">
        <v>74664.32</v>
      </c>
      <c r="I148" s="128"/>
      <c r="J148" s="21">
        <v>142398.2</v>
      </c>
      <c r="K148" s="128"/>
      <c r="L148" s="21">
        <v>135140.37</v>
      </c>
      <c r="M148" s="128"/>
      <c r="N148" s="21">
        <v>121597.41</v>
      </c>
      <c r="O148" s="128"/>
      <c r="P148" s="21">
        <v>56612.63</v>
      </c>
      <c r="Q148" s="128"/>
      <c r="R148" s="21">
        <v>69486.64</v>
      </c>
      <c r="S148" s="128"/>
      <c r="T148" s="21">
        <v>110506.18</v>
      </c>
      <c r="U148" s="128"/>
      <c r="V148" s="21">
        <v>135051.74</v>
      </c>
      <c r="W148" s="128"/>
      <c r="X148" s="21">
        <v>115942.83</v>
      </c>
      <c r="Y148" s="128"/>
      <c r="Z148" s="21">
        <v>430987.39</v>
      </c>
      <c r="AA148" s="128"/>
      <c r="AB148" s="28">
        <f t="shared" si="73"/>
        <v>107746.8475</v>
      </c>
      <c r="AC148" s="128"/>
      <c r="AD148" s="29">
        <f t="shared" si="74"/>
        <v>8195.9825</v>
      </c>
      <c r="AE148" s="129"/>
      <c r="AF148" s="29">
        <f t="shared" si="75"/>
        <v>0.07606702832</v>
      </c>
      <c r="AG148" s="28">
        <f t="shared" si="76"/>
        <v>110842</v>
      </c>
      <c r="AH148" s="128"/>
      <c r="AI148" s="29">
        <f t="shared" si="77"/>
        <v>5100.83</v>
      </c>
      <c r="AJ148" s="129"/>
      <c r="AK148" s="29">
        <f t="shared" si="78"/>
        <v>0.04601892784</v>
      </c>
      <c r="AL148" s="129"/>
    </row>
    <row r="149" ht="14.25" customHeight="1"/>
    <row r="150" ht="14.25" customHeight="1"/>
    <row r="151" ht="14.25" customHeight="1">
      <c r="A151" s="130" t="s">
        <v>254</v>
      </c>
    </row>
    <row r="152" ht="14.25" customHeight="1">
      <c r="A152" s="130" t="s">
        <v>255</v>
      </c>
    </row>
    <row r="153" ht="14.25" customHeight="1">
      <c r="A153" s="130" t="s">
        <v>256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2" t="s">
        <v>0</v>
      </c>
    </row>
    <row r="2" ht="14.25" customHeight="1">
      <c r="A2" s="4" t="s">
        <v>1</v>
      </c>
    </row>
    <row r="3" ht="14.25" customHeight="1">
      <c r="A3" s="5" t="s">
        <v>12</v>
      </c>
    </row>
    <row r="4" ht="14.25" customHeight="1"/>
    <row r="5" ht="13.5" customHeight="1">
      <c r="A5" s="7"/>
      <c r="B5" s="1" t="s">
        <v>3</v>
      </c>
      <c r="D5" s="1" t="s">
        <v>4</v>
      </c>
      <c r="F5" s="1" t="s">
        <v>5</v>
      </c>
      <c r="H5" s="1" t="s">
        <v>7</v>
      </c>
      <c r="J5" s="1" t="s">
        <v>8</v>
      </c>
      <c r="L5" s="1" t="s">
        <v>10</v>
      </c>
      <c r="N5" s="1" t="s">
        <v>11</v>
      </c>
      <c r="P5" s="1" t="s">
        <v>13</v>
      </c>
      <c r="R5" s="1" t="s">
        <v>15</v>
      </c>
      <c r="T5" s="1" t="s">
        <v>17</v>
      </c>
      <c r="V5" s="1" t="s">
        <v>19</v>
      </c>
      <c r="X5" s="1" t="s">
        <v>21</v>
      </c>
      <c r="Z5" s="1" t="s">
        <v>22</v>
      </c>
      <c r="AB5" s="1" t="s">
        <v>24</v>
      </c>
      <c r="AD5" s="10" t="s">
        <v>26</v>
      </c>
      <c r="AF5" s="10" t="s">
        <v>27</v>
      </c>
      <c r="AG5" s="1" t="s">
        <v>29</v>
      </c>
      <c r="AI5" s="10" t="s">
        <v>30</v>
      </c>
      <c r="AK5" s="10" t="s">
        <v>31</v>
      </c>
    </row>
    <row r="6" ht="16.5" customHeight="1">
      <c r="A6" s="13" t="s">
        <v>25</v>
      </c>
      <c r="B6" s="14"/>
      <c r="C6" s="12"/>
      <c r="D6" s="14"/>
      <c r="E6" s="12"/>
      <c r="F6" s="14"/>
      <c r="G6" s="12"/>
      <c r="H6" s="14"/>
      <c r="I6" s="12"/>
      <c r="J6" s="14"/>
      <c r="K6" s="12"/>
      <c r="L6" s="14"/>
      <c r="M6" s="12"/>
      <c r="N6" s="14"/>
      <c r="O6" s="12"/>
      <c r="P6" s="14"/>
      <c r="Q6" s="12"/>
      <c r="R6" s="14"/>
      <c r="S6" s="12"/>
      <c r="T6" s="14"/>
      <c r="U6" s="12"/>
      <c r="V6" s="14"/>
      <c r="W6" s="12"/>
      <c r="X6" s="14"/>
      <c r="Y6" s="12"/>
      <c r="Z6" s="14"/>
      <c r="AA6" s="12"/>
      <c r="AB6" s="14"/>
      <c r="AC6" s="12"/>
      <c r="AD6" s="17"/>
      <c r="AE6" s="18"/>
      <c r="AF6" s="17"/>
      <c r="AG6" s="14"/>
      <c r="AH6" s="12"/>
      <c r="AI6" s="17"/>
      <c r="AJ6" s="18"/>
      <c r="AK6" s="17"/>
      <c r="AL6" s="18"/>
    </row>
    <row r="7" ht="16.5" customHeight="1">
      <c r="A7" s="19" t="s">
        <v>25</v>
      </c>
      <c r="B7" s="21">
        <f>SUM('4 - RASA - MVT'!B7,'5 - RASA - National Landin'!B7,'6 - RASA - Mosaic'!B7,'7 - RASA - Rockville'!B7)</f>
        <v>163862.13</v>
      </c>
      <c r="C7" s="23">
        <f>IFERROR(B7/B148, "NA")</f>
        <v>1</v>
      </c>
      <c r="D7" s="21">
        <f>SUM('4 - RASA - MVT'!D7,'5 - RASA - National Landin'!D7,'6 - RASA - Mosaic'!D7,'7 - RASA - Rockville'!D7)</f>
        <v>151025.61</v>
      </c>
      <c r="E7" s="23">
        <f>IFERROR(D7/D148, "NA")</f>
        <v>1</v>
      </c>
      <c r="F7" s="21">
        <f>SUM('4 - RASA - MVT'!F7,'5 - RASA - National Landin'!F7,'6 - RASA - Mosaic'!F7,'7 - RASA - Rockville'!F7)</f>
        <v>118586.91</v>
      </c>
      <c r="G7" s="23">
        <f>IFERROR(F7/F148, "NA")</f>
        <v>1</v>
      </c>
      <c r="H7" s="21">
        <f>SUM('4 - RASA - MVT'!H7,'5 - RASA - National Landin'!H7,'6 - RASA - Mosaic'!H7,'7 - RASA - Rockville'!H7)</f>
        <v>63544.22</v>
      </c>
      <c r="I7" s="23">
        <f>IFERROR(H7/H148, "NA")</f>
        <v>1</v>
      </c>
      <c r="J7" s="21">
        <f>SUM('4 - RASA - MVT'!J7,'5 - RASA - National Landin'!J7,'6 - RASA - Mosaic'!J7,'7 - RASA - Rockville'!J7)</f>
        <v>118921.51</v>
      </c>
      <c r="K7" s="23">
        <f>IFERROR(J7/J148, "NA")</f>
        <v>1</v>
      </c>
      <c r="L7" s="21">
        <f>SUM('4 - RASA - MVT'!L7,'5 - RASA - National Landin'!L7,'6 - RASA - Mosaic'!L7,'7 - RASA - Rockville'!L7)</f>
        <v>114394.9</v>
      </c>
      <c r="M7" s="23">
        <f>IFERROR(L7/L148, "NA")</f>
        <v>1</v>
      </c>
      <c r="N7" s="21">
        <f>SUM('4 - RASA - MVT'!N7,'5 - RASA - National Landin'!N7,'6 - RASA - Mosaic'!N7,'7 - RASA - Rockville'!N7)</f>
        <v>102376.69</v>
      </c>
      <c r="O7" s="23">
        <f>IFERROR(N7/N148, "NA")</f>
        <v>1</v>
      </c>
      <c r="P7" s="21">
        <f>SUM('4 - RASA - MVT'!P7,'5 - RASA - National Landin'!P7,'6 - RASA - Mosaic'!P7,'7 - RASA - Rockville'!P7)</f>
        <v>48705.64</v>
      </c>
      <c r="Q7" s="23">
        <f>IFERROR(P7/P148, "NA")</f>
        <v>1</v>
      </c>
      <c r="R7" s="21">
        <f>SUM('4 - RASA - MVT'!R7,'5 - RASA - National Landin'!R7,'6 - RASA - Mosaic'!R7,'7 - RASA - Rockville'!R7)</f>
        <v>60753.79</v>
      </c>
      <c r="S7" s="23">
        <f>IFERROR(R7/R148, "NA")</f>
        <v>1</v>
      </c>
      <c r="T7" s="21">
        <f>SUM('4 - RASA - MVT'!T7,'5 - RASA - National Landin'!T7,'6 - RASA - Mosaic'!T7,'7 - RASA - Rockville'!T7)</f>
        <v>93589.77</v>
      </c>
      <c r="U7" s="23">
        <f>IFERROR(T7/T148, "NA")</f>
        <v>1</v>
      </c>
      <c r="V7" s="21">
        <f>SUM('4 - RASA - MVT'!V7,'5 - RASA - National Landin'!V7,'6 - RASA - Mosaic'!V7,'7 - RASA - Rockville'!V7)</f>
        <v>113256.84</v>
      </c>
      <c r="W7" s="23">
        <f>IFERROR(V7/V148, "NA")</f>
        <v>1</v>
      </c>
      <c r="X7" s="21">
        <f>SUM('4 - RASA - MVT'!X7,'5 - RASA - National Landin'!X7,'6 - RASA - Mosaic'!X7,'7 - RASA - Rockville'!X7)</f>
        <v>95908.04</v>
      </c>
      <c r="Y7" s="23">
        <f>IFERROR(X7/X148, "NA")</f>
        <v>1</v>
      </c>
      <c r="Z7" s="21">
        <f>SUM('4 - RASA - MVT'!Z7,'5 - RASA - National Landin'!Z7,'6 - RASA - Mosaic'!Z7,'7 - RASA - Rockville'!Z7)</f>
        <v>363508.44</v>
      </c>
      <c r="AA7" s="23">
        <f>IFERROR(Z7/Z148, "NA")</f>
        <v>1</v>
      </c>
      <c r="AB7" s="28">
        <f t="shared" ref="AB7:AB9" si="1">IFERROR((R7+T7+V7+X7)/4, "NA")</f>
        <v>90877.11</v>
      </c>
      <c r="AC7" s="23">
        <f>IFERROR(AB7/AB148, "NA")</f>
        <v>1</v>
      </c>
      <c r="AD7" s="29">
        <f t="shared" ref="AD7:AD9" si="2">IFERROR(X7-AB7, "NA")</f>
        <v>5030.93</v>
      </c>
      <c r="AE7" s="30">
        <f>IFERROR(AD7/AD148, "NA")</f>
        <v>1</v>
      </c>
      <c r="AF7" s="29">
        <f t="shared" ref="AF7:AF9" si="3">IFERROR((X7-AB7)/AB7, "NA")</f>
        <v>0.05535970499</v>
      </c>
      <c r="AG7" s="28">
        <f t="shared" ref="AG7:AG9" si="4">IFERROR((J7+L7+N7+P7+R7+T7+V7+X7)/8, "NA")</f>
        <v>93488.3975</v>
      </c>
      <c r="AH7" s="23">
        <f>IFERROR(AG7/AG148, "NA")</f>
        <v>1</v>
      </c>
      <c r="AI7" s="29">
        <f t="shared" ref="AI7:AI9" si="5">IFERROR(X7-AG7, "NA")</f>
        <v>2419.6425</v>
      </c>
      <c r="AJ7" s="30">
        <f>IFERROR(AI7/AI148, "NA")</f>
        <v>1</v>
      </c>
      <c r="AK7" s="29">
        <f t="shared" ref="AK7:AK9" si="6">IFERROR((X7-AG7)/AG7, "NA")</f>
        <v>0.0258817411</v>
      </c>
      <c r="AL7" s="30">
        <f>IFERROR(AK7/AK148, "NA")</f>
        <v>1</v>
      </c>
    </row>
    <row r="8" ht="30.75" hidden="1" customHeight="1">
      <c r="A8" s="19" t="s">
        <v>46</v>
      </c>
      <c r="B8" s="21">
        <f>SUM('4 - RASA - MVT'!B8,'5 - RASA - National Landin'!B8,'6 - RASA - Mosaic'!B8,'7 - RASA - Rockville'!B8)</f>
        <v>0</v>
      </c>
      <c r="C8" s="23">
        <f>IFERROR(B8/B148, "NA")</f>
        <v>0</v>
      </c>
      <c r="D8" s="21">
        <f>SUM('4 - RASA - MVT'!D8,'5 - RASA - National Landin'!D8,'6 - RASA - Mosaic'!D8,'7 - RASA - Rockville'!D8)</f>
        <v>0</v>
      </c>
      <c r="E8" s="23">
        <f>IFERROR(D8/D148, "NA")</f>
        <v>0</v>
      </c>
      <c r="F8" s="21">
        <f>SUM('4 - RASA - MVT'!F8,'5 - RASA - National Landin'!F8,'6 - RASA - Mosaic'!F8,'7 - RASA - Rockville'!F8)</f>
        <v>0</v>
      </c>
      <c r="G8" s="23">
        <f>IFERROR(F8/F148, "NA")</f>
        <v>0</v>
      </c>
      <c r="H8" s="21">
        <f>SUM('4 - RASA - MVT'!H8,'5 - RASA - National Landin'!H8,'6 - RASA - Mosaic'!H8,'7 - RASA - Rockville'!H8)</f>
        <v>0</v>
      </c>
      <c r="I8" s="23">
        <f>IFERROR(H8/H148, "NA")</f>
        <v>0</v>
      </c>
      <c r="J8" s="21">
        <f>SUM('4 - RASA - MVT'!J8,'5 - RASA - National Landin'!J8,'6 - RASA - Mosaic'!J8,'7 - RASA - Rockville'!J8)</f>
        <v>0</v>
      </c>
      <c r="K8" s="23">
        <f>IFERROR(J8/J148, "NA")</f>
        <v>0</v>
      </c>
      <c r="L8" s="21">
        <f>SUM('4 - RASA - MVT'!L8,'5 - RASA - National Landin'!L8,'6 - RASA - Mosaic'!L8,'7 - RASA - Rockville'!L8)</f>
        <v>0</v>
      </c>
      <c r="M8" s="23">
        <f>IFERROR(L8/L148, "NA")</f>
        <v>0</v>
      </c>
      <c r="N8" s="21">
        <f>SUM('4 - RASA - MVT'!N8,'5 - RASA - National Landin'!N8,'6 - RASA - Mosaic'!N8,'7 - RASA - Rockville'!N8)</f>
        <v>0</v>
      </c>
      <c r="O8" s="23">
        <f>IFERROR(N8/N148, "NA")</f>
        <v>0</v>
      </c>
      <c r="P8" s="21">
        <f>SUM('4 - RASA - MVT'!P8,'5 - RASA - National Landin'!P8,'6 - RASA - Mosaic'!P8,'7 - RASA - Rockville'!P8)</f>
        <v>0</v>
      </c>
      <c r="Q8" s="23">
        <f>IFERROR(P8/P148, "NA")</f>
        <v>0</v>
      </c>
      <c r="R8" s="21">
        <f>SUM('4 - RASA - MVT'!R8,'5 - RASA - National Landin'!R8,'6 - RASA - Mosaic'!R8,'7 - RASA - Rockville'!R8)</f>
        <v>0</v>
      </c>
      <c r="S8" s="23">
        <f>IFERROR(R8/R148, "NA")</f>
        <v>0</v>
      </c>
      <c r="T8" s="21">
        <f>SUM('4 - RASA - MVT'!T8,'5 - RASA - National Landin'!T8,'6 - RASA - Mosaic'!T8,'7 - RASA - Rockville'!T8)</f>
        <v>0</v>
      </c>
      <c r="U8" s="23">
        <f>IFERROR(T8/T148, "NA")</f>
        <v>0</v>
      </c>
      <c r="V8" s="21">
        <f>SUM('4 - RASA - MVT'!V8,'5 - RASA - National Landin'!V8,'6 - RASA - Mosaic'!V8,'7 - RASA - Rockville'!V8)</f>
        <v>0</v>
      </c>
      <c r="W8" s="23">
        <f>IFERROR(V8/V148, "NA")</f>
        <v>0</v>
      </c>
      <c r="X8" s="21">
        <f>SUM('4 - RASA - MVT'!X8,'5 - RASA - National Landin'!X8,'6 - RASA - Mosaic'!X8,'7 - RASA - Rockville'!X8)</f>
        <v>0</v>
      </c>
      <c r="Y8" s="23">
        <f>IFERROR(X8/X148, "NA")</f>
        <v>0</v>
      </c>
      <c r="Z8" s="21">
        <f>SUM('4 - RASA - MVT'!Z8,'5 - RASA - National Landin'!Z8,'6 - RASA - Mosaic'!Z8,'7 - RASA - Rockville'!Z8)</f>
        <v>0</v>
      </c>
      <c r="AA8" s="23">
        <f>IFERROR(Z8/Z148, "NA")</f>
        <v>0</v>
      </c>
      <c r="AB8" s="28">
        <f t="shared" si="1"/>
        <v>0</v>
      </c>
      <c r="AC8" s="23">
        <f>IFERROR(AB8/AB148, "NA")</f>
        <v>0</v>
      </c>
      <c r="AD8" s="29">
        <f t="shared" si="2"/>
        <v>0</v>
      </c>
      <c r="AE8" s="30">
        <f>IFERROR(AD8/AD148, "NA")</f>
        <v>0</v>
      </c>
      <c r="AF8" s="29" t="str">
        <f t="shared" si="3"/>
        <v>NA</v>
      </c>
      <c r="AG8" s="28">
        <f t="shared" si="4"/>
        <v>0</v>
      </c>
      <c r="AH8" s="23">
        <f>IFERROR(AG8/AG148, "NA")</f>
        <v>0</v>
      </c>
      <c r="AI8" s="29">
        <f t="shared" si="5"/>
        <v>0</v>
      </c>
      <c r="AJ8" s="30">
        <f>IFERROR(AI8/AI148, "NA")</f>
        <v>0</v>
      </c>
      <c r="AK8" s="29" t="str">
        <f t="shared" si="6"/>
        <v>NA</v>
      </c>
      <c r="AL8" s="30" t="str">
        <f>IFERROR(AK8/AK148, "NA")</f>
        <v>NA</v>
      </c>
    </row>
    <row r="9" ht="16.5" customHeight="1">
      <c r="A9" s="65" t="s">
        <v>54</v>
      </c>
      <c r="B9" s="66">
        <f>IFERROR(B7+B8, "NA")</f>
        <v>163862.13</v>
      </c>
      <c r="C9" s="67">
        <f>IFERROR(B9/B148, "NA")</f>
        <v>1</v>
      </c>
      <c r="D9" s="66">
        <f>IFERROR(D7+D8, "NA")</f>
        <v>151025.61</v>
      </c>
      <c r="E9" s="67">
        <f>IFERROR(D9/D148, "NA")</f>
        <v>1</v>
      </c>
      <c r="F9" s="66">
        <f>IFERROR(F7+F8, "NA")</f>
        <v>118586.91</v>
      </c>
      <c r="G9" s="67">
        <f>IFERROR(F9/F148, "NA")</f>
        <v>1</v>
      </c>
      <c r="H9" s="66">
        <f>IFERROR(H7+H8, "NA")</f>
        <v>63544.22</v>
      </c>
      <c r="I9" s="67">
        <f>IFERROR(H9/H148, "NA")</f>
        <v>1</v>
      </c>
      <c r="J9" s="66">
        <f>IFERROR(J7+J8, "NA")</f>
        <v>118921.51</v>
      </c>
      <c r="K9" s="67">
        <f>IFERROR(J9/J148, "NA")</f>
        <v>1</v>
      </c>
      <c r="L9" s="66">
        <f>IFERROR(L7+L8, "NA")</f>
        <v>114394.9</v>
      </c>
      <c r="M9" s="67">
        <f>IFERROR(L9/L148, "NA")</f>
        <v>1</v>
      </c>
      <c r="N9" s="66">
        <f>IFERROR(N7+N8, "NA")</f>
        <v>102376.69</v>
      </c>
      <c r="O9" s="67">
        <f>IFERROR(N9/N148, "NA")</f>
        <v>1</v>
      </c>
      <c r="P9" s="66">
        <f>IFERROR(P7+P8, "NA")</f>
        <v>48705.64</v>
      </c>
      <c r="Q9" s="67">
        <f>IFERROR(P9/P148, "NA")</f>
        <v>1</v>
      </c>
      <c r="R9" s="66">
        <f>IFERROR(R7+R8, "NA")</f>
        <v>60753.79</v>
      </c>
      <c r="S9" s="67">
        <f>IFERROR(R9/R148, "NA")</f>
        <v>1</v>
      </c>
      <c r="T9" s="66">
        <f>IFERROR(T7+T8, "NA")</f>
        <v>93589.77</v>
      </c>
      <c r="U9" s="67">
        <f>IFERROR(T9/T148, "NA")</f>
        <v>1</v>
      </c>
      <c r="V9" s="66">
        <f>IFERROR(V7+V8, "NA")</f>
        <v>113256.84</v>
      </c>
      <c r="W9" s="67">
        <f>IFERROR(V9/V148, "NA")</f>
        <v>1</v>
      </c>
      <c r="X9" s="66">
        <f>IFERROR(X7+X8, "NA")</f>
        <v>95908.04</v>
      </c>
      <c r="Y9" s="67">
        <f>IFERROR(X9/X148, "NA")</f>
        <v>1</v>
      </c>
      <c r="Z9" s="66">
        <f>IFERROR(Z7+Z8, "NA")</f>
        <v>363508.44</v>
      </c>
      <c r="AA9" s="67">
        <f>IFERROR(Z9/Z148, "NA")</f>
        <v>1</v>
      </c>
      <c r="AB9" s="66">
        <f t="shared" si="1"/>
        <v>90877.11</v>
      </c>
      <c r="AC9" s="67">
        <f>IFERROR(AB9/AB148, "NA")</f>
        <v>1</v>
      </c>
      <c r="AD9" s="75">
        <f t="shared" si="2"/>
        <v>5030.93</v>
      </c>
      <c r="AE9" s="76">
        <f>IFERROR(AD9/AD148, "NA")</f>
        <v>1</v>
      </c>
      <c r="AF9" s="75">
        <f t="shared" si="3"/>
        <v>0.05535970499</v>
      </c>
      <c r="AG9" s="66">
        <f t="shared" si="4"/>
        <v>93488.3975</v>
      </c>
      <c r="AH9" s="67">
        <f>IFERROR(AG9/AG148, "NA")</f>
        <v>1</v>
      </c>
      <c r="AI9" s="75">
        <f t="shared" si="5"/>
        <v>2419.6425</v>
      </c>
      <c r="AJ9" s="76">
        <f>IFERROR(AI9/AI148, "NA")</f>
        <v>1</v>
      </c>
      <c r="AK9" s="75">
        <f t="shared" si="6"/>
        <v>0.0258817411</v>
      </c>
      <c r="AL9" s="76">
        <f>IFERROR(AK9/AK148, "NA")</f>
        <v>1</v>
      </c>
    </row>
    <row r="10" ht="3.75" customHeight="1">
      <c r="A10" s="77"/>
      <c r="B10" s="78"/>
      <c r="C10" s="74"/>
      <c r="D10" s="78"/>
      <c r="E10" s="74"/>
      <c r="F10" s="78"/>
      <c r="G10" s="74"/>
      <c r="H10" s="78"/>
      <c r="I10" s="74"/>
      <c r="J10" s="78"/>
      <c r="K10" s="74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4"/>
      <c r="AB10" s="78"/>
      <c r="AC10" s="74"/>
      <c r="AD10" s="79"/>
      <c r="AE10" s="80"/>
      <c r="AF10" s="79"/>
      <c r="AG10" s="78"/>
      <c r="AH10" s="74"/>
      <c r="AI10" s="79"/>
      <c r="AJ10" s="80"/>
      <c r="AK10" s="79"/>
      <c r="AL10" s="80"/>
    </row>
    <row r="11" ht="16.5" customHeight="1">
      <c r="A11" s="13" t="s">
        <v>65</v>
      </c>
      <c r="B11" s="14"/>
      <c r="C11" s="12"/>
      <c r="D11" s="14"/>
      <c r="E11" s="12"/>
      <c r="F11" s="14"/>
      <c r="G11" s="12"/>
      <c r="H11" s="14"/>
      <c r="I11" s="12"/>
      <c r="J11" s="14"/>
      <c r="K11" s="12"/>
      <c r="L11" s="14"/>
      <c r="M11" s="12"/>
      <c r="N11" s="14"/>
      <c r="O11" s="12"/>
      <c r="P11" s="14"/>
      <c r="Q11" s="12"/>
      <c r="R11" s="14"/>
      <c r="S11" s="12"/>
      <c r="T11" s="14"/>
      <c r="U11" s="12"/>
      <c r="V11" s="14"/>
      <c r="W11" s="12"/>
      <c r="X11" s="14"/>
      <c r="Y11" s="12"/>
      <c r="Z11" s="14"/>
      <c r="AA11" s="12"/>
      <c r="AB11" s="14"/>
      <c r="AC11" s="12"/>
      <c r="AD11" s="17"/>
      <c r="AE11" s="18"/>
      <c r="AF11" s="17"/>
      <c r="AG11" s="14"/>
      <c r="AH11" s="12"/>
      <c r="AI11" s="17"/>
      <c r="AJ11" s="18"/>
      <c r="AK11" s="17"/>
      <c r="AL11" s="18"/>
    </row>
    <row r="12" ht="16.5" customHeight="1">
      <c r="A12" s="13" t="s">
        <v>66</v>
      </c>
      <c r="B12" s="14"/>
      <c r="C12" s="12"/>
      <c r="D12" s="14"/>
      <c r="E12" s="12"/>
      <c r="F12" s="14"/>
      <c r="G12" s="12"/>
      <c r="H12" s="14"/>
      <c r="I12" s="12"/>
      <c r="J12" s="14"/>
      <c r="K12" s="12"/>
      <c r="L12" s="14"/>
      <c r="M12" s="12"/>
      <c r="N12" s="14"/>
      <c r="O12" s="12"/>
      <c r="P12" s="14"/>
      <c r="Q12" s="12"/>
      <c r="R12" s="14"/>
      <c r="S12" s="12"/>
      <c r="T12" s="14"/>
      <c r="U12" s="12"/>
      <c r="V12" s="14"/>
      <c r="W12" s="12"/>
      <c r="X12" s="14"/>
      <c r="Y12" s="12"/>
      <c r="Z12" s="14"/>
      <c r="AA12" s="12"/>
      <c r="AB12" s="14"/>
      <c r="AC12" s="12"/>
      <c r="AD12" s="17"/>
      <c r="AE12" s="18"/>
      <c r="AF12" s="17"/>
      <c r="AG12" s="14"/>
      <c r="AH12" s="12"/>
      <c r="AI12" s="17"/>
      <c r="AJ12" s="18"/>
      <c r="AK12" s="17"/>
      <c r="AL12" s="18"/>
    </row>
    <row r="13" ht="16.5" hidden="1" customHeight="1">
      <c r="A13" s="19" t="s">
        <v>67</v>
      </c>
      <c r="B13" s="21">
        <f>SUM('4 - RASA - MVT'!B13,'5 - RASA - National Landin'!B13,'6 - RASA - Mosaic'!B13,'7 - RASA - Rockville'!B13)</f>
        <v>0</v>
      </c>
      <c r="C13" s="23">
        <f>IFERROR(B13/B148, "NA")</f>
        <v>0</v>
      </c>
      <c r="D13" s="21">
        <f>SUM('4 - RASA - MVT'!D13,'5 - RASA - National Landin'!D13,'6 - RASA - Mosaic'!D13,'7 - RASA - Rockville'!D13)</f>
        <v>0</v>
      </c>
      <c r="E13" s="23">
        <f>IFERROR(D13/D148, "NA")</f>
        <v>0</v>
      </c>
      <c r="F13" s="21">
        <f>SUM('4 - RASA - MVT'!F13,'5 - RASA - National Landin'!F13,'6 - RASA - Mosaic'!F13,'7 - RASA - Rockville'!F13)</f>
        <v>0</v>
      </c>
      <c r="G13" s="23">
        <f>IFERROR(F13/F148, "NA")</f>
        <v>0</v>
      </c>
      <c r="H13" s="21">
        <f>SUM('4 - RASA - MVT'!H13,'5 - RASA - National Landin'!H13,'6 - RASA - Mosaic'!H13,'7 - RASA - Rockville'!H13)</f>
        <v>0</v>
      </c>
      <c r="I13" s="23">
        <f>IFERROR(H13/H148, "NA")</f>
        <v>0</v>
      </c>
      <c r="J13" s="21">
        <f>SUM('4 - RASA - MVT'!J13,'5 - RASA - National Landin'!J13,'6 - RASA - Mosaic'!J13,'7 - RASA - Rockville'!J13)</f>
        <v>0</v>
      </c>
      <c r="K13" s="23">
        <f>IFERROR(J13/J148, "NA")</f>
        <v>0</v>
      </c>
      <c r="L13" s="21">
        <f>SUM('4 - RASA - MVT'!L13,'5 - RASA - National Landin'!L13,'6 - RASA - Mosaic'!L13,'7 - RASA - Rockville'!L13)</f>
        <v>0</v>
      </c>
      <c r="M13" s="23">
        <f>IFERROR(L13/L148, "NA")</f>
        <v>0</v>
      </c>
      <c r="N13" s="21">
        <f>SUM('4 - RASA - MVT'!N13,'5 - RASA - National Landin'!N13,'6 - RASA - Mosaic'!N13,'7 - RASA - Rockville'!N13)</f>
        <v>0</v>
      </c>
      <c r="O13" s="23">
        <f>IFERROR(N13/N148, "NA")</f>
        <v>0</v>
      </c>
      <c r="P13" s="21">
        <f>SUM('4 - RASA - MVT'!P13,'5 - RASA - National Landin'!P13,'6 - RASA - Mosaic'!P13,'7 - RASA - Rockville'!P13)</f>
        <v>0</v>
      </c>
      <c r="Q13" s="23">
        <f>IFERROR(P13/P148, "NA")</f>
        <v>0</v>
      </c>
      <c r="R13" s="21">
        <f>SUM('4 - RASA - MVT'!R13,'5 - RASA - National Landin'!R13,'6 - RASA - Mosaic'!R13,'7 - RASA - Rockville'!R13)</f>
        <v>0</v>
      </c>
      <c r="S13" s="23">
        <f>IFERROR(R13/R148, "NA")</f>
        <v>0</v>
      </c>
      <c r="T13" s="21">
        <f>SUM('4 - RASA - MVT'!T13,'5 - RASA - National Landin'!T13,'6 - RASA - Mosaic'!T13,'7 - RASA - Rockville'!T13)</f>
        <v>0</v>
      </c>
      <c r="U13" s="23">
        <f>IFERROR(T13/T148, "NA")</f>
        <v>0</v>
      </c>
      <c r="V13" s="21">
        <f>SUM('4 - RASA - MVT'!V13,'5 - RASA - National Landin'!V13,'6 - RASA - Mosaic'!V13,'7 - RASA - Rockville'!V13)</f>
        <v>0</v>
      </c>
      <c r="W13" s="23">
        <f>IFERROR(V13/V148, "NA")</f>
        <v>0</v>
      </c>
      <c r="X13" s="21">
        <f>SUM('4 - RASA - MVT'!X13,'5 - RASA - National Landin'!X13,'6 - RASA - Mosaic'!X13,'7 - RASA - Rockville'!X13)</f>
        <v>0</v>
      </c>
      <c r="Y13" s="23">
        <f>IFERROR(X13/X148, "NA")</f>
        <v>0</v>
      </c>
      <c r="Z13" s="21">
        <f>SUM('4 - RASA - MVT'!Z13,'5 - RASA - National Landin'!Z13,'6 - RASA - Mosaic'!Z13,'7 - RASA - Rockville'!Z13)</f>
        <v>0</v>
      </c>
      <c r="AA13" s="23">
        <f>IFERROR(Z13/Z148, "NA")</f>
        <v>0</v>
      </c>
      <c r="AB13" s="28">
        <f>IFERROR((R13+T13+V13+X13)/4, "NA")</f>
        <v>0</v>
      </c>
      <c r="AC13" s="23">
        <f>IFERROR(AB13/AB148, "NA")</f>
        <v>0</v>
      </c>
      <c r="AD13" s="29">
        <f>IFERROR(X13-AB13, "NA")</f>
        <v>0</v>
      </c>
      <c r="AE13" s="30">
        <f>IFERROR(AD13/AD148, "NA")</f>
        <v>0</v>
      </c>
      <c r="AF13" s="29" t="str">
        <f>IFERROR((X13-AB13)/AB13, "NA")</f>
        <v>NA</v>
      </c>
      <c r="AG13" s="28">
        <f>IFERROR((J13+L13+N13+P13+R13+T13+V13+X13)/8, "NA")</f>
        <v>0</v>
      </c>
      <c r="AH13" s="23">
        <f>IFERROR(AG13/AG148, "NA")</f>
        <v>0</v>
      </c>
      <c r="AI13" s="29">
        <f>IFERROR(X13-AG13, "NA")</f>
        <v>0</v>
      </c>
      <c r="AJ13" s="30">
        <f>IFERROR(AI13/AI148, "NA")</f>
        <v>0</v>
      </c>
      <c r="AK13" s="29" t="str">
        <f>IFERROR((X13-AG13)/AG13, "NA")</f>
        <v>NA</v>
      </c>
      <c r="AL13" s="30" t="str">
        <f>IFERROR(AK13/AK148, "NA")</f>
        <v>NA</v>
      </c>
    </row>
    <row r="14" ht="16.5" customHeight="1">
      <c r="A14" s="13" t="s">
        <v>68</v>
      </c>
      <c r="B14" s="14"/>
      <c r="C14" s="12"/>
      <c r="D14" s="14"/>
      <c r="E14" s="12"/>
      <c r="F14" s="14"/>
      <c r="G14" s="12"/>
      <c r="H14" s="14"/>
      <c r="I14" s="12"/>
      <c r="J14" s="14"/>
      <c r="K14" s="12"/>
      <c r="L14" s="14"/>
      <c r="M14" s="12"/>
      <c r="N14" s="14"/>
      <c r="O14" s="12"/>
      <c r="P14" s="14"/>
      <c r="Q14" s="12"/>
      <c r="R14" s="14"/>
      <c r="S14" s="12"/>
      <c r="T14" s="14"/>
      <c r="U14" s="12"/>
      <c r="V14" s="14"/>
      <c r="W14" s="12"/>
      <c r="X14" s="14"/>
      <c r="Y14" s="12"/>
      <c r="Z14" s="14"/>
      <c r="AA14" s="12"/>
      <c r="AB14" s="14"/>
      <c r="AC14" s="12"/>
      <c r="AD14" s="17"/>
      <c r="AE14" s="18"/>
      <c r="AF14" s="17"/>
      <c r="AG14" s="14"/>
      <c r="AH14" s="12"/>
      <c r="AI14" s="17"/>
      <c r="AJ14" s="18"/>
      <c r="AK14" s="17"/>
      <c r="AL14" s="18"/>
    </row>
    <row r="15" ht="16.5" hidden="1" customHeight="1">
      <c r="A15" s="19" t="s">
        <v>69</v>
      </c>
      <c r="B15" s="21">
        <f>SUM('4 - RASA - MVT'!B15,'5 - RASA - National Landin'!B15,'6 - RASA - Mosaic'!B15,'7 - RASA - Rockville'!B15)</f>
        <v>0</v>
      </c>
      <c r="C15" s="23">
        <f>IFERROR(B15/B148, "NA")</f>
        <v>0</v>
      </c>
      <c r="D15" s="21">
        <f>SUM('4 - RASA - MVT'!D15,'5 - RASA - National Landin'!D15,'6 - RASA - Mosaic'!D15,'7 - RASA - Rockville'!D15)</f>
        <v>0</v>
      </c>
      <c r="E15" s="23">
        <f>IFERROR(D15/D148, "NA")</f>
        <v>0</v>
      </c>
      <c r="F15" s="21">
        <f>SUM('4 - RASA - MVT'!F15,'5 - RASA - National Landin'!F15,'6 - RASA - Mosaic'!F15,'7 - RASA - Rockville'!F15)</f>
        <v>0</v>
      </c>
      <c r="G15" s="23">
        <f>IFERROR(F15/F148, "NA")</f>
        <v>0</v>
      </c>
      <c r="H15" s="21">
        <f>SUM('4 - RASA - MVT'!H15,'5 - RASA - National Landin'!H15,'6 - RASA - Mosaic'!H15,'7 - RASA - Rockville'!H15)</f>
        <v>0</v>
      </c>
      <c r="I15" s="23">
        <f>IFERROR(H15/H148, "NA")</f>
        <v>0</v>
      </c>
      <c r="J15" s="21">
        <f>SUM('4 - RASA - MVT'!J15,'5 - RASA - National Landin'!J15,'6 - RASA - Mosaic'!J15,'7 - RASA - Rockville'!J15)</f>
        <v>0</v>
      </c>
      <c r="K15" s="23">
        <f>IFERROR(J15/J148, "NA")</f>
        <v>0</v>
      </c>
      <c r="L15" s="21">
        <f>SUM('4 - RASA - MVT'!L15,'5 - RASA - National Landin'!L15,'6 - RASA - Mosaic'!L15,'7 - RASA - Rockville'!L15)</f>
        <v>0</v>
      </c>
      <c r="M15" s="23">
        <f>IFERROR(L15/L148, "NA")</f>
        <v>0</v>
      </c>
      <c r="N15" s="21">
        <f>SUM('4 - RASA - MVT'!N15,'5 - RASA - National Landin'!N15,'6 - RASA - Mosaic'!N15,'7 - RASA - Rockville'!N15)</f>
        <v>0</v>
      </c>
      <c r="O15" s="23">
        <f>IFERROR(N15/N148, "NA")</f>
        <v>0</v>
      </c>
      <c r="P15" s="21">
        <f>SUM('4 - RASA - MVT'!P15,'5 - RASA - National Landin'!P15,'6 - RASA - Mosaic'!P15,'7 - RASA - Rockville'!P15)</f>
        <v>0</v>
      </c>
      <c r="Q15" s="23">
        <f>IFERROR(P15/P148, "NA")</f>
        <v>0</v>
      </c>
      <c r="R15" s="21">
        <f>SUM('4 - RASA - MVT'!R15,'5 - RASA - National Landin'!R15,'6 - RASA - Mosaic'!R15,'7 - RASA - Rockville'!R15)</f>
        <v>0</v>
      </c>
      <c r="S15" s="23">
        <f>IFERROR(R15/R148, "NA")</f>
        <v>0</v>
      </c>
      <c r="T15" s="21">
        <f>SUM('4 - RASA - MVT'!T15,'5 - RASA - National Landin'!T15,'6 - RASA - Mosaic'!T15,'7 - RASA - Rockville'!T15)</f>
        <v>0</v>
      </c>
      <c r="U15" s="23">
        <f>IFERROR(T15/T148, "NA")</f>
        <v>0</v>
      </c>
      <c r="V15" s="21">
        <f>SUM('4 - RASA - MVT'!V15,'5 - RASA - National Landin'!V15,'6 - RASA - Mosaic'!V15,'7 - RASA - Rockville'!V15)</f>
        <v>0</v>
      </c>
      <c r="W15" s="23">
        <f>IFERROR(V15/V148, "NA")</f>
        <v>0</v>
      </c>
      <c r="X15" s="21">
        <f>SUM('4 - RASA - MVT'!X15,'5 - RASA - National Landin'!X15,'6 - RASA - Mosaic'!X15,'7 - RASA - Rockville'!X15)</f>
        <v>0</v>
      </c>
      <c r="Y15" s="23">
        <f>IFERROR(X15/X148, "NA")</f>
        <v>0</v>
      </c>
      <c r="Z15" s="21">
        <f>SUM('4 - RASA - MVT'!Z15,'5 - RASA - National Landin'!Z15,'6 - RASA - Mosaic'!Z15,'7 - RASA - Rockville'!Z15)</f>
        <v>0</v>
      </c>
      <c r="AA15" s="23">
        <f>IFERROR(Z15/Z148, "NA")</f>
        <v>0</v>
      </c>
      <c r="AB15" s="28">
        <f t="shared" ref="AB15:AB27" si="7">IFERROR((R15+T15+V15+X15)/4, "NA")</f>
        <v>0</v>
      </c>
      <c r="AC15" s="23">
        <f>IFERROR(AB15/AB148, "NA")</f>
        <v>0</v>
      </c>
      <c r="AD15" s="29">
        <f t="shared" ref="AD15:AD27" si="8">IFERROR(X15-AB15, "NA")</f>
        <v>0</v>
      </c>
      <c r="AE15" s="30">
        <f>IFERROR(AD15/AD148, "NA")</f>
        <v>0</v>
      </c>
      <c r="AF15" s="29" t="str">
        <f t="shared" ref="AF15:AF27" si="9">IFERROR((X15-AB15)/AB15, "NA")</f>
        <v>NA</v>
      </c>
      <c r="AG15" s="28">
        <f t="shared" ref="AG15:AG27" si="10">IFERROR((J15+L15+N15+P15+R15+T15+V15+X15)/8, "NA")</f>
        <v>0</v>
      </c>
      <c r="AH15" s="23">
        <f>IFERROR(AG15/AG148, "NA")</f>
        <v>0</v>
      </c>
      <c r="AI15" s="29">
        <f t="shared" ref="AI15:AI27" si="11">IFERROR(X15-AG15, "NA")</f>
        <v>0</v>
      </c>
      <c r="AJ15" s="30">
        <f>IFERROR(AI15/AI148, "NA")</f>
        <v>0</v>
      </c>
      <c r="AK15" s="29" t="str">
        <f t="shared" ref="AK15:AK27" si="12">IFERROR((X15-AG15)/AG15, "NA")</f>
        <v>NA</v>
      </c>
      <c r="AL15" s="30" t="str">
        <f>IFERROR(AK15/AK148, "NA")</f>
        <v>NA</v>
      </c>
    </row>
    <row r="16" ht="16.5" customHeight="1">
      <c r="A16" s="19" t="s">
        <v>70</v>
      </c>
      <c r="B16" s="21">
        <f>SUM('4 - RASA - MVT'!B16,'5 - RASA - National Landin'!B16,'6 - RASA - Mosaic'!B16,'7 - RASA - Rockville'!B16)</f>
        <v>7279.05</v>
      </c>
      <c r="C16" s="23">
        <f>IFERROR(B16/B148, "NA")</f>
        <v>0.04442179532</v>
      </c>
      <c r="D16" s="21">
        <f>SUM('4 - RASA - MVT'!D16,'5 - RASA - National Landin'!D16,'6 - RASA - Mosaic'!D16,'7 - RASA - Rockville'!D16)</f>
        <v>7517.68</v>
      </c>
      <c r="E16" s="23">
        <f>IFERROR(D16/D148, "NA")</f>
        <v>0.04977751787</v>
      </c>
      <c r="F16" s="21">
        <f>SUM('4 - RASA - MVT'!F16,'5 - RASA - National Landin'!F16,'6 - RASA - Mosaic'!F16,'7 - RASA - Rockville'!F16)</f>
        <v>6161.52</v>
      </c>
      <c r="G16" s="23">
        <f>IFERROR(F16/F148, "NA")</f>
        <v>0.05195784256</v>
      </c>
      <c r="H16" s="21">
        <f>SUM('4 - RASA - MVT'!H16,'5 - RASA - National Landin'!H16,'6 - RASA - Mosaic'!H16,'7 - RASA - Rockville'!H16)</f>
        <v>3260.77</v>
      </c>
      <c r="I16" s="23">
        <f>IFERROR(H16/H148, "NA")</f>
        <v>0.05131497404</v>
      </c>
      <c r="J16" s="21">
        <f>SUM('4 - RASA - MVT'!J16,'5 - RASA - National Landin'!J16,'6 - RASA - Mosaic'!J16,'7 - RASA - Rockville'!J16)</f>
        <v>6544.62</v>
      </c>
      <c r="K16" s="23">
        <f>IFERROR(J16/J148, "NA")</f>
        <v>0.05503310545</v>
      </c>
      <c r="L16" s="21">
        <f>SUM('4 - RASA - MVT'!L16,'5 - RASA - National Landin'!L16,'6 - RASA - Mosaic'!L16,'7 - RASA - Rockville'!L16)</f>
        <v>6136.03</v>
      </c>
      <c r="M16" s="23">
        <f>IFERROR(L16/L148, "NA")</f>
        <v>0.05363901712</v>
      </c>
      <c r="N16" s="21">
        <f>SUM('4 - RASA - MVT'!N16,'5 - RASA - National Landin'!N16,'6 - RASA - Mosaic'!N16,'7 - RASA - Rockville'!N16)</f>
        <v>5196.04</v>
      </c>
      <c r="O16" s="23">
        <f>IFERROR(N16/N148, "NA")</f>
        <v>0.05075413163</v>
      </c>
      <c r="P16" s="21">
        <f>SUM('4 - RASA - MVT'!P16,'5 - RASA - National Landin'!P16,'6 - RASA - Mosaic'!P16,'7 - RASA - Rockville'!P16)</f>
        <v>2359.53</v>
      </c>
      <c r="Q16" s="23">
        <f>IFERROR(P16/P148, "NA")</f>
        <v>0.04844469758</v>
      </c>
      <c r="R16" s="21">
        <f>SUM('4 - RASA - MVT'!R16,'5 - RASA - National Landin'!R16,'6 - RASA - Mosaic'!R16,'7 - RASA - Rockville'!R16)</f>
        <v>3336.41</v>
      </c>
      <c r="S16" s="23">
        <f>IFERROR(R16/R148, "NA")</f>
        <v>0.05491690313</v>
      </c>
      <c r="T16" s="21">
        <f>SUM('4 - RASA - MVT'!T16,'5 - RASA - National Landin'!T16,'6 - RASA - Mosaic'!T16,'7 - RASA - Rockville'!T16)</f>
        <v>5160.56</v>
      </c>
      <c r="U16" s="23">
        <f>IFERROR(T16/T148, "NA")</f>
        <v>0.05514021458</v>
      </c>
      <c r="V16" s="21">
        <f>SUM('4 - RASA - MVT'!V16,'5 - RASA - National Landin'!V16,'6 - RASA - Mosaic'!V16,'7 - RASA - Rockville'!V16)</f>
        <v>5023.29</v>
      </c>
      <c r="W16" s="23">
        <f>IFERROR(V16/V148, "NA")</f>
        <v>0.04435308278</v>
      </c>
      <c r="X16" s="21">
        <f>SUM('4 - RASA - MVT'!X16,'5 - RASA - National Landin'!X16,'6 - RASA - Mosaic'!X16,'7 - RASA - Rockville'!X16)</f>
        <v>4668.29</v>
      </c>
      <c r="Y16" s="23">
        <f>IFERROR(X16/X148, "NA")</f>
        <v>0.04867464709</v>
      </c>
      <c r="Z16" s="21">
        <f>SUM('4 - RASA - MVT'!Z16,'5 - RASA - National Landin'!Z16,'6 - RASA - Mosaic'!Z16,'7 - RASA - Rockville'!Z16)</f>
        <v>18188.55</v>
      </c>
      <c r="AA16" s="23">
        <f>IFERROR(Z16/Z148, "NA")</f>
        <v>0.0500361147</v>
      </c>
      <c r="AB16" s="28">
        <f t="shared" si="7"/>
        <v>4547.1375</v>
      </c>
      <c r="AC16" s="23">
        <f>IFERROR(AB16/AB148, "NA")</f>
        <v>0.0500361147</v>
      </c>
      <c r="AD16" s="29">
        <f t="shared" si="8"/>
        <v>121.1525</v>
      </c>
      <c r="AE16" s="30">
        <f>IFERROR(AD16/AD148, "NA")</f>
        <v>0.02408153165</v>
      </c>
      <c r="AF16" s="29">
        <f t="shared" si="9"/>
        <v>0.02664368518</v>
      </c>
      <c r="AG16" s="28">
        <f t="shared" si="10"/>
        <v>4803.09625</v>
      </c>
      <c r="AH16" s="23">
        <f>IFERROR(AG16/AG148, "NA")</f>
        <v>0.05137638871</v>
      </c>
      <c r="AI16" s="29">
        <f t="shared" si="11"/>
        <v>-134.80625</v>
      </c>
      <c r="AJ16" s="30">
        <f>IFERROR(AI16/AI148, "NA")</f>
        <v>-0.05571329236</v>
      </c>
      <c r="AK16" s="29">
        <f t="shared" si="12"/>
        <v>-0.02806653104</v>
      </c>
      <c r="AL16" s="30">
        <f>IFERROR(AK16/AK148, "NA")</f>
        <v>-1.084414334</v>
      </c>
    </row>
    <row r="17" ht="16.5" customHeight="1">
      <c r="A17" s="19" t="s">
        <v>71</v>
      </c>
      <c r="B17" s="21">
        <f>SUM('4 - RASA - MVT'!B17,'5 - RASA - National Landin'!B17,'6 - RASA - Mosaic'!B17,'7 - RASA - Rockville'!B17)</f>
        <v>4172.54</v>
      </c>
      <c r="C17" s="23">
        <f>IFERROR(B17/B148, "NA")</f>
        <v>0.02546372368</v>
      </c>
      <c r="D17" s="21">
        <f>SUM('4 - RASA - MVT'!D17,'5 - RASA - National Landin'!D17,'6 - RASA - Mosaic'!D17,'7 - RASA - Rockville'!D17)</f>
        <v>3735.38</v>
      </c>
      <c r="E17" s="23">
        <f>IFERROR(D17/D148, "NA")</f>
        <v>0.02473342104</v>
      </c>
      <c r="F17" s="21">
        <f>SUM('4 - RASA - MVT'!F17,'5 - RASA - National Landin'!F17,'6 - RASA - Mosaic'!F17,'7 - RASA - Rockville'!F17)</f>
        <v>1825.52</v>
      </c>
      <c r="G17" s="23">
        <f>IFERROR(F17/F148, "NA")</f>
        <v>0.01539394188</v>
      </c>
      <c r="H17" s="21">
        <f>SUM('4 - RASA - MVT'!H17,'5 - RASA - National Landin'!H17,'6 - RASA - Mosaic'!H17,'7 - RASA - Rockville'!H17)</f>
        <v>2760.65</v>
      </c>
      <c r="I17" s="23">
        <f>IFERROR(H17/H148, "NA")</f>
        <v>0.04344454932</v>
      </c>
      <c r="J17" s="21">
        <f>SUM('4 - RASA - MVT'!J17,'5 - RASA - National Landin'!J17,'6 - RASA - Mosaic'!J17,'7 - RASA - Rockville'!J17)</f>
        <v>3189.68</v>
      </c>
      <c r="K17" s="23">
        <f>IFERROR(J17/J148, "NA")</f>
        <v>0.02682172468</v>
      </c>
      <c r="L17" s="21">
        <f>SUM('4 - RASA - MVT'!L17,'5 - RASA - National Landin'!L17,'6 - RASA - Mosaic'!L17,'7 - RASA - Rockville'!L17)</f>
        <v>2948.67</v>
      </c>
      <c r="M17" s="23">
        <f>IFERROR(L17/L148, "NA")</f>
        <v>0.02577623653</v>
      </c>
      <c r="N17" s="21">
        <f>SUM('4 - RASA - MVT'!N17,'5 - RASA - National Landin'!N17,'6 - RASA - Mosaic'!N17,'7 - RASA - Rockville'!N17)</f>
        <v>3096.68</v>
      </c>
      <c r="O17" s="23">
        <f>IFERROR(N17/N148, "NA")</f>
        <v>0.03024790116</v>
      </c>
      <c r="P17" s="21">
        <f>SUM('4 - RASA - MVT'!P17,'5 - RASA - National Landin'!P17,'6 - RASA - Mosaic'!P17,'7 - RASA - Rockville'!P17)</f>
        <v>1441.87</v>
      </c>
      <c r="Q17" s="23">
        <f>IFERROR(P17/P148, "NA")</f>
        <v>0.02960375841</v>
      </c>
      <c r="R17" s="21">
        <f>SUM('4 - RASA - MVT'!R17,'5 - RASA - National Landin'!R17,'6 - RASA - Mosaic'!R17,'7 - RASA - Rockville'!R17)</f>
        <v>1974.22</v>
      </c>
      <c r="S17" s="23">
        <f>IFERROR(R17/R148, "NA")</f>
        <v>0.03249542127</v>
      </c>
      <c r="T17" s="21">
        <f>SUM('4 - RASA - MVT'!T17,'5 - RASA - National Landin'!T17,'6 - RASA - Mosaic'!T17,'7 - RASA - Rockville'!T17)</f>
        <v>2962.44</v>
      </c>
      <c r="U17" s="23">
        <f>IFERROR(T17/T148, "NA")</f>
        <v>0.03165345956</v>
      </c>
      <c r="V17" s="21">
        <f>SUM('4 - RASA - MVT'!V17,'5 - RASA - National Landin'!V17,'6 - RASA - Mosaic'!V17,'7 - RASA - Rockville'!V17)</f>
        <v>3530.11</v>
      </c>
      <c r="W17" s="23">
        <f>IFERROR(V17/V148, "NA")</f>
        <v>0.0311690667</v>
      </c>
      <c r="X17" s="21">
        <f>SUM('4 - RASA - MVT'!X17,'5 - RASA - National Landin'!X17,'6 - RASA - Mosaic'!X17,'7 - RASA - Rockville'!X17)</f>
        <v>2754.26</v>
      </c>
      <c r="Y17" s="23">
        <f>IFERROR(X17/X148, "NA")</f>
        <v>0.02871771751</v>
      </c>
      <c r="Z17" s="21">
        <f>SUM('4 - RASA - MVT'!Z17,'5 - RASA - National Landin'!Z17,'6 - RASA - Mosaic'!Z17,'7 - RASA - Rockville'!Z17)</f>
        <v>11221.03</v>
      </c>
      <c r="AA17" s="23">
        <f>IFERROR(Z17/Z148, "NA")</f>
        <v>0.0308686918</v>
      </c>
      <c r="AB17" s="28">
        <f t="shared" si="7"/>
        <v>2805.2575</v>
      </c>
      <c r="AC17" s="23">
        <f>IFERROR(AB17/AB148, "NA")</f>
        <v>0.0308686918</v>
      </c>
      <c r="AD17" s="29">
        <f t="shared" si="8"/>
        <v>-50.9975</v>
      </c>
      <c r="AE17" s="30">
        <f>IFERROR(AD17/AD148, "NA")</f>
        <v>-0.01013679379</v>
      </c>
      <c r="AF17" s="29">
        <f t="shared" si="9"/>
        <v>-0.01817925805</v>
      </c>
      <c r="AG17" s="28">
        <f t="shared" si="10"/>
        <v>2737.24125</v>
      </c>
      <c r="AH17" s="23">
        <f>IFERROR(AG17/AG148, "NA")</f>
        <v>0.02927894074</v>
      </c>
      <c r="AI17" s="29">
        <f t="shared" si="11"/>
        <v>17.01875</v>
      </c>
      <c r="AJ17" s="30">
        <f>IFERROR(AI17/AI148, "NA")</f>
        <v>0.007033580374</v>
      </c>
      <c r="AK17" s="29">
        <f t="shared" si="12"/>
        <v>0.006217482657</v>
      </c>
      <c r="AL17" s="30">
        <f>IFERROR(AK17/AK148, "NA")</f>
        <v>0.2402265996</v>
      </c>
    </row>
    <row r="18" ht="16.5" customHeight="1">
      <c r="A18" s="19" t="s">
        <v>74</v>
      </c>
      <c r="B18" s="21">
        <f>SUM('4 - RASA - MVT'!B18,'5 - RASA - National Landin'!B18,'6 - RASA - Mosaic'!B18,'7 - RASA - Rockville'!B18)</f>
        <v>5279.65</v>
      </c>
      <c r="C18" s="23">
        <f>IFERROR(B18/B148, "NA")</f>
        <v>0.03222007428</v>
      </c>
      <c r="D18" s="21">
        <f>SUM('4 - RASA - MVT'!D18,'5 - RASA - National Landin'!D18,'6 - RASA - Mosaic'!D18,'7 - RASA - Rockville'!D18)</f>
        <v>4571.4</v>
      </c>
      <c r="E18" s="23">
        <f>IFERROR(D18/D148, "NA")</f>
        <v>0.03026903848</v>
      </c>
      <c r="F18" s="21">
        <f>SUM('4 - RASA - MVT'!F18,'5 - RASA - National Landin'!F18,'6 - RASA - Mosaic'!F18,'7 - RASA - Rockville'!F18)</f>
        <v>3562.84</v>
      </c>
      <c r="G18" s="23">
        <f>IFERROR(F18/F148, "NA")</f>
        <v>0.03004412544</v>
      </c>
      <c r="H18" s="21">
        <f>SUM('4 - RASA - MVT'!H18,'5 - RASA - National Landin'!H18,'6 - RASA - Mosaic'!H18,'7 - RASA - Rockville'!H18)</f>
        <v>1522.43</v>
      </c>
      <c r="I18" s="23">
        <f>IFERROR(H18/H148, "NA")</f>
        <v>0.02395859136</v>
      </c>
      <c r="J18" s="21">
        <f>SUM('4 - RASA - MVT'!J18,'5 - RASA - National Landin'!J18,'6 - RASA - Mosaic'!J18,'7 - RASA - Rockville'!J18)</f>
        <v>3466.75</v>
      </c>
      <c r="K18" s="23">
        <f>IFERROR(J18/J148, "NA")</f>
        <v>0.02915158074</v>
      </c>
      <c r="L18" s="21">
        <f>SUM('4 - RASA - MVT'!L18,'5 - RASA - National Landin'!L18,'6 - RASA - Mosaic'!L18,'7 - RASA - Rockville'!L18)</f>
        <v>2914.06</v>
      </c>
      <c r="M18" s="23">
        <f>IFERROR(L18/L148, "NA")</f>
        <v>0.02547368808</v>
      </c>
      <c r="N18" s="21">
        <f>SUM('4 - RASA - MVT'!N18,'5 - RASA - National Landin'!N18,'6 - RASA - Mosaic'!N18,'7 - RASA - Rockville'!N18)</f>
        <v>2785.17</v>
      </c>
      <c r="O18" s="23">
        <f>IFERROR(N18/N148, "NA")</f>
        <v>0.02720511867</v>
      </c>
      <c r="P18" s="21">
        <f>SUM('4 - RASA - MVT'!P18,'5 - RASA - National Landin'!P18,'6 - RASA - Mosaic'!P18,'7 - RASA - Rockville'!P18)</f>
        <v>1319.62</v>
      </c>
      <c r="Q18" s="23">
        <f>IFERROR(P18/P148, "NA")</f>
        <v>0.02709378216</v>
      </c>
      <c r="R18" s="21">
        <f>SUM('4 - RASA - MVT'!R18,'5 - RASA - National Landin'!R18,'6 - RASA - Mosaic'!R18,'7 - RASA - Rockville'!R18)</f>
        <v>1864.22</v>
      </c>
      <c r="S18" s="23">
        <f>IFERROR(R18/R148, "NA")</f>
        <v>0.03068483464</v>
      </c>
      <c r="T18" s="21">
        <f>SUM('4 - RASA - MVT'!T18,'5 - RASA - National Landin'!T18,'6 - RASA - Mosaic'!T18,'7 - RASA - Rockville'!T18)</f>
        <v>2618.95</v>
      </c>
      <c r="U18" s="23">
        <f>IFERROR(T18/T148, "NA")</f>
        <v>0.02798329347</v>
      </c>
      <c r="V18" s="21">
        <f>SUM('4 - RASA - MVT'!V18,'5 - RASA - National Landin'!V18,'6 - RASA - Mosaic'!V18,'7 - RASA - Rockville'!V18)</f>
        <v>3703.38</v>
      </c>
      <c r="W18" s="23">
        <f>IFERROR(V18/V148, "NA")</f>
        <v>0.03269895222</v>
      </c>
      <c r="X18" s="21">
        <f>SUM('4 - RASA - MVT'!X18,'5 - RASA - National Landin'!X18,'6 - RASA - Mosaic'!X18,'7 - RASA - Rockville'!X18)</f>
        <v>2624.76</v>
      </c>
      <c r="Y18" s="23">
        <f>IFERROR(X18/X148, "NA")</f>
        <v>0.02736746575</v>
      </c>
      <c r="Z18" s="21">
        <f>SUM('4 - RASA - MVT'!Z18,'5 - RASA - National Landin'!Z18,'6 - RASA - Mosaic'!Z18,'7 - RASA - Rockville'!Z18)</f>
        <v>10811.31</v>
      </c>
      <c r="AA18" s="23">
        <f>IFERROR(Z18/Z148, "NA")</f>
        <v>0.02974156529</v>
      </c>
      <c r="AB18" s="28">
        <f t="shared" si="7"/>
        <v>2702.8275</v>
      </c>
      <c r="AC18" s="23">
        <f>IFERROR(AB18/AB148, "NA")</f>
        <v>0.02974156529</v>
      </c>
      <c r="AD18" s="29">
        <f t="shared" si="8"/>
        <v>-78.0675</v>
      </c>
      <c r="AE18" s="30">
        <f>IFERROR(AD18/AD148, "NA")</f>
        <v>-0.01551750869</v>
      </c>
      <c r="AF18" s="29">
        <f t="shared" si="9"/>
        <v>-0.0288836413</v>
      </c>
      <c r="AG18" s="28">
        <f t="shared" si="10"/>
        <v>2662.11375</v>
      </c>
      <c r="AH18" s="23">
        <f>IFERROR(AG18/AG148, "NA")</f>
        <v>0.02847533834</v>
      </c>
      <c r="AI18" s="29">
        <f t="shared" si="11"/>
        <v>-37.35375</v>
      </c>
      <c r="AJ18" s="30">
        <f>IFERROR(AI18/AI148, "NA")</f>
        <v>-0.01543771446</v>
      </c>
      <c r="AK18" s="29">
        <f t="shared" si="12"/>
        <v>-0.01403161304</v>
      </c>
      <c r="AL18" s="30">
        <f>IFERROR(AK18/AK148, "NA")</f>
        <v>-0.5421433196</v>
      </c>
    </row>
    <row r="19" ht="16.5" customHeight="1">
      <c r="A19" s="19" t="s">
        <v>75</v>
      </c>
      <c r="B19" s="21">
        <f>SUM('4 - RASA - MVT'!B19,'5 - RASA - National Landin'!B19,'6 - RASA - Mosaic'!B19,'7 - RASA - Rockville'!B19)</f>
        <v>3303.84</v>
      </c>
      <c r="C19" s="23">
        <f>IFERROR(B19/B148, "NA")</f>
        <v>0.02016231572</v>
      </c>
      <c r="D19" s="21">
        <f>SUM('4 - RASA - MVT'!D19,'5 - RASA - National Landin'!D19,'6 - RASA - Mosaic'!D19,'7 - RASA - Rockville'!D19)</f>
        <v>2487.39</v>
      </c>
      <c r="E19" s="23">
        <f>IFERROR(D19/D148, "NA")</f>
        <v>0.0164699881</v>
      </c>
      <c r="F19" s="21">
        <f>SUM('4 - RASA - MVT'!F19,'5 - RASA - National Landin'!F19,'6 - RASA - Mosaic'!F19,'7 - RASA - Rockville'!F19)</f>
        <v>2200.63</v>
      </c>
      <c r="G19" s="23">
        <f>IFERROR(F19/F148, "NA")</f>
        <v>0.01855710719</v>
      </c>
      <c r="H19" s="21">
        <f>SUM('4 - RASA - MVT'!H19,'5 - RASA - National Landin'!H19,'6 - RASA - Mosaic'!H19,'7 - RASA - Rockville'!H19)</f>
        <v>2708.06</v>
      </c>
      <c r="I19" s="23">
        <f>IFERROR(H19/H148, "NA")</f>
        <v>0.04261693668</v>
      </c>
      <c r="J19" s="21">
        <f>SUM('4 - RASA - MVT'!J19,'5 - RASA - National Landin'!J19,'6 - RASA - Mosaic'!J19,'7 - RASA - Rockville'!J19)</f>
        <v>2679.22</v>
      </c>
      <c r="K19" s="23">
        <f>IFERROR(J19/J148, "NA")</f>
        <v>0.02252931366</v>
      </c>
      <c r="L19" s="21">
        <f>SUM('4 - RASA - MVT'!L19,'5 - RASA - National Landin'!L19,'6 - RASA - Mosaic'!L19,'7 - RASA - Rockville'!L19)</f>
        <v>2974.72</v>
      </c>
      <c r="M19" s="23">
        <f>IFERROR(L19/L148, "NA")</f>
        <v>0.02600395647</v>
      </c>
      <c r="N19" s="21">
        <f>SUM('4 - RASA - MVT'!N19,'5 - RASA - National Landin'!N19,'6 - RASA - Mosaic'!N19,'7 - RASA - Rockville'!N19)</f>
        <v>2423.59</v>
      </c>
      <c r="O19" s="23">
        <f>IFERROR(N19/N148, "NA")</f>
        <v>0.02367326</v>
      </c>
      <c r="P19" s="21">
        <f>SUM('4 - RASA - MVT'!P19,'5 - RASA - National Landin'!P19,'6 - RASA - Mosaic'!P19,'7 - RASA - Rockville'!P19)</f>
        <v>1211.57</v>
      </c>
      <c r="Q19" s="23">
        <f>IFERROR(P19/P148, "NA")</f>
        <v>0.02487535324</v>
      </c>
      <c r="R19" s="21">
        <f>SUM('4 - RASA - MVT'!R19,'5 - RASA - National Landin'!R19,'6 - RASA - Mosaic'!R19,'7 - RASA - Rockville'!R19)</f>
        <v>1679.15</v>
      </c>
      <c r="S19" s="23">
        <f>IFERROR(R19/R148, "NA")</f>
        <v>0.02763860493</v>
      </c>
      <c r="T19" s="21">
        <f>SUM('4 - RASA - MVT'!T19,'5 - RASA - National Landin'!T19,'6 - RASA - Mosaic'!T19,'7 - RASA - Rockville'!T19)</f>
        <v>1966.68</v>
      </c>
      <c r="U19" s="23">
        <f>IFERROR(T19/T148, "NA")</f>
        <v>0.02101383517</v>
      </c>
      <c r="V19" s="21">
        <f>SUM('4 - RASA - MVT'!V19,'5 - RASA - National Landin'!V19,'6 - RASA - Mosaic'!V19,'7 - RASA - Rockville'!V19)</f>
        <v>2949.16</v>
      </c>
      <c r="W19" s="23">
        <f>IFERROR(V19/V148, "NA")</f>
        <v>0.02603957518</v>
      </c>
      <c r="X19" s="21">
        <f>SUM('4 - RASA - MVT'!X19,'5 - RASA - National Landin'!X19,'6 - RASA - Mosaic'!X19,'7 - RASA - Rockville'!X19)</f>
        <v>1998.4</v>
      </c>
      <c r="Y19" s="23">
        <f>IFERROR(X19/X148, "NA")</f>
        <v>0.02083662642</v>
      </c>
      <c r="Z19" s="21">
        <f>SUM('4 - RASA - MVT'!Z19,'5 - RASA - National Landin'!Z19,'6 - RASA - Mosaic'!Z19,'7 - RASA - Rockville'!Z19)</f>
        <v>8593.39</v>
      </c>
      <c r="AA19" s="23">
        <f>IFERROR(Z19/Z148, "NA")</f>
        <v>0.02364013886</v>
      </c>
      <c r="AB19" s="28">
        <f t="shared" si="7"/>
        <v>2148.3475</v>
      </c>
      <c r="AC19" s="23">
        <f>IFERROR(AB19/AB148, "NA")</f>
        <v>0.02364013886</v>
      </c>
      <c r="AD19" s="29">
        <f t="shared" si="8"/>
        <v>-149.9475</v>
      </c>
      <c r="AE19" s="30">
        <f>IFERROR(AD19/AD148, "NA")</f>
        <v>-0.02980512549</v>
      </c>
      <c r="AF19" s="29">
        <f t="shared" si="9"/>
        <v>-0.0697966693</v>
      </c>
      <c r="AG19" s="28">
        <f t="shared" si="10"/>
        <v>2235.31125</v>
      </c>
      <c r="AH19" s="23">
        <f>IFERROR(AG19/AG148, "NA")</f>
        <v>0.02391003921</v>
      </c>
      <c r="AI19" s="29">
        <f t="shared" si="11"/>
        <v>-236.91125</v>
      </c>
      <c r="AJ19" s="30">
        <f>IFERROR(AI19/AI148, "NA")</f>
        <v>-0.09791167497</v>
      </c>
      <c r="AK19" s="29">
        <f t="shared" si="12"/>
        <v>-0.1059857995</v>
      </c>
      <c r="AL19" s="30">
        <f>IFERROR(AK19/AK148, "NA")</f>
        <v>-4.095002693</v>
      </c>
    </row>
    <row r="20" ht="16.5" customHeight="1">
      <c r="A20" s="19" t="s">
        <v>76</v>
      </c>
      <c r="B20" s="21">
        <f>SUM('4 - RASA - MVT'!B20,'5 - RASA - National Landin'!B20,'6 - RASA - Mosaic'!B20,'7 - RASA - Rockville'!B20)</f>
        <v>1498.46</v>
      </c>
      <c r="C20" s="23">
        <f>IFERROR(B20/B148, "NA")</f>
        <v>0.00914463885</v>
      </c>
      <c r="D20" s="21">
        <f>SUM('4 - RASA - MVT'!D20,'5 - RASA - National Landin'!D20,'6 - RASA - Mosaic'!D20,'7 - RASA - Rockville'!D20)</f>
        <v>1200.21</v>
      </c>
      <c r="E20" s="23">
        <f>IFERROR(D20/D148, "NA")</f>
        <v>0.007947062753</v>
      </c>
      <c r="F20" s="21">
        <f>SUM('4 - RASA - MVT'!F20,'5 - RASA - National Landin'!F20,'6 - RASA - Mosaic'!F20,'7 - RASA - Rockville'!F20)</f>
        <v>490.32</v>
      </c>
      <c r="G20" s="23">
        <f>IFERROR(F20/F148, "NA")</f>
        <v>0.004134689065</v>
      </c>
      <c r="H20" s="21">
        <f>SUM('4 - RASA - MVT'!H20,'5 - RASA - National Landin'!H20,'6 - RASA - Mosaic'!H20,'7 - RASA - Rockville'!H20)</f>
        <v>1640.78</v>
      </c>
      <c r="I20" s="23">
        <f>IFERROR(H20/H148, "NA")</f>
        <v>0.02582107389</v>
      </c>
      <c r="J20" s="21">
        <f>SUM('4 - RASA - MVT'!J20,'5 - RASA - National Landin'!J20,'6 - RASA - Mosaic'!J20,'7 - RASA - Rockville'!J20)</f>
        <v>1495.25</v>
      </c>
      <c r="K20" s="23">
        <f>IFERROR(J20/J148, "NA")</f>
        <v>0.01257341922</v>
      </c>
      <c r="L20" s="21">
        <f>SUM('4 - RASA - MVT'!L20,'5 - RASA - National Landin'!L20,'6 - RASA - Mosaic'!L20,'7 - RASA - Rockville'!L20)</f>
        <v>1488.69</v>
      </c>
      <c r="M20" s="23">
        <f>IFERROR(L20/L148, "NA")</f>
        <v>0.01301360463</v>
      </c>
      <c r="N20" s="21">
        <f>SUM('4 - RASA - MVT'!N20,'5 - RASA - National Landin'!N20,'6 - RASA - Mosaic'!N20,'7 - RASA - Rockville'!N20)</f>
        <v>1223.83</v>
      </c>
      <c r="O20" s="23">
        <f>IFERROR(N20/N148, "NA")</f>
        <v>0.01195418606</v>
      </c>
      <c r="P20" s="21">
        <f>SUM('4 - RASA - MVT'!P20,'5 - RASA - National Landin'!P20,'6 - RASA - Mosaic'!P20,'7 - RASA - Rockville'!P20)</f>
        <v>637.88</v>
      </c>
      <c r="Q20" s="23">
        <f>IFERROR(P20/P148, "NA")</f>
        <v>0.01309663522</v>
      </c>
      <c r="R20" s="21">
        <f>SUM('4 - RASA - MVT'!R20,'5 - RASA - National Landin'!R20,'6 - RASA - Mosaic'!R20,'7 - RASA - Rockville'!R20)</f>
        <v>955.24</v>
      </c>
      <c r="S20" s="23">
        <f>IFERROR(R20/R148, "NA")</f>
        <v>0.01572313431</v>
      </c>
      <c r="T20" s="21">
        <f>SUM('4 - RASA - MVT'!T20,'5 - RASA - National Landin'!T20,'6 - RASA - Mosaic'!T20,'7 - RASA - Rockville'!T20)</f>
        <v>1065.83</v>
      </c>
      <c r="U20" s="23">
        <f>IFERROR(T20/T148, "NA")</f>
        <v>0.01138831733</v>
      </c>
      <c r="V20" s="21">
        <f>SUM('4 - RASA - MVT'!V20,'5 - RASA - National Landin'!V20,'6 - RASA - Mosaic'!V20,'7 - RASA - Rockville'!V20)</f>
        <v>1251.51</v>
      </c>
      <c r="W20" s="23">
        <f>IFERROR(V20/V148, "NA")</f>
        <v>0.01105019352</v>
      </c>
      <c r="X20" s="21">
        <f>SUM('4 - RASA - MVT'!X20,'5 - RASA - National Landin'!X20,'6 - RASA - Mosaic'!X20,'7 - RASA - Rockville'!X20)</f>
        <v>1066.45</v>
      </c>
      <c r="Y20" s="23">
        <f>IFERROR(X20/X148, "NA")</f>
        <v>0.01111950573</v>
      </c>
      <c r="Z20" s="21">
        <f>SUM('4 - RASA - MVT'!Z20,'5 - RASA - National Landin'!Z20,'6 - RASA - Mosaic'!Z20,'7 - RASA - Rockville'!Z20)</f>
        <v>4339.03</v>
      </c>
      <c r="AA20" s="23">
        <f>IFERROR(Z20/Z148, "NA")</f>
        <v>0.01193653165</v>
      </c>
      <c r="AB20" s="28">
        <f t="shared" si="7"/>
        <v>1084.7575</v>
      </c>
      <c r="AC20" s="23">
        <f>IFERROR(AB20/AB148, "NA")</f>
        <v>0.01193653165</v>
      </c>
      <c r="AD20" s="29">
        <f t="shared" si="8"/>
        <v>-18.3075</v>
      </c>
      <c r="AE20" s="30">
        <f>IFERROR(AD20/AD148, "NA")</f>
        <v>-0.003638989213</v>
      </c>
      <c r="AF20" s="29">
        <f t="shared" si="9"/>
        <v>-0.01687704395</v>
      </c>
      <c r="AG20" s="28">
        <f t="shared" si="10"/>
        <v>1148.085</v>
      </c>
      <c r="AH20" s="23">
        <f>IFERROR(AG20/AG148, "NA")</f>
        <v>0.01228050786</v>
      </c>
      <c r="AI20" s="29">
        <f t="shared" si="11"/>
        <v>-81.635</v>
      </c>
      <c r="AJ20" s="30">
        <f>IFERROR(AI20/AI148, "NA")</f>
        <v>-0.03373845516</v>
      </c>
      <c r="AK20" s="29">
        <f t="shared" si="12"/>
        <v>-0.07110536241</v>
      </c>
      <c r="AL20" s="30">
        <f>IFERROR(AK20/AK148, "NA")</f>
        <v>-2.747317583</v>
      </c>
    </row>
    <row r="21" ht="16.5" customHeight="1">
      <c r="A21" s="19" t="s">
        <v>77</v>
      </c>
      <c r="B21" s="21">
        <f>SUM('4 - RASA - MVT'!B21,'5 - RASA - National Landin'!B21,'6 - RASA - Mosaic'!B21,'7 - RASA - Rockville'!B21)</f>
        <v>970.76</v>
      </c>
      <c r="C21" s="23">
        <f>IFERROR(B21/B148, "NA")</f>
        <v>0.005924248635</v>
      </c>
      <c r="D21" s="21">
        <f>SUM('4 - RASA - MVT'!D21,'5 - RASA - National Landin'!D21,'6 - RASA - Mosaic'!D21,'7 - RASA - Rockville'!D21)</f>
        <v>1051.45</v>
      </c>
      <c r="E21" s="23">
        <f>IFERROR(D21/D148, "NA")</f>
        <v>0.006962064249</v>
      </c>
      <c r="F21" s="21">
        <f>SUM('4 - RASA - MVT'!F21,'5 - RASA - National Landin'!F21,'6 - RASA - Mosaic'!F21,'7 - RASA - Rockville'!F21)</f>
        <v>910.13</v>
      </c>
      <c r="G21" s="23">
        <f>IFERROR(F21/F148, "NA")</f>
        <v>0.007674793112</v>
      </c>
      <c r="H21" s="21">
        <f>SUM('4 - RASA - MVT'!H21,'5 - RASA - National Landin'!H21,'6 - RASA - Mosaic'!H21,'7 - RASA - Rockville'!H21)</f>
        <v>435.35</v>
      </c>
      <c r="I21" s="23">
        <f>IFERROR(H21/H148, "NA")</f>
        <v>0.006851134533</v>
      </c>
      <c r="J21" s="21">
        <f>SUM('4 - RASA - MVT'!J21,'5 - RASA - National Landin'!J21,'6 - RASA - Mosaic'!J21,'7 - RASA - Rockville'!J21)</f>
        <v>-669.74</v>
      </c>
      <c r="K21" s="23">
        <f>IFERROR(J21/J148, "NA")</f>
        <v>-0.005631781837</v>
      </c>
      <c r="L21" s="21">
        <f>SUM('4 - RASA - MVT'!L21,'5 - RASA - National Landin'!L21,'6 - RASA - Mosaic'!L21,'7 - RASA - Rockville'!L21)</f>
        <v>2645.26</v>
      </c>
      <c r="M21" s="23">
        <f>IFERROR(L21/L148, "NA")</f>
        <v>0.02312393297</v>
      </c>
      <c r="N21" s="21">
        <f>SUM('4 - RASA - MVT'!N21,'5 - RASA - National Landin'!N21,'6 - RASA - Mosaic'!N21,'7 - RASA - Rockville'!N21)</f>
        <v>1020.21</v>
      </c>
      <c r="O21" s="23">
        <f>IFERROR(N21/N148, "NA")</f>
        <v>0.00996525674</v>
      </c>
      <c r="P21" s="21">
        <f>SUM('4 - RASA - MVT'!P21,'5 - RASA - National Landin'!P21,'6 - RASA - Mosaic'!P21,'7 - RASA - Rockville'!P21)</f>
        <v>385.66</v>
      </c>
      <c r="Q21" s="23">
        <f>IFERROR(P21/P148, "NA")</f>
        <v>0.007918179496</v>
      </c>
      <c r="R21" s="21">
        <f>SUM('4 - RASA - MVT'!R21,'5 - RASA - National Landin'!R21,'6 - RASA - Mosaic'!R21,'7 - RASA - Rockville'!R21)</f>
        <v>529.73</v>
      </c>
      <c r="S21" s="23">
        <f>IFERROR(R21/R148, "NA")</f>
        <v>0.008719291422</v>
      </c>
      <c r="T21" s="21">
        <f>SUM('4 - RASA - MVT'!T21,'5 - RASA - National Landin'!T21,'6 - RASA - Mosaic'!T21,'7 - RASA - Rockville'!T21)</f>
        <v>870.69</v>
      </c>
      <c r="U21" s="23">
        <f>IFERROR(T21/T148, "NA")</f>
        <v>0.009303260388</v>
      </c>
      <c r="V21" s="21">
        <f>SUM('4 - RASA - MVT'!V21,'5 - RASA - National Landin'!V21,'6 - RASA - Mosaic'!V21,'7 - RASA - Rockville'!V21)</f>
        <v>805.44</v>
      </c>
      <c r="W21" s="23">
        <f>IFERROR(V21/V148, "NA")</f>
        <v>0.007111623457</v>
      </c>
      <c r="X21" s="21">
        <f>SUM('4 - RASA - MVT'!X21,'5 - RASA - National Landin'!X21,'6 - RASA - Mosaic'!X21,'7 - RASA - Rockville'!X21)</f>
        <v>969.12</v>
      </c>
      <c r="Y21" s="23">
        <f>IFERROR(X21/X148, "NA")</f>
        <v>0.01010467944</v>
      </c>
      <c r="Z21" s="21">
        <f>SUM('4 - RASA - MVT'!Z21,'5 - RASA - National Landin'!Z21,'6 - RASA - Mosaic'!Z21,'7 - RASA - Rockville'!Z21)</f>
        <v>3174.98</v>
      </c>
      <c r="AA21" s="23">
        <f>IFERROR(Z21/Z148, "NA")</f>
        <v>0.008734267628</v>
      </c>
      <c r="AB21" s="28">
        <f t="shared" si="7"/>
        <v>793.745</v>
      </c>
      <c r="AC21" s="23">
        <f>IFERROR(AB21/AB148, "NA")</f>
        <v>0.008734267628</v>
      </c>
      <c r="AD21" s="29">
        <f t="shared" si="8"/>
        <v>175.375</v>
      </c>
      <c r="AE21" s="30">
        <f>IFERROR(AD21/AD148, "NA")</f>
        <v>0.03485936</v>
      </c>
      <c r="AF21" s="29">
        <f t="shared" si="9"/>
        <v>0.2209462737</v>
      </c>
      <c r="AG21" s="28">
        <f t="shared" si="10"/>
        <v>819.54625</v>
      </c>
      <c r="AH21" s="23">
        <f>IFERROR(AG21/AG148, "NA")</f>
        <v>0.008766288351</v>
      </c>
      <c r="AI21" s="29">
        <f t="shared" si="11"/>
        <v>149.57375</v>
      </c>
      <c r="AJ21" s="30">
        <f>IFERROR(AI21/AI148, "NA")</f>
        <v>0.06181646669</v>
      </c>
      <c r="AK21" s="29">
        <f t="shared" si="12"/>
        <v>0.1825080037</v>
      </c>
      <c r="AL21" s="30">
        <f>IFERROR(AK21/AK148, "NA")</f>
        <v>7.051612291</v>
      </c>
    </row>
    <row r="22" ht="16.5" hidden="1" customHeight="1">
      <c r="A22" s="19" t="s">
        <v>78</v>
      </c>
      <c r="B22" s="21">
        <f>SUM('4 - RASA - MVT'!B22,'5 - RASA - National Landin'!B22,'6 - RASA - Mosaic'!B22,'7 - RASA - Rockville'!B22)</f>
        <v>0</v>
      </c>
      <c r="C22" s="23">
        <f>IFERROR(B22/B148, "NA")</f>
        <v>0</v>
      </c>
      <c r="D22" s="21">
        <f>SUM('4 - RASA - MVT'!D22,'5 - RASA - National Landin'!D22,'6 - RASA - Mosaic'!D22,'7 - RASA - Rockville'!D22)</f>
        <v>0</v>
      </c>
      <c r="E22" s="23">
        <f>IFERROR(D22/D148, "NA")</f>
        <v>0</v>
      </c>
      <c r="F22" s="21">
        <f>SUM('4 - RASA - MVT'!F22,'5 - RASA - National Landin'!F22,'6 - RASA - Mosaic'!F22,'7 - RASA - Rockville'!F22)</f>
        <v>0</v>
      </c>
      <c r="G22" s="23">
        <f>IFERROR(F22/F148, "NA")</f>
        <v>0</v>
      </c>
      <c r="H22" s="21">
        <f>SUM('4 - RASA - MVT'!H22,'5 - RASA - National Landin'!H22,'6 - RASA - Mosaic'!H22,'7 - RASA - Rockville'!H22)</f>
        <v>0</v>
      </c>
      <c r="I22" s="23">
        <f>IFERROR(H22/H148, "NA")</f>
        <v>0</v>
      </c>
      <c r="J22" s="21">
        <f>SUM('4 - RASA - MVT'!J22,'5 - RASA - National Landin'!J22,'6 - RASA - Mosaic'!J22,'7 - RASA - Rockville'!J22)</f>
        <v>0</v>
      </c>
      <c r="K22" s="23">
        <f>IFERROR(J22/J148, "NA")</f>
        <v>0</v>
      </c>
      <c r="L22" s="21">
        <f>SUM('4 - RASA - MVT'!L22,'5 - RASA - National Landin'!L22,'6 - RASA - Mosaic'!L22,'7 - RASA - Rockville'!L22)</f>
        <v>0</v>
      </c>
      <c r="M22" s="23">
        <f>IFERROR(L22/L148, "NA")</f>
        <v>0</v>
      </c>
      <c r="N22" s="21">
        <f>SUM('4 - RASA - MVT'!N22,'5 - RASA - National Landin'!N22,'6 - RASA - Mosaic'!N22,'7 - RASA - Rockville'!N22)</f>
        <v>0</v>
      </c>
      <c r="O22" s="23">
        <f>IFERROR(N22/N148, "NA")</f>
        <v>0</v>
      </c>
      <c r="P22" s="21">
        <f>SUM('4 - RASA - MVT'!P22,'5 - RASA - National Landin'!P22,'6 - RASA - Mosaic'!P22,'7 - RASA - Rockville'!P22)</f>
        <v>0</v>
      </c>
      <c r="Q22" s="23">
        <f>IFERROR(P22/P148, "NA")</f>
        <v>0</v>
      </c>
      <c r="R22" s="21">
        <f>SUM('4 - RASA - MVT'!R22,'5 - RASA - National Landin'!R22,'6 - RASA - Mosaic'!R22,'7 - RASA - Rockville'!R22)</f>
        <v>0</v>
      </c>
      <c r="S22" s="23">
        <f>IFERROR(R22/R148, "NA")</f>
        <v>0</v>
      </c>
      <c r="T22" s="21">
        <f>SUM('4 - RASA - MVT'!T22,'5 - RASA - National Landin'!T22,'6 - RASA - Mosaic'!T22,'7 - RASA - Rockville'!T22)</f>
        <v>0</v>
      </c>
      <c r="U22" s="23">
        <f>IFERROR(T22/T148, "NA")</f>
        <v>0</v>
      </c>
      <c r="V22" s="21">
        <f>SUM('4 - RASA - MVT'!V22,'5 - RASA - National Landin'!V22,'6 - RASA - Mosaic'!V22,'7 - RASA - Rockville'!V22)</f>
        <v>0</v>
      </c>
      <c r="W22" s="23">
        <f>IFERROR(V22/V148, "NA")</f>
        <v>0</v>
      </c>
      <c r="X22" s="21">
        <f>SUM('4 - RASA - MVT'!X22,'5 - RASA - National Landin'!X22,'6 - RASA - Mosaic'!X22,'7 - RASA - Rockville'!X22)</f>
        <v>0</v>
      </c>
      <c r="Y22" s="23">
        <f>IFERROR(X22/X148, "NA")</f>
        <v>0</v>
      </c>
      <c r="Z22" s="21">
        <f>SUM('4 - RASA - MVT'!Z22,'5 - RASA - National Landin'!Z22,'6 - RASA - Mosaic'!Z22,'7 - RASA - Rockville'!Z22)</f>
        <v>0</v>
      </c>
      <c r="AA22" s="23">
        <f>IFERROR(Z22/Z148, "NA")</f>
        <v>0</v>
      </c>
      <c r="AB22" s="28">
        <f t="shared" si="7"/>
        <v>0</v>
      </c>
      <c r="AC22" s="23">
        <f>IFERROR(AB22/AB148, "NA")</f>
        <v>0</v>
      </c>
      <c r="AD22" s="29">
        <f t="shared" si="8"/>
        <v>0</v>
      </c>
      <c r="AE22" s="30">
        <f>IFERROR(AD22/AD148, "NA")</f>
        <v>0</v>
      </c>
      <c r="AF22" s="29" t="str">
        <f t="shared" si="9"/>
        <v>NA</v>
      </c>
      <c r="AG22" s="28">
        <f t="shared" si="10"/>
        <v>0</v>
      </c>
      <c r="AH22" s="23">
        <f>IFERROR(AG22/AG148, "NA")</f>
        <v>0</v>
      </c>
      <c r="AI22" s="29">
        <f t="shared" si="11"/>
        <v>0</v>
      </c>
      <c r="AJ22" s="30">
        <f>IFERROR(AI22/AI148, "NA")</f>
        <v>0</v>
      </c>
      <c r="AK22" s="29" t="str">
        <f t="shared" si="12"/>
        <v>NA</v>
      </c>
      <c r="AL22" s="30" t="str">
        <f>IFERROR(AK22/AK148, "NA")</f>
        <v>NA</v>
      </c>
    </row>
    <row r="23" ht="16.5" customHeight="1">
      <c r="A23" s="19" t="s">
        <v>79</v>
      </c>
      <c r="B23" s="21">
        <f>SUM('4 - RASA - MVT'!B23,'5 - RASA - National Landin'!B23,'6 - RASA - Mosaic'!B23,'7 - RASA - Rockville'!B23)</f>
        <v>95.62</v>
      </c>
      <c r="C23" s="23">
        <f>IFERROR(B23/B148, "NA")</f>
        <v>0.0005835393449</v>
      </c>
      <c r="D23" s="21">
        <f>SUM('4 - RASA - MVT'!D23,'5 - RASA - National Landin'!D23,'6 - RASA - Mosaic'!D23,'7 - RASA - Rockville'!D23)</f>
        <v>693.88</v>
      </c>
      <c r="E23" s="23">
        <f>IFERROR(D23/D148, "NA")</f>
        <v>0.004594452557</v>
      </c>
      <c r="F23" s="21">
        <f>SUM('4 - RASA - MVT'!F23,'5 - RASA - National Landin'!F23,'6 - RASA - Mosaic'!F23,'7 - RASA - Rockville'!F23)</f>
        <v>363.68</v>
      </c>
      <c r="G23" s="23">
        <f>IFERROR(F23/F148, "NA")</f>
        <v>0.003066780305</v>
      </c>
      <c r="H23" s="21">
        <f>SUM('4 - RASA - MVT'!H23,'5 - RASA - National Landin'!H23,'6 - RASA - Mosaic'!H23,'7 - RASA - Rockville'!H23)</f>
        <v>463.54</v>
      </c>
      <c r="I23" s="23">
        <f>IFERROR(H23/H148, "NA")</f>
        <v>0.007294762608</v>
      </c>
      <c r="J23" s="21">
        <f>SUM('4 - RASA - MVT'!J23,'5 - RASA - National Landin'!J23,'6 - RASA - Mosaic'!J23,'7 - RASA - Rockville'!J23)</f>
        <v>569.52</v>
      </c>
      <c r="K23" s="23">
        <f>IFERROR(J23/J148, "NA")</f>
        <v>0.004789041108</v>
      </c>
      <c r="L23" s="21">
        <f>SUM('4 - RASA - MVT'!L23,'5 - RASA - National Landin'!L23,'6 - RASA - Mosaic'!L23,'7 - RASA - Rockville'!L23)</f>
        <v>292.75</v>
      </c>
      <c r="M23" s="23">
        <f>IFERROR(L23/L148, "NA")</f>
        <v>0.002559117583</v>
      </c>
      <c r="N23" s="21">
        <f>SUM('4 - RASA - MVT'!N23,'5 - RASA - National Landin'!N23,'6 - RASA - Mosaic'!N23,'7 - RASA - Rockville'!N23)</f>
        <v>710.21</v>
      </c>
      <c r="O23" s="23">
        <f>IFERROR(N23/N148, "NA")</f>
        <v>0.006937223698</v>
      </c>
      <c r="P23" s="21">
        <f>SUM('4 - RASA - MVT'!P23,'5 - RASA - National Landin'!P23,'6 - RASA - Mosaic'!P23,'7 - RASA - Rockville'!P23)</f>
        <v>189.99</v>
      </c>
      <c r="Q23" s="23">
        <f>IFERROR(P23/P148, "NA")</f>
        <v>0.003900780279</v>
      </c>
      <c r="R23" s="21">
        <f>SUM('4 - RASA - MVT'!R23,'5 - RASA - National Landin'!R23,'6 - RASA - Mosaic'!R23,'7 - RASA - Rockville'!R23)</f>
        <v>599.51</v>
      </c>
      <c r="S23" s="23">
        <f>IFERROR(R23/R148, "NA")</f>
        <v>0.009867861742</v>
      </c>
      <c r="T23" s="21">
        <f>SUM('4 - RASA - MVT'!T23,'5 - RASA - National Landin'!T23,'6 - RASA - Mosaic'!T23,'7 - RASA - Rockville'!T23)</f>
        <v>409.41</v>
      </c>
      <c r="U23" s="23">
        <f>IFERROR(T23/T148, "NA")</f>
        <v>0.004374516574</v>
      </c>
      <c r="V23" s="21">
        <f>SUM('4 - RASA - MVT'!V23,'5 - RASA - National Landin'!V23,'6 - RASA - Mosaic'!V23,'7 - RASA - Rockville'!V23)</f>
        <v>596.54</v>
      </c>
      <c r="W23" s="23">
        <f>IFERROR(V23/V148, "NA")</f>
        <v>0.005267143247</v>
      </c>
      <c r="X23" s="21">
        <f>SUM('4 - RASA - MVT'!X23,'5 - RASA - National Landin'!X23,'6 - RASA - Mosaic'!X23,'7 - RASA - Rockville'!X23)</f>
        <v>434.21</v>
      </c>
      <c r="Y23" s="23">
        <f>IFERROR(X23/X148, "NA")</f>
        <v>0.004527357665</v>
      </c>
      <c r="Z23" s="21">
        <f>SUM('4 - RASA - MVT'!Z23,'5 - RASA - National Landin'!Z23,'6 - RASA - Mosaic'!Z23,'7 - RASA - Rockville'!Z23)</f>
        <v>2039.67</v>
      </c>
      <c r="AA23" s="23">
        <f>IFERROR(Z23/Z148, "NA")</f>
        <v>0.005611066417</v>
      </c>
      <c r="AB23" s="28">
        <f t="shared" si="7"/>
        <v>509.9175</v>
      </c>
      <c r="AC23" s="23">
        <f>IFERROR(AB23/AB148, "NA")</f>
        <v>0.005611066417</v>
      </c>
      <c r="AD23" s="29">
        <f t="shared" si="8"/>
        <v>-75.7075</v>
      </c>
      <c r="AE23" s="30">
        <f>IFERROR(AD23/AD148, "NA")</f>
        <v>-0.01504841053</v>
      </c>
      <c r="AF23" s="29">
        <f t="shared" si="9"/>
        <v>-0.1484700957</v>
      </c>
      <c r="AG23" s="28">
        <f t="shared" si="10"/>
        <v>475.2675</v>
      </c>
      <c r="AH23" s="23">
        <f>IFERROR(AG23/AG148, "NA")</f>
        <v>0.005083705708</v>
      </c>
      <c r="AI23" s="29">
        <f t="shared" si="11"/>
        <v>-41.0575</v>
      </c>
      <c r="AJ23" s="30">
        <f>IFERROR(AI23/AI148, "NA")</f>
        <v>-0.01696841579</v>
      </c>
      <c r="AK23" s="29">
        <f t="shared" si="12"/>
        <v>-0.08638819191</v>
      </c>
      <c r="AL23" s="30">
        <f>IFERROR(AK23/AK148, "NA")</f>
        <v>-3.3378045</v>
      </c>
    </row>
    <row r="24" ht="16.5" customHeight="1">
      <c r="A24" s="19" t="s">
        <v>80</v>
      </c>
      <c r="B24" s="21">
        <f>SUM('4 - RASA - MVT'!B24,'5 - RASA - National Landin'!B24,'6 - RASA - Mosaic'!B24,'7 - RASA - Rockville'!B24)</f>
        <v>11777.48</v>
      </c>
      <c r="C24" s="23">
        <f>IFERROR(B24/B148, "NA")</f>
        <v>0.07187432508</v>
      </c>
      <c r="D24" s="21">
        <f>SUM('4 - RASA - MVT'!D24,'5 - RASA - National Landin'!D24,'6 - RASA - Mosaic'!D24,'7 - RASA - Rockville'!D24)</f>
        <v>11075.49</v>
      </c>
      <c r="E24" s="23">
        <f>IFERROR(D24/D148, "NA")</f>
        <v>0.07333517805</v>
      </c>
      <c r="F24" s="21">
        <f>SUM('4 - RASA - MVT'!F24,'5 - RASA - National Landin'!F24,'6 - RASA - Mosaic'!F24,'7 - RASA - Rockville'!F24)</f>
        <v>8922.35</v>
      </c>
      <c r="G24" s="23">
        <f>IFERROR(F24/F148, "NA")</f>
        <v>0.07523891128</v>
      </c>
      <c r="H24" s="21">
        <f>SUM('4 - RASA - MVT'!H24,'5 - RASA - National Landin'!H24,'6 - RASA - Mosaic'!H24,'7 - RASA - Rockville'!H24)</f>
        <v>4647.15</v>
      </c>
      <c r="I24" s="23">
        <f>IFERROR(H24/H148, "NA")</f>
        <v>0.07313253668</v>
      </c>
      <c r="J24" s="21">
        <f>SUM('4 - RASA - MVT'!J24,'5 - RASA - National Landin'!J24,'6 - RASA - Mosaic'!J24,'7 - RASA - Rockville'!J24)</f>
        <v>8894.06</v>
      </c>
      <c r="K24" s="23">
        <f>IFERROR(J24/J148, "NA")</f>
        <v>0.07478932953</v>
      </c>
      <c r="L24" s="21">
        <f>SUM('4 - RASA - MVT'!L24,'5 - RASA - National Landin'!L24,'6 - RASA - Mosaic'!L24,'7 - RASA - Rockville'!L24)</f>
        <v>7946.8</v>
      </c>
      <c r="M24" s="23">
        <f>IFERROR(L24/L148, "NA")</f>
        <v>0.06946813188</v>
      </c>
      <c r="N24" s="21">
        <f>SUM('4 - RASA - MVT'!N24,'5 - RASA - National Landin'!N24,'6 - RASA - Mosaic'!N24,'7 - RASA - Rockville'!N24)</f>
        <v>7596.44</v>
      </c>
      <c r="O24" s="23">
        <f>IFERROR(N24/N148, "NA")</f>
        <v>0.07420087522</v>
      </c>
      <c r="P24" s="21">
        <f>SUM('4 - RASA - MVT'!P24,'5 - RASA - National Landin'!P24,'6 - RASA - Mosaic'!P24,'7 - RASA - Rockville'!P24)</f>
        <v>4249.28</v>
      </c>
      <c r="Q24" s="23">
        <f>IFERROR(P24/P148, "NA")</f>
        <v>0.08724410561</v>
      </c>
      <c r="R24" s="21">
        <f>SUM('4 - RASA - MVT'!R24,'5 - RASA - National Landin'!R24,'6 - RASA - Mosaic'!R24,'7 - RASA - Rockville'!R24)</f>
        <v>5399.23</v>
      </c>
      <c r="S24" s="23">
        <f>IFERROR(R24/R148, "NA")</f>
        <v>0.08887066963</v>
      </c>
      <c r="T24" s="21">
        <f>SUM('4 - RASA - MVT'!T24,'5 - RASA - National Landin'!T24,'6 - RASA - Mosaic'!T24,'7 - RASA - Rockville'!T24)</f>
        <v>6476.67</v>
      </c>
      <c r="U24" s="23">
        <f>IFERROR(T24/T148, "NA")</f>
        <v>0.06920275581</v>
      </c>
      <c r="V24" s="21">
        <f>SUM('4 - RASA - MVT'!V24,'5 - RASA - National Landin'!V24,'6 - RASA - Mosaic'!V24,'7 - RASA - Rockville'!V24)</f>
        <v>8575.45</v>
      </c>
      <c r="W24" s="23">
        <f>IFERROR(V24/V148, "NA")</f>
        <v>0.07571683971</v>
      </c>
      <c r="X24" s="21">
        <f>SUM('4 - RASA - MVT'!X24,'5 - RASA - National Landin'!X24,'6 - RASA - Mosaic'!X24,'7 - RASA - Rockville'!X24)</f>
        <v>6393.01</v>
      </c>
      <c r="Y24" s="23">
        <f>IFERROR(X24/X148, "NA")</f>
        <v>0.06665770669</v>
      </c>
      <c r="Z24" s="21">
        <f>SUM('4 - RASA - MVT'!Z24,'5 - RASA - National Landin'!Z24,'6 - RASA - Mosaic'!Z24,'7 - RASA - Rockville'!Z24)</f>
        <v>26844.36</v>
      </c>
      <c r="AA24" s="23">
        <f>IFERROR(Z24/Z148, "NA")</f>
        <v>0.07384796898</v>
      </c>
      <c r="AB24" s="28">
        <f t="shared" si="7"/>
        <v>6711.09</v>
      </c>
      <c r="AC24" s="23">
        <f>IFERROR(AB24/AB148, "NA")</f>
        <v>0.07384796898</v>
      </c>
      <c r="AD24" s="29">
        <f t="shared" si="8"/>
        <v>-318.08</v>
      </c>
      <c r="AE24" s="30">
        <f>IFERROR(AD24/AD148, "NA")</f>
        <v>-0.06322489083</v>
      </c>
      <c r="AF24" s="29">
        <f t="shared" si="9"/>
        <v>-0.04739617558</v>
      </c>
      <c r="AG24" s="28">
        <f t="shared" si="10"/>
        <v>6941.3675</v>
      </c>
      <c r="AH24" s="23">
        <f>IFERROR(AG24/AG148, "NA")</f>
        <v>0.07424843816</v>
      </c>
      <c r="AI24" s="29">
        <f t="shared" si="11"/>
        <v>-548.3575</v>
      </c>
      <c r="AJ24" s="30">
        <f>IFERROR(AI24/AI148, "NA")</f>
        <v>-0.2266274873</v>
      </c>
      <c r="AK24" s="29">
        <f t="shared" si="12"/>
        <v>-0.07899848265</v>
      </c>
      <c r="AL24" s="30">
        <f>IFERROR(AK24/AK148, "NA")</f>
        <v>-3.052286256</v>
      </c>
    </row>
    <row r="25" ht="16.5" hidden="1" customHeight="1">
      <c r="A25" s="19" t="s">
        <v>81</v>
      </c>
      <c r="B25" s="21">
        <f>SUM('4 - RASA - MVT'!B25,'5 - RASA - National Landin'!B25,'6 - RASA - Mosaic'!B25,'7 - RASA - Rockville'!B25)</f>
        <v>0</v>
      </c>
      <c r="C25" s="23">
        <f>IFERROR(B25/B148, "NA")</f>
        <v>0</v>
      </c>
      <c r="D25" s="21">
        <f>SUM('4 - RASA - MVT'!D25,'5 - RASA - National Landin'!D25,'6 - RASA - Mosaic'!D25,'7 - RASA - Rockville'!D25)</f>
        <v>0</v>
      </c>
      <c r="E25" s="23">
        <f>IFERROR(D25/D148, "NA")</f>
        <v>0</v>
      </c>
      <c r="F25" s="21">
        <f>SUM('4 - RASA - MVT'!F25,'5 - RASA - National Landin'!F25,'6 - RASA - Mosaic'!F25,'7 - RASA - Rockville'!F25)</f>
        <v>0</v>
      </c>
      <c r="G25" s="23">
        <f>IFERROR(F25/F148, "NA")</f>
        <v>0</v>
      </c>
      <c r="H25" s="21">
        <f>SUM('4 - RASA - MVT'!H25,'5 - RASA - National Landin'!H25,'6 - RASA - Mosaic'!H25,'7 - RASA - Rockville'!H25)</f>
        <v>0</v>
      </c>
      <c r="I25" s="23">
        <f>IFERROR(H25/H148, "NA")</f>
        <v>0</v>
      </c>
      <c r="J25" s="21">
        <f>SUM('4 - RASA - MVT'!J25,'5 - RASA - National Landin'!J25,'6 - RASA - Mosaic'!J25,'7 - RASA - Rockville'!J25)</f>
        <v>0</v>
      </c>
      <c r="K25" s="23">
        <f>IFERROR(J25/J148, "NA")</f>
        <v>0</v>
      </c>
      <c r="L25" s="21">
        <f>SUM('4 - RASA - MVT'!L25,'5 - RASA - National Landin'!L25,'6 - RASA - Mosaic'!L25,'7 - RASA - Rockville'!L25)</f>
        <v>0</v>
      </c>
      <c r="M25" s="23">
        <f>IFERROR(L25/L148, "NA")</f>
        <v>0</v>
      </c>
      <c r="N25" s="21">
        <f>SUM('4 - RASA - MVT'!N25,'5 - RASA - National Landin'!N25,'6 - RASA - Mosaic'!N25,'7 - RASA - Rockville'!N25)</f>
        <v>0</v>
      </c>
      <c r="O25" s="23">
        <f>IFERROR(N25/N148, "NA")</f>
        <v>0</v>
      </c>
      <c r="P25" s="21">
        <f>SUM('4 - RASA - MVT'!P25,'5 - RASA - National Landin'!P25,'6 - RASA - Mosaic'!P25,'7 - RASA - Rockville'!P25)</f>
        <v>0</v>
      </c>
      <c r="Q25" s="23">
        <f>IFERROR(P25/P148, "NA")</f>
        <v>0</v>
      </c>
      <c r="R25" s="21">
        <f>SUM('4 - RASA - MVT'!R25,'5 - RASA - National Landin'!R25,'6 - RASA - Mosaic'!R25,'7 - RASA - Rockville'!R25)</f>
        <v>0</v>
      </c>
      <c r="S25" s="23">
        <f>IFERROR(R25/R148, "NA")</f>
        <v>0</v>
      </c>
      <c r="T25" s="21">
        <f>SUM('4 - RASA - MVT'!T25,'5 - RASA - National Landin'!T25,'6 - RASA - Mosaic'!T25,'7 - RASA - Rockville'!T25)</f>
        <v>0</v>
      </c>
      <c r="U25" s="23">
        <f>IFERROR(T25/T148, "NA")</f>
        <v>0</v>
      </c>
      <c r="V25" s="21">
        <f>SUM('4 - RASA - MVT'!V25,'5 - RASA - National Landin'!V25,'6 - RASA - Mosaic'!V25,'7 - RASA - Rockville'!V25)</f>
        <v>0</v>
      </c>
      <c r="W25" s="23">
        <f>IFERROR(V25/V148, "NA")</f>
        <v>0</v>
      </c>
      <c r="X25" s="21">
        <f>SUM('4 - RASA - MVT'!X25,'5 - RASA - National Landin'!X25,'6 - RASA - Mosaic'!X25,'7 - RASA - Rockville'!X25)</f>
        <v>0</v>
      </c>
      <c r="Y25" s="23">
        <f>IFERROR(X25/X148, "NA")</f>
        <v>0</v>
      </c>
      <c r="Z25" s="21">
        <f>SUM('4 - RASA - MVT'!Z25,'5 - RASA - National Landin'!Z25,'6 - RASA - Mosaic'!Z25,'7 - RASA - Rockville'!Z25)</f>
        <v>0</v>
      </c>
      <c r="AA25" s="23">
        <f>IFERROR(Z25/Z148, "NA")</f>
        <v>0</v>
      </c>
      <c r="AB25" s="28">
        <f t="shared" si="7"/>
        <v>0</v>
      </c>
      <c r="AC25" s="23">
        <f>IFERROR(AB25/AB148, "NA")</f>
        <v>0</v>
      </c>
      <c r="AD25" s="29">
        <f t="shared" si="8"/>
        <v>0</v>
      </c>
      <c r="AE25" s="30">
        <f>IFERROR(AD25/AD148, "NA")</f>
        <v>0</v>
      </c>
      <c r="AF25" s="29" t="str">
        <f t="shared" si="9"/>
        <v>NA</v>
      </c>
      <c r="AG25" s="28">
        <f t="shared" si="10"/>
        <v>0</v>
      </c>
      <c r="AH25" s="23">
        <f>IFERROR(AG25/AG148, "NA")</f>
        <v>0</v>
      </c>
      <c r="AI25" s="29">
        <f t="shared" si="11"/>
        <v>0</v>
      </c>
      <c r="AJ25" s="30">
        <f>IFERROR(AI25/AI148, "NA")</f>
        <v>0</v>
      </c>
      <c r="AK25" s="29" t="str">
        <f t="shared" si="12"/>
        <v>NA</v>
      </c>
      <c r="AL25" s="30" t="str">
        <f>IFERROR(AK25/AK148, "NA")</f>
        <v>NA</v>
      </c>
    </row>
    <row r="26" ht="16.5" hidden="1" customHeight="1">
      <c r="A26" s="19" t="s">
        <v>84</v>
      </c>
      <c r="B26" s="21">
        <f>SUM('4 - RASA - MVT'!B26,'5 - RASA - National Landin'!B26,'6 - RASA - Mosaic'!B26,'7 - RASA - Rockville'!B26)</f>
        <v>0</v>
      </c>
      <c r="C26" s="23">
        <f>IFERROR(B26/B148, "NA")</f>
        <v>0</v>
      </c>
      <c r="D26" s="21">
        <f>SUM('4 - RASA - MVT'!D26,'5 - RASA - National Landin'!D26,'6 - RASA - Mosaic'!D26,'7 - RASA - Rockville'!D26)</f>
        <v>0</v>
      </c>
      <c r="E26" s="23">
        <f>IFERROR(D26/D148, "NA")</f>
        <v>0</v>
      </c>
      <c r="F26" s="21">
        <f>SUM('4 - RASA - MVT'!F26,'5 - RASA - National Landin'!F26,'6 - RASA - Mosaic'!F26,'7 - RASA - Rockville'!F26)</f>
        <v>0</v>
      </c>
      <c r="G26" s="23">
        <f>IFERROR(F26/F148, "NA")</f>
        <v>0</v>
      </c>
      <c r="H26" s="21">
        <f>SUM('4 - RASA - MVT'!H26,'5 - RASA - National Landin'!H26,'6 - RASA - Mosaic'!H26,'7 - RASA - Rockville'!H26)</f>
        <v>0</v>
      </c>
      <c r="I26" s="23">
        <f>IFERROR(H26/H148, "NA")</f>
        <v>0</v>
      </c>
      <c r="J26" s="21">
        <f>SUM('4 - RASA - MVT'!J26,'5 - RASA - National Landin'!J26,'6 - RASA - Mosaic'!J26,'7 - RASA - Rockville'!J26)</f>
        <v>0</v>
      </c>
      <c r="K26" s="23">
        <f>IFERROR(J26/J148, "NA")</f>
        <v>0</v>
      </c>
      <c r="L26" s="21">
        <f>SUM('4 - RASA - MVT'!L26,'5 - RASA - National Landin'!L26,'6 - RASA - Mosaic'!L26,'7 - RASA - Rockville'!L26)</f>
        <v>0</v>
      </c>
      <c r="M26" s="23">
        <f>IFERROR(L26/L148, "NA")</f>
        <v>0</v>
      </c>
      <c r="N26" s="21">
        <f>SUM('4 - RASA - MVT'!N26,'5 - RASA - National Landin'!N26,'6 - RASA - Mosaic'!N26,'7 - RASA - Rockville'!N26)</f>
        <v>0</v>
      </c>
      <c r="O26" s="23">
        <f>IFERROR(N26/N148, "NA")</f>
        <v>0</v>
      </c>
      <c r="P26" s="21">
        <f>SUM('4 - RASA - MVT'!P26,'5 - RASA - National Landin'!P26,'6 - RASA - Mosaic'!P26,'7 - RASA - Rockville'!P26)</f>
        <v>0</v>
      </c>
      <c r="Q26" s="23">
        <f>IFERROR(P26/P148, "NA")</f>
        <v>0</v>
      </c>
      <c r="R26" s="21">
        <f>SUM('4 - RASA - MVT'!R26,'5 - RASA - National Landin'!R26,'6 - RASA - Mosaic'!R26,'7 - RASA - Rockville'!R26)</f>
        <v>0</v>
      </c>
      <c r="S26" s="23">
        <f>IFERROR(R26/R148, "NA")</f>
        <v>0</v>
      </c>
      <c r="T26" s="21">
        <f>SUM('4 - RASA - MVT'!T26,'5 - RASA - National Landin'!T26,'6 - RASA - Mosaic'!T26,'7 - RASA - Rockville'!T26)</f>
        <v>0</v>
      </c>
      <c r="U26" s="23">
        <f>IFERROR(T26/T148, "NA")</f>
        <v>0</v>
      </c>
      <c r="V26" s="21">
        <f>SUM('4 - RASA - MVT'!V26,'5 - RASA - National Landin'!V26,'6 - RASA - Mosaic'!V26,'7 - RASA - Rockville'!V26)</f>
        <v>0</v>
      </c>
      <c r="W26" s="23">
        <f>IFERROR(V26/V148, "NA")</f>
        <v>0</v>
      </c>
      <c r="X26" s="21">
        <f>SUM('4 - RASA - MVT'!X26,'5 - RASA - National Landin'!X26,'6 - RASA - Mosaic'!X26,'7 - RASA - Rockville'!X26)</f>
        <v>0</v>
      </c>
      <c r="Y26" s="23">
        <f>IFERROR(X26/X148, "NA")</f>
        <v>0</v>
      </c>
      <c r="Z26" s="21">
        <f>SUM('4 - RASA - MVT'!Z26,'5 - RASA - National Landin'!Z26,'6 - RASA - Mosaic'!Z26,'7 - RASA - Rockville'!Z26)</f>
        <v>0</v>
      </c>
      <c r="AA26" s="23">
        <f>IFERROR(Z26/Z148, "NA")</f>
        <v>0</v>
      </c>
      <c r="AB26" s="28">
        <f t="shared" si="7"/>
        <v>0</v>
      </c>
      <c r="AC26" s="23">
        <f>IFERROR(AB26/AB148, "NA")</f>
        <v>0</v>
      </c>
      <c r="AD26" s="29">
        <f t="shared" si="8"/>
        <v>0</v>
      </c>
      <c r="AE26" s="30">
        <f>IFERROR(AD26/AD148, "NA")</f>
        <v>0</v>
      </c>
      <c r="AF26" s="29" t="str">
        <f t="shared" si="9"/>
        <v>NA</v>
      </c>
      <c r="AG26" s="28">
        <f t="shared" si="10"/>
        <v>0</v>
      </c>
      <c r="AH26" s="23">
        <f>IFERROR(AG26/AG148, "NA")</f>
        <v>0</v>
      </c>
      <c r="AI26" s="29">
        <f t="shared" si="11"/>
        <v>0</v>
      </c>
      <c r="AJ26" s="30">
        <f>IFERROR(AI26/AI148, "NA")</f>
        <v>0</v>
      </c>
      <c r="AK26" s="29" t="str">
        <f t="shared" si="12"/>
        <v>NA</v>
      </c>
      <c r="AL26" s="30" t="str">
        <f>IFERROR(AK26/AK148, "NA")</f>
        <v>NA</v>
      </c>
    </row>
    <row r="27" ht="16.5" customHeight="1">
      <c r="A27" s="65" t="s">
        <v>85</v>
      </c>
      <c r="B27" s="66">
        <f>IFERROR(B15+B16+B17+B18+B19+B20+B21+B22+B23+B24+B25+B26, "NA")</f>
        <v>34377.4</v>
      </c>
      <c r="C27" s="67">
        <f>IFERROR(B27/B148, "NA")</f>
        <v>0.2097946609</v>
      </c>
      <c r="D27" s="66">
        <f>IFERROR(D15+D16+D17+D18+D19+D20+D21+D22+D23+D24+D25+D26, "NA")</f>
        <v>32332.88</v>
      </c>
      <c r="E27" s="67">
        <f>IFERROR(D27/D148, "NA")</f>
        <v>0.2140887231</v>
      </c>
      <c r="F27" s="66">
        <f>IFERROR(F15+F16+F17+F18+F19+F20+F21+F22+F23+F24+F25+F26, "NA")</f>
        <v>24436.99</v>
      </c>
      <c r="G27" s="67">
        <f>IFERROR(F27/F148, "NA")</f>
        <v>0.2060681908</v>
      </c>
      <c r="H27" s="66">
        <f>IFERROR(H15+H16+H17+H18+H19+H20+H21+H22+H23+H24+H25+H26, "NA")</f>
        <v>17438.73</v>
      </c>
      <c r="I27" s="67">
        <f>IFERROR(H27/H148, "NA")</f>
        <v>0.2744345591</v>
      </c>
      <c r="J27" s="66">
        <f>IFERROR(J15+J16+J17+J18+J19+J20+J21+J22+J23+J24+J25+J26, "NA")</f>
        <v>26169.36</v>
      </c>
      <c r="K27" s="67">
        <f>IFERROR(J27/J148, "NA")</f>
        <v>0.2200557326</v>
      </c>
      <c r="L27" s="66">
        <f>IFERROR(L15+L16+L17+L18+L19+L20+L21+L22+L23+L24+L25+L26, "NA")</f>
        <v>27346.98</v>
      </c>
      <c r="M27" s="67">
        <f>IFERROR(L27/L148, "NA")</f>
        <v>0.2390576853</v>
      </c>
      <c r="N27" s="66">
        <f>IFERROR(N15+N16+N17+N18+N19+N20+N21+N22+N23+N24+N25+N26, "NA")</f>
        <v>24052.17</v>
      </c>
      <c r="O27" s="67">
        <f>IFERROR(N27/N148, "NA")</f>
        <v>0.2349379532</v>
      </c>
      <c r="P27" s="66">
        <f>IFERROR(P15+P16+P17+P18+P19+P20+P21+P22+P23+P24+P25+P26, "NA")</f>
        <v>11795.4</v>
      </c>
      <c r="Q27" s="67">
        <f>IFERROR(P27/P148, "NA")</f>
        <v>0.242177292</v>
      </c>
      <c r="R27" s="66">
        <f>IFERROR(R15+R16+R17+R18+R19+R20+R21+R22+R23+R24+R25+R26, "NA")</f>
        <v>16337.71</v>
      </c>
      <c r="S27" s="67">
        <f>IFERROR(R27/R148, "NA")</f>
        <v>0.2689167211</v>
      </c>
      <c r="T27" s="66">
        <f>IFERROR(T15+T16+T17+T18+T19+T20+T21+T22+T23+T24+T25+T26, "NA")</f>
        <v>21531.23</v>
      </c>
      <c r="U27" s="67">
        <f>IFERROR(T27/T148, "NA")</f>
        <v>0.2300596529</v>
      </c>
      <c r="V27" s="66">
        <f>IFERROR(V15+V16+V17+V18+V19+V20+V21+V22+V23+V24+V25+V26, "NA")</f>
        <v>26434.88</v>
      </c>
      <c r="W27" s="67">
        <f>IFERROR(V27/V148, "NA")</f>
        <v>0.2334064768</v>
      </c>
      <c r="X27" s="66">
        <f>IFERROR(X15+X16+X17+X18+X19+X20+X21+X22+X23+X24+X25+X26, "NA")</f>
        <v>20908.5</v>
      </c>
      <c r="Y27" s="67">
        <f>IFERROR(X27/X148, "NA")</f>
        <v>0.2180057063</v>
      </c>
      <c r="Z27" s="66">
        <f>IFERROR(Z15+Z16+Z17+Z18+Z19+Z20+Z21+Z22+Z23+Z24+Z25+Z26, "NA")</f>
        <v>85212.32</v>
      </c>
      <c r="AA27" s="67">
        <f>IFERROR(Z27/Z148, "NA")</f>
        <v>0.2344163453</v>
      </c>
      <c r="AB27" s="66">
        <f t="shared" si="7"/>
        <v>21303.08</v>
      </c>
      <c r="AC27" s="67">
        <f>IFERROR(AB27/AB148, "NA")</f>
        <v>0.2344163453</v>
      </c>
      <c r="AD27" s="75">
        <f t="shared" si="8"/>
        <v>-394.58</v>
      </c>
      <c r="AE27" s="76">
        <f>IFERROR(AD27/AD148, "NA")</f>
        <v>-0.0784308269</v>
      </c>
      <c r="AF27" s="75">
        <f t="shared" si="9"/>
        <v>-0.0185222043</v>
      </c>
      <c r="AG27" s="66">
        <f t="shared" si="10"/>
        <v>21822.02875</v>
      </c>
      <c r="AH27" s="67">
        <f>IFERROR(AG27/AG148, "NA")</f>
        <v>0.2334196471</v>
      </c>
      <c r="AI27" s="75">
        <f t="shared" si="11"/>
        <v>-913.52875</v>
      </c>
      <c r="AJ27" s="76">
        <f>IFERROR(AI27/AI148, "NA")</f>
        <v>-0.377546993</v>
      </c>
      <c r="AK27" s="75">
        <f t="shared" si="12"/>
        <v>-0.04186268658</v>
      </c>
      <c r="AL27" s="76">
        <f>IFERROR(AK27/AK148, "NA")</f>
        <v>-1.617460217</v>
      </c>
    </row>
    <row r="28" ht="16.5" customHeight="1">
      <c r="A28" s="13" t="s">
        <v>86</v>
      </c>
      <c r="B28" s="14"/>
      <c r="C28" s="12"/>
      <c r="D28" s="14"/>
      <c r="E28" s="12"/>
      <c r="F28" s="14"/>
      <c r="G28" s="12"/>
      <c r="H28" s="14"/>
      <c r="I28" s="12"/>
      <c r="J28" s="14"/>
      <c r="K28" s="12"/>
      <c r="L28" s="14"/>
      <c r="M28" s="12"/>
      <c r="N28" s="14"/>
      <c r="O28" s="12"/>
      <c r="P28" s="14"/>
      <c r="Q28" s="12"/>
      <c r="R28" s="14"/>
      <c r="S28" s="12"/>
      <c r="T28" s="14"/>
      <c r="U28" s="12"/>
      <c r="V28" s="14"/>
      <c r="W28" s="12"/>
      <c r="X28" s="14"/>
      <c r="Y28" s="12"/>
      <c r="Z28" s="14"/>
      <c r="AA28" s="12"/>
      <c r="AB28" s="14"/>
      <c r="AC28" s="12"/>
      <c r="AD28" s="17"/>
      <c r="AE28" s="18"/>
      <c r="AF28" s="17"/>
      <c r="AG28" s="14"/>
      <c r="AH28" s="12"/>
      <c r="AI28" s="17"/>
      <c r="AJ28" s="18"/>
      <c r="AK28" s="17"/>
      <c r="AL28" s="18"/>
    </row>
    <row r="29" ht="16.5" hidden="1" customHeight="1">
      <c r="A29" s="19" t="s">
        <v>87</v>
      </c>
      <c r="B29" s="21">
        <f>SUM('4 - RASA - MVT'!B29,'5 - RASA - National Landin'!B29,'6 - RASA - Mosaic'!B29,'7 - RASA - Rockville'!B29)</f>
        <v>0</v>
      </c>
      <c r="C29" s="23">
        <f>IFERROR(B29/B148, "NA")</f>
        <v>0</v>
      </c>
      <c r="D29" s="21">
        <f>SUM('4 - RASA - MVT'!D29,'5 - RASA - National Landin'!D29,'6 - RASA - Mosaic'!D29,'7 - RASA - Rockville'!D29)</f>
        <v>0</v>
      </c>
      <c r="E29" s="23">
        <f>IFERROR(D29/D148, "NA")</f>
        <v>0</v>
      </c>
      <c r="F29" s="21">
        <f>SUM('4 - RASA - MVT'!F29,'5 - RASA - National Landin'!F29,'6 - RASA - Mosaic'!F29,'7 - RASA - Rockville'!F29)</f>
        <v>0</v>
      </c>
      <c r="G29" s="23">
        <f>IFERROR(F29/F148, "NA")</f>
        <v>0</v>
      </c>
      <c r="H29" s="21">
        <f>SUM('4 - RASA - MVT'!H29,'5 - RASA - National Landin'!H29,'6 - RASA - Mosaic'!H29,'7 - RASA - Rockville'!H29)</f>
        <v>0</v>
      </c>
      <c r="I29" s="23">
        <f>IFERROR(H29/H148, "NA")</f>
        <v>0</v>
      </c>
      <c r="J29" s="21">
        <f>SUM('4 - RASA - MVT'!J29,'5 - RASA - National Landin'!J29,'6 - RASA - Mosaic'!J29,'7 - RASA - Rockville'!J29)</f>
        <v>0</v>
      </c>
      <c r="K29" s="23">
        <f>IFERROR(J29/J148, "NA")</f>
        <v>0</v>
      </c>
      <c r="L29" s="21">
        <f>SUM('4 - RASA - MVT'!L29,'5 - RASA - National Landin'!L29,'6 - RASA - Mosaic'!L29,'7 - RASA - Rockville'!L29)</f>
        <v>0</v>
      </c>
      <c r="M29" s="23">
        <f>IFERROR(L29/L148, "NA")</f>
        <v>0</v>
      </c>
      <c r="N29" s="21">
        <f>SUM('4 - RASA - MVT'!N29,'5 - RASA - National Landin'!N29,'6 - RASA - Mosaic'!N29,'7 - RASA - Rockville'!N29)</f>
        <v>0</v>
      </c>
      <c r="O29" s="23">
        <f>IFERROR(N29/N148, "NA")</f>
        <v>0</v>
      </c>
      <c r="P29" s="21">
        <f>SUM('4 - RASA - MVT'!P29,'5 - RASA - National Landin'!P29,'6 - RASA - Mosaic'!P29,'7 - RASA - Rockville'!P29)</f>
        <v>0</v>
      </c>
      <c r="Q29" s="23">
        <f>IFERROR(P29/P148, "NA")</f>
        <v>0</v>
      </c>
      <c r="R29" s="21">
        <f>SUM('4 - RASA - MVT'!R29,'5 - RASA - National Landin'!R29,'6 - RASA - Mosaic'!R29,'7 - RASA - Rockville'!R29)</f>
        <v>0</v>
      </c>
      <c r="S29" s="23">
        <f>IFERROR(R29/R148, "NA")</f>
        <v>0</v>
      </c>
      <c r="T29" s="21">
        <f>SUM('4 - RASA - MVT'!T29,'5 - RASA - National Landin'!T29,'6 - RASA - Mosaic'!T29,'7 - RASA - Rockville'!T29)</f>
        <v>0</v>
      </c>
      <c r="U29" s="23">
        <f>IFERROR(T29/T148, "NA")</f>
        <v>0</v>
      </c>
      <c r="V29" s="21">
        <f>SUM('4 - RASA - MVT'!V29,'5 - RASA - National Landin'!V29,'6 - RASA - Mosaic'!V29,'7 - RASA - Rockville'!V29)</f>
        <v>0</v>
      </c>
      <c r="W29" s="23">
        <f>IFERROR(V29/V148, "NA")</f>
        <v>0</v>
      </c>
      <c r="X29" s="21">
        <f>SUM('4 - RASA - MVT'!X29,'5 - RASA - National Landin'!X29,'6 - RASA - Mosaic'!X29,'7 - RASA - Rockville'!X29)</f>
        <v>0</v>
      </c>
      <c r="Y29" s="23">
        <f>IFERROR(X29/X148, "NA")</f>
        <v>0</v>
      </c>
      <c r="Z29" s="21">
        <f>SUM('4 - RASA - MVT'!Z29,'5 - RASA - National Landin'!Z29,'6 - RASA - Mosaic'!Z29,'7 - RASA - Rockville'!Z29)</f>
        <v>0</v>
      </c>
      <c r="AA29" s="23">
        <f>IFERROR(Z29/Z148, "NA")</f>
        <v>0</v>
      </c>
      <c r="AB29" s="28">
        <f t="shared" ref="AB29:AB35" si="13">IFERROR((R29+T29+V29+X29)/4, "NA")</f>
        <v>0</v>
      </c>
      <c r="AC29" s="23">
        <f>IFERROR(AB29/AB148, "NA")</f>
        <v>0</v>
      </c>
      <c r="AD29" s="29">
        <f t="shared" ref="AD29:AD35" si="14">IFERROR(X29-AB29, "NA")</f>
        <v>0</v>
      </c>
      <c r="AE29" s="30">
        <f>IFERROR(AD29/AD148, "NA")</f>
        <v>0</v>
      </c>
      <c r="AF29" s="29" t="str">
        <f t="shared" ref="AF29:AF35" si="15">IFERROR((X29-AB29)/AB29, "NA")</f>
        <v>NA</v>
      </c>
      <c r="AG29" s="28">
        <f t="shared" ref="AG29:AG35" si="16">IFERROR((J29+L29+N29+P29+R29+T29+V29+X29)/8, "NA")</f>
        <v>0</v>
      </c>
      <c r="AH29" s="23">
        <f>IFERROR(AG29/AG148, "NA")</f>
        <v>0</v>
      </c>
      <c r="AI29" s="29">
        <f t="shared" ref="AI29:AI35" si="17">IFERROR(X29-AG29, "NA")</f>
        <v>0</v>
      </c>
      <c r="AJ29" s="30">
        <f>IFERROR(AI29/AI148, "NA")</f>
        <v>0</v>
      </c>
      <c r="AK29" s="29" t="str">
        <f t="shared" ref="AK29:AK35" si="18">IFERROR((X29-AG29)/AG29, "NA")</f>
        <v>NA</v>
      </c>
      <c r="AL29" s="30" t="str">
        <f>IFERROR(AK29/AK148, "NA")</f>
        <v>NA</v>
      </c>
    </row>
    <row r="30" ht="16.5" customHeight="1">
      <c r="A30" s="19" t="s">
        <v>88</v>
      </c>
      <c r="B30" s="21">
        <f>SUM('4 - RASA - MVT'!B30,'5 - RASA - National Landin'!B30,'6 - RASA - Mosaic'!B30,'7 - RASA - Rockville'!B30)</f>
        <v>1426.69</v>
      </c>
      <c r="C30" s="23">
        <f>IFERROR(B30/B148, "NA")</f>
        <v>0.008706648693</v>
      </c>
      <c r="D30" s="21">
        <f>SUM('4 - RASA - MVT'!D30,'5 - RASA - National Landin'!D30,'6 - RASA - Mosaic'!D30,'7 - RASA - Rockville'!D30)</f>
        <v>1583.16</v>
      </c>
      <c r="E30" s="23">
        <f>IFERROR(D30/D148, "NA")</f>
        <v>0.01048272541</v>
      </c>
      <c r="F30" s="21">
        <f>SUM('4 - RASA - MVT'!F30,'5 - RASA - National Landin'!F30,'6 - RASA - Mosaic'!F30,'7 - RASA - Rockville'!F30)</f>
        <v>1147.83</v>
      </c>
      <c r="G30" s="23">
        <f>IFERROR(F30/F148, "NA")</f>
        <v>0.009679230195</v>
      </c>
      <c r="H30" s="21">
        <f>SUM('4 - RASA - MVT'!H30,'5 - RASA - National Landin'!H30,'6 - RASA - Mosaic'!H30,'7 - RASA - Rockville'!H30)</f>
        <v>993.54</v>
      </c>
      <c r="I30" s="23">
        <f>IFERROR(H30/H148, "NA")</f>
        <v>0.01563541106</v>
      </c>
      <c r="J30" s="21">
        <f>SUM('4 - RASA - MVT'!J30,'5 - RASA - National Landin'!J30,'6 - RASA - Mosaic'!J30,'7 - RASA - Rockville'!J30)</f>
        <v>969.41</v>
      </c>
      <c r="K30" s="23">
        <f>IFERROR(J30/J148, "NA")</f>
        <v>0.008151679204</v>
      </c>
      <c r="L30" s="21">
        <f>SUM('4 - RASA - MVT'!L30,'5 - RASA - National Landin'!L30,'6 - RASA - Mosaic'!L30,'7 - RASA - Rockville'!L30)</f>
        <v>1779.86</v>
      </c>
      <c r="M30" s="23">
        <f>IFERROR(L30/L148, "NA")</f>
        <v>0.01555891041</v>
      </c>
      <c r="N30" s="21">
        <f>SUM('4 - RASA - MVT'!N30,'5 - RASA - National Landin'!N30,'6 - RASA - Mosaic'!N30,'7 - RASA - Rockville'!N30)</f>
        <v>944.81</v>
      </c>
      <c r="O30" s="23">
        <f>IFERROR(N30/N148, "NA")</f>
        <v>0.009228760961</v>
      </c>
      <c r="P30" s="21">
        <f>SUM('4 - RASA - MVT'!P30,'5 - RASA - National Landin'!P30,'6 - RASA - Mosaic'!P30,'7 - RASA - Rockville'!P30)</f>
        <v>987.57</v>
      </c>
      <c r="Q30" s="23">
        <f>IFERROR(P30/P148, "NA")</f>
        <v>0.02027629654</v>
      </c>
      <c r="R30" s="21">
        <f>SUM('4 - RASA - MVT'!R30,'5 - RASA - National Landin'!R30,'6 - RASA - Mosaic'!R30,'7 - RASA - Rockville'!R30)</f>
        <v>662.16</v>
      </c>
      <c r="S30" s="23">
        <f>IFERROR(R30/R148, "NA")</f>
        <v>0.01089907313</v>
      </c>
      <c r="T30" s="21">
        <f>SUM('4 - RASA - MVT'!T30,'5 - RASA - National Landin'!T30,'6 - RASA - Mosaic'!T30,'7 - RASA - Rockville'!T30)</f>
        <v>1225.54</v>
      </c>
      <c r="U30" s="23">
        <f>IFERROR(T30/T148, "NA")</f>
        <v>0.01309480726</v>
      </c>
      <c r="V30" s="21">
        <f>SUM('4 - RASA - MVT'!V30,'5 - RASA - National Landin'!V30,'6 - RASA - Mosaic'!V30,'7 - RASA - Rockville'!V30)</f>
        <v>1408.59</v>
      </c>
      <c r="W30" s="23">
        <f>IFERROR(V30/V148, "NA")</f>
        <v>0.01243712963</v>
      </c>
      <c r="X30" s="21">
        <f>SUM('4 - RASA - MVT'!X30,'5 - RASA - National Landin'!X30,'6 - RASA - Mosaic'!X30,'7 - RASA - Rockville'!X30)</f>
        <v>1155.34</v>
      </c>
      <c r="Y30" s="23">
        <f>IFERROR(X30/X148, "NA")</f>
        <v>0.01204633105</v>
      </c>
      <c r="Z30" s="21">
        <f>SUM('4 - RASA - MVT'!Z30,'5 - RASA - National Landin'!Z30,'6 - RASA - Mosaic'!Z30,'7 - RASA - Rockville'!Z30)</f>
        <v>4451.63</v>
      </c>
      <c r="AA30" s="23">
        <f>IFERROR(Z30/Z148, "NA")</f>
        <v>0.01224629062</v>
      </c>
      <c r="AB30" s="28">
        <f t="shared" si="13"/>
        <v>1112.9075</v>
      </c>
      <c r="AC30" s="23">
        <f>IFERROR(AB30/AB148, "NA")</f>
        <v>0.01224629062</v>
      </c>
      <c r="AD30" s="29">
        <f t="shared" si="14"/>
        <v>42.4325</v>
      </c>
      <c r="AE30" s="30">
        <f>IFERROR(AD30/AD148, "NA")</f>
        <v>0.008434325264</v>
      </c>
      <c r="AF30" s="29">
        <f t="shared" si="15"/>
        <v>0.03812760719</v>
      </c>
      <c r="AG30" s="28">
        <f t="shared" si="16"/>
        <v>1141.66</v>
      </c>
      <c r="AH30" s="23">
        <f>IFERROR(AG30/AG148, "NA")</f>
        <v>0.01221178275</v>
      </c>
      <c r="AI30" s="29">
        <f t="shared" si="17"/>
        <v>13.68</v>
      </c>
      <c r="AJ30" s="30">
        <f>IFERROR(AI30/AI148, "NA")</f>
        <v>0.005653727772</v>
      </c>
      <c r="AK30" s="29">
        <f t="shared" si="18"/>
        <v>0.01198255172</v>
      </c>
      <c r="AL30" s="30">
        <f>IFERROR(AK30/AK148, "NA")</f>
        <v>0.46297317</v>
      </c>
    </row>
    <row r="31" ht="16.5" customHeight="1">
      <c r="A31" s="19" t="s">
        <v>89</v>
      </c>
      <c r="B31" s="21">
        <f>SUM('4 - RASA - MVT'!B31,'5 - RASA - National Landin'!B31,'6 - RASA - Mosaic'!B31,'7 - RASA - Rockville'!B31)</f>
        <v>-163.77</v>
      </c>
      <c r="C31" s="23">
        <f>IFERROR(B31/B148, "NA")</f>
        <v>-0.000999437759</v>
      </c>
      <c r="D31" s="21">
        <f>SUM('4 - RASA - MVT'!D31,'5 - RASA - National Landin'!D31,'6 - RASA - Mosaic'!D31,'7 - RASA - Rockville'!D31)</f>
        <v>103.67</v>
      </c>
      <c r="E31" s="23">
        <f>IFERROR(D31/D148, "NA")</f>
        <v>0.0006864398694</v>
      </c>
      <c r="F31" s="21">
        <f>SUM('4 - RASA - MVT'!F31,'5 - RASA - National Landin'!F31,'6 - RASA - Mosaic'!F31,'7 - RASA - Rockville'!F31)</f>
        <v>-77.82</v>
      </c>
      <c r="G31" s="23">
        <f>IFERROR(F31/F148, "NA")</f>
        <v>-0.0006562275718</v>
      </c>
      <c r="H31" s="21">
        <f>SUM('4 - RASA - MVT'!H31,'5 - RASA - National Landin'!H31,'6 - RASA - Mosaic'!H31,'7 - RASA - Rockville'!H31)</f>
        <v>48.56</v>
      </c>
      <c r="I31" s="23">
        <f>IFERROR(H31/H148, "NA")</f>
        <v>0.0007641922428</v>
      </c>
      <c r="J31" s="21">
        <f>SUM('4 - RASA - MVT'!J31,'5 - RASA - National Landin'!J31,'6 - RASA - Mosaic'!J31,'7 - RASA - Rockville'!J31)</f>
        <v>100.62</v>
      </c>
      <c r="K31" s="23">
        <f>IFERROR(J31/J148, "NA")</f>
        <v>0.0008461042918</v>
      </c>
      <c r="L31" s="21">
        <f>SUM('4 - RASA - MVT'!L31,'5 - RASA - National Landin'!L31,'6 - RASA - Mosaic'!L31,'7 - RASA - Rockville'!L31)</f>
        <v>49.52</v>
      </c>
      <c r="M31" s="23">
        <f>IFERROR(L31/L148, "NA")</f>
        <v>0.0004328864311</v>
      </c>
      <c r="N31" s="21">
        <f>SUM('4 - RASA - MVT'!N31,'5 - RASA - National Landin'!N31,'6 - RASA - Mosaic'!N31,'7 - RASA - Rockville'!N31)</f>
        <v>25.67</v>
      </c>
      <c r="O31" s="23">
        <f>IFERROR(N31/N148, "NA")</f>
        <v>0.0002507406715</v>
      </c>
      <c r="P31" s="21">
        <f>SUM('4 - RASA - MVT'!P31,'5 - RASA - National Landin'!P31,'6 - RASA - Mosaic'!P31,'7 - RASA - Rockville'!P31)</f>
        <v>15.72</v>
      </c>
      <c r="Q31" s="23">
        <f>IFERROR(P31/P148, "NA")</f>
        <v>0.0003227552292</v>
      </c>
      <c r="R31" s="21">
        <f>SUM('4 - RASA - MVT'!R31,'5 - RASA - National Landin'!R31,'6 - RASA - Mosaic'!R31,'7 - RASA - Rockville'!R31)</f>
        <v>10.17</v>
      </c>
      <c r="S31" s="23">
        <f>IFERROR(R31/R148, "NA")</f>
        <v>0.000167396964</v>
      </c>
      <c r="T31" s="21">
        <f>SUM('4 - RASA - MVT'!T31,'5 - RASA - National Landin'!T31,'6 - RASA - Mosaic'!T31,'7 - RASA - Rockville'!T31)</f>
        <v>34.67</v>
      </c>
      <c r="U31" s="23">
        <f>IFERROR(T31/T148, "NA")</f>
        <v>0.0003704464708</v>
      </c>
      <c r="V31" s="21">
        <f>SUM('4 - RASA - MVT'!V31,'5 - RASA - National Landin'!V31,'6 - RASA - Mosaic'!V31,'7 - RASA - Rockville'!V31)</f>
        <v>20.19</v>
      </c>
      <c r="W31" s="23">
        <f>IFERROR(V31/V148, "NA")</f>
        <v>0.0001782673788</v>
      </c>
      <c r="X31" s="21">
        <f>SUM('4 - RASA - MVT'!X31,'5 - RASA - National Landin'!X31,'6 - RASA - Mosaic'!X31,'7 - RASA - Rockville'!X31)</f>
        <v>39.89</v>
      </c>
      <c r="Y31" s="23">
        <f>IFERROR(X31/X148, "NA")</f>
        <v>0.0004159192493</v>
      </c>
      <c r="Z31" s="21">
        <f>SUM('4 - RASA - MVT'!Z31,'5 - RASA - National Landin'!Z31,'6 - RASA - Mosaic'!Z31,'7 - RASA - Rockville'!Z31)</f>
        <v>104.92</v>
      </c>
      <c r="AA31" s="23">
        <f>IFERROR(Z31/Z148, "NA")</f>
        <v>0.0002886315377</v>
      </c>
      <c r="AB31" s="28">
        <f t="shared" si="13"/>
        <v>26.23</v>
      </c>
      <c r="AC31" s="23">
        <f>IFERROR(AB31/AB148, "NA")</f>
        <v>0.0002886315377</v>
      </c>
      <c r="AD31" s="29">
        <f t="shared" si="14"/>
        <v>13.66</v>
      </c>
      <c r="AE31" s="30">
        <f>IFERROR(AD31/AD148, "NA")</f>
        <v>0.00271520375</v>
      </c>
      <c r="AF31" s="29">
        <f t="shared" si="15"/>
        <v>0.5207777354</v>
      </c>
      <c r="AG31" s="28">
        <f t="shared" si="16"/>
        <v>37.05625</v>
      </c>
      <c r="AH31" s="23">
        <f>IFERROR(AG31/AG148, "NA")</f>
        <v>0.0003963727157</v>
      </c>
      <c r="AI31" s="29">
        <f t="shared" si="17"/>
        <v>2.83375</v>
      </c>
      <c r="AJ31" s="30">
        <f>IFERROR(AI31/AI148, "NA")</f>
        <v>0.001171144084</v>
      </c>
      <c r="AK31" s="29">
        <f t="shared" si="18"/>
        <v>0.07647158037</v>
      </c>
      <c r="AL31" s="30">
        <f>IFERROR(AK31/AK148, "NA")</f>
        <v>2.954653633</v>
      </c>
    </row>
    <row r="32" ht="16.5" customHeight="1">
      <c r="A32" s="19" t="s">
        <v>90</v>
      </c>
      <c r="B32" s="21">
        <f>SUM('4 - RASA - MVT'!B32,'5 - RASA - National Landin'!B32,'6 - RASA - Mosaic'!B32,'7 - RASA - Rockville'!B32)</f>
        <v>-24.4</v>
      </c>
      <c r="C32" s="23">
        <f>IFERROR(B32/B148, "NA")</f>
        <v>-0.0001489056684</v>
      </c>
      <c r="D32" s="21">
        <f>SUM('4 - RASA - MVT'!D32,'5 - RASA - National Landin'!D32,'6 - RASA - Mosaic'!D32,'7 - RASA - Rockville'!D32)</f>
        <v>4.79</v>
      </c>
      <c r="E32" s="23">
        <f>IFERROR(D32/D148, "NA")</f>
        <v>0.00003171647511</v>
      </c>
      <c r="F32" s="21">
        <f>SUM('4 - RASA - MVT'!F32,'5 - RASA - National Landin'!F32,'6 - RASA - Mosaic'!F32,'7 - RASA - Rockville'!F32)</f>
        <v>228.17</v>
      </c>
      <c r="G32" s="23">
        <f>IFERROR(F32/F148, "NA")</f>
        <v>0.001924074082</v>
      </c>
      <c r="H32" s="21">
        <f>SUM('4 - RASA - MVT'!H32,'5 - RASA - National Landin'!H32,'6 - RASA - Mosaic'!H32,'7 - RASA - Rockville'!H32)</f>
        <v>-228.12</v>
      </c>
      <c r="I32" s="23">
        <f>IFERROR(H32/H148, "NA")</f>
        <v>-0.003589940989</v>
      </c>
      <c r="J32" s="21">
        <f>SUM('4 - RASA - MVT'!J32,'5 - RASA - National Landin'!J32,'6 - RASA - Mosaic'!J32,'7 - RASA - Rockville'!J32)</f>
        <v>204.55</v>
      </c>
      <c r="K32" s="23">
        <f>IFERROR(J32/J148, "NA")</f>
        <v>0.001720042068</v>
      </c>
      <c r="L32" s="21">
        <f>SUM('4 - RASA - MVT'!L32,'5 - RASA - National Landin'!L32,'6 - RASA - Mosaic'!L32,'7 - RASA - Rockville'!L32)</f>
        <v>115.17</v>
      </c>
      <c r="M32" s="23">
        <f>IFERROR(L32/L148, "NA")</f>
        <v>0.001006775652</v>
      </c>
      <c r="N32" s="21">
        <f>SUM('4 - RASA - MVT'!N32,'5 - RASA - National Landin'!N32,'6 - RASA - Mosaic'!N32,'7 - RASA - Rockville'!N32)</f>
        <v>127.02</v>
      </c>
      <c r="O32" s="23">
        <f>IFERROR(N32/N148, "NA")</f>
        <v>0.001240712119</v>
      </c>
      <c r="P32" s="21">
        <f>SUM('4 - RASA - MVT'!P32,'5 - RASA - National Landin'!P32,'6 - RASA - Mosaic'!P32,'7 - RASA - Rockville'!P32)</f>
        <v>-40.11</v>
      </c>
      <c r="Q32" s="23">
        <f>IFERROR(P32/P148, "NA")</f>
        <v>-0.0008235185905</v>
      </c>
      <c r="R32" s="21">
        <f>SUM('4 - RASA - MVT'!R32,'5 - RASA - National Landin'!R32,'6 - RASA - Mosaic'!R32,'7 - RASA - Rockville'!R32)</f>
        <v>43.31</v>
      </c>
      <c r="S32" s="23">
        <f>IFERROR(R32/R148, "NA")</f>
        <v>0.0007128773365</v>
      </c>
      <c r="T32" s="21">
        <f>SUM('4 - RASA - MVT'!T32,'5 - RASA - National Landin'!T32,'6 - RASA - Mosaic'!T32,'7 - RASA - Rockville'!T32)</f>
        <v>17.59</v>
      </c>
      <c r="U32" s="23">
        <f>IFERROR(T32/T148, "NA")</f>
        <v>0.0001879478922</v>
      </c>
      <c r="V32" s="21">
        <f>SUM('4 - RASA - MVT'!V32,'5 - RASA - National Landin'!V32,'6 - RASA - Mosaic'!V32,'7 - RASA - Rockville'!V32)</f>
        <v>5.28</v>
      </c>
      <c r="W32" s="23">
        <f>IFERROR(V32/V148, "NA")</f>
        <v>0.00004661970085</v>
      </c>
      <c r="X32" s="21">
        <f>SUM('4 - RASA - MVT'!X32,'5 - RASA - National Landin'!X32,'6 - RASA - Mosaic'!X32,'7 - RASA - Rockville'!X32)</f>
        <v>30.7</v>
      </c>
      <c r="Y32" s="23">
        <f>IFERROR(X32/X148, "NA")</f>
        <v>0.0003200982942</v>
      </c>
      <c r="Z32" s="21">
        <f>SUM('4 - RASA - MVT'!Z32,'5 - RASA - National Landin'!Z32,'6 - RASA - Mosaic'!Z32,'7 - RASA - Rockville'!Z32)</f>
        <v>96.88</v>
      </c>
      <c r="AA32" s="23">
        <f>IFERROR(Z32/Z148, "NA")</f>
        <v>0.0002665137569</v>
      </c>
      <c r="AB32" s="28">
        <f t="shared" si="13"/>
        <v>24.22</v>
      </c>
      <c r="AC32" s="23">
        <f>IFERROR(AB32/AB148, "NA")</f>
        <v>0.0002665137569</v>
      </c>
      <c r="AD32" s="29">
        <f t="shared" si="14"/>
        <v>6.48</v>
      </c>
      <c r="AE32" s="30">
        <f>IFERROR(AD32/AD148, "NA")</f>
        <v>0.001288032233</v>
      </c>
      <c r="AF32" s="29">
        <f t="shared" si="15"/>
        <v>0.2675474814</v>
      </c>
      <c r="AG32" s="28">
        <f t="shared" si="16"/>
        <v>62.93875</v>
      </c>
      <c r="AH32" s="23">
        <f>IFERROR(AG32/AG148, "NA")</f>
        <v>0.0006732252524</v>
      </c>
      <c r="AI32" s="29">
        <f t="shared" si="17"/>
        <v>-32.23875</v>
      </c>
      <c r="AJ32" s="30">
        <f>IFERROR(AI32/AI148, "NA")</f>
        <v>-0.0133237658</v>
      </c>
      <c r="AK32" s="29">
        <f t="shared" si="18"/>
        <v>-0.5122241862</v>
      </c>
      <c r="AL32" s="30">
        <f>IFERROR(AK32/AK148, "NA")</f>
        <v>-19.79094777</v>
      </c>
    </row>
    <row r="33" ht="16.5" customHeight="1">
      <c r="A33" s="19" t="s">
        <v>91</v>
      </c>
      <c r="B33" s="21">
        <f>SUM('4 - RASA - MVT'!B33,'5 - RASA - National Landin'!B33,'6 - RASA - Mosaic'!B33,'7 - RASA - Rockville'!B33)</f>
        <v>17</v>
      </c>
      <c r="C33" s="23">
        <f>IFERROR(B33/B148, "NA")</f>
        <v>0.0001037457526</v>
      </c>
      <c r="D33" s="21">
        <f>SUM('4 - RASA - MVT'!D33,'5 - RASA - National Landin'!D33,'6 - RASA - Mosaic'!D33,'7 - RASA - Rockville'!D33)</f>
        <v>21.92</v>
      </c>
      <c r="E33" s="23">
        <f>IFERROR(D33/D148, "NA")</f>
        <v>0.0001451409466</v>
      </c>
      <c r="F33" s="21">
        <f>SUM('4 - RASA - MVT'!F33,'5 - RASA - National Landin'!F33,'6 - RASA - Mosaic'!F33,'7 - RASA - Rockville'!F33)</f>
        <v>12.88</v>
      </c>
      <c r="G33" s="23">
        <f>IFERROR(F33/F148, "NA")</f>
        <v>0.0001086123249</v>
      </c>
      <c r="H33" s="21">
        <f>SUM('4 - RASA - MVT'!H33,'5 - RASA - National Landin'!H33,'6 - RASA - Mosaic'!H33,'7 - RASA - Rockville'!H33)</f>
        <v>-7.01</v>
      </c>
      <c r="I33" s="23">
        <f>IFERROR(H33/H148, "NA")</f>
        <v>-0.0001103168785</v>
      </c>
      <c r="J33" s="21">
        <f>SUM('4 - RASA - MVT'!J33,'5 - RASA - National Landin'!J33,'6 - RASA - Mosaic'!J33,'7 - RASA - Rockville'!J33)</f>
        <v>13.72</v>
      </c>
      <c r="K33" s="23">
        <f>IFERROR(J33/J148, "NA")</f>
        <v>0.0001153702135</v>
      </c>
      <c r="L33" s="21">
        <f>SUM('4 - RASA - MVT'!L33,'5 - RASA - National Landin'!L33,'6 - RASA - Mosaic'!L33,'7 - RASA - Rockville'!L33)</f>
        <v>-0.34</v>
      </c>
      <c r="M33" s="23">
        <f>IFERROR(L33/L148, "NA")</f>
        <v>-0.000002972160472</v>
      </c>
      <c r="N33" s="21">
        <f>SUM('4 - RASA - MVT'!N33,'5 - RASA - National Landin'!N33,'6 - RASA - Mosaic'!N33,'7 - RASA - Rockville'!N33)</f>
        <v>5.01</v>
      </c>
      <c r="O33" s="23">
        <f>IFERROR(N33/N148, "NA")</f>
        <v>0.00004893692109</v>
      </c>
      <c r="P33" s="21">
        <f>SUM('4 - RASA - MVT'!P33,'5 - RASA - National Landin'!P33,'6 - RASA - Mosaic'!P33,'7 - RASA - Rockville'!P33)</f>
        <v>12.7</v>
      </c>
      <c r="Q33" s="23">
        <f>IFERROR(P33/P148, "NA")</f>
        <v>0.0002607500897</v>
      </c>
      <c r="R33" s="21">
        <f>SUM('4 - RASA - MVT'!R33,'5 - RASA - National Landin'!R33,'6 - RASA - Mosaic'!R33,'7 - RASA - Rockville'!R33)</f>
        <v>3.09</v>
      </c>
      <c r="S33" s="23">
        <f>IFERROR(R33/R148, "NA")</f>
        <v>0.00005086102447</v>
      </c>
      <c r="T33" s="21">
        <f>SUM('4 - RASA - MVT'!T33,'5 - RASA - National Landin'!T33,'6 - RASA - Mosaic'!T33,'7 - RASA - Rockville'!T33)</f>
        <v>26.01</v>
      </c>
      <c r="U33" s="23">
        <f>IFERROR(T33/T148, "NA")</f>
        <v>0.0002779149901</v>
      </c>
      <c r="V33" s="21">
        <f>SUM('4 - RASA - MVT'!V33,'5 - RASA - National Landin'!V33,'6 - RASA - Mosaic'!V33,'7 - RASA - Rockville'!V33)</f>
        <v>-0.25</v>
      </c>
      <c r="W33" s="23">
        <f>IFERROR(V33/V148, "NA")</f>
        <v>-0.000002207372199</v>
      </c>
      <c r="X33" s="21">
        <f>SUM('4 - RASA - MVT'!X33,'5 - RASA - National Landin'!X33,'6 - RASA - Mosaic'!X33,'7 - RASA - Rockville'!X33)</f>
        <v>15.57</v>
      </c>
      <c r="Y33" s="23">
        <f>IFERROR(X33/X148, "NA")</f>
        <v>0.0001623430111</v>
      </c>
      <c r="Z33" s="21">
        <f>SUM('4 - RASA - MVT'!Z33,'5 - RASA - National Landin'!Z33,'6 - RASA - Mosaic'!Z33,'7 - RASA - Rockville'!Z33)</f>
        <v>44.42</v>
      </c>
      <c r="AA33" s="23">
        <f>IFERROR(Z33/Z148, "NA")</f>
        <v>0.000122197988</v>
      </c>
      <c r="AB33" s="28">
        <f t="shared" si="13"/>
        <v>11.105</v>
      </c>
      <c r="AC33" s="23">
        <f>IFERROR(AB33/AB148, "NA")</f>
        <v>0.000122197988</v>
      </c>
      <c r="AD33" s="29">
        <f t="shared" si="14"/>
        <v>4.465</v>
      </c>
      <c r="AE33" s="30">
        <f>IFERROR(AD33/AD148, "NA")</f>
        <v>0.000887509864</v>
      </c>
      <c r="AF33" s="29">
        <f t="shared" si="15"/>
        <v>0.4020711391</v>
      </c>
      <c r="AG33" s="28">
        <f t="shared" si="16"/>
        <v>9.43875</v>
      </c>
      <c r="AH33" s="23">
        <f>IFERROR(AG33/AG148, "NA")</f>
        <v>0.0001009617263</v>
      </c>
      <c r="AI33" s="29">
        <f t="shared" si="17"/>
        <v>6.13125</v>
      </c>
      <c r="AJ33" s="30">
        <f>IFERROR(AI33/AI148, "NA")</f>
        <v>0.002533948713</v>
      </c>
      <c r="AK33" s="29">
        <f t="shared" si="18"/>
        <v>0.6495828367</v>
      </c>
      <c r="AL33" s="30">
        <f>IFERROR(AK33/AK148, "NA")</f>
        <v>25.09811199</v>
      </c>
    </row>
    <row r="34" ht="16.5" customHeight="1">
      <c r="A34" s="65" t="s">
        <v>94</v>
      </c>
      <c r="B34" s="66">
        <f>IFERROR(B29+B30+B31+B32+B33, "NA")</f>
        <v>1255.52</v>
      </c>
      <c r="C34" s="67">
        <f>IFERROR(B34/B148, "NA")</f>
        <v>0.007662051018</v>
      </c>
      <c r="D34" s="66">
        <f>IFERROR(D29+D30+D31+D32+D33, "NA")</f>
        <v>1713.54</v>
      </c>
      <c r="E34" s="67">
        <f>IFERROR(D34/D148, "NA")</f>
        <v>0.0113460227</v>
      </c>
      <c r="F34" s="66">
        <f>IFERROR(F29+F30+F31+F32+F33, "NA")</f>
        <v>1311.06</v>
      </c>
      <c r="G34" s="67">
        <f>IFERROR(F34/F148, "NA")</f>
        <v>0.01105568903</v>
      </c>
      <c r="H34" s="66">
        <f>IFERROR(H29+H30+H31+H32+H33, "NA")</f>
        <v>806.97</v>
      </c>
      <c r="I34" s="67">
        <f>IFERROR(H34/H148, "NA")</f>
        <v>0.01269934543</v>
      </c>
      <c r="J34" s="66">
        <f>IFERROR(J29+J30+J31+J32+J33, "NA")</f>
        <v>1288.3</v>
      </c>
      <c r="K34" s="67">
        <f>IFERROR(J34/J148, "NA")</f>
        <v>0.01083319578</v>
      </c>
      <c r="L34" s="66">
        <f>IFERROR(L29+L30+L31+L32+L33, "NA")</f>
        <v>1944.21</v>
      </c>
      <c r="M34" s="67">
        <f>IFERROR(L34/L148, "NA")</f>
        <v>0.01699560033</v>
      </c>
      <c r="N34" s="66">
        <f>IFERROR(N29+N30+N31+N32+N33, "NA")</f>
        <v>1102.51</v>
      </c>
      <c r="O34" s="67">
        <f>IFERROR(N34/N148, "NA")</f>
        <v>0.01076915067</v>
      </c>
      <c r="P34" s="66">
        <f>IFERROR(P29+P30+P31+P32+P33, "NA")</f>
        <v>975.88</v>
      </c>
      <c r="Q34" s="67">
        <f>IFERROR(P34/P148, "NA")</f>
        <v>0.02003628327</v>
      </c>
      <c r="R34" s="66">
        <f>IFERROR(R29+R30+R31+R32+R33, "NA")</f>
        <v>718.73</v>
      </c>
      <c r="S34" s="67">
        <f>IFERROR(R34/R148, "NA")</f>
        <v>0.01183020845</v>
      </c>
      <c r="T34" s="66">
        <f>IFERROR(T29+T30+T31+T32+T33, "NA")</f>
        <v>1303.81</v>
      </c>
      <c r="U34" s="67">
        <f>IFERROR(T34/T148, "NA")</f>
        <v>0.01393111662</v>
      </c>
      <c r="V34" s="66">
        <f>IFERROR(V29+V30+V31+V32+V33, "NA")</f>
        <v>1433.81</v>
      </c>
      <c r="W34" s="67">
        <f>IFERROR(V34/V148, "NA")</f>
        <v>0.01265980933</v>
      </c>
      <c r="X34" s="66">
        <f>IFERROR(X29+X30+X31+X32+X33, "NA")</f>
        <v>1241.5</v>
      </c>
      <c r="Y34" s="67">
        <f>IFERROR(X34/X148, "NA")</f>
        <v>0.0129446916</v>
      </c>
      <c r="Z34" s="66">
        <f>IFERROR(Z29+Z30+Z31+Z32+Z33, "NA")</f>
        <v>4697.85</v>
      </c>
      <c r="AA34" s="67">
        <f>IFERROR(Z34/Z148, "NA")</f>
        <v>0.01292363391</v>
      </c>
      <c r="AB34" s="66">
        <f t="shared" si="13"/>
        <v>1174.4625</v>
      </c>
      <c r="AC34" s="67">
        <f>IFERROR(AB34/AB148, "NA")</f>
        <v>0.01292363391</v>
      </c>
      <c r="AD34" s="75">
        <f t="shared" si="14"/>
        <v>67.0375</v>
      </c>
      <c r="AE34" s="76">
        <f>IFERROR(AD34/AD148, "NA")</f>
        <v>0.01332507111</v>
      </c>
      <c r="AF34" s="75">
        <f t="shared" si="15"/>
        <v>0.05707930223</v>
      </c>
      <c r="AG34" s="66">
        <f t="shared" si="16"/>
        <v>1251.09375</v>
      </c>
      <c r="AH34" s="67">
        <f>IFERROR(AG34/AG148, "NA")</f>
        <v>0.01338234245</v>
      </c>
      <c r="AI34" s="75">
        <f t="shared" si="17"/>
        <v>-9.59375</v>
      </c>
      <c r="AJ34" s="76">
        <f>IFERROR(AI34/AI148, "NA")</f>
        <v>-0.003964945235</v>
      </c>
      <c r="AK34" s="75">
        <f t="shared" si="18"/>
        <v>-0.007668290246</v>
      </c>
      <c r="AL34" s="76">
        <f>IFERROR(AK34/AK148, "NA")</f>
        <v>-0.2962818543</v>
      </c>
    </row>
    <row r="35" ht="16.5" customHeight="1">
      <c r="A35" s="65" t="s">
        <v>95</v>
      </c>
      <c r="B35" s="66">
        <f>IFERROR(B13+B15+B16+B17+B18+B19+B20+B21+B22+B23+B24+B25+B26+B29+B30+B31+B32+B33, "NA")</f>
        <v>35632.92</v>
      </c>
      <c r="C35" s="67">
        <f>IFERROR(B35/B148, "NA")</f>
        <v>0.2174567119</v>
      </c>
      <c r="D35" s="66">
        <f>IFERROR(D13+D15+D16+D17+D18+D19+D20+D21+D22+D23+D24+D25+D26+D29+D30+D31+D32+D33, "NA")</f>
        <v>34046.42</v>
      </c>
      <c r="E35" s="67">
        <f>IFERROR(D35/D148, "NA")</f>
        <v>0.2254347458</v>
      </c>
      <c r="F35" s="66">
        <f>IFERROR(F13+F15+F16+F17+F18+F19+F20+F21+F22+F23+F24+F25+F26+F29+F30+F31+F32+F33, "NA")</f>
        <v>25748.05</v>
      </c>
      <c r="G35" s="67">
        <f>IFERROR(F35/F148, "NA")</f>
        <v>0.2171238799</v>
      </c>
      <c r="H35" s="66">
        <f>IFERROR(H13+H15+H16+H17+H18+H19+H20+H21+H22+H23+H24+H25+H26+H29+H30+H31+H32+H33, "NA")</f>
        <v>18245.7</v>
      </c>
      <c r="I35" s="67">
        <f>IFERROR(H35/H148, "NA")</f>
        <v>0.2871339045</v>
      </c>
      <c r="J35" s="66">
        <f>IFERROR(J13+J15+J16+J17+J18+J19+J20+J21+J22+J23+J24+J25+J26+J29+J30+J31+J32+J33, "NA")</f>
        <v>27457.66</v>
      </c>
      <c r="K35" s="67">
        <f>IFERROR(J35/J148, "NA")</f>
        <v>0.2308889283</v>
      </c>
      <c r="L35" s="66">
        <f>IFERROR(L13+L15+L16+L17+L18+L19+L20+L21+L22+L23+L24+L25+L26+L29+L30+L31+L32+L33, "NA")</f>
        <v>29291.19</v>
      </c>
      <c r="M35" s="67">
        <f>IFERROR(L35/L148, "NA")</f>
        <v>0.2560532856</v>
      </c>
      <c r="N35" s="66">
        <f>IFERROR(N13+N15+N16+N17+N18+N19+N20+N21+N22+N23+N24+N25+N26+N29+N30+N31+N32+N33, "NA")</f>
        <v>25154.68</v>
      </c>
      <c r="O35" s="67">
        <f>IFERROR(N35/N148, "NA")</f>
        <v>0.2457071038</v>
      </c>
      <c r="P35" s="66">
        <f>IFERROR(P13+P15+P16+P17+P18+P19+P20+P21+P22+P23+P24+P25+P26+P29+P30+P31+P32+P33, "NA")</f>
        <v>12771.28</v>
      </c>
      <c r="Q35" s="67">
        <f>IFERROR(P35/P148, "NA")</f>
        <v>0.2622135753</v>
      </c>
      <c r="R35" s="66">
        <f>IFERROR(R13+R15+R16+R17+R18+R19+R20+R21+R22+R23+R24+R25+R26+R29+R30+R31+R32+R33, "NA")</f>
        <v>17056.44</v>
      </c>
      <c r="S35" s="67">
        <f>IFERROR(R35/R148, "NA")</f>
        <v>0.2807469295</v>
      </c>
      <c r="T35" s="66">
        <f>IFERROR(T13+T15+T16+T17+T18+T19+T20+T21+T22+T23+T24+T25+T26+T29+T30+T31+T32+T33, "NA")</f>
        <v>22835.04</v>
      </c>
      <c r="U35" s="67">
        <f>IFERROR(T35/T148, "NA")</f>
        <v>0.2439907695</v>
      </c>
      <c r="V35" s="66">
        <f>IFERROR(V13+V15+V16+V17+V18+V19+V20+V21+V22+V23+V24+V25+V26+V29+V30+V31+V32+V33, "NA")</f>
        <v>27868.69</v>
      </c>
      <c r="W35" s="67">
        <f>IFERROR(V35/V148, "NA")</f>
        <v>0.2460662862</v>
      </c>
      <c r="X35" s="66">
        <f>IFERROR(X13+X15+X16+X17+X18+X19+X20+X21+X22+X23+X24+X25+X26+X29+X30+X31+X32+X33, "NA")</f>
        <v>22150</v>
      </c>
      <c r="Y35" s="67">
        <f>IFERROR(X35/X148, "NA")</f>
        <v>0.2309503979</v>
      </c>
      <c r="Z35" s="66">
        <f>IFERROR(Z13+Z15+Z16+Z17+Z18+Z19+Z20+Z21+Z22+Z23+Z24+Z25+Z26+Z29+Z30+Z31+Z32+Z33, "NA")</f>
        <v>89910.17</v>
      </c>
      <c r="AA35" s="67">
        <f>IFERROR(Z35/Z148, "NA")</f>
        <v>0.2473399792</v>
      </c>
      <c r="AB35" s="66">
        <f t="shared" si="13"/>
        <v>22477.5425</v>
      </c>
      <c r="AC35" s="67">
        <f>IFERROR(AB35/AB148, "NA")</f>
        <v>0.2473399792</v>
      </c>
      <c r="AD35" s="75">
        <f t="shared" si="14"/>
        <v>-327.5425</v>
      </c>
      <c r="AE35" s="76">
        <f>IFERROR(AD35/AD148, "NA")</f>
        <v>-0.06510575579</v>
      </c>
      <c r="AF35" s="75">
        <f t="shared" si="15"/>
        <v>-0.01457198891</v>
      </c>
      <c r="AG35" s="66">
        <f t="shared" si="16"/>
        <v>23073.1225</v>
      </c>
      <c r="AH35" s="67">
        <f>IFERROR(AG35/AG148, "NA")</f>
        <v>0.2468019895</v>
      </c>
      <c r="AI35" s="75">
        <f t="shared" si="17"/>
        <v>-923.1225</v>
      </c>
      <c r="AJ35" s="76">
        <f>IFERROR(AI35/AI148, "NA")</f>
        <v>-0.3815119382</v>
      </c>
      <c r="AK35" s="75">
        <f t="shared" si="18"/>
        <v>-0.04000856408</v>
      </c>
      <c r="AL35" s="76">
        <f>IFERROR(AK35/AK148, "NA")</f>
        <v>-1.545821972</v>
      </c>
    </row>
    <row r="36" ht="16.5" customHeight="1">
      <c r="A36" s="13" t="s">
        <v>96</v>
      </c>
      <c r="B36" s="14"/>
      <c r="C36" s="12"/>
      <c r="D36" s="14"/>
      <c r="E36" s="12"/>
      <c r="F36" s="14"/>
      <c r="G36" s="12"/>
      <c r="H36" s="14"/>
      <c r="I36" s="12"/>
      <c r="J36" s="14"/>
      <c r="K36" s="12"/>
      <c r="L36" s="14"/>
      <c r="M36" s="12"/>
      <c r="N36" s="14"/>
      <c r="O36" s="12"/>
      <c r="P36" s="14"/>
      <c r="Q36" s="12"/>
      <c r="R36" s="14"/>
      <c r="S36" s="12"/>
      <c r="T36" s="14"/>
      <c r="U36" s="12"/>
      <c r="V36" s="14"/>
      <c r="W36" s="12"/>
      <c r="X36" s="14"/>
      <c r="Y36" s="12"/>
      <c r="Z36" s="14"/>
      <c r="AA36" s="12"/>
      <c r="AB36" s="14"/>
      <c r="AC36" s="12"/>
      <c r="AD36" s="17"/>
      <c r="AE36" s="18"/>
      <c r="AF36" s="17"/>
      <c r="AG36" s="14"/>
      <c r="AH36" s="12"/>
      <c r="AI36" s="17"/>
      <c r="AJ36" s="18"/>
      <c r="AK36" s="17"/>
      <c r="AL36" s="18"/>
    </row>
    <row r="37" ht="16.5" hidden="1" customHeight="1">
      <c r="A37" s="19" t="s">
        <v>97</v>
      </c>
      <c r="B37" s="21">
        <f>SUM('4 - RASA - MVT'!B37,'5 - RASA - National Landin'!B37,'6 - RASA - Mosaic'!B37,'7 - RASA - Rockville'!B37)</f>
        <v>0</v>
      </c>
      <c r="C37" s="23">
        <f>IFERROR(B37/B148, "NA")</f>
        <v>0</v>
      </c>
      <c r="D37" s="21">
        <f>SUM('4 - RASA - MVT'!D37,'5 - RASA - National Landin'!D37,'6 - RASA - Mosaic'!D37,'7 - RASA - Rockville'!D37)</f>
        <v>0</v>
      </c>
      <c r="E37" s="23">
        <f>IFERROR(D37/D148, "NA")</f>
        <v>0</v>
      </c>
      <c r="F37" s="21">
        <f>SUM('4 - RASA - MVT'!F37,'5 - RASA - National Landin'!F37,'6 - RASA - Mosaic'!F37,'7 - RASA - Rockville'!F37)</f>
        <v>0</v>
      </c>
      <c r="G37" s="23">
        <f>IFERROR(F37/F148, "NA")</f>
        <v>0</v>
      </c>
      <c r="H37" s="21">
        <f>SUM('4 - RASA - MVT'!H37,'5 - RASA - National Landin'!H37,'6 - RASA - Mosaic'!H37,'7 - RASA - Rockville'!H37)</f>
        <v>0</v>
      </c>
      <c r="I37" s="23">
        <f>IFERROR(H37/H148, "NA")</f>
        <v>0</v>
      </c>
      <c r="J37" s="21">
        <f>SUM('4 - RASA - MVT'!J37,'5 - RASA - National Landin'!J37,'6 - RASA - Mosaic'!J37,'7 - RASA - Rockville'!J37)</f>
        <v>0</v>
      </c>
      <c r="K37" s="23">
        <f>IFERROR(J37/J148, "NA")</f>
        <v>0</v>
      </c>
      <c r="L37" s="21">
        <f>SUM('4 - RASA - MVT'!L37,'5 - RASA - National Landin'!L37,'6 - RASA - Mosaic'!L37,'7 - RASA - Rockville'!L37)</f>
        <v>0</v>
      </c>
      <c r="M37" s="23">
        <f>IFERROR(L37/L148, "NA")</f>
        <v>0</v>
      </c>
      <c r="N37" s="21">
        <f>SUM('4 - RASA - MVT'!N37,'5 - RASA - National Landin'!N37,'6 - RASA - Mosaic'!N37,'7 - RASA - Rockville'!N37)</f>
        <v>0</v>
      </c>
      <c r="O37" s="23">
        <f>IFERROR(N37/N148, "NA")</f>
        <v>0</v>
      </c>
      <c r="P37" s="21">
        <f>SUM('4 - RASA - MVT'!P37,'5 - RASA - National Landin'!P37,'6 - RASA - Mosaic'!P37,'7 - RASA - Rockville'!P37)</f>
        <v>0</v>
      </c>
      <c r="Q37" s="23">
        <f>IFERROR(P37/P148, "NA")</f>
        <v>0</v>
      </c>
      <c r="R37" s="21">
        <f>SUM('4 - RASA - MVT'!R37,'5 - RASA - National Landin'!R37,'6 - RASA - Mosaic'!R37,'7 - RASA - Rockville'!R37)</f>
        <v>0</v>
      </c>
      <c r="S37" s="23">
        <f>IFERROR(R37/R148, "NA")</f>
        <v>0</v>
      </c>
      <c r="T37" s="21">
        <f>SUM('4 - RASA - MVT'!T37,'5 - RASA - National Landin'!T37,'6 - RASA - Mosaic'!T37,'7 - RASA - Rockville'!T37)</f>
        <v>0</v>
      </c>
      <c r="U37" s="23">
        <f>IFERROR(T37/T148, "NA")</f>
        <v>0</v>
      </c>
      <c r="V37" s="21">
        <f>SUM('4 - RASA - MVT'!V37,'5 - RASA - National Landin'!V37,'6 - RASA - Mosaic'!V37,'7 - RASA - Rockville'!V37)</f>
        <v>0</v>
      </c>
      <c r="W37" s="23">
        <f>IFERROR(V37/V148, "NA")</f>
        <v>0</v>
      </c>
      <c r="X37" s="21">
        <f>SUM('4 - RASA - MVT'!X37,'5 - RASA - National Landin'!X37,'6 - RASA - Mosaic'!X37,'7 - RASA - Rockville'!X37)</f>
        <v>0</v>
      </c>
      <c r="Y37" s="23">
        <f>IFERROR(X37/X148, "NA")</f>
        <v>0</v>
      </c>
      <c r="Z37" s="21">
        <f>SUM('4 - RASA - MVT'!Z37,'5 - RASA - National Landin'!Z37,'6 - RASA - Mosaic'!Z37,'7 - RASA - Rockville'!Z37)</f>
        <v>0</v>
      </c>
      <c r="AA37" s="23">
        <f>IFERROR(Z37/Z148, "NA")</f>
        <v>0</v>
      </c>
      <c r="AB37" s="28">
        <f>IFERROR((R37+T37+V37+X37)/4, "NA")</f>
        <v>0</v>
      </c>
      <c r="AC37" s="23">
        <f>IFERROR(AB37/AB148, "NA")</f>
        <v>0</v>
      </c>
      <c r="AD37" s="29">
        <f>IFERROR(X37-AB37, "NA")</f>
        <v>0</v>
      </c>
      <c r="AE37" s="30">
        <f>IFERROR(AD37/AD148, "NA")</f>
        <v>0</v>
      </c>
      <c r="AF37" s="29" t="str">
        <f>IFERROR((X37-AB37)/AB37, "NA")</f>
        <v>NA</v>
      </c>
      <c r="AG37" s="28">
        <f>IFERROR((J37+L37+N37+P37+R37+T37+V37+X37)/8, "NA")</f>
        <v>0</v>
      </c>
      <c r="AH37" s="23">
        <f>IFERROR(AG37/AG148, "NA")</f>
        <v>0</v>
      </c>
      <c r="AI37" s="29">
        <f>IFERROR(X37-AG37, "NA")</f>
        <v>0</v>
      </c>
      <c r="AJ37" s="30">
        <f>IFERROR(AI37/AI148, "NA")</f>
        <v>0</v>
      </c>
      <c r="AK37" s="29" t="str">
        <f>IFERROR((X37-AG37)/AG37, "NA")</f>
        <v>NA</v>
      </c>
      <c r="AL37" s="30" t="str">
        <f>IFERROR(AK37/AK148, "NA")</f>
        <v>NA</v>
      </c>
    </row>
    <row r="38" ht="16.5" customHeight="1">
      <c r="A38" s="13" t="s">
        <v>98</v>
      </c>
      <c r="B38" s="14"/>
      <c r="C38" s="12"/>
      <c r="D38" s="14"/>
      <c r="E38" s="12"/>
      <c r="F38" s="14"/>
      <c r="G38" s="12"/>
      <c r="H38" s="14"/>
      <c r="I38" s="12"/>
      <c r="J38" s="14"/>
      <c r="K38" s="12"/>
      <c r="L38" s="14"/>
      <c r="M38" s="12"/>
      <c r="N38" s="14"/>
      <c r="O38" s="12"/>
      <c r="P38" s="14"/>
      <c r="Q38" s="12"/>
      <c r="R38" s="14"/>
      <c r="S38" s="12"/>
      <c r="T38" s="14"/>
      <c r="U38" s="12"/>
      <c r="V38" s="14"/>
      <c r="W38" s="12"/>
      <c r="X38" s="14"/>
      <c r="Y38" s="12"/>
      <c r="Z38" s="14"/>
      <c r="AA38" s="12"/>
      <c r="AB38" s="14"/>
      <c r="AC38" s="12"/>
      <c r="AD38" s="17"/>
      <c r="AE38" s="18"/>
      <c r="AF38" s="17"/>
      <c r="AG38" s="14"/>
      <c r="AH38" s="12"/>
      <c r="AI38" s="17"/>
      <c r="AJ38" s="18"/>
      <c r="AK38" s="17"/>
      <c r="AL38" s="18"/>
    </row>
    <row r="39" ht="16.5" hidden="1" customHeight="1">
      <c r="A39" s="19" t="s">
        <v>99</v>
      </c>
      <c r="B39" s="21">
        <f>SUM('4 - RASA - MVT'!B39,'5 - RASA - National Landin'!B39,'6 - RASA - Mosaic'!B39,'7 - RASA - Rockville'!B39)</f>
        <v>0</v>
      </c>
      <c r="C39" s="23">
        <f>IFERROR(B39/B148, "NA")</f>
        <v>0</v>
      </c>
      <c r="D39" s="21">
        <f>SUM('4 - RASA - MVT'!D39,'5 - RASA - National Landin'!D39,'6 - RASA - Mosaic'!D39,'7 - RASA - Rockville'!D39)</f>
        <v>0</v>
      </c>
      <c r="E39" s="23">
        <f>IFERROR(D39/D148, "NA")</f>
        <v>0</v>
      </c>
      <c r="F39" s="21">
        <f>SUM('4 - RASA - MVT'!F39,'5 - RASA - National Landin'!F39,'6 - RASA - Mosaic'!F39,'7 - RASA - Rockville'!F39)</f>
        <v>0</v>
      </c>
      <c r="G39" s="23">
        <f>IFERROR(F39/F148, "NA")</f>
        <v>0</v>
      </c>
      <c r="H39" s="21">
        <f>SUM('4 - RASA - MVT'!H39,'5 - RASA - National Landin'!H39,'6 - RASA - Mosaic'!H39,'7 - RASA - Rockville'!H39)</f>
        <v>0</v>
      </c>
      <c r="I39" s="23">
        <f>IFERROR(H39/H148, "NA")</f>
        <v>0</v>
      </c>
      <c r="J39" s="21">
        <f>SUM('4 - RASA - MVT'!J39,'5 - RASA - National Landin'!J39,'6 - RASA - Mosaic'!J39,'7 - RASA - Rockville'!J39)</f>
        <v>0</v>
      </c>
      <c r="K39" s="23">
        <f>IFERROR(J39/J148, "NA")</f>
        <v>0</v>
      </c>
      <c r="L39" s="21">
        <f>SUM('4 - RASA - MVT'!L39,'5 - RASA - National Landin'!L39,'6 - RASA - Mosaic'!L39,'7 - RASA - Rockville'!L39)</f>
        <v>0</v>
      </c>
      <c r="M39" s="23">
        <f>IFERROR(L39/L148, "NA")</f>
        <v>0</v>
      </c>
      <c r="N39" s="21">
        <f>SUM('4 - RASA - MVT'!N39,'5 - RASA - National Landin'!N39,'6 - RASA - Mosaic'!N39,'7 - RASA - Rockville'!N39)</f>
        <v>0</v>
      </c>
      <c r="O39" s="23">
        <f>IFERROR(N39/N148, "NA")</f>
        <v>0</v>
      </c>
      <c r="P39" s="21">
        <f>SUM('4 - RASA - MVT'!P39,'5 - RASA - National Landin'!P39,'6 - RASA - Mosaic'!P39,'7 - RASA - Rockville'!P39)</f>
        <v>0</v>
      </c>
      <c r="Q39" s="23">
        <f>IFERROR(P39/P148, "NA")</f>
        <v>0</v>
      </c>
      <c r="R39" s="21">
        <f>SUM('4 - RASA - MVT'!R39,'5 - RASA - National Landin'!R39,'6 - RASA - Mosaic'!R39,'7 - RASA - Rockville'!R39)</f>
        <v>0</v>
      </c>
      <c r="S39" s="23">
        <f>IFERROR(R39/R148, "NA")</f>
        <v>0</v>
      </c>
      <c r="T39" s="21">
        <f>SUM('4 - RASA - MVT'!T39,'5 - RASA - National Landin'!T39,'6 - RASA - Mosaic'!T39,'7 - RASA - Rockville'!T39)</f>
        <v>0</v>
      </c>
      <c r="U39" s="23">
        <f>IFERROR(T39/T148, "NA")</f>
        <v>0</v>
      </c>
      <c r="V39" s="21">
        <f>SUM('4 - RASA - MVT'!V39,'5 - RASA - National Landin'!V39,'6 - RASA - Mosaic'!V39,'7 - RASA - Rockville'!V39)</f>
        <v>0</v>
      </c>
      <c r="W39" s="23">
        <f>IFERROR(V39/V148, "NA")</f>
        <v>0</v>
      </c>
      <c r="X39" s="21">
        <f>SUM('4 - RASA - MVT'!X39,'5 - RASA - National Landin'!X39,'6 - RASA - Mosaic'!X39,'7 - RASA - Rockville'!X39)</f>
        <v>0</v>
      </c>
      <c r="Y39" s="23">
        <f>IFERROR(X39/X148, "NA")</f>
        <v>0</v>
      </c>
      <c r="Z39" s="21">
        <f>SUM('4 - RASA - MVT'!Z39,'5 - RASA - National Landin'!Z39,'6 - RASA - Mosaic'!Z39,'7 - RASA - Rockville'!Z39)</f>
        <v>0</v>
      </c>
      <c r="AA39" s="23">
        <f>IFERROR(Z39/Z148, "NA")</f>
        <v>0</v>
      </c>
      <c r="AB39" s="28">
        <f t="shared" ref="AB39:AB44" si="19">IFERROR((R39+T39+V39+X39)/4, "NA")</f>
        <v>0</v>
      </c>
      <c r="AC39" s="23">
        <f>IFERROR(AB39/AB148, "NA")</f>
        <v>0</v>
      </c>
      <c r="AD39" s="29">
        <f t="shared" ref="AD39:AD44" si="20">IFERROR(X39-AB39, "NA")</f>
        <v>0</v>
      </c>
      <c r="AE39" s="30">
        <f>IFERROR(AD39/AD148, "NA")</f>
        <v>0</v>
      </c>
      <c r="AF39" s="29" t="str">
        <f t="shared" ref="AF39:AF44" si="21">IFERROR((X39-AB39)/AB39, "NA")</f>
        <v>NA</v>
      </c>
      <c r="AG39" s="28">
        <f t="shared" ref="AG39:AG44" si="22">IFERROR((J39+L39+N39+P39+R39+T39+V39+X39)/8, "NA")</f>
        <v>0</v>
      </c>
      <c r="AH39" s="23">
        <f>IFERROR(AG39/AG148, "NA")</f>
        <v>0</v>
      </c>
      <c r="AI39" s="29">
        <f t="shared" ref="AI39:AI44" si="23">IFERROR(X39-AG39, "NA")</f>
        <v>0</v>
      </c>
      <c r="AJ39" s="30">
        <f>IFERROR(AI39/AI148, "NA")</f>
        <v>0</v>
      </c>
      <c r="AK39" s="29" t="str">
        <f t="shared" ref="AK39:AK44" si="24">IFERROR((X39-AG39)/AG39, "NA")</f>
        <v>NA</v>
      </c>
      <c r="AL39" s="30" t="str">
        <f>IFERROR(AK39/AK148, "NA")</f>
        <v>NA</v>
      </c>
    </row>
    <row r="40" ht="16.5" customHeight="1">
      <c r="A40" s="19" t="s">
        <v>100</v>
      </c>
      <c r="B40" s="21">
        <f>SUM('4 - RASA - MVT'!B40,'5 - RASA - National Landin'!B40,'6 - RASA - Mosaic'!B40,'7 - RASA - Rockville'!B40)</f>
        <v>3699.06</v>
      </c>
      <c r="C40" s="23">
        <f>IFERROR(B40/B148, "NA")</f>
        <v>0.02257422139</v>
      </c>
      <c r="D40" s="21">
        <f>SUM('4 - RASA - MVT'!D40,'5 - RASA - National Landin'!D40,'6 - RASA - Mosaic'!D40,'7 - RASA - Rockville'!D40)</f>
        <v>2982.13</v>
      </c>
      <c r="E40" s="23">
        <f>IFERROR(D40/D148, "NA")</f>
        <v>0.01974585635</v>
      </c>
      <c r="F40" s="21">
        <f>SUM('4 - RASA - MVT'!F40,'5 - RASA - National Landin'!F40,'6 - RASA - Mosaic'!F40,'7 - RASA - Rockville'!F40)</f>
        <v>3332.65</v>
      </c>
      <c r="G40" s="23">
        <f>IFERROR(F40/F148, "NA")</f>
        <v>0.02810301744</v>
      </c>
      <c r="H40" s="21">
        <f>SUM('4 - RASA - MVT'!H40,'5 - RASA - National Landin'!H40,'6 - RASA - Mosaic'!H40,'7 - RASA - Rockville'!H40)</f>
        <v>2425.4</v>
      </c>
      <c r="I40" s="23">
        <f>IFERROR(H40/H148, "NA")</f>
        <v>0.03816869575</v>
      </c>
      <c r="J40" s="21">
        <f>SUM('4 - RASA - MVT'!J40,'5 - RASA - National Landin'!J40,'6 - RASA - Mosaic'!J40,'7 - RASA - Rockville'!J40)</f>
        <v>3818.9</v>
      </c>
      <c r="K40" s="23">
        <f>IFERROR(J40/J148, "NA")</f>
        <v>0.03211277758</v>
      </c>
      <c r="L40" s="21">
        <f>SUM('4 - RASA - MVT'!L40,'5 - RASA - National Landin'!L40,'6 - RASA - Mosaic'!L40,'7 - RASA - Rockville'!L40)</f>
        <v>3121.51</v>
      </c>
      <c r="M40" s="23">
        <f>IFERROR(L40/L148, "NA")</f>
        <v>0.02728714305</v>
      </c>
      <c r="N40" s="21">
        <f>SUM('4 - RASA - MVT'!N40,'5 - RASA - National Landin'!N40,'6 - RASA - Mosaic'!N40,'7 - RASA - Rockville'!N40)</f>
        <v>3513.84</v>
      </c>
      <c r="O40" s="23">
        <f>IFERROR(N40/N148, "NA")</f>
        <v>0.03432265685</v>
      </c>
      <c r="P40" s="21">
        <f>SUM('4 - RASA - MVT'!P40,'5 - RASA - National Landin'!P40,'6 - RASA - Mosaic'!P40,'7 - RASA - Rockville'!P40)</f>
        <v>1549.22</v>
      </c>
      <c r="Q40" s="23">
        <f>IFERROR(P40/P148, "NA")</f>
        <v>0.03180781528</v>
      </c>
      <c r="R40" s="21">
        <f>SUM('4 - RASA - MVT'!R40,'5 - RASA - National Landin'!R40,'6 - RASA - Mosaic'!R40,'7 - RASA - Rockville'!R40)</f>
        <v>2217.99</v>
      </c>
      <c r="S40" s="23">
        <f>IFERROR(R40/R148, "NA")</f>
        <v>0.03650784585</v>
      </c>
      <c r="T40" s="21">
        <f>SUM('4 - RASA - MVT'!T40,'5 - RASA - National Landin'!T40,'6 - RASA - Mosaic'!T40,'7 - RASA - Rockville'!T40)</f>
        <v>2922.35</v>
      </c>
      <c r="U40" s="23">
        <f>IFERROR(T40/T148, "NA")</f>
        <v>0.03122510078</v>
      </c>
      <c r="V40" s="21">
        <f>SUM('4 - RASA - MVT'!V40,'5 - RASA - National Landin'!V40,'6 - RASA - Mosaic'!V40,'7 - RASA - Rockville'!V40)</f>
        <v>3619.19</v>
      </c>
      <c r="W40" s="23">
        <f>IFERROR(V40/V148, "NA")</f>
        <v>0.03195559756</v>
      </c>
      <c r="X40" s="21">
        <f>SUM('4 - RASA - MVT'!X40,'5 - RASA - National Landin'!X40,'6 - RASA - Mosaic'!X40,'7 - RASA - Rockville'!X40)</f>
        <v>2993.72</v>
      </c>
      <c r="Y40" s="23">
        <f>IFERROR(X40/X148, "NA")</f>
        <v>0.03121448421</v>
      </c>
      <c r="Z40" s="21">
        <f>SUM('4 - RASA - MVT'!Z40,'5 - RASA - National Landin'!Z40,'6 - RASA - Mosaic'!Z40,'7 - RASA - Rockville'!Z40)</f>
        <v>11753.25</v>
      </c>
      <c r="AA40" s="23">
        <f>IFERROR(Z40/Z148, "NA")</f>
        <v>0.03233281186</v>
      </c>
      <c r="AB40" s="28">
        <f t="shared" si="19"/>
        <v>2938.3125</v>
      </c>
      <c r="AC40" s="23">
        <f>IFERROR(AB40/AB148, "NA")</f>
        <v>0.03233281186</v>
      </c>
      <c r="AD40" s="29">
        <f t="shared" si="20"/>
        <v>55.4075</v>
      </c>
      <c r="AE40" s="30">
        <f>IFERROR(AD40/AD148, "NA")</f>
        <v>0.01101337129</v>
      </c>
      <c r="AF40" s="29">
        <f t="shared" si="21"/>
        <v>0.01885691192</v>
      </c>
      <c r="AG40" s="28">
        <f t="shared" si="22"/>
        <v>2969.59</v>
      </c>
      <c r="AH40" s="23">
        <f>IFERROR(AG40/AG148, "NA")</f>
        <v>0.03176426251</v>
      </c>
      <c r="AI40" s="29">
        <f t="shared" si="23"/>
        <v>24.13</v>
      </c>
      <c r="AJ40" s="30">
        <f>IFERROR(AI40/AI148, "NA")</f>
        <v>0.009972547597</v>
      </c>
      <c r="AK40" s="29">
        <f t="shared" si="24"/>
        <v>0.008125700854</v>
      </c>
      <c r="AL40" s="30">
        <f>IFERROR(AK40/AK148, "NA")</f>
        <v>0.3139549547</v>
      </c>
    </row>
    <row r="41" ht="16.5" customHeight="1">
      <c r="A41" s="19" t="s">
        <v>101</v>
      </c>
      <c r="B41" s="21">
        <f>SUM('4 - RASA - MVT'!B41,'5 - RASA - National Landin'!B41,'6 - RASA - Mosaic'!B41,'7 - RASA - Rockville'!B41)</f>
        <v>2923.31</v>
      </c>
      <c r="C41" s="23">
        <f>IFERROR(B41/B148, "NA")</f>
        <v>0.01784005859</v>
      </c>
      <c r="D41" s="21">
        <f>SUM('4 - RASA - MVT'!D41,'5 - RASA - National Landin'!D41,'6 - RASA - Mosaic'!D41,'7 - RASA - Rockville'!D41)</f>
        <v>2494</v>
      </c>
      <c r="E41" s="23">
        <f>IFERROR(D41/D148, "NA")</f>
        <v>0.01651375551</v>
      </c>
      <c r="F41" s="21">
        <f>SUM('4 - RASA - MVT'!F41,'5 - RASA - National Landin'!F41,'6 - RASA - Mosaic'!F41,'7 - RASA - Rockville'!F41)</f>
        <v>1278.02</v>
      </c>
      <c r="G41" s="23">
        <f>IFERROR(F41/F148, "NA")</f>
        <v>0.01077707481</v>
      </c>
      <c r="H41" s="21">
        <f>SUM('4 - RASA - MVT'!H41,'5 - RASA - National Landin'!H41,'6 - RASA - Mosaic'!H41,'7 - RASA - Rockville'!H41)</f>
        <v>234.34</v>
      </c>
      <c r="I41" s="23">
        <f>IFERROR(H41/H148, "NA")</f>
        <v>0.00368782558</v>
      </c>
      <c r="J41" s="21">
        <f>SUM('4 - RASA - MVT'!J41,'5 - RASA - National Landin'!J41,'6 - RASA - Mosaic'!J41,'7 - RASA - Rockville'!J41)</f>
        <v>1969.92</v>
      </c>
      <c r="K41" s="23">
        <f>IFERROR(J41/J148, "NA")</f>
        <v>0.01656487544</v>
      </c>
      <c r="L41" s="21">
        <f>SUM('4 - RASA - MVT'!L41,'5 - RASA - National Landin'!L41,'6 - RASA - Mosaic'!L41,'7 - RASA - Rockville'!L41)</f>
        <v>1967.12</v>
      </c>
      <c r="M41" s="23">
        <f>IFERROR(L41/L148, "NA")</f>
        <v>0.01719587149</v>
      </c>
      <c r="N41" s="21">
        <f>SUM('4 - RASA - MVT'!N41,'5 - RASA - National Landin'!N41,'6 - RASA - Mosaic'!N41,'7 - RASA - Rockville'!N41)</f>
        <v>1835.08</v>
      </c>
      <c r="O41" s="23">
        <f>IFERROR(N41/N148, "NA")</f>
        <v>0.01792478346</v>
      </c>
      <c r="P41" s="21">
        <f>SUM('4 - RASA - MVT'!P41,'5 - RASA - National Landin'!P41,'6 - RASA - Mosaic'!P41,'7 - RASA - Rockville'!P41)</f>
        <v>79.26</v>
      </c>
      <c r="Q41" s="23">
        <f>IFERROR(P41/P148, "NA")</f>
        <v>0.001627326938</v>
      </c>
      <c r="R41" s="21">
        <f>SUM('4 - RASA - MVT'!R41,'5 - RASA - National Landin'!R41,'6 - RASA - Mosaic'!R41,'7 - RASA - Rockville'!R41)</f>
        <v>466.69</v>
      </c>
      <c r="S41" s="23">
        <f>IFERROR(R41/R148, "NA")</f>
        <v>0.007681660683</v>
      </c>
      <c r="T41" s="21">
        <f>SUM('4 - RASA - MVT'!T41,'5 - RASA - National Landin'!T41,'6 - RASA - Mosaic'!T41,'7 - RASA - Rockville'!T41)</f>
        <v>1027.24</v>
      </c>
      <c r="U41" s="23">
        <f>IFERROR(T41/T148, "NA")</f>
        <v>0.01097598594</v>
      </c>
      <c r="V41" s="21">
        <f>SUM('4 - RASA - MVT'!V41,'5 - RASA - National Landin'!V41,'6 - RASA - Mosaic'!V41,'7 - RASA - Rockville'!V41)</f>
        <v>932.57</v>
      </c>
      <c r="W41" s="23">
        <f>IFERROR(V41/V148, "NA")</f>
        <v>0.008234116368</v>
      </c>
      <c r="X41" s="21">
        <f>SUM('4 - RASA - MVT'!X41,'5 - RASA - National Landin'!X41,'6 - RASA - Mosaic'!X41,'7 - RASA - Rockville'!X41)</f>
        <v>1183.76</v>
      </c>
      <c r="Y41" s="23">
        <f>IFERROR(X41/X148, "NA")</f>
        <v>0.01234265657</v>
      </c>
      <c r="Z41" s="21">
        <f>SUM('4 - RASA - MVT'!Z41,'5 - RASA - National Landin'!Z41,'6 - RASA - Mosaic'!Z41,'7 - RASA - Rockville'!Z41)</f>
        <v>3610.26</v>
      </c>
      <c r="AA41" s="23">
        <f>IFERROR(Z41/Z148, "NA")</f>
        <v>0.009931708876</v>
      </c>
      <c r="AB41" s="28">
        <f t="shared" si="19"/>
        <v>902.565</v>
      </c>
      <c r="AC41" s="23">
        <f>IFERROR(AB41/AB148, "NA")</f>
        <v>0.009931708876</v>
      </c>
      <c r="AD41" s="29">
        <f t="shared" si="20"/>
        <v>281.195</v>
      </c>
      <c r="AE41" s="30">
        <f>IFERROR(AD41/AD148, "NA")</f>
        <v>0.05589324439</v>
      </c>
      <c r="AF41" s="29">
        <f t="shared" si="21"/>
        <v>0.3115509686</v>
      </c>
      <c r="AG41" s="28">
        <f t="shared" si="22"/>
        <v>1182.705</v>
      </c>
      <c r="AH41" s="23">
        <f>IFERROR(AG41/AG148, "NA")</f>
        <v>0.01265082119</v>
      </c>
      <c r="AI41" s="29">
        <f t="shared" si="23"/>
        <v>1.055</v>
      </c>
      <c r="AJ41" s="30">
        <f>IFERROR(AI41/AI148, "NA")</f>
        <v>0.0004360148245</v>
      </c>
      <c r="AK41" s="29">
        <f t="shared" si="24"/>
        <v>0.0008920229474</v>
      </c>
      <c r="AL41" s="30">
        <f>IFERROR(AK41/AK148, "NA")</f>
        <v>0.0344653377</v>
      </c>
    </row>
    <row r="42" ht="16.5" customHeight="1">
      <c r="A42" s="19" t="s">
        <v>102</v>
      </c>
      <c r="B42" s="21">
        <f>SUM('4 - RASA - MVT'!B42,'5 - RASA - National Landin'!B42,'6 - RASA - Mosaic'!B42,'7 - RASA - Rockville'!B42)</f>
        <v>0</v>
      </c>
      <c r="C42" s="23">
        <f>IFERROR(B42/B148, "NA")</f>
        <v>0</v>
      </c>
      <c r="D42" s="21">
        <f>SUM('4 - RASA - MVT'!D42,'5 - RASA - National Landin'!D42,'6 - RASA - Mosaic'!D42,'7 - RASA - Rockville'!D42)</f>
        <v>0</v>
      </c>
      <c r="E42" s="23">
        <f>IFERROR(D42/D148, "NA")</f>
        <v>0</v>
      </c>
      <c r="F42" s="21">
        <f>SUM('4 - RASA - MVT'!F42,'5 - RASA - National Landin'!F42,'6 - RASA - Mosaic'!F42,'7 - RASA - Rockville'!F42)</f>
        <v>0</v>
      </c>
      <c r="G42" s="23">
        <f>IFERROR(F42/F148, "NA")</f>
        <v>0</v>
      </c>
      <c r="H42" s="21">
        <f>SUM('4 - RASA - MVT'!H42,'5 - RASA - National Landin'!H42,'6 - RASA - Mosaic'!H42,'7 - RASA - Rockville'!H42)</f>
        <v>0</v>
      </c>
      <c r="I42" s="23">
        <f>IFERROR(H42/H148, "NA")</f>
        <v>0</v>
      </c>
      <c r="J42" s="21">
        <f>SUM('4 - RASA - MVT'!J42,'5 - RASA - National Landin'!J42,'6 - RASA - Mosaic'!J42,'7 - RASA - Rockville'!J42)</f>
        <v>0</v>
      </c>
      <c r="K42" s="23">
        <f>IFERROR(J42/J148, "NA")</f>
        <v>0</v>
      </c>
      <c r="L42" s="21">
        <f>SUM('4 - RASA - MVT'!L42,'5 - RASA - National Landin'!L42,'6 - RASA - Mosaic'!L42,'7 - RASA - Rockville'!L42)</f>
        <v>0</v>
      </c>
      <c r="M42" s="23">
        <f>IFERROR(L42/L148, "NA")</f>
        <v>0</v>
      </c>
      <c r="N42" s="21">
        <f>SUM('4 - RASA - MVT'!N42,'5 - RASA - National Landin'!N42,'6 - RASA - Mosaic'!N42,'7 - RASA - Rockville'!N42)</f>
        <v>0</v>
      </c>
      <c r="O42" s="23">
        <f>IFERROR(N42/N148, "NA")</f>
        <v>0</v>
      </c>
      <c r="P42" s="21">
        <f>SUM('4 - RASA - MVT'!P42,'5 - RASA - National Landin'!P42,'6 - RASA - Mosaic'!P42,'7 - RASA - Rockville'!P42)</f>
        <v>0</v>
      </c>
      <c r="Q42" s="23">
        <f>IFERROR(P42/P148, "NA")</f>
        <v>0</v>
      </c>
      <c r="R42" s="21">
        <f>SUM('4 - RASA - MVT'!R42,'5 - RASA - National Landin'!R42,'6 - RASA - Mosaic'!R42,'7 - RASA - Rockville'!R42)</f>
        <v>0</v>
      </c>
      <c r="S42" s="23">
        <f>IFERROR(R42/R148, "NA")</f>
        <v>0</v>
      </c>
      <c r="T42" s="21">
        <f>SUM('4 - RASA - MVT'!T42,'5 - RASA - National Landin'!T42,'6 - RASA - Mosaic'!T42,'7 - RASA - Rockville'!T42)</f>
        <v>0</v>
      </c>
      <c r="U42" s="23">
        <f>IFERROR(T42/T148, "NA")</f>
        <v>0</v>
      </c>
      <c r="V42" s="21">
        <f>SUM('4 - RASA - MVT'!V42,'5 - RASA - National Landin'!V42,'6 - RASA - Mosaic'!V42,'7 - RASA - Rockville'!V42)</f>
        <v>0</v>
      </c>
      <c r="W42" s="23">
        <f>IFERROR(V42/V148, "NA")</f>
        <v>0</v>
      </c>
      <c r="X42" s="21">
        <f>SUM('4 - RASA - MVT'!X42,'5 - RASA - National Landin'!X42,'6 - RASA - Mosaic'!X42,'7 - RASA - Rockville'!X42)</f>
        <v>0</v>
      </c>
      <c r="Y42" s="23">
        <f>IFERROR(X42/X148, "NA")</f>
        <v>0</v>
      </c>
      <c r="Z42" s="21">
        <f>SUM('4 - RASA - MVT'!Z42,'5 - RASA - National Landin'!Z42,'6 - RASA - Mosaic'!Z42,'7 - RASA - Rockville'!Z42)</f>
        <v>0</v>
      </c>
      <c r="AA42" s="23">
        <f>IFERROR(Z42/Z148, "NA")</f>
        <v>0</v>
      </c>
      <c r="AB42" s="28">
        <f t="shared" si="19"/>
        <v>0</v>
      </c>
      <c r="AC42" s="23">
        <f>IFERROR(AB42/AB148, "NA")</f>
        <v>0</v>
      </c>
      <c r="AD42" s="29">
        <f t="shared" si="20"/>
        <v>0</v>
      </c>
      <c r="AE42" s="30">
        <f>IFERROR(AD42/AD148, "NA")</f>
        <v>0</v>
      </c>
      <c r="AF42" s="29" t="str">
        <f t="shared" si="21"/>
        <v>NA</v>
      </c>
      <c r="AG42" s="28">
        <f t="shared" si="22"/>
        <v>0</v>
      </c>
      <c r="AH42" s="23">
        <f>IFERROR(AG42/AG148, "NA")</f>
        <v>0</v>
      </c>
      <c r="AI42" s="29">
        <f t="shared" si="23"/>
        <v>0</v>
      </c>
      <c r="AJ42" s="30">
        <f>IFERROR(AI42/AI148, "NA")</f>
        <v>0</v>
      </c>
      <c r="AK42" s="29" t="str">
        <f t="shared" si="24"/>
        <v>NA</v>
      </c>
      <c r="AL42" s="30" t="str">
        <f>IFERROR(AK42/AK148, "NA")</f>
        <v>NA</v>
      </c>
    </row>
    <row r="43" ht="16.5" hidden="1" customHeight="1">
      <c r="A43" s="19" t="s">
        <v>103</v>
      </c>
      <c r="B43" s="21">
        <f>SUM('4 - RASA - MVT'!B43,'5 - RASA - National Landin'!B43,'6 - RASA - Mosaic'!B43,'7 - RASA - Rockville'!B43)</f>
        <v>0</v>
      </c>
      <c r="C43" s="23">
        <f>IFERROR(B43/B148, "NA")</f>
        <v>0</v>
      </c>
      <c r="D43" s="21">
        <f>SUM('4 - RASA - MVT'!D43,'5 - RASA - National Landin'!D43,'6 - RASA - Mosaic'!D43,'7 - RASA - Rockville'!D43)</f>
        <v>0</v>
      </c>
      <c r="E43" s="23">
        <f>IFERROR(D43/D148, "NA")</f>
        <v>0</v>
      </c>
      <c r="F43" s="21">
        <f>SUM('4 - RASA - MVT'!F43,'5 - RASA - National Landin'!F43,'6 - RASA - Mosaic'!F43,'7 - RASA - Rockville'!F43)</f>
        <v>0</v>
      </c>
      <c r="G43" s="23">
        <f>IFERROR(F43/F148, "NA")</f>
        <v>0</v>
      </c>
      <c r="H43" s="21">
        <f>SUM('4 - RASA - MVT'!H43,'5 - RASA - National Landin'!H43,'6 - RASA - Mosaic'!H43,'7 - RASA - Rockville'!H43)</f>
        <v>0</v>
      </c>
      <c r="I43" s="23">
        <f>IFERROR(H43/H148, "NA")</f>
        <v>0</v>
      </c>
      <c r="J43" s="21">
        <f>SUM('4 - RASA - MVT'!J43,'5 - RASA - National Landin'!J43,'6 - RASA - Mosaic'!J43,'7 - RASA - Rockville'!J43)</f>
        <v>0</v>
      </c>
      <c r="K43" s="23">
        <f>IFERROR(J43/J148, "NA")</f>
        <v>0</v>
      </c>
      <c r="L43" s="21">
        <f>SUM('4 - RASA - MVT'!L43,'5 - RASA - National Landin'!L43,'6 - RASA - Mosaic'!L43,'7 - RASA - Rockville'!L43)</f>
        <v>0</v>
      </c>
      <c r="M43" s="23">
        <f>IFERROR(L43/L148, "NA")</f>
        <v>0</v>
      </c>
      <c r="N43" s="21">
        <f>SUM('4 - RASA - MVT'!N43,'5 - RASA - National Landin'!N43,'6 - RASA - Mosaic'!N43,'7 - RASA - Rockville'!N43)</f>
        <v>0</v>
      </c>
      <c r="O43" s="23">
        <f>IFERROR(N43/N148, "NA")</f>
        <v>0</v>
      </c>
      <c r="P43" s="21">
        <f>SUM('4 - RASA - MVT'!P43,'5 - RASA - National Landin'!P43,'6 - RASA - Mosaic'!P43,'7 - RASA - Rockville'!P43)</f>
        <v>0</v>
      </c>
      <c r="Q43" s="23">
        <f>IFERROR(P43/P148, "NA")</f>
        <v>0</v>
      </c>
      <c r="R43" s="21">
        <f>SUM('4 - RASA - MVT'!R43,'5 - RASA - National Landin'!R43,'6 - RASA - Mosaic'!R43,'7 - RASA - Rockville'!R43)</f>
        <v>0</v>
      </c>
      <c r="S43" s="23">
        <f>IFERROR(R43/R148, "NA")</f>
        <v>0</v>
      </c>
      <c r="T43" s="21">
        <f>SUM('4 - RASA - MVT'!T43,'5 - RASA - National Landin'!T43,'6 - RASA - Mosaic'!T43,'7 - RASA - Rockville'!T43)</f>
        <v>0</v>
      </c>
      <c r="U43" s="23">
        <f>IFERROR(T43/T148, "NA")</f>
        <v>0</v>
      </c>
      <c r="V43" s="21">
        <f>SUM('4 - RASA - MVT'!V43,'5 - RASA - National Landin'!V43,'6 - RASA - Mosaic'!V43,'7 - RASA - Rockville'!V43)</f>
        <v>0</v>
      </c>
      <c r="W43" s="23">
        <f>IFERROR(V43/V148, "NA")</f>
        <v>0</v>
      </c>
      <c r="X43" s="21">
        <f>SUM('4 - RASA - MVT'!X43,'5 - RASA - National Landin'!X43,'6 - RASA - Mosaic'!X43,'7 - RASA - Rockville'!X43)</f>
        <v>0</v>
      </c>
      <c r="Y43" s="23">
        <f>IFERROR(X43/X148, "NA")</f>
        <v>0</v>
      </c>
      <c r="Z43" s="21">
        <f>SUM('4 - RASA - MVT'!Z43,'5 - RASA - National Landin'!Z43,'6 - RASA - Mosaic'!Z43,'7 - RASA - Rockville'!Z43)</f>
        <v>0</v>
      </c>
      <c r="AA43" s="23">
        <f>IFERROR(Z43/Z148, "NA")</f>
        <v>0</v>
      </c>
      <c r="AB43" s="28">
        <f t="shared" si="19"/>
        <v>0</v>
      </c>
      <c r="AC43" s="23">
        <f>IFERROR(AB43/AB148, "NA")</f>
        <v>0</v>
      </c>
      <c r="AD43" s="29">
        <f t="shared" si="20"/>
        <v>0</v>
      </c>
      <c r="AE43" s="30">
        <f>IFERROR(AD43/AD148, "NA")</f>
        <v>0</v>
      </c>
      <c r="AF43" s="29" t="str">
        <f t="shared" si="21"/>
        <v>NA</v>
      </c>
      <c r="AG43" s="28">
        <f t="shared" si="22"/>
        <v>0</v>
      </c>
      <c r="AH43" s="23">
        <f>IFERROR(AG43/AG148, "NA")</f>
        <v>0</v>
      </c>
      <c r="AI43" s="29">
        <f t="shared" si="23"/>
        <v>0</v>
      </c>
      <c r="AJ43" s="30">
        <f>IFERROR(AI43/AI148, "NA")</f>
        <v>0</v>
      </c>
      <c r="AK43" s="29" t="str">
        <f t="shared" si="24"/>
        <v>NA</v>
      </c>
      <c r="AL43" s="30" t="str">
        <f>IFERROR(AK43/AK148, "NA")</f>
        <v>NA</v>
      </c>
    </row>
    <row r="44" ht="16.5" customHeight="1">
      <c r="A44" s="65" t="s">
        <v>105</v>
      </c>
      <c r="B44" s="66">
        <f>IFERROR(B39+B40+B41+B42+B43, "NA")</f>
        <v>6622.37</v>
      </c>
      <c r="C44" s="67">
        <f>IFERROR(B44/B148, "NA")</f>
        <v>0.04041427998</v>
      </c>
      <c r="D44" s="66">
        <f>IFERROR(D39+D40+D41+D42+D43, "NA")</f>
        <v>5476.13</v>
      </c>
      <c r="E44" s="67">
        <f>IFERROR(D44/D148, "NA")</f>
        <v>0.03625961186</v>
      </c>
      <c r="F44" s="66">
        <f>IFERROR(F39+F40+F41+F42+F43, "NA")</f>
        <v>4610.67</v>
      </c>
      <c r="G44" s="67">
        <f>IFERROR(F44/F148, "NA")</f>
        <v>0.03888009225</v>
      </c>
      <c r="H44" s="66">
        <f>IFERROR(H39+H40+H41+H42+H43, "NA")</f>
        <v>2659.74</v>
      </c>
      <c r="I44" s="67">
        <f>IFERROR(H44/H148, "NA")</f>
        <v>0.04185652133</v>
      </c>
      <c r="J44" s="66">
        <f>IFERROR(J39+J40+J41+J42+J43, "NA")</f>
        <v>5788.82</v>
      </c>
      <c r="K44" s="67">
        <f>IFERROR(J44/J148, "NA")</f>
        <v>0.04867765302</v>
      </c>
      <c r="L44" s="66">
        <f>IFERROR(L39+L40+L41+L42+L43, "NA")</f>
        <v>5088.63</v>
      </c>
      <c r="M44" s="67">
        <f>IFERROR(L44/L148, "NA")</f>
        <v>0.04448301454</v>
      </c>
      <c r="N44" s="66">
        <f>IFERROR(N39+N40+N41+N42+N43, "NA")</f>
        <v>5348.92</v>
      </c>
      <c r="O44" s="67">
        <f>IFERROR(N44/N148, "NA")</f>
        <v>0.05224744031</v>
      </c>
      <c r="P44" s="66">
        <f>IFERROR(P39+P40+P41+P42+P43, "NA")</f>
        <v>1628.48</v>
      </c>
      <c r="Q44" s="67">
        <f>IFERROR(P44/P148, "NA")</f>
        <v>0.03343514221</v>
      </c>
      <c r="R44" s="66">
        <f>IFERROR(R39+R40+R41+R42+R43, "NA")</f>
        <v>2684.68</v>
      </c>
      <c r="S44" s="67">
        <f>IFERROR(R44/R148, "NA")</f>
        <v>0.04418950653</v>
      </c>
      <c r="T44" s="66">
        <f>IFERROR(T39+T40+T41+T42+T43, "NA")</f>
        <v>3949.59</v>
      </c>
      <c r="U44" s="67">
        <f>IFERROR(T44/T148, "NA")</f>
        <v>0.04220108672</v>
      </c>
      <c r="V44" s="66">
        <f>IFERROR(V39+V40+V41+V42+V43, "NA")</f>
        <v>4551.76</v>
      </c>
      <c r="W44" s="67">
        <f>IFERROR(V44/V148, "NA")</f>
        <v>0.04018971393</v>
      </c>
      <c r="X44" s="66">
        <f>IFERROR(X39+X40+X41+X42+X43, "NA")</f>
        <v>4177.48</v>
      </c>
      <c r="Y44" s="67">
        <f>IFERROR(X44/X148, "NA")</f>
        <v>0.04355714078</v>
      </c>
      <c r="Z44" s="66">
        <f>IFERROR(Z39+Z40+Z41+Z42+Z43, "NA")</f>
        <v>15363.51</v>
      </c>
      <c r="AA44" s="67">
        <f>IFERROR(Z44/Z148, "NA")</f>
        <v>0.04226452074</v>
      </c>
      <c r="AB44" s="66">
        <f t="shared" si="19"/>
        <v>3840.8775</v>
      </c>
      <c r="AC44" s="67">
        <f>IFERROR(AB44/AB148, "NA")</f>
        <v>0.04226452074</v>
      </c>
      <c r="AD44" s="75">
        <f t="shared" si="20"/>
        <v>336.6025</v>
      </c>
      <c r="AE44" s="76">
        <f>IFERROR(AD44/AD148, "NA")</f>
        <v>0.06690661568</v>
      </c>
      <c r="AF44" s="75">
        <f t="shared" si="21"/>
        <v>0.08763687465</v>
      </c>
      <c r="AG44" s="66">
        <f t="shared" si="22"/>
        <v>4152.295</v>
      </c>
      <c r="AH44" s="67">
        <f>IFERROR(AG44/AG148, "NA")</f>
        <v>0.0444150837</v>
      </c>
      <c r="AI44" s="75">
        <f t="shared" si="23"/>
        <v>25.185</v>
      </c>
      <c r="AJ44" s="76">
        <f>IFERROR(AI44/AI148, "NA")</f>
        <v>0.01040856242</v>
      </c>
      <c r="AK44" s="75">
        <f t="shared" si="24"/>
        <v>0.006065320503</v>
      </c>
      <c r="AL44" s="76">
        <f>IFERROR(AK44/AK148, "NA")</f>
        <v>0.2343474684</v>
      </c>
    </row>
    <row r="45" ht="16.5" customHeight="1">
      <c r="A45" s="13" t="s">
        <v>106</v>
      </c>
      <c r="B45" s="14"/>
      <c r="C45" s="12"/>
      <c r="D45" s="14"/>
      <c r="E45" s="12"/>
      <c r="F45" s="14"/>
      <c r="G45" s="12"/>
      <c r="H45" s="14"/>
      <c r="I45" s="12"/>
      <c r="J45" s="14"/>
      <c r="K45" s="12"/>
      <c r="L45" s="14"/>
      <c r="M45" s="12"/>
      <c r="N45" s="14"/>
      <c r="O45" s="12"/>
      <c r="P45" s="14"/>
      <c r="Q45" s="12"/>
      <c r="R45" s="14"/>
      <c r="S45" s="12"/>
      <c r="T45" s="14"/>
      <c r="U45" s="12"/>
      <c r="V45" s="14"/>
      <c r="W45" s="12"/>
      <c r="X45" s="14"/>
      <c r="Y45" s="12"/>
      <c r="Z45" s="14"/>
      <c r="AA45" s="12"/>
      <c r="AB45" s="14"/>
      <c r="AC45" s="12"/>
      <c r="AD45" s="17"/>
      <c r="AE45" s="18"/>
      <c r="AF45" s="17"/>
      <c r="AG45" s="14"/>
      <c r="AH45" s="12"/>
      <c r="AI45" s="17"/>
      <c r="AJ45" s="18"/>
      <c r="AK45" s="17"/>
      <c r="AL45" s="18"/>
    </row>
    <row r="46" ht="16.5" hidden="1" customHeight="1">
      <c r="A46" s="19" t="s">
        <v>107</v>
      </c>
      <c r="B46" s="21">
        <f>SUM('4 - RASA - MVT'!B46,'5 - RASA - National Landin'!B46,'6 - RASA - Mosaic'!B46,'7 - RASA - Rockville'!B46)</f>
        <v>0</v>
      </c>
      <c r="C46" s="23">
        <f>IFERROR(B46/B148, "NA")</f>
        <v>0</v>
      </c>
      <c r="D46" s="21">
        <f>SUM('4 - RASA - MVT'!D46,'5 - RASA - National Landin'!D46,'6 - RASA - Mosaic'!D46,'7 - RASA - Rockville'!D46)</f>
        <v>0</v>
      </c>
      <c r="E46" s="23">
        <f>IFERROR(D46/D148, "NA")</f>
        <v>0</v>
      </c>
      <c r="F46" s="21">
        <f>SUM('4 - RASA - MVT'!F46,'5 - RASA - National Landin'!F46,'6 - RASA - Mosaic'!F46,'7 - RASA - Rockville'!F46)</f>
        <v>0</v>
      </c>
      <c r="G46" s="23">
        <f>IFERROR(F46/F148, "NA")</f>
        <v>0</v>
      </c>
      <c r="H46" s="21">
        <f>SUM('4 - RASA - MVT'!H46,'5 - RASA - National Landin'!H46,'6 - RASA - Mosaic'!H46,'7 - RASA - Rockville'!H46)</f>
        <v>0</v>
      </c>
      <c r="I46" s="23">
        <f>IFERROR(H46/H148, "NA")</f>
        <v>0</v>
      </c>
      <c r="J46" s="21">
        <f>SUM('4 - RASA - MVT'!J46,'5 - RASA - National Landin'!J46,'6 - RASA - Mosaic'!J46,'7 - RASA - Rockville'!J46)</f>
        <v>0</v>
      </c>
      <c r="K46" s="23">
        <f>IFERROR(J46/J148, "NA")</f>
        <v>0</v>
      </c>
      <c r="L46" s="21">
        <f>SUM('4 - RASA - MVT'!L46,'5 - RASA - National Landin'!L46,'6 - RASA - Mosaic'!L46,'7 - RASA - Rockville'!L46)</f>
        <v>0</v>
      </c>
      <c r="M46" s="23">
        <f>IFERROR(L46/L148, "NA")</f>
        <v>0</v>
      </c>
      <c r="N46" s="21">
        <f>SUM('4 - RASA - MVT'!N46,'5 - RASA - National Landin'!N46,'6 - RASA - Mosaic'!N46,'7 - RASA - Rockville'!N46)</f>
        <v>0</v>
      </c>
      <c r="O46" s="23">
        <f>IFERROR(N46/N148, "NA")</f>
        <v>0</v>
      </c>
      <c r="P46" s="21">
        <f>SUM('4 - RASA - MVT'!P46,'5 - RASA - National Landin'!P46,'6 - RASA - Mosaic'!P46,'7 - RASA - Rockville'!P46)</f>
        <v>0</v>
      </c>
      <c r="Q46" s="23">
        <f>IFERROR(P46/P148, "NA")</f>
        <v>0</v>
      </c>
      <c r="R46" s="21">
        <f>SUM('4 - RASA - MVT'!R46,'5 - RASA - National Landin'!R46,'6 - RASA - Mosaic'!R46,'7 - RASA - Rockville'!R46)</f>
        <v>0</v>
      </c>
      <c r="S46" s="23">
        <f>IFERROR(R46/R148, "NA")</f>
        <v>0</v>
      </c>
      <c r="T46" s="21">
        <f>SUM('4 - RASA - MVT'!T46,'5 - RASA - National Landin'!T46,'6 - RASA - Mosaic'!T46,'7 - RASA - Rockville'!T46)</f>
        <v>0</v>
      </c>
      <c r="U46" s="23">
        <f>IFERROR(T46/T148, "NA")</f>
        <v>0</v>
      </c>
      <c r="V46" s="21">
        <f>SUM('4 - RASA - MVT'!V46,'5 - RASA - National Landin'!V46,'6 - RASA - Mosaic'!V46,'7 - RASA - Rockville'!V46)</f>
        <v>0</v>
      </c>
      <c r="W46" s="23">
        <f>IFERROR(V46/V148, "NA")</f>
        <v>0</v>
      </c>
      <c r="X46" s="21">
        <f>SUM('4 - RASA - MVT'!X46,'5 - RASA - National Landin'!X46,'6 - RASA - Mosaic'!X46,'7 - RASA - Rockville'!X46)</f>
        <v>0</v>
      </c>
      <c r="Y46" s="23">
        <f>IFERROR(X46/X148, "NA")</f>
        <v>0</v>
      </c>
      <c r="Z46" s="21">
        <f>SUM('4 - RASA - MVT'!Z46,'5 - RASA - National Landin'!Z46,'6 - RASA - Mosaic'!Z46,'7 - RASA - Rockville'!Z46)</f>
        <v>0</v>
      </c>
      <c r="AA46" s="23">
        <f>IFERROR(Z46/Z148, "NA")</f>
        <v>0</v>
      </c>
      <c r="AB46" s="28">
        <f t="shared" ref="AB46:AB57" si="25">IFERROR((R46+T46+V46+X46)/4, "NA")</f>
        <v>0</v>
      </c>
      <c r="AC46" s="23">
        <f>IFERROR(AB46/AB148, "NA")</f>
        <v>0</v>
      </c>
      <c r="AD46" s="29">
        <f t="shared" ref="AD46:AD57" si="26">IFERROR(X46-AB46, "NA")</f>
        <v>0</v>
      </c>
      <c r="AE46" s="30">
        <f>IFERROR(AD46/AD148, "NA")</f>
        <v>0</v>
      </c>
      <c r="AF46" s="29" t="str">
        <f t="shared" ref="AF46:AF57" si="27">IFERROR((X46-AB46)/AB46, "NA")</f>
        <v>NA</v>
      </c>
      <c r="AG46" s="28">
        <f t="shared" ref="AG46:AG57" si="28">IFERROR((J46+L46+N46+P46+R46+T46+V46+X46)/8, "NA")</f>
        <v>0</v>
      </c>
      <c r="AH46" s="23">
        <f>IFERROR(AG46/AG148, "NA")</f>
        <v>0</v>
      </c>
      <c r="AI46" s="29">
        <f t="shared" ref="AI46:AI57" si="29">IFERROR(X46-AG46, "NA")</f>
        <v>0</v>
      </c>
      <c r="AJ46" s="30">
        <f>IFERROR(AI46/AI148, "NA")</f>
        <v>0</v>
      </c>
      <c r="AK46" s="29" t="str">
        <f t="shared" ref="AK46:AK57" si="30">IFERROR((X46-AG46)/AG46, "NA")</f>
        <v>NA</v>
      </c>
      <c r="AL46" s="30" t="str">
        <f>IFERROR(AK46/AK148, "NA")</f>
        <v>NA</v>
      </c>
    </row>
    <row r="47" ht="16.5" customHeight="1">
      <c r="A47" s="19" t="s">
        <v>108</v>
      </c>
      <c r="B47" s="21">
        <f>SUM('4 - RASA - MVT'!B47,'5 - RASA - National Landin'!B47,'6 - RASA - Mosaic'!B47,'7 - RASA - Rockville'!B47)</f>
        <v>329.95</v>
      </c>
      <c r="C47" s="23">
        <f>IFERROR(B47/B148, "NA")</f>
        <v>0.002013583004</v>
      </c>
      <c r="D47" s="21">
        <f>SUM('4 - RASA - MVT'!D47,'5 - RASA - National Landin'!D47,'6 - RASA - Mosaic'!D47,'7 - RASA - Rockville'!D47)</f>
        <v>490.26</v>
      </c>
      <c r="E47" s="23">
        <f>IFERROR(D47/D148, "NA")</f>
        <v>0.003246204402</v>
      </c>
      <c r="F47" s="21">
        <f>SUM('4 - RASA - MVT'!F47,'5 - RASA - National Landin'!F47,'6 - RASA - Mosaic'!F47,'7 - RASA - Rockville'!F47)</f>
        <v>532.02</v>
      </c>
      <c r="G47" s="23">
        <f>IFERROR(F47/F148, "NA")</f>
        <v>0.004486329899</v>
      </c>
      <c r="H47" s="21">
        <f>SUM('4 - RASA - MVT'!H47,'5 - RASA - National Landin'!H47,'6 - RASA - Mosaic'!H47,'7 - RASA - Rockville'!H47)</f>
        <v>211.39</v>
      </c>
      <c r="I47" s="23">
        <f>IFERROR(H47/H148, "NA")</f>
        <v>0.003326659765</v>
      </c>
      <c r="J47" s="21">
        <f>SUM('4 - RASA - MVT'!J47,'5 - RASA - National Landin'!J47,'6 - RASA - Mosaic'!J47,'7 - RASA - Rockville'!J47)</f>
        <v>293.38</v>
      </c>
      <c r="K47" s="23">
        <f>IFERROR(J47/J148, "NA")</f>
        <v>0.002467005338</v>
      </c>
      <c r="L47" s="21">
        <f>SUM('4 - RASA - MVT'!L47,'5 - RASA - National Landin'!L47,'6 - RASA - Mosaic'!L47,'7 - RASA - Rockville'!L47)</f>
        <v>315.77</v>
      </c>
      <c r="M47" s="23">
        <f>IFERROR(L47/L148, "NA")</f>
        <v>0.00276035033</v>
      </c>
      <c r="N47" s="21">
        <f>SUM('4 - RASA - MVT'!N47,'5 - RASA - National Landin'!N47,'6 - RASA - Mosaic'!N47,'7 - RASA - Rockville'!N47)</f>
        <v>233.46</v>
      </c>
      <c r="O47" s="23">
        <f>IFERROR(N47/N148, "NA")</f>
        <v>0.002280401916</v>
      </c>
      <c r="P47" s="21">
        <f>SUM('4 - RASA - MVT'!P47,'5 - RASA - National Landin'!P47,'6 - RASA - Mosaic'!P47,'7 - RASA - Rockville'!P47)</f>
        <v>187.63</v>
      </c>
      <c r="Q47" s="23">
        <f>IFERROR(P47/P148, "NA")</f>
        <v>0.003852325932</v>
      </c>
      <c r="R47" s="21">
        <f>SUM('4 - RASA - MVT'!R47,'5 - RASA - National Landin'!R47,'6 - RASA - Mosaic'!R47,'7 - RASA - Rockville'!R47)</f>
        <v>283.09</v>
      </c>
      <c r="S47" s="23">
        <f>IFERROR(R47/R148, "NA")</f>
        <v>0.004659626996</v>
      </c>
      <c r="T47" s="21">
        <f>SUM('4 - RASA - MVT'!T47,'5 - RASA - National Landin'!T47,'6 - RASA - Mosaic'!T47,'7 - RASA - Rockville'!T47)</f>
        <v>289.73</v>
      </c>
      <c r="U47" s="23">
        <f>IFERROR(T47/T148, "NA")</f>
        <v>0.003095744332</v>
      </c>
      <c r="V47" s="21">
        <f>SUM('4 - RASA - MVT'!V47,'5 - RASA - National Landin'!V47,'6 - RASA - Mosaic'!V47,'7 - RASA - Rockville'!V47)</f>
        <v>103.15</v>
      </c>
      <c r="W47" s="23">
        <f>IFERROR(V47/V148, "NA")</f>
        <v>0.0009107617694</v>
      </c>
      <c r="X47" s="21">
        <f>SUM('4 - RASA - MVT'!X47,'5 - RASA - National Landin'!X47,'6 - RASA - Mosaic'!X47,'7 - RASA - Rockville'!X47)</f>
        <v>132.42</v>
      </c>
      <c r="Y47" s="23">
        <f>IFERROR(X47/X148, "NA")</f>
        <v>0.001380697593</v>
      </c>
      <c r="Z47" s="21">
        <f>SUM('4 - RASA - MVT'!Z47,'5 - RASA - National Landin'!Z47,'6 - RASA - Mosaic'!Z47,'7 - RASA - Rockville'!Z47)</f>
        <v>808.39</v>
      </c>
      <c r="AA47" s="23">
        <f>IFERROR(Z47/Z148, "NA")</f>
        <v>0.00222385483</v>
      </c>
      <c r="AB47" s="28">
        <f t="shared" si="25"/>
        <v>202.0975</v>
      </c>
      <c r="AC47" s="23">
        <f>IFERROR(AB47/AB148, "NA")</f>
        <v>0.00222385483</v>
      </c>
      <c r="AD47" s="29">
        <f t="shared" si="26"/>
        <v>-69.6775</v>
      </c>
      <c r="AE47" s="30">
        <f>IFERROR(AD47/AD148, "NA")</f>
        <v>-0.01384982498</v>
      </c>
      <c r="AF47" s="29">
        <f t="shared" si="27"/>
        <v>-0.3447717067</v>
      </c>
      <c r="AG47" s="28">
        <f t="shared" si="28"/>
        <v>229.82875</v>
      </c>
      <c r="AH47" s="23">
        <f>IFERROR(AG47/AG148, "NA")</f>
        <v>0.002458366558</v>
      </c>
      <c r="AI47" s="29">
        <f t="shared" si="29"/>
        <v>-97.40875</v>
      </c>
      <c r="AJ47" s="30">
        <f>IFERROR(AI47/AI148, "NA")</f>
        <v>-0.04025749672</v>
      </c>
      <c r="AK47" s="29">
        <f t="shared" si="30"/>
        <v>-0.4238318748</v>
      </c>
      <c r="AL47" s="30">
        <f>IFERROR(AK47/AK148, "NA")</f>
        <v>-16.37570955</v>
      </c>
    </row>
    <row r="48" ht="16.5" customHeight="1">
      <c r="A48" s="19" t="s">
        <v>109</v>
      </c>
      <c r="B48" s="21">
        <f>SUM('4 - RASA - MVT'!B48,'5 - RASA - National Landin'!B48,'6 - RASA - Mosaic'!B48,'7 - RASA - Rockville'!B48)</f>
        <v>0</v>
      </c>
      <c r="C48" s="23">
        <f>IFERROR(B48/B148, "NA")</f>
        <v>0</v>
      </c>
      <c r="D48" s="21">
        <f>SUM('4 - RASA - MVT'!D48,'5 - RASA - National Landin'!D48,'6 - RASA - Mosaic'!D48,'7 - RASA - Rockville'!D48)</f>
        <v>0</v>
      </c>
      <c r="E48" s="23">
        <f>IFERROR(D48/D148, "NA")</f>
        <v>0</v>
      </c>
      <c r="F48" s="21">
        <f>SUM('4 - RASA - MVT'!F48,'5 - RASA - National Landin'!F48,'6 - RASA - Mosaic'!F48,'7 - RASA - Rockville'!F48)</f>
        <v>0</v>
      </c>
      <c r="G48" s="23">
        <f>IFERROR(F48/F148, "NA")</f>
        <v>0</v>
      </c>
      <c r="H48" s="21">
        <f>SUM('4 - RASA - MVT'!H48,'5 - RASA - National Landin'!H48,'6 - RASA - Mosaic'!H48,'7 - RASA - Rockville'!H48)</f>
        <v>0</v>
      </c>
      <c r="I48" s="23">
        <f>IFERROR(H48/H148, "NA")</f>
        <v>0</v>
      </c>
      <c r="J48" s="21">
        <f>SUM('4 - RASA - MVT'!J48,'5 - RASA - National Landin'!J48,'6 - RASA - Mosaic'!J48,'7 - RASA - Rockville'!J48)</f>
        <v>0</v>
      </c>
      <c r="K48" s="23">
        <f>IFERROR(J48/J148, "NA")</f>
        <v>0</v>
      </c>
      <c r="L48" s="21">
        <f>SUM('4 - RASA - MVT'!L48,'5 - RASA - National Landin'!L48,'6 - RASA - Mosaic'!L48,'7 - RASA - Rockville'!L48)</f>
        <v>5.83</v>
      </c>
      <c r="M48" s="23">
        <f>IFERROR(L48/L148, "NA")</f>
        <v>0.00005096381045</v>
      </c>
      <c r="N48" s="21">
        <f>SUM('4 - RASA - MVT'!N48,'5 - RASA - National Landin'!N48,'6 - RASA - Mosaic'!N48,'7 - RASA - Rockville'!N48)</f>
        <v>0</v>
      </c>
      <c r="O48" s="23">
        <f>IFERROR(N48/N148, "NA")</f>
        <v>0</v>
      </c>
      <c r="P48" s="21">
        <f>SUM('4 - RASA - MVT'!P48,'5 - RASA - National Landin'!P48,'6 - RASA - Mosaic'!P48,'7 - RASA - Rockville'!P48)</f>
        <v>0</v>
      </c>
      <c r="Q48" s="23">
        <f>IFERROR(P48/P148, "NA")</f>
        <v>0</v>
      </c>
      <c r="R48" s="21">
        <f>SUM('4 - RASA - MVT'!R48,'5 - RASA - National Landin'!R48,'6 - RASA - Mosaic'!R48,'7 - RASA - Rockville'!R48)</f>
        <v>3.5</v>
      </c>
      <c r="S48" s="23">
        <f>IFERROR(R48/R148, "NA")</f>
        <v>0.00005760957465</v>
      </c>
      <c r="T48" s="21">
        <f>SUM('4 - RASA - MVT'!T48,'5 - RASA - National Landin'!T48,'6 - RASA - Mosaic'!T48,'7 - RASA - Rockville'!T48)</f>
        <v>0</v>
      </c>
      <c r="U48" s="23">
        <f>IFERROR(T48/T148, "NA")</f>
        <v>0</v>
      </c>
      <c r="V48" s="21">
        <f>SUM('4 - RASA - MVT'!V48,'5 - RASA - National Landin'!V48,'6 - RASA - Mosaic'!V48,'7 - RASA - Rockville'!V48)</f>
        <v>0</v>
      </c>
      <c r="W48" s="23">
        <f>IFERROR(V48/V148, "NA")</f>
        <v>0</v>
      </c>
      <c r="X48" s="21">
        <f>SUM('4 - RASA - MVT'!X48,'5 - RASA - National Landin'!X48,'6 - RASA - Mosaic'!X48,'7 - RASA - Rockville'!X48)</f>
        <v>0</v>
      </c>
      <c r="Y48" s="23">
        <f>IFERROR(X48/X148, "NA")</f>
        <v>0</v>
      </c>
      <c r="Z48" s="21">
        <f>SUM('4 - RASA - MVT'!Z48,'5 - RASA - National Landin'!Z48,'6 - RASA - Mosaic'!Z48,'7 - RASA - Rockville'!Z48)</f>
        <v>3.5</v>
      </c>
      <c r="AA48" s="23">
        <f>IFERROR(Z48/Z148, "NA")</f>
        <v>0.00000962838717</v>
      </c>
      <c r="AB48" s="28">
        <f t="shared" si="25"/>
        <v>0.875</v>
      </c>
      <c r="AC48" s="23">
        <f>IFERROR(AB48/AB148, "NA")</f>
        <v>0.00000962838717</v>
      </c>
      <c r="AD48" s="29">
        <f t="shared" si="26"/>
        <v>-0.875</v>
      </c>
      <c r="AE48" s="30">
        <f>IFERROR(AD48/AD148, "NA")</f>
        <v>-0.0001739241055</v>
      </c>
      <c r="AF48" s="29">
        <f t="shared" si="27"/>
        <v>-1</v>
      </c>
      <c r="AG48" s="28">
        <f t="shared" si="28"/>
        <v>1.16625</v>
      </c>
      <c r="AH48" s="23">
        <f>IFERROR(AG48/AG148, "NA")</f>
        <v>0.00001247481004</v>
      </c>
      <c r="AI48" s="29">
        <f t="shared" si="29"/>
        <v>-1.16625</v>
      </c>
      <c r="AJ48" s="30">
        <f>IFERROR(AI48/AI148, "NA")</f>
        <v>-0.0004819926911</v>
      </c>
      <c r="AK48" s="29">
        <f t="shared" si="30"/>
        <v>-1</v>
      </c>
      <c r="AL48" s="30">
        <f>IFERROR(AK48/AK148, "NA")</f>
        <v>-38.63727699</v>
      </c>
    </row>
    <row r="49" ht="16.5" customHeight="1">
      <c r="A49" s="19" t="s">
        <v>110</v>
      </c>
      <c r="B49" s="21">
        <f>SUM('4 - RASA - MVT'!B49,'5 - RASA - National Landin'!B49,'6 - RASA - Mosaic'!B49,'7 - RASA - Rockville'!B49)</f>
        <v>0</v>
      </c>
      <c r="C49" s="23">
        <f>IFERROR(B49/B148, "NA")</f>
        <v>0</v>
      </c>
      <c r="D49" s="21">
        <f>SUM('4 - RASA - MVT'!D49,'5 - RASA - National Landin'!D49,'6 - RASA - Mosaic'!D49,'7 - RASA - Rockville'!D49)</f>
        <v>0</v>
      </c>
      <c r="E49" s="23">
        <f>IFERROR(D49/D148, "NA")</f>
        <v>0</v>
      </c>
      <c r="F49" s="21">
        <f>SUM('4 - RASA - MVT'!F49,'5 - RASA - National Landin'!F49,'6 - RASA - Mosaic'!F49,'7 - RASA - Rockville'!F49)</f>
        <v>0</v>
      </c>
      <c r="G49" s="23">
        <f>IFERROR(F49/F148, "NA")</f>
        <v>0</v>
      </c>
      <c r="H49" s="21">
        <f>SUM('4 - RASA - MVT'!H49,'5 - RASA - National Landin'!H49,'6 - RASA - Mosaic'!H49,'7 - RASA - Rockville'!H49)</f>
        <v>0</v>
      </c>
      <c r="I49" s="23">
        <f>IFERROR(H49/H148, "NA")</f>
        <v>0</v>
      </c>
      <c r="J49" s="21">
        <f>SUM('4 - RASA - MVT'!J49,'5 - RASA - National Landin'!J49,'6 - RASA - Mosaic'!J49,'7 - RASA - Rockville'!J49)</f>
        <v>0</v>
      </c>
      <c r="K49" s="23">
        <f>IFERROR(J49/J148, "NA")</f>
        <v>0</v>
      </c>
      <c r="L49" s="21">
        <f>SUM('4 - RASA - MVT'!L49,'5 - RASA - National Landin'!L49,'6 - RASA - Mosaic'!L49,'7 - RASA - Rockville'!L49)</f>
        <v>0</v>
      </c>
      <c r="M49" s="23">
        <f>IFERROR(L49/L148, "NA")</f>
        <v>0</v>
      </c>
      <c r="N49" s="21">
        <f>SUM('4 - RASA - MVT'!N49,'5 - RASA - National Landin'!N49,'6 - RASA - Mosaic'!N49,'7 - RASA - Rockville'!N49)</f>
        <v>0</v>
      </c>
      <c r="O49" s="23">
        <f>IFERROR(N49/N148, "NA")</f>
        <v>0</v>
      </c>
      <c r="P49" s="21">
        <f>SUM('4 - RASA - MVT'!P49,'5 - RASA - National Landin'!P49,'6 - RASA - Mosaic'!P49,'7 - RASA - Rockville'!P49)</f>
        <v>1.4</v>
      </c>
      <c r="Q49" s="23">
        <f>IFERROR(P49/P148, "NA")</f>
        <v>0.00002874410438</v>
      </c>
      <c r="R49" s="21">
        <f>SUM('4 - RASA - MVT'!R49,'5 - RASA - National Landin'!R49,'6 - RASA - Mosaic'!R49,'7 - RASA - Rockville'!R49)</f>
        <v>0</v>
      </c>
      <c r="S49" s="23">
        <f>IFERROR(R49/R148, "NA")</f>
        <v>0</v>
      </c>
      <c r="T49" s="21">
        <f>SUM('4 - RASA - MVT'!T49,'5 - RASA - National Landin'!T49,'6 - RASA - Mosaic'!T49,'7 - RASA - Rockville'!T49)</f>
        <v>0</v>
      </c>
      <c r="U49" s="23">
        <f>IFERROR(T49/T148, "NA")</f>
        <v>0</v>
      </c>
      <c r="V49" s="21">
        <f>SUM('4 - RASA - MVT'!V49,'5 - RASA - National Landin'!V49,'6 - RASA - Mosaic'!V49,'7 - RASA - Rockville'!V49)</f>
        <v>0</v>
      </c>
      <c r="W49" s="23">
        <f>IFERROR(V49/V148, "NA")</f>
        <v>0</v>
      </c>
      <c r="X49" s="21">
        <f>SUM('4 - RASA - MVT'!X49,'5 - RASA - National Landin'!X49,'6 - RASA - Mosaic'!X49,'7 - RASA - Rockville'!X49)</f>
        <v>0</v>
      </c>
      <c r="Y49" s="23">
        <f>IFERROR(X49/X148, "NA")</f>
        <v>0</v>
      </c>
      <c r="Z49" s="21">
        <f>SUM('4 - RASA - MVT'!Z49,'5 - RASA - National Landin'!Z49,'6 - RASA - Mosaic'!Z49,'7 - RASA - Rockville'!Z49)</f>
        <v>0</v>
      </c>
      <c r="AA49" s="23">
        <f>IFERROR(Z49/Z148, "NA")</f>
        <v>0</v>
      </c>
      <c r="AB49" s="28">
        <f t="shared" si="25"/>
        <v>0</v>
      </c>
      <c r="AC49" s="23">
        <f>IFERROR(AB49/AB148, "NA")</f>
        <v>0</v>
      </c>
      <c r="AD49" s="29">
        <f t="shared" si="26"/>
        <v>0</v>
      </c>
      <c r="AE49" s="30">
        <f>IFERROR(AD49/AD148, "NA")</f>
        <v>0</v>
      </c>
      <c r="AF49" s="29" t="str">
        <f t="shared" si="27"/>
        <v>NA</v>
      </c>
      <c r="AG49" s="28">
        <f t="shared" si="28"/>
        <v>0.175</v>
      </c>
      <c r="AH49" s="23">
        <f>IFERROR(AG49/AG148, "NA")</f>
        <v>0.000001871890039</v>
      </c>
      <c r="AI49" s="29">
        <f t="shared" si="29"/>
        <v>-0.175</v>
      </c>
      <c r="AJ49" s="30">
        <f>IFERROR(AI49/AI148, "NA")</f>
        <v>-0.00007232473392</v>
      </c>
      <c r="AK49" s="29">
        <f t="shared" si="30"/>
        <v>-1</v>
      </c>
      <c r="AL49" s="30">
        <f>IFERROR(AK49/AK148, "NA")</f>
        <v>-38.63727699</v>
      </c>
    </row>
    <row r="50" ht="16.5" hidden="1" customHeight="1">
      <c r="A50" s="19" t="s">
        <v>111</v>
      </c>
      <c r="B50" s="21">
        <f>SUM('4 - RASA - MVT'!B50,'5 - RASA - National Landin'!B50,'6 - RASA - Mosaic'!B50,'7 - RASA - Rockville'!B50)</f>
        <v>0</v>
      </c>
      <c r="C50" s="23">
        <f>IFERROR(B50/B148, "NA")</f>
        <v>0</v>
      </c>
      <c r="D50" s="21">
        <f>SUM('4 - RASA - MVT'!D50,'5 - RASA - National Landin'!D50,'6 - RASA - Mosaic'!D50,'7 - RASA - Rockville'!D50)</f>
        <v>0</v>
      </c>
      <c r="E50" s="23">
        <f>IFERROR(D50/D148, "NA")</f>
        <v>0</v>
      </c>
      <c r="F50" s="21">
        <f>SUM('4 - RASA - MVT'!F50,'5 - RASA - National Landin'!F50,'6 - RASA - Mosaic'!F50,'7 - RASA - Rockville'!F50)</f>
        <v>0</v>
      </c>
      <c r="G50" s="23">
        <f>IFERROR(F50/F148, "NA")</f>
        <v>0</v>
      </c>
      <c r="H50" s="21">
        <f>SUM('4 - RASA - MVT'!H50,'5 - RASA - National Landin'!H50,'6 - RASA - Mosaic'!H50,'7 - RASA - Rockville'!H50)</f>
        <v>0</v>
      </c>
      <c r="I50" s="23">
        <f>IFERROR(H50/H148, "NA")</f>
        <v>0</v>
      </c>
      <c r="J50" s="21">
        <f>SUM('4 - RASA - MVT'!J50,'5 - RASA - National Landin'!J50,'6 - RASA - Mosaic'!J50,'7 - RASA - Rockville'!J50)</f>
        <v>0</v>
      </c>
      <c r="K50" s="23">
        <f>IFERROR(J50/J148, "NA")</f>
        <v>0</v>
      </c>
      <c r="L50" s="21">
        <f>SUM('4 - RASA - MVT'!L50,'5 - RASA - National Landin'!L50,'6 - RASA - Mosaic'!L50,'7 - RASA - Rockville'!L50)</f>
        <v>0</v>
      </c>
      <c r="M50" s="23">
        <f>IFERROR(L50/L148, "NA")</f>
        <v>0</v>
      </c>
      <c r="N50" s="21">
        <f>SUM('4 - RASA - MVT'!N50,'5 - RASA - National Landin'!N50,'6 - RASA - Mosaic'!N50,'7 - RASA - Rockville'!N50)</f>
        <v>0</v>
      </c>
      <c r="O50" s="23">
        <f>IFERROR(N50/N148, "NA")</f>
        <v>0</v>
      </c>
      <c r="P50" s="21">
        <f>SUM('4 - RASA - MVT'!P50,'5 - RASA - National Landin'!P50,'6 - RASA - Mosaic'!P50,'7 - RASA - Rockville'!P50)</f>
        <v>0</v>
      </c>
      <c r="Q50" s="23">
        <f>IFERROR(P50/P148, "NA")</f>
        <v>0</v>
      </c>
      <c r="R50" s="21">
        <f>SUM('4 - RASA - MVT'!R50,'5 - RASA - National Landin'!R50,'6 - RASA - Mosaic'!R50,'7 - RASA - Rockville'!R50)</f>
        <v>0</v>
      </c>
      <c r="S50" s="23">
        <f>IFERROR(R50/R148, "NA")</f>
        <v>0</v>
      </c>
      <c r="T50" s="21">
        <f>SUM('4 - RASA - MVT'!T50,'5 - RASA - National Landin'!T50,'6 - RASA - Mosaic'!T50,'7 - RASA - Rockville'!T50)</f>
        <v>0</v>
      </c>
      <c r="U50" s="23">
        <f>IFERROR(T50/T148, "NA")</f>
        <v>0</v>
      </c>
      <c r="V50" s="21">
        <f>SUM('4 - RASA - MVT'!V50,'5 - RASA - National Landin'!V50,'6 - RASA - Mosaic'!V50,'7 - RASA - Rockville'!V50)</f>
        <v>0</v>
      </c>
      <c r="W50" s="23">
        <f>IFERROR(V50/V148, "NA")</f>
        <v>0</v>
      </c>
      <c r="X50" s="21">
        <f>SUM('4 - RASA - MVT'!X50,'5 - RASA - National Landin'!X50,'6 - RASA - Mosaic'!X50,'7 - RASA - Rockville'!X50)</f>
        <v>0</v>
      </c>
      <c r="Y50" s="23">
        <f>IFERROR(X50/X148, "NA")</f>
        <v>0</v>
      </c>
      <c r="Z50" s="21">
        <f>SUM('4 - RASA - MVT'!Z50,'5 - RASA - National Landin'!Z50,'6 - RASA - Mosaic'!Z50,'7 - RASA - Rockville'!Z50)</f>
        <v>0</v>
      </c>
      <c r="AA50" s="23">
        <f>IFERROR(Z50/Z148, "NA")</f>
        <v>0</v>
      </c>
      <c r="AB50" s="28">
        <f t="shared" si="25"/>
        <v>0</v>
      </c>
      <c r="AC50" s="23">
        <f>IFERROR(AB50/AB148, "NA")</f>
        <v>0</v>
      </c>
      <c r="AD50" s="29">
        <f t="shared" si="26"/>
        <v>0</v>
      </c>
      <c r="AE50" s="30">
        <f>IFERROR(AD50/AD148, "NA")</f>
        <v>0</v>
      </c>
      <c r="AF50" s="29" t="str">
        <f t="shared" si="27"/>
        <v>NA</v>
      </c>
      <c r="AG50" s="28">
        <f t="shared" si="28"/>
        <v>0</v>
      </c>
      <c r="AH50" s="23">
        <f>IFERROR(AG50/AG148, "NA")</f>
        <v>0</v>
      </c>
      <c r="AI50" s="29">
        <f t="shared" si="29"/>
        <v>0</v>
      </c>
      <c r="AJ50" s="30">
        <f>IFERROR(AI50/AI148, "NA")</f>
        <v>0</v>
      </c>
      <c r="AK50" s="29" t="str">
        <f t="shared" si="30"/>
        <v>NA</v>
      </c>
      <c r="AL50" s="30" t="str">
        <f>IFERROR(AK50/AK148, "NA")</f>
        <v>NA</v>
      </c>
    </row>
    <row r="51" ht="16.5" hidden="1" customHeight="1">
      <c r="A51" s="19" t="s">
        <v>112</v>
      </c>
      <c r="B51" s="21">
        <f>SUM('4 - RASA - MVT'!B51,'5 - RASA - National Landin'!B51,'6 - RASA - Mosaic'!B51,'7 - RASA - Rockville'!B51)</f>
        <v>0</v>
      </c>
      <c r="C51" s="23">
        <f>IFERROR(B51/B148, "NA")</f>
        <v>0</v>
      </c>
      <c r="D51" s="21">
        <f>SUM('4 - RASA - MVT'!D51,'5 - RASA - National Landin'!D51,'6 - RASA - Mosaic'!D51,'7 - RASA - Rockville'!D51)</f>
        <v>0</v>
      </c>
      <c r="E51" s="23">
        <f>IFERROR(D51/D148, "NA")</f>
        <v>0</v>
      </c>
      <c r="F51" s="21">
        <f>SUM('4 - RASA - MVT'!F51,'5 - RASA - National Landin'!F51,'6 - RASA - Mosaic'!F51,'7 - RASA - Rockville'!F51)</f>
        <v>0</v>
      </c>
      <c r="G51" s="23">
        <f>IFERROR(F51/F148, "NA")</f>
        <v>0</v>
      </c>
      <c r="H51" s="21">
        <f>SUM('4 - RASA - MVT'!H51,'5 - RASA - National Landin'!H51,'6 - RASA - Mosaic'!H51,'7 - RASA - Rockville'!H51)</f>
        <v>0</v>
      </c>
      <c r="I51" s="23">
        <f>IFERROR(H51/H148, "NA")</f>
        <v>0</v>
      </c>
      <c r="J51" s="21">
        <f>SUM('4 - RASA - MVT'!J51,'5 - RASA - National Landin'!J51,'6 - RASA - Mosaic'!J51,'7 - RASA - Rockville'!J51)</f>
        <v>0</v>
      </c>
      <c r="K51" s="23">
        <f>IFERROR(J51/J148, "NA")</f>
        <v>0</v>
      </c>
      <c r="L51" s="21">
        <f>SUM('4 - RASA - MVT'!L51,'5 - RASA - National Landin'!L51,'6 - RASA - Mosaic'!L51,'7 - RASA - Rockville'!L51)</f>
        <v>0</v>
      </c>
      <c r="M51" s="23">
        <f>IFERROR(L51/L148, "NA")</f>
        <v>0</v>
      </c>
      <c r="N51" s="21">
        <f>SUM('4 - RASA - MVT'!N51,'5 - RASA - National Landin'!N51,'6 - RASA - Mosaic'!N51,'7 - RASA - Rockville'!N51)</f>
        <v>0</v>
      </c>
      <c r="O51" s="23">
        <f>IFERROR(N51/N148, "NA")</f>
        <v>0</v>
      </c>
      <c r="P51" s="21">
        <f>SUM('4 - RASA - MVT'!P51,'5 - RASA - National Landin'!P51,'6 - RASA - Mosaic'!P51,'7 - RASA - Rockville'!P51)</f>
        <v>0</v>
      </c>
      <c r="Q51" s="23">
        <f>IFERROR(P51/P148, "NA")</f>
        <v>0</v>
      </c>
      <c r="R51" s="21">
        <f>SUM('4 - RASA - MVT'!R51,'5 - RASA - National Landin'!R51,'6 - RASA - Mosaic'!R51,'7 - RASA - Rockville'!R51)</f>
        <v>0</v>
      </c>
      <c r="S51" s="23">
        <f>IFERROR(R51/R148, "NA")</f>
        <v>0</v>
      </c>
      <c r="T51" s="21">
        <f>SUM('4 - RASA - MVT'!T51,'5 - RASA - National Landin'!T51,'6 - RASA - Mosaic'!T51,'7 - RASA - Rockville'!T51)</f>
        <v>0</v>
      </c>
      <c r="U51" s="23">
        <f>IFERROR(T51/T148, "NA")</f>
        <v>0</v>
      </c>
      <c r="V51" s="21">
        <f>SUM('4 - RASA - MVT'!V51,'5 - RASA - National Landin'!V51,'6 - RASA - Mosaic'!V51,'7 - RASA - Rockville'!V51)</f>
        <v>0</v>
      </c>
      <c r="W51" s="23">
        <f>IFERROR(V51/V148, "NA")</f>
        <v>0</v>
      </c>
      <c r="X51" s="21">
        <f>SUM('4 - RASA - MVT'!X51,'5 - RASA - National Landin'!X51,'6 - RASA - Mosaic'!X51,'7 - RASA - Rockville'!X51)</f>
        <v>0</v>
      </c>
      <c r="Y51" s="23">
        <f>IFERROR(X51/X148, "NA")</f>
        <v>0</v>
      </c>
      <c r="Z51" s="21">
        <f>SUM('4 - RASA - MVT'!Z51,'5 - RASA - National Landin'!Z51,'6 - RASA - Mosaic'!Z51,'7 - RASA - Rockville'!Z51)</f>
        <v>0</v>
      </c>
      <c r="AA51" s="23">
        <f>IFERROR(Z51/Z148, "NA")</f>
        <v>0</v>
      </c>
      <c r="AB51" s="28">
        <f t="shared" si="25"/>
        <v>0</v>
      </c>
      <c r="AC51" s="23">
        <f>IFERROR(AB51/AB148, "NA")</f>
        <v>0</v>
      </c>
      <c r="AD51" s="29">
        <f t="shared" si="26"/>
        <v>0</v>
      </c>
      <c r="AE51" s="30">
        <f>IFERROR(AD51/AD148, "NA")</f>
        <v>0</v>
      </c>
      <c r="AF51" s="29" t="str">
        <f t="shared" si="27"/>
        <v>NA</v>
      </c>
      <c r="AG51" s="28">
        <f t="shared" si="28"/>
        <v>0</v>
      </c>
      <c r="AH51" s="23">
        <f>IFERROR(AG51/AG148, "NA")</f>
        <v>0</v>
      </c>
      <c r="AI51" s="29">
        <f t="shared" si="29"/>
        <v>0</v>
      </c>
      <c r="AJ51" s="30">
        <f>IFERROR(AI51/AI148, "NA")</f>
        <v>0</v>
      </c>
      <c r="AK51" s="29" t="str">
        <f t="shared" si="30"/>
        <v>NA</v>
      </c>
      <c r="AL51" s="30" t="str">
        <f>IFERROR(AK51/AK148, "NA")</f>
        <v>NA</v>
      </c>
    </row>
    <row r="52" ht="16.5" customHeight="1">
      <c r="A52" s="65" t="s">
        <v>113</v>
      </c>
      <c r="B52" s="66">
        <f>IFERROR(B46+B47+B48+B49+B50+B51, "NA")</f>
        <v>329.95</v>
      </c>
      <c r="C52" s="67">
        <f>IFERROR(B52/B148, "NA")</f>
        <v>0.002013583004</v>
      </c>
      <c r="D52" s="66">
        <f>IFERROR(D46+D47+D48+D49+D50+D51, "NA")</f>
        <v>490.26</v>
      </c>
      <c r="E52" s="67">
        <f>IFERROR(D52/D148, "NA")</f>
        <v>0.003246204402</v>
      </c>
      <c r="F52" s="66">
        <f>IFERROR(F46+F47+F48+F49+F50+F51, "NA")</f>
        <v>532.02</v>
      </c>
      <c r="G52" s="67">
        <f>IFERROR(F52/F148, "NA")</f>
        <v>0.004486329899</v>
      </c>
      <c r="H52" s="66">
        <f>IFERROR(H46+H47+H48+H49+H50+H51, "NA")</f>
        <v>211.39</v>
      </c>
      <c r="I52" s="67">
        <f>IFERROR(H52/H148, "NA")</f>
        <v>0.003326659765</v>
      </c>
      <c r="J52" s="66">
        <f>IFERROR(J46+J47+J48+J49+J50+J51, "NA")</f>
        <v>293.38</v>
      </c>
      <c r="K52" s="67">
        <f>IFERROR(J52/J148, "NA")</f>
        <v>0.002467005338</v>
      </c>
      <c r="L52" s="66">
        <f>IFERROR(L46+L47+L48+L49+L50+L51, "NA")</f>
        <v>321.6</v>
      </c>
      <c r="M52" s="67">
        <f>IFERROR(L52/L148, "NA")</f>
        <v>0.002811314141</v>
      </c>
      <c r="N52" s="66">
        <f>IFERROR(N46+N47+N48+N49+N50+N51, "NA")</f>
        <v>233.46</v>
      </c>
      <c r="O52" s="67">
        <f>IFERROR(N52/N148, "NA")</f>
        <v>0.002280401916</v>
      </c>
      <c r="P52" s="66">
        <f>IFERROR(P46+P47+P48+P49+P50+P51, "NA")</f>
        <v>189.03</v>
      </c>
      <c r="Q52" s="67">
        <f>IFERROR(P52/P148, "NA")</f>
        <v>0.003881070036</v>
      </c>
      <c r="R52" s="66">
        <f>IFERROR(R46+R47+R48+R49+R50+R51, "NA")</f>
        <v>286.59</v>
      </c>
      <c r="S52" s="67">
        <f>IFERROR(R52/R148, "NA")</f>
        <v>0.004717236571</v>
      </c>
      <c r="T52" s="66">
        <f>IFERROR(T46+T47+T48+T49+T50+T51, "NA")</f>
        <v>289.73</v>
      </c>
      <c r="U52" s="67">
        <f>IFERROR(T52/T148, "NA")</f>
        <v>0.003095744332</v>
      </c>
      <c r="V52" s="66">
        <f>IFERROR(V46+V47+V48+V49+V50+V51, "NA")</f>
        <v>103.15</v>
      </c>
      <c r="W52" s="67">
        <f>IFERROR(V52/V148, "NA")</f>
        <v>0.0009107617694</v>
      </c>
      <c r="X52" s="66">
        <f>IFERROR(X46+X47+X48+X49+X50+X51, "NA")</f>
        <v>132.42</v>
      </c>
      <c r="Y52" s="67">
        <f>IFERROR(X52/X148, "NA")</f>
        <v>0.001380697593</v>
      </c>
      <c r="Z52" s="66">
        <f>IFERROR(Z46+Z47+Z48+Z49+Z50+Z51, "NA")</f>
        <v>811.89</v>
      </c>
      <c r="AA52" s="67">
        <f>IFERROR(Z52/Z148, "NA")</f>
        <v>0.002233483217</v>
      </c>
      <c r="AB52" s="66">
        <f t="shared" si="25"/>
        <v>202.9725</v>
      </c>
      <c r="AC52" s="67">
        <f>IFERROR(AB52/AB148, "NA")</f>
        <v>0.002233483217</v>
      </c>
      <c r="AD52" s="75">
        <f t="shared" si="26"/>
        <v>-70.5525</v>
      </c>
      <c r="AE52" s="76">
        <f>IFERROR(AD52/AD148, "NA")</f>
        <v>-0.01402374909</v>
      </c>
      <c r="AF52" s="75">
        <f t="shared" si="27"/>
        <v>-0.3475963493</v>
      </c>
      <c r="AG52" s="66">
        <f t="shared" si="28"/>
        <v>231.17</v>
      </c>
      <c r="AH52" s="67">
        <f>IFERROR(AG52/AG148, "NA")</f>
        <v>0.002472713258</v>
      </c>
      <c r="AI52" s="75">
        <f t="shared" si="29"/>
        <v>-98.75</v>
      </c>
      <c r="AJ52" s="76">
        <f>IFERROR(AI52/AI148, "NA")</f>
        <v>-0.04081181414</v>
      </c>
      <c r="AK52" s="75">
        <f t="shared" si="30"/>
        <v>-0.4271748064</v>
      </c>
      <c r="AL52" s="76">
        <f>IFERROR(AK52/AK148, "NA")</f>
        <v>-16.50487132</v>
      </c>
    </row>
    <row r="53" ht="16.5" customHeight="1">
      <c r="A53" s="19" t="s">
        <v>114</v>
      </c>
      <c r="B53" s="21">
        <f>SUM('4 - RASA - MVT'!B53,'5 - RASA - National Landin'!B53,'6 - RASA - Mosaic'!B53,'7 - RASA - Rockville'!B53)</f>
        <v>241.26</v>
      </c>
      <c r="C53" s="23">
        <f>IFERROR(B53/B148, "NA")</f>
        <v>0.00147233531</v>
      </c>
      <c r="D53" s="21">
        <f>SUM('4 - RASA - MVT'!D53,'5 - RASA - National Landin'!D53,'6 - RASA - Mosaic'!D53,'7 - RASA - Rockville'!D53)</f>
        <v>174.08</v>
      </c>
      <c r="E53" s="23">
        <f>IFERROR(D53/D148, "NA")</f>
        <v>0.001152652189</v>
      </c>
      <c r="F53" s="21">
        <f>SUM('4 - RASA - MVT'!F53,'5 - RASA - National Landin'!F53,'6 - RASA - Mosaic'!F53,'7 - RASA - Rockville'!F53)</f>
        <v>200.44</v>
      </c>
      <c r="G53" s="23">
        <f>IFERROR(F53/F148, "NA")</f>
        <v>0.001690237143</v>
      </c>
      <c r="H53" s="21">
        <f>SUM('4 - RASA - MVT'!H53,'5 - RASA - National Landin'!H53,'6 - RASA - Mosaic'!H53,'7 - RASA - Rockville'!H53)</f>
        <v>115.67</v>
      </c>
      <c r="I53" s="23">
        <f>IFERROR(H53/H148, "NA")</f>
        <v>0.001820307181</v>
      </c>
      <c r="J53" s="21">
        <f>SUM('4 - RASA - MVT'!J53,'5 - RASA - National Landin'!J53,'6 - RASA - Mosaic'!J53,'7 - RASA - Rockville'!J53)</f>
        <v>158.21</v>
      </c>
      <c r="K53" s="23">
        <f>IFERROR(J53/J148, "NA")</f>
        <v>0.001330373286</v>
      </c>
      <c r="L53" s="21">
        <f>SUM('4 - RASA - MVT'!L53,'5 - RASA - National Landin'!L53,'6 - RASA - Mosaic'!L53,'7 - RASA - Rockville'!L53)</f>
        <v>176.47</v>
      </c>
      <c r="M53" s="23">
        <f>IFERROR(L53/L148, "NA")</f>
        <v>0.001542638702</v>
      </c>
      <c r="N53" s="21">
        <f>SUM('4 - RASA - MVT'!N53,'5 - RASA - National Landin'!N53,'6 - RASA - Mosaic'!N53,'7 - RASA - Rockville'!N53)</f>
        <v>212.27</v>
      </c>
      <c r="O53" s="23">
        <f>IFERROR(N53/N148, "NA")</f>
        <v>0.002073421206</v>
      </c>
      <c r="P53" s="21">
        <f>SUM('4 - RASA - MVT'!P53,'5 - RASA - National Landin'!P53,'6 - RASA - Mosaic'!P53,'7 - RASA - Rockville'!P53)</f>
        <v>26.44</v>
      </c>
      <c r="Q53" s="23">
        <f>IFERROR(P53/P148, "NA")</f>
        <v>0.0005428529427</v>
      </c>
      <c r="R53" s="21">
        <f>SUM('4 - RASA - MVT'!R53,'5 - RASA - National Landin'!R53,'6 - RASA - Mosaic'!R53,'7 - RASA - Rockville'!R53)</f>
        <v>163.74</v>
      </c>
      <c r="S53" s="23">
        <f>IFERROR(R53/R148, "NA")</f>
        <v>0.002695140501</v>
      </c>
      <c r="T53" s="21">
        <f>SUM('4 - RASA - MVT'!T53,'5 - RASA - National Landin'!T53,'6 - RASA - Mosaic'!T53,'7 - RASA - Rockville'!T53)</f>
        <v>168.4</v>
      </c>
      <c r="U53" s="23">
        <f>IFERROR(T53/T148, "NA")</f>
        <v>0.001799341958</v>
      </c>
      <c r="V53" s="21">
        <f>SUM('4 - RASA - MVT'!V53,'5 - RASA - National Landin'!V53,'6 - RASA - Mosaic'!V53,'7 - RASA - Rockville'!V53)</f>
        <v>215.34</v>
      </c>
      <c r="W53" s="23">
        <f>IFERROR(V53/V148, "NA")</f>
        <v>0.001901342118</v>
      </c>
      <c r="X53" s="21">
        <f>SUM('4 - RASA - MVT'!X53,'5 - RASA - National Landin'!X53,'6 - RASA - Mosaic'!X53,'7 - RASA - Rockville'!X53)</f>
        <v>117.67</v>
      </c>
      <c r="Y53" s="23">
        <f>IFERROR(X53/X148, "NA")</f>
        <v>0.001226904439</v>
      </c>
      <c r="Z53" s="21">
        <f>SUM('4 - RASA - MVT'!Z53,'5 - RASA - National Landin'!Z53,'6 - RASA - Mosaic'!Z53,'7 - RASA - Rockville'!Z53)</f>
        <v>665.15</v>
      </c>
      <c r="AA53" s="23">
        <f>IFERROR(Z53/Z148, "NA")</f>
        <v>0.001829806208</v>
      </c>
      <c r="AB53" s="28">
        <f t="shared" si="25"/>
        <v>166.2875</v>
      </c>
      <c r="AC53" s="23">
        <f>IFERROR(AB53/AB148, "NA")</f>
        <v>0.001829806208</v>
      </c>
      <c r="AD53" s="29">
        <f t="shared" si="26"/>
        <v>-48.6175</v>
      </c>
      <c r="AE53" s="30">
        <f>IFERROR(AD53/AD148, "NA")</f>
        <v>-0.009663720227</v>
      </c>
      <c r="AF53" s="29">
        <f t="shared" si="27"/>
        <v>-0.2923701421</v>
      </c>
      <c r="AG53" s="28">
        <f t="shared" si="28"/>
        <v>154.8175</v>
      </c>
      <c r="AH53" s="23">
        <f>IFERROR(AG53/AG148, "NA")</f>
        <v>0.001656007635</v>
      </c>
      <c r="AI53" s="29">
        <f t="shared" si="29"/>
        <v>-37.1475</v>
      </c>
      <c r="AJ53" s="30">
        <f>IFERROR(AI53/AI148, "NA")</f>
        <v>-0.01535247459</v>
      </c>
      <c r="AK53" s="29">
        <f t="shared" si="30"/>
        <v>-0.2399438048</v>
      </c>
      <c r="AL53" s="30">
        <f>IFERROR(AK53/AK148, "NA")</f>
        <v>-9.270775249</v>
      </c>
    </row>
    <row r="54" ht="16.5" customHeight="1">
      <c r="A54" s="19" t="s">
        <v>115</v>
      </c>
      <c r="B54" s="21">
        <f>SUM('4 - RASA - MVT'!B54,'5 - RASA - National Landin'!B54,'6 - RASA - Mosaic'!B54,'7 - RASA - Rockville'!B54)</f>
        <v>48.62</v>
      </c>
      <c r="C54" s="23">
        <f>IFERROR(B54/B148, "NA")</f>
        <v>0.0002967128524</v>
      </c>
      <c r="D54" s="21">
        <f>SUM('4 - RASA - MVT'!D54,'5 - RASA - National Landin'!D54,'6 - RASA - Mosaic'!D54,'7 - RASA - Rockville'!D54)</f>
        <v>33</v>
      </c>
      <c r="E54" s="23">
        <f>IFERROR(D54/D148, "NA")</f>
        <v>0.0002185059872</v>
      </c>
      <c r="F54" s="21">
        <f>SUM('4 - RASA - MVT'!F54,'5 - RASA - National Landin'!F54,'6 - RASA - Mosaic'!F54,'7 - RASA - Rockville'!F54)</f>
        <v>27.31</v>
      </c>
      <c r="G54" s="23">
        <f>IFERROR(F54/F148, "NA")</f>
        <v>0.0002302952324</v>
      </c>
      <c r="H54" s="21">
        <f>SUM('4 - RASA - MVT'!H54,'5 - RASA - National Landin'!H54,'6 - RASA - Mosaic'!H54,'7 - RASA - Rockville'!H54)</f>
        <v>30.31</v>
      </c>
      <c r="I54" s="23">
        <f>IFERROR(H54/H148, "NA")</f>
        <v>0.0004769906689</v>
      </c>
      <c r="J54" s="21">
        <f>SUM('4 - RASA - MVT'!J54,'5 - RASA - National Landin'!J54,'6 - RASA - Mosaic'!J54,'7 - RASA - Rockville'!J54)</f>
        <v>45.93</v>
      </c>
      <c r="K54" s="23">
        <f>IFERROR(J54/J148, "NA")</f>
        <v>0.0003862211302</v>
      </c>
      <c r="L54" s="21">
        <f>SUM('4 - RASA - MVT'!L54,'5 - RASA - National Landin'!L54,'6 - RASA - Mosaic'!L54,'7 - RASA - Rockville'!L54)</f>
        <v>42</v>
      </c>
      <c r="M54" s="23">
        <f>IFERROR(L54/L148, "NA")</f>
        <v>0.0003671492348</v>
      </c>
      <c r="N54" s="21">
        <f>SUM('4 - RASA - MVT'!N54,'5 - RASA - National Landin'!N54,'6 - RASA - Mosaic'!N54,'7 - RASA - Rockville'!N54)</f>
        <v>33</v>
      </c>
      <c r="O54" s="23">
        <f>IFERROR(N54/N148, "NA")</f>
        <v>0.0003223390012</v>
      </c>
      <c r="P54" s="21">
        <f>SUM('4 - RASA - MVT'!P54,'5 - RASA - National Landin'!P54,'6 - RASA - Mosaic'!P54,'7 - RASA - Rockville'!P54)</f>
        <v>15</v>
      </c>
      <c r="Q54" s="23">
        <f>IFERROR(P54/P148, "NA")</f>
        <v>0.0003079725469</v>
      </c>
      <c r="R54" s="21">
        <f>SUM('4 - RASA - MVT'!R54,'5 - RASA - National Landin'!R54,'6 - RASA - Mosaic'!R54,'7 - RASA - Rockville'!R54)</f>
        <v>24</v>
      </c>
      <c r="S54" s="23">
        <f>IFERROR(R54/R148, "NA")</f>
        <v>0.0003950370833</v>
      </c>
      <c r="T54" s="21">
        <f>SUM('4 - RASA - MVT'!T54,'5 - RASA - National Landin'!T54,'6 - RASA - Mosaic'!T54,'7 - RASA - Rockville'!T54)</f>
        <v>30.31</v>
      </c>
      <c r="U54" s="23">
        <f>IFERROR(T54/T148, "NA")</f>
        <v>0.0003238601826</v>
      </c>
      <c r="V54" s="21">
        <f>SUM('4 - RASA - MVT'!V54,'5 - RASA - National Landin'!V54,'6 - RASA - Mosaic'!V54,'7 - RASA - Rockville'!V54)</f>
        <v>36.31</v>
      </c>
      <c r="W54" s="23">
        <f>IFERROR(V54/V148, "NA")</f>
        <v>0.0003205987382</v>
      </c>
      <c r="X54" s="21">
        <f>SUM('4 - RASA - MVT'!X54,'5 - RASA - National Landin'!X54,'6 - RASA - Mosaic'!X54,'7 - RASA - Rockville'!X54)</f>
        <v>42.93</v>
      </c>
      <c r="Y54" s="23">
        <f>IFERROR(X54/X148, "NA")</f>
        <v>0.0004476162791</v>
      </c>
      <c r="Z54" s="21">
        <f>SUM('4 - RASA - MVT'!Z54,'5 - RASA - National Landin'!Z54,'6 - RASA - Mosaic'!Z54,'7 - RASA - Rockville'!Z54)</f>
        <v>133.55</v>
      </c>
      <c r="AA54" s="23">
        <f>IFERROR(Z54/Z148, "NA")</f>
        <v>0.0003673917447</v>
      </c>
      <c r="AB54" s="28">
        <f t="shared" si="25"/>
        <v>33.3875</v>
      </c>
      <c r="AC54" s="23">
        <f>IFERROR(AB54/AB148, "NA")</f>
        <v>0.0003673917447</v>
      </c>
      <c r="AD54" s="29">
        <f t="shared" si="26"/>
        <v>9.5425</v>
      </c>
      <c r="AE54" s="30">
        <f>IFERROR(AD54/AD148, "NA")</f>
        <v>0.001896766602</v>
      </c>
      <c r="AF54" s="29">
        <f t="shared" si="27"/>
        <v>0.2858105578</v>
      </c>
      <c r="AG54" s="28">
        <f t="shared" si="28"/>
        <v>33.685</v>
      </c>
      <c r="AH54" s="23">
        <f>IFERROR(AG54/AG148, "NA")</f>
        <v>0.0003603120911</v>
      </c>
      <c r="AI54" s="29">
        <f t="shared" si="29"/>
        <v>9.245</v>
      </c>
      <c r="AJ54" s="30">
        <f>IFERROR(AI54/AI148, "NA")</f>
        <v>0.003820812372</v>
      </c>
      <c r="AK54" s="29">
        <f t="shared" si="30"/>
        <v>0.274454505</v>
      </c>
      <c r="AL54" s="30">
        <f>IFERROR(AK54/AK148, "NA")</f>
        <v>10.60417473</v>
      </c>
    </row>
    <row r="55" ht="16.5" customHeight="1">
      <c r="A55" s="19" t="s">
        <v>116</v>
      </c>
      <c r="B55" s="21">
        <f>SUM('4 - RASA - MVT'!B55,'5 - RASA - National Landin'!B55,'6 - RASA - Mosaic'!B55,'7 - RASA - Rockville'!B55)</f>
        <v>-1216.67</v>
      </c>
      <c r="C55" s="23">
        <f>IFERROR(B55/B148, "NA")</f>
        <v>-0.00742496146</v>
      </c>
      <c r="D55" s="21">
        <f>SUM('4 - RASA - MVT'!D55,'5 - RASA - National Landin'!D55,'6 - RASA - Mosaic'!D55,'7 - RASA - Rockville'!D55)</f>
        <v>-1051.48</v>
      </c>
      <c r="E55" s="23">
        <f>IFERROR(D55/D148, "NA")</f>
        <v>-0.00696226289</v>
      </c>
      <c r="F55" s="21">
        <f>SUM('4 - RASA - MVT'!F55,'5 - RASA - National Landin'!F55,'6 - RASA - Mosaic'!F55,'7 - RASA - Rockville'!F55)</f>
        <v>-1151.01</v>
      </c>
      <c r="G55" s="23">
        <f>IFERROR(F55/F148, "NA")</f>
        <v>-0.009706045971</v>
      </c>
      <c r="H55" s="21">
        <f>SUM('4 - RASA - MVT'!H55,'5 - RASA - National Landin'!H55,'6 - RASA - Mosaic'!H55,'7 - RASA - Rockville'!H55)</f>
        <v>-753.52</v>
      </c>
      <c r="I55" s="23">
        <f>IFERROR(H55/H148, "NA")</f>
        <v>-0.0118581989</v>
      </c>
      <c r="J55" s="21">
        <f>SUM('4 - RASA - MVT'!J55,'5 - RASA - National Landin'!J55,'6 - RASA - Mosaic'!J55,'7 - RASA - Rockville'!J55)</f>
        <v>-2235.42</v>
      </c>
      <c r="K55" s="23">
        <f>IFERROR(J55/J148, "NA")</f>
        <v>-0.01879744043</v>
      </c>
      <c r="L55" s="21">
        <f>SUM('4 - RASA - MVT'!L55,'5 - RASA - National Landin'!L55,'6 - RASA - Mosaic'!L55,'7 - RASA - Rockville'!L55)</f>
        <v>-1690.05</v>
      </c>
      <c r="M55" s="23">
        <f>IFERROR(L55/L148, "NA")</f>
        <v>-0.01477382296</v>
      </c>
      <c r="N55" s="21">
        <f>SUM('4 - RASA - MVT'!N55,'5 - RASA - National Landin'!N55,'6 - RASA - Mosaic'!N55,'7 - RASA - Rockville'!N55)</f>
        <v>-1343.4</v>
      </c>
      <c r="O55" s="23">
        <f>IFERROR(N55/N148, "NA")</f>
        <v>-0.0131221277</v>
      </c>
      <c r="P55" s="21">
        <f>SUM('4 - RASA - MVT'!P55,'5 - RASA - National Landin'!P55,'6 - RASA - Mosaic'!P55,'7 - RASA - Rockville'!P55)</f>
        <v>-753.17</v>
      </c>
      <c r="Q55" s="23">
        <f>IFERROR(P55/P148, "NA")</f>
        <v>-0.01546371221</v>
      </c>
      <c r="R55" s="21">
        <f>SUM('4 - RASA - MVT'!R55,'5 - RASA - National Landin'!R55,'6 - RASA - Mosaic'!R55,'7 - RASA - Rockville'!R55)</f>
        <v>-911.31</v>
      </c>
      <c r="S55" s="23">
        <f>IFERROR(R55/R148, "NA")</f>
        <v>-0.01500005185</v>
      </c>
      <c r="T55" s="21">
        <f>SUM('4 - RASA - MVT'!T55,'5 - RASA - National Landin'!T55,'6 - RASA - Mosaic'!T55,'7 - RASA - Rockville'!T55)</f>
        <v>-1549.26</v>
      </c>
      <c r="U55" s="23">
        <f>IFERROR(T55/T148, "NA")</f>
        <v>-0.01655373231</v>
      </c>
      <c r="V55" s="21">
        <f>SUM('4 - RASA - MVT'!V55,'5 - RASA - National Landin'!V55,'6 - RASA - Mosaic'!V55,'7 - RASA - Rockville'!V55)</f>
        <v>-958.73</v>
      </c>
      <c r="W55" s="23">
        <f>IFERROR(V55/V148, "NA")</f>
        <v>-0.008465095795</v>
      </c>
      <c r="X55" s="21">
        <f>SUM('4 - RASA - MVT'!X55,'5 - RASA - National Landin'!X55,'6 - RASA - Mosaic'!X55,'7 - RASA - Rockville'!X55)</f>
        <v>-818.27</v>
      </c>
      <c r="Y55" s="23">
        <f>IFERROR(X55/X148, "NA")</f>
        <v>-0.008531818605</v>
      </c>
      <c r="Z55" s="21">
        <f>SUM('4 - RASA - MVT'!Z55,'5 - RASA - National Landin'!Z55,'6 - RASA - Mosaic'!Z55,'7 - RASA - Rockville'!Z55)</f>
        <v>-4237.57</v>
      </c>
      <c r="AA55" s="23">
        <f>IFERROR(Z55/Z148, "NA")</f>
        <v>-0.01165741846</v>
      </c>
      <c r="AB55" s="28">
        <f t="shared" si="25"/>
        <v>-1059.3925</v>
      </c>
      <c r="AC55" s="23">
        <f>IFERROR(AB55/AB148, "NA")</f>
        <v>-0.01165741846</v>
      </c>
      <c r="AD55" s="29">
        <f t="shared" si="26"/>
        <v>241.1225</v>
      </c>
      <c r="AE55" s="30">
        <f>IFERROR(AD55/AD148, "NA")</f>
        <v>0.04792801729</v>
      </c>
      <c r="AF55" s="29">
        <f t="shared" si="27"/>
        <v>-0.2276044997</v>
      </c>
      <c r="AG55" s="28">
        <f t="shared" si="28"/>
        <v>-1282.45125</v>
      </c>
      <c r="AH55" s="23">
        <f>IFERROR(AG55/AG148, "NA")</f>
        <v>-0.0137177584</v>
      </c>
      <c r="AI55" s="29">
        <f t="shared" si="29"/>
        <v>464.18125</v>
      </c>
      <c r="AJ55" s="30">
        <f>IFERROR(AI55/AI148, "NA")</f>
        <v>0.1918387737</v>
      </c>
      <c r="AK55" s="29">
        <f t="shared" si="30"/>
        <v>-0.3619484561</v>
      </c>
      <c r="AL55" s="30">
        <f>IFERROR(AK55/AK148, "NA")</f>
        <v>-13.98470276</v>
      </c>
    </row>
    <row r="56" ht="16.5" customHeight="1">
      <c r="A56" s="65" t="s">
        <v>117</v>
      </c>
      <c r="B56" s="66">
        <f>IFERROR(B37+B39+B40+B41+B42+B43+B46+B47+B48+B49+B50+B51+B53+B54+B55, "NA")</f>
        <v>6025.53</v>
      </c>
      <c r="C56" s="67">
        <f>IFERROR(B56/B148, "NA")</f>
        <v>0.03677194969</v>
      </c>
      <c r="D56" s="66">
        <f>IFERROR(D37+D39+D40+D41+D42+D43+D46+D47+D48+D49+D50+D51+D53+D54+D55, "NA")</f>
        <v>5121.99</v>
      </c>
      <c r="E56" s="67">
        <f>IFERROR(D56/D148, "NA")</f>
        <v>0.03391471155</v>
      </c>
      <c r="F56" s="66">
        <f>IFERROR(F37+F39+F40+F41+F42+F43+F46+F47+F48+F49+F50+F51+F53+F54+F55, "NA")</f>
        <v>4219.43</v>
      </c>
      <c r="G56" s="67">
        <f>IFERROR(F56/F148, "NA")</f>
        <v>0.03558090855</v>
      </c>
      <c r="H56" s="66">
        <f>IFERROR(H37+H39+H40+H41+H42+H43+H46+H47+H48+H49+H50+H51+H53+H54+H55, "NA")</f>
        <v>2263.59</v>
      </c>
      <c r="I56" s="67">
        <f>IFERROR(H56/H148, "NA")</f>
        <v>0.03562228004</v>
      </c>
      <c r="J56" s="66">
        <f>IFERROR(J37+J39+J40+J41+J42+J43+J46+J47+J48+J49+J50+J51+J53+J54+J55, "NA")</f>
        <v>4050.92</v>
      </c>
      <c r="K56" s="67">
        <f>IFERROR(J56/J148, "NA")</f>
        <v>0.03406381234</v>
      </c>
      <c r="L56" s="66">
        <f>IFERROR(L37+L39+L40+L41+L42+L43+L46+L47+L48+L49+L50+L51+L53+L54+L55, "NA")</f>
        <v>3938.65</v>
      </c>
      <c r="M56" s="67">
        <f>IFERROR(L56/L148, "NA")</f>
        <v>0.03443029366</v>
      </c>
      <c r="N56" s="66">
        <f>IFERROR(N37+N39+N40+N41+N42+N43+N46+N47+N48+N49+N50+N51+N53+N54+N55, "NA")</f>
        <v>4484.25</v>
      </c>
      <c r="O56" s="67">
        <f>IFERROR(N56/N148, "NA")</f>
        <v>0.04380147473</v>
      </c>
      <c r="P56" s="66">
        <f>IFERROR(P37+P39+P40+P41+P42+P43+P46+P47+P48+P49+P50+P51+P53+P54+P55, "NA")</f>
        <v>1105.78</v>
      </c>
      <c r="Q56" s="67">
        <f>IFERROR(P56/P148, "NA")</f>
        <v>0.02270332553</v>
      </c>
      <c r="R56" s="66">
        <f>IFERROR(R37+R39+R40+R41+R42+R43+R46+R47+R48+R49+R50+R51+R53+R54+R55, "NA")</f>
        <v>2247.7</v>
      </c>
      <c r="S56" s="67">
        <f>IFERROR(R56/R148, "NA")</f>
        <v>0.03699686884</v>
      </c>
      <c r="T56" s="66">
        <f>IFERROR(T37+T39+T40+T41+T42+T43+T46+T47+T48+T49+T50+T51+T53+T54+T55, "NA")</f>
        <v>2888.77</v>
      </c>
      <c r="U56" s="67">
        <f>IFERROR(T56/T148, "NA")</f>
        <v>0.03086630088</v>
      </c>
      <c r="V56" s="66">
        <f>IFERROR(V37+V39+V40+V41+V42+V43+V46+V47+V48+V49+V50+V51+V53+V54+V55, "NA")</f>
        <v>3947.83</v>
      </c>
      <c r="W56" s="67">
        <f>IFERROR(V56/V148, "NA")</f>
        <v>0.03485732076</v>
      </c>
      <c r="X56" s="66">
        <f>IFERROR(X37+X39+X40+X41+X42+X43+X46+X47+X48+X49+X50+X51+X53+X54+X55, "NA")</f>
        <v>3652.23</v>
      </c>
      <c r="Y56" s="67">
        <f>IFERROR(X56/X148, "NA")</f>
        <v>0.03808054048</v>
      </c>
      <c r="Z56" s="66">
        <f>IFERROR(Z37+Z39+Z40+Z41+Z42+Z43+Z46+Z47+Z48+Z49+Z50+Z51+Z53+Z54+Z55, "NA")</f>
        <v>12736.53</v>
      </c>
      <c r="AA56" s="67">
        <f>IFERROR(Z56/Z148, "NA")</f>
        <v>0.03503778344</v>
      </c>
      <c r="AB56" s="66">
        <f t="shared" si="25"/>
        <v>3184.1325</v>
      </c>
      <c r="AC56" s="67">
        <f>IFERROR(AB56/AB148, "NA")</f>
        <v>0.03503778344</v>
      </c>
      <c r="AD56" s="75">
        <f t="shared" si="26"/>
        <v>468.0975</v>
      </c>
      <c r="AE56" s="76">
        <f>IFERROR(AD56/AD148, "NA")</f>
        <v>0.09304393025</v>
      </c>
      <c r="AF56" s="75">
        <f t="shared" si="27"/>
        <v>0.1470094288</v>
      </c>
      <c r="AG56" s="66">
        <f t="shared" si="28"/>
        <v>3289.51625</v>
      </c>
      <c r="AH56" s="67">
        <f>IFERROR(AG56/AG148, "NA")</f>
        <v>0.03518635829</v>
      </c>
      <c r="AI56" s="75">
        <f t="shared" si="29"/>
        <v>362.71375</v>
      </c>
      <c r="AJ56" s="76">
        <f>IFERROR(AI56/AI148, "NA")</f>
        <v>0.1499038598</v>
      </c>
      <c r="AK56" s="75">
        <f t="shared" si="30"/>
        <v>0.1102635532</v>
      </c>
      <c r="AL56" s="76">
        <f>IFERROR(AK56/AK148, "NA")</f>
        <v>4.260283447</v>
      </c>
    </row>
    <row r="57" ht="16.5" customHeight="1">
      <c r="A57" s="65" t="s">
        <v>55</v>
      </c>
      <c r="B57" s="118">
        <f>IFERROR(B13+B15+B16+B17+B18+B19+B20+B21+B22+B23+B24+B25+B26+B29+B30+B31+B32+B33+B37+B39+B40+B41+B42+B43+B46+B47+B48+B49+B50+B51+B53+B54+B55, "NA")</f>
        <v>41658.45</v>
      </c>
      <c r="C57" s="92">
        <f>IFERROR(B57/B148, "NA")</f>
        <v>0.2542286616</v>
      </c>
      <c r="D57" s="118">
        <f>IFERROR(D13+D15+D16+D17+D18+D19+D20+D21+D22+D23+D24+D25+D26+D29+D30+D31+D32+D33+D37+D39+D40+D41+D42+D43+D46+D47+D48+D49+D50+D51+D53+D54+D55, "NA")</f>
        <v>39168.41</v>
      </c>
      <c r="E57" s="92">
        <f>IFERROR(D57/D148, "NA")</f>
        <v>0.2593494574</v>
      </c>
      <c r="F57" s="118">
        <f>IFERROR(F13+F15+F16+F17+F18+F19+F20+F21+F22+F23+F24+F25+F26+F29+F30+F31+F32+F33+F37+F39+F40+F41+F42+F43+F46+F47+F48+F49+F50+F51+F53+F54+F55, "NA")</f>
        <v>29967.48</v>
      </c>
      <c r="G57" s="92">
        <f>IFERROR(F57/F148, "NA")</f>
        <v>0.2527047884</v>
      </c>
      <c r="H57" s="118">
        <f>IFERROR(H13+H15+H16+H17+H18+H19+H20+H21+H22+H23+H24+H25+H26+H29+H30+H31+H32+H33+H37+H39+H40+H41+H42+H43+H46+H47+H48+H49+H50+H51+H53+H54+H55, "NA")</f>
        <v>20509.29</v>
      </c>
      <c r="I57" s="92">
        <f>IFERROR(H57/H148, "NA")</f>
        <v>0.3227561846</v>
      </c>
      <c r="J57" s="118">
        <f>IFERROR(J13+J15+J16+J17+J18+J19+J20+J21+J22+J23+J24+J25+J26+J29+J30+J31+J32+J33+J37+J39+J40+J41+J42+J43+J46+J47+J48+J49+J50+J51+J53+J54+J55, "NA")</f>
        <v>31508.58</v>
      </c>
      <c r="K57" s="92">
        <f>IFERROR(J57/J148, "NA")</f>
        <v>0.2649527407</v>
      </c>
      <c r="L57" s="118">
        <f>IFERROR(L13+L15+L16+L17+L18+L19+L20+L21+L22+L23+L24+L25+L26+L29+L30+L31+L32+L33+L37+L39+L40+L41+L42+L43+L46+L47+L48+L49+L50+L51+L53+L54+L55, "NA")</f>
        <v>33229.84</v>
      </c>
      <c r="M57" s="92">
        <f>IFERROR(L57/L148, "NA")</f>
        <v>0.2904835793</v>
      </c>
      <c r="N57" s="118">
        <f>IFERROR(N13+N15+N16+N17+N18+N19+N20+N21+N22+N23+N24+N25+N26+N29+N30+N31+N32+N33+N37+N39+N40+N41+N42+N43+N46+N47+N48+N49+N50+N51+N53+N54+N55, "NA")</f>
        <v>29638.93</v>
      </c>
      <c r="O57" s="92">
        <f>IFERROR(N57/N148, "NA")</f>
        <v>0.2895085786</v>
      </c>
      <c r="P57" s="118">
        <f>IFERROR(P13+P15+P16+P17+P18+P19+P20+P21+P22+P23+P24+P25+P26+P29+P30+P31+P32+P33+P37+P39+P40+P41+P42+P43+P46+P47+P48+P49+P50+P51+P53+P54+P55, "NA")</f>
        <v>13877.06</v>
      </c>
      <c r="Q57" s="92">
        <f>IFERROR(P57/P148, "NA")</f>
        <v>0.2849169008</v>
      </c>
      <c r="R57" s="118">
        <f>IFERROR(R13+R15+R16+R17+R18+R19+R20+R21+R22+R23+R24+R25+R26+R29+R30+R31+R32+R33+R37+R39+R40+R41+R42+R43+R46+R47+R48+R49+R50+R51+R53+R54+R55, "NA")</f>
        <v>19304.14</v>
      </c>
      <c r="S57" s="92">
        <f>IFERROR(R57/R148, "NA")</f>
        <v>0.3177437984</v>
      </c>
      <c r="T57" s="118">
        <f>IFERROR(T13+T15+T16+T17+T18+T19+T20+T21+T22+T23+T24+T25+T26+T29+T30+T31+T32+T33+T37+T39+T40+T41+T42+T43+T46+T47+T48+T49+T50+T51+T53+T54+T55, "NA")</f>
        <v>25723.81</v>
      </c>
      <c r="U57" s="92">
        <f>IFERROR(T57/T148, "NA")</f>
        <v>0.2748570704</v>
      </c>
      <c r="V57" s="118">
        <f>IFERROR(V13+V15+V16+V17+V18+V19+V20+V21+V22+V23+V24+V25+V26+V29+V30+V31+V32+V33+V37+V39+V40+V41+V42+V43+V46+V47+V48+V49+V50+V51+V53+V54+V55, "NA")</f>
        <v>31816.52</v>
      </c>
      <c r="W57" s="92">
        <f>IFERROR(V57/V148, "NA")</f>
        <v>0.2809236069</v>
      </c>
      <c r="X57" s="118">
        <f>IFERROR(X13+X15+X16+X17+X18+X19+X20+X21+X22+X23+X24+X25+X26+X29+X30+X31+X32+X33+X37+X39+X40+X41+X42+X43+X46+X47+X48+X49+X50+X51+X53+X54+X55, "NA")</f>
        <v>25802.23</v>
      </c>
      <c r="Y57" s="92">
        <f>IFERROR(X57/X148, "NA")</f>
        <v>0.2690309384</v>
      </c>
      <c r="Z57" s="118">
        <f>IFERROR(Z13+Z15+Z16+Z17+Z18+Z19+Z20+Z21+Z22+Z23+Z24+Z25+Z26+Z29+Z30+Z31+Z32+Z33+Z37+Z39+Z40+Z41+Z42+Z43+Z46+Z47+Z48+Z49+Z50+Z51+Z53+Z54+Z55, "NA")</f>
        <v>102646.7</v>
      </c>
      <c r="AA57" s="92">
        <f>IFERROR(Z57/Z148, "NA")</f>
        <v>0.2823777627</v>
      </c>
      <c r="AB57" s="118">
        <f t="shared" si="25"/>
        <v>25661.675</v>
      </c>
      <c r="AC57" s="92">
        <f>IFERROR(AB57/AB148, "NA")</f>
        <v>0.2823777627</v>
      </c>
      <c r="AD57" s="119">
        <f t="shared" si="26"/>
        <v>140.555</v>
      </c>
      <c r="AE57" s="120">
        <f>IFERROR(AD57/AD148, "NA")</f>
        <v>0.02793817445</v>
      </c>
      <c r="AF57" s="119">
        <f t="shared" si="27"/>
        <v>0.005477234046</v>
      </c>
      <c r="AG57" s="118">
        <f t="shared" si="28"/>
        <v>26362.63875</v>
      </c>
      <c r="AH57" s="92">
        <f>IFERROR(AG57/AG148, "NA")</f>
        <v>0.2819883478</v>
      </c>
      <c r="AI57" s="119">
        <f t="shared" si="29"/>
        <v>-560.40875</v>
      </c>
      <c r="AJ57" s="120">
        <f>IFERROR(AI57/AI148, "NA")</f>
        <v>-0.2316080785</v>
      </c>
      <c r="AK57" s="119">
        <f t="shared" si="30"/>
        <v>-0.02125768802</v>
      </c>
      <c r="AL57" s="120">
        <f>IFERROR(AK57/AK148, "NA")</f>
        <v>-0.8213391804</v>
      </c>
    </row>
    <row r="58" ht="3.75" customHeight="1">
      <c r="A58" s="77"/>
      <c r="B58" s="78"/>
      <c r="C58" s="74"/>
      <c r="D58" s="78"/>
      <c r="E58" s="74"/>
      <c r="F58" s="78"/>
      <c r="G58" s="74"/>
      <c r="H58" s="78"/>
      <c r="I58" s="74"/>
      <c r="J58" s="78"/>
      <c r="K58" s="74"/>
      <c r="L58" s="78"/>
      <c r="M58" s="74"/>
      <c r="N58" s="78"/>
      <c r="O58" s="74"/>
      <c r="P58" s="78"/>
      <c r="Q58" s="74"/>
      <c r="R58" s="78"/>
      <c r="S58" s="74"/>
      <c r="T58" s="78"/>
      <c r="U58" s="74"/>
      <c r="V58" s="78"/>
      <c r="W58" s="74"/>
      <c r="X58" s="78"/>
      <c r="Y58" s="74"/>
      <c r="Z58" s="78"/>
      <c r="AA58" s="74"/>
      <c r="AB58" s="78"/>
      <c r="AC58" s="74"/>
      <c r="AD58" s="79"/>
      <c r="AE58" s="80"/>
      <c r="AF58" s="79"/>
      <c r="AG58" s="78"/>
      <c r="AH58" s="74"/>
      <c r="AI58" s="79"/>
      <c r="AJ58" s="80"/>
      <c r="AK58" s="79"/>
      <c r="AL58" s="80"/>
    </row>
    <row r="59" ht="16.5" customHeight="1">
      <c r="A59" s="121" t="s">
        <v>118</v>
      </c>
      <c r="B59" s="122">
        <f>IFERROR(B9-B57, "NA")</f>
        <v>122203.68</v>
      </c>
      <c r="C59" s="94">
        <f>IFERROR(B59/B148, "NA")</f>
        <v>0.7457713384</v>
      </c>
      <c r="D59" s="122">
        <f>IFERROR(D9-D57, "NA")</f>
        <v>111857.2</v>
      </c>
      <c r="E59" s="94">
        <f>IFERROR(D59/D148, "NA")</f>
        <v>0.7406505426</v>
      </c>
      <c r="F59" s="122">
        <f>IFERROR(F9-F57, "NA")</f>
        <v>88619.43</v>
      </c>
      <c r="G59" s="94">
        <f>IFERROR(F59/F148, "NA")</f>
        <v>0.7472952116</v>
      </c>
      <c r="H59" s="122">
        <f>IFERROR(H9-H57, "NA")</f>
        <v>43034.93</v>
      </c>
      <c r="I59" s="94">
        <f>IFERROR(H59/H148, "NA")</f>
        <v>0.6772438154</v>
      </c>
      <c r="J59" s="122">
        <f>IFERROR(J9-J57, "NA")</f>
        <v>87412.93</v>
      </c>
      <c r="K59" s="94">
        <f>IFERROR(J59/J148, "NA")</f>
        <v>0.7350472593</v>
      </c>
      <c r="L59" s="122">
        <f>IFERROR(L9-L57, "NA")</f>
        <v>81165.06</v>
      </c>
      <c r="M59" s="94">
        <f>IFERROR(L59/L148, "NA")</f>
        <v>0.7095164207</v>
      </c>
      <c r="N59" s="122">
        <f>IFERROR(N9-N57, "NA")</f>
        <v>72737.76</v>
      </c>
      <c r="O59" s="94">
        <f>IFERROR(N59/N148, "NA")</f>
        <v>0.7104914214</v>
      </c>
      <c r="P59" s="122">
        <f>IFERROR(P9-P57, "NA")</f>
        <v>34828.58</v>
      </c>
      <c r="Q59" s="94">
        <f>IFERROR(P59/P148, "NA")</f>
        <v>0.7150830992</v>
      </c>
      <c r="R59" s="122">
        <f>IFERROR(R9-R57, "NA")</f>
        <v>41449.65</v>
      </c>
      <c r="S59" s="94">
        <f>IFERROR(R59/R148, "NA")</f>
        <v>0.6822562016</v>
      </c>
      <c r="T59" s="122">
        <f>IFERROR(T9-T57, "NA")</f>
        <v>67865.96</v>
      </c>
      <c r="U59" s="94">
        <f>IFERROR(T59/T148, "NA")</f>
        <v>0.7251429296</v>
      </c>
      <c r="V59" s="122">
        <f>IFERROR(V9-V57, "NA")</f>
        <v>81440.32</v>
      </c>
      <c r="W59" s="94">
        <f>IFERROR(V59/V148, "NA")</f>
        <v>0.7190763931</v>
      </c>
      <c r="X59" s="122">
        <f>IFERROR(X9-X57, "NA")</f>
        <v>70105.81</v>
      </c>
      <c r="Y59" s="94">
        <f>IFERROR(X59/X148, "NA")</f>
        <v>0.7309690616</v>
      </c>
      <c r="Z59" s="122">
        <f>IFERROR(Z9-Z57, "NA")</f>
        <v>260861.74</v>
      </c>
      <c r="AA59" s="94">
        <f>IFERROR(Z59/Z148, "NA")</f>
        <v>0.7176222373</v>
      </c>
      <c r="AB59" s="122">
        <f>IFERROR((R59+T59+V59+X59)/4, "NA")</f>
        <v>65215.435</v>
      </c>
      <c r="AC59" s="94">
        <f>IFERROR(AB59/AB148, "NA")</f>
        <v>0.7176222373</v>
      </c>
      <c r="AD59" s="75">
        <f>IFERROR(X59-AB59, "NA")</f>
        <v>4890.375</v>
      </c>
      <c r="AE59" s="76">
        <f>IFERROR(AD59/AD148, "NA")</f>
        <v>0.9720618255</v>
      </c>
      <c r="AF59" s="75">
        <f>IFERROR((X59-AB59)/AB59, "NA")</f>
        <v>0.07498799939</v>
      </c>
      <c r="AG59" s="122">
        <f>IFERROR((J59+L59+N59+P59+R59+T59+V59+X59)/8, "NA")</f>
        <v>67125.75875</v>
      </c>
      <c r="AH59" s="94">
        <f>IFERROR(AG59/AG148, "NA")</f>
        <v>0.7180116522</v>
      </c>
      <c r="AI59" s="75">
        <f>IFERROR(X59-AG59, "NA")</f>
        <v>2980.05125</v>
      </c>
      <c r="AJ59" s="76">
        <f>IFERROR(AI59/AI148, "NA")</f>
        <v>1.231608078</v>
      </c>
      <c r="AK59" s="75">
        <f>IFERROR((X59-AG59)/AG59, "NA")</f>
        <v>0.04439504753</v>
      </c>
      <c r="AL59" s="76">
        <f>IFERROR(AK59/AK148, "NA")</f>
        <v>1.715303748</v>
      </c>
    </row>
    <row r="60" ht="3.75" customHeight="1">
      <c r="A60" s="123"/>
      <c r="B60" s="124"/>
      <c r="C60" s="74"/>
      <c r="D60" s="124"/>
      <c r="E60" s="74"/>
      <c r="F60" s="124"/>
      <c r="G60" s="74"/>
      <c r="H60" s="124"/>
      <c r="I60" s="74"/>
      <c r="J60" s="124"/>
      <c r="K60" s="74"/>
      <c r="L60" s="124"/>
      <c r="M60" s="74"/>
      <c r="N60" s="124"/>
      <c r="O60" s="74"/>
      <c r="P60" s="124"/>
      <c r="Q60" s="74"/>
      <c r="R60" s="124"/>
      <c r="S60" s="74"/>
      <c r="T60" s="124"/>
      <c r="U60" s="74"/>
      <c r="V60" s="124"/>
      <c r="W60" s="74"/>
      <c r="X60" s="124"/>
      <c r="Y60" s="74"/>
      <c r="Z60" s="124"/>
      <c r="AA60" s="74"/>
      <c r="AB60" s="124"/>
      <c r="AC60" s="74"/>
      <c r="AD60" s="125"/>
      <c r="AE60" s="80"/>
      <c r="AF60" s="125"/>
      <c r="AG60" s="124"/>
      <c r="AH60" s="74"/>
      <c r="AI60" s="125"/>
      <c r="AJ60" s="80"/>
      <c r="AK60" s="125"/>
      <c r="AL60" s="80"/>
    </row>
    <row r="61" ht="16.5" customHeight="1">
      <c r="A61" s="13" t="s">
        <v>119</v>
      </c>
      <c r="B61" s="14"/>
      <c r="C61" s="12"/>
      <c r="D61" s="14"/>
      <c r="E61" s="12"/>
      <c r="F61" s="14"/>
      <c r="G61" s="12"/>
      <c r="H61" s="14"/>
      <c r="I61" s="12"/>
      <c r="J61" s="14"/>
      <c r="K61" s="12"/>
      <c r="L61" s="14"/>
      <c r="M61" s="12"/>
      <c r="N61" s="14"/>
      <c r="O61" s="12"/>
      <c r="P61" s="14"/>
      <c r="Q61" s="12"/>
      <c r="R61" s="14"/>
      <c r="S61" s="12"/>
      <c r="T61" s="14"/>
      <c r="U61" s="12"/>
      <c r="V61" s="14"/>
      <c r="W61" s="12"/>
      <c r="X61" s="14"/>
      <c r="Y61" s="12"/>
      <c r="Z61" s="14"/>
      <c r="AA61" s="12"/>
      <c r="AB61" s="14"/>
      <c r="AC61" s="12"/>
      <c r="AD61" s="17"/>
      <c r="AE61" s="18"/>
      <c r="AF61" s="17"/>
      <c r="AG61" s="14"/>
      <c r="AH61" s="12"/>
      <c r="AI61" s="17"/>
      <c r="AJ61" s="18"/>
      <c r="AK61" s="17"/>
      <c r="AL61" s="18"/>
    </row>
    <row r="62" ht="16.5" customHeight="1">
      <c r="A62" s="13" t="s">
        <v>119</v>
      </c>
      <c r="B62" s="14"/>
      <c r="C62" s="12"/>
      <c r="D62" s="14"/>
      <c r="E62" s="12"/>
      <c r="F62" s="14"/>
      <c r="G62" s="12"/>
      <c r="H62" s="14"/>
      <c r="I62" s="12"/>
      <c r="J62" s="14"/>
      <c r="K62" s="12"/>
      <c r="L62" s="14"/>
      <c r="M62" s="12"/>
      <c r="N62" s="14"/>
      <c r="O62" s="12"/>
      <c r="P62" s="14"/>
      <c r="Q62" s="12"/>
      <c r="R62" s="14"/>
      <c r="S62" s="12"/>
      <c r="T62" s="14"/>
      <c r="U62" s="12"/>
      <c r="V62" s="14"/>
      <c r="W62" s="12"/>
      <c r="X62" s="14"/>
      <c r="Y62" s="12"/>
      <c r="Z62" s="14"/>
      <c r="AA62" s="12"/>
      <c r="AB62" s="14"/>
      <c r="AC62" s="12"/>
      <c r="AD62" s="17"/>
      <c r="AE62" s="18"/>
      <c r="AF62" s="17"/>
      <c r="AG62" s="14"/>
      <c r="AH62" s="12"/>
      <c r="AI62" s="17"/>
      <c r="AJ62" s="18"/>
      <c r="AK62" s="17"/>
      <c r="AL62" s="18"/>
    </row>
    <row r="63" ht="16.5" hidden="1" customHeight="1">
      <c r="A63" s="19" t="s">
        <v>120</v>
      </c>
      <c r="B63" s="21">
        <f>SUM('4 - RASA - MVT'!B63,'5 - RASA - National Landin'!B63,'6 - RASA - Mosaic'!B63,'7 - RASA - Rockville'!B63)</f>
        <v>0</v>
      </c>
      <c r="C63" s="23">
        <f>IFERROR(B63/B148, "NA")</f>
        <v>0</v>
      </c>
      <c r="D63" s="21">
        <f>SUM('4 - RASA - MVT'!D63,'5 - RASA - National Landin'!D63,'6 - RASA - Mosaic'!D63,'7 - RASA - Rockville'!D63)</f>
        <v>0</v>
      </c>
      <c r="E63" s="23">
        <f>IFERROR(D63/D148, "NA")</f>
        <v>0</v>
      </c>
      <c r="F63" s="21">
        <f>SUM('4 - RASA - MVT'!F63,'5 - RASA - National Landin'!F63,'6 - RASA - Mosaic'!F63,'7 - RASA - Rockville'!F63)</f>
        <v>0</v>
      </c>
      <c r="G63" s="23">
        <f>IFERROR(F63/F148, "NA")</f>
        <v>0</v>
      </c>
      <c r="H63" s="21">
        <f>SUM('4 - RASA - MVT'!H63,'5 - RASA - National Landin'!H63,'6 - RASA - Mosaic'!H63,'7 - RASA - Rockville'!H63)</f>
        <v>0</v>
      </c>
      <c r="I63" s="23">
        <f>IFERROR(H63/H148, "NA")</f>
        <v>0</v>
      </c>
      <c r="J63" s="21">
        <f>SUM('4 - RASA - MVT'!J63,'5 - RASA - National Landin'!J63,'6 - RASA - Mosaic'!J63,'7 - RASA - Rockville'!J63)</f>
        <v>0</v>
      </c>
      <c r="K63" s="23">
        <f>IFERROR(J63/J148, "NA")</f>
        <v>0</v>
      </c>
      <c r="L63" s="21">
        <f>SUM('4 - RASA - MVT'!L63,'5 - RASA - National Landin'!L63,'6 - RASA - Mosaic'!L63,'7 - RASA - Rockville'!L63)</f>
        <v>0</v>
      </c>
      <c r="M63" s="23">
        <f>IFERROR(L63/L148, "NA")</f>
        <v>0</v>
      </c>
      <c r="N63" s="21">
        <f>SUM('4 - RASA - MVT'!N63,'5 - RASA - National Landin'!N63,'6 - RASA - Mosaic'!N63,'7 - RASA - Rockville'!N63)</f>
        <v>0</v>
      </c>
      <c r="O63" s="23">
        <f>IFERROR(N63/N148, "NA")</f>
        <v>0</v>
      </c>
      <c r="P63" s="21">
        <f>SUM('4 - RASA - MVT'!P63,'5 - RASA - National Landin'!P63,'6 - RASA - Mosaic'!P63,'7 - RASA - Rockville'!P63)</f>
        <v>0</v>
      </c>
      <c r="Q63" s="23">
        <f>IFERROR(P63/P148, "NA")</f>
        <v>0</v>
      </c>
      <c r="R63" s="21">
        <f>SUM('4 - RASA - MVT'!R63,'5 - RASA - National Landin'!R63,'6 - RASA - Mosaic'!R63,'7 - RASA - Rockville'!R63)</f>
        <v>0</v>
      </c>
      <c r="S63" s="23">
        <f>IFERROR(R63/R148, "NA")</f>
        <v>0</v>
      </c>
      <c r="T63" s="21">
        <f>SUM('4 - RASA - MVT'!T63,'5 - RASA - National Landin'!T63,'6 - RASA - Mosaic'!T63,'7 - RASA - Rockville'!T63)</f>
        <v>0</v>
      </c>
      <c r="U63" s="23">
        <f>IFERROR(T63/T148, "NA")</f>
        <v>0</v>
      </c>
      <c r="V63" s="21">
        <f>SUM('4 - RASA - MVT'!V63,'5 - RASA - National Landin'!V63,'6 - RASA - Mosaic'!V63,'7 - RASA - Rockville'!V63)</f>
        <v>0</v>
      </c>
      <c r="W63" s="23">
        <f>IFERROR(V63/V148, "NA")</f>
        <v>0</v>
      </c>
      <c r="X63" s="21">
        <f>SUM('4 - RASA - MVT'!X63,'5 - RASA - National Landin'!X63,'6 - RASA - Mosaic'!X63,'7 - RASA - Rockville'!X63)</f>
        <v>0</v>
      </c>
      <c r="Y63" s="23">
        <f>IFERROR(X63/X148, "NA")</f>
        <v>0</v>
      </c>
      <c r="Z63" s="21">
        <f>SUM('4 - RASA - MVT'!Z63,'5 - RASA - National Landin'!Z63,'6 - RASA - Mosaic'!Z63,'7 - RASA - Rockville'!Z63)</f>
        <v>0</v>
      </c>
      <c r="AA63" s="23">
        <f>IFERROR(Z63/Z148, "NA")</f>
        <v>0</v>
      </c>
      <c r="AB63" s="28">
        <f>IFERROR((R63+T63+V63+X63)/4, "NA")</f>
        <v>0</v>
      </c>
      <c r="AC63" s="23">
        <f>IFERROR(AB63/AB148, "NA")</f>
        <v>0</v>
      </c>
      <c r="AD63" s="29">
        <f>IFERROR(X63-AB63, "NA")</f>
        <v>0</v>
      </c>
      <c r="AE63" s="30">
        <f>IFERROR(AD63/AD148, "NA")</f>
        <v>0</v>
      </c>
      <c r="AF63" s="29" t="str">
        <f>IFERROR((X63-AB63)/AB63, "NA")</f>
        <v>NA</v>
      </c>
      <c r="AG63" s="28">
        <f>IFERROR((J63+L63+N63+P63+R63+T63+V63+X63)/8, "NA")</f>
        <v>0</v>
      </c>
      <c r="AH63" s="23">
        <f>IFERROR(AG63/AG148, "NA")</f>
        <v>0</v>
      </c>
      <c r="AI63" s="29">
        <f>IFERROR(X63-AG63, "NA")</f>
        <v>0</v>
      </c>
      <c r="AJ63" s="30">
        <f>IFERROR(AI63/AI148, "NA")</f>
        <v>0</v>
      </c>
      <c r="AK63" s="29" t="str">
        <f>IFERROR((X63-AG63)/AG63, "NA")</f>
        <v>NA</v>
      </c>
      <c r="AL63" s="30" t="str">
        <f>IFERROR(AK63/AK148, "NA")</f>
        <v>NA</v>
      </c>
    </row>
    <row r="64" ht="16.5" customHeight="1">
      <c r="A64" s="13" t="s">
        <v>121</v>
      </c>
      <c r="B64" s="14"/>
      <c r="C64" s="12"/>
      <c r="D64" s="14"/>
      <c r="E64" s="12"/>
      <c r="F64" s="14"/>
      <c r="G64" s="12"/>
      <c r="H64" s="14"/>
      <c r="I64" s="12"/>
      <c r="J64" s="14"/>
      <c r="K64" s="12"/>
      <c r="L64" s="14"/>
      <c r="M64" s="12"/>
      <c r="N64" s="14"/>
      <c r="O64" s="12"/>
      <c r="P64" s="14"/>
      <c r="Q64" s="12"/>
      <c r="R64" s="14"/>
      <c r="S64" s="12"/>
      <c r="T64" s="14"/>
      <c r="U64" s="12"/>
      <c r="V64" s="14"/>
      <c r="W64" s="12"/>
      <c r="X64" s="14"/>
      <c r="Y64" s="12"/>
      <c r="Z64" s="14"/>
      <c r="AA64" s="12"/>
      <c r="AB64" s="14"/>
      <c r="AC64" s="12"/>
      <c r="AD64" s="17"/>
      <c r="AE64" s="18"/>
      <c r="AF64" s="17"/>
      <c r="AG64" s="14"/>
      <c r="AH64" s="12"/>
      <c r="AI64" s="17"/>
      <c r="AJ64" s="18"/>
      <c r="AK64" s="17"/>
      <c r="AL64" s="18"/>
    </row>
    <row r="65" ht="16.5" hidden="1" customHeight="1">
      <c r="A65" s="19" t="s">
        <v>122</v>
      </c>
      <c r="B65" s="21">
        <f>SUM('4 - RASA - MVT'!B65,'5 - RASA - National Landin'!B65,'6 - RASA - Mosaic'!B65,'7 - RASA - Rockville'!B65)</f>
        <v>0</v>
      </c>
      <c r="C65" s="23">
        <f>IFERROR(B65/B148, "NA")</f>
        <v>0</v>
      </c>
      <c r="D65" s="21">
        <f>SUM('4 - RASA - MVT'!D65,'5 - RASA - National Landin'!D65,'6 - RASA - Mosaic'!D65,'7 - RASA - Rockville'!D65)</f>
        <v>0</v>
      </c>
      <c r="E65" s="23">
        <f>IFERROR(D65/D148, "NA")</f>
        <v>0</v>
      </c>
      <c r="F65" s="21">
        <f>SUM('4 - RASA - MVT'!F65,'5 - RASA - National Landin'!F65,'6 - RASA - Mosaic'!F65,'7 - RASA - Rockville'!F65)</f>
        <v>0</v>
      </c>
      <c r="G65" s="23">
        <f>IFERROR(F65/F148, "NA")</f>
        <v>0</v>
      </c>
      <c r="H65" s="21">
        <f>SUM('4 - RASA - MVT'!H65,'5 - RASA - National Landin'!H65,'6 - RASA - Mosaic'!H65,'7 - RASA - Rockville'!H65)</f>
        <v>0</v>
      </c>
      <c r="I65" s="23">
        <f>IFERROR(H65/H148, "NA")</f>
        <v>0</v>
      </c>
      <c r="J65" s="21">
        <f>SUM('4 - RASA - MVT'!J65,'5 - RASA - National Landin'!J65,'6 - RASA - Mosaic'!J65,'7 - RASA - Rockville'!J65)</f>
        <v>0</v>
      </c>
      <c r="K65" s="23">
        <f>IFERROR(J65/J148, "NA")</f>
        <v>0</v>
      </c>
      <c r="L65" s="21">
        <f>SUM('4 - RASA - MVT'!L65,'5 - RASA - National Landin'!L65,'6 - RASA - Mosaic'!L65,'7 - RASA - Rockville'!L65)</f>
        <v>0</v>
      </c>
      <c r="M65" s="23">
        <f>IFERROR(L65/L148, "NA")</f>
        <v>0</v>
      </c>
      <c r="N65" s="21">
        <f>SUM('4 - RASA - MVT'!N65,'5 - RASA - National Landin'!N65,'6 - RASA - Mosaic'!N65,'7 - RASA - Rockville'!N65)</f>
        <v>0</v>
      </c>
      <c r="O65" s="23">
        <f>IFERROR(N65/N148, "NA")</f>
        <v>0</v>
      </c>
      <c r="P65" s="21">
        <f>SUM('4 - RASA - MVT'!P65,'5 - RASA - National Landin'!P65,'6 - RASA - Mosaic'!P65,'7 - RASA - Rockville'!P65)</f>
        <v>0</v>
      </c>
      <c r="Q65" s="23">
        <f>IFERROR(P65/P148, "NA")</f>
        <v>0</v>
      </c>
      <c r="R65" s="21">
        <f>SUM('4 - RASA - MVT'!R65,'5 - RASA - National Landin'!R65,'6 - RASA - Mosaic'!R65,'7 - RASA - Rockville'!R65)</f>
        <v>0</v>
      </c>
      <c r="S65" s="23">
        <f>IFERROR(R65/R148, "NA")</f>
        <v>0</v>
      </c>
      <c r="T65" s="21">
        <f>SUM('4 - RASA - MVT'!T65,'5 - RASA - National Landin'!T65,'6 - RASA - Mosaic'!T65,'7 - RASA - Rockville'!T65)</f>
        <v>0</v>
      </c>
      <c r="U65" s="23">
        <f>IFERROR(T65/T148, "NA")</f>
        <v>0</v>
      </c>
      <c r="V65" s="21">
        <f>SUM('4 - RASA - MVT'!V65,'5 - RASA - National Landin'!V65,'6 - RASA - Mosaic'!V65,'7 - RASA - Rockville'!V65)</f>
        <v>0</v>
      </c>
      <c r="W65" s="23">
        <f>IFERROR(V65/V148, "NA")</f>
        <v>0</v>
      </c>
      <c r="X65" s="21">
        <f>SUM('4 - RASA - MVT'!X65,'5 - RASA - National Landin'!X65,'6 - RASA - Mosaic'!X65,'7 - RASA - Rockville'!X65)</f>
        <v>0</v>
      </c>
      <c r="Y65" s="23">
        <f>IFERROR(X65/X148, "NA")</f>
        <v>0</v>
      </c>
      <c r="Z65" s="21">
        <f>SUM('4 - RASA - MVT'!Z65,'5 - RASA - National Landin'!Z65,'6 - RASA - Mosaic'!Z65,'7 - RASA - Rockville'!Z65)</f>
        <v>0</v>
      </c>
      <c r="AA65" s="23">
        <f>IFERROR(Z65/Z148, "NA")</f>
        <v>0</v>
      </c>
      <c r="AB65" s="28">
        <f t="shared" ref="AB65:AB72" si="31">IFERROR((R65+T65+V65+X65)/4, "NA")</f>
        <v>0</v>
      </c>
      <c r="AC65" s="23">
        <f>IFERROR(AB65/AB148, "NA")</f>
        <v>0</v>
      </c>
      <c r="AD65" s="29">
        <f t="shared" ref="AD65:AD72" si="32">IFERROR(X65-AB65, "NA")</f>
        <v>0</v>
      </c>
      <c r="AE65" s="30">
        <f>IFERROR(AD65/AD148, "NA")</f>
        <v>0</v>
      </c>
      <c r="AF65" s="29" t="str">
        <f t="shared" ref="AF65:AF72" si="33">IFERROR((X65-AB65)/AB65, "NA")</f>
        <v>NA</v>
      </c>
      <c r="AG65" s="28">
        <f t="shared" ref="AG65:AG72" si="34">IFERROR((J65+L65+N65+P65+R65+T65+V65+X65)/8, "NA")</f>
        <v>0</v>
      </c>
      <c r="AH65" s="23">
        <f>IFERROR(AG65/AG148, "NA")</f>
        <v>0</v>
      </c>
      <c r="AI65" s="29">
        <f t="shared" ref="AI65:AI72" si="35">IFERROR(X65-AG65, "NA")</f>
        <v>0</v>
      </c>
      <c r="AJ65" s="30">
        <f>IFERROR(AI65/AI148, "NA")</f>
        <v>0</v>
      </c>
      <c r="AK65" s="29" t="str">
        <f t="shared" ref="AK65:AK72" si="36">IFERROR((X65-AG65)/AG65, "NA")</f>
        <v>NA</v>
      </c>
      <c r="AL65" s="30" t="str">
        <f>IFERROR(AK65/AK148, "NA")</f>
        <v>NA</v>
      </c>
    </row>
    <row r="66" ht="16.5" customHeight="1">
      <c r="A66" s="19" t="s">
        <v>125</v>
      </c>
      <c r="B66" s="21">
        <f>SUM('4 - RASA - MVT'!B66,'5 - RASA - National Landin'!B66,'6 - RASA - Mosaic'!B66,'7 - RASA - Rockville'!B66)</f>
        <v>6688.85</v>
      </c>
      <c r="C66" s="23">
        <f>IFERROR(B66/B148, "NA")</f>
        <v>0.0408199869</v>
      </c>
      <c r="D66" s="21">
        <f>SUM('4 - RASA - MVT'!D66,'5 - RASA - National Landin'!D66,'6 - RASA - Mosaic'!D66,'7 - RASA - Rockville'!D66)</f>
        <v>6688.85</v>
      </c>
      <c r="E66" s="23">
        <f>IFERROR(D66/D148, "NA")</f>
        <v>0.04428950825</v>
      </c>
      <c r="F66" s="21">
        <f>SUM('4 - RASA - MVT'!F66,'5 - RASA - National Landin'!F66,'6 - RASA - Mosaic'!F66,'7 - RASA - Rockville'!F66)</f>
        <v>6688.85</v>
      </c>
      <c r="G66" s="23">
        <f>IFERROR(F66/F148, "NA")</f>
        <v>0.05640462341</v>
      </c>
      <c r="H66" s="21">
        <f>SUM('4 - RASA - MVT'!H66,'5 - RASA - National Landin'!H66,'6 - RASA - Mosaic'!H66,'7 - RASA - Rockville'!H66)</f>
        <v>6688.85</v>
      </c>
      <c r="I66" s="23">
        <f>IFERROR(H66/H148, "NA")</f>
        <v>0.1052629177</v>
      </c>
      <c r="J66" s="21">
        <f>SUM('4 - RASA - MVT'!J66,'5 - RASA - National Landin'!J66,'6 - RASA - Mosaic'!J66,'7 - RASA - Rockville'!J66)</f>
        <v>6688.85</v>
      </c>
      <c r="K66" s="23">
        <f>IFERROR(J66/J148, "NA")</f>
        <v>0.05624592221</v>
      </c>
      <c r="L66" s="21">
        <f>SUM('4 - RASA - MVT'!L66,'5 - RASA - National Landin'!L66,'6 - RASA - Mosaic'!L66,'7 - RASA - Rockville'!L66)</f>
        <v>6688.85</v>
      </c>
      <c r="M66" s="23">
        <f>IFERROR(L66/L148, "NA")</f>
        <v>0.05847157522</v>
      </c>
      <c r="N66" s="21">
        <f>SUM('4 - RASA - MVT'!N66,'5 - RASA - National Landin'!N66,'6 - RASA - Mosaic'!N66,'7 - RASA - Rockville'!N66)</f>
        <v>6688.85</v>
      </c>
      <c r="O66" s="23">
        <f>IFERROR(N66/N148, "NA")</f>
        <v>0.06533567358</v>
      </c>
      <c r="P66" s="21">
        <f>SUM('4 - RASA - MVT'!P66,'5 - RASA - National Landin'!P66,'6 - RASA - Mosaic'!P66,'7 - RASA - Rockville'!P66)</f>
        <v>6688.85</v>
      </c>
      <c r="Q66" s="23">
        <f>IFERROR(P66/P148, "NA")</f>
        <v>0.1373321447</v>
      </c>
      <c r="R66" s="21">
        <f>SUM('4 - RASA - MVT'!R66,'5 - RASA - National Landin'!R66,'6 - RASA - Mosaic'!R66,'7 - RASA - Rockville'!R66)</f>
        <v>6688.85</v>
      </c>
      <c r="S66" s="23">
        <f>IFERROR(R66/R148, "NA")</f>
        <v>0.1100976581</v>
      </c>
      <c r="T66" s="21">
        <f>SUM('4 - RASA - MVT'!T66,'5 - RASA - National Landin'!T66,'6 - RASA - Mosaic'!T66,'7 - RASA - Rockville'!T66)</f>
        <v>6688.85</v>
      </c>
      <c r="U66" s="23">
        <f>IFERROR(T66/T148, "NA")</f>
        <v>0.07146988394</v>
      </c>
      <c r="V66" s="21">
        <f>SUM('4 - RASA - MVT'!V66,'5 - RASA - National Landin'!V66,'6 - RASA - Mosaic'!V66,'7 - RASA - Rockville'!V66)</f>
        <v>6688.85</v>
      </c>
      <c r="W66" s="23">
        <f>IFERROR(V66/V148, "NA")</f>
        <v>0.05905912614</v>
      </c>
      <c r="X66" s="21">
        <f>SUM('4 - RASA - MVT'!X66,'5 - RASA - National Landin'!X66,'6 - RASA - Mosaic'!X66,'7 - RASA - Rockville'!X66)</f>
        <v>6688.85</v>
      </c>
      <c r="Y66" s="23">
        <f>IFERROR(X66/X148, "NA")</f>
        <v>0.06974232817</v>
      </c>
      <c r="Z66" s="21">
        <f>SUM('4 - RASA - MVT'!Z66,'5 - RASA - National Landin'!Z66,'6 - RASA - Mosaic'!Z66,'7 - RASA - Rockville'!Z66)</f>
        <v>26755.4</v>
      </c>
      <c r="AA66" s="23">
        <f>IFERROR(Z66/Z148, "NA")</f>
        <v>0.07360324288</v>
      </c>
      <c r="AB66" s="28">
        <f t="shared" si="31"/>
        <v>6688.85</v>
      </c>
      <c r="AC66" s="23">
        <f>IFERROR(AB66/AB148, "NA")</f>
        <v>0.07360324288</v>
      </c>
      <c r="AD66" s="29">
        <f t="shared" si="32"/>
        <v>0</v>
      </c>
      <c r="AE66" s="30">
        <f>IFERROR(AD66/AD148, "NA")</f>
        <v>0</v>
      </c>
      <c r="AF66" s="29">
        <f t="shared" si="33"/>
        <v>0</v>
      </c>
      <c r="AG66" s="28">
        <f t="shared" si="34"/>
        <v>6688.85</v>
      </c>
      <c r="AH66" s="23">
        <f>IFERROR(AG66/AG148, "NA")</f>
        <v>0.07154738105</v>
      </c>
      <c r="AI66" s="29">
        <f t="shared" si="35"/>
        <v>0</v>
      </c>
      <c r="AJ66" s="30">
        <f>IFERROR(AI66/AI148, "NA")</f>
        <v>0</v>
      </c>
      <c r="AK66" s="29">
        <f t="shared" si="36"/>
        <v>0</v>
      </c>
      <c r="AL66" s="30">
        <f>IFERROR(AK66/AK148, "NA")</f>
        <v>0</v>
      </c>
    </row>
    <row r="67" ht="16.5" hidden="1" customHeight="1">
      <c r="A67" s="19" t="s">
        <v>126</v>
      </c>
      <c r="B67" s="21">
        <f>SUM('4 - RASA - MVT'!B67,'5 - RASA - National Landin'!B67,'6 - RASA - Mosaic'!B67,'7 - RASA - Rockville'!B67)</f>
        <v>0</v>
      </c>
      <c r="C67" s="23">
        <f>IFERROR(B67/B148, "NA")</f>
        <v>0</v>
      </c>
      <c r="D67" s="21">
        <f>SUM('4 - RASA - MVT'!D67,'5 - RASA - National Landin'!D67,'6 - RASA - Mosaic'!D67,'7 - RASA - Rockville'!D67)</f>
        <v>0</v>
      </c>
      <c r="E67" s="23">
        <f>IFERROR(D67/D148, "NA")</f>
        <v>0</v>
      </c>
      <c r="F67" s="21">
        <f>SUM('4 - RASA - MVT'!F67,'5 - RASA - National Landin'!F67,'6 - RASA - Mosaic'!F67,'7 - RASA - Rockville'!F67)</f>
        <v>0</v>
      </c>
      <c r="G67" s="23">
        <f>IFERROR(F67/F148, "NA")</f>
        <v>0</v>
      </c>
      <c r="H67" s="21">
        <f>SUM('4 - RASA - MVT'!H67,'5 - RASA - National Landin'!H67,'6 - RASA - Mosaic'!H67,'7 - RASA - Rockville'!H67)</f>
        <v>0</v>
      </c>
      <c r="I67" s="23">
        <f>IFERROR(H67/H148, "NA")</f>
        <v>0</v>
      </c>
      <c r="J67" s="21">
        <f>SUM('4 - RASA - MVT'!J67,'5 - RASA - National Landin'!J67,'6 - RASA - Mosaic'!J67,'7 - RASA - Rockville'!J67)</f>
        <v>0</v>
      </c>
      <c r="K67" s="23">
        <f>IFERROR(J67/J148, "NA")</f>
        <v>0</v>
      </c>
      <c r="L67" s="21">
        <f>SUM('4 - RASA - MVT'!L67,'5 - RASA - National Landin'!L67,'6 - RASA - Mosaic'!L67,'7 - RASA - Rockville'!L67)</f>
        <v>0</v>
      </c>
      <c r="M67" s="23">
        <f>IFERROR(L67/L148, "NA")</f>
        <v>0</v>
      </c>
      <c r="N67" s="21">
        <f>SUM('4 - RASA - MVT'!N67,'5 - RASA - National Landin'!N67,'6 - RASA - Mosaic'!N67,'7 - RASA - Rockville'!N67)</f>
        <v>0</v>
      </c>
      <c r="O67" s="23">
        <f>IFERROR(N67/N148, "NA")</f>
        <v>0</v>
      </c>
      <c r="P67" s="21">
        <f>SUM('4 - RASA - MVT'!P67,'5 - RASA - National Landin'!P67,'6 - RASA - Mosaic'!P67,'7 - RASA - Rockville'!P67)</f>
        <v>0</v>
      </c>
      <c r="Q67" s="23">
        <f>IFERROR(P67/P148, "NA")</f>
        <v>0</v>
      </c>
      <c r="R67" s="21">
        <f>SUM('4 - RASA - MVT'!R67,'5 - RASA - National Landin'!R67,'6 - RASA - Mosaic'!R67,'7 - RASA - Rockville'!R67)</f>
        <v>0</v>
      </c>
      <c r="S67" s="23">
        <f>IFERROR(R67/R148, "NA")</f>
        <v>0</v>
      </c>
      <c r="T67" s="21">
        <f>SUM('4 - RASA - MVT'!T67,'5 - RASA - National Landin'!T67,'6 - RASA - Mosaic'!T67,'7 - RASA - Rockville'!T67)</f>
        <v>0</v>
      </c>
      <c r="U67" s="23">
        <f>IFERROR(T67/T148, "NA")</f>
        <v>0</v>
      </c>
      <c r="V67" s="21">
        <f>SUM('4 - RASA - MVT'!V67,'5 - RASA - National Landin'!V67,'6 - RASA - Mosaic'!V67,'7 - RASA - Rockville'!V67)</f>
        <v>0</v>
      </c>
      <c r="W67" s="23">
        <f>IFERROR(V67/V148, "NA")</f>
        <v>0</v>
      </c>
      <c r="X67" s="21">
        <f>SUM('4 - RASA - MVT'!X67,'5 - RASA - National Landin'!X67,'6 - RASA - Mosaic'!X67,'7 - RASA - Rockville'!X67)</f>
        <v>0</v>
      </c>
      <c r="Y67" s="23">
        <f>IFERROR(X67/X148, "NA")</f>
        <v>0</v>
      </c>
      <c r="Z67" s="21">
        <f>SUM('4 - RASA - MVT'!Z67,'5 - RASA - National Landin'!Z67,'6 - RASA - Mosaic'!Z67,'7 - RASA - Rockville'!Z67)</f>
        <v>0</v>
      </c>
      <c r="AA67" s="23">
        <f>IFERROR(Z67/Z148, "NA")</f>
        <v>0</v>
      </c>
      <c r="AB67" s="28">
        <f t="shared" si="31"/>
        <v>0</v>
      </c>
      <c r="AC67" s="23">
        <f>IFERROR(AB67/AB148, "NA")</f>
        <v>0</v>
      </c>
      <c r="AD67" s="29">
        <f t="shared" si="32"/>
        <v>0</v>
      </c>
      <c r="AE67" s="30">
        <f>IFERROR(AD67/AD148, "NA")</f>
        <v>0</v>
      </c>
      <c r="AF67" s="29" t="str">
        <f t="shared" si="33"/>
        <v>NA</v>
      </c>
      <c r="AG67" s="28">
        <f t="shared" si="34"/>
        <v>0</v>
      </c>
      <c r="AH67" s="23">
        <f>IFERROR(AG67/AG148, "NA")</f>
        <v>0</v>
      </c>
      <c r="AI67" s="29">
        <f t="shared" si="35"/>
        <v>0</v>
      </c>
      <c r="AJ67" s="30">
        <f>IFERROR(AI67/AI148, "NA")</f>
        <v>0</v>
      </c>
      <c r="AK67" s="29" t="str">
        <f t="shared" si="36"/>
        <v>NA</v>
      </c>
      <c r="AL67" s="30" t="str">
        <f>IFERROR(AK67/AK148, "NA")</f>
        <v>NA</v>
      </c>
    </row>
    <row r="68" ht="16.5" customHeight="1">
      <c r="A68" s="19" t="s">
        <v>127</v>
      </c>
      <c r="B68" s="21">
        <f>SUM('4 - RASA - MVT'!B68,'5 - RASA - National Landin'!B68,'6 - RASA - Mosaic'!B68,'7 - RASA - Rockville'!B68)</f>
        <v>23755.04</v>
      </c>
      <c r="C68" s="23">
        <f>IFERROR(B68/B148, "NA")</f>
        <v>0.1449696766</v>
      </c>
      <c r="D68" s="21">
        <f>SUM('4 - RASA - MVT'!D68,'5 - RASA - National Landin'!D68,'6 - RASA - Mosaic'!D68,'7 - RASA - Rockville'!D68)</f>
        <v>22687.89</v>
      </c>
      <c r="E68" s="23">
        <f>IFERROR(D68/D148, "NA")</f>
        <v>0.1502254485</v>
      </c>
      <c r="F68" s="21">
        <f>SUM('4 - RASA - MVT'!F68,'5 - RASA - National Landin'!F68,'6 - RASA - Mosaic'!F68,'7 - RASA - Rockville'!F68)</f>
        <v>21803.18</v>
      </c>
      <c r="G68" s="23">
        <f>IFERROR(F68/F148, "NA")</f>
        <v>0.1838582353</v>
      </c>
      <c r="H68" s="21">
        <f>SUM('4 - RASA - MVT'!H68,'5 - RASA - National Landin'!H68,'6 - RASA - Mosaic'!H68,'7 - RASA - Rockville'!H68)</f>
        <v>14106.39</v>
      </c>
      <c r="I68" s="23">
        <f>IFERROR(H68/H148, "NA")</f>
        <v>0.2219932828</v>
      </c>
      <c r="J68" s="21">
        <f>SUM('4 - RASA - MVT'!J68,'5 - RASA - National Landin'!J68,'6 - RASA - Mosaic'!J68,'7 - RASA - Rockville'!J68)</f>
        <v>21848.29</v>
      </c>
      <c r="K68" s="23">
        <f>IFERROR(J68/J148, "NA")</f>
        <v>0.1837202538</v>
      </c>
      <c r="L68" s="21">
        <f>SUM('4 - RASA - MVT'!L68,'5 - RASA - National Landin'!L68,'6 - RASA - Mosaic'!L68,'7 - RASA - Rockville'!L68)</f>
        <v>20949.41</v>
      </c>
      <c r="M68" s="23">
        <f>IFERROR(L68/L148, "NA")</f>
        <v>0.1831323774</v>
      </c>
      <c r="N68" s="21">
        <f>SUM('4 - RASA - MVT'!N68,'5 - RASA - National Landin'!N68,'6 - RASA - Mosaic'!N68,'7 - RASA - Rockville'!N68)</f>
        <v>20171.18</v>
      </c>
      <c r="O68" s="23">
        <f>IFERROR(N68/N148, "NA")</f>
        <v>0.1970290307</v>
      </c>
      <c r="P68" s="21">
        <f>SUM('4 - RASA - MVT'!P68,'5 - RASA - National Landin'!P68,'6 - RASA - Mosaic'!P68,'7 - RASA - Rockville'!P68)</f>
        <v>11877.34</v>
      </c>
      <c r="Q68" s="23">
        <f>IFERROR(P68/P148, "NA")</f>
        <v>0.2438596434</v>
      </c>
      <c r="R68" s="21">
        <f>SUM('4 - RASA - MVT'!R68,'5 - RASA - National Landin'!R68,'6 - RASA - Mosaic'!R68,'7 - RASA - Rockville'!R68)</f>
        <v>14517.77</v>
      </c>
      <c r="S68" s="23">
        <f>IFERROR(R68/R148, "NA")</f>
        <v>0.2389607299</v>
      </c>
      <c r="T68" s="21">
        <f>SUM('4 - RASA - MVT'!T68,'5 - RASA - National Landin'!T68,'6 - RASA - Mosaic'!T68,'7 - RASA - Rockville'!T68)</f>
        <v>19220.54</v>
      </c>
      <c r="U68" s="23">
        <f>IFERROR(T68/T148, "NA")</f>
        <v>0.2053700955</v>
      </c>
      <c r="V68" s="21">
        <f>SUM('4 - RASA - MVT'!V68,'5 - RASA - National Landin'!V68,'6 - RASA - Mosaic'!V68,'7 - RASA - Rockville'!V68)</f>
        <v>19056.63</v>
      </c>
      <c r="W68" s="23">
        <f>IFERROR(V68/V148, "NA")</f>
        <v>0.1682603011</v>
      </c>
      <c r="X68" s="21">
        <f>SUM('4 - RASA - MVT'!X68,'5 - RASA - National Landin'!X68,'6 - RASA - Mosaic'!X68,'7 - RASA - Rockville'!X68)</f>
        <v>16713.05</v>
      </c>
      <c r="Y68" s="23">
        <f>IFERROR(X68/X148, "NA")</f>
        <v>0.1742611985</v>
      </c>
      <c r="Z68" s="21">
        <f>SUM('4 - RASA - MVT'!Z68,'5 - RASA - National Landin'!Z68,'6 - RASA - Mosaic'!Z68,'7 - RASA - Rockville'!Z68)</f>
        <v>69507.99</v>
      </c>
      <c r="AA68" s="23">
        <f>IFERROR(Z68/Z148, "NA")</f>
        <v>0.1912142398</v>
      </c>
      <c r="AB68" s="28">
        <f t="shared" si="31"/>
        <v>17376.9975</v>
      </c>
      <c r="AC68" s="23">
        <f>IFERROR(AB68/AB148, "NA")</f>
        <v>0.1912142398</v>
      </c>
      <c r="AD68" s="29">
        <f t="shared" si="32"/>
        <v>-663.9475</v>
      </c>
      <c r="AE68" s="30">
        <f>IFERROR(AD68/AD148, "NA")</f>
        <v>-0.1319731143</v>
      </c>
      <c r="AF68" s="29">
        <f t="shared" si="33"/>
        <v>-0.03820841316</v>
      </c>
      <c r="AG68" s="28">
        <f t="shared" si="34"/>
        <v>18044.27625</v>
      </c>
      <c r="AH68" s="23">
        <f>IFERROR(AG68/AG148, "NA")</f>
        <v>0.1930108627</v>
      </c>
      <c r="AI68" s="29">
        <f t="shared" si="35"/>
        <v>-1331.22625</v>
      </c>
      <c r="AJ68" s="30">
        <f>IFERROR(AI68/AI148, "NA")</f>
        <v>-0.5501747676</v>
      </c>
      <c r="AK68" s="29">
        <f t="shared" si="36"/>
        <v>-0.07377554143</v>
      </c>
      <c r="AL68" s="30">
        <f>IFERROR(AK68/AK148, "NA")</f>
        <v>-2.85048603</v>
      </c>
    </row>
    <row r="69" ht="16.5" customHeight="1">
      <c r="A69" s="19" t="s">
        <v>128</v>
      </c>
      <c r="B69" s="21">
        <f>SUM('4 - RASA - MVT'!B69,'5 - RASA - National Landin'!B69,'6 - RASA - Mosaic'!B69,'7 - RASA - Rockville'!B69)</f>
        <v>2813.35</v>
      </c>
      <c r="C69" s="23">
        <f>IFERROR(B69/B148, "NA")</f>
        <v>0.01716900665</v>
      </c>
      <c r="D69" s="21">
        <f>SUM('4 - RASA - MVT'!D69,'5 - RASA - National Landin'!D69,'6 - RASA - Mosaic'!D69,'7 - RASA - Rockville'!D69)</f>
        <v>2445.52</v>
      </c>
      <c r="E69" s="23">
        <f>IFERROR(D69/D148, "NA")</f>
        <v>0.01619275036</v>
      </c>
      <c r="F69" s="21">
        <f>SUM('4 - RASA - MVT'!F69,'5 - RASA - National Landin'!F69,'6 - RASA - Mosaic'!F69,'7 - RASA - Rockville'!F69)</f>
        <v>889.46</v>
      </c>
      <c r="G69" s="23">
        <f>IFERROR(F69/F148, "NA")</f>
        <v>0.007500490568</v>
      </c>
      <c r="H69" s="21">
        <f>SUM('4 - RASA - MVT'!H69,'5 - RASA - National Landin'!H69,'6 - RASA - Mosaic'!H69,'7 - RASA - Rockville'!H69)</f>
        <v>0</v>
      </c>
      <c r="I69" s="23">
        <f>IFERROR(H69/H148, "NA")</f>
        <v>0</v>
      </c>
      <c r="J69" s="21">
        <f>SUM('4 - RASA - MVT'!J69,'5 - RASA - National Landin'!J69,'6 - RASA - Mosaic'!J69,'7 - RASA - Rockville'!J69)</f>
        <v>442.31</v>
      </c>
      <c r="K69" s="23">
        <f>IFERROR(J69/J148, "NA")</f>
        <v>0.003719343961</v>
      </c>
      <c r="L69" s="21">
        <f>SUM('4 - RASA - MVT'!L69,'5 - RASA - National Landin'!L69,'6 - RASA - Mosaic'!L69,'7 - RASA - Rockville'!L69)</f>
        <v>358.45</v>
      </c>
      <c r="M69" s="23">
        <f>IFERROR(L69/L148, "NA")</f>
        <v>0.003133443886</v>
      </c>
      <c r="N69" s="21">
        <f>SUM('4 - RASA - MVT'!N69,'5 - RASA - National Landin'!N69,'6 - RASA - Mosaic'!N69,'7 - RASA - Rockville'!N69)</f>
        <v>236.4</v>
      </c>
      <c r="O69" s="23">
        <f>IFERROR(N69/N148, "NA")</f>
        <v>0.00230911939</v>
      </c>
      <c r="P69" s="21">
        <f>SUM('4 - RASA - MVT'!P69,'5 - RASA - National Landin'!P69,'6 - RASA - Mosaic'!P69,'7 - RASA - Rockville'!P69)</f>
        <v>0</v>
      </c>
      <c r="Q69" s="23">
        <f>IFERROR(P69/P148, "NA")</f>
        <v>0</v>
      </c>
      <c r="R69" s="21">
        <f>SUM('4 - RASA - MVT'!R69,'5 - RASA - National Landin'!R69,'6 - RASA - Mosaic'!R69,'7 - RASA - Rockville'!R69)</f>
        <v>0</v>
      </c>
      <c r="S69" s="23">
        <f>IFERROR(R69/R148, "NA")</f>
        <v>0</v>
      </c>
      <c r="T69" s="21">
        <f>SUM('4 - RASA - MVT'!T69,'5 - RASA - National Landin'!T69,'6 - RASA - Mosaic'!T69,'7 - RASA - Rockville'!T69)</f>
        <v>0</v>
      </c>
      <c r="U69" s="23">
        <f>IFERROR(T69/T148, "NA")</f>
        <v>0</v>
      </c>
      <c r="V69" s="21">
        <f>SUM('4 - RASA - MVT'!V69,'5 - RASA - National Landin'!V69,'6 - RASA - Mosaic'!V69,'7 - RASA - Rockville'!V69)</f>
        <v>0</v>
      </c>
      <c r="W69" s="23">
        <f>IFERROR(V69/V148, "NA")</f>
        <v>0</v>
      </c>
      <c r="X69" s="21">
        <f>SUM('4 - RASA - MVT'!X69,'5 - RASA - National Landin'!X69,'6 - RASA - Mosaic'!X69,'7 - RASA - Rockville'!X69)</f>
        <v>16.69</v>
      </c>
      <c r="Y69" s="23">
        <f>IFERROR(X69/X148, "NA")</f>
        <v>0.0001740208642</v>
      </c>
      <c r="Z69" s="21">
        <f>SUM('4 - RASA - MVT'!Z69,'5 - RASA - National Landin'!Z69,'6 - RASA - Mosaic'!Z69,'7 - RASA - Rockville'!Z69)</f>
        <v>16.69</v>
      </c>
      <c r="AA69" s="23">
        <f>IFERROR(Z69/Z148, "NA")</f>
        <v>0.00004591365196</v>
      </c>
      <c r="AB69" s="28">
        <f t="shared" si="31"/>
        <v>4.1725</v>
      </c>
      <c r="AC69" s="23">
        <f>IFERROR(AB69/AB148, "NA")</f>
        <v>0.00004591365196</v>
      </c>
      <c r="AD69" s="29">
        <f t="shared" si="32"/>
        <v>12.5175</v>
      </c>
      <c r="AE69" s="30">
        <f>IFERROR(AD69/AD148, "NA")</f>
        <v>0.00248810856</v>
      </c>
      <c r="AF69" s="29">
        <f t="shared" si="33"/>
        <v>3</v>
      </c>
      <c r="AG69" s="28">
        <f t="shared" si="34"/>
        <v>131.73125</v>
      </c>
      <c r="AH69" s="23">
        <f>IFERROR(AG69/AG148, "NA")</f>
        <v>0.001409065227</v>
      </c>
      <c r="AI69" s="29">
        <f t="shared" si="35"/>
        <v>-115.04125</v>
      </c>
      <c r="AJ69" s="30">
        <f>IFERROR(AI69/AI148, "NA")</f>
        <v>-0.04754473026</v>
      </c>
      <c r="AK69" s="29">
        <f t="shared" si="36"/>
        <v>-0.8733026522</v>
      </c>
      <c r="AL69" s="30">
        <f>IFERROR(AK69/AK148, "NA")</f>
        <v>-33.74203647</v>
      </c>
    </row>
    <row r="70" ht="16.5" customHeight="1">
      <c r="A70" s="65" t="s">
        <v>129</v>
      </c>
      <c r="B70" s="66">
        <f>IFERROR(B65+B66+B67+B68+B69, "NA")</f>
        <v>33257.24</v>
      </c>
      <c r="C70" s="67">
        <f>IFERROR(B70/B148, "NA")</f>
        <v>0.2029586702</v>
      </c>
      <c r="D70" s="66">
        <f>IFERROR(D65+D66+D67+D68+D69, "NA")</f>
        <v>31822.26</v>
      </c>
      <c r="E70" s="67">
        <f>IFERROR(D70/D148, "NA")</f>
        <v>0.2107077071</v>
      </c>
      <c r="F70" s="66">
        <f>IFERROR(F65+F66+F67+F68+F69, "NA")</f>
        <v>29381.49</v>
      </c>
      <c r="G70" s="67">
        <f>IFERROR(F70/F148, "NA")</f>
        <v>0.2477633493</v>
      </c>
      <c r="H70" s="66">
        <f>IFERROR(H65+H66+H67+H68+H69, "NA")</f>
        <v>20795.24</v>
      </c>
      <c r="I70" s="67">
        <f>IFERROR(H70/H148, "NA")</f>
        <v>0.3272562005</v>
      </c>
      <c r="J70" s="66">
        <f>IFERROR(J65+J66+J67+J68+J69, "NA")</f>
        <v>28979.45</v>
      </c>
      <c r="K70" s="67">
        <f>IFERROR(J70/J148, "NA")</f>
        <v>0.24368552</v>
      </c>
      <c r="L70" s="66">
        <f>IFERROR(L65+L66+L67+L68+L69, "NA")</f>
        <v>27996.71</v>
      </c>
      <c r="M70" s="67">
        <f>IFERROR(L70/L148, "NA")</f>
        <v>0.2447373965</v>
      </c>
      <c r="N70" s="66">
        <f>IFERROR(N65+N66+N67+N68+N69, "NA")</f>
        <v>27096.43</v>
      </c>
      <c r="O70" s="67">
        <f>IFERROR(N70/N148, "NA")</f>
        <v>0.2646738237</v>
      </c>
      <c r="P70" s="66">
        <f>IFERROR(P65+P66+P67+P68+P69, "NA")</f>
        <v>18566.19</v>
      </c>
      <c r="Q70" s="67">
        <f>IFERROR(P70/P148, "NA")</f>
        <v>0.3811917881</v>
      </c>
      <c r="R70" s="66">
        <f>IFERROR(R65+R66+R67+R68+R69, "NA")</f>
        <v>21206.62</v>
      </c>
      <c r="S70" s="67">
        <f>IFERROR(R70/R148, "NA")</f>
        <v>0.349058388</v>
      </c>
      <c r="T70" s="66">
        <f>IFERROR(T65+T66+T67+T68+T69, "NA")</f>
        <v>25909.39</v>
      </c>
      <c r="U70" s="67">
        <f>IFERROR(T70/T148, "NA")</f>
        <v>0.2768399794</v>
      </c>
      <c r="V70" s="66">
        <f>IFERROR(V65+V66+V67+V68+V69, "NA")</f>
        <v>25745.48</v>
      </c>
      <c r="W70" s="67">
        <f>IFERROR(V70/V148, "NA")</f>
        <v>0.2273194272</v>
      </c>
      <c r="X70" s="66">
        <f>IFERROR(X65+X66+X67+X68+X69, "NA")</f>
        <v>23418.59</v>
      </c>
      <c r="Y70" s="67">
        <f>IFERROR(X70/X148, "NA")</f>
        <v>0.2441775476</v>
      </c>
      <c r="Z70" s="66">
        <f>IFERROR(Z65+Z66+Z67+Z68+Z69, "NA")</f>
        <v>96280.08</v>
      </c>
      <c r="AA70" s="67">
        <f>IFERROR(Z70/Z148, "NA")</f>
        <v>0.2648633963</v>
      </c>
      <c r="AB70" s="66">
        <f t="shared" si="31"/>
        <v>24070.02</v>
      </c>
      <c r="AC70" s="67">
        <f>IFERROR(AB70/AB148, "NA")</f>
        <v>0.2648633963</v>
      </c>
      <c r="AD70" s="75">
        <f t="shared" si="32"/>
        <v>-651.43</v>
      </c>
      <c r="AE70" s="76">
        <f>IFERROR(AD70/AD148, "NA")</f>
        <v>-0.1294850058</v>
      </c>
      <c r="AF70" s="75">
        <f t="shared" si="33"/>
        <v>-0.02706395757</v>
      </c>
      <c r="AG70" s="66">
        <f t="shared" si="34"/>
        <v>24864.8575</v>
      </c>
      <c r="AH70" s="67">
        <f>IFERROR(AG70/AG148, "NA")</f>
        <v>0.2659673089</v>
      </c>
      <c r="AI70" s="75">
        <f t="shared" si="35"/>
        <v>-1446.2675</v>
      </c>
      <c r="AJ70" s="76">
        <f>IFERROR(AI70/AI148, "NA")</f>
        <v>-0.5977194978</v>
      </c>
      <c r="AK70" s="75">
        <f t="shared" si="36"/>
        <v>-0.05816512321</v>
      </c>
      <c r="AL70" s="76">
        <f>IFERROR(AK70/AK148, "NA")</f>
        <v>-2.247341977</v>
      </c>
    </row>
    <row r="71" ht="16.5" hidden="1" customHeight="1">
      <c r="A71" s="19" t="s">
        <v>130</v>
      </c>
      <c r="B71" s="21">
        <f>SUM('4 - RASA - MVT'!B71,'5 - RASA - National Landin'!B71,'6 - RASA - Mosaic'!B71,'7 - RASA - Rockville'!B71)</f>
        <v>0</v>
      </c>
      <c r="C71" s="23">
        <f>IFERROR(B71/B148, "NA")</f>
        <v>0</v>
      </c>
      <c r="D71" s="21">
        <f>SUM('4 - RASA - MVT'!D71,'5 - RASA - National Landin'!D71,'6 - RASA - Mosaic'!D71,'7 - RASA - Rockville'!D71)</f>
        <v>0</v>
      </c>
      <c r="E71" s="23">
        <f>IFERROR(D71/D148, "NA")</f>
        <v>0</v>
      </c>
      <c r="F71" s="21">
        <f>SUM('4 - RASA - MVT'!F71,'5 - RASA - National Landin'!F71,'6 - RASA - Mosaic'!F71,'7 - RASA - Rockville'!F71)</f>
        <v>0</v>
      </c>
      <c r="G71" s="23">
        <f>IFERROR(F71/F148, "NA")</f>
        <v>0</v>
      </c>
      <c r="H71" s="21">
        <f>SUM('4 - RASA - MVT'!H71,'5 - RASA - National Landin'!H71,'6 - RASA - Mosaic'!H71,'7 - RASA - Rockville'!H71)</f>
        <v>0</v>
      </c>
      <c r="I71" s="23">
        <f>IFERROR(H71/H148, "NA")</f>
        <v>0</v>
      </c>
      <c r="J71" s="21">
        <f>SUM('4 - RASA - MVT'!J71,'5 - RASA - National Landin'!J71,'6 - RASA - Mosaic'!J71,'7 - RASA - Rockville'!J71)</f>
        <v>0</v>
      </c>
      <c r="K71" s="23">
        <f>IFERROR(J71/J148, "NA")</f>
        <v>0</v>
      </c>
      <c r="L71" s="21">
        <f>SUM('4 - RASA - MVT'!L71,'5 - RASA - National Landin'!L71,'6 - RASA - Mosaic'!L71,'7 - RASA - Rockville'!L71)</f>
        <v>0</v>
      </c>
      <c r="M71" s="23">
        <f>IFERROR(L71/L148, "NA")</f>
        <v>0</v>
      </c>
      <c r="N71" s="21">
        <f>SUM('4 - RASA - MVT'!N71,'5 - RASA - National Landin'!N71,'6 - RASA - Mosaic'!N71,'7 - RASA - Rockville'!N71)</f>
        <v>0</v>
      </c>
      <c r="O71" s="23">
        <f>IFERROR(N71/N148, "NA")</f>
        <v>0</v>
      </c>
      <c r="P71" s="21">
        <f>SUM('4 - RASA - MVT'!P71,'5 - RASA - National Landin'!P71,'6 - RASA - Mosaic'!P71,'7 - RASA - Rockville'!P71)</f>
        <v>0</v>
      </c>
      <c r="Q71" s="23">
        <f>IFERROR(P71/P148, "NA")</f>
        <v>0</v>
      </c>
      <c r="R71" s="21">
        <f>SUM('4 - RASA - MVT'!R71,'5 - RASA - National Landin'!R71,'6 - RASA - Mosaic'!R71,'7 - RASA - Rockville'!R71)</f>
        <v>0</v>
      </c>
      <c r="S71" s="23">
        <f>IFERROR(R71/R148, "NA")</f>
        <v>0</v>
      </c>
      <c r="T71" s="21">
        <f>SUM('4 - RASA - MVT'!T71,'5 - RASA - National Landin'!T71,'6 - RASA - Mosaic'!T71,'7 - RASA - Rockville'!T71)</f>
        <v>0</v>
      </c>
      <c r="U71" s="23">
        <f>IFERROR(T71/T148, "NA")</f>
        <v>0</v>
      </c>
      <c r="V71" s="21">
        <f>SUM('4 - RASA - MVT'!V71,'5 - RASA - National Landin'!V71,'6 - RASA - Mosaic'!V71,'7 - RASA - Rockville'!V71)</f>
        <v>0</v>
      </c>
      <c r="W71" s="23">
        <f>IFERROR(V71/V148, "NA")</f>
        <v>0</v>
      </c>
      <c r="X71" s="21">
        <f>SUM('4 - RASA - MVT'!X71,'5 - RASA - National Landin'!X71,'6 - RASA - Mosaic'!X71,'7 - RASA - Rockville'!X71)</f>
        <v>0</v>
      </c>
      <c r="Y71" s="23">
        <f>IFERROR(X71/X148, "NA")</f>
        <v>0</v>
      </c>
      <c r="Z71" s="21">
        <f>SUM('4 - RASA - MVT'!Z71,'5 - RASA - National Landin'!Z71,'6 - RASA - Mosaic'!Z71,'7 - RASA - Rockville'!Z71)</f>
        <v>0</v>
      </c>
      <c r="AA71" s="23">
        <f>IFERROR(Z71/Z148, "NA")</f>
        <v>0</v>
      </c>
      <c r="AB71" s="28">
        <f t="shared" si="31"/>
        <v>0</v>
      </c>
      <c r="AC71" s="23">
        <f>IFERROR(AB71/AB148, "NA")</f>
        <v>0</v>
      </c>
      <c r="AD71" s="29">
        <f t="shared" si="32"/>
        <v>0</v>
      </c>
      <c r="AE71" s="30">
        <f>IFERROR(AD71/AD148, "NA")</f>
        <v>0</v>
      </c>
      <c r="AF71" s="29" t="str">
        <f t="shared" si="33"/>
        <v>NA</v>
      </c>
      <c r="AG71" s="28">
        <f t="shared" si="34"/>
        <v>0</v>
      </c>
      <c r="AH71" s="23">
        <f>IFERROR(AG71/AG148, "NA")</f>
        <v>0</v>
      </c>
      <c r="AI71" s="29">
        <f t="shared" si="35"/>
        <v>0</v>
      </c>
      <c r="AJ71" s="30">
        <f>IFERROR(AI71/AI148, "NA")</f>
        <v>0</v>
      </c>
      <c r="AK71" s="29" t="str">
        <f t="shared" si="36"/>
        <v>NA</v>
      </c>
      <c r="AL71" s="30" t="str">
        <f>IFERROR(AK71/AK148, "NA")</f>
        <v>NA</v>
      </c>
    </row>
    <row r="72" ht="16.5" customHeight="1">
      <c r="A72" s="19" t="s">
        <v>131</v>
      </c>
      <c r="B72" s="21">
        <f>SUM('4 - RASA - MVT'!B72,'5 - RASA - National Landin'!B72,'6 - RASA - Mosaic'!B72,'7 - RASA - Rockville'!B72)</f>
        <v>0</v>
      </c>
      <c r="C72" s="23">
        <f>IFERROR(B72/B148, "NA")</f>
        <v>0</v>
      </c>
      <c r="D72" s="21">
        <f>SUM('4 - RASA - MVT'!D72,'5 - RASA - National Landin'!D72,'6 - RASA - Mosaic'!D72,'7 - RASA - Rockville'!D72)</f>
        <v>0</v>
      </c>
      <c r="E72" s="23">
        <f>IFERROR(D72/D148, "NA")</f>
        <v>0</v>
      </c>
      <c r="F72" s="21">
        <f>SUM('4 - RASA - MVT'!F72,'5 - RASA - National Landin'!F72,'6 - RASA - Mosaic'!F72,'7 - RASA - Rockville'!F72)</f>
        <v>-3300</v>
      </c>
      <c r="G72" s="23">
        <f>IFERROR(F72/F148, "NA")</f>
        <v>-0.02782769194</v>
      </c>
      <c r="H72" s="21">
        <f>SUM('4 - RASA - MVT'!H72,'5 - RASA - National Landin'!H72,'6 - RASA - Mosaic'!H72,'7 - RASA - Rockville'!H72)</f>
        <v>0</v>
      </c>
      <c r="I72" s="23">
        <f>IFERROR(H72/H148, "NA")</f>
        <v>0</v>
      </c>
      <c r="J72" s="21">
        <f>SUM('4 - RASA - MVT'!J72,'5 - RASA - National Landin'!J72,'6 - RASA - Mosaic'!J72,'7 - RASA - Rockville'!J72)</f>
        <v>0</v>
      </c>
      <c r="K72" s="23">
        <f>IFERROR(J72/J148, "NA")</f>
        <v>0</v>
      </c>
      <c r="L72" s="21">
        <f>SUM('4 - RASA - MVT'!L72,'5 - RASA - National Landin'!L72,'6 - RASA - Mosaic'!L72,'7 - RASA - Rockville'!L72)</f>
        <v>0</v>
      </c>
      <c r="M72" s="23">
        <f>IFERROR(L72/L148, "NA")</f>
        <v>0</v>
      </c>
      <c r="N72" s="21">
        <f>SUM('4 - RASA - MVT'!N72,'5 - RASA - National Landin'!N72,'6 - RASA - Mosaic'!N72,'7 - RASA - Rockville'!N72)</f>
        <v>0</v>
      </c>
      <c r="O72" s="23">
        <f>IFERROR(N72/N148, "NA")</f>
        <v>0</v>
      </c>
      <c r="P72" s="21">
        <f>SUM('4 - RASA - MVT'!P72,'5 - RASA - National Landin'!P72,'6 - RASA - Mosaic'!P72,'7 - RASA - Rockville'!P72)</f>
        <v>2650</v>
      </c>
      <c r="Q72" s="23">
        <f>IFERROR(P72/P148, "NA")</f>
        <v>0.05440848329</v>
      </c>
      <c r="R72" s="21">
        <f>SUM('4 - RASA - MVT'!R72,'5 - RASA - National Landin'!R72,'6 - RASA - Mosaic'!R72,'7 - RASA - Rockville'!R72)</f>
        <v>0</v>
      </c>
      <c r="S72" s="23">
        <f>IFERROR(R72/R148, "NA")</f>
        <v>0</v>
      </c>
      <c r="T72" s="21">
        <f>SUM('4 - RASA - MVT'!T72,'5 - RASA - National Landin'!T72,'6 - RASA - Mosaic'!T72,'7 - RASA - Rockville'!T72)</f>
        <v>0</v>
      </c>
      <c r="U72" s="23">
        <f>IFERROR(T72/T148, "NA")</f>
        <v>0</v>
      </c>
      <c r="V72" s="21">
        <f>SUM('4 - RASA - MVT'!V72,'5 - RASA - National Landin'!V72,'6 - RASA - Mosaic'!V72,'7 - RASA - Rockville'!V72)</f>
        <v>0</v>
      </c>
      <c r="W72" s="23">
        <f>IFERROR(V72/V148, "NA")</f>
        <v>0</v>
      </c>
      <c r="X72" s="21">
        <f>SUM('4 - RASA - MVT'!X72,'5 - RASA - National Landin'!X72,'6 - RASA - Mosaic'!X72,'7 - RASA - Rockville'!X72)</f>
        <v>2650</v>
      </c>
      <c r="Y72" s="23">
        <f>IFERROR(X72/X148, "NA")</f>
        <v>0.02763063451</v>
      </c>
      <c r="Z72" s="21">
        <f>SUM('4 - RASA - MVT'!Z72,'5 - RASA - National Landin'!Z72,'6 - RASA - Mosaic'!Z72,'7 - RASA - Rockville'!Z72)</f>
        <v>2650</v>
      </c>
      <c r="AA72" s="23">
        <f>IFERROR(Z72/Z148, "NA")</f>
        <v>0.007290064572</v>
      </c>
      <c r="AB72" s="28">
        <f t="shared" si="31"/>
        <v>662.5</v>
      </c>
      <c r="AC72" s="23">
        <f>IFERROR(AB72/AB148, "NA")</f>
        <v>0.007290064572</v>
      </c>
      <c r="AD72" s="29">
        <f t="shared" si="32"/>
        <v>1987.5</v>
      </c>
      <c r="AE72" s="30">
        <f>IFERROR(AD72/AD148, "NA")</f>
        <v>0.3950561825</v>
      </c>
      <c r="AF72" s="29">
        <f t="shared" si="33"/>
        <v>3</v>
      </c>
      <c r="AG72" s="28">
        <f t="shared" si="34"/>
        <v>662.5</v>
      </c>
      <c r="AH72" s="23">
        <f>IFERROR(AG72/AG148, "NA")</f>
        <v>0.00708644086</v>
      </c>
      <c r="AI72" s="29">
        <f t="shared" si="35"/>
        <v>1987.5</v>
      </c>
      <c r="AJ72" s="30">
        <f>IFERROR(AI72/AI148, "NA")</f>
        <v>0.8214023353</v>
      </c>
      <c r="AK72" s="29">
        <f t="shared" si="36"/>
        <v>3</v>
      </c>
      <c r="AL72" s="30">
        <f>IFERROR(AK72/AK148, "NA")</f>
        <v>115.911831</v>
      </c>
    </row>
    <row r="73" ht="16.5" customHeight="1">
      <c r="A73" s="13" t="s">
        <v>132</v>
      </c>
      <c r="B73" s="14"/>
      <c r="C73" s="12"/>
      <c r="D73" s="14"/>
      <c r="E73" s="12"/>
      <c r="F73" s="14"/>
      <c r="G73" s="12"/>
      <c r="H73" s="14"/>
      <c r="I73" s="12"/>
      <c r="J73" s="14"/>
      <c r="K73" s="12"/>
      <c r="L73" s="14"/>
      <c r="M73" s="12"/>
      <c r="N73" s="14"/>
      <c r="O73" s="12"/>
      <c r="P73" s="14"/>
      <c r="Q73" s="12"/>
      <c r="R73" s="14"/>
      <c r="S73" s="12"/>
      <c r="T73" s="14"/>
      <c r="U73" s="12"/>
      <c r="V73" s="14"/>
      <c r="W73" s="12"/>
      <c r="X73" s="14"/>
      <c r="Y73" s="12"/>
      <c r="Z73" s="14"/>
      <c r="AA73" s="12"/>
      <c r="AB73" s="14"/>
      <c r="AC73" s="12"/>
      <c r="AD73" s="17"/>
      <c r="AE73" s="18"/>
      <c r="AF73" s="17"/>
      <c r="AG73" s="14"/>
      <c r="AH73" s="12"/>
      <c r="AI73" s="17"/>
      <c r="AJ73" s="18"/>
      <c r="AK73" s="17"/>
      <c r="AL73" s="18"/>
    </row>
    <row r="74" ht="16.5" customHeight="1">
      <c r="A74" s="19" t="s">
        <v>133</v>
      </c>
      <c r="B74" s="21">
        <f>SUM('4 - RASA - MVT'!B74,'5 - RASA - National Landin'!B74,'6 - RASA - Mosaic'!B74,'7 - RASA - Rockville'!B74)</f>
        <v>3017.31</v>
      </c>
      <c r="C74" s="23">
        <f>IFERROR(B74/B148, "NA")</f>
        <v>0.01841371158</v>
      </c>
      <c r="D74" s="21">
        <f>SUM('4 - RASA - MVT'!D74,'5 - RASA - National Landin'!D74,'6 - RASA - Mosaic'!D74,'7 - RASA - Rockville'!D74)</f>
        <v>2792.2</v>
      </c>
      <c r="E74" s="23">
        <f>IFERROR(D74/D148, "NA")</f>
        <v>0.01848825507</v>
      </c>
      <c r="F74" s="21">
        <f>SUM('4 - RASA - MVT'!F74,'5 - RASA - National Landin'!F74,'6 - RASA - Mosaic'!F74,'7 - RASA - Rockville'!F74)</f>
        <v>2804.54</v>
      </c>
      <c r="G74" s="23">
        <f>IFERROR(F74/F148, "NA")</f>
        <v>0.02364965914</v>
      </c>
      <c r="H74" s="21">
        <f>SUM('4 - RASA - MVT'!H74,'5 - RASA - National Landin'!H74,'6 - RASA - Mosaic'!H74,'7 - RASA - Rockville'!H74)</f>
        <v>1835.38</v>
      </c>
      <c r="I74" s="23">
        <f>IFERROR(H74/H148, "NA")</f>
        <v>0.02888350821</v>
      </c>
      <c r="J74" s="21">
        <f>SUM('4 - RASA - MVT'!J74,'5 - RASA - National Landin'!J74,'6 - RASA - Mosaic'!J74,'7 - RASA - Rockville'!J74)</f>
        <v>2518.21</v>
      </c>
      <c r="K74" s="23">
        <f>IFERROR(J74/J148, "NA")</f>
        <v>0.02117539544</v>
      </c>
      <c r="L74" s="21">
        <f>SUM('4 - RASA - MVT'!L74,'5 - RASA - National Landin'!L74,'6 - RASA - Mosaic'!L74,'7 - RASA - Rockville'!L74)</f>
        <v>2511.71</v>
      </c>
      <c r="M74" s="23">
        <f>IFERROR(L74/L148, "NA")</f>
        <v>0.02195648582</v>
      </c>
      <c r="N74" s="21">
        <f>SUM('4 - RASA - MVT'!N74,'5 - RASA - National Landin'!N74,'6 - RASA - Mosaic'!N74,'7 - RASA - Rockville'!N74)</f>
        <v>2399.13</v>
      </c>
      <c r="O74" s="23">
        <f>IFERROR(N74/N148, "NA")</f>
        <v>0.02343433842</v>
      </c>
      <c r="P74" s="21">
        <f>SUM('4 - RASA - MVT'!P74,'5 - RASA - National Landin'!P74,'6 - RASA - Mosaic'!P74,'7 - RASA - Rockville'!P74)</f>
        <v>1892.31</v>
      </c>
      <c r="Q74" s="23">
        <f>IFERROR(P74/P148, "NA")</f>
        <v>0.03885196868</v>
      </c>
      <c r="R74" s="21">
        <f>SUM('4 - RASA - MVT'!R74,'5 - RASA - National Landin'!R74,'6 - RASA - Mosaic'!R74,'7 - RASA - Rockville'!R74)</f>
        <v>2106.53</v>
      </c>
      <c r="S74" s="23">
        <f>IFERROR(R74/R148, "NA")</f>
        <v>0.03467322779</v>
      </c>
      <c r="T74" s="21">
        <f>SUM('4 - RASA - MVT'!T74,'5 - RASA - National Landin'!T74,'6 - RASA - Mosaic'!T74,'7 - RASA - Rockville'!T74)</f>
        <v>2657.94</v>
      </c>
      <c r="U74" s="23">
        <f>IFERROR(T74/T148, "NA")</f>
        <v>0.02839989884</v>
      </c>
      <c r="V74" s="21">
        <f>SUM('4 - RASA - MVT'!V74,'5 - RASA - National Landin'!V74,'6 - RASA - Mosaic'!V74,'7 - RASA - Rockville'!V74)</f>
        <v>2719.7</v>
      </c>
      <c r="W74" s="23">
        <f>IFERROR(V74/V148, "NA")</f>
        <v>0.02401356068</v>
      </c>
      <c r="X74" s="21">
        <f>SUM('4 - RASA - MVT'!X74,'5 - RASA - National Landin'!X74,'6 - RASA - Mosaic'!X74,'7 - RASA - Rockville'!X74)</f>
        <v>2448.51</v>
      </c>
      <c r="Y74" s="23">
        <f>IFERROR(X74/X148, "NA")</f>
        <v>0.02552976789</v>
      </c>
      <c r="Z74" s="21">
        <f>SUM('4 - RASA - MVT'!Z74,'5 - RASA - National Landin'!Z74,'6 - RASA - Mosaic'!Z74,'7 - RASA - Rockville'!Z74)</f>
        <v>9932.68</v>
      </c>
      <c r="AA74" s="23">
        <f>IFERROR(Z74/Z148, "NA")</f>
        <v>0.02732448248</v>
      </c>
      <c r="AB74" s="28">
        <f t="shared" ref="AB74:AB85" si="37">IFERROR((R74+T74+V74+X74)/4, "NA")</f>
        <v>2483.17</v>
      </c>
      <c r="AC74" s="23">
        <f>IFERROR(AB74/AB148, "NA")</f>
        <v>0.02732448248</v>
      </c>
      <c r="AD74" s="29">
        <f t="shared" ref="AD74:AD85" si="38">IFERROR(X74-AB74, "NA")</f>
        <v>-34.66</v>
      </c>
      <c r="AE74" s="30">
        <f>IFERROR(AD74/AD148, "NA")</f>
        <v>-0.006889382281</v>
      </c>
      <c r="AF74" s="29">
        <f t="shared" ref="AF74:AF85" si="39">IFERROR((X74-AB74)/AB74, "NA")</f>
        <v>-0.01395796502</v>
      </c>
      <c r="AG74" s="28">
        <f t="shared" ref="AG74:AG85" si="40">IFERROR((J74+L74+N74+P74+R74+T74+V74+X74)/8, "NA")</f>
        <v>2406.755</v>
      </c>
      <c r="AH74" s="23">
        <f>IFERROR(AG74/AG148, "NA")</f>
        <v>0.02574388977</v>
      </c>
      <c r="AI74" s="29">
        <f t="shared" ref="AI74:AI85" si="41">IFERROR(X74-AG74, "NA")</f>
        <v>41.755</v>
      </c>
      <c r="AJ74" s="30">
        <f>IFERROR(AI74/AI148, "NA")</f>
        <v>0.01725668151</v>
      </c>
      <c r="AK74" s="29">
        <f t="shared" ref="AK74:AK85" si="42">IFERROR((X74-AG74)/AG74, "NA")</f>
        <v>0.01734908622</v>
      </c>
      <c r="AL74" s="30">
        <f>IFERROR(AK74/AK148, "NA")</f>
        <v>0.6703214498</v>
      </c>
    </row>
    <row r="75" ht="16.5" hidden="1" customHeight="1">
      <c r="A75" s="19" t="s">
        <v>134</v>
      </c>
      <c r="B75" s="21">
        <f>SUM('4 - RASA - MVT'!B75,'5 - RASA - National Landin'!B75,'6 - RASA - Mosaic'!B75,'7 - RASA - Rockville'!B75)</f>
        <v>0</v>
      </c>
      <c r="C75" s="23">
        <f>IFERROR(B75/B148, "NA")</f>
        <v>0</v>
      </c>
      <c r="D75" s="21">
        <f>SUM('4 - RASA - MVT'!D75,'5 - RASA - National Landin'!D75,'6 - RASA - Mosaic'!D75,'7 - RASA - Rockville'!D75)</f>
        <v>0</v>
      </c>
      <c r="E75" s="23">
        <f>IFERROR(D75/D148, "NA")</f>
        <v>0</v>
      </c>
      <c r="F75" s="21">
        <f>SUM('4 - RASA - MVT'!F75,'5 - RASA - National Landin'!F75,'6 - RASA - Mosaic'!F75,'7 - RASA - Rockville'!F75)</f>
        <v>0</v>
      </c>
      <c r="G75" s="23">
        <f>IFERROR(F75/F148, "NA")</f>
        <v>0</v>
      </c>
      <c r="H75" s="21">
        <f>SUM('4 - RASA - MVT'!H75,'5 - RASA - National Landin'!H75,'6 - RASA - Mosaic'!H75,'7 - RASA - Rockville'!H75)</f>
        <v>0</v>
      </c>
      <c r="I75" s="23">
        <f>IFERROR(H75/H148, "NA")</f>
        <v>0</v>
      </c>
      <c r="J75" s="21">
        <f>SUM('4 - RASA - MVT'!J75,'5 - RASA - National Landin'!J75,'6 - RASA - Mosaic'!J75,'7 - RASA - Rockville'!J75)</f>
        <v>0</v>
      </c>
      <c r="K75" s="23">
        <f>IFERROR(J75/J148, "NA")</f>
        <v>0</v>
      </c>
      <c r="L75" s="21">
        <f>SUM('4 - RASA - MVT'!L75,'5 - RASA - National Landin'!L75,'6 - RASA - Mosaic'!L75,'7 - RASA - Rockville'!L75)</f>
        <v>0</v>
      </c>
      <c r="M75" s="23">
        <f>IFERROR(L75/L148, "NA")</f>
        <v>0</v>
      </c>
      <c r="N75" s="21">
        <f>SUM('4 - RASA - MVT'!N75,'5 - RASA - National Landin'!N75,'6 - RASA - Mosaic'!N75,'7 - RASA - Rockville'!N75)</f>
        <v>0</v>
      </c>
      <c r="O75" s="23">
        <f>IFERROR(N75/N148, "NA")</f>
        <v>0</v>
      </c>
      <c r="P75" s="21">
        <f>SUM('4 - RASA - MVT'!P75,'5 - RASA - National Landin'!P75,'6 - RASA - Mosaic'!P75,'7 - RASA - Rockville'!P75)</f>
        <v>0</v>
      </c>
      <c r="Q75" s="23">
        <f>IFERROR(P75/P148, "NA")</f>
        <v>0</v>
      </c>
      <c r="R75" s="21">
        <f>SUM('4 - RASA - MVT'!R75,'5 - RASA - National Landin'!R75,'6 - RASA - Mosaic'!R75,'7 - RASA - Rockville'!R75)</f>
        <v>0</v>
      </c>
      <c r="S75" s="23">
        <f>IFERROR(R75/R148, "NA")</f>
        <v>0</v>
      </c>
      <c r="T75" s="21">
        <f>SUM('4 - RASA - MVT'!T75,'5 - RASA - National Landin'!T75,'6 - RASA - Mosaic'!T75,'7 - RASA - Rockville'!T75)</f>
        <v>0</v>
      </c>
      <c r="U75" s="23">
        <f>IFERROR(T75/T148, "NA")</f>
        <v>0</v>
      </c>
      <c r="V75" s="21">
        <f>SUM('4 - RASA - MVT'!V75,'5 - RASA - National Landin'!V75,'6 - RASA - Mosaic'!V75,'7 - RASA - Rockville'!V75)</f>
        <v>0</v>
      </c>
      <c r="W75" s="23">
        <f>IFERROR(V75/V148, "NA")</f>
        <v>0</v>
      </c>
      <c r="X75" s="21">
        <f>SUM('4 - RASA - MVT'!X75,'5 - RASA - National Landin'!X75,'6 - RASA - Mosaic'!X75,'7 - RASA - Rockville'!X75)</f>
        <v>0</v>
      </c>
      <c r="Y75" s="23">
        <f>IFERROR(X75/X148, "NA")</f>
        <v>0</v>
      </c>
      <c r="Z75" s="21">
        <f>SUM('4 - RASA - MVT'!Z75,'5 - RASA - National Landin'!Z75,'6 - RASA - Mosaic'!Z75,'7 - RASA - Rockville'!Z75)</f>
        <v>0</v>
      </c>
      <c r="AA75" s="23">
        <f>IFERROR(Z75/Z148, "NA")</f>
        <v>0</v>
      </c>
      <c r="AB75" s="28">
        <f t="shared" si="37"/>
        <v>0</v>
      </c>
      <c r="AC75" s="23">
        <f>IFERROR(AB75/AB148, "NA")</f>
        <v>0</v>
      </c>
      <c r="AD75" s="29">
        <f t="shared" si="38"/>
        <v>0</v>
      </c>
      <c r="AE75" s="30">
        <f>IFERROR(AD75/AD148, "NA")</f>
        <v>0</v>
      </c>
      <c r="AF75" s="29" t="str">
        <f t="shared" si="39"/>
        <v>NA</v>
      </c>
      <c r="AG75" s="28">
        <f t="shared" si="40"/>
        <v>0</v>
      </c>
      <c r="AH75" s="23">
        <f>IFERROR(AG75/AG148, "NA")</f>
        <v>0</v>
      </c>
      <c r="AI75" s="29">
        <f t="shared" si="41"/>
        <v>0</v>
      </c>
      <c r="AJ75" s="30">
        <f>IFERROR(AI75/AI148, "NA")</f>
        <v>0</v>
      </c>
      <c r="AK75" s="29" t="str">
        <f t="shared" si="42"/>
        <v>NA</v>
      </c>
      <c r="AL75" s="30" t="str">
        <f>IFERROR(AK75/AK148, "NA")</f>
        <v>NA</v>
      </c>
    </row>
    <row r="76" ht="16.5" hidden="1" customHeight="1">
      <c r="A76" s="19" t="s">
        <v>135</v>
      </c>
      <c r="B76" s="21">
        <f>SUM('4 - RASA - MVT'!B76,'5 - RASA - National Landin'!B76,'6 - RASA - Mosaic'!B76,'7 - RASA - Rockville'!B76)</f>
        <v>0</v>
      </c>
      <c r="C76" s="23">
        <f>IFERROR(B76/B148, "NA")</f>
        <v>0</v>
      </c>
      <c r="D76" s="21">
        <f>SUM('4 - RASA - MVT'!D76,'5 - RASA - National Landin'!D76,'6 - RASA - Mosaic'!D76,'7 - RASA - Rockville'!D76)</f>
        <v>0</v>
      </c>
      <c r="E76" s="23">
        <f>IFERROR(D76/D148, "NA")</f>
        <v>0</v>
      </c>
      <c r="F76" s="21">
        <f>SUM('4 - RASA - MVT'!F76,'5 - RASA - National Landin'!F76,'6 - RASA - Mosaic'!F76,'7 - RASA - Rockville'!F76)</f>
        <v>0</v>
      </c>
      <c r="G76" s="23">
        <f>IFERROR(F76/F148, "NA")</f>
        <v>0</v>
      </c>
      <c r="H76" s="21">
        <f>SUM('4 - RASA - MVT'!H76,'5 - RASA - National Landin'!H76,'6 - RASA - Mosaic'!H76,'7 - RASA - Rockville'!H76)</f>
        <v>0</v>
      </c>
      <c r="I76" s="23">
        <f>IFERROR(H76/H148, "NA")</f>
        <v>0</v>
      </c>
      <c r="J76" s="21">
        <f>SUM('4 - RASA - MVT'!J76,'5 - RASA - National Landin'!J76,'6 - RASA - Mosaic'!J76,'7 - RASA - Rockville'!J76)</f>
        <v>0</v>
      </c>
      <c r="K76" s="23">
        <f>IFERROR(J76/J148, "NA")</f>
        <v>0</v>
      </c>
      <c r="L76" s="21">
        <f>SUM('4 - RASA - MVT'!L76,'5 - RASA - National Landin'!L76,'6 - RASA - Mosaic'!L76,'7 - RASA - Rockville'!L76)</f>
        <v>0</v>
      </c>
      <c r="M76" s="23">
        <f>IFERROR(L76/L148, "NA")</f>
        <v>0</v>
      </c>
      <c r="N76" s="21">
        <f>SUM('4 - RASA - MVT'!N76,'5 - RASA - National Landin'!N76,'6 - RASA - Mosaic'!N76,'7 - RASA - Rockville'!N76)</f>
        <v>0</v>
      </c>
      <c r="O76" s="23">
        <f>IFERROR(N76/N148, "NA")</f>
        <v>0</v>
      </c>
      <c r="P76" s="21">
        <f>SUM('4 - RASA - MVT'!P76,'5 - RASA - National Landin'!P76,'6 - RASA - Mosaic'!P76,'7 - RASA - Rockville'!P76)</f>
        <v>0</v>
      </c>
      <c r="Q76" s="23">
        <f>IFERROR(P76/P148, "NA")</f>
        <v>0</v>
      </c>
      <c r="R76" s="21">
        <f>SUM('4 - RASA - MVT'!R76,'5 - RASA - National Landin'!R76,'6 - RASA - Mosaic'!R76,'7 - RASA - Rockville'!R76)</f>
        <v>0</v>
      </c>
      <c r="S76" s="23">
        <f>IFERROR(R76/R148, "NA")</f>
        <v>0</v>
      </c>
      <c r="T76" s="21">
        <f>SUM('4 - RASA - MVT'!T76,'5 - RASA - National Landin'!T76,'6 - RASA - Mosaic'!T76,'7 - RASA - Rockville'!T76)</f>
        <v>0</v>
      </c>
      <c r="U76" s="23">
        <f>IFERROR(T76/T148, "NA")</f>
        <v>0</v>
      </c>
      <c r="V76" s="21">
        <f>SUM('4 - RASA - MVT'!V76,'5 - RASA - National Landin'!V76,'6 - RASA - Mosaic'!V76,'7 - RASA - Rockville'!V76)</f>
        <v>0</v>
      </c>
      <c r="W76" s="23">
        <f>IFERROR(V76/V148, "NA")</f>
        <v>0</v>
      </c>
      <c r="X76" s="21">
        <f>SUM('4 - RASA - MVT'!X76,'5 - RASA - National Landin'!X76,'6 - RASA - Mosaic'!X76,'7 - RASA - Rockville'!X76)</f>
        <v>0</v>
      </c>
      <c r="Y76" s="23">
        <f>IFERROR(X76/X148, "NA")</f>
        <v>0</v>
      </c>
      <c r="Z76" s="21">
        <f>SUM('4 - RASA - MVT'!Z76,'5 - RASA - National Landin'!Z76,'6 - RASA - Mosaic'!Z76,'7 - RASA - Rockville'!Z76)</f>
        <v>0</v>
      </c>
      <c r="AA76" s="23">
        <f>IFERROR(Z76/Z148, "NA")</f>
        <v>0</v>
      </c>
      <c r="AB76" s="28">
        <f t="shared" si="37"/>
        <v>0</v>
      </c>
      <c r="AC76" s="23">
        <f>IFERROR(AB76/AB148, "NA")</f>
        <v>0</v>
      </c>
      <c r="AD76" s="29">
        <f t="shared" si="38"/>
        <v>0</v>
      </c>
      <c r="AE76" s="30">
        <f>IFERROR(AD76/AD148, "NA")</f>
        <v>0</v>
      </c>
      <c r="AF76" s="29" t="str">
        <f t="shared" si="39"/>
        <v>NA</v>
      </c>
      <c r="AG76" s="28">
        <f t="shared" si="40"/>
        <v>0</v>
      </c>
      <c r="AH76" s="23">
        <f>IFERROR(AG76/AG148, "NA")</f>
        <v>0</v>
      </c>
      <c r="AI76" s="29">
        <f t="shared" si="41"/>
        <v>0</v>
      </c>
      <c r="AJ76" s="30">
        <f>IFERROR(AI76/AI148, "NA")</f>
        <v>0</v>
      </c>
      <c r="AK76" s="29" t="str">
        <f t="shared" si="42"/>
        <v>NA</v>
      </c>
      <c r="AL76" s="30" t="str">
        <f>IFERROR(AK76/AK148, "NA")</f>
        <v>NA</v>
      </c>
    </row>
    <row r="77" ht="16.5" hidden="1" customHeight="1">
      <c r="A77" s="19" t="s">
        <v>136</v>
      </c>
      <c r="B77" s="21">
        <f>SUM('4 - RASA - MVT'!B77,'5 - RASA - National Landin'!B77,'6 - RASA - Mosaic'!B77,'7 - RASA - Rockville'!B77)</f>
        <v>0</v>
      </c>
      <c r="C77" s="23">
        <f>IFERROR(B77/B148, "NA")</f>
        <v>0</v>
      </c>
      <c r="D77" s="21">
        <f>SUM('4 - RASA - MVT'!D77,'5 - RASA - National Landin'!D77,'6 - RASA - Mosaic'!D77,'7 - RASA - Rockville'!D77)</f>
        <v>0</v>
      </c>
      <c r="E77" s="23">
        <f>IFERROR(D77/D148, "NA")</f>
        <v>0</v>
      </c>
      <c r="F77" s="21">
        <f>SUM('4 - RASA - MVT'!F77,'5 - RASA - National Landin'!F77,'6 - RASA - Mosaic'!F77,'7 - RASA - Rockville'!F77)</f>
        <v>0</v>
      </c>
      <c r="G77" s="23">
        <f>IFERROR(F77/F148, "NA")</f>
        <v>0</v>
      </c>
      <c r="H77" s="21">
        <f>SUM('4 - RASA - MVT'!H77,'5 - RASA - National Landin'!H77,'6 - RASA - Mosaic'!H77,'7 - RASA - Rockville'!H77)</f>
        <v>0</v>
      </c>
      <c r="I77" s="23">
        <f>IFERROR(H77/H148, "NA")</f>
        <v>0</v>
      </c>
      <c r="J77" s="21">
        <f>SUM('4 - RASA - MVT'!J77,'5 - RASA - National Landin'!J77,'6 - RASA - Mosaic'!J77,'7 - RASA - Rockville'!J77)</f>
        <v>0</v>
      </c>
      <c r="K77" s="23">
        <f>IFERROR(J77/J148, "NA")</f>
        <v>0</v>
      </c>
      <c r="L77" s="21">
        <f>SUM('4 - RASA - MVT'!L77,'5 - RASA - National Landin'!L77,'6 - RASA - Mosaic'!L77,'7 - RASA - Rockville'!L77)</f>
        <v>0</v>
      </c>
      <c r="M77" s="23">
        <f>IFERROR(L77/L148, "NA")</f>
        <v>0</v>
      </c>
      <c r="N77" s="21">
        <f>SUM('4 - RASA - MVT'!N77,'5 - RASA - National Landin'!N77,'6 - RASA - Mosaic'!N77,'7 - RASA - Rockville'!N77)</f>
        <v>0</v>
      </c>
      <c r="O77" s="23">
        <f>IFERROR(N77/N148, "NA")</f>
        <v>0</v>
      </c>
      <c r="P77" s="21">
        <f>SUM('4 - RASA - MVT'!P77,'5 - RASA - National Landin'!P77,'6 - RASA - Mosaic'!P77,'7 - RASA - Rockville'!P77)</f>
        <v>0</v>
      </c>
      <c r="Q77" s="23">
        <f>IFERROR(P77/P148, "NA")</f>
        <v>0</v>
      </c>
      <c r="R77" s="21">
        <f>SUM('4 - RASA - MVT'!R77,'5 - RASA - National Landin'!R77,'6 - RASA - Mosaic'!R77,'7 - RASA - Rockville'!R77)</f>
        <v>0</v>
      </c>
      <c r="S77" s="23">
        <f>IFERROR(R77/R148, "NA")</f>
        <v>0</v>
      </c>
      <c r="T77" s="21">
        <f>SUM('4 - RASA - MVT'!T77,'5 - RASA - National Landin'!T77,'6 - RASA - Mosaic'!T77,'7 - RASA - Rockville'!T77)</f>
        <v>0</v>
      </c>
      <c r="U77" s="23">
        <f>IFERROR(T77/T148, "NA")</f>
        <v>0</v>
      </c>
      <c r="V77" s="21">
        <f>SUM('4 - RASA - MVT'!V77,'5 - RASA - National Landin'!V77,'6 - RASA - Mosaic'!V77,'7 - RASA - Rockville'!V77)</f>
        <v>0</v>
      </c>
      <c r="W77" s="23">
        <f>IFERROR(V77/V148, "NA")</f>
        <v>0</v>
      </c>
      <c r="X77" s="21">
        <f>SUM('4 - RASA - MVT'!X77,'5 - RASA - National Landin'!X77,'6 - RASA - Mosaic'!X77,'7 - RASA - Rockville'!X77)</f>
        <v>0</v>
      </c>
      <c r="Y77" s="23">
        <f>IFERROR(X77/X148, "NA")</f>
        <v>0</v>
      </c>
      <c r="Z77" s="21">
        <f>SUM('4 - RASA - MVT'!Z77,'5 - RASA - National Landin'!Z77,'6 - RASA - Mosaic'!Z77,'7 - RASA - Rockville'!Z77)</f>
        <v>0</v>
      </c>
      <c r="AA77" s="23">
        <f>IFERROR(Z77/Z148, "NA")</f>
        <v>0</v>
      </c>
      <c r="AB77" s="28">
        <f t="shared" si="37"/>
        <v>0</v>
      </c>
      <c r="AC77" s="23">
        <f>IFERROR(AB77/AB148, "NA")</f>
        <v>0</v>
      </c>
      <c r="AD77" s="29">
        <f t="shared" si="38"/>
        <v>0</v>
      </c>
      <c r="AE77" s="30">
        <f>IFERROR(AD77/AD148, "NA")</f>
        <v>0</v>
      </c>
      <c r="AF77" s="29" t="str">
        <f t="shared" si="39"/>
        <v>NA</v>
      </c>
      <c r="AG77" s="28">
        <f t="shared" si="40"/>
        <v>0</v>
      </c>
      <c r="AH77" s="23">
        <f>IFERROR(AG77/AG148, "NA")</f>
        <v>0</v>
      </c>
      <c r="AI77" s="29">
        <f t="shared" si="41"/>
        <v>0</v>
      </c>
      <c r="AJ77" s="30">
        <f>IFERROR(AI77/AI148, "NA")</f>
        <v>0</v>
      </c>
      <c r="AK77" s="29" t="str">
        <f t="shared" si="42"/>
        <v>NA</v>
      </c>
      <c r="AL77" s="30" t="str">
        <f>IFERROR(AK77/AK148, "NA")</f>
        <v>NA</v>
      </c>
    </row>
    <row r="78" ht="16.5" hidden="1" customHeight="1">
      <c r="A78" s="19" t="s">
        <v>137</v>
      </c>
      <c r="B78" s="21">
        <f>SUM('4 - RASA - MVT'!B78,'5 - RASA - National Landin'!B78,'6 - RASA - Mosaic'!B78,'7 - RASA - Rockville'!B78)</f>
        <v>0</v>
      </c>
      <c r="C78" s="23">
        <f>IFERROR(B78/B148, "NA")</f>
        <v>0</v>
      </c>
      <c r="D78" s="21">
        <f>SUM('4 - RASA - MVT'!D78,'5 - RASA - National Landin'!D78,'6 - RASA - Mosaic'!D78,'7 - RASA - Rockville'!D78)</f>
        <v>0</v>
      </c>
      <c r="E78" s="23">
        <f>IFERROR(D78/D148, "NA")</f>
        <v>0</v>
      </c>
      <c r="F78" s="21">
        <f>SUM('4 - RASA - MVT'!F78,'5 - RASA - National Landin'!F78,'6 - RASA - Mosaic'!F78,'7 - RASA - Rockville'!F78)</f>
        <v>0</v>
      </c>
      <c r="G78" s="23">
        <f>IFERROR(F78/F148, "NA")</f>
        <v>0</v>
      </c>
      <c r="H78" s="21">
        <f>SUM('4 - RASA - MVT'!H78,'5 - RASA - National Landin'!H78,'6 - RASA - Mosaic'!H78,'7 - RASA - Rockville'!H78)</f>
        <v>0</v>
      </c>
      <c r="I78" s="23">
        <f>IFERROR(H78/H148, "NA")</f>
        <v>0</v>
      </c>
      <c r="J78" s="21">
        <f>SUM('4 - RASA - MVT'!J78,'5 - RASA - National Landin'!J78,'6 - RASA - Mosaic'!J78,'7 - RASA - Rockville'!J78)</f>
        <v>0</v>
      </c>
      <c r="K78" s="23">
        <f>IFERROR(J78/J148, "NA")</f>
        <v>0</v>
      </c>
      <c r="L78" s="21">
        <f>SUM('4 - RASA - MVT'!L78,'5 - RASA - National Landin'!L78,'6 - RASA - Mosaic'!L78,'7 - RASA - Rockville'!L78)</f>
        <v>0</v>
      </c>
      <c r="M78" s="23">
        <f>IFERROR(L78/L148, "NA")</f>
        <v>0</v>
      </c>
      <c r="N78" s="21">
        <f>SUM('4 - RASA - MVT'!N78,'5 - RASA - National Landin'!N78,'6 - RASA - Mosaic'!N78,'7 - RASA - Rockville'!N78)</f>
        <v>0</v>
      </c>
      <c r="O78" s="23">
        <f>IFERROR(N78/N148, "NA")</f>
        <v>0</v>
      </c>
      <c r="P78" s="21">
        <f>SUM('4 - RASA - MVT'!P78,'5 - RASA - National Landin'!P78,'6 - RASA - Mosaic'!P78,'7 - RASA - Rockville'!P78)</f>
        <v>0</v>
      </c>
      <c r="Q78" s="23">
        <f>IFERROR(P78/P148, "NA")</f>
        <v>0</v>
      </c>
      <c r="R78" s="21">
        <f>SUM('4 - RASA - MVT'!R78,'5 - RASA - National Landin'!R78,'6 - RASA - Mosaic'!R78,'7 - RASA - Rockville'!R78)</f>
        <v>0</v>
      </c>
      <c r="S78" s="23">
        <f>IFERROR(R78/R148, "NA")</f>
        <v>0</v>
      </c>
      <c r="T78" s="21">
        <f>SUM('4 - RASA - MVT'!T78,'5 - RASA - National Landin'!T78,'6 - RASA - Mosaic'!T78,'7 - RASA - Rockville'!T78)</f>
        <v>0</v>
      </c>
      <c r="U78" s="23">
        <f>IFERROR(T78/T148, "NA")</f>
        <v>0</v>
      </c>
      <c r="V78" s="21">
        <f>SUM('4 - RASA - MVT'!V78,'5 - RASA - National Landin'!V78,'6 - RASA - Mosaic'!V78,'7 - RASA - Rockville'!V78)</f>
        <v>0</v>
      </c>
      <c r="W78" s="23">
        <f>IFERROR(V78/V148, "NA")</f>
        <v>0</v>
      </c>
      <c r="X78" s="21">
        <f>SUM('4 - RASA - MVT'!X78,'5 - RASA - National Landin'!X78,'6 - RASA - Mosaic'!X78,'7 - RASA - Rockville'!X78)</f>
        <v>0</v>
      </c>
      <c r="Y78" s="23">
        <f>IFERROR(X78/X148, "NA")</f>
        <v>0</v>
      </c>
      <c r="Z78" s="21">
        <f>SUM('4 - RASA - MVT'!Z78,'5 - RASA - National Landin'!Z78,'6 - RASA - Mosaic'!Z78,'7 - RASA - Rockville'!Z78)</f>
        <v>0</v>
      </c>
      <c r="AA78" s="23">
        <f>IFERROR(Z78/Z148, "NA")</f>
        <v>0</v>
      </c>
      <c r="AB78" s="28">
        <f t="shared" si="37"/>
        <v>0</v>
      </c>
      <c r="AC78" s="23">
        <f>IFERROR(AB78/AB148, "NA")</f>
        <v>0</v>
      </c>
      <c r="AD78" s="29">
        <f t="shared" si="38"/>
        <v>0</v>
      </c>
      <c r="AE78" s="30">
        <f>IFERROR(AD78/AD148, "NA")</f>
        <v>0</v>
      </c>
      <c r="AF78" s="29" t="str">
        <f t="shared" si="39"/>
        <v>NA</v>
      </c>
      <c r="AG78" s="28">
        <f t="shared" si="40"/>
        <v>0</v>
      </c>
      <c r="AH78" s="23">
        <f>IFERROR(AG78/AG148, "NA")</f>
        <v>0</v>
      </c>
      <c r="AI78" s="29">
        <f t="shared" si="41"/>
        <v>0</v>
      </c>
      <c r="AJ78" s="30">
        <f>IFERROR(AI78/AI148, "NA")</f>
        <v>0</v>
      </c>
      <c r="AK78" s="29" t="str">
        <f t="shared" si="42"/>
        <v>NA</v>
      </c>
      <c r="AL78" s="30" t="str">
        <f>IFERROR(AK78/AK148, "NA")</f>
        <v>NA</v>
      </c>
    </row>
    <row r="79" ht="16.5" hidden="1" customHeight="1">
      <c r="A79" s="19" t="s">
        <v>139</v>
      </c>
      <c r="B79" s="21">
        <f>SUM('4 - RASA - MVT'!B79,'5 - RASA - National Landin'!B79,'6 - RASA - Mosaic'!B79,'7 - RASA - Rockville'!B79)</f>
        <v>0</v>
      </c>
      <c r="C79" s="23">
        <f>IFERROR(B79/B148, "NA")</f>
        <v>0</v>
      </c>
      <c r="D79" s="21">
        <f>SUM('4 - RASA - MVT'!D79,'5 - RASA - National Landin'!D79,'6 - RASA - Mosaic'!D79,'7 - RASA - Rockville'!D79)</f>
        <v>0</v>
      </c>
      <c r="E79" s="23">
        <f>IFERROR(D79/D148, "NA")</f>
        <v>0</v>
      </c>
      <c r="F79" s="21">
        <f>SUM('4 - RASA - MVT'!F79,'5 - RASA - National Landin'!F79,'6 - RASA - Mosaic'!F79,'7 - RASA - Rockville'!F79)</f>
        <v>0</v>
      </c>
      <c r="G79" s="23">
        <f>IFERROR(F79/F148, "NA")</f>
        <v>0</v>
      </c>
      <c r="H79" s="21">
        <f>SUM('4 - RASA - MVT'!H79,'5 - RASA - National Landin'!H79,'6 - RASA - Mosaic'!H79,'7 - RASA - Rockville'!H79)</f>
        <v>0</v>
      </c>
      <c r="I79" s="23">
        <f>IFERROR(H79/H148, "NA")</f>
        <v>0</v>
      </c>
      <c r="J79" s="21">
        <f>SUM('4 - RASA - MVT'!J79,'5 - RASA - National Landin'!J79,'6 - RASA - Mosaic'!J79,'7 - RASA - Rockville'!J79)</f>
        <v>0</v>
      </c>
      <c r="K79" s="23">
        <f>IFERROR(J79/J148, "NA")</f>
        <v>0</v>
      </c>
      <c r="L79" s="21">
        <f>SUM('4 - RASA - MVT'!L79,'5 - RASA - National Landin'!L79,'6 - RASA - Mosaic'!L79,'7 - RASA - Rockville'!L79)</f>
        <v>0</v>
      </c>
      <c r="M79" s="23">
        <f>IFERROR(L79/L148, "NA")</f>
        <v>0</v>
      </c>
      <c r="N79" s="21">
        <f>SUM('4 - RASA - MVT'!N79,'5 - RASA - National Landin'!N79,'6 - RASA - Mosaic'!N79,'7 - RASA - Rockville'!N79)</f>
        <v>0</v>
      </c>
      <c r="O79" s="23">
        <f>IFERROR(N79/N148, "NA")</f>
        <v>0</v>
      </c>
      <c r="P79" s="21">
        <f>SUM('4 - RASA - MVT'!P79,'5 - RASA - National Landin'!P79,'6 - RASA - Mosaic'!P79,'7 - RASA - Rockville'!P79)</f>
        <v>0</v>
      </c>
      <c r="Q79" s="23">
        <f>IFERROR(P79/P148, "NA")</f>
        <v>0</v>
      </c>
      <c r="R79" s="21">
        <f>SUM('4 - RASA - MVT'!R79,'5 - RASA - National Landin'!R79,'6 - RASA - Mosaic'!R79,'7 - RASA - Rockville'!R79)</f>
        <v>0</v>
      </c>
      <c r="S79" s="23">
        <f>IFERROR(R79/R148, "NA")</f>
        <v>0</v>
      </c>
      <c r="T79" s="21">
        <f>SUM('4 - RASA - MVT'!T79,'5 - RASA - National Landin'!T79,'6 - RASA - Mosaic'!T79,'7 - RASA - Rockville'!T79)</f>
        <v>0</v>
      </c>
      <c r="U79" s="23">
        <f>IFERROR(T79/T148, "NA")</f>
        <v>0</v>
      </c>
      <c r="V79" s="21">
        <f>SUM('4 - RASA - MVT'!V79,'5 - RASA - National Landin'!V79,'6 - RASA - Mosaic'!V79,'7 - RASA - Rockville'!V79)</f>
        <v>0</v>
      </c>
      <c r="W79" s="23">
        <f>IFERROR(V79/V148, "NA")</f>
        <v>0</v>
      </c>
      <c r="X79" s="21">
        <f>SUM('4 - RASA - MVT'!X79,'5 - RASA - National Landin'!X79,'6 - RASA - Mosaic'!X79,'7 - RASA - Rockville'!X79)</f>
        <v>0</v>
      </c>
      <c r="Y79" s="23">
        <f>IFERROR(X79/X148, "NA")</f>
        <v>0</v>
      </c>
      <c r="Z79" s="21">
        <f>SUM('4 - RASA - MVT'!Z79,'5 - RASA - National Landin'!Z79,'6 - RASA - Mosaic'!Z79,'7 - RASA - Rockville'!Z79)</f>
        <v>0</v>
      </c>
      <c r="AA79" s="23">
        <f>IFERROR(Z79/Z148, "NA")</f>
        <v>0</v>
      </c>
      <c r="AB79" s="28">
        <f t="shared" si="37"/>
        <v>0</v>
      </c>
      <c r="AC79" s="23">
        <f>IFERROR(AB79/AB148, "NA")</f>
        <v>0</v>
      </c>
      <c r="AD79" s="29">
        <f t="shared" si="38"/>
        <v>0</v>
      </c>
      <c r="AE79" s="30">
        <f>IFERROR(AD79/AD148, "NA")</f>
        <v>0</v>
      </c>
      <c r="AF79" s="29" t="str">
        <f t="shared" si="39"/>
        <v>NA</v>
      </c>
      <c r="AG79" s="28">
        <f t="shared" si="40"/>
        <v>0</v>
      </c>
      <c r="AH79" s="23">
        <f>IFERROR(AG79/AG148, "NA")</f>
        <v>0</v>
      </c>
      <c r="AI79" s="29">
        <f t="shared" si="41"/>
        <v>0</v>
      </c>
      <c r="AJ79" s="30">
        <f>IFERROR(AI79/AI148, "NA")</f>
        <v>0</v>
      </c>
      <c r="AK79" s="29" t="str">
        <f t="shared" si="42"/>
        <v>NA</v>
      </c>
      <c r="AL79" s="30" t="str">
        <f>IFERROR(AK79/AK148, "NA")</f>
        <v>NA</v>
      </c>
    </row>
    <row r="80" ht="16.5" hidden="1" customHeight="1">
      <c r="A80" s="19" t="s">
        <v>141</v>
      </c>
      <c r="B80" s="21">
        <f>SUM('4 - RASA - MVT'!B80,'5 - RASA - National Landin'!B80,'6 - RASA - Mosaic'!B80,'7 - RASA - Rockville'!B80)</f>
        <v>0</v>
      </c>
      <c r="C80" s="23">
        <f>IFERROR(B80/B148, "NA")</f>
        <v>0</v>
      </c>
      <c r="D80" s="21">
        <f>SUM('4 - RASA - MVT'!D80,'5 - RASA - National Landin'!D80,'6 - RASA - Mosaic'!D80,'7 - RASA - Rockville'!D80)</f>
        <v>0</v>
      </c>
      <c r="E80" s="23">
        <f>IFERROR(D80/D148, "NA")</f>
        <v>0</v>
      </c>
      <c r="F80" s="21">
        <f>SUM('4 - RASA - MVT'!F80,'5 - RASA - National Landin'!F80,'6 - RASA - Mosaic'!F80,'7 - RASA - Rockville'!F80)</f>
        <v>0</v>
      </c>
      <c r="G80" s="23">
        <f>IFERROR(F80/F148, "NA")</f>
        <v>0</v>
      </c>
      <c r="H80" s="21">
        <f>SUM('4 - RASA - MVT'!H80,'5 - RASA - National Landin'!H80,'6 - RASA - Mosaic'!H80,'7 - RASA - Rockville'!H80)</f>
        <v>0</v>
      </c>
      <c r="I80" s="23">
        <f>IFERROR(H80/H148, "NA")</f>
        <v>0</v>
      </c>
      <c r="J80" s="21">
        <f>SUM('4 - RASA - MVT'!J80,'5 - RASA - National Landin'!J80,'6 - RASA - Mosaic'!J80,'7 - RASA - Rockville'!J80)</f>
        <v>0</v>
      </c>
      <c r="K80" s="23">
        <f>IFERROR(J80/J148, "NA")</f>
        <v>0</v>
      </c>
      <c r="L80" s="21">
        <f>SUM('4 - RASA - MVT'!L80,'5 - RASA - National Landin'!L80,'6 - RASA - Mosaic'!L80,'7 - RASA - Rockville'!L80)</f>
        <v>0</v>
      </c>
      <c r="M80" s="23">
        <f>IFERROR(L80/L148, "NA")</f>
        <v>0</v>
      </c>
      <c r="N80" s="21">
        <f>SUM('4 - RASA - MVT'!N80,'5 - RASA - National Landin'!N80,'6 - RASA - Mosaic'!N80,'7 - RASA - Rockville'!N80)</f>
        <v>0</v>
      </c>
      <c r="O80" s="23">
        <f>IFERROR(N80/N148, "NA")</f>
        <v>0</v>
      </c>
      <c r="P80" s="21">
        <f>SUM('4 - RASA - MVT'!P80,'5 - RASA - National Landin'!P80,'6 - RASA - Mosaic'!P80,'7 - RASA - Rockville'!P80)</f>
        <v>0</v>
      </c>
      <c r="Q80" s="23">
        <f>IFERROR(P80/P148, "NA")</f>
        <v>0</v>
      </c>
      <c r="R80" s="21">
        <f>SUM('4 - RASA - MVT'!R80,'5 - RASA - National Landin'!R80,'6 - RASA - Mosaic'!R80,'7 - RASA - Rockville'!R80)</f>
        <v>0</v>
      </c>
      <c r="S80" s="23">
        <f>IFERROR(R80/R148, "NA")</f>
        <v>0</v>
      </c>
      <c r="T80" s="21">
        <f>SUM('4 - RASA - MVT'!T80,'5 - RASA - National Landin'!T80,'6 - RASA - Mosaic'!T80,'7 - RASA - Rockville'!T80)</f>
        <v>0</v>
      </c>
      <c r="U80" s="23">
        <f>IFERROR(T80/T148, "NA")</f>
        <v>0</v>
      </c>
      <c r="V80" s="21">
        <f>SUM('4 - RASA - MVT'!V80,'5 - RASA - National Landin'!V80,'6 - RASA - Mosaic'!V80,'7 - RASA - Rockville'!V80)</f>
        <v>0</v>
      </c>
      <c r="W80" s="23">
        <f>IFERROR(V80/V148, "NA")</f>
        <v>0</v>
      </c>
      <c r="X80" s="21">
        <f>SUM('4 - RASA - MVT'!X80,'5 - RASA - National Landin'!X80,'6 - RASA - Mosaic'!X80,'7 - RASA - Rockville'!X80)</f>
        <v>0</v>
      </c>
      <c r="Y80" s="23">
        <f>IFERROR(X80/X148, "NA")</f>
        <v>0</v>
      </c>
      <c r="Z80" s="21">
        <f>SUM('4 - RASA - MVT'!Z80,'5 - RASA - National Landin'!Z80,'6 - RASA - Mosaic'!Z80,'7 - RASA - Rockville'!Z80)</f>
        <v>0</v>
      </c>
      <c r="AA80" s="23">
        <f>IFERROR(Z80/Z148, "NA")</f>
        <v>0</v>
      </c>
      <c r="AB80" s="28">
        <f t="shared" si="37"/>
        <v>0</v>
      </c>
      <c r="AC80" s="23">
        <f>IFERROR(AB80/AB148, "NA")</f>
        <v>0</v>
      </c>
      <c r="AD80" s="29">
        <f t="shared" si="38"/>
        <v>0</v>
      </c>
      <c r="AE80" s="30">
        <f>IFERROR(AD80/AD148, "NA")</f>
        <v>0</v>
      </c>
      <c r="AF80" s="29" t="str">
        <f t="shared" si="39"/>
        <v>NA</v>
      </c>
      <c r="AG80" s="28">
        <f t="shared" si="40"/>
        <v>0</v>
      </c>
      <c r="AH80" s="23">
        <f>IFERROR(AG80/AG148, "NA")</f>
        <v>0</v>
      </c>
      <c r="AI80" s="29">
        <f t="shared" si="41"/>
        <v>0</v>
      </c>
      <c r="AJ80" s="30">
        <f>IFERROR(AI80/AI148, "NA")</f>
        <v>0</v>
      </c>
      <c r="AK80" s="29" t="str">
        <f t="shared" si="42"/>
        <v>NA</v>
      </c>
      <c r="AL80" s="30" t="str">
        <f>IFERROR(AK80/AK148, "NA")</f>
        <v>NA</v>
      </c>
    </row>
    <row r="81" ht="16.5" customHeight="1">
      <c r="A81" s="65" t="s">
        <v>142</v>
      </c>
      <c r="B81" s="66">
        <f>IFERROR(B74+B75+B76+B77+B78+B79+B80, "NA")</f>
        <v>3017.31</v>
      </c>
      <c r="C81" s="67">
        <f>IFERROR(B81/B148, "NA")</f>
        <v>0.01841371158</v>
      </c>
      <c r="D81" s="66">
        <f>IFERROR(D74+D75+D76+D77+D78+D79+D80, "NA")</f>
        <v>2792.2</v>
      </c>
      <c r="E81" s="67">
        <f>IFERROR(D81/D148, "NA")</f>
        <v>0.01848825507</v>
      </c>
      <c r="F81" s="66">
        <f>IFERROR(F74+F75+F76+F77+F78+F79+F80, "NA")</f>
        <v>2804.54</v>
      </c>
      <c r="G81" s="67">
        <f>IFERROR(F81/F148, "NA")</f>
        <v>0.02364965914</v>
      </c>
      <c r="H81" s="66">
        <f>IFERROR(H74+H75+H76+H77+H78+H79+H80, "NA")</f>
        <v>1835.38</v>
      </c>
      <c r="I81" s="67">
        <f>IFERROR(H81/H148, "NA")</f>
        <v>0.02888350821</v>
      </c>
      <c r="J81" s="66">
        <f>IFERROR(J74+J75+J76+J77+J78+J79+J80, "NA")</f>
        <v>2518.21</v>
      </c>
      <c r="K81" s="67">
        <f>IFERROR(J81/J148, "NA")</f>
        <v>0.02117539544</v>
      </c>
      <c r="L81" s="66">
        <f>IFERROR(L74+L75+L76+L77+L78+L79+L80, "NA")</f>
        <v>2511.71</v>
      </c>
      <c r="M81" s="67">
        <f>IFERROR(L81/L148, "NA")</f>
        <v>0.02195648582</v>
      </c>
      <c r="N81" s="66">
        <f>IFERROR(N74+N75+N76+N77+N78+N79+N80, "NA")</f>
        <v>2399.13</v>
      </c>
      <c r="O81" s="67">
        <f>IFERROR(N81/N148, "NA")</f>
        <v>0.02343433842</v>
      </c>
      <c r="P81" s="66">
        <f>IFERROR(P74+P75+P76+P77+P78+P79+P80, "NA")</f>
        <v>1892.31</v>
      </c>
      <c r="Q81" s="67">
        <f>IFERROR(P81/P148, "NA")</f>
        <v>0.03885196868</v>
      </c>
      <c r="R81" s="66">
        <f>IFERROR(R74+R75+R76+R77+R78+R79+R80, "NA")</f>
        <v>2106.53</v>
      </c>
      <c r="S81" s="67">
        <f>IFERROR(R81/R148, "NA")</f>
        <v>0.03467322779</v>
      </c>
      <c r="T81" s="66">
        <f>IFERROR(T74+T75+T76+T77+T78+T79+T80, "NA")</f>
        <v>2657.94</v>
      </c>
      <c r="U81" s="67">
        <f>IFERROR(T81/T148, "NA")</f>
        <v>0.02839989884</v>
      </c>
      <c r="V81" s="66">
        <f>IFERROR(V74+V75+V76+V77+V78+V79+V80, "NA")</f>
        <v>2719.7</v>
      </c>
      <c r="W81" s="67">
        <f>IFERROR(V81/V148, "NA")</f>
        <v>0.02401356068</v>
      </c>
      <c r="X81" s="66">
        <f>IFERROR(X74+X75+X76+X77+X78+X79+X80, "NA")</f>
        <v>2448.51</v>
      </c>
      <c r="Y81" s="67">
        <f>IFERROR(X81/X148, "NA")</f>
        <v>0.02552976789</v>
      </c>
      <c r="Z81" s="66">
        <f>IFERROR(Z74+Z75+Z76+Z77+Z78+Z79+Z80, "NA")</f>
        <v>9932.68</v>
      </c>
      <c r="AA81" s="67">
        <f>IFERROR(Z81/Z148, "NA")</f>
        <v>0.02732448248</v>
      </c>
      <c r="AB81" s="66">
        <f t="shared" si="37"/>
        <v>2483.17</v>
      </c>
      <c r="AC81" s="67">
        <f>IFERROR(AB81/AB148, "NA")</f>
        <v>0.02732448248</v>
      </c>
      <c r="AD81" s="75">
        <f t="shared" si="38"/>
        <v>-34.66</v>
      </c>
      <c r="AE81" s="76">
        <f>IFERROR(AD81/AD148, "NA")</f>
        <v>-0.006889382281</v>
      </c>
      <c r="AF81" s="75">
        <f t="shared" si="39"/>
        <v>-0.01395796502</v>
      </c>
      <c r="AG81" s="66">
        <f t="shared" si="40"/>
        <v>2406.755</v>
      </c>
      <c r="AH81" s="67">
        <f>IFERROR(AG81/AG148, "NA")</f>
        <v>0.02574388977</v>
      </c>
      <c r="AI81" s="75">
        <f t="shared" si="41"/>
        <v>41.755</v>
      </c>
      <c r="AJ81" s="76">
        <f>IFERROR(AI81/AI148, "NA")</f>
        <v>0.01725668151</v>
      </c>
      <c r="AK81" s="75">
        <f t="shared" si="42"/>
        <v>0.01734908622</v>
      </c>
      <c r="AL81" s="76">
        <f>IFERROR(AK81/AK148, "NA")</f>
        <v>0.6703214498</v>
      </c>
    </row>
    <row r="82" ht="16.5" customHeight="1">
      <c r="A82" s="19" t="s">
        <v>145</v>
      </c>
      <c r="B82" s="21">
        <f>SUM('4 - RASA - MVT'!B82,'5 - RASA - National Landin'!B82,'6 - RASA - Mosaic'!B82,'7 - RASA - Rockville'!B82)</f>
        <v>0</v>
      </c>
      <c r="C82" s="23">
        <f>IFERROR(B82/B148, "NA")</f>
        <v>0</v>
      </c>
      <c r="D82" s="21">
        <f>SUM('4 - RASA - MVT'!D82,'5 - RASA - National Landin'!D82,'6 - RASA - Mosaic'!D82,'7 - RASA - Rockville'!D82)</f>
        <v>0</v>
      </c>
      <c r="E82" s="23">
        <f>IFERROR(D82/D148, "NA")</f>
        <v>0</v>
      </c>
      <c r="F82" s="21">
        <f>SUM('4 - RASA - MVT'!F82,'5 - RASA - National Landin'!F82,'6 - RASA - Mosaic'!F82,'7 - RASA - Rockville'!F82)</f>
        <v>0</v>
      </c>
      <c r="G82" s="23">
        <f>IFERROR(F82/F148, "NA")</f>
        <v>0</v>
      </c>
      <c r="H82" s="21">
        <f>SUM('4 - RASA - MVT'!H82,'5 - RASA - National Landin'!H82,'6 - RASA - Mosaic'!H82,'7 - RASA - Rockville'!H82)</f>
        <v>997.76</v>
      </c>
      <c r="I82" s="23">
        <f>IFERROR(H82/H148, "NA")</f>
        <v>0.0157018215</v>
      </c>
      <c r="J82" s="21">
        <f>SUM('4 - RASA - MVT'!J82,'5 - RASA - National Landin'!J82,'6 - RASA - Mosaic'!J82,'7 - RASA - Rockville'!J82)</f>
        <v>0</v>
      </c>
      <c r="K82" s="23">
        <f>IFERROR(J82/J148, "NA")</f>
        <v>0</v>
      </c>
      <c r="L82" s="21">
        <f>SUM('4 - RASA - MVT'!L82,'5 - RASA - National Landin'!L82,'6 - RASA - Mosaic'!L82,'7 - RASA - Rockville'!L82)</f>
        <v>0</v>
      </c>
      <c r="M82" s="23">
        <f>IFERROR(L82/L148, "NA")</f>
        <v>0</v>
      </c>
      <c r="N82" s="21">
        <f>SUM('4 - RASA - MVT'!N82,'5 - RASA - National Landin'!N82,'6 - RASA - Mosaic'!N82,'7 - RASA - Rockville'!N82)</f>
        <v>0</v>
      </c>
      <c r="O82" s="23">
        <f>IFERROR(N82/N148, "NA")</f>
        <v>0</v>
      </c>
      <c r="P82" s="21">
        <f>SUM('4 - RASA - MVT'!P82,'5 - RASA - National Landin'!P82,'6 - RASA - Mosaic'!P82,'7 - RASA - Rockville'!P82)</f>
        <v>0</v>
      </c>
      <c r="Q82" s="23">
        <f>IFERROR(P82/P148, "NA")</f>
        <v>0</v>
      </c>
      <c r="R82" s="21">
        <f>SUM('4 - RASA - MVT'!R82,'5 - RASA - National Landin'!R82,'6 - RASA - Mosaic'!R82,'7 - RASA - Rockville'!R82)</f>
        <v>985.76</v>
      </c>
      <c r="S82" s="23">
        <f>IFERROR(R82/R148, "NA")</f>
        <v>0.0162254898</v>
      </c>
      <c r="T82" s="21">
        <f>SUM('4 - RASA - MVT'!T82,'5 - RASA - National Landin'!T82,'6 - RASA - Mosaic'!T82,'7 - RASA - Rockville'!T82)</f>
        <v>0</v>
      </c>
      <c r="U82" s="23">
        <f>IFERROR(T82/T148, "NA")</f>
        <v>0</v>
      </c>
      <c r="V82" s="21">
        <f>SUM('4 - RASA - MVT'!V82,'5 - RASA - National Landin'!V82,'6 - RASA - Mosaic'!V82,'7 - RASA - Rockville'!V82)</f>
        <v>0</v>
      </c>
      <c r="W82" s="23">
        <f>IFERROR(V82/V148, "NA")</f>
        <v>0</v>
      </c>
      <c r="X82" s="21">
        <f>SUM('4 - RASA - MVT'!X82,'5 - RASA - National Landin'!X82,'6 - RASA - Mosaic'!X82,'7 - RASA - Rockville'!X82)</f>
        <v>0</v>
      </c>
      <c r="Y82" s="23">
        <f>IFERROR(X82/X148, "NA")</f>
        <v>0</v>
      </c>
      <c r="Z82" s="21">
        <f>SUM('4 - RASA - MVT'!Z82,'5 - RASA - National Landin'!Z82,'6 - RASA - Mosaic'!Z82,'7 - RASA - Rockville'!Z82)</f>
        <v>985.76</v>
      </c>
      <c r="AA82" s="23">
        <f>IFERROR(Z82/Z148, "NA")</f>
        <v>0.002711793982</v>
      </c>
      <c r="AB82" s="28">
        <f t="shared" si="37"/>
        <v>246.44</v>
      </c>
      <c r="AC82" s="23">
        <f>IFERROR(AB82/AB148, "NA")</f>
        <v>0.002711793982</v>
      </c>
      <c r="AD82" s="29">
        <f t="shared" si="38"/>
        <v>-246.44</v>
      </c>
      <c r="AE82" s="30">
        <f>IFERROR(AD82/AD148, "NA")</f>
        <v>-0.04898497892</v>
      </c>
      <c r="AF82" s="29">
        <f t="shared" si="39"/>
        <v>-1</v>
      </c>
      <c r="AG82" s="28">
        <f t="shared" si="40"/>
        <v>123.22</v>
      </c>
      <c r="AH82" s="23">
        <f>IFERROR(AG82/AG148, "NA")</f>
        <v>0.001318024517</v>
      </c>
      <c r="AI82" s="29">
        <f t="shared" si="41"/>
        <v>-123.22</v>
      </c>
      <c r="AJ82" s="30">
        <f>IFERROR(AI82/AI148, "NA")</f>
        <v>-0.05092487837</v>
      </c>
      <c r="AK82" s="29">
        <f t="shared" si="42"/>
        <v>-1</v>
      </c>
      <c r="AL82" s="30">
        <f>IFERROR(AK82/AK148, "NA")</f>
        <v>-38.63727699</v>
      </c>
    </row>
    <row r="83" ht="16.5" customHeight="1">
      <c r="A83" s="19" t="s">
        <v>147</v>
      </c>
      <c r="B83" s="21">
        <f>SUM('4 - RASA - MVT'!B83,'5 - RASA - National Landin'!B83,'6 - RASA - Mosaic'!B83,'7 - RASA - Rockville'!B83)</f>
        <v>-330.77</v>
      </c>
      <c r="C83" s="23">
        <f>IFERROR(B83/B148, "NA")</f>
        <v>-0.002018587211</v>
      </c>
      <c r="D83" s="21">
        <f>SUM('4 - RASA - MVT'!D83,'5 - RASA - National Landin'!D83,'6 - RASA - Mosaic'!D83,'7 - RASA - Rockville'!D83)</f>
        <v>1000.88</v>
      </c>
      <c r="E83" s="23">
        <f>IFERROR(D83/D148, "NA")</f>
        <v>0.006627220377</v>
      </c>
      <c r="F83" s="21">
        <f>SUM('4 - RASA - MVT'!F83,'5 - RASA - National Landin'!F83,'6 - RASA - Mosaic'!F83,'7 - RASA - Rockville'!F83)</f>
        <v>-330.77</v>
      </c>
      <c r="G83" s="23">
        <f>IFERROR(F83/F148, "NA")</f>
        <v>-0.002789262322</v>
      </c>
      <c r="H83" s="21">
        <f>SUM('4 - RASA - MVT'!H83,'5 - RASA - National Landin'!H83,'6 - RASA - Mosaic'!H83,'7 - RASA - Rockville'!H83)</f>
        <v>-330.77</v>
      </c>
      <c r="I83" s="23">
        <f>IFERROR(H83/H148, "NA")</f>
        <v>-0.005205351486</v>
      </c>
      <c r="J83" s="21">
        <f>SUM('4 - RASA - MVT'!J83,'5 - RASA - National Landin'!J83,'6 - RASA - Mosaic'!J83,'7 - RASA - Rockville'!J83)</f>
        <v>-336.15</v>
      </c>
      <c r="K83" s="23">
        <f>IFERROR(J83/J148, "NA")</f>
        <v>-0.00282665432</v>
      </c>
      <c r="L83" s="21">
        <f>SUM('4 - RASA - MVT'!L83,'5 - RASA - National Landin'!L83,'6 - RASA - Mosaic'!L83,'7 - RASA - Rockville'!L83)</f>
        <v>-327.21</v>
      </c>
      <c r="M83" s="23">
        <f>IFERROR(L83/L148, "NA")</f>
        <v>-0.002860354789</v>
      </c>
      <c r="N83" s="21">
        <f>SUM('4 - RASA - MVT'!N83,'5 - RASA - National Landin'!N83,'6 - RASA - Mosaic'!N83,'7 - RASA - Rockville'!N83)</f>
        <v>3477.69</v>
      </c>
      <c r="O83" s="23">
        <f>IFERROR(N83/N148, "NA")</f>
        <v>0.03396954912</v>
      </c>
      <c r="P83" s="21">
        <f>SUM('4 - RASA - MVT'!P83,'5 - RASA - National Landin'!P83,'6 - RASA - Mosaic'!P83,'7 - RASA - Rockville'!P83)</f>
        <v>-297.74</v>
      </c>
      <c r="Q83" s="23">
        <f>IFERROR(P83/P148, "NA")</f>
        <v>-0.006113049741</v>
      </c>
      <c r="R83" s="21">
        <f>SUM('4 - RASA - MVT'!R83,'5 - RASA - National Landin'!R83,'6 - RASA - Mosaic'!R83,'7 - RASA - Rockville'!R83)</f>
        <v>-297.74</v>
      </c>
      <c r="S83" s="23">
        <f>IFERROR(R83/R148, "NA")</f>
        <v>-0.004900764216</v>
      </c>
      <c r="T83" s="21">
        <f>SUM('4 - RASA - MVT'!T83,'5 - RASA - National Landin'!T83,'6 - RASA - Mosaic'!T83,'7 - RASA - Rockville'!T83)</f>
        <v>-297.74</v>
      </c>
      <c r="U83" s="23">
        <f>IFERROR(T83/T148, "NA")</f>
        <v>-0.003181330609</v>
      </c>
      <c r="V83" s="21">
        <f>SUM('4 - RASA - MVT'!V83,'5 - RASA - National Landin'!V83,'6 - RASA - Mosaic'!V83,'7 - RASA - Rockville'!V83)</f>
        <v>2734.22</v>
      </c>
      <c r="W83" s="23">
        <f>IFERROR(V83/V148, "NA")</f>
        <v>0.02414176486</v>
      </c>
      <c r="X83" s="21">
        <f>SUM('4 - RASA - MVT'!X83,'5 - RASA - National Landin'!X83,'6 - RASA - Mosaic'!X83,'7 - RASA - Rockville'!X83)</f>
        <v>-297.74</v>
      </c>
      <c r="Y83" s="23">
        <f>IFERROR(X83/X148, "NA")</f>
        <v>-0.003104432121</v>
      </c>
      <c r="Z83" s="21">
        <f>SUM('4 - RASA - MVT'!Z83,'5 - RASA - National Landin'!Z83,'6 - RASA - Mosaic'!Z83,'7 - RASA - Rockville'!Z83)</f>
        <v>1841</v>
      </c>
      <c r="AA83" s="23">
        <f>IFERROR(Z83/Z148, "NA")</f>
        <v>0.005064531652</v>
      </c>
      <c r="AB83" s="28">
        <f t="shared" si="37"/>
        <v>460.25</v>
      </c>
      <c r="AC83" s="23">
        <f>IFERROR(AB83/AB148, "NA")</f>
        <v>0.005064531652</v>
      </c>
      <c r="AD83" s="29">
        <f t="shared" si="38"/>
        <v>-757.99</v>
      </c>
      <c r="AE83" s="30">
        <f>IFERROR(AD83/AD148, "NA")</f>
        <v>-0.1506659802</v>
      </c>
      <c r="AF83" s="29">
        <f t="shared" si="39"/>
        <v>-1.646909288</v>
      </c>
      <c r="AG83" s="28">
        <f t="shared" si="40"/>
        <v>544.69875</v>
      </c>
      <c r="AH83" s="23">
        <f>IFERROR(AG83/AG148, "NA")</f>
        <v>0.005826378081</v>
      </c>
      <c r="AI83" s="29">
        <f t="shared" si="41"/>
        <v>-842.43875</v>
      </c>
      <c r="AJ83" s="30">
        <f>IFERROR(AI83/AI148, "NA")</f>
        <v>-0.3481666197</v>
      </c>
      <c r="AK83" s="29">
        <f t="shared" si="42"/>
        <v>-1.546614069</v>
      </c>
      <c r="AL83" s="30">
        <f>IFERROR(AK83/AK148, "NA")</f>
        <v>-59.75695618</v>
      </c>
    </row>
    <row r="84" ht="16.5" customHeight="1">
      <c r="A84" s="65" t="s">
        <v>56</v>
      </c>
      <c r="B84" s="66">
        <f>IFERROR(B63+B65+B66+B67+B68+B69+B71+B72+B74+B75+B76+B77+B78+B79+B80+B82+B83, "NA")</f>
        <v>35943.78</v>
      </c>
      <c r="C84" s="67">
        <f>IFERROR(B84/B148, "NA")</f>
        <v>0.2193537946</v>
      </c>
      <c r="D84" s="66">
        <f>IFERROR(D63+D65+D66+D67+D68+D69+D71+D72+D74+D75+D76+D77+D78+D79+D80+D82+D83, "NA")</f>
        <v>35615.34</v>
      </c>
      <c r="E84" s="67">
        <f>IFERROR(D84/D148, "NA")</f>
        <v>0.2358231826</v>
      </c>
      <c r="F84" s="66">
        <f>IFERROR(F63+F65+F66+F67+F68+F69+F71+F72+F74+F75+F76+F77+F78+F79+F80+F82+F83, "NA")</f>
        <v>28555.26</v>
      </c>
      <c r="G84" s="67">
        <f>IFERROR(F84/F148, "NA")</f>
        <v>0.2407960541</v>
      </c>
      <c r="H84" s="66">
        <f>IFERROR(H63+H65+H66+H67+H68+H69+H71+H72+H74+H75+H76+H77+H78+H79+H80+H82+H83, "NA")</f>
        <v>23297.61</v>
      </c>
      <c r="I84" s="67">
        <f>IFERROR(H84/H148, "NA")</f>
        <v>0.3666361787</v>
      </c>
      <c r="J84" s="66">
        <f>IFERROR(J63+J65+J66+J67+J68+J69+J71+J72+J74+J75+J76+J77+J78+J79+J80+J82+J83, "NA")</f>
        <v>31161.51</v>
      </c>
      <c r="K84" s="67">
        <f>IFERROR(J84/J148, "NA")</f>
        <v>0.2620342611</v>
      </c>
      <c r="L84" s="66">
        <f>IFERROR(L63+L65+L66+L67+L68+L69+L71+L72+L74+L75+L76+L77+L78+L79+L80+L82+L83, "NA")</f>
        <v>30181.21</v>
      </c>
      <c r="M84" s="67">
        <f>IFERROR(L84/L148, "NA")</f>
        <v>0.2638335275</v>
      </c>
      <c r="N84" s="66">
        <f>IFERROR(N63+N65+N66+N67+N68+N69+N71+N72+N74+N75+N76+N77+N78+N79+N80+N82+N83, "NA")</f>
        <v>32973.25</v>
      </c>
      <c r="O84" s="67">
        <f>IFERROR(N84/N148, "NA")</f>
        <v>0.3220777112</v>
      </c>
      <c r="P84" s="66">
        <f>IFERROR(P63+P65+P66+P67+P68+P69+P71+P72+P74+P75+P76+P77+P78+P79+P80+P82+P83, "NA")</f>
        <v>22810.76</v>
      </c>
      <c r="Q84" s="67">
        <f>IFERROR(P84/P148, "NA")</f>
        <v>0.4683391903</v>
      </c>
      <c r="R84" s="66">
        <f>IFERROR(R63+R65+R66+R67+R68+R69+R71+R72+R74+R75+R76+R77+R78+R79+R80+R82+R83, "NA")</f>
        <v>24001.17</v>
      </c>
      <c r="S84" s="67">
        <f>IFERROR(R84/R148, "NA")</f>
        <v>0.3950563413</v>
      </c>
      <c r="T84" s="66">
        <f>IFERROR(T63+T65+T66+T67+T68+T69+T71+T72+T74+T75+T76+T77+T78+T79+T80+T82+T83, "NA")</f>
        <v>28269.59</v>
      </c>
      <c r="U84" s="67">
        <f>IFERROR(T84/T148, "NA")</f>
        <v>0.3020585476</v>
      </c>
      <c r="V84" s="66">
        <f>IFERROR(V63+V65+V66+V67+V68+V69+V71+V72+V74+V75+V76+V77+V78+V79+V80+V82+V83, "NA")</f>
        <v>31199.4</v>
      </c>
      <c r="W84" s="67">
        <f>IFERROR(V84/V148, "NA")</f>
        <v>0.2754747528</v>
      </c>
      <c r="X84" s="66">
        <f>IFERROR(X63+X65+X66+X67+X68+X69+X71+X72+X74+X75+X76+X77+X78+X79+X80+X82+X83, "NA")</f>
        <v>28219.36</v>
      </c>
      <c r="Y84" s="67">
        <f>IFERROR(X84/X148, "NA")</f>
        <v>0.2942335179</v>
      </c>
      <c r="Z84" s="66">
        <f>IFERROR(Z63+Z65+Z66+Z67+Z68+Z69+Z71+Z72+Z74+Z75+Z76+Z77+Z78+Z79+Z80+Z82+Z83, "NA")</f>
        <v>111689.52</v>
      </c>
      <c r="AA84" s="67">
        <f>IFERROR(Z84/Z148, "NA")</f>
        <v>0.307254269</v>
      </c>
      <c r="AB84" s="66">
        <f t="shared" si="37"/>
        <v>27922.38</v>
      </c>
      <c r="AC84" s="67">
        <f>IFERROR(AB84/AB148, "NA")</f>
        <v>0.307254269</v>
      </c>
      <c r="AD84" s="75">
        <f t="shared" si="38"/>
        <v>296.98</v>
      </c>
      <c r="AE84" s="76">
        <f>IFERROR(AD84/AD148, "NA")</f>
        <v>0.05903083525</v>
      </c>
      <c r="AF84" s="75">
        <f t="shared" si="39"/>
        <v>0.01063591284</v>
      </c>
      <c r="AG84" s="66">
        <f t="shared" si="40"/>
        <v>28602.03125</v>
      </c>
      <c r="AH84" s="67">
        <f>IFERROR(AG84/AG148, "NA")</f>
        <v>0.3059420422</v>
      </c>
      <c r="AI84" s="75">
        <f t="shared" si="41"/>
        <v>-382.67125</v>
      </c>
      <c r="AJ84" s="76">
        <f>IFERROR(AI84/AI148, "NA")</f>
        <v>-0.1581519791</v>
      </c>
      <c r="AK84" s="75">
        <f t="shared" si="42"/>
        <v>-0.01337916341</v>
      </c>
      <c r="AL84" s="76">
        <f>IFERROR(AK84/AK148, "NA")</f>
        <v>-0.5169344427</v>
      </c>
    </row>
    <row r="85" ht="16.5" customHeight="1">
      <c r="A85" s="65" t="s">
        <v>56</v>
      </c>
      <c r="B85" s="118">
        <f>IFERROR(B63+B65+B66+B67+B68+B69+B71+B72+B74+B75+B76+B77+B78+B79+B80+B82+B83, "NA")</f>
        <v>35943.78</v>
      </c>
      <c r="C85" s="92">
        <f>IFERROR(B85/B148, "NA")</f>
        <v>0.2193537946</v>
      </c>
      <c r="D85" s="118">
        <f>IFERROR(D63+D65+D66+D67+D68+D69+D71+D72+D74+D75+D76+D77+D78+D79+D80+D82+D83, "NA")</f>
        <v>35615.34</v>
      </c>
      <c r="E85" s="92">
        <f>IFERROR(D85/D148, "NA")</f>
        <v>0.2358231826</v>
      </c>
      <c r="F85" s="118">
        <f>IFERROR(F63+F65+F66+F67+F68+F69+F71+F72+F74+F75+F76+F77+F78+F79+F80+F82+F83, "NA")</f>
        <v>28555.26</v>
      </c>
      <c r="G85" s="92">
        <f>IFERROR(F85/F148, "NA")</f>
        <v>0.2407960541</v>
      </c>
      <c r="H85" s="118">
        <f>IFERROR(H63+H65+H66+H67+H68+H69+H71+H72+H74+H75+H76+H77+H78+H79+H80+H82+H83, "NA")</f>
        <v>23297.61</v>
      </c>
      <c r="I85" s="92">
        <f>IFERROR(H85/H148, "NA")</f>
        <v>0.3666361787</v>
      </c>
      <c r="J85" s="118">
        <f>IFERROR(J63+J65+J66+J67+J68+J69+J71+J72+J74+J75+J76+J77+J78+J79+J80+J82+J83, "NA")</f>
        <v>31161.51</v>
      </c>
      <c r="K85" s="92">
        <f>IFERROR(J85/J148, "NA")</f>
        <v>0.2620342611</v>
      </c>
      <c r="L85" s="118">
        <f>IFERROR(L63+L65+L66+L67+L68+L69+L71+L72+L74+L75+L76+L77+L78+L79+L80+L82+L83, "NA")</f>
        <v>30181.21</v>
      </c>
      <c r="M85" s="92">
        <f>IFERROR(L85/L148, "NA")</f>
        <v>0.2638335275</v>
      </c>
      <c r="N85" s="118">
        <f>IFERROR(N63+N65+N66+N67+N68+N69+N71+N72+N74+N75+N76+N77+N78+N79+N80+N82+N83, "NA")</f>
        <v>32973.25</v>
      </c>
      <c r="O85" s="92">
        <f>IFERROR(N85/N148, "NA")</f>
        <v>0.3220777112</v>
      </c>
      <c r="P85" s="118">
        <f>IFERROR(P63+P65+P66+P67+P68+P69+P71+P72+P74+P75+P76+P77+P78+P79+P80+P82+P83, "NA")</f>
        <v>22810.76</v>
      </c>
      <c r="Q85" s="92">
        <f>IFERROR(P85/P148, "NA")</f>
        <v>0.4683391903</v>
      </c>
      <c r="R85" s="118">
        <f>IFERROR(R63+R65+R66+R67+R68+R69+R71+R72+R74+R75+R76+R77+R78+R79+R80+R82+R83, "NA")</f>
        <v>24001.17</v>
      </c>
      <c r="S85" s="92">
        <f>IFERROR(R85/R148, "NA")</f>
        <v>0.3950563413</v>
      </c>
      <c r="T85" s="118">
        <f>IFERROR(T63+T65+T66+T67+T68+T69+T71+T72+T74+T75+T76+T77+T78+T79+T80+T82+T83, "NA")</f>
        <v>28269.59</v>
      </c>
      <c r="U85" s="92">
        <f>IFERROR(T85/T148, "NA")</f>
        <v>0.3020585476</v>
      </c>
      <c r="V85" s="118">
        <f>IFERROR(V63+V65+V66+V67+V68+V69+V71+V72+V74+V75+V76+V77+V78+V79+V80+V82+V83, "NA")</f>
        <v>31199.4</v>
      </c>
      <c r="W85" s="92">
        <f>IFERROR(V85/V148, "NA")</f>
        <v>0.2754747528</v>
      </c>
      <c r="X85" s="118">
        <f>IFERROR(X63+X65+X66+X67+X68+X69+X71+X72+X74+X75+X76+X77+X78+X79+X80+X82+X83, "NA")</f>
        <v>28219.36</v>
      </c>
      <c r="Y85" s="92">
        <f>IFERROR(X85/X148, "NA")</f>
        <v>0.2942335179</v>
      </c>
      <c r="Z85" s="118">
        <f>IFERROR(Z63+Z65+Z66+Z67+Z68+Z69+Z71+Z72+Z74+Z75+Z76+Z77+Z78+Z79+Z80+Z82+Z83, "NA")</f>
        <v>111689.52</v>
      </c>
      <c r="AA85" s="92">
        <f>IFERROR(Z85/Z148, "NA")</f>
        <v>0.307254269</v>
      </c>
      <c r="AB85" s="118">
        <f t="shared" si="37"/>
        <v>27922.38</v>
      </c>
      <c r="AC85" s="92">
        <f>IFERROR(AB85/AB148, "NA")</f>
        <v>0.307254269</v>
      </c>
      <c r="AD85" s="119">
        <f t="shared" si="38"/>
        <v>296.98</v>
      </c>
      <c r="AE85" s="120">
        <f>IFERROR(AD85/AD148, "NA")</f>
        <v>0.05903083525</v>
      </c>
      <c r="AF85" s="119">
        <f t="shared" si="39"/>
        <v>0.01063591284</v>
      </c>
      <c r="AG85" s="118">
        <f t="shared" si="40"/>
        <v>28602.03125</v>
      </c>
      <c r="AH85" s="92">
        <f>IFERROR(AG85/AG148, "NA")</f>
        <v>0.3059420422</v>
      </c>
      <c r="AI85" s="119">
        <f t="shared" si="41"/>
        <v>-382.67125</v>
      </c>
      <c r="AJ85" s="120">
        <f>IFERROR(AI85/AI148, "NA")</f>
        <v>-0.1581519791</v>
      </c>
      <c r="AK85" s="119">
        <f t="shared" si="42"/>
        <v>-0.01337916341</v>
      </c>
      <c r="AL85" s="120">
        <f>IFERROR(AK85/AK148, "NA")</f>
        <v>-0.5169344427</v>
      </c>
    </row>
    <row r="86" ht="3.75" customHeight="1">
      <c r="A86" s="123"/>
      <c r="B86" s="124"/>
      <c r="C86" s="74"/>
      <c r="D86" s="124"/>
      <c r="E86" s="74"/>
      <c r="F86" s="124"/>
      <c r="G86" s="74"/>
      <c r="H86" s="124"/>
      <c r="I86" s="74"/>
      <c r="J86" s="124"/>
      <c r="K86" s="74"/>
      <c r="L86" s="124"/>
      <c r="M86" s="74"/>
      <c r="N86" s="124"/>
      <c r="O86" s="74"/>
      <c r="P86" s="124"/>
      <c r="Q86" s="74"/>
      <c r="R86" s="124"/>
      <c r="S86" s="74"/>
      <c r="T86" s="124"/>
      <c r="U86" s="74"/>
      <c r="V86" s="124"/>
      <c r="W86" s="74"/>
      <c r="X86" s="124"/>
      <c r="Y86" s="74"/>
      <c r="Z86" s="124"/>
      <c r="AA86" s="74"/>
      <c r="AB86" s="124"/>
      <c r="AC86" s="74"/>
      <c r="AD86" s="125"/>
      <c r="AE86" s="80"/>
      <c r="AF86" s="125"/>
      <c r="AG86" s="124"/>
      <c r="AH86" s="74"/>
      <c r="AI86" s="125"/>
      <c r="AJ86" s="80"/>
      <c r="AK86" s="125"/>
      <c r="AL86" s="80"/>
    </row>
    <row r="87" ht="16.5" customHeight="1">
      <c r="A87" s="121" t="s">
        <v>57</v>
      </c>
      <c r="B87" s="122">
        <f>IFERROR(B59-B85, "NA")</f>
        <v>86259.9</v>
      </c>
      <c r="C87" s="94">
        <f>IFERROR(B87/B148, "NA")</f>
        <v>0.5264175438</v>
      </c>
      <c r="D87" s="122">
        <f>IFERROR(D59-D85, "NA")</f>
        <v>76241.86</v>
      </c>
      <c r="E87" s="94">
        <f>IFERROR(D87/D148, "NA")</f>
        <v>0.5048273601</v>
      </c>
      <c r="F87" s="122">
        <f>IFERROR(F59-F85, "NA")</f>
        <v>60064.17</v>
      </c>
      <c r="G87" s="94">
        <f>IFERROR(F87/F148, "NA")</f>
        <v>0.5064991575</v>
      </c>
      <c r="H87" s="122">
        <f>IFERROR(H59-H85, "NA")</f>
        <v>19737.32</v>
      </c>
      <c r="I87" s="94">
        <f>IFERROR(H87/H148, "NA")</f>
        <v>0.3106076367</v>
      </c>
      <c r="J87" s="122">
        <f>IFERROR(J59-J85, "NA")</f>
        <v>56251.42</v>
      </c>
      <c r="K87" s="94">
        <f>IFERROR(J87/J148, "NA")</f>
        <v>0.4730129982</v>
      </c>
      <c r="L87" s="122">
        <f>IFERROR(L59-L85, "NA")</f>
        <v>50983.85</v>
      </c>
      <c r="M87" s="94">
        <f>IFERROR(L87/L148, "NA")</f>
        <v>0.4456828932</v>
      </c>
      <c r="N87" s="122">
        <f>IFERROR(N59-N85, "NA")</f>
        <v>39764.51</v>
      </c>
      <c r="O87" s="94">
        <f>IFERROR(N87/N148, "NA")</f>
        <v>0.3884137102</v>
      </c>
      <c r="P87" s="122">
        <f>IFERROR(P59-P85, "NA")</f>
        <v>12017.82</v>
      </c>
      <c r="Q87" s="94">
        <f>IFERROR(P87/P148, "NA")</f>
        <v>0.2467439089</v>
      </c>
      <c r="R87" s="122">
        <f>IFERROR(R59-R85, "NA")</f>
        <v>17448.48</v>
      </c>
      <c r="S87" s="94">
        <f>IFERROR(R87/R148, "NA")</f>
        <v>0.2871998603</v>
      </c>
      <c r="T87" s="122">
        <f>IFERROR(T59-T85, "NA")</f>
        <v>39596.37</v>
      </c>
      <c r="U87" s="94">
        <f>IFERROR(T87/T148, "NA")</f>
        <v>0.423084382</v>
      </c>
      <c r="V87" s="122">
        <f>IFERROR(V59-V85, "NA")</f>
        <v>50240.92</v>
      </c>
      <c r="W87" s="94">
        <f>IFERROR(V87/V148, "NA")</f>
        <v>0.4436016403</v>
      </c>
      <c r="X87" s="122">
        <f>IFERROR(X59-X85, "NA")</f>
        <v>41886.45</v>
      </c>
      <c r="Y87" s="94">
        <f>IFERROR(X87/X148, "NA")</f>
        <v>0.4367355438</v>
      </c>
      <c r="Z87" s="122">
        <f>IFERROR(Z59-Z85, "NA")</f>
        <v>149172.22</v>
      </c>
      <c r="AA87" s="94">
        <f>IFERROR(Z87/Z148, "NA")</f>
        <v>0.4103679683</v>
      </c>
      <c r="AB87" s="122">
        <f>IFERROR((R87+T87+V87+X87)/4, "NA")</f>
        <v>37293.055</v>
      </c>
      <c r="AC87" s="94">
        <f>IFERROR(AB87/AB148, "NA")</f>
        <v>0.4103679683</v>
      </c>
      <c r="AD87" s="75">
        <f>IFERROR(X87-AB87, "NA")</f>
        <v>4593.395</v>
      </c>
      <c r="AE87" s="76">
        <f>IFERROR(AD87/AD148, "NA")</f>
        <v>0.9130309903</v>
      </c>
      <c r="AF87" s="75">
        <f>IFERROR((X87-AB87)/AB87, "NA")</f>
        <v>0.1231702525</v>
      </c>
      <c r="AG87" s="122">
        <f>IFERROR((J87+L87+N87+P87+R87+T87+V87+X87)/8, "NA")</f>
        <v>38523.7275</v>
      </c>
      <c r="AH87" s="94">
        <f>IFERROR(AG87/AG148, "NA")</f>
        <v>0.41206961</v>
      </c>
      <c r="AI87" s="75">
        <f>IFERROR(X87-AG87, "NA")</f>
        <v>3362.7225</v>
      </c>
      <c r="AJ87" s="76">
        <f>IFERROR(AI87/AI148, "NA")</f>
        <v>1.389760058</v>
      </c>
      <c r="AK87" s="75">
        <f>IFERROR((X87-AG87)/AG87, "NA")</f>
        <v>0.08728964506</v>
      </c>
      <c r="AL87" s="76">
        <f>IFERROR(AK87/AK148, "NA")</f>
        <v>3.372634195</v>
      </c>
    </row>
    <row r="88" ht="3.75" customHeight="1">
      <c r="A88" s="123"/>
      <c r="B88" s="124"/>
      <c r="C88" s="74"/>
      <c r="D88" s="124"/>
      <c r="E88" s="74"/>
      <c r="F88" s="124"/>
      <c r="G88" s="74"/>
      <c r="H88" s="124"/>
      <c r="I88" s="74"/>
      <c r="J88" s="124"/>
      <c r="K88" s="74"/>
      <c r="L88" s="124"/>
      <c r="M88" s="74"/>
      <c r="N88" s="124"/>
      <c r="O88" s="74"/>
      <c r="P88" s="124"/>
      <c r="Q88" s="74"/>
      <c r="R88" s="124"/>
      <c r="S88" s="74"/>
      <c r="T88" s="124"/>
      <c r="U88" s="74"/>
      <c r="V88" s="124"/>
      <c r="W88" s="74"/>
      <c r="X88" s="124"/>
      <c r="Y88" s="74"/>
      <c r="Z88" s="124"/>
      <c r="AA88" s="74"/>
      <c r="AB88" s="124"/>
      <c r="AC88" s="74"/>
      <c r="AD88" s="125"/>
      <c r="AE88" s="80"/>
      <c r="AF88" s="125"/>
      <c r="AG88" s="124"/>
      <c r="AH88" s="74"/>
      <c r="AI88" s="125"/>
      <c r="AJ88" s="80"/>
      <c r="AK88" s="125"/>
      <c r="AL88" s="80"/>
    </row>
    <row r="89" ht="16.5" hidden="1" customHeight="1">
      <c r="A89" s="13" t="s">
        <v>203</v>
      </c>
      <c r="B89" s="14"/>
      <c r="C89" s="12"/>
      <c r="D89" s="14"/>
      <c r="E89" s="12"/>
      <c r="F89" s="14"/>
      <c r="G89" s="12"/>
      <c r="H89" s="14"/>
      <c r="I89" s="12"/>
      <c r="J89" s="14"/>
      <c r="K89" s="12"/>
      <c r="L89" s="14"/>
      <c r="M89" s="12"/>
      <c r="N89" s="14"/>
      <c r="O89" s="12"/>
      <c r="P89" s="14"/>
      <c r="Q89" s="12"/>
      <c r="R89" s="14"/>
      <c r="S89" s="12"/>
      <c r="T89" s="14"/>
      <c r="U89" s="12"/>
      <c r="V89" s="14"/>
      <c r="W89" s="12"/>
      <c r="X89" s="14"/>
      <c r="Y89" s="12"/>
      <c r="Z89" s="14"/>
      <c r="AA89" s="12"/>
      <c r="AB89" s="14"/>
      <c r="AC89" s="12"/>
      <c r="AD89" s="17"/>
      <c r="AE89" s="18"/>
      <c r="AF89" s="17"/>
      <c r="AG89" s="14"/>
      <c r="AH89" s="12"/>
      <c r="AI89" s="17"/>
      <c r="AJ89" s="18"/>
      <c r="AK89" s="17"/>
      <c r="AL89" s="18"/>
    </row>
    <row r="90" ht="16.5" hidden="1" customHeight="1">
      <c r="A90" s="19" t="s">
        <v>204</v>
      </c>
      <c r="B90" s="21">
        <f>SUM('4 - RASA - MVT'!B90,'5 - RASA - National Landin'!B90,'6 - RASA - Mosaic'!B90,'7 - RASA - Rockville'!B90)</f>
        <v>3513.78</v>
      </c>
      <c r="C90" s="23">
        <f>IFERROR(B90/B148, "NA")</f>
        <v>0.02144351474</v>
      </c>
      <c r="D90" s="21">
        <f>SUM('4 - RASA - MVT'!D90,'5 - RASA - National Landin'!D90,'6 - RASA - Mosaic'!D90,'7 - RASA - Rockville'!D90)</f>
        <v>3231.33</v>
      </c>
      <c r="E90" s="23">
        <f>IFERROR(D90/D148, "NA")</f>
        <v>0.02139590762</v>
      </c>
      <c r="F90" s="21">
        <f>SUM('4 - RASA - MVT'!F90,'5 - RASA - National Landin'!F90,'6 - RASA - Mosaic'!F90,'7 - RASA - Rockville'!F90)</f>
        <v>1910.49</v>
      </c>
      <c r="G90" s="23">
        <f>IFERROR(F90/F148, "NA")</f>
        <v>0.01611046278</v>
      </c>
      <c r="H90" s="21">
        <f>SUM('4 - RASA - MVT'!H90,'5 - RASA - National Landin'!H90,'6 - RASA - Mosaic'!H90,'7 - RASA - Rockville'!H90)</f>
        <v>2653.82</v>
      </c>
      <c r="I90" s="23">
        <f>IFERROR(H90/H148, "NA")</f>
        <v>0.04176335786</v>
      </c>
      <c r="J90" s="21">
        <f>SUM('4 - RASA - MVT'!J90,'5 - RASA - National Landin'!J90,'6 - RASA - Mosaic'!J90,'7 - RASA - Rockville'!J90)</f>
        <v>5038.52</v>
      </c>
      <c r="K90" s="23">
        <f>IFERROR(J90/J148, "NA")</f>
        <v>0.04236844958</v>
      </c>
      <c r="L90" s="21">
        <f>SUM('4 - RASA - MVT'!L90,'5 - RASA - National Landin'!L90,'6 - RASA - Mosaic'!L90,'7 - RASA - Rockville'!L90)</f>
        <v>2795.35</v>
      </c>
      <c r="M90" s="23">
        <f>IFERROR(L90/L148, "NA")</f>
        <v>0.02443596699</v>
      </c>
      <c r="N90" s="21">
        <f>SUM('4 - RASA - MVT'!N90,'5 - RASA - National Landin'!N90,'6 - RASA - Mosaic'!N90,'7 - RASA - Rockville'!N90)</f>
        <v>2205.33</v>
      </c>
      <c r="O90" s="23">
        <f>IFERROR(N90/N148, "NA")</f>
        <v>0.02154132938</v>
      </c>
      <c r="P90" s="21">
        <f>SUM('4 - RASA - MVT'!P90,'5 - RASA - National Landin'!P90,'6 - RASA - Mosaic'!P90,'7 - RASA - Rockville'!P90)</f>
        <v>1590.77</v>
      </c>
      <c r="Q90" s="23">
        <f>IFERROR(P90/P148, "NA")</f>
        <v>0.03266089923</v>
      </c>
      <c r="R90" s="21">
        <f>SUM('4 - RASA - MVT'!R90,'5 - RASA - National Landin'!R90,'6 - RASA - Mosaic'!R90,'7 - RASA - Rockville'!R90)</f>
        <v>1845.9</v>
      </c>
      <c r="S90" s="23">
        <f>IFERROR(R90/R148, "NA")</f>
        <v>0.03038328967</v>
      </c>
      <c r="T90" s="21">
        <f>SUM('4 - RASA - MVT'!T90,'5 - RASA - National Landin'!T90,'6 - RASA - Mosaic'!T90,'7 - RASA - Rockville'!T90)</f>
        <v>2816.97</v>
      </c>
      <c r="U90" s="23">
        <f>IFERROR(T90/T148, "NA")</f>
        <v>0.03009912301</v>
      </c>
      <c r="V90" s="21">
        <f>SUM('4 - RASA - MVT'!V90,'5 - RASA - National Landin'!V90,'6 - RASA - Mosaic'!V90,'7 - RASA - Rockville'!V90)</f>
        <v>2627.79</v>
      </c>
      <c r="W90" s="23">
        <f>IFERROR(V90/V148, "NA")</f>
        <v>0.02320204237</v>
      </c>
      <c r="X90" s="21">
        <f>SUM('4 - RASA - MVT'!X90,'5 - RASA - National Landin'!X90,'6 - RASA - Mosaic'!X90,'7 - RASA - Rockville'!X90)</f>
        <v>1650.72</v>
      </c>
      <c r="Y90" s="23">
        <f>IFERROR(X90/X148, "NA")</f>
        <v>0.01721148717</v>
      </c>
      <c r="Z90" s="21">
        <f>SUM('4 - RASA - MVT'!Z90,'5 - RASA - National Landin'!Z90,'6 - RASA - Mosaic'!Z90,'7 - RASA - Rockville'!Z90)</f>
        <v>8941.38</v>
      </c>
      <c r="AA90" s="23">
        <f>IFERROR(Z90/Z148, "NA")</f>
        <v>0.02459744814</v>
      </c>
      <c r="AB90" s="28">
        <f t="shared" ref="AB90:AB99" si="43">IFERROR((R90+T90+V90+X90)/4, "NA")</f>
        <v>2235.345</v>
      </c>
      <c r="AC90" s="23">
        <f>IFERROR(AB90/AB148, "NA")</f>
        <v>0.02459744814</v>
      </c>
      <c r="AD90" s="29">
        <f t="shared" ref="AD90:AD99" si="44">IFERROR(X90-AB90, "NA")</f>
        <v>-584.625</v>
      </c>
      <c r="AE90" s="30">
        <f>IFERROR(AD90/AD148, "NA")</f>
        <v>-0.1162061488</v>
      </c>
      <c r="AF90" s="29">
        <f t="shared" ref="AF90:AF99" si="45">IFERROR((X90-AB90)/AB90, "NA")</f>
        <v>-0.2615368098</v>
      </c>
      <c r="AG90" s="28">
        <f t="shared" ref="AG90:AG99" si="46">IFERROR((J90+L90+N90+P90+R90+T90+V90+X90)/8, "NA")</f>
        <v>2571.41875</v>
      </c>
      <c r="AH90" s="23">
        <f>IFERROR(AG90/AG148, "NA")</f>
        <v>0.02750521796</v>
      </c>
      <c r="AI90" s="29">
        <f t="shared" ref="AI90:AI99" si="47">IFERROR(X90-AG90, "NA")</f>
        <v>-920.69875</v>
      </c>
      <c r="AJ90" s="30">
        <f>IFERROR(AI90/AI148, "NA")</f>
        <v>-0.3805102407</v>
      </c>
      <c r="AK90" s="29">
        <f t="shared" ref="AK90:AK99" si="48">IFERROR((X90-AG90)/AG90, "NA")</f>
        <v>-0.3580508814</v>
      </c>
      <c r="AL90" s="30">
        <f>IFERROR(AK90/AK148, "NA")</f>
        <v>-13.83411108</v>
      </c>
    </row>
    <row r="91" ht="16.5" hidden="1" customHeight="1">
      <c r="A91" s="19" t="s">
        <v>205</v>
      </c>
      <c r="B91" s="21">
        <f>SUM('4 - RASA - MVT'!B91,'5 - RASA - National Landin'!B91,'6 - RASA - Mosaic'!B91,'7 - RASA - Rockville'!B91)</f>
        <v>4723.27</v>
      </c>
      <c r="C91" s="23">
        <f>IFERROR(B91/B148, "NA")</f>
        <v>0.02882465888</v>
      </c>
      <c r="D91" s="21">
        <f>SUM('4 - RASA - MVT'!D91,'5 - RASA - National Landin'!D91,'6 - RASA - Mosaic'!D91,'7 - RASA - Rockville'!D91)</f>
        <v>4257.18</v>
      </c>
      <c r="E91" s="23">
        <f>IFERROR(D91/D148, "NA")</f>
        <v>0.02818846419</v>
      </c>
      <c r="F91" s="21">
        <f>SUM('4 - RASA - MVT'!F91,'5 - RASA - National Landin'!F91,'6 - RASA - Mosaic'!F91,'7 - RASA - Rockville'!F91)</f>
        <v>5051.22</v>
      </c>
      <c r="G91" s="23">
        <f>IFERROR(F91/F148, "NA")</f>
        <v>0.04259508912</v>
      </c>
      <c r="H91" s="21">
        <f>SUM('4 - RASA - MVT'!H91,'5 - RASA - National Landin'!H91,'6 - RASA - Mosaic'!H91,'7 - RASA - Rockville'!H91)</f>
        <v>3847.29</v>
      </c>
      <c r="I91" s="23">
        <f>IFERROR(H91/H148, "NA")</f>
        <v>0.06054508183</v>
      </c>
      <c r="J91" s="21">
        <f>SUM('4 - RASA - MVT'!J91,'5 - RASA - National Landin'!J91,'6 - RASA - Mosaic'!J91,'7 - RASA - Rockville'!J91)</f>
        <v>5125.44</v>
      </c>
      <c r="K91" s="23">
        <f>IFERROR(J91/J148, "NA")</f>
        <v>0.04309935183</v>
      </c>
      <c r="L91" s="21">
        <f>SUM('4 - RASA - MVT'!L91,'5 - RASA - National Landin'!L91,'6 - RASA - Mosaic'!L91,'7 - RASA - Rockville'!L91)</f>
        <v>4677.29</v>
      </c>
      <c r="M91" s="23">
        <f>IFERROR(L91/L148, "NA")</f>
        <v>0.04088722487</v>
      </c>
      <c r="N91" s="21">
        <f>SUM('4 - RASA - MVT'!N91,'5 - RASA - National Landin'!N91,'6 - RASA - Mosaic'!N91,'7 - RASA - Rockville'!N91)</f>
        <v>3555.9</v>
      </c>
      <c r="O91" s="23">
        <f>IFERROR(N91/N148, "NA")</f>
        <v>0.03473349256</v>
      </c>
      <c r="P91" s="21">
        <f>SUM('4 - RASA - MVT'!P91,'5 - RASA - National Landin'!P91,'6 - RASA - Mosaic'!P91,'7 - RASA - Rockville'!P91)</f>
        <v>1256.28</v>
      </c>
      <c r="Q91" s="23">
        <f>IFERROR(P91/P148, "NA")</f>
        <v>0.02579331675</v>
      </c>
      <c r="R91" s="21">
        <f>SUM('4 - RASA - MVT'!R91,'5 - RASA - National Landin'!R91,'6 - RASA - Mosaic'!R91,'7 - RASA - Rockville'!R91)</f>
        <v>1819.67</v>
      </c>
      <c r="S91" s="23">
        <f>IFERROR(R91/R148, "NA")</f>
        <v>0.02995154706</v>
      </c>
      <c r="T91" s="21">
        <f>SUM('4 - RASA - MVT'!T91,'5 - RASA - National Landin'!T91,'6 - RASA - Mosaic'!T91,'7 - RASA - Rockville'!T91)</f>
        <v>2200.36</v>
      </c>
      <c r="U91" s="23">
        <f>IFERROR(T91/T148, "NA")</f>
        <v>0.02351068926</v>
      </c>
      <c r="V91" s="21">
        <f>SUM('4 - RASA - MVT'!V91,'5 - RASA - National Landin'!V91,'6 - RASA - Mosaic'!V91,'7 - RASA - Rockville'!V91)</f>
        <v>4106.04</v>
      </c>
      <c r="W91" s="23">
        <f>IFERROR(V91/V148, "NA")</f>
        <v>0.03625423418</v>
      </c>
      <c r="X91" s="21">
        <f>SUM('4 - RASA - MVT'!X91,'5 - RASA - National Landin'!X91,'6 - RASA - Mosaic'!X91,'7 - RASA - Rockville'!X91)</f>
        <v>3866.1</v>
      </c>
      <c r="Y91" s="23">
        <f>IFERROR(X91/X148, "NA")</f>
        <v>0.04031048909</v>
      </c>
      <c r="Z91" s="21">
        <f>SUM('4 - RASA - MVT'!Z91,'5 - RASA - National Landin'!Z91,'6 - RASA - Mosaic'!Z91,'7 - RASA - Rockville'!Z91)</f>
        <v>11992.17</v>
      </c>
      <c r="AA91" s="23">
        <f>IFERROR(Z91/Z148, "NA")</f>
        <v>0.03299007308</v>
      </c>
      <c r="AB91" s="28">
        <f t="shared" si="43"/>
        <v>2998.0425</v>
      </c>
      <c r="AC91" s="23">
        <f>IFERROR(AB91/AB148, "NA")</f>
        <v>0.03299007308</v>
      </c>
      <c r="AD91" s="29">
        <f t="shared" si="44"/>
        <v>868.0575</v>
      </c>
      <c r="AE91" s="30">
        <f>IFERROR(AD91/AD148, "NA")</f>
        <v>0.1725441419</v>
      </c>
      <c r="AF91" s="29">
        <f t="shared" si="45"/>
        <v>0.2895414258</v>
      </c>
      <c r="AG91" s="28">
        <f t="shared" si="46"/>
        <v>3325.885</v>
      </c>
      <c r="AH91" s="23">
        <f>IFERROR(AG91/AG148, "NA")</f>
        <v>0.03557537715</v>
      </c>
      <c r="AI91" s="29">
        <f t="shared" si="47"/>
        <v>540.215</v>
      </c>
      <c r="AJ91" s="30">
        <f>IFERROR(AI91/AI148, "NA")</f>
        <v>0.2232623208</v>
      </c>
      <c r="AK91" s="29">
        <f t="shared" si="48"/>
        <v>0.1624274441</v>
      </c>
      <c r="AL91" s="30">
        <f>IFERROR(AK91/AK148, "NA")</f>
        <v>6.27575415</v>
      </c>
    </row>
    <row r="92" ht="16.5" hidden="1" customHeight="1">
      <c r="A92" s="19" t="s">
        <v>206</v>
      </c>
      <c r="B92" s="21">
        <f>SUM('4 - RASA - MVT'!B92,'5 - RASA - National Landin'!B92,'6 - RASA - Mosaic'!B92,'7 - RASA - Rockville'!B92)</f>
        <v>2465.52</v>
      </c>
      <c r="C92" s="23">
        <f>IFERROR(B92/B148, "NA")</f>
        <v>0.01504630753</v>
      </c>
      <c r="D92" s="21">
        <f>SUM('4 - RASA - MVT'!D92,'5 - RASA - National Landin'!D92,'6 - RASA - Mosaic'!D92,'7 - RASA - Rockville'!D92)</f>
        <v>2254.83</v>
      </c>
      <c r="E92" s="23">
        <f>IFERROR(D92/D148, "NA")</f>
        <v>0.01493011682</v>
      </c>
      <c r="F92" s="21">
        <f>SUM('4 - RASA - MVT'!F92,'5 - RASA - National Landin'!F92,'6 - RASA - Mosaic'!F92,'7 - RASA - Rockville'!F92)</f>
        <v>2135.79</v>
      </c>
      <c r="G92" s="23">
        <f>IFERROR(F92/F148, "NA")</f>
        <v>0.0180103352</v>
      </c>
      <c r="H92" s="21">
        <f>SUM('4 - RASA - MVT'!H92,'5 - RASA - National Landin'!H92,'6 - RASA - Mosaic'!H92,'7 - RASA - Rockville'!H92)</f>
        <v>1381.61</v>
      </c>
      <c r="I92" s="23">
        <f>IFERROR(H92/H148, "NA")</f>
        <v>0.0217424968</v>
      </c>
      <c r="J92" s="21">
        <f>SUM('4 - RASA - MVT'!J92,'5 - RASA - National Landin'!J92,'6 - RASA - Mosaic'!J92,'7 - RASA - Rockville'!J92)</f>
        <v>2132.49</v>
      </c>
      <c r="K92" s="23">
        <f>IFERROR(J92/J148, "NA")</f>
        <v>0.01793191156</v>
      </c>
      <c r="L92" s="21">
        <f>SUM('4 - RASA - MVT'!L92,'5 - RASA - National Landin'!L92,'6 - RASA - Mosaic'!L92,'7 - RASA - Rockville'!L92)</f>
        <v>2354.61</v>
      </c>
      <c r="M92" s="23">
        <f>IFERROR(L92/L148, "NA")</f>
        <v>0.02058317285</v>
      </c>
      <c r="N92" s="21">
        <f>SUM('4 - RASA - MVT'!N92,'5 - RASA - National Landin'!N92,'6 - RASA - Mosaic'!N92,'7 - RASA - Rockville'!N92)</f>
        <v>2327.27</v>
      </c>
      <c r="O92" s="23">
        <f>IFERROR(N92/N148, "NA")</f>
        <v>0.02273242083</v>
      </c>
      <c r="P92" s="21">
        <f>SUM('4 - RASA - MVT'!P92,'5 - RASA - National Landin'!P92,'6 - RASA - Mosaic'!P92,'7 - RASA - Rockville'!P92)</f>
        <v>257.56</v>
      </c>
      <c r="Q92" s="23">
        <f>IFERROR(P92/P148, "NA")</f>
        <v>0.005288093946</v>
      </c>
      <c r="R92" s="21">
        <f>SUM('4 - RASA - MVT'!R92,'5 - RASA - National Landin'!R92,'6 - RASA - Mosaic'!R92,'7 - RASA - Rockville'!R92)</f>
        <v>1001.39</v>
      </c>
      <c r="S92" s="23">
        <f>IFERROR(R92/R148, "NA")</f>
        <v>0.0164827577</v>
      </c>
      <c r="T92" s="21">
        <f>SUM('4 - RASA - MVT'!T92,'5 - RASA - National Landin'!T92,'6 - RASA - Mosaic'!T92,'7 - RASA - Rockville'!T92)</f>
        <v>1632.78</v>
      </c>
      <c r="U92" s="23">
        <f>IFERROR(T92/T148, "NA")</f>
        <v>0.01744613754</v>
      </c>
      <c r="V92" s="21">
        <f>SUM('4 - RASA - MVT'!V92,'5 - RASA - National Landin'!V92,'6 - RASA - Mosaic'!V92,'7 - RASA - Rockville'!V92)</f>
        <v>2218.27</v>
      </c>
      <c r="W92" s="23">
        <f>IFERROR(V92/V148, "NA")</f>
        <v>0.01958619011</v>
      </c>
      <c r="X92" s="21">
        <f>SUM('4 - RASA - MVT'!X92,'5 - RASA - National Landin'!X92,'6 - RASA - Mosaic'!X92,'7 - RASA - Rockville'!X92)</f>
        <v>1970.48</v>
      </c>
      <c r="Y92" s="23">
        <f>IFERROR(X92/X148, "NA")</f>
        <v>0.02054551422</v>
      </c>
      <c r="Z92" s="21">
        <f>SUM('4 - RASA - MVT'!Z92,'5 - RASA - National Landin'!Z92,'6 - RASA - Mosaic'!Z92,'7 - RASA - Rockville'!Z92)</f>
        <v>6822.92</v>
      </c>
      <c r="AA92" s="23">
        <f>IFERROR(Z92/Z148, "NA")</f>
        <v>0.01876963297</v>
      </c>
      <c r="AB92" s="28">
        <f t="shared" si="43"/>
        <v>1705.73</v>
      </c>
      <c r="AC92" s="23">
        <f>IFERROR(AB92/AB148, "NA")</f>
        <v>0.01876963297</v>
      </c>
      <c r="AD92" s="29">
        <f t="shared" si="44"/>
        <v>264.75</v>
      </c>
      <c r="AE92" s="30">
        <f>IFERROR(AD92/AD148, "NA")</f>
        <v>0.05262446506</v>
      </c>
      <c r="AF92" s="29">
        <f t="shared" si="45"/>
        <v>0.1552121379</v>
      </c>
      <c r="AG92" s="28">
        <f t="shared" si="46"/>
        <v>1736.85625</v>
      </c>
      <c r="AH92" s="23">
        <f>IFERROR(AG92/AG148, "NA")</f>
        <v>0.01857830807</v>
      </c>
      <c r="AI92" s="29">
        <f t="shared" si="47"/>
        <v>233.62375</v>
      </c>
      <c r="AJ92" s="30">
        <f>IFERROR(AI92/AI148, "NA")</f>
        <v>0.09655300318</v>
      </c>
      <c r="AK92" s="29">
        <f t="shared" si="48"/>
        <v>0.1345095485</v>
      </c>
      <c r="AL92" s="30">
        <f>IFERROR(AK92/AK148, "NA")</f>
        <v>5.197082684</v>
      </c>
    </row>
    <row r="93" ht="16.5" hidden="1" customHeight="1">
      <c r="A93" s="19" t="s">
        <v>207</v>
      </c>
      <c r="B93" s="21">
        <f>SUM('4 - RASA - MVT'!B93,'5 - RASA - National Landin'!B93,'6 - RASA - Mosaic'!B93,'7 - RASA - Rockville'!B93)</f>
        <v>9471.87</v>
      </c>
      <c r="C93" s="23">
        <f>IFERROR(B93/B148, "NA")</f>
        <v>0.05780389892</v>
      </c>
      <c r="D93" s="21">
        <f>SUM('4 - RASA - MVT'!D93,'5 - RASA - National Landin'!D93,'6 - RASA - Mosaic'!D93,'7 - RASA - Rockville'!D93)</f>
        <v>9350.42</v>
      </c>
      <c r="E93" s="23">
        <f>IFERROR(D93/D148, "NA")</f>
        <v>0.06191281068</v>
      </c>
      <c r="F93" s="21">
        <f>SUM('4 - RASA - MVT'!F93,'5 - RASA - National Landin'!F93,'6 - RASA - Mosaic'!F93,'7 - RASA - Rockville'!F93)</f>
        <v>9853.87</v>
      </c>
      <c r="G93" s="23">
        <f>IFERROR(F93/F148, "NA")</f>
        <v>0.08309407843</v>
      </c>
      <c r="H93" s="21">
        <f>SUM('4 - RASA - MVT'!H93,'5 - RASA - National Landin'!H93,'6 - RASA - Mosaic'!H93,'7 - RASA - Rockville'!H93)</f>
        <v>4090.89</v>
      </c>
      <c r="I93" s="23">
        <f>IFERROR(H93/H148, "NA")</f>
        <v>0.06437863271</v>
      </c>
      <c r="J93" s="21">
        <f>SUM('4 - RASA - MVT'!J93,'5 - RASA - National Landin'!J93,'6 - RASA - Mosaic'!J93,'7 - RASA - Rockville'!J93)</f>
        <v>10973.39</v>
      </c>
      <c r="K93" s="23">
        <f>IFERROR(J93/J148, "NA")</f>
        <v>0.09227422356</v>
      </c>
      <c r="L93" s="21">
        <f>SUM('4 - RASA - MVT'!L93,'5 - RASA - National Landin'!L93,'6 - RASA - Mosaic'!L93,'7 - RASA - Rockville'!L93)</f>
        <v>9452.31</v>
      </c>
      <c r="M93" s="23">
        <f>IFERROR(L93/L148, "NA")</f>
        <v>0.08262877104</v>
      </c>
      <c r="N93" s="21">
        <f>SUM('4 - RASA - MVT'!N93,'5 - RASA - National Landin'!N93,'6 - RASA - Mosaic'!N93,'7 - RASA - Rockville'!N93)</f>
        <v>8013.51</v>
      </c>
      <c r="O93" s="23">
        <f>IFERROR(N93/N148, "NA")</f>
        <v>0.0782747518</v>
      </c>
      <c r="P93" s="21">
        <f>SUM('4 - RASA - MVT'!P93,'5 - RASA - National Landin'!P93,'6 - RASA - Mosaic'!P93,'7 - RASA - Rockville'!P93)</f>
        <v>3284.67</v>
      </c>
      <c r="Q93" s="23">
        <f>IFERROR(P93/P148, "NA")</f>
        <v>0.06743921238</v>
      </c>
      <c r="R93" s="21">
        <f>SUM('4 - RASA - MVT'!R93,'5 - RASA - National Landin'!R93,'6 - RASA - Mosaic'!R93,'7 - RASA - Rockville'!R93)</f>
        <v>3085.59</v>
      </c>
      <c r="S93" s="23">
        <f>IFERROR(R93/R148, "NA")</f>
        <v>0.05078843641</v>
      </c>
      <c r="T93" s="21">
        <f>SUM('4 - RASA - MVT'!T93,'5 - RASA - National Landin'!T93,'6 - RASA - Mosaic'!T93,'7 - RASA - Rockville'!T93)</f>
        <v>6806.02</v>
      </c>
      <c r="U93" s="23">
        <f>IFERROR(T93/T148, "NA")</f>
        <v>0.07272183701</v>
      </c>
      <c r="V93" s="21">
        <f>SUM('4 - RASA - MVT'!V93,'5 - RASA - National Landin'!V93,'6 - RASA - Mosaic'!V93,'7 - RASA - Rockville'!V93)</f>
        <v>9097.13</v>
      </c>
      <c r="W93" s="23">
        <f>IFERROR(V93/V148, "NA")</f>
        <v>0.08032300742</v>
      </c>
      <c r="X93" s="21">
        <f>SUM('4 - RASA - MVT'!X93,'5 - RASA - National Landin'!X93,'6 - RASA - Mosaic'!X93,'7 - RASA - Rockville'!X93)</f>
        <v>6967.83</v>
      </c>
      <c r="Y93" s="23">
        <f>IFERROR(X93/X148, "NA")</f>
        <v>0.07265115625</v>
      </c>
      <c r="Z93" s="21">
        <f>SUM('4 - RASA - MVT'!Z93,'5 - RASA - National Landin'!Z93,'6 - RASA - Mosaic'!Z93,'7 - RASA - Rockville'!Z93)</f>
        <v>25956.57</v>
      </c>
      <c r="AA93" s="23">
        <f>IFERROR(Z93/Z148, "NA")</f>
        <v>0.07140568731</v>
      </c>
      <c r="AB93" s="28">
        <f t="shared" si="43"/>
        <v>6489.1425</v>
      </c>
      <c r="AC93" s="23">
        <f>IFERROR(AB93/AB148, "NA")</f>
        <v>0.07140568731</v>
      </c>
      <c r="AD93" s="29">
        <f t="shared" si="44"/>
        <v>478.6875</v>
      </c>
      <c r="AE93" s="30">
        <f>IFERROR(AD93/AD148, "NA")</f>
        <v>0.09514890885</v>
      </c>
      <c r="AF93" s="29">
        <f t="shared" si="45"/>
        <v>0.07376745078</v>
      </c>
      <c r="AG93" s="28">
        <f t="shared" si="46"/>
        <v>7210.05625</v>
      </c>
      <c r="AH93" s="23">
        <f>IFERROR(AG93/AG148, "NA")</f>
        <v>0.07712247127</v>
      </c>
      <c r="AI93" s="29">
        <f t="shared" si="47"/>
        <v>-242.22625</v>
      </c>
      <c r="AJ93" s="30">
        <f>IFERROR(AI93/AI148, "NA")</f>
        <v>-0.1001082805</v>
      </c>
      <c r="AK93" s="29">
        <f t="shared" si="48"/>
        <v>-0.03359561168</v>
      </c>
      <c r="AL93" s="30">
        <f>IFERROR(AK93/AK148, "NA")</f>
        <v>-1.298042954</v>
      </c>
    </row>
    <row r="94" ht="16.5" hidden="1" customHeight="1">
      <c r="A94" s="19" t="s">
        <v>208</v>
      </c>
      <c r="B94" s="21">
        <f>SUM('4 - RASA - MVT'!B94,'5 - RASA - National Landin'!B94,'6 - RASA - Mosaic'!B94,'7 - RASA - Rockville'!B94)</f>
        <v>3340.32</v>
      </c>
      <c r="C94" s="23">
        <f>IFERROR(B94/B148, "NA")</f>
        <v>0.0203849419</v>
      </c>
      <c r="D94" s="21">
        <f>SUM('4 - RASA - MVT'!D94,'5 - RASA - National Landin'!D94,'6 - RASA - Mosaic'!D94,'7 - RASA - Rockville'!D94)</f>
        <v>2896.1</v>
      </c>
      <c r="E94" s="23">
        <f>IFERROR(D94/D148, "NA")</f>
        <v>0.01917621786</v>
      </c>
      <c r="F94" s="21">
        <f>SUM('4 - RASA - MVT'!F94,'5 - RASA - National Landin'!F94,'6 - RASA - Mosaic'!F94,'7 - RASA - Rockville'!F94)</f>
        <v>2904.88</v>
      </c>
      <c r="G94" s="23">
        <f>IFERROR(F94/F148, "NA")</f>
        <v>0.02449578963</v>
      </c>
      <c r="H94" s="21">
        <f>SUM('4 - RASA - MVT'!H94,'5 - RASA - National Landin'!H94,'6 - RASA - Mosaic'!H94,'7 - RASA - Rockville'!H94)</f>
        <v>1584.77</v>
      </c>
      <c r="I94" s="23">
        <f>IFERROR(H94/H148, "NA")</f>
        <v>0.02493964046</v>
      </c>
      <c r="J94" s="21">
        <f>SUM('4 - RASA - MVT'!J94,'5 - RASA - National Landin'!J94,'6 - RASA - Mosaic'!J94,'7 - RASA - Rockville'!J94)</f>
        <v>3276.08</v>
      </c>
      <c r="K94" s="23">
        <f>IFERROR(J94/J148, "NA")</f>
        <v>0.02754825431</v>
      </c>
      <c r="L94" s="21">
        <f>SUM('4 - RASA - MVT'!L94,'5 - RASA - National Landin'!L94,'6 - RASA - Mosaic'!L94,'7 - RASA - Rockville'!L94)</f>
        <v>2757.66</v>
      </c>
      <c r="M94" s="23">
        <f>IFERROR(L94/L148, "NA")</f>
        <v>0.02410649426</v>
      </c>
      <c r="N94" s="21">
        <f>SUM('4 - RASA - MVT'!N94,'5 - RASA - National Landin'!N94,'6 - RASA - Mosaic'!N94,'7 - RASA - Rockville'!N94)</f>
        <v>2600.8</v>
      </c>
      <c r="O94" s="23">
        <f>IFERROR(N94/N148, "NA")</f>
        <v>0.02540422043</v>
      </c>
      <c r="P94" s="21">
        <f>SUM('4 - RASA - MVT'!P94,'5 - RASA - National Landin'!P94,'6 - RASA - Mosaic'!P94,'7 - RASA - Rockville'!P94)</f>
        <v>1147.08</v>
      </c>
      <c r="Q94" s="23">
        <f>IFERROR(P94/P148, "NA")</f>
        <v>0.02355127661</v>
      </c>
      <c r="R94" s="21">
        <f>SUM('4 - RASA - MVT'!R94,'5 - RASA - National Landin'!R94,'6 - RASA - Mosaic'!R94,'7 - RASA - Rockville'!R94)</f>
        <v>1465.72</v>
      </c>
      <c r="S94" s="23">
        <f>IFERROR(R94/R148, "NA")</f>
        <v>0.02412557307</v>
      </c>
      <c r="T94" s="21">
        <f>SUM('4 - RASA - MVT'!T94,'5 - RASA - National Landin'!T94,'6 - RASA - Mosaic'!T94,'7 - RASA - Rockville'!T94)</f>
        <v>2568.22</v>
      </c>
      <c r="U94" s="23">
        <f>IFERROR(T94/T148, "NA")</f>
        <v>0.02744124705</v>
      </c>
      <c r="V94" s="21">
        <f>SUM('4 - RASA - MVT'!V94,'5 - RASA - National Landin'!V94,'6 - RASA - Mosaic'!V94,'7 - RASA - Rockville'!V94)</f>
        <v>2577.26</v>
      </c>
      <c r="W94" s="23">
        <f>IFERROR(V94/V148, "NA")</f>
        <v>0.0227558883</v>
      </c>
      <c r="X94" s="21">
        <f>SUM('4 - RASA - MVT'!X94,'5 - RASA - National Landin'!X94,'6 - RASA - Mosaic'!X94,'7 - RASA - Rockville'!X94)</f>
        <v>2120.87</v>
      </c>
      <c r="Y94" s="23">
        <f>IFERROR(X94/X148, "NA")</f>
        <v>0.0221135788</v>
      </c>
      <c r="Z94" s="21">
        <f>SUM('4 - RASA - MVT'!Z94,'5 - RASA - National Landin'!Z94,'6 - RASA - Mosaic'!Z94,'7 - RASA - Rockville'!Z94)</f>
        <v>8732.07</v>
      </c>
      <c r="AA94" s="23">
        <f>IFERROR(Z94/Z148, "NA")</f>
        <v>0.02402164307</v>
      </c>
      <c r="AB94" s="28">
        <f t="shared" si="43"/>
        <v>2183.0175</v>
      </c>
      <c r="AC94" s="23">
        <f>IFERROR(AB94/AB148, "NA")</f>
        <v>0.02402164307</v>
      </c>
      <c r="AD94" s="29">
        <f t="shared" si="44"/>
        <v>-62.1475</v>
      </c>
      <c r="AE94" s="30">
        <f>IFERROR(AD94/AD148, "NA")</f>
        <v>-0.01235308382</v>
      </c>
      <c r="AF94" s="29">
        <f t="shared" si="45"/>
        <v>-0.02846862199</v>
      </c>
      <c r="AG94" s="28">
        <f t="shared" si="46"/>
        <v>2314.21125</v>
      </c>
      <c r="AH94" s="23">
        <f>IFERROR(AG94/AG148, "NA")</f>
        <v>0.02475399421</v>
      </c>
      <c r="AI94" s="29">
        <f t="shared" si="47"/>
        <v>-193.34125</v>
      </c>
      <c r="AJ94" s="30">
        <f>IFERROR(AI94/AI148, "NA")</f>
        <v>-0.07990488264</v>
      </c>
      <c r="AK94" s="29">
        <f t="shared" si="48"/>
        <v>-0.08354520358</v>
      </c>
      <c r="AL94" s="30">
        <f>IFERROR(AK94/AK148, "NA")</f>
        <v>-3.227959172</v>
      </c>
    </row>
    <row r="95" ht="16.5" hidden="1" customHeight="1">
      <c r="A95" s="19" t="s">
        <v>209</v>
      </c>
      <c r="B95" s="21">
        <f>SUM('4 - RASA - MVT'!B95,'5 - RASA - National Landin'!B95,'6 - RASA - Mosaic'!B95,'7 - RASA - Rockville'!B95)</f>
        <v>0</v>
      </c>
      <c r="C95" s="23">
        <f>IFERROR(B95/B148, "NA")</f>
        <v>0</v>
      </c>
      <c r="D95" s="21">
        <f>SUM('4 - RASA - MVT'!D95,'5 - RASA - National Landin'!D95,'6 - RASA - Mosaic'!D95,'7 - RASA - Rockville'!D95)</f>
        <v>0</v>
      </c>
      <c r="E95" s="23">
        <f>IFERROR(D95/D148, "NA")</f>
        <v>0</v>
      </c>
      <c r="F95" s="21">
        <f>SUM('4 - RASA - MVT'!F95,'5 - RASA - National Landin'!F95,'6 - RASA - Mosaic'!F95,'7 - RASA - Rockville'!F95)</f>
        <v>4888.98</v>
      </c>
      <c r="G95" s="23">
        <f>IFERROR(F95/F148, "NA")</f>
        <v>0.04122697859</v>
      </c>
      <c r="H95" s="21">
        <f>SUM('4 - RASA - MVT'!H95,'5 - RASA - National Landin'!H95,'6 - RASA - Mosaic'!H95,'7 - RASA - Rockville'!H95)</f>
        <v>0</v>
      </c>
      <c r="I95" s="23">
        <f>IFERROR(H95/H148, "NA")</f>
        <v>0</v>
      </c>
      <c r="J95" s="21">
        <f>SUM('4 - RASA - MVT'!J95,'5 - RASA - National Landin'!J95,'6 - RASA - Mosaic'!J95,'7 - RASA - Rockville'!J95)</f>
        <v>0</v>
      </c>
      <c r="K95" s="23">
        <f>IFERROR(J95/J148, "NA")</f>
        <v>0</v>
      </c>
      <c r="L95" s="21">
        <f>SUM('4 - RASA - MVT'!L95,'5 - RASA - National Landin'!L95,'6 - RASA - Mosaic'!L95,'7 - RASA - Rockville'!L95)</f>
        <v>0</v>
      </c>
      <c r="M95" s="23">
        <f>IFERROR(L95/L148, "NA")</f>
        <v>0</v>
      </c>
      <c r="N95" s="21">
        <f>SUM('4 - RASA - MVT'!N95,'5 - RASA - National Landin'!N95,'6 - RASA - Mosaic'!N95,'7 - RASA - Rockville'!N95)</f>
        <v>0</v>
      </c>
      <c r="O95" s="23">
        <f>IFERROR(N95/N148, "NA")</f>
        <v>0</v>
      </c>
      <c r="P95" s="21">
        <f>SUM('4 - RASA - MVT'!P95,'5 - RASA - National Landin'!P95,'6 - RASA - Mosaic'!P95,'7 - RASA - Rockville'!P95)</f>
        <v>4978.75</v>
      </c>
      <c r="Q95" s="23">
        <f>IFERROR(P95/P148, "NA")</f>
        <v>0.1022212212</v>
      </c>
      <c r="R95" s="21">
        <f>SUM('4 - RASA - MVT'!R95,'5 - RASA - National Landin'!R95,'6 - RASA - Mosaic'!R95,'7 - RASA - Rockville'!R95)</f>
        <v>0</v>
      </c>
      <c r="S95" s="23">
        <f>IFERROR(R95/R148, "NA")</f>
        <v>0</v>
      </c>
      <c r="T95" s="21">
        <f>SUM('4 - RASA - MVT'!T95,'5 - RASA - National Landin'!T95,'6 - RASA - Mosaic'!T95,'7 - RASA - Rockville'!T95)</f>
        <v>0</v>
      </c>
      <c r="U95" s="23">
        <f>IFERROR(T95/T148, "NA")</f>
        <v>0</v>
      </c>
      <c r="V95" s="21">
        <f>SUM('4 - RASA - MVT'!V95,'5 - RASA - National Landin'!V95,'6 - RASA - Mosaic'!V95,'7 - RASA - Rockville'!V95)</f>
        <v>0</v>
      </c>
      <c r="W95" s="23">
        <f>IFERROR(V95/V148, "NA")</f>
        <v>0</v>
      </c>
      <c r="X95" s="21">
        <f>SUM('4 - RASA - MVT'!X95,'5 - RASA - National Landin'!X95,'6 - RASA - Mosaic'!X95,'7 - RASA - Rockville'!X95)</f>
        <v>0</v>
      </c>
      <c r="Y95" s="23">
        <f>IFERROR(X95/X148, "NA")</f>
        <v>0</v>
      </c>
      <c r="Z95" s="21">
        <f>SUM('4 - RASA - MVT'!Z95,'5 - RASA - National Landin'!Z95,'6 - RASA - Mosaic'!Z95,'7 - RASA - Rockville'!Z95)</f>
        <v>0</v>
      </c>
      <c r="AA95" s="23">
        <f>IFERROR(Z95/Z148, "NA")</f>
        <v>0</v>
      </c>
      <c r="AB95" s="28">
        <f t="shared" si="43"/>
        <v>0</v>
      </c>
      <c r="AC95" s="23">
        <f>IFERROR(AB95/AB148, "NA")</f>
        <v>0</v>
      </c>
      <c r="AD95" s="29">
        <f t="shared" si="44"/>
        <v>0</v>
      </c>
      <c r="AE95" s="30">
        <f>IFERROR(AD95/AD148, "NA")</f>
        <v>0</v>
      </c>
      <c r="AF95" s="29" t="str">
        <f t="shared" si="45"/>
        <v>NA</v>
      </c>
      <c r="AG95" s="28">
        <f t="shared" si="46"/>
        <v>622.34375</v>
      </c>
      <c r="AH95" s="23">
        <f>IFERROR(AG95/AG148, "NA")</f>
        <v>0.00665690895</v>
      </c>
      <c r="AI95" s="29">
        <f t="shared" si="47"/>
        <v>-622.34375</v>
      </c>
      <c r="AJ95" s="30">
        <f>IFERROR(AI95/AI148, "NA")</f>
        <v>-0.257204835</v>
      </c>
      <c r="AK95" s="29">
        <f t="shared" si="48"/>
        <v>-1</v>
      </c>
      <c r="AL95" s="30">
        <f>IFERROR(AK95/AK148, "NA")</f>
        <v>-38.63727699</v>
      </c>
    </row>
    <row r="96" ht="16.5" hidden="1" customHeight="1">
      <c r="A96" s="19" t="s">
        <v>210</v>
      </c>
      <c r="B96" s="21">
        <f>SUM('4 - RASA - MVT'!B96,'5 - RASA - National Landin'!B96,'6 - RASA - Mosaic'!B96,'7 - RASA - Rockville'!B96)</f>
        <v>0</v>
      </c>
      <c r="C96" s="23">
        <f>IFERROR(B96/B148, "NA")</f>
        <v>0</v>
      </c>
      <c r="D96" s="21">
        <f>SUM('4 - RASA - MVT'!D96,'5 - RASA - National Landin'!D96,'6 - RASA - Mosaic'!D96,'7 - RASA - Rockville'!D96)</f>
        <v>0</v>
      </c>
      <c r="E96" s="23">
        <f>IFERROR(D96/D148, "NA")</f>
        <v>0</v>
      </c>
      <c r="F96" s="21">
        <f>SUM('4 - RASA - MVT'!F96,'5 - RASA - National Landin'!F96,'6 - RASA - Mosaic'!F96,'7 - RASA - Rockville'!F96)</f>
        <v>0</v>
      </c>
      <c r="G96" s="23">
        <f>IFERROR(F96/F148, "NA")</f>
        <v>0</v>
      </c>
      <c r="H96" s="21">
        <f>SUM('4 - RASA - MVT'!H96,'5 - RASA - National Landin'!H96,'6 - RASA - Mosaic'!H96,'7 - RASA - Rockville'!H96)</f>
        <v>0</v>
      </c>
      <c r="I96" s="23">
        <f>IFERROR(H96/H148, "NA")</f>
        <v>0</v>
      </c>
      <c r="J96" s="21">
        <f>SUM('4 - RASA - MVT'!J96,'5 - RASA - National Landin'!J96,'6 - RASA - Mosaic'!J96,'7 - RASA - Rockville'!J96)</f>
        <v>0</v>
      </c>
      <c r="K96" s="23">
        <f>IFERROR(J96/J148, "NA")</f>
        <v>0</v>
      </c>
      <c r="L96" s="21">
        <f>SUM('4 - RASA - MVT'!L96,'5 - RASA - National Landin'!L96,'6 - RASA - Mosaic'!L96,'7 - RASA - Rockville'!L96)</f>
        <v>0</v>
      </c>
      <c r="M96" s="23">
        <f>IFERROR(L96/L148, "NA")</f>
        <v>0</v>
      </c>
      <c r="N96" s="21">
        <f>SUM('4 - RASA - MVT'!N96,'5 - RASA - National Landin'!N96,'6 - RASA - Mosaic'!N96,'7 - RASA - Rockville'!N96)</f>
        <v>0</v>
      </c>
      <c r="O96" s="23">
        <f>IFERROR(N96/N148, "NA")</f>
        <v>0</v>
      </c>
      <c r="P96" s="21">
        <f>SUM('4 - RASA - MVT'!P96,'5 - RASA - National Landin'!P96,'6 - RASA - Mosaic'!P96,'7 - RASA - Rockville'!P96)</f>
        <v>0</v>
      </c>
      <c r="Q96" s="23">
        <f>IFERROR(P96/P148, "NA")</f>
        <v>0</v>
      </c>
      <c r="R96" s="21">
        <f>SUM('4 - RASA - MVT'!R96,'5 - RASA - National Landin'!R96,'6 - RASA - Mosaic'!R96,'7 - RASA - Rockville'!R96)</f>
        <v>0</v>
      </c>
      <c r="S96" s="23">
        <f>IFERROR(R96/R148, "NA")</f>
        <v>0</v>
      </c>
      <c r="T96" s="21">
        <f>SUM('4 - RASA - MVT'!T96,'5 - RASA - National Landin'!T96,'6 - RASA - Mosaic'!T96,'7 - RASA - Rockville'!T96)</f>
        <v>0</v>
      </c>
      <c r="U96" s="23">
        <f>IFERROR(T96/T148, "NA")</f>
        <v>0</v>
      </c>
      <c r="V96" s="21">
        <f>SUM('4 - RASA - MVT'!V96,'5 - RASA - National Landin'!V96,'6 - RASA - Mosaic'!V96,'7 - RASA - Rockville'!V96)</f>
        <v>0</v>
      </c>
      <c r="W96" s="23">
        <f>IFERROR(V96/V148, "NA")</f>
        <v>0</v>
      </c>
      <c r="X96" s="21">
        <f>SUM('4 - RASA - MVT'!X96,'5 - RASA - National Landin'!X96,'6 - RASA - Mosaic'!X96,'7 - RASA - Rockville'!X96)</f>
        <v>0</v>
      </c>
      <c r="Y96" s="23">
        <f>IFERROR(X96/X148, "NA")</f>
        <v>0</v>
      </c>
      <c r="Z96" s="21">
        <f>SUM('4 - RASA - MVT'!Z96,'5 - RASA - National Landin'!Z96,'6 - RASA - Mosaic'!Z96,'7 - RASA - Rockville'!Z96)</f>
        <v>0</v>
      </c>
      <c r="AA96" s="23">
        <f>IFERROR(Z96/Z148, "NA")</f>
        <v>0</v>
      </c>
      <c r="AB96" s="28">
        <f t="shared" si="43"/>
        <v>0</v>
      </c>
      <c r="AC96" s="23">
        <f>IFERROR(AB96/AB148, "NA")</f>
        <v>0</v>
      </c>
      <c r="AD96" s="29">
        <f t="shared" si="44"/>
        <v>0</v>
      </c>
      <c r="AE96" s="30">
        <f>IFERROR(AD96/AD148, "NA")</f>
        <v>0</v>
      </c>
      <c r="AF96" s="29" t="str">
        <f t="shared" si="45"/>
        <v>NA</v>
      </c>
      <c r="AG96" s="28">
        <f t="shared" si="46"/>
        <v>0</v>
      </c>
      <c r="AH96" s="23">
        <f>IFERROR(AG96/AG148, "NA")</f>
        <v>0</v>
      </c>
      <c r="AI96" s="29">
        <f t="shared" si="47"/>
        <v>0</v>
      </c>
      <c r="AJ96" s="30">
        <f>IFERROR(AI96/AI148, "NA")</f>
        <v>0</v>
      </c>
      <c r="AK96" s="29" t="str">
        <f t="shared" si="48"/>
        <v>NA</v>
      </c>
      <c r="AL96" s="30" t="str">
        <f>IFERROR(AK96/AK148, "NA")</f>
        <v>NA</v>
      </c>
    </row>
    <row r="97" ht="16.5" hidden="1" customHeight="1">
      <c r="A97" s="19" t="s">
        <v>211</v>
      </c>
      <c r="B97" s="21">
        <f>SUM('4 - RASA - MVT'!B97,'5 - RASA - National Landin'!B97,'6 - RASA - Mosaic'!B97,'7 - RASA - Rockville'!B97)</f>
        <v>1825.01</v>
      </c>
      <c r="C97" s="23">
        <f>IFERROR(B97/B148, "NA")</f>
        <v>0.0111374727</v>
      </c>
      <c r="D97" s="21">
        <f>SUM('4 - RASA - MVT'!D97,'5 - RASA - National Landin'!D97,'6 - RASA - Mosaic'!D97,'7 - RASA - Rockville'!D97)</f>
        <v>2289.04</v>
      </c>
      <c r="E97" s="23">
        <f>IFERROR(D97/D148, "NA")</f>
        <v>0.01515663469</v>
      </c>
      <c r="F97" s="21">
        <f>SUM('4 - RASA - MVT'!F97,'5 - RASA - National Landin'!F97,'6 - RASA - Mosaic'!F97,'7 - RASA - Rockville'!F97)</f>
        <v>3087.56</v>
      </c>
      <c r="G97" s="23">
        <f>IFERROR(F97/F148, "NA")</f>
        <v>0.02603626319</v>
      </c>
      <c r="H97" s="21">
        <f>SUM('4 - RASA - MVT'!H97,'5 - RASA - National Landin'!H97,'6 - RASA - Mosaic'!H97,'7 - RASA - Rockville'!H97)</f>
        <v>1620.61</v>
      </c>
      <c r="I97" s="23">
        <f>IFERROR(H97/H148, "NA")</f>
        <v>0.02550365714</v>
      </c>
      <c r="J97" s="21">
        <f>SUM('4 - RASA - MVT'!J97,'5 - RASA - National Landin'!J97,'6 - RASA - Mosaic'!J97,'7 - RASA - Rockville'!J97)</f>
        <v>588.87</v>
      </c>
      <c r="K97" s="23">
        <f>IFERROR(J97/J148, "NA")</f>
        <v>0.004951753472</v>
      </c>
      <c r="L97" s="21">
        <f>SUM('4 - RASA - MVT'!L97,'5 - RASA - National Landin'!L97,'6 - RASA - Mosaic'!L97,'7 - RASA - Rockville'!L97)</f>
        <v>1008.55</v>
      </c>
      <c r="M97" s="23">
        <f>IFERROR(L97/L148, "NA")</f>
        <v>0.008816389542</v>
      </c>
      <c r="N97" s="21">
        <f>SUM('4 - RASA - MVT'!N97,'5 - RASA - National Landin'!N97,'6 - RASA - Mosaic'!N97,'7 - RASA - Rockville'!N97)</f>
        <v>4587.58</v>
      </c>
      <c r="O97" s="23">
        <f>IFERROR(N97/N148, "NA")</f>
        <v>0.04481078652</v>
      </c>
      <c r="P97" s="21">
        <f>SUM('4 - RASA - MVT'!P97,'5 - RASA - National Landin'!P97,'6 - RASA - Mosaic'!P97,'7 - RASA - Rockville'!P97)</f>
        <v>2568.14</v>
      </c>
      <c r="Q97" s="23">
        <f>IFERROR(P97/P148, "NA")</f>
        <v>0.05272777444</v>
      </c>
      <c r="R97" s="21">
        <f>SUM('4 - RASA - MVT'!R97,'5 - RASA - National Landin'!R97,'6 - RASA - Mosaic'!R97,'7 - RASA - Rockville'!R97)</f>
        <v>3896.49</v>
      </c>
      <c r="S97" s="23">
        <f>IFERROR(R97/R148, "NA")</f>
        <v>0.06413575186</v>
      </c>
      <c r="T97" s="21">
        <f>SUM('4 - RASA - MVT'!T97,'5 - RASA - National Landin'!T97,'6 - RASA - Mosaic'!T97,'7 - RASA - Rockville'!T97)</f>
        <v>3202.92</v>
      </c>
      <c r="U97" s="23">
        <f>IFERROR(T97/T148, "NA")</f>
        <v>0.03422297116</v>
      </c>
      <c r="V97" s="21">
        <f>SUM('4 - RASA - MVT'!V97,'5 - RASA - National Landin'!V97,'6 - RASA - Mosaic'!V97,'7 - RASA - Rockville'!V97)</f>
        <v>1199.25</v>
      </c>
      <c r="W97" s="23">
        <f>IFERROR(V97/V148, "NA")</f>
        <v>0.01058876444</v>
      </c>
      <c r="X97" s="21">
        <f>SUM('4 - RASA - MVT'!X97,'5 - RASA - National Landin'!X97,'6 - RASA - Mosaic'!X97,'7 - RASA - Rockville'!X97)</f>
        <v>0</v>
      </c>
      <c r="Y97" s="23">
        <f>IFERROR(X97/X148, "NA")</f>
        <v>0</v>
      </c>
      <c r="Z97" s="21">
        <f>SUM('4 - RASA - MVT'!Z97,'5 - RASA - National Landin'!Z97,'6 - RASA - Mosaic'!Z97,'7 - RASA - Rockville'!Z97)</f>
        <v>8298.66</v>
      </c>
      <c r="AA97" s="23">
        <f>IFERROR(Z97/Z148, "NA")</f>
        <v>0.02282934614</v>
      </c>
      <c r="AB97" s="28">
        <f t="shared" si="43"/>
        <v>2074.665</v>
      </c>
      <c r="AC97" s="23">
        <f>IFERROR(AB97/AB148, "NA")</f>
        <v>0.02282934614</v>
      </c>
      <c r="AD97" s="29">
        <f t="shared" si="44"/>
        <v>-2074.665</v>
      </c>
      <c r="AE97" s="30">
        <f>IFERROR(AD97/AD148, "NA")</f>
        <v>-0.4123820049</v>
      </c>
      <c r="AF97" s="29">
        <f t="shared" si="45"/>
        <v>-1</v>
      </c>
      <c r="AG97" s="28">
        <f t="shared" si="46"/>
        <v>2131.475</v>
      </c>
      <c r="AH97" s="23">
        <f>IFERROR(AG97/AG148, "NA")</f>
        <v>0.02279935326</v>
      </c>
      <c r="AI97" s="29">
        <f t="shared" si="47"/>
        <v>-2131.475</v>
      </c>
      <c r="AJ97" s="30">
        <f>IFERROR(AI97/AI148, "NA")</f>
        <v>-0.8809049271</v>
      </c>
      <c r="AK97" s="29">
        <f t="shared" si="48"/>
        <v>-1</v>
      </c>
      <c r="AL97" s="30">
        <f>IFERROR(AK97/AK148, "NA")</f>
        <v>-38.63727699</v>
      </c>
    </row>
    <row r="98" ht="16.5" hidden="1" customHeight="1">
      <c r="A98" s="19" t="s">
        <v>212</v>
      </c>
      <c r="B98" s="21">
        <f>SUM('4 - RASA - MVT'!B98,'5 - RASA - National Landin'!B98,'6 - RASA - Mosaic'!B98,'7 - RASA - Rockville'!B98)</f>
        <v>1835.04</v>
      </c>
      <c r="C98" s="23">
        <f>IFERROR(B98/B148, "NA")</f>
        <v>0.0111986827</v>
      </c>
      <c r="D98" s="21">
        <f>SUM('4 - RASA - MVT'!D98,'5 - RASA - National Landin'!D98,'6 - RASA - Mosaic'!D98,'7 - RASA - Rockville'!D98)</f>
        <v>9521.26</v>
      </c>
      <c r="E98" s="23">
        <f>IFERROR(D98/D148, "NA")</f>
        <v>0.06304400956</v>
      </c>
      <c r="F98" s="21">
        <f>SUM('4 - RASA - MVT'!F98,'5 - RASA - National Landin'!F98,'6 - RASA - Mosaic'!F98,'7 - RASA - Rockville'!F98)</f>
        <v>4451.26</v>
      </c>
      <c r="G98" s="23">
        <f>IFERROR(F98/F148, "NA")</f>
        <v>0.03753584607</v>
      </c>
      <c r="H98" s="21">
        <f>SUM('4 - RASA - MVT'!H98,'5 - RASA - National Landin'!H98,'6 - RASA - Mosaic'!H98,'7 - RASA - Rockville'!H98)</f>
        <v>874.08</v>
      </c>
      <c r="I98" s="23">
        <f>IFERROR(H98/H148, "NA")</f>
        <v>0.01375546037</v>
      </c>
      <c r="J98" s="21">
        <f>SUM('4 - RASA - MVT'!J98,'5 - RASA - National Landin'!J98,'6 - RASA - Mosaic'!J98,'7 - RASA - Rockville'!J98)</f>
        <v>3040.99</v>
      </c>
      <c r="K98" s="23">
        <f>IFERROR(J98/J148, "NA")</f>
        <v>0.0255714042</v>
      </c>
      <c r="L98" s="21">
        <f>SUM('4 - RASA - MVT'!L98,'5 - RASA - National Landin'!L98,'6 - RASA - Mosaic'!L98,'7 - RASA - Rockville'!L98)</f>
        <v>2135.28</v>
      </c>
      <c r="M98" s="23">
        <f>IFERROR(L98/L148, "NA")</f>
        <v>0.0186658671</v>
      </c>
      <c r="N98" s="21">
        <f>SUM('4 - RASA - MVT'!N98,'5 - RASA - National Landin'!N98,'6 - RASA - Mosaic'!N98,'7 - RASA - Rockville'!N98)</f>
        <v>9282.4</v>
      </c>
      <c r="O98" s="23">
        <f>IFERROR(N98/N148, "NA")</f>
        <v>0.09066907711</v>
      </c>
      <c r="P98" s="21">
        <f>SUM('4 - RASA - MVT'!P98,'5 - RASA - National Landin'!P98,'6 - RASA - Mosaic'!P98,'7 - RASA - Rockville'!P98)</f>
        <v>4031.11</v>
      </c>
      <c r="Q98" s="23">
        <f>IFERROR(P98/P148, "NA")</f>
        <v>0.08276474757</v>
      </c>
      <c r="R98" s="21">
        <f>SUM('4 - RASA - MVT'!R98,'5 - RASA - National Landin'!R98,'6 - RASA - Mosaic'!R98,'7 - RASA - Rockville'!R98)</f>
        <v>1436.14</v>
      </c>
      <c r="S98" s="23">
        <f>IFERROR(R98/R148, "NA")</f>
        <v>0.02363868987</v>
      </c>
      <c r="T98" s="21">
        <f>SUM('4 - RASA - MVT'!T98,'5 - RASA - National Landin'!T98,'6 - RASA - Mosaic'!T98,'7 - RASA - Rockville'!T98)</f>
        <v>1889.31</v>
      </c>
      <c r="U98" s="23">
        <f>IFERROR(T98/T148, "NA")</f>
        <v>0.02018714225</v>
      </c>
      <c r="V98" s="21">
        <f>SUM('4 - RASA - MVT'!V98,'5 - RASA - National Landin'!V98,'6 - RASA - Mosaic'!V98,'7 - RASA - Rockville'!V98)</f>
        <v>9164.18</v>
      </c>
      <c r="W98" s="23">
        <f>IFERROR(V98/V148, "NA")</f>
        <v>0.08091502465</v>
      </c>
      <c r="X98" s="21">
        <f>SUM('4 - RASA - MVT'!X98,'5 - RASA - National Landin'!X98,'6 - RASA - Mosaic'!X98,'7 - RASA - Rockville'!X98)</f>
        <v>1559.86</v>
      </c>
      <c r="Y98" s="23">
        <f>IFERROR(X98/X148, "NA")</f>
        <v>0.01626412134</v>
      </c>
      <c r="Z98" s="21">
        <f>SUM('4 - RASA - MVT'!Z98,'5 - RASA - National Landin'!Z98,'6 - RASA - Mosaic'!Z98,'7 - RASA - Rockville'!Z98)</f>
        <v>14049.49</v>
      </c>
      <c r="AA98" s="23">
        <f>IFERROR(Z98/Z148, "NA")</f>
        <v>0.03864969408</v>
      </c>
      <c r="AB98" s="28">
        <f t="shared" si="43"/>
        <v>3512.3725</v>
      </c>
      <c r="AC98" s="23">
        <f>IFERROR(AB98/AB148, "NA")</f>
        <v>0.03864969408</v>
      </c>
      <c r="AD98" s="29">
        <f t="shared" si="44"/>
        <v>-1952.5125</v>
      </c>
      <c r="AE98" s="30">
        <f>IFERROR(AD98/AD148, "NA")</f>
        <v>-0.3881017029</v>
      </c>
      <c r="AF98" s="29">
        <f t="shared" si="45"/>
        <v>-0.5558956233</v>
      </c>
      <c r="AG98" s="28">
        <f t="shared" si="46"/>
        <v>4067.40875</v>
      </c>
      <c r="AH98" s="23">
        <f>IFERROR(AG98/AG148, "NA")</f>
        <v>0.0435070967</v>
      </c>
      <c r="AI98" s="29">
        <f t="shared" si="47"/>
        <v>-2507.54875</v>
      </c>
      <c r="AJ98" s="30">
        <f>IFERROR(AI98/AI148, "NA")</f>
        <v>-1.036330264</v>
      </c>
      <c r="AK98" s="29">
        <f t="shared" si="48"/>
        <v>-0.6164978501</v>
      </c>
      <c r="AL98" s="30">
        <f>IFERROR(AK98/AK148, "NA")</f>
        <v>-23.8197982</v>
      </c>
    </row>
    <row r="99" ht="16.5" hidden="1" customHeight="1">
      <c r="A99" s="65" t="s">
        <v>213</v>
      </c>
      <c r="B99" s="66">
        <f>IFERROR(B90+B91+B92+B93+B94+B95+B96+B97+B98, "NA")</f>
        <v>27174.81</v>
      </c>
      <c r="C99" s="67">
        <f>IFERROR(B99/B148, "NA")</f>
        <v>0.1658394774</v>
      </c>
      <c r="D99" s="66">
        <f>IFERROR(D90+D91+D92+D93+D94+D95+D96+D97+D98, "NA")</f>
        <v>33800.16</v>
      </c>
      <c r="E99" s="67">
        <f>IFERROR(D99/D148, "NA")</f>
        <v>0.2238041614</v>
      </c>
      <c r="F99" s="66">
        <f>IFERROR(F90+F91+F92+F93+F94+F95+F96+F97+F98, "NA")</f>
        <v>34284.05</v>
      </c>
      <c r="G99" s="67">
        <f>IFERROR(F99/F148, "NA")</f>
        <v>0.289104843</v>
      </c>
      <c r="H99" s="66">
        <f>IFERROR(H90+H91+H92+H93+H94+H95+H96+H97+H98, "NA")</f>
        <v>16053.07</v>
      </c>
      <c r="I99" s="67">
        <f>IFERROR(H99/H148, "NA")</f>
        <v>0.2526283272</v>
      </c>
      <c r="J99" s="66">
        <f>IFERROR(J90+J91+J92+J93+J94+J95+J96+J97+J98, "NA")</f>
        <v>30175.78</v>
      </c>
      <c r="K99" s="67">
        <f>IFERROR(J99/J148, "NA")</f>
        <v>0.2537453485</v>
      </c>
      <c r="L99" s="66">
        <f>IFERROR(L90+L91+L92+L93+L94+L95+L96+L97+L98, "NA")</f>
        <v>25181.05</v>
      </c>
      <c r="M99" s="67">
        <f>IFERROR(L99/L148, "NA")</f>
        <v>0.2201238866</v>
      </c>
      <c r="N99" s="66">
        <f>IFERROR(N90+N91+N92+N93+N94+N95+N96+N97+N98, "NA")</f>
        <v>32572.79</v>
      </c>
      <c r="O99" s="67">
        <f>IFERROR(N99/N148, "NA")</f>
        <v>0.3181660786</v>
      </c>
      <c r="P99" s="66">
        <f>IFERROR(P90+P91+P92+P93+P94+P95+P96+P97+P98, "NA")</f>
        <v>19114.36</v>
      </c>
      <c r="Q99" s="67">
        <f>IFERROR(P99/P148, "NA")</f>
        <v>0.3924465421</v>
      </c>
      <c r="R99" s="66">
        <f>IFERROR(R90+R91+R92+R93+R94+R95+R96+R97+R98, "NA")</f>
        <v>14550.9</v>
      </c>
      <c r="S99" s="67">
        <f>IFERROR(R99/R148, "NA")</f>
        <v>0.2395060456</v>
      </c>
      <c r="T99" s="66">
        <f>IFERROR(T90+T91+T92+T93+T94+T95+T96+T97+T98, "NA")</f>
        <v>21116.58</v>
      </c>
      <c r="U99" s="67">
        <f>IFERROR(T99/T148, "NA")</f>
        <v>0.2256291473</v>
      </c>
      <c r="V99" s="66">
        <f>IFERROR(V90+V91+V92+V93+V94+V95+V96+V97+V98, "NA")</f>
        <v>30989.92</v>
      </c>
      <c r="W99" s="67">
        <f>IFERROR(V99/V148, "NA")</f>
        <v>0.2736251515</v>
      </c>
      <c r="X99" s="66">
        <f>IFERROR(X90+X91+X92+X93+X94+X95+X96+X97+X98, "NA")</f>
        <v>18135.86</v>
      </c>
      <c r="Y99" s="67">
        <f>IFERROR(X99/X148, "NA")</f>
        <v>0.1890963469</v>
      </c>
      <c r="Z99" s="66">
        <f>IFERROR(Z90+Z91+Z92+Z93+Z94+Z95+Z96+Z97+Z98, "NA")</f>
        <v>84793.26</v>
      </c>
      <c r="AA99" s="67">
        <f>IFERROR(Z99/Z148, "NA")</f>
        <v>0.2332635248</v>
      </c>
      <c r="AB99" s="66">
        <f t="shared" si="43"/>
        <v>21198.315</v>
      </c>
      <c r="AC99" s="67">
        <f>IFERROR(AB99/AB148, "NA")</f>
        <v>0.2332635248</v>
      </c>
      <c r="AD99" s="75">
        <f t="shared" si="44"/>
        <v>-3062.455</v>
      </c>
      <c r="AE99" s="76">
        <f>IFERROR(AD99/AD148, "NA")</f>
        <v>-0.6087254245</v>
      </c>
      <c r="AF99" s="75">
        <f t="shared" si="45"/>
        <v>-0.1444669069</v>
      </c>
      <c r="AG99" s="66">
        <f t="shared" si="46"/>
        <v>23979.655</v>
      </c>
      <c r="AH99" s="67">
        <f>IFERROR(AG99/AG148, "NA")</f>
        <v>0.2564987276</v>
      </c>
      <c r="AI99" s="75">
        <f t="shared" si="47"/>
        <v>-5843.795</v>
      </c>
      <c r="AJ99" s="76">
        <f>IFERROR(AI99/AI148, "NA")</f>
        <v>-2.415148106</v>
      </c>
      <c r="AK99" s="75">
        <f t="shared" si="48"/>
        <v>-0.2436980432</v>
      </c>
      <c r="AL99" s="76">
        <f>IFERROR(AK99/AK148, "NA")</f>
        <v>-9.415828798</v>
      </c>
    </row>
    <row r="100" ht="16.5" hidden="1" customHeight="1">
      <c r="A100" s="123"/>
      <c r="B100" s="124"/>
      <c r="C100" s="74"/>
      <c r="D100" s="124"/>
      <c r="E100" s="74"/>
      <c r="F100" s="124"/>
      <c r="G100" s="74"/>
      <c r="H100" s="124"/>
      <c r="I100" s="74"/>
      <c r="J100" s="124"/>
      <c r="K100" s="74"/>
      <c r="L100" s="124"/>
      <c r="M100" s="74"/>
      <c r="N100" s="124"/>
      <c r="O100" s="74"/>
      <c r="P100" s="124"/>
      <c r="Q100" s="74"/>
      <c r="R100" s="124"/>
      <c r="S100" s="74"/>
      <c r="T100" s="124"/>
      <c r="U100" s="74"/>
      <c r="V100" s="124"/>
      <c r="W100" s="74"/>
      <c r="X100" s="124"/>
      <c r="Y100" s="74"/>
      <c r="Z100" s="124"/>
      <c r="AA100" s="74"/>
      <c r="AB100" s="124"/>
      <c r="AC100" s="74"/>
      <c r="AD100" s="125"/>
      <c r="AE100" s="80"/>
      <c r="AF100" s="125"/>
      <c r="AG100" s="124"/>
      <c r="AH100" s="74"/>
      <c r="AI100" s="125"/>
      <c r="AJ100" s="80"/>
      <c r="AK100" s="125"/>
      <c r="AL100" s="80"/>
    </row>
    <row r="101" ht="16.5" hidden="1" customHeight="1">
      <c r="A101" s="121" t="s">
        <v>214</v>
      </c>
      <c r="B101" s="122">
        <f>IFERROR(B87-B99, "NA")</f>
        <v>59085.09</v>
      </c>
      <c r="C101" s="94">
        <f>IFERROR(B101/B148, "NA")</f>
        <v>0.3605780665</v>
      </c>
      <c r="D101" s="122">
        <f>IFERROR(D87-D99, "NA")</f>
        <v>42441.7</v>
      </c>
      <c r="E101" s="94">
        <f>IFERROR(D101/D148, "NA")</f>
        <v>0.2810231986</v>
      </c>
      <c r="F101" s="122">
        <f>IFERROR(F87-F99, "NA")</f>
        <v>25780.12</v>
      </c>
      <c r="G101" s="94">
        <f>IFERROR(F101/F148, "NA")</f>
        <v>0.2173943144</v>
      </c>
      <c r="H101" s="122">
        <f>IFERROR(H87-H99, "NA")</f>
        <v>3684.25</v>
      </c>
      <c r="I101" s="94">
        <f>IFERROR(H101/H148, "NA")</f>
        <v>0.05797930953</v>
      </c>
      <c r="J101" s="122">
        <f>IFERROR(J87-J99, "NA")</f>
        <v>26075.64</v>
      </c>
      <c r="K101" s="94">
        <f>IFERROR(J101/J148, "NA")</f>
        <v>0.2192676497</v>
      </c>
      <c r="L101" s="122">
        <f>IFERROR(L87-L99, "NA")</f>
        <v>25802.8</v>
      </c>
      <c r="M101" s="94">
        <f>IFERROR(L101/L148, "NA")</f>
        <v>0.2255590066</v>
      </c>
      <c r="N101" s="122">
        <f>IFERROR(N87-N99, "NA")</f>
        <v>7191.72</v>
      </c>
      <c r="O101" s="94">
        <f>IFERROR(N101/N148, "NA")</f>
        <v>0.07024763157</v>
      </c>
      <c r="P101" s="122">
        <f>IFERROR(P87-P99, "NA")</f>
        <v>-7096.54</v>
      </c>
      <c r="Q101" s="94">
        <f>IFERROR(P101/P148, "NA")</f>
        <v>-0.1457026332</v>
      </c>
      <c r="R101" s="122">
        <f>IFERROR(R87-R99, "NA")</f>
        <v>2897.58</v>
      </c>
      <c r="S101" s="94">
        <f>IFERROR(R101/R148, "NA")</f>
        <v>0.04769381466</v>
      </c>
      <c r="T101" s="122">
        <f>IFERROR(T87-T99, "NA")</f>
        <v>18479.79</v>
      </c>
      <c r="U101" s="94">
        <f>IFERROR(T101/T148, "NA")</f>
        <v>0.1974552347</v>
      </c>
      <c r="V101" s="122">
        <f>IFERROR(V87-V99, "NA")</f>
        <v>19251</v>
      </c>
      <c r="W101" s="94">
        <f>IFERROR(V101/V148, "NA")</f>
        <v>0.1699764888</v>
      </c>
      <c r="X101" s="122">
        <f>IFERROR(X87-X99, "NA")</f>
        <v>23750.59</v>
      </c>
      <c r="Y101" s="94">
        <f>IFERROR(X101/X148, "NA")</f>
        <v>0.2476391969</v>
      </c>
      <c r="Z101" s="122">
        <f>IFERROR(Z87-Z99, "NA")</f>
        <v>64378.96</v>
      </c>
      <c r="AA101" s="94">
        <f>IFERROR(Z101/Z148, "NA")</f>
        <v>0.1771044436</v>
      </c>
      <c r="AB101" s="122">
        <f>IFERROR((R101+T101+V101+X101)/4, "NA")</f>
        <v>16094.74</v>
      </c>
      <c r="AC101" s="94">
        <f>IFERROR(AB101/AB148, "NA")</f>
        <v>0.1771044436</v>
      </c>
      <c r="AD101" s="75">
        <f>IFERROR(X101-AB101, "NA")</f>
        <v>7655.85</v>
      </c>
      <c r="AE101" s="76">
        <f>IFERROR(AD101/AD148, "NA")</f>
        <v>1.521756415</v>
      </c>
      <c r="AF101" s="75">
        <f>IFERROR((X101-AB101)/AB101, "NA")</f>
        <v>0.4756740401</v>
      </c>
      <c r="AG101" s="122">
        <f>IFERROR((J101+L101+N101+P101+R101+T101+V101+X101)/8, "NA")</f>
        <v>14544.0725</v>
      </c>
      <c r="AH101" s="94">
        <f>IFERROR(AG101/AG148, "NA")</f>
        <v>0.1555708825</v>
      </c>
      <c r="AI101" s="75">
        <f>IFERROR(X101-AG101, "NA")</f>
        <v>9206.5175</v>
      </c>
      <c r="AJ101" s="76">
        <f>IFERROR(AI101/AI148, "NA")</f>
        <v>3.804908163</v>
      </c>
      <c r="AK101" s="75">
        <f>IFERROR((X101-AG101)/AG101, "NA")</f>
        <v>0.6330082238</v>
      </c>
      <c r="AL101" s="76">
        <f>IFERROR(AK101/AK148, "NA")</f>
        <v>24.45771408</v>
      </c>
    </row>
    <row r="102" ht="3.75" hidden="1" customHeight="1">
      <c r="A102" s="123"/>
      <c r="B102" s="124"/>
      <c r="C102" s="74"/>
      <c r="D102" s="124"/>
      <c r="E102" s="74"/>
      <c r="F102" s="124"/>
      <c r="G102" s="74"/>
      <c r="H102" s="124"/>
      <c r="I102" s="74"/>
      <c r="J102" s="124"/>
      <c r="K102" s="74"/>
      <c r="L102" s="124"/>
      <c r="M102" s="74"/>
      <c r="N102" s="124"/>
      <c r="O102" s="74"/>
      <c r="P102" s="124"/>
      <c r="Q102" s="74"/>
      <c r="R102" s="124"/>
      <c r="S102" s="74"/>
      <c r="T102" s="124"/>
      <c r="U102" s="74"/>
      <c r="V102" s="124"/>
      <c r="W102" s="74"/>
      <c r="X102" s="124"/>
      <c r="Y102" s="74"/>
      <c r="Z102" s="124"/>
      <c r="AA102" s="74"/>
      <c r="AB102" s="124"/>
      <c r="AC102" s="74"/>
      <c r="AD102" s="125"/>
      <c r="AE102" s="80"/>
      <c r="AF102" s="125"/>
      <c r="AG102" s="124"/>
      <c r="AH102" s="74"/>
      <c r="AI102" s="125"/>
      <c r="AJ102" s="80"/>
      <c r="AK102" s="125"/>
      <c r="AL102" s="80"/>
    </row>
    <row r="103" ht="16.5" hidden="1" customHeight="1">
      <c r="A103" s="13" t="s">
        <v>215</v>
      </c>
      <c r="B103" s="14"/>
      <c r="C103" s="12"/>
      <c r="D103" s="14"/>
      <c r="E103" s="12"/>
      <c r="F103" s="14"/>
      <c r="G103" s="12"/>
      <c r="H103" s="14"/>
      <c r="I103" s="12"/>
      <c r="J103" s="14"/>
      <c r="K103" s="12"/>
      <c r="L103" s="14"/>
      <c r="M103" s="12"/>
      <c r="N103" s="14"/>
      <c r="O103" s="12"/>
      <c r="P103" s="14"/>
      <c r="Q103" s="12"/>
      <c r="R103" s="14"/>
      <c r="S103" s="12"/>
      <c r="T103" s="14"/>
      <c r="U103" s="12"/>
      <c r="V103" s="14"/>
      <c r="W103" s="12"/>
      <c r="X103" s="14"/>
      <c r="Y103" s="12"/>
      <c r="Z103" s="14"/>
      <c r="AA103" s="12"/>
      <c r="AB103" s="14"/>
      <c r="AC103" s="12"/>
      <c r="AD103" s="17"/>
      <c r="AE103" s="18"/>
      <c r="AF103" s="17"/>
      <c r="AG103" s="14"/>
      <c r="AH103" s="12"/>
      <c r="AI103" s="17"/>
      <c r="AJ103" s="18"/>
      <c r="AK103" s="17"/>
      <c r="AL103" s="18"/>
    </row>
    <row r="104" ht="16.5" hidden="1" customHeight="1">
      <c r="A104" s="126" t="s">
        <v>216</v>
      </c>
      <c r="B104" s="127">
        <f>SUM('4 - RASA - MVT'!B104,'5 - RASA - National Landin'!B104,'6 - RASA - Mosaic'!B104,'7 - RASA - Rockville'!B104)</f>
        <v>0</v>
      </c>
      <c r="C104" s="94">
        <f>IFERROR(B104/B148, "NA")</f>
        <v>0</v>
      </c>
      <c r="D104" s="127">
        <f>SUM('4 - RASA - MVT'!D104,'5 - RASA - National Landin'!D104,'6 - RASA - Mosaic'!D104,'7 - RASA - Rockville'!D104)</f>
        <v>9668.84</v>
      </c>
      <c r="E104" s="94">
        <f>IFERROR(D104/D148, "NA")</f>
        <v>0.06402119482</v>
      </c>
      <c r="F104" s="127">
        <f>SUM('4 - RASA - MVT'!F104,'5 - RASA - National Landin'!F104,'6 - RASA - Mosaic'!F104,'7 - RASA - Rockville'!F104)</f>
        <v>68512.85</v>
      </c>
      <c r="G104" s="94">
        <f>IFERROR(F104/F148, "NA")</f>
        <v>0.577743783</v>
      </c>
      <c r="H104" s="127">
        <f>SUM('4 - RASA - MVT'!H104,'5 - RASA - National Landin'!H104,'6 - RASA - Mosaic'!H104,'7 - RASA - Rockville'!H104)</f>
        <v>-1864.03</v>
      </c>
      <c r="I104" s="94">
        <f>IFERROR(H104/H148, "NA")</f>
        <v>-0.02933437534</v>
      </c>
      <c r="J104" s="127">
        <f>SUM('4 - RASA - MVT'!J104,'5 - RASA - National Landin'!J104,'6 - RASA - Mosaic'!J104,'7 - RASA - Rockville'!J104)</f>
        <v>0</v>
      </c>
      <c r="K104" s="94">
        <f>IFERROR(J104/J148, "NA")</f>
        <v>0</v>
      </c>
      <c r="L104" s="127">
        <f>SUM('4 - RASA - MVT'!L104,'5 - RASA - National Landin'!L104,'6 - RASA - Mosaic'!L104,'7 - RASA - Rockville'!L104)</f>
        <v>0</v>
      </c>
      <c r="M104" s="94">
        <f>IFERROR(L104/L148, "NA")</f>
        <v>0</v>
      </c>
      <c r="N104" s="127">
        <f>SUM('4 - RASA - MVT'!N104,'5 - RASA - National Landin'!N104,'6 - RASA - Mosaic'!N104,'7 - RASA - Rockville'!N104)</f>
        <v>10384.87</v>
      </c>
      <c r="O104" s="94">
        <f>IFERROR(N104/N148, "NA")</f>
        <v>0.1014378371</v>
      </c>
      <c r="P104" s="127">
        <f>SUM('4 - RASA - MVT'!P104,'5 - RASA - National Landin'!P104,'6 - RASA - Mosaic'!P104,'7 - RASA - Rockville'!P104)</f>
        <v>76967.02</v>
      </c>
      <c r="Q104" s="94">
        <f>IFERROR(P104/P148, "NA")</f>
        <v>1.580248612</v>
      </c>
      <c r="R104" s="127">
        <f>SUM('4 - RASA - MVT'!R104,'5 - RASA - National Landin'!R104,'6 - RASA - Mosaic'!R104,'7 - RASA - Rockville'!R104)</f>
        <v>-5048.92</v>
      </c>
      <c r="S104" s="94">
        <f>IFERROR(R104/R148, "NA")</f>
        <v>-0.08310460961</v>
      </c>
      <c r="T104" s="127">
        <f>SUM('4 - RASA - MVT'!T104,'5 - RASA - National Landin'!T104,'6 - RASA - Mosaic'!T104,'7 - RASA - Rockville'!T104)</f>
        <v>0</v>
      </c>
      <c r="U104" s="94">
        <f>IFERROR(T104/T148, "NA")</f>
        <v>0</v>
      </c>
      <c r="V104" s="127">
        <f>SUM('4 - RASA - MVT'!V104,'5 - RASA - National Landin'!V104,'6 - RASA - Mosaic'!V104,'7 - RASA - Rockville'!V104)</f>
        <v>8128.05</v>
      </c>
      <c r="W104" s="94">
        <f>IFERROR(V104/V148, "NA")</f>
        <v>0.07176652642</v>
      </c>
      <c r="X104" s="127">
        <f>SUM('4 - RASA - MVT'!X104,'5 - RASA - National Landin'!X104,'6 - RASA - Mosaic'!X104,'7 - RASA - Rockville'!X104)</f>
        <v>59944.41</v>
      </c>
      <c r="Y104" s="94">
        <f>IFERROR(X104/X148, "NA")</f>
        <v>0.6250196542</v>
      </c>
      <c r="Z104" s="127">
        <f>SUM('4 - RASA - MVT'!Z104,'5 - RASA - National Landin'!Z104,'6 - RASA - Mosaic'!Z104,'7 - RASA - Rockville'!Z104)</f>
        <v>63023.54</v>
      </c>
      <c r="AA104" s="94">
        <f>IFERROR(Z104/Z148, "NA")</f>
        <v>0.1733757268</v>
      </c>
      <c r="AB104" s="122">
        <f t="shared" ref="AB104:AB105" si="49">IFERROR((R104+T104+V104+X104)/4, "NA")</f>
        <v>15755.885</v>
      </c>
      <c r="AC104" s="94">
        <f>IFERROR(AB104/AB148, "NA")</f>
        <v>0.1733757268</v>
      </c>
      <c r="AD104" s="75">
        <f t="shared" ref="AD104:AD105" si="50">IFERROR(X104-AB104, "NA")</f>
        <v>44188.525</v>
      </c>
      <c r="AE104" s="76">
        <f>IFERROR(AD104/AD148, "NA")</f>
        <v>8.783371067</v>
      </c>
      <c r="AF104" s="75">
        <f t="shared" ref="AF104:AF105" si="51">IFERROR((X104-AB104)/AB104, "NA")</f>
        <v>2.804572704</v>
      </c>
      <c r="AG104" s="122">
        <f t="shared" ref="AG104:AG105" si="52">IFERROR((J104+L104+N104+P104+R104+T104+V104+X104)/8, "NA")</f>
        <v>18796.92875</v>
      </c>
      <c r="AH104" s="94">
        <f>IFERROR(AG104/AG148, "NA")</f>
        <v>0.201061621</v>
      </c>
      <c r="AI104" s="75">
        <f t="shared" ref="AI104:AI105" si="53">IFERROR(X104-AG104, "NA")</f>
        <v>41147.48125</v>
      </c>
      <c r="AJ104" s="76">
        <f>IFERROR(AI104/AI148, "NA")</f>
        <v>17.00560362</v>
      </c>
      <c r="AK104" s="75">
        <f t="shared" ref="AK104:AK105" si="54">IFERROR((X104-AG104)/AG104, "NA")</f>
        <v>2.189053424</v>
      </c>
      <c r="AL104" s="76">
        <f>IFERROR(AK104/AK148, "NA")</f>
        <v>84.57906352</v>
      </c>
    </row>
    <row r="105" ht="16.5" hidden="1" customHeight="1">
      <c r="A105" s="65" t="s">
        <v>217</v>
      </c>
      <c r="B105" s="66">
        <f>IFERROR(B104, "NA")</f>
        <v>0</v>
      </c>
      <c r="C105" s="67">
        <f>IFERROR(B105/B148, "NA")</f>
        <v>0</v>
      </c>
      <c r="D105" s="66">
        <f>IFERROR(D104, "NA")</f>
        <v>9668.84</v>
      </c>
      <c r="E105" s="67">
        <f>IFERROR(D105/D148, "NA")</f>
        <v>0.06402119482</v>
      </c>
      <c r="F105" s="66">
        <f>IFERROR(F104, "NA")</f>
        <v>68512.85</v>
      </c>
      <c r="G105" s="67">
        <f>IFERROR(F105/F148, "NA")</f>
        <v>0.577743783</v>
      </c>
      <c r="H105" s="66">
        <f>IFERROR(H104, "NA")</f>
        <v>-1864.03</v>
      </c>
      <c r="I105" s="67">
        <f>IFERROR(H105/H148, "NA")</f>
        <v>-0.02933437534</v>
      </c>
      <c r="J105" s="66">
        <f>IFERROR(J104, "NA")</f>
        <v>0</v>
      </c>
      <c r="K105" s="67">
        <f>IFERROR(J105/J148, "NA")</f>
        <v>0</v>
      </c>
      <c r="L105" s="66">
        <f>IFERROR(L104, "NA")</f>
        <v>0</v>
      </c>
      <c r="M105" s="67">
        <f>IFERROR(L105/L148, "NA")</f>
        <v>0</v>
      </c>
      <c r="N105" s="66">
        <f>IFERROR(N104, "NA")</f>
        <v>10384.87</v>
      </c>
      <c r="O105" s="67">
        <f>IFERROR(N105/N148, "NA")</f>
        <v>0.1014378371</v>
      </c>
      <c r="P105" s="66">
        <f>IFERROR(P104, "NA")</f>
        <v>76967.02</v>
      </c>
      <c r="Q105" s="67">
        <f>IFERROR(P105/P148, "NA")</f>
        <v>1.580248612</v>
      </c>
      <c r="R105" s="66">
        <f>IFERROR(R104, "NA")</f>
        <v>-5048.92</v>
      </c>
      <c r="S105" s="67">
        <f>IFERROR(R105/R148, "NA")</f>
        <v>-0.08310460961</v>
      </c>
      <c r="T105" s="66">
        <f>IFERROR(T104, "NA")</f>
        <v>0</v>
      </c>
      <c r="U105" s="67">
        <f>IFERROR(T105/T148, "NA")</f>
        <v>0</v>
      </c>
      <c r="V105" s="66">
        <f>IFERROR(V104, "NA")</f>
        <v>8128.05</v>
      </c>
      <c r="W105" s="67">
        <f>IFERROR(V105/V148, "NA")</f>
        <v>0.07176652642</v>
      </c>
      <c r="X105" s="66">
        <f>IFERROR(X104, "NA")</f>
        <v>59944.41</v>
      </c>
      <c r="Y105" s="67">
        <f>IFERROR(X105/X148, "NA")</f>
        <v>0.6250196542</v>
      </c>
      <c r="Z105" s="66">
        <f>IFERROR(Z104, "NA")</f>
        <v>63023.54</v>
      </c>
      <c r="AA105" s="67">
        <f>IFERROR(Z105/Z148, "NA")</f>
        <v>0.1733757268</v>
      </c>
      <c r="AB105" s="66">
        <f t="shared" si="49"/>
        <v>15755.885</v>
      </c>
      <c r="AC105" s="67">
        <f>IFERROR(AB105/AB148, "NA")</f>
        <v>0.1733757268</v>
      </c>
      <c r="AD105" s="75">
        <f t="shared" si="50"/>
        <v>44188.525</v>
      </c>
      <c r="AE105" s="76">
        <f>IFERROR(AD105/AD148, "NA")</f>
        <v>8.783371067</v>
      </c>
      <c r="AF105" s="75">
        <f t="shared" si="51"/>
        <v>2.804572704</v>
      </c>
      <c r="AG105" s="66">
        <f t="shared" si="52"/>
        <v>18796.92875</v>
      </c>
      <c r="AH105" s="67">
        <f>IFERROR(AG105/AG148, "NA")</f>
        <v>0.201061621</v>
      </c>
      <c r="AI105" s="75">
        <f t="shared" si="53"/>
        <v>41147.48125</v>
      </c>
      <c r="AJ105" s="76">
        <f>IFERROR(AI105/AI148, "NA")</f>
        <v>17.00560362</v>
      </c>
      <c r="AK105" s="75">
        <f t="shared" si="54"/>
        <v>2.189053424</v>
      </c>
      <c r="AL105" s="76">
        <f>IFERROR(AK105/AK148, "NA")</f>
        <v>84.57906352</v>
      </c>
    </row>
    <row r="106" ht="16.5" hidden="1" customHeight="1">
      <c r="A106" s="123"/>
      <c r="B106" s="124"/>
      <c r="C106" s="74"/>
      <c r="D106" s="124"/>
      <c r="E106" s="74"/>
      <c r="F106" s="124"/>
      <c r="G106" s="74"/>
      <c r="H106" s="124"/>
      <c r="I106" s="74"/>
      <c r="J106" s="124"/>
      <c r="K106" s="74"/>
      <c r="L106" s="124"/>
      <c r="M106" s="74"/>
      <c r="N106" s="124"/>
      <c r="O106" s="74"/>
      <c r="P106" s="124"/>
      <c r="Q106" s="74"/>
      <c r="R106" s="124"/>
      <c r="S106" s="74"/>
      <c r="T106" s="124"/>
      <c r="U106" s="74"/>
      <c r="V106" s="124"/>
      <c r="W106" s="74"/>
      <c r="X106" s="124"/>
      <c r="Y106" s="74"/>
      <c r="Z106" s="124"/>
      <c r="AA106" s="74"/>
      <c r="AB106" s="124"/>
      <c r="AC106" s="74"/>
      <c r="AD106" s="125"/>
      <c r="AE106" s="80"/>
      <c r="AF106" s="125"/>
      <c r="AG106" s="124"/>
      <c r="AH106" s="74"/>
      <c r="AI106" s="125"/>
      <c r="AJ106" s="80"/>
      <c r="AK106" s="125"/>
      <c r="AL106" s="80"/>
    </row>
    <row r="107" ht="16.5" hidden="1" customHeight="1">
      <c r="A107" s="121" t="s">
        <v>218</v>
      </c>
      <c r="B107" s="122">
        <f>IFERROR(B87-B99-B105, "NA")</f>
        <v>59085.09</v>
      </c>
      <c r="C107" s="94">
        <f>IFERROR(B107/B148, "NA")</f>
        <v>0.3605780665</v>
      </c>
      <c r="D107" s="122">
        <f>IFERROR(D87-D99-D105, "NA")</f>
        <v>32772.86</v>
      </c>
      <c r="E107" s="94">
        <f>IFERROR(D107/D148, "NA")</f>
        <v>0.2170020038</v>
      </c>
      <c r="F107" s="122">
        <f>IFERROR(F87-F99-F105, "NA")</f>
        <v>-42732.73</v>
      </c>
      <c r="G107" s="94">
        <f>IFERROR(F107/F148, "NA")</f>
        <v>-0.3603494686</v>
      </c>
      <c r="H107" s="122">
        <f>IFERROR(H87-H99-H105, "NA")</f>
        <v>5548.28</v>
      </c>
      <c r="I107" s="94">
        <f>IFERROR(H107/H148, "NA")</f>
        <v>0.08731368486</v>
      </c>
      <c r="J107" s="122">
        <f>IFERROR(J87-J99-J105, "NA")</f>
        <v>26075.64</v>
      </c>
      <c r="K107" s="94">
        <f>IFERROR(J107/J148, "NA")</f>
        <v>0.2192676497</v>
      </c>
      <c r="L107" s="122">
        <f>IFERROR(L87-L99-L105, "NA")</f>
        <v>25802.8</v>
      </c>
      <c r="M107" s="94">
        <f>IFERROR(L107/L148, "NA")</f>
        <v>0.2255590066</v>
      </c>
      <c r="N107" s="122">
        <f>IFERROR(N87-N99-N105, "NA")</f>
        <v>-3193.15</v>
      </c>
      <c r="O107" s="94">
        <f>IFERROR(N107/N148, "NA")</f>
        <v>-0.0311902055</v>
      </c>
      <c r="P107" s="122">
        <f>IFERROR(P87-P99-P105, "NA")</f>
        <v>-84063.56</v>
      </c>
      <c r="Q107" s="94">
        <f>IFERROR(P107/P148, "NA")</f>
        <v>-1.725951245</v>
      </c>
      <c r="R107" s="122">
        <f>IFERROR(R87-R99-R105, "NA")</f>
        <v>7946.5</v>
      </c>
      <c r="S107" s="94">
        <f>IFERROR(R107/R148, "NA")</f>
        <v>0.1307984243</v>
      </c>
      <c r="T107" s="122">
        <f>IFERROR(T87-T99-T105, "NA")</f>
        <v>18479.79</v>
      </c>
      <c r="U107" s="94">
        <f>IFERROR(T107/T148, "NA")</f>
        <v>0.1974552347</v>
      </c>
      <c r="V107" s="122">
        <f>IFERROR(V87-V99-V105, "NA")</f>
        <v>11122.95</v>
      </c>
      <c r="W107" s="94">
        <f>IFERROR(V107/V148, "NA")</f>
        <v>0.09820996242</v>
      </c>
      <c r="X107" s="122">
        <f>IFERROR(X87-X99-X105, "NA")</f>
        <v>-36193.82</v>
      </c>
      <c r="Y107" s="94">
        <f>IFERROR(X107/X148, "NA")</f>
        <v>-0.3773804574</v>
      </c>
      <c r="Z107" s="122">
        <f>IFERROR(Z87-Z99-Z105, "NA")</f>
        <v>1355.42</v>
      </c>
      <c r="AA107" s="94">
        <f>IFERROR(Z107/Z148, "NA")</f>
        <v>0.003728716725</v>
      </c>
      <c r="AB107" s="122">
        <f>IFERROR((R107+T107+V107+X107)/4, "NA")</f>
        <v>338.855</v>
      </c>
      <c r="AC107" s="94">
        <f>IFERROR(AB107/AB148, "NA")</f>
        <v>0.003728716725</v>
      </c>
      <c r="AD107" s="75">
        <f>IFERROR(X107-AB107, "NA")</f>
        <v>-36532.675</v>
      </c>
      <c r="AE107" s="76">
        <f>IFERROR(AD107/AD148, "NA")</f>
        <v>-7.261614652</v>
      </c>
      <c r="AF107" s="75">
        <f>IFERROR((X107-AB107)/AB107, "NA")</f>
        <v>-107.8121173</v>
      </c>
      <c r="AG107" s="122">
        <f>IFERROR((J107+L107+N107+P107+R107+T107+V107+X107)/8, "NA")</f>
        <v>-4252.85625</v>
      </c>
      <c r="AH107" s="94">
        <f>IFERROR(AG107/AG148, "NA")</f>
        <v>-0.04549073857</v>
      </c>
      <c r="AI107" s="75">
        <f>IFERROR(X107-AG107, "NA")</f>
        <v>-31940.96375</v>
      </c>
      <c r="AJ107" s="76">
        <f>IFERROR(AI107/AI148, "NA")</f>
        <v>-13.20069545</v>
      </c>
      <c r="AK107" s="75">
        <f>IFERROR((X107-AG107)/AG107, "NA")</f>
        <v>7.510473402</v>
      </c>
      <c r="AL107" s="76">
        <f>IFERROR(AK107/AK148, "NA")</f>
        <v>290.1842412</v>
      </c>
    </row>
    <row r="108" ht="3.75" hidden="1" customHeight="1">
      <c r="A108" s="123"/>
      <c r="B108" s="124"/>
      <c r="C108" s="74"/>
      <c r="D108" s="124"/>
      <c r="E108" s="74"/>
      <c r="F108" s="124"/>
      <c r="G108" s="74"/>
      <c r="H108" s="124"/>
      <c r="I108" s="74"/>
      <c r="J108" s="124"/>
      <c r="K108" s="74"/>
      <c r="L108" s="124"/>
      <c r="M108" s="74"/>
      <c r="N108" s="124"/>
      <c r="O108" s="74"/>
      <c r="P108" s="124"/>
      <c r="Q108" s="74"/>
      <c r="R108" s="124"/>
      <c r="S108" s="74"/>
      <c r="T108" s="124"/>
      <c r="U108" s="74"/>
      <c r="V108" s="124"/>
      <c r="W108" s="74"/>
      <c r="X108" s="124"/>
      <c r="Y108" s="74"/>
      <c r="Z108" s="124"/>
      <c r="AA108" s="74"/>
      <c r="AB108" s="124"/>
      <c r="AC108" s="74"/>
      <c r="AD108" s="125"/>
      <c r="AE108" s="80"/>
      <c r="AF108" s="125"/>
      <c r="AG108" s="124"/>
      <c r="AH108" s="74"/>
      <c r="AI108" s="125"/>
      <c r="AJ108" s="80"/>
      <c r="AK108" s="125"/>
      <c r="AL108" s="80"/>
    </row>
    <row r="109" ht="16.5" hidden="1" customHeight="1">
      <c r="A109" s="13" t="s">
        <v>219</v>
      </c>
      <c r="B109" s="14"/>
      <c r="C109" s="12"/>
      <c r="D109" s="14"/>
      <c r="E109" s="12"/>
      <c r="F109" s="14"/>
      <c r="G109" s="12"/>
      <c r="H109" s="14"/>
      <c r="I109" s="12"/>
      <c r="J109" s="14"/>
      <c r="K109" s="12"/>
      <c r="L109" s="14"/>
      <c r="M109" s="12"/>
      <c r="N109" s="14"/>
      <c r="O109" s="12"/>
      <c r="P109" s="14"/>
      <c r="Q109" s="12"/>
      <c r="R109" s="14"/>
      <c r="S109" s="12"/>
      <c r="T109" s="14"/>
      <c r="U109" s="12"/>
      <c r="V109" s="14"/>
      <c r="W109" s="12"/>
      <c r="X109" s="14"/>
      <c r="Y109" s="12"/>
      <c r="Z109" s="14"/>
      <c r="AA109" s="12"/>
      <c r="AB109" s="14"/>
      <c r="AC109" s="12"/>
      <c r="AD109" s="17"/>
      <c r="AE109" s="18"/>
      <c r="AF109" s="17"/>
      <c r="AG109" s="14"/>
      <c r="AH109" s="12"/>
      <c r="AI109" s="17"/>
      <c r="AJ109" s="18"/>
      <c r="AK109" s="17"/>
      <c r="AL109" s="18"/>
    </row>
    <row r="110" ht="16.5" hidden="1" customHeight="1">
      <c r="A110" s="19" t="s">
        <v>220</v>
      </c>
      <c r="B110" s="21">
        <f>SUM('4 - RASA - MVT'!B110,'5 - RASA - National Landin'!B110,'6 - RASA - Mosaic'!B110,'7 - RASA - Rockville'!B110)</f>
        <v>0</v>
      </c>
      <c r="C110" s="23">
        <f>IFERROR(B110/B148, "NA")</f>
        <v>0</v>
      </c>
      <c r="D110" s="21">
        <f>SUM('4 - RASA - MVT'!D110,'5 - RASA - National Landin'!D110,'6 - RASA - Mosaic'!D110,'7 - RASA - Rockville'!D110)</f>
        <v>0</v>
      </c>
      <c r="E110" s="23">
        <f>IFERROR(D110/D148, "NA")</f>
        <v>0</v>
      </c>
      <c r="F110" s="21">
        <f>SUM('4 - RASA - MVT'!F110,'5 - RASA - National Landin'!F110,'6 - RASA - Mosaic'!F110,'7 - RASA - Rockville'!F110)</f>
        <v>0</v>
      </c>
      <c r="G110" s="23">
        <f>IFERROR(F110/F148, "NA")</f>
        <v>0</v>
      </c>
      <c r="H110" s="21">
        <f>SUM('4 - RASA - MVT'!H110,'5 - RASA - National Landin'!H110,'6 - RASA - Mosaic'!H110,'7 - RASA - Rockville'!H110)</f>
        <v>0</v>
      </c>
      <c r="I110" s="23">
        <f>IFERROR(H110/H148, "NA")</f>
        <v>0</v>
      </c>
      <c r="J110" s="21">
        <f>SUM('4 - RASA - MVT'!J110,'5 - RASA - National Landin'!J110,'6 - RASA - Mosaic'!J110,'7 - RASA - Rockville'!J110)</f>
        <v>0</v>
      </c>
      <c r="K110" s="23">
        <f>IFERROR(J110/J148, "NA")</f>
        <v>0</v>
      </c>
      <c r="L110" s="21">
        <f>SUM('4 - RASA - MVT'!L110,'5 - RASA - National Landin'!L110,'6 - RASA - Mosaic'!L110,'7 - RASA - Rockville'!L110)</f>
        <v>0</v>
      </c>
      <c r="M110" s="23">
        <f>IFERROR(L110/L148, "NA")</f>
        <v>0</v>
      </c>
      <c r="N110" s="21">
        <f>SUM('4 - RASA - MVT'!N110,'5 - RASA - National Landin'!N110,'6 - RASA - Mosaic'!N110,'7 - RASA - Rockville'!N110)</f>
        <v>0</v>
      </c>
      <c r="O110" s="23">
        <f>IFERROR(N110/N148, "NA")</f>
        <v>0</v>
      </c>
      <c r="P110" s="21">
        <f>SUM('4 - RASA - MVT'!P110,'5 - RASA - National Landin'!P110,'6 - RASA - Mosaic'!P110,'7 - RASA - Rockville'!P110)</f>
        <v>0</v>
      </c>
      <c r="Q110" s="23">
        <f>IFERROR(P110/P148, "NA")</f>
        <v>0</v>
      </c>
      <c r="R110" s="21">
        <f>SUM('4 - RASA - MVT'!R110,'5 - RASA - National Landin'!R110,'6 - RASA - Mosaic'!R110,'7 - RASA - Rockville'!R110)</f>
        <v>0</v>
      </c>
      <c r="S110" s="23">
        <f>IFERROR(R110/R148, "NA")</f>
        <v>0</v>
      </c>
      <c r="T110" s="21">
        <f>SUM('4 - RASA - MVT'!T110,'5 - RASA - National Landin'!T110,'6 - RASA - Mosaic'!T110,'7 - RASA - Rockville'!T110)</f>
        <v>0</v>
      </c>
      <c r="U110" s="23">
        <f>IFERROR(T110/T148, "NA")</f>
        <v>0</v>
      </c>
      <c r="V110" s="21">
        <f>SUM('4 - RASA - MVT'!V110,'5 - RASA - National Landin'!V110,'6 - RASA - Mosaic'!V110,'7 - RASA - Rockville'!V110)</f>
        <v>0</v>
      </c>
      <c r="W110" s="23">
        <f>IFERROR(V110/V148, "NA")</f>
        <v>0</v>
      </c>
      <c r="X110" s="21">
        <f>SUM('4 - RASA - MVT'!X110,'5 - RASA - National Landin'!X110,'6 - RASA - Mosaic'!X110,'7 - RASA - Rockville'!X110)</f>
        <v>0</v>
      </c>
      <c r="Y110" s="23">
        <f>IFERROR(X110/X148, "NA")</f>
        <v>0</v>
      </c>
      <c r="Z110" s="21">
        <f>SUM('4 - RASA - MVT'!Z110,'5 - RASA - National Landin'!Z110,'6 - RASA - Mosaic'!Z110,'7 - RASA - Rockville'!Z110)</f>
        <v>0</v>
      </c>
      <c r="AA110" s="23">
        <f>IFERROR(Z110/Z148, "NA")</f>
        <v>0</v>
      </c>
      <c r="AB110" s="28">
        <f t="shared" ref="AB110:AB135" si="55">IFERROR((R110+T110+V110+X110)/4, "NA")</f>
        <v>0</v>
      </c>
      <c r="AC110" s="23">
        <f>IFERROR(AB110/AB148, "NA")</f>
        <v>0</v>
      </c>
      <c r="AD110" s="29">
        <f t="shared" ref="AD110:AD135" si="56">IFERROR(X110-AB110, "NA")</f>
        <v>0</v>
      </c>
      <c r="AE110" s="30">
        <f>IFERROR(AD110/AD148, "NA")</f>
        <v>0</v>
      </c>
      <c r="AF110" s="29" t="str">
        <f t="shared" ref="AF110:AF135" si="57">IFERROR((X110-AB110)/AB110, "NA")</f>
        <v>NA</v>
      </c>
      <c r="AG110" s="28">
        <f t="shared" ref="AG110:AG135" si="58">IFERROR((J110+L110+N110+P110+R110+T110+V110+X110)/8, "NA")</f>
        <v>0</v>
      </c>
      <c r="AH110" s="23">
        <f>IFERROR(AG110/AG148, "NA")</f>
        <v>0</v>
      </c>
      <c r="AI110" s="29">
        <f t="shared" ref="AI110:AI135" si="59">IFERROR(X110-AG110, "NA")</f>
        <v>0</v>
      </c>
      <c r="AJ110" s="30">
        <f>IFERROR(AI110/AI148, "NA")</f>
        <v>0</v>
      </c>
      <c r="AK110" s="29" t="str">
        <f t="shared" ref="AK110:AK135" si="60">IFERROR((X110-AG110)/AG110, "NA")</f>
        <v>NA</v>
      </c>
      <c r="AL110" s="30" t="str">
        <f>IFERROR(AK110/AK148, "NA")</f>
        <v>NA</v>
      </c>
    </row>
    <row r="111" ht="16.5" hidden="1" customHeight="1">
      <c r="A111" s="19" t="s">
        <v>221</v>
      </c>
      <c r="B111" s="21">
        <f>SUM('4 - RASA - MVT'!B111,'5 - RASA - National Landin'!B111,'6 - RASA - Mosaic'!B111,'7 - RASA - Rockville'!B111)</f>
        <v>0</v>
      </c>
      <c r="C111" s="23">
        <f>IFERROR(B111/B148, "NA")</f>
        <v>0</v>
      </c>
      <c r="D111" s="21">
        <f>SUM('4 - RASA - MVT'!D111,'5 - RASA - National Landin'!D111,'6 - RASA - Mosaic'!D111,'7 - RASA - Rockville'!D111)</f>
        <v>0</v>
      </c>
      <c r="E111" s="23">
        <f>IFERROR(D111/D148, "NA")</f>
        <v>0</v>
      </c>
      <c r="F111" s="21">
        <f>SUM('4 - RASA - MVT'!F111,'5 - RASA - National Landin'!F111,'6 - RASA - Mosaic'!F111,'7 - RASA - Rockville'!F111)</f>
        <v>0</v>
      </c>
      <c r="G111" s="23">
        <f>IFERROR(F111/F148, "NA")</f>
        <v>0</v>
      </c>
      <c r="H111" s="21">
        <f>SUM('4 - RASA - MVT'!H111,'5 - RASA - National Landin'!H111,'6 - RASA - Mosaic'!H111,'7 - RASA - Rockville'!H111)</f>
        <v>0</v>
      </c>
      <c r="I111" s="23">
        <f>IFERROR(H111/H148, "NA")</f>
        <v>0</v>
      </c>
      <c r="J111" s="21">
        <f>SUM('4 - RASA - MVT'!J111,'5 - RASA - National Landin'!J111,'6 - RASA - Mosaic'!J111,'7 - RASA - Rockville'!J111)</f>
        <v>0</v>
      </c>
      <c r="K111" s="23">
        <f>IFERROR(J111/J148, "NA")</f>
        <v>0</v>
      </c>
      <c r="L111" s="21">
        <f>SUM('4 - RASA - MVT'!L111,'5 - RASA - National Landin'!L111,'6 - RASA - Mosaic'!L111,'7 - RASA - Rockville'!L111)</f>
        <v>0</v>
      </c>
      <c r="M111" s="23">
        <f>IFERROR(L111/L148, "NA")</f>
        <v>0</v>
      </c>
      <c r="N111" s="21">
        <f>SUM('4 - RASA - MVT'!N111,'5 - RASA - National Landin'!N111,'6 - RASA - Mosaic'!N111,'7 - RASA - Rockville'!N111)</f>
        <v>0</v>
      </c>
      <c r="O111" s="23">
        <f>IFERROR(N111/N148, "NA")</f>
        <v>0</v>
      </c>
      <c r="P111" s="21">
        <f>SUM('4 - RASA - MVT'!P111,'5 - RASA - National Landin'!P111,'6 - RASA - Mosaic'!P111,'7 - RASA - Rockville'!P111)</f>
        <v>0</v>
      </c>
      <c r="Q111" s="23">
        <f>IFERROR(P111/P148, "NA")</f>
        <v>0</v>
      </c>
      <c r="R111" s="21">
        <f>SUM('4 - RASA - MVT'!R111,'5 - RASA - National Landin'!R111,'6 - RASA - Mosaic'!R111,'7 - RASA - Rockville'!R111)</f>
        <v>0</v>
      </c>
      <c r="S111" s="23">
        <f>IFERROR(R111/R148, "NA")</f>
        <v>0</v>
      </c>
      <c r="T111" s="21">
        <f>SUM('4 - RASA - MVT'!T111,'5 - RASA - National Landin'!T111,'6 - RASA - Mosaic'!T111,'7 - RASA - Rockville'!T111)</f>
        <v>0</v>
      </c>
      <c r="U111" s="23">
        <f>IFERROR(T111/T148, "NA")</f>
        <v>0</v>
      </c>
      <c r="V111" s="21">
        <f>SUM('4 - RASA - MVT'!V111,'5 - RASA - National Landin'!V111,'6 - RASA - Mosaic'!V111,'7 - RASA - Rockville'!V111)</f>
        <v>0</v>
      </c>
      <c r="W111" s="23">
        <f>IFERROR(V111/V148, "NA")</f>
        <v>0</v>
      </c>
      <c r="X111" s="21">
        <f>SUM('4 - RASA - MVT'!X111,'5 - RASA - National Landin'!X111,'6 - RASA - Mosaic'!X111,'7 - RASA - Rockville'!X111)</f>
        <v>0</v>
      </c>
      <c r="Y111" s="23">
        <f>IFERROR(X111/X148, "NA")</f>
        <v>0</v>
      </c>
      <c r="Z111" s="21">
        <f>SUM('4 - RASA - MVT'!Z111,'5 - RASA - National Landin'!Z111,'6 - RASA - Mosaic'!Z111,'7 - RASA - Rockville'!Z111)</f>
        <v>0</v>
      </c>
      <c r="AA111" s="23">
        <f>IFERROR(Z111/Z148, "NA")</f>
        <v>0</v>
      </c>
      <c r="AB111" s="28">
        <f t="shared" si="55"/>
        <v>0</v>
      </c>
      <c r="AC111" s="23">
        <f>IFERROR(AB111/AB148, "NA")</f>
        <v>0</v>
      </c>
      <c r="AD111" s="29">
        <f t="shared" si="56"/>
        <v>0</v>
      </c>
      <c r="AE111" s="30">
        <f>IFERROR(AD111/AD148, "NA")</f>
        <v>0</v>
      </c>
      <c r="AF111" s="29" t="str">
        <f t="shared" si="57"/>
        <v>NA</v>
      </c>
      <c r="AG111" s="28">
        <f t="shared" si="58"/>
        <v>0</v>
      </c>
      <c r="AH111" s="23">
        <f>IFERROR(AG111/AG148, "NA")</f>
        <v>0</v>
      </c>
      <c r="AI111" s="29">
        <f t="shared" si="59"/>
        <v>0</v>
      </c>
      <c r="AJ111" s="30">
        <f>IFERROR(AI111/AI148, "NA")</f>
        <v>0</v>
      </c>
      <c r="AK111" s="29" t="str">
        <f t="shared" si="60"/>
        <v>NA</v>
      </c>
      <c r="AL111" s="30" t="str">
        <f>IFERROR(AK111/AK148, "NA")</f>
        <v>NA</v>
      </c>
    </row>
    <row r="112" ht="16.5" hidden="1" customHeight="1">
      <c r="A112" s="19" t="s">
        <v>222</v>
      </c>
      <c r="B112" s="21">
        <f>SUM('4 - RASA - MVT'!B112,'5 - RASA - National Landin'!B112,'6 - RASA - Mosaic'!B112,'7 - RASA - Rockville'!B112)</f>
        <v>0</v>
      </c>
      <c r="C112" s="23">
        <f>IFERROR(B112/B148, "NA")</f>
        <v>0</v>
      </c>
      <c r="D112" s="21">
        <f>SUM('4 - RASA - MVT'!D112,'5 - RASA - National Landin'!D112,'6 - RASA - Mosaic'!D112,'7 - RASA - Rockville'!D112)</f>
        <v>0</v>
      </c>
      <c r="E112" s="23">
        <f>IFERROR(D112/D148, "NA")</f>
        <v>0</v>
      </c>
      <c r="F112" s="21">
        <f>SUM('4 - RASA - MVT'!F112,'5 - RASA - National Landin'!F112,'6 - RASA - Mosaic'!F112,'7 - RASA - Rockville'!F112)</f>
        <v>0</v>
      </c>
      <c r="G112" s="23">
        <f>IFERROR(F112/F148, "NA")</f>
        <v>0</v>
      </c>
      <c r="H112" s="21">
        <f>SUM('4 - RASA - MVT'!H112,'5 - RASA - National Landin'!H112,'6 - RASA - Mosaic'!H112,'7 - RASA - Rockville'!H112)</f>
        <v>0</v>
      </c>
      <c r="I112" s="23">
        <f>IFERROR(H112/H148, "NA")</f>
        <v>0</v>
      </c>
      <c r="J112" s="21">
        <f>SUM('4 - RASA - MVT'!J112,'5 - RASA - National Landin'!J112,'6 - RASA - Mosaic'!J112,'7 - RASA - Rockville'!J112)</f>
        <v>0</v>
      </c>
      <c r="K112" s="23">
        <f>IFERROR(J112/J148, "NA")</f>
        <v>0</v>
      </c>
      <c r="L112" s="21">
        <f>SUM('4 - RASA - MVT'!L112,'5 - RASA - National Landin'!L112,'6 - RASA - Mosaic'!L112,'7 - RASA - Rockville'!L112)</f>
        <v>0</v>
      </c>
      <c r="M112" s="23">
        <f>IFERROR(L112/L148, "NA")</f>
        <v>0</v>
      </c>
      <c r="N112" s="21">
        <f>SUM('4 - RASA - MVT'!N112,'5 - RASA - National Landin'!N112,'6 - RASA - Mosaic'!N112,'7 - RASA - Rockville'!N112)</f>
        <v>0</v>
      </c>
      <c r="O112" s="23">
        <f>IFERROR(N112/N148, "NA")</f>
        <v>0</v>
      </c>
      <c r="P112" s="21">
        <f>SUM('4 - RASA - MVT'!P112,'5 - RASA - National Landin'!P112,'6 - RASA - Mosaic'!P112,'7 - RASA - Rockville'!P112)</f>
        <v>0</v>
      </c>
      <c r="Q112" s="23">
        <f>IFERROR(P112/P148, "NA")</f>
        <v>0</v>
      </c>
      <c r="R112" s="21">
        <f>SUM('4 - RASA - MVT'!R112,'5 - RASA - National Landin'!R112,'6 - RASA - Mosaic'!R112,'7 - RASA - Rockville'!R112)</f>
        <v>0</v>
      </c>
      <c r="S112" s="23">
        <f>IFERROR(R112/R148, "NA")</f>
        <v>0</v>
      </c>
      <c r="T112" s="21">
        <f>SUM('4 - RASA - MVT'!T112,'5 - RASA - National Landin'!T112,'6 - RASA - Mosaic'!T112,'7 - RASA - Rockville'!T112)</f>
        <v>0</v>
      </c>
      <c r="U112" s="23">
        <f>IFERROR(T112/T148, "NA")</f>
        <v>0</v>
      </c>
      <c r="V112" s="21">
        <f>SUM('4 - RASA - MVT'!V112,'5 - RASA - National Landin'!V112,'6 - RASA - Mosaic'!V112,'7 - RASA - Rockville'!V112)</f>
        <v>0</v>
      </c>
      <c r="W112" s="23">
        <f>IFERROR(V112/V148, "NA")</f>
        <v>0</v>
      </c>
      <c r="X112" s="21">
        <f>SUM('4 - RASA - MVT'!X112,'5 - RASA - National Landin'!X112,'6 - RASA - Mosaic'!X112,'7 - RASA - Rockville'!X112)</f>
        <v>0</v>
      </c>
      <c r="Y112" s="23">
        <f>IFERROR(X112/X148, "NA")</f>
        <v>0</v>
      </c>
      <c r="Z112" s="21">
        <f>SUM('4 - RASA - MVT'!Z112,'5 - RASA - National Landin'!Z112,'6 - RASA - Mosaic'!Z112,'7 - RASA - Rockville'!Z112)</f>
        <v>0</v>
      </c>
      <c r="AA112" s="23">
        <f>IFERROR(Z112/Z148, "NA")</f>
        <v>0</v>
      </c>
      <c r="AB112" s="28">
        <f t="shared" si="55"/>
        <v>0</v>
      </c>
      <c r="AC112" s="23">
        <f>IFERROR(AB112/AB148, "NA")</f>
        <v>0</v>
      </c>
      <c r="AD112" s="29">
        <f t="shared" si="56"/>
        <v>0</v>
      </c>
      <c r="AE112" s="30">
        <f>IFERROR(AD112/AD148, "NA")</f>
        <v>0</v>
      </c>
      <c r="AF112" s="29" t="str">
        <f t="shared" si="57"/>
        <v>NA</v>
      </c>
      <c r="AG112" s="28">
        <f t="shared" si="58"/>
        <v>0</v>
      </c>
      <c r="AH112" s="23">
        <f>IFERROR(AG112/AG148, "NA")</f>
        <v>0</v>
      </c>
      <c r="AI112" s="29">
        <f t="shared" si="59"/>
        <v>0</v>
      </c>
      <c r="AJ112" s="30">
        <f>IFERROR(AI112/AI148, "NA")</f>
        <v>0</v>
      </c>
      <c r="AK112" s="29" t="str">
        <f t="shared" si="60"/>
        <v>NA</v>
      </c>
      <c r="AL112" s="30" t="str">
        <f>IFERROR(AK112/AK148, "NA")</f>
        <v>NA</v>
      </c>
    </row>
    <row r="113" ht="16.5" hidden="1" customHeight="1">
      <c r="A113" s="19" t="s">
        <v>223</v>
      </c>
      <c r="B113" s="21">
        <f>SUM('4 - RASA - MVT'!B113,'5 - RASA - National Landin'!B113,'6 - RASA - Mosaic'!B113,'7 - RASA - Rockville'!B113)</f>
        <v>0</v>
      </c>
      <c r="C113" s="23">
        <f>IFERROR(B113/B148, "NA")</f>
        <v>0</v>
      </c>
      <c r="D113" s="21">
        <f>SUM('4 - RASA - MVT'!D113,'5 - RASA - National Landin'!D113,'6 - RASA - Mosaic'!D113,'7 - RASA - Rockville'!D113)</f>
        <v>0</v>
      </c>
      <c r="E113" s="23">
        <f>IFERROR(D113/D148, "NA")</f>
        <v>0</v>
      </c>
      <c r="F113" s="21">
        <f>SUM('4 - RASA - MVT'!F113,'5 - RASA - National Landin'!F113,'6 - RASA - Mosaic'!F113,'7 - RASA - Rockville'!F113)</f>
        <v>0</v>
      </c>
      <c r="G113" s="23">
        <f>IFERROR(F113/F148, "NA")</f>
        <v>0</v>
      </c>
      <c r="H113" s="21">
        <f>SUM('4 - RASA - MVT'!H113,'5 - RASA - National Landin'!H113,'6 - RASA - Mosaic'!H113,'7 - RASA - Rockville'!H113)</f>
        <v>0</v>
      </c>
      <c r="I113" s="23">
        <f>IFERROR(H113/H148, "NA")</f>
        <v>0</v>
      </c>
      <c r="J113" s="21">
        <f>SUM('4 - RASA - MVT'!J113,'5 - RASA - National Landin'!J113,'6 - RASA - Mosaic'!J113,'7 - RASA - Rockville'!J113)</f>
        <v>0</v>
      </c>
      <c r="K113" s="23">
        <f>IFERROR(J113/J148, "NA")</f>
        <v>0</v>
      </c>
      <c r="L113" s="21">
        <f>SUM('4 - RASA - MVT'!L113,'5 - RASA - National Landin'!L113,'6 - RASA - Mosaic'!L113,'7 - RASA - Rockville'!L113)</f>
        <v>0</v>
      </c>
      <c r="M113" s="23">
        <f>IFERROR(L113/L148, "NA")</f>
        <v>0</v>
      </c>
      <c r="N113" s="21">
        <f>SUM('4 - RASA - MVT'!N113,'5 - RASA - National Landin'!N113,'6 - RASA - Mosaic'!N113,'7 - RASA - Rockville'!N113)</f>
        <v>0</v>
      </c>
      <c r="O113" s="23">
        <f>IFERROR(N113/N148, "NA")</f>
        <v>0</v>
      </c>
      <c r="P113" s="21">
        <f>SUM('4 - RASA - MVT'!P113,'5 - RASA - National Landin'!P113,'6 - RASA - Mosaic'!P113,'7 - RASA - Rockville'!P113)</f>
        <v>0</v>
      </c>
      <c r="Q113" s="23">
        <f>IFERROR(P113/P148, "NA")</f>
        <v>0</v>
      </c>
      <c r="R113" s="21">
        <f>SUM('4 - RASA - MVT'!R113,'5 - RASA - National Landin'!R113,'6 - RASA - Mosaic'!R113,'7 - RASA - Rockville'!R113)</f>
        <v>0</v>
      </c>
      <c r="S113" s="23">
        <f>IFERROR(R113/R148, "NA")</f>
        <v>0</v>
      </c>
      <c r="T113" s="21">
        <f>SUM('4 - RASA - MVT'!T113,'5 - RASA - National Landin'!T113,'6 - RASA - Mosaic'!T113,'7 - RASA - Rockville'!T113)</f>
        <v>0</v>
      </c>
      <c r="U113" s="23">
        <f>IFERROR(T113/T148, "NA")</f>
        <v>0</v>
      </c>
      <c r="V113" s="21">
        <f>SUM('4 - RASA - MVT'!V113,'5 - RASA - National Landin'!V113,'6 - RASA - Mosaic'!V113,'7 - RASA - Rockville'!V113)</f>
        <v>0</v>
      </c>
      <c r="W113" s="23">
        <f>IFERROR(V113/V148, "NA")</f>
        <v>0</v>
      </c>
      <c r="X113" s="21">
        <f>SUM('4 - RASA - MVT'!X113,'5 - RASA - National Landin'!X113,'6 - RASA - Mosaic'!X113,'7 - RASA - Rockville'!X113)</f>
        <v>0</v>
      </c>
      <c r="Y113" s="23">
        <f>IFERROR(X113/X148, "NA")</f>
        <v>0</v>
      </c>
      <c r="Z113" s="21">
        <f>SUM('4 - RASA - MVT'!Z113,'5 - RASA - National Landin'!Z113,'6 - RASA - Mosaic'!Z113,'7 - RASA - Rockville'!Z113)</f>
        <v>0</v>
      </c>
      <c r="AA113" s="23">
        <f>IFERROR(Z113/Z148, "NA")</f>
        <v>0</v>
      </c>
      <c r="AB113" s="28">
        <f t="shared" si="55"/>
        <v>0</v>
      </c>
      <c r="AC113" s="23">
        <f>IFERROR(AB113/AB148, "NA")</f>
        <v>0</v>
      </c>
      <c r="AD113" s="29">
        <f t="shared" si="56"/>
        <v>0</v>
      </c>
      <c r="AE113" s="30">
        <f>IFERROR(AD113/AD148, "NA")</f>
        <v>0</v>
      </c>
      <c r="AF113" s="29" t="str">
        <f t="shared" si="57"/>
        <v>NA</v>
      </c>
      <c r="AG113" s="28">
        <f t="shared" si="58"/>
        <v>0</v>
      </c>
      <c r="AH113" s="23">
        <f>IFERROR(AG113/AG148, "NA")</f>
        <v>0</v>
      </c>
      <c r="AI113" s="29">
        <f t="shared" si="59"/>
        <v>0</v>
      </c>
      <c r="AJ113" s="30">
        <f>IFERROR(AI113/AI148, "NA")</f>
        <v>0</v>
      </c>
      <c r="AK113" s="29" t="str">
        <f t="shared" si="60"/>
        <v>NA</v>
      </c>
      <c r="AL113" s="30" t="str">
        <f>IFERROR(AK113/AK148, "NA")</f>
        <v>NA</v>
      </c>
    </row>
    <row r="114" ht="16.5" hidden="1" customHeight="1">
      <c r="A114" s="19" t="s">
        <v>224</v>
      </c>
      <c r="B114" s="21">
        <f>SUM('4 - RASA - MVT'!B114,'5 - RASA - National Landin'!B114,'6 - RASA - Mosaic'!B114,'7 - RASA - Rockville'!B114)</f>
        <v>0</v>
      </c>
      <c r="C114" s="23">
        <f>IFERROR(B114/B148, "NA")</f>
        <v>0</v>
      </c>
      <c r="D114" s="21">
        <f>SUM('4 - RASA - MVT'!D114,'5 - RASA - National Landin'!D114,'6 - RASA - Mosaic'!D114,'7 - RASA - Rockville'!D114)</f>
        <v>0</v>
      </c>
      <c r="E114" s="23">
        <f>IFERROR(D114/D148, "NA")</f>
        <v>0</v>
      </c>
      <c r="F114" s="21">
        <f>SUM('4 - RASA - MVT'!F114,'5 - RASA - National Landin'!F114,'6 - RASA - Mosaic'!F114,'7 - RASA - Rockville'!F114)</f>
        <v>0</v>
      </c>
      <c r="G114" s="23">
        <f>IFERROR(F114/F148, "NA")</f>
        <v>0</v>
      </c>
      <c r="H114" s="21">
        <f>SUM('4 - RASA - MVT'!H114,'5 - RASA - National Landin'!H114,'6 - RASA - Mosaic'!H114,'7 - RASA - Rockville'!H114)</f>
        <v>0</v>
      </c>
      <c r="I114" s="23">
        <f>IFERROR(H114/H148, "NA")</f>
        <v>0</v>
      </c>
      <c r="J114" s="21">
        <f>SUM('4 - RASA - MVT'!J114,'5 - RASA - National Landin'!J114,'6 - RASA - Mosaic'!J114,'7 - RASA - Rockville'!J114)</f>
        <v>0</v>
      </c>
      <c r="K114" s="23">
        <f>IFERROR(J114/J148, "NA")</f>
        <v>0</v>
      </c>
      <c r="L114" s="21">
        <f>SUM('4 - RASA - MVT'!L114,'5 - RASA - National Landin'!L114,'6 - RASA - Mosaic'!L114,'7 - RASA - Rockville'!L114)</f>
        <v>0</v>
      </c>
      <c r="M114" s="23">
        <f>IFERROR(L114/L148, "NA")</f>
        <v>0</v>
      </c>
      <c r="N114" s="21">
        <f>SUM('4 - RASA - MVT'!N114,'5 - RASA - National Landin'!N114,'6 - RASA - Mosaic'!N114,'7 - RASA - Rockville'!N114)</f>
        <v>0</v>
      </c>
      <c r="O114" s="23">
        <f>IFERROR(N114/N148, "NA")</f>
        <v>0</v>
      </c>
      <c r="P114" s="21">
        <f>SUM('4 - RASA - MVT'!P114,'5 - RASA - National Landin'!P114,'6 - RASA - Mosaic'!P114,'7 - RASA - Rockville'!P114)</f>
        <v>0</v>
      </c>
      <c r="Q114" s="23">
        <f>IFERROR(P114/P148, "NA")</f>
        <v>0</v>
      </c>
      <c r="R114" s="21">
        <f>SUM('4 - RASA - MVT'!R114,'5 - RASA - National Landin'!R114,'6 - RASA - Mosaic'!R114,'7 - RASA - Rockville'!R114)</f>
        <v>0</v>
      </c>
      <c r="S114" s="23">
        <f>IFERROR(R114/R148, "NA")</f>
        <v>0</v>
      </c>
      <c r="T114" s="21">
        <f>SUM('4 - RASA - MVT'!T114,'5 - RASA - National Landin'!T114,'6 - RASA - Mosaic'!T114,'7 - RASA - Rockville'!T114)</f>
        <v>0</v>
      </c>
      <c r="U114" s="23">
        <f>IFERROR(T114/T148, "NA")</f>
        <v>0</v>
      </c>
      <c r="V114" s="21">
        <f>SUM('4 - RASA - MVT'!V114,'5 - RASA - National Landin'!V114,'6 - RASA - Mosaic'!V114,'7 - RASA - Rockville'!V114)</f>
        <v>0</v>
      </c>
      <c r="W114" s="23">
        <f>IFERROR(V114/V148, "NA")</f>
        <v>0</v>
      </c>
      <c r="X114" s="21">
        <f>SUM('4 - RASA - MVT'!X114,'5 - RASA - National Landin'!X114,'6 - RASA - Mosaic'!X114,'7 - RASA - Rockville'!X114)</f>
        <v>0</v>
      </c>
      <c r="Y114" s="23">
        <f>IFERROR(X114/X148, "NA")</f>
        <v>0</v>
      </c>
      <c r="Z114" s="21">
        <f>SUM('4 - RASA - MVT'!Z114,'5 - RASA - National Landin'!Z114,'6 - RASA - Mosaic'!Z114,'7 - RASA - Rockville'!Z114)</f>
        <v>0</v>
      </c>
      <c r="AA114" s="23">
        <f>IFERROR(Z114/Z148, "NA")</f>
        <v>0</v>
      </c>
      <c r="AB114" s="28">
        <f t="shared" si="55"/>
        <v>0</v>
      </c>
      <c r="AC114" s="23">
        <f>IFERROR(AB114/AB148, "NA")</f>
        <v>0</v>
      </c>
      <c r="AD114" s="29">
        <f t="shared" si="56"/>
        <v>0</v>
      </c>
      <c r="AE114" s="30">
        <f>IFERROR(AD114/AD148, "NA")</f>
        <v>0</v>
      </c>
      <c r="AF114" s="29" t="str">
        <f t="shared" si="57"/>
        <v>NA</v>
      </c>
      <c r="AG114" s="28">
        <f t="shared" si="58"/>
        <v>0</v>
      </c>
      <c r="AH114" s="23">
        <f>IFERROR(AG114/AG148, "NA")</f>
        <v>0</v>
      </c>
      <c r="AI114" s="29">
        <f t="shared" si="59"/>
        <v>0</v>
      </c>
      <c r="AJ114" s="30">
        <f>IFERROR(AI114/AI148, "NA")</f>
        <v>0</v>
      </c>
      <c r="AK114" s="29" t="str">
        <f t="shared" si="60"/>
        <v>NA</v>
      </c>
      <c r="AL114" s="30" t="str">
        <f>IFERROR(AK114/AK148, "NA")</f>
        <v>NA</v>
      </c>
    </row>
    <row r="115" ht="16.5" hidden="1" customHeight="1">
      <c r="A115" s="19" t="s">
        <v>225</v>
      </c>
      <c r="B115" s="21">
        <f>SUM('4 - RASA - MVT'!B115,'5 - RASA - National Landin'!B115,'6 - RASA - Mosaic'!B115,'7 - RASA - Rockville'!B115)</f>
        <v>0</v>
      </c>
      <c r="C115" s="23">
        <f>IFERROR(B115/B148, "NA")</f>
        <v>0</v>
      </c>
      <c r="D115" s="21">
        <f>SUM('4 - RASA - MVT'!D115,'5 - RASA - National Landin'!D115,'6 - RASA - Mosaic'!D115,'7 - RASA - Rockville'!D115)</f>
        <v>0</v>
      </c>
      <c r="E115" s="23">
        <f>IFERROR(D115/D148, "NA")</f>
        <v>0</v>
      </c>
      <c r="F115" s="21">
        <f>SUM('4 - RASA - MVT'!F115,'5 - RASA - National Landin'!F115,'6 - RASA - Mosaic'!F115,'7 - RASA - Rockville'!F115)</f>
        <v>0</v>
      </c>
      <c r="G115" s="23">
        <f>IFERROR(F115/F148, "NA")</f>
        <v>0</v>
      </c>
      <c r="H115" s="21">
        <f>SUM('4 - RASA - MVT'!H115,'5 - RASA - National Landin'!H115,'6 - RASA - Mosaic'!H115,'7 - RASA - Rockville'!H115)</f>
        <v>0</v>
      </c>
      <c r="I115" s="23">
        <f>IFERROR(H115/H148, "NA")</f>
        <v>0</v>
      </c>
      <c r="J115" s="21">
        <f>SUM('4 - RASA - MVT'!J115,'5 - RASA - National Landin'!J115,'6 - RASA - Mosaic'!J115,'7 - RASA - Rockville'!J115)</f>
        <v>0</v>
      </c>
      <c r="K115" s="23">
        <f>IFERROR(J115/J148, "NA")</f>
        <v>0</v>
      </c>
      <c r="L115" s="21">
        <f>SUM('4 - RASA - MVT'!L115,'5 - RASA - National Landin'!L115,'6 - RASA - Mosaic'!L115,'7 - RASA - Rockville'!L115)</f>
        <v>0</v>
      </c>
      <c r="M115" s="23">
        <f>IFERROR(L115/L148, "NA")</f>
        <v>0</v>
      </c>
      <c r="N115" s="21">
        <f>SUM('4 - RASA - MVT'!N115,'5 - RASA - National Landin'!N115,'6 - RASA - Mosaic'!N115,'7 - RASA - Rockville'!N115)</f>
        <v>0</v>
      </c>
      <c r="O115" s="23">
        <f>IFERROR(N115/N148, "NA")</f>
        <v>0</v>
      </c>
      <c r="P115" s="21">
        <f>SUM('4 - RASA - MVT'!P115,'5 - RASA - National Landin'!P115,'6 - RASA - Mosaic'!P115,'7 - RASA - Rockville'!P115)</f>
        <v>0</v>
      </c>
      <c r="Q115" s="23">
        <f>IFERROR(P115/P148, "NA")</f>
        <v>0</v>
      </c>
      <c r="R115" s="21">
        <f>SUM('4 - RASA - MVT'!R115,'5 - RASA - National Landin'!R115,'6 - RASA - Mosaic'!R115,'7 - RASA - Rockville'!R115)</f>
        <v>0</v>
      </c>
      <c r="S115" s="23">
        <f>IFERROR(R115/R148, "NA")</f>
        <v>0</v>
      </c>
      <c r="T115" s="21">
        <f>SUM('4 - RASA - MVT'!T115,'5 - RASA - National Landin'!T115,'6 - RASA - Mosaic'!T115,'7 - RASA - Rockville'!T115)</f>
        <v>0</v>
      </c>
      <c r="U115" s="23">
        <f>IFERROR(T115/T148, "NA")</f>
        <v>0</v>
      </c>
      <c r="V115" s="21">
        <f>SUM('4 - RASA - MVT'!V115,'5 - RASA - National Landin'!V115,'6 - RASA - Mosaic'!V115,'7 - RASA - Rockville'!V115)</f>
        <v>0</v>
      </c>
      <c r="W115" s="23">
        <f>IFERROR(V115/V148, "NA")</f>
        <v>0</v>
      </c>
      <c r="X115" s="21">
        <f>SUM('4 - RASA - MVT'!X115,'5 - RASA - National Landin'!X115,'6 - RASA - Mosaic'!X115,'7 - RASA - Rockville'!X115)</f>
        <v>0</v>
      </c>
      <c r="Y115" s="23">
        <f>IFERROR(X115/X148, "NA")</f>
        <v>0</v>
      </c>
      <c r="Z115" s="21">
        <f>SUM('4 - RASA - MVT'!Z115,'5 - RASA - National Landin'!Z115,'6 - RASA - Mosaic'!Z115,'7 - RASA - Rockville'!Z115)</f>
        <v>0</v>
      </c>
      <c r="AA115" s="23">
        <f>IFERROR(Z115/Z148, "NA")</f>
        <v>0</v>
      </c>
      <c r="AB115" s="28">
        <f t="shared" si="55"/>
        <v>0</v>
      </c>
      <c r="AC115" s="23">
        <f>IFERROR(AB115/AB148, "NA")</f>
        <v>0</v>
      </c>
      <c r="AD115" s="29">
        <f t="shared" si="56"/>
        <v>0</v>
      </c>
      <c r="AE115" s="30">
        <f>IFERROR(AD115/AD148, "NA")</f>
        <v>0</v>
      </c>
      <c r="AF115" s="29" t="str">
        <f t="shared" si="57"/>
        <v>NA</v>
      </c>
      <c r="AG115" s="28">
        <f t="shared" si="58"/>
        <v>0</v>
      </c>
      <c r="AH115" s="23">
        <f>IFERROR(AG115/AG148, "NA")</f>
        <v>0</v>
      </c>
      <c r="AI115" s="29">
        <f t="shared" si="59"/>
        <v>0</v>
      </c>
      <c r="AJ115" s="30">
        <f>IFERROR(AI115/AI148, "NA")</f>
        <v>0</v>
      </c>
      <c r="AK115" s="29" t="str">
        <f t="shared" si="60"/>
        <v>NA</v>
      </c>
      <c r="AL115" s="30" t="str">
        <f>IFERROR(AK115/AK148, "NA")</f>
        <v>NA</v>
      </c>
    </row>
    <row r="116" ht="16.5" hidden="1" customHeight="1">
      <c r="A116" s="19" t="s">
        <v>226</v>
      </c>
      <c r="B116" s="21">
        <f>SUM('4 - RASA - MVT'!B116,'5 - RASA - National Landin'!B116,'6 - RASA - Mosaic'!B116,'7 - RASA - Rockville'!B116)</f>
        <v>0</v>
      </c>
      <c r="C116" s="23">
        <f>IFERROR(B116/B148, "NA")</f>
        <v>0</v>
      </c>
      <c r="D116" s="21">
        <f>SUM('4 - RASA - MVT'!D116,'5 - RASA - National Landin'!D116,'6 - RASA - Mosaic'!D116,'7 - RASA - Rockville'!D116)</f>
        <v>0</v>
      </c>
      <c r="E116" s="23">
        <f>IFERROR(D116/D148, "NA")</f>
        <v>0</v>
      </c>
      <c r="F116" s="21">
        <f>SUM('4 - RASA - MVT'!F116,'5 - RASA - National Landin'!F116,'6 - RASA - Mosaic'!F116,'7 - RASA - Rockville'!F116)</f>
        <v>0</v>
      </c>
      <c r="G116" s="23">
        <f>IFERROR(F116/F148, "NA")</f>
        <v>0</v>
      </c>
      <c r="H116" s="21">
        <f>SUM('4 - RASA - MVT'!H116,'5 - RASA - National Landin'!H116,'6 - RASA - Mosaic'!H116,'7 - RASA - Rockville'!H116)</f>
        <v>0</v>
      </c>
      <c r="I116" s="23">
        <f>IFERROR(H116/H148, "NA")</f>
        <v>0</v>
      </c>
      <c r="J116" s="21">
        <f>SUM('4 - RASA - MVT'!J116,'5 - RASA - National Landin'!J116,'6 - RASA - Mosaic'!J116,'7 - RASA - Rockville'!J116)</f>
        <v>0</v>
      </c>
      <c r="K116" s="23">
        <f>IFERROR(J116/J148, "NA")</f>
        <v>0</v>
      </c>
      <c r="L116" s="21">
        <f>SUM('4 - RASA - MVT'!L116,'5 - RASA - National Landin'!L116,'6 - RASA - Mosaic'!L116,'7 - RASA - Rockville'!L116)</f>
        <v>0</v>
      </c>
      <c r="M116" s="23">
        <f>IFERROR(L116/L148, "NA")</f>
        <v>0</v>
      </c>
      <c r="N116" s="21">
        <f>SUM('4 - RASA - MVT'!N116,'5 - RASA - National Landin'!N116,'6 - RASA - Mosaic'!N116,'7 - RASA - Rockville'!N116)</f>
        <v>0</v>
      </c>
      <c r="O116" s="23">
        <f>IFERROR(N116/N148, "NA")</f>
        <v>0</v>
      </c>
      <c r="P116" s="21">
        <f>SUM('4 - RASA - MVT'!P116,'5 - RASA - National Landin'!P116,'6 - RASA - Mosaic'!P116,'7 - RASA - Rockville'!P116)</f>
        <v>0</v>
      </c>
      <c r="Q116" s="23">
        <f>IFERROR(P116/P148, "NA")</f>
        <v>0</v>
      </c>
      <c r="R116" s="21">
        <f>SUM('4 - RASA - MVT'!R116,'5 - RASA - National Landin'!R116,'6 - RASA - Mosaic'!R116,'7 - RASA - Rockville'!R116)</f>
        <v>0</v>
      </c>
      <c r="S116" s="23">
        <f>IFERROR(R116/R148, "NA")</f>
        <v>0</v>
      </c>
      <c r="T116" s="21">
        <f>SUM('4 - RASA - MVT'!T116,'5 - RASA - National Landin'!T116,'6 - RASA - Mosaic'!T116,'7 - RASA - Rockville'!T116)</f>
        <v>0</v>
      </c>
      <c r="U116" s="23">
        <f>IFERROR(T116/T148, "NA")</f>
        <v>0</v>
      </c>
      <c r="V116" s="21">
        <f>SUM('4 - RASA - MVT'!V116,'5 - RASA - National Landin'!V116,'6 - RASA - Mosaic'!V116,'7 - RASA - Rockville'!V116)</f>
        <v>0</v>
      </c>
      <c r="W116" s="23">
        <f>IFERROR(V116/V148, "NA")</f>
        <v>0</v>
      </c>
      <c r="X116" s="21">
        <f>SUM('4 - RASA - MVT'!X116,'5 - RASA - National Landin'!X116,'6 - RASA - Mosaic'!X116,'7 - RASA - Rockville'!X116)</f>
        <v>0</v>
      </c>
      <c r="Y116" s="23">
        <f>IFERROR(X116/X148, "NA")</f>
        <v>0</v>
      </c>
      <c r="Z116" s="21">
        <f>SUM('4 - RASA - MVT'!Z116,'5 - RASA - National Landin'!Z116,'6 - RASA - Mosaic'!Z116,'7 - RASA - Rockville'!Z116)</f>
        <v>0</v>
      </c>
      <c r="AA116" s="23">
        <f>IFERROR(Z116/Z148, "NA")</f>
        <v>0</v>
      </c>
      <c r="AB116" s="28">
        <f t="shared" si="55"/>
        <v>0</v>
      </c>
      <c r="AC116" s="23">
        <f>IFERROR(AB116/AB148, "NA")</f>
        <v>0</v>
      </c>
      <c r="AD116" s="29">
        <f t="shared" si="56"/>
        <v>0</v>
      </c>
      <c r="AE116" s="30">
        <f>IFERROR(AD116/AD148, "NA")</f>
        <v>0</v>
      </c>
      <c r="AF116" s="29" t="str">
        <f t="shared" si="57"/>
        <v>NA</v>
      </c>
      <c r="AG116" s="28">
        <f t="shared" si="58"/>
        <v>0</v>
      </c>
      <c r="AH116" s="23">
        <f>IFERROR(AG116/AG148, "NA")</f>
        <v>0</v>
      </c>
      <c r="AI116" s="29">
        <f t="shared" si="59"/>
        <v>0</v>
      </c>
      <c r="AJ116" s="30">
        <f>IFERROR(AI116/AI148, "NA")</f>
        <v>0</v>
      </c>
      <c r="AK116" s="29" t="str">
        <f t="shared" si="60"/>
        <v>NA</v>
      </c>
      <c r="AL116" s="30" t="str">
        <f>IFERROR(AK116/AK148, "NA")</f>
        <v>NA</v>
      </c>
    </row>
    <row r="117" ht="16.5" hidden="1" customHeight="1">
      <c r="A117" s="19" t="s">
        <v>227</v>
      </c>
      <c r="B117" s="21">
        <f>SUM('4 - RASA - MVT'!B117,'5 - RASA - National Landin'!B117,'6 - RASA - Mosaic'!B117,'7 - RASA - Rockville'!B117)</f>
        <v>0</v>
      </c>
      <c r="C117" s="23">
        <f>IFERROR(B117/B148, "NA")</f>
        <v>0</v>
      </c>
      <c r="D117" s="21">
        <f>SUM('4 - RASA - MVT'!D117,'5 - RASA - National Landin'!D117,'6 - RASA - Mosaic'!D117,'7 - RASA - Rockville'!D117)</f>
        <v>0</v>
      </c>
      <c r="E117" s="23">
        <f>IFERROR(D117/D148, "NA")</f>
        <v>0</v>
      </c>
      <c r="F117" s="21">
        <f>SUM('4 - RASA - MVT'!F117,'5 - RASA - National Landin'!F117,'6 - RASA - Mosaic'!F117,'7 - RASA - Rockville'!F117)</f>
        <v>0</v>
      </c>
      <c r="G117" s="23">
        <f>IFERROR(F117/F148, "NA")</f>
        <v>0</v>
      </c>
      <c r="H117" s="21">
        <f>SUM('4 - RASA - MVT'!H117,'5 - RASA - National Landin'!H117,'6 - RASA - Mosaic'!H117,'7 - RASA - Rockville'!H117)</f>
        <v>0</v>
      </c>
      <c r="I117" s="23">
        <f>IFERROR(H117/H148, "NA")</f>
        <v>0</v>
      </c>
      <c r="J117" s="21">
        <f>SUM('4 - RASA - MVT'!J117,'5 - RASA - National Landin'!J117,'6 - RASA - Mosaic'!J117,'7 - RASA - Rockville'!J117)</f>
        <v>0</v>
      </c>
      <c r="K117" s="23">
        <f>IFERROR(J117/J148, "NA")</f>
        <v>0</v>
      </c>
      <c r="L117" s="21">
        <f>SUM('4 - RASA - MVT'!L117,'5 - RASA - National Landin'!L117,'6 - RASA - Mosaic'!L117,'7 - RASA - Rockville'!L117)</f>
        <v>0</v>
      </c>
      <c r="M117" s="23">
        <f>IFERROR(L117/L148, "NA")</f>
        <v>0</v>
      </c>
      <c r="N117" s="21">
        <f>SUM('4 - RASA - MVT'!N117,'5 - RASA - National Landin'!N117,'6 - RASA - Mosaic'!N117,'7 - RASA - Rockville'!N117)</f>
        <v>0</v>
      </c>
      <c r="O117" s="23">
        <f>IFERROR(N117/N148, "NA")</f>
        <v>0</v>
      </c>
      <c r="P117" s="21">
        <f>SUM('4 - RASA - MVT'!P117,'5 - RASA - National Landin'!P117,'6 - RASA - Mosaic'!P117,'7 - RASA - Rockville'!P117)</f>
        <v>0</v>
      </c>
      <c r="Q117" s="23">
        <f>IFERROR(P117/P148, "NA")</f>
        <v>0</v>
      </c>
      <c r="R117" s="21">
        <f>SUM('4 - RASA - MVT'!R117,'5 - RASA - National Landin'!R117,'6 - RASA - Mosaic'!R117,'7 - RASA - Rockville'!R117)</f>
        <v>0</v>
      </c>
      <c r="S117" s="23">
        <f>IFERROR(R117/R148, "NA")</f>
        <v>0</v>
      </c>
      <c r="T117" s="21">
        <f>SUM('4 - RASA - MVT'!T117,'5 - RASA - National Landin'!T117,'6 - RASA - Mosaic'!T117,'7 - RASA - Rockville'!T117)</f>
        <v>0</v>
      </c>
      <c r="U117" s="23">
        <f>IFERROR(T117/T148, "NA")</f>
        <v>0</v>
      </c>
      <c r="V117" s="21">
        <f>SUM('4 - RASA - MVT'!V117,'5 - RASA - National Landin'!V117,'6 - RASA - Mosaic'!V117,'7 - RASA - Rockville'!V117)</f>
        <v>0</v>
      </c>
      <c r="W117" s="23">
        <f>IFERROR(V117/V148, "NA")</f>
        <v>0</v>
      </c>
      <c r="X117" s="21">
        <f>SUM('4 - RASA - MVT'!X117,'5 - RASA - National Landin'!X117,'6 - RASA - Mosaic'!X117,'7 - RASA - Rockville'!X117)</f>
        <v>0</v>
      </c>
      <c r="Y117" s="23">
        <f>IFERROR(X117/X148, "NA")</f>
        <v>0</v>
      </c>
      <c r="Z117" s="21">
        <f>SUM('4 - RASA - MVT'!Z117,'5 - RASA - National Landin'!Z117,'6 - RASA - Mosaic'!Z117,'7 - RASA - Rockville'!Z117)</f>
        <v>0</v>
      </c>
      <c r="AA117" s="23">
        <f>IFERROR(Z117/Z148, "NA")</f>
        <v>0</v>
      </c>
      <c r="AB117" s="28">
        <f t="shared" si="55"/>
        <v>0</v>
      </c>
      <c r="AC117" s="23">
        <f>IFERROR(AB117/AB148, "NA")</f>
        <v>0</v>
      </c>
      <c r="AD117" s="29">
        <f t="shared" si="56"/>
        <v>0</v>
      </c>
      <c r="AE117" s="30">
        <f>IFERROR(AD117/AD148, "NA")</f>
        <v>0</v>
      </c>
      <c r="AF117" s="29" t="str">
        <f t="shared" si="57"/>
        <v>NA</v>
      </c>
      <c r="AG117" s="28">
        <f t="shared" si="58"/>
        <v>0</v>
      </c>
      <c r="AH117" s="23">
        <f>IFERROR(AG117/AG148, "NA")</f>
        <v>0</v>
      </c>
      <c r="AI117" s="29">
        <f t="shared" si="59"/>
        <v>0</v>
      </c>
      <c r="AJ117" s="30">
        <f>IFERROR(AI117/AI148, "NA")</f>
        <v>0</v>
      </c>
      <c r="AK117" s="29" t="str">
        <f t="shared" si="60"/>
        <v>NA</v>
      </c>
      <c r="AL117" s="30" t="str">
        <f>IFERROR(AK117/AK148, "NA")</f>
        <v>NA</v>
      </c>
    </row>
    <row r="118" ht="16.5" hidden="1" customHeight="1">
      <c r="A118" s="19" t="s">
        <v>228</v>
      </c>
      <c r="B118" s="21">
        <f>SUM('4 - RASA - MVT'!B118,'5 - RASA - National Landin'!B118,'6 - RASA - Mosaic'!B118,'7 - RASA - Rockville'!B118)</f>
        <v>0</v>
      </c>
      <c r="C118" s="23">
        <f>IFERROR(B118/B148, "NA")</f>
        <v>0</v>
      </c>
      <c r="D118" s="21">
        <f>SUM('4 - RASA - MVT'!D118,'5 - RASA - National Landin'!D118,'6 - RASA - Mosaic'!D118,'7 - RASA - Rockville'!D118)</f>
        <v>0</v>
      </c>
      <c r="E118" s="23">
        <f>IFERROR(D118/D148, "NA")</f>
        <v>0</v>
      </c>
      <c r="F118" s="21">
        <f>SUM('4 - RASA - MVT'!F118,'5 - RASA - National Landin'!F118,'6 - RASA - Mosaic'!F118,'7 - RASA - Rockville'!F118)</f>
        <v>0</v>
      </c>
      <c r="G118" s="23">
        <f>IFERROR(F118/F148, "NA")</f>
        <v>0</v>
      </c>
      <c r="H118" s="21">
        <f>SUM('4 - RASA - MVT'!H118,'5 - RASA - National Landin'!H118,'6 - RASA - Mosaic'!H118,'7 - RASA - Rockville'!H118)</f>
        <v>0</v>
      </c>
      <c r="I118" s="23">
        <f>IFERROR(H118/H148, "NA")</f>
        <v>0</v>
      </c>
      <c r="J118" s="21">
        <f>SUM('4 - RASA - MVT'!J118,'5 - RASA - National Landin'!J118,'6 - RASA - Mosaic'!J118,'7 - RASA - Rockville'!J118)</f>
        <v>0</v>
      </c>
      <c r="K118" s="23">
        <f>IFERROR(J118/J148, "NA")</f>
        <v>0</v>
      </c>
      <c r="L118" s="21">
        <f>SUM('4 - RASA - MVT'!L118,'5 - RASA - National Landin'!L118,'6 - RASA - Mosaic'!L118,'7 - RASA - Rockville'!L118)</f>
        <v>0</v>
      </c>
      <c r="M118" s="23">
        <f>IFERROR(L118/L148, "NA")</f>
        <v>0</v>
      </c>
      <c r="N118" s="21">
        <f>SUM('4 - RASA - MVT'!N118,'5 - RASA - National Landin'!N118,'6 - RASA - Mosaic'!N118,'7 - RASA - Rockville'!N118)</f>
        <v>0</v>
      </c>
      <c r="O118" s="23">
        <f>IFERROR(N118/N148, "NA")</f>
        <v>0</v>
      </c>
      <c r="P118" s="21">
        <f>SUM('4 - RASA - MVT'!P118,'5 - RASA - National Landin'!P118,'6 - RASA - Mosaic'!P118,'7 - RASA - Rockville'!P118)</f>
        <v>0</v>
      </c>
      <c r="Q118" s="23">
        <f>IFERROR(P118/P148, "NA")</f>
        <v>0</v>
      </c>
      <c r="R118" s="21">
        <f>SUM('4 - RASA - MVT'!R118,'5 - RASA - National Landin'!R118,'6 - RASA - Mosaic'!R118,'7 - RASA - Rockville'!R118)</f>
        <v>0</v>
      </c>
      <c r="S118" s="23">
        <f>IFERROR(R118/R148, "NA")</f>
        <v>0</v>
      </c>
      <c r="T118" s="21">
        <f>SUM('4 - RASA - MVT'!T118,'5 - RASA - National Landin'!T118,'6 - RASA - Mosaic'!T118,'7 - RASA - Rockville'!T118)</f>
        <v>0</v>
      </c>
      <c r="U118" s="23">
        <f>IFERROR(T118/T148, "NA")</f>
        <v>0</v>
      </c>
      <c r="V118" s="21">
        <f>SUM('4 - RASA - MVT'!V118,'5 - RASA - National Landin'!V118,'6 - RASA - Mosaic'!V118,'7 - RASA - Rockville'!V118)</f>
        <v>0</v>
      </c>
      <c r="W118" s="23">
        <f>IFERROR(V118/V148, "NA")</f>
        <v>0</v>
      </c>
      <c r="X118" s="21">
        <f>SUM('4 - RASA - MVT'!X118,'5 - RASA - National Landin'!X118,'6 - RASA - Mosaic'!X118,'7 - RASA - Rockville'!X118)</f>
        <v>0</v>
      </c>
      <c r="Y118" s="23">
        <f>IFERROR(X118/X148, "NA")</f>
        <v>0</v>
      </c>
      <c r="Z118" s="21">
        <f>SUM('4 - RASA - MVT'!Z118,'5 - RASA - National Landin'!Z118,'6 - RASA - Mosaic'!Z118,'7 - RASA - Rockville'!Z118)</f>
        <v>0</v>
      </c>
      <c r="AA118" s="23">
        <f>IFERROR(Z118/Z148, "NA")</f>
        <v>0</v>
      </c>
      <c r="AB118" s="28">
        <f t="shared" si="55"/>
        <v>0</v>
      </c>
      <c r="AC118" s="23">
        <f>IFERROR(AB118/AB148, "NA")</f>
        <v>0</v>
      </c>
      <c r="AD118" s="29">
        <f t="shared" si="56"/>
        <v>0</v>
      </c>
      <c r="AE118" s="30">
        <f>IFERROR(AD118/AD148, "NA")</f>
        <v>0</v>
      </c>
      <c r="AF118" s="29" t="str">
        <f t="shared" si="57"/>
        <v>NA</v>
      </c>
      <c r="AG118" s="28">
        <f t="shared" si="58"/>
        <v>0</v>
      </c>
      <c r="AH118" s="23">
        <f>IFERROR(AG118/AG148, "NA")</f>
        <v>0</v>
      </c>
      <c r="AI118" s="29">
        <f t="shared" si="59"/>
        <v>0</v>
      </c>
      <c r="AJ118" s="30">
        <f>IFERROR(AI118/AI148, "NA")</f>
        <v>0</v>
      </c>
      <c r="AK118" s="29" t="str">
        <f t="shared" si="60"/>
        <v>NA</v>
      </c>
      <c r="AL118" s="30" t="str">
        <f>IFERROR(AK118/AK148, "NA")</f>
        <v>NA</v>
      </c>
    </row>
    <row r="119" ht="16.5" hidden="1" customHeight="1">
      <c r="A119" s="19" t="s">
        <v>229</v>
      </c>
      <c r="B119" s="21">
        <f>SUM('4 - RASA - MVT'!B119,'5 - RASA - National Landin'!B119,'6 - RASA - Mosaic'!B119,'7 - RASA - Rockville'!B119)</f>
        <v>0</v>
      </c>
      <c r="C119" s="23">
        <f>IFERROR(B119/B148, "NA")</f>
        <v>0</v>
      </c>
      <c r="D119" s="21">
        <f>SUM('4 - RASA - MVT'!D119,'5 - RASA - National Landin'!D119,'6 - RASA - Mosaic'!D119,'7 - RASA - Rockville'!D119)</f>
        <v>0</v>
      </c>
      <c r="E119" s="23">
        <f>IFERROR(D119/D148, "NA")</f>
        <v>0</v>
      </c>
      <c r="F119" s="21">
        <f>SUM('4 - RASA - MVT'!F119,'5 - RASA - National Landin'!F119,'6 - RASA - Mosaic'!F119,'7 - RASA - Rockville'!F119)</f>
        <v>0</v>
      </c>
      <c r="G119" s="23">
        <f>IFERROR(F119/F148, "NA")</f>
        <v>0</v>
      </c>
      <c r="H119" s="21">
        <f>SUM('4 - RASA - MVT'!H119,'5 - RASA - National Landin'!H119,'6 - RASA - Mosaic'!H119,'7 - RASA - Rockville'!H119)</f>
        <v>0</v>
      </c>
      <c r="I119" s="23">
        <f>IFERROR(H119/H148, "NA")</f>
        <v>0</v>
      </c>
      <c r="J119" s="21">
        <f>SUM('4 - RASA - MVT'!J119,'5 - RASA - National Landin'!J119,'6 - RASA - Mosaic'!J119,'7 - RASA - Rockville'!J119)</f>
        <v>0</v>
      </c>
      <c r="K119" s="23">
        <f>IFERROR(J119/J148, "NA")</f>
        <v>0</v>
      </c>
      <c r="L119" s="21">
        <f>SUM('4 - RASA - MVT'!L119,'5 - RASA - National Landin'!L119,'6 - RASA - Mosaic'!L119,'7 - RASA - Rockville'!L119)</f>
        <v>0</v>
      </c>
      <c r="M119" s="23">
        <f>IFERROR(L119/L148, "NA")</f>
        <v>0</v>
      </c>
      <c r="N119" s="21">
        <f>SUM('4 - RASA - MVT'!N119,'5 - RASA - National Landin'!N119,'6 - RASA - Mosaic'!N119,'7 - RASA - Rockville'!N119)</f>
        <v>0</v>
      </c>
      <c r="O119" s="23">
        <f>IFERROR(N119/N148, "NA")</f>
        <v>0</v>
      </c>
      <c r="P119" s="21">
        <f>SUM('4 - RASA - MVT'!P119,'5 - RASA - National Landin'!P119,'6 - RASA - Mosaic'!P119,'7 - RASA - Rockville'!P119)</f>
        <v>0</v>
      </c>
      <c r="Q119" s="23">
        <f>IFERROR(P119/P148, "NA")</f>
        <v>0</v>
      </c>
      <c r="R119" s="21">
        <f>SUM('4 - RASA - MVT'!R119,'5 - RASA - National Landin'!R119,'6 - RASA - Mosaic'!R119,'7 - RASA - Rockville'!R119)</f>
        <v>0</v>
      </c>
      <c r="S119" s="23">
        <f>IFERROR(R119/R148, "NA")</f>
        <v>0</v>
      </c>
      <c r="T119" s="21">
        <f>SUM('4 - RASA - MVT'!T119,'5 - RASA - National Landin'!T119,'6 - RASA - Mosaic'!T119,'7 - RASA - Rockville'!T119)</f>
        <v>0</v>
      </c>
      <c r="U119" s="23">
        <f>IFERROR(T119/T148, "NA")</f>
        <v>0</v>
      </c>
      <c r="V119" s="21">
        <f>SUM('4 - RASA - MVT'!V119,'5 - RASA - National Landin'!V119,'6 - RASA - Mosaic'!V119,'7 - RASA - Rockville'!V119)</f>
        <v>0</v>
      </c>
      <c r="W119" s="23">
        <f>IFERROR(V119/V148, "NA")</f>
        <v>0</v>
      </c>
      <c r="X119" s="21">
        <f>SUM('4 - RASA - MVT'!X119,'5 - RASA - National Landin'!X119,'6 - RASA - Mosaic'!X119,'7 - RASA - Rockville'!X119)</f>
        <v>0</v>
      </c>
      <c r="Y119" s="23">
        <f>IFERROR(X119/X148, "NA")</f>
        <v>0</v>
      </c>
      <c r="Z119" s="21">
        <f>SUM('4 - RASA - MVT'!Z119,'5 - RASA - National Landin'!Z119,'6 - RASA - Mosaic'!Z119,'7 - RASA - Rockville'!Z119)</f>
        <v>0</v>
      </c>
      <c r="AA119" s="23">
        <f>IFERROR(Z119/Z148, "NA")</f>
        <v>0</v>
      </c>
      <c r="AB119" s="28">
        <f t="shared" si="55"/>
        <v>0</v>
      </c>
      <c r="AC119" s="23">
        <f>IFERROR(AB119/AB148, "NA")</f>
        <v>0</v>
      </c>
      <c r="AD119" s="29">
        <f t="shared" si="56"/>
        <v>0</v>
      </c>
      <c r="AE119" s="30">
        <f>IFERROR(AD119/AD148, "NA")</f>
        <v>0</v>
      </c>
      <c r="AF119" s="29" t="str">
        <f t="shared" si="57"/>
        <v>NA</v>
      </c>
      <c r="AG119" s="28">
        <f t="shared" si="58"/>
        <v>0</v>
      </c>
      <c r="AH119" s="23">
        <f>IFERROR(AG119/AG148, "NA")</f>
        <v>0</v>
      </c>
      <c r="AI119" s="29">
        <f t="shared" si="59"/>
        <v>0</v>
      </c>
      <c r="AJ119" s="30">
        <f>IFERROR(AI119/AI148, "NA")</f>
        <v>0</v>
      </c>
      <c r="AK119" s="29" t="str">
        <f t="shared" si="60"/>
        <v>NA</v>
      </c>
      <c r="AL119" s="30" t="str">
        <f>IFERROR(AK119/AK148, "NA")</f>
        <v>NA</v>
      </c>
    </row>
    <row r="120" ht="16.5" hidden="1" customHeight="1">
      <c r="A120" s="19" t="s">
        <v>230</v>
      </c>
      <c r="B120" s="21">
        <f>SUM('4 - RASA - MVT'!B120,'5 - RASA - National Landin'!B120,'6 - RASA - Mosaic'!B120,'7 - RASA - Rockville'!B120)</f>
        <v>0</v>
      </c>
      <c r="C120" s="23">
        <f>IFERROR(B120/B148, "NA")</f>
        <v>0</v>
      </c>
      <c r="D120" s="21">
        <f>SUM('4 - RASA - MVT'!D120,'5 - RASA - National Landin'!D120,'6 - RASA - Mosaic'!D120,'7 - RASA - Rockville'!D120)</f>
        <v>0</v>
      </c>
      <c r="E120" s="23">
        <f>IFERROR(D120/D148, "NA")</f>
        <v>0</v>
      </c>
      <c r="F120" s="21">
        <f>SUM('4 - RASA - MVT'!F120,'5 - RASA - National Landin'!F120,'6 - RASA - Mosaic'!F120,'7 - RASA - Rockville'!F120)</f>
        <v>0</v>
      </c>
      <c r="G120" s="23">
        <f>IFERROR(F120/F148, "NA")</f>
        <v>0</v>
      </c>
      <c r="H120" s="21">
        <f>SUM('4 - RASA - MVT'!H120,'5 - RASA - National Landin'!H120,'6 - RASA - Mosaic'!H120,'7 - RASA - Rockville'!H120)</f>
        <v>0</v>
      </c>
      <c r="I120" s="23">
        <f>IFERROR(H120/H148, "NA")</f>
        <v>0</v>
      </c>
      <c r="J120" s="21">
        <f>SUM('4 - RASA - MVT'!J120,'5 - RASA - National Landin'!J120,'6 - RASA - Mosaic'!J120,'7 - RASA - Rockville'!J120)</f>
        <v>0</v>
      </c>
      <c r="K120" s="23">
        <f>IFERROR(J120/J148, "NA")</f>
        <v>0</v>
      </c>
      <c r="L120" s="21">
        <f>SUM('4 - RASA - MVT'!L120,'5 - RASA - National Landin'!L120,'6 - RASA - Mosaic'!L120,'7 - RASA - Rockville'!L120)</f>
        <v>0</v>
      </c>
      <c r="M120" s="23">
        <f>IFERROR(L120/L148, "NA")</f>
        <v>0</v>
      </c>
      <c r="N120" s="21">
        <f>SUM('4 - RASA - MVT'!N120,'5 - RASA - National Landin'!N120,'6 - RASA - Mosaic'!N120,'7 - RASA - Rockville'!N120)</f>
        <v>0</v>
      </c>
      <c r="O120" s="23">
        <f>IFERROR(N120/N148, "NA")</f>
        <v>0</v>
      </c>
      <c r="P120" s="21">
        <f>SUM('4 - RASA - MVT'!P120,'5 - RASA - National Landin'!P120,'6 - RASA - Mosaic'!P120,'7 - RASA - Rockville'!P120)</f>
        <v>0</v>
      </c>
      <c r="Q120" s="23">
        <f>IFERROR(P120/P148, "NA")</f>
        <v>0</v>
      </c>
      <c r="R120" s="21">
        <f>SUM('4 - RASA - MVT'!R120,'5 - RASA - National Landin'!R120,'6 - RASA - Mosaic'!R120,'7 - RASA - Rockville'!R120)</f>
        <v>0</v>
      </c>
      <c r="S120" s="23">
        <f>IFERROR(R120/R148, "NA")</f>
        <v>0</v>
      </c>
      <c r="T120" s="21">
        <f>SUM('4 - RASA - MVT'!T120,'5 - RASA - National Landin'!T120,'6 - RASA - Mosaic'!T120,'7 - RASA - Rockville'!T120)</f>
        <v>0</v>
      </c>
      <c r="U120" s="23">
        <f>IFERROR(T120/T148, "NA")</f>
        <v>0</v>
      </c>
      <c r="V120" s="21">
        <f>SUM('4 - RASA - MVT'!V120,'5 - RASA - National Landin'!V120,'6 - RASA - Mosaic'!V120,'7 - RASA - Rockville'!V120)</f>
        <v>0</v>
      </c>
      <c r="W120" s="23">
        <f>IFERROR(V120/V148, "NA")</f>
        <v>0</v>
      </c>
      <c r="X120" s="21">
        <f>SUM('4 - RASA - MVT'!X120,'5 - RASA - National Landin'!X120,'6 - RASA - Mosaic'!X120,'7 - RASA - Rockville'!X120)</f>
        <v>0</v>
      </c>
      <c r="Y120" s="23">
        <f>IFERROR(X120/X148, "NA")</f>
        <v>0</v>
      </c>
      <c r="Z120" s="21">
        <f>SUM('4 - RASA - MVT'!Z120,'5 - RASA - National Landin'!Z120,'6 - RASA - Mosaic'!Z120,'7 - RASA - Rockville'!Z120)</f>
        <v>0</v>
      </c>
      <c r="AA120" s="23">
        <f>IFERROR(Z120/Z148, "NA")</f>
        <v>0</v>
      </c>
      <c r="AB120" s="28">
        <f t="shared" si="55"/>
        <v>0</v>
      </c>
      <c r="AC120" s="23">
        <f>IFERROR(AB120/AB148, "NA")</f>
        <v>0</v>
      </c>
      <c r="AD120" s="29">
        <f t="shared" si="56"/>
        <v>0</v>
      </c>
      <c r="AE120" s="30">
        <f>IFERROR(AD120/AD148, "NA")</f>
        <v>0</v>
      </c>
      <c r="AF120" s="29" t="str">
        <f t="shared" si="57"/>
        <v>NA</v>
      </c>
      <c r="AG120" s="28">
        <f t="shared" si="58"/>
        <v>0</v>
      </c>
      <c r="AH120" s="23">
        <f>IFERROR(AG120/AG148, "NA")</f>
        <v>0</v>
      </c>
      <c r="AI120" s="29">
        <f t="shared" si="59"/>
        <v>0</v>
      </c>
      <c r="AJ120" s="30">
        <f>IFERROR(AI120/AI148, "NA")</f>
        <v>0</v>
      </c>
      <c r="AK120" s="29" t="str">
        <f t="shared" si="60"/>
        <v>NA</v>
      </c>
      <c r="AL120" s="30" t="str">
        <f>IFERROR(AK120/AK148, "NA")</f>
        <v>NA</v>
      </c>
    </row>
    <row r="121" ht="16.5" hidden="1" customHeight="1">
      <c r="A121" s="19" t="s">
        <v>231</v>
      </c>
      <c r="B121" s="21">
        <f>SUM('4 - RASA - MVT'!B121,'5 - RASA - National Landin'!B121,'6 - RASA - Mosaic'!B121,'7 - RASA - Rockville'!B121)</f>
        <v>0</v>
      </c>
      <c r="C121" s="23">
        <f>IFERROR(B121/B148, "NA")</f>
        <v>0</v>
      </c>
      <c r="D121" s="21">
        <f>SUM('4 - RASA - MVT'!D121,'5 - RASA - National Landin'!D121,'6 - RASA - Mosaic'!D121,'7 - RASA - Rockville'!D121)</f>
        <v>0</v>
      </c>
      <c r="E121" s="23">
        <f>IFERROR(D121/D148, "NA")</f>
        <v>0</v>
      </c>
      <c r="F121" s="21">
        <f>SUM('4 - RASA - MVT'!F121,'5 - RASA - National Landin'!F121,'6 - RASA - Mosaic'!F121,'7 - RASA - Rockville'!F121)</f>
        <v>0</v>
      </c>
      <c r="G121" s="23">
        <f>IFERROR(F121/F148, "NA")</f>
        <v>0</v>
      </c>
      <c r="H121" s="21">
        <f>SUM('4 - RASA - MVT'!H121,'5 - RASA - National Landin'!H121,'6 - RASA - Mosaic'!H121,'7 - RASA - Rockville'!H121)</f>
        <v>0</v>
      </c>
      <c r="I121" s="23">
        <f>IFERROR(H121/H148, "NA")</f>
        <v>0</v>
      </c>
      <c r="J121" s="21">
        <f>SUM('4 - RASA - MVT'!J121,'5 - RASA - National Landin'!J121,'6 - RASA - Mosaic'!J121,'7 - RASA - Rockville'!J121)</f>
        <v>0</v>
      </c>
      <c r="K121" s="23">
        <f>IFERROR(J121/J148, "NA")</f>
        <v>0</v>
      </c>
      <c r="L121" s="21">
        <f>SUM('4 - RASA - MVT'!L121,'5 - RASA - National Landin'!L121,'6 - RASA - Mosaic'!L121,'7 - RASA - Rockville'!L121)</f>
        <v>0</v>
      </c>
      <c r="M121" s="23">
        <f>IFERROR(L121/L148, "NA")</f>
        <v>0</v>
      </c>
      <c r="N121" s="21">
        <f>SUM('4 - RASA - MVT'!N121,'5 - RASA - National Landin'!N121,'6 - RASA - Mosaic'!N121,'7 - RASA - Rockville'!N121)</f>
        <v>0</v>
      </c>
      <c r="O121" s="23">
        <f>IFERROR(N121/N148, "NA")</f>
        <v>0</v>
      </c>
      <c r="P121" s="21">
        <f>SUM('4 - RASA - MVT'!P121,'5 - RASA - National Landin'!P121,'6 - RASA - Mosaic'!P121,'7 - RASA - Rockville'!P121)</f>
        <v>0</v>
      </c>
      <c r="Q121" s="23">
        <f>IFERROR(P121/P148, "NA")</f>
        <v>0</v>
      </c>
      <c r="R121" s="21">
        <f>SUM('4 - RASA - MVT'!R121,'5 - RASA - National Landin'!R121,'6 - RASA - Mosaic'!R121,'7 - RASA - Rockville'!R121)</f>
        <v>0</v>
      </c>
      <c r="S121" s="23">
        <f>IFERROR(R121/R148, "NA")</f>
        <v>0</v>
      </c>
      <c r="T121" s="21">
        <f>SUM('4 - RASA - MVT'!T121,'5 - RASA - National Landin'!T121,'6 - RASA - Mosaic'!T121,'7 - RASA - Rockville'!T121)</f>
        <v>0</v>
      </c>
      <c r="U121" s="23">
        <f>IFERROR(T121/T148, "NA")</f>
        <v>0</v>
      </c>
      <c r="V121" s="21">
        <f>SUM('4 - RASA - MVT'!V121,'5 - RASA - National Landin'!V121,'6 - RASA - Mosaic'!V121,'7 - RASA - Rockville'!V121)</f>
        <v>0</v>
      </c>
      <c r="W121" s="23">
        <f>IFERROR(V121/V148, "NA")</f>
        <v>0</v>
      </c>
      <c r="X121" s="21">
        <f>SUM('4 - RASA - MVT'!X121,'5 - RASA - National Landin'!X121,'6 - RASA - Mosaic'!X121,'7 - RASA - Rockville'!X121)</f>
        <v>0</v>
      </c>
      <c r="Y121" s="23">
        <f>IFERROR(X121/X148, "NA")</f>
        <v>0</v>
      </c>
      <c r="Z121" s="21">
        <f>SUM('4 - RASA - MVT'!Z121,'5 - RASA - National Landin'!Z121,'6 - RASA - Mosaic'!Z121,'7 - RASA - Rockville'!Z121)</f>
        <v>0</v>
      </c>
      <c r="AA121" s="23">
        <f>IFERROR(Z121/Z148, "NA")</f>
        <v>0</v>
      </c>
      <c r="AB121" s="28">
        <f t="shared" si="55"/>
        <v>0</v>
      </c>
      <c r="AC121" s="23">
        <f>IFERROR(AB121/AB148, "NA")</f>
        <v>0</v>
      </c>
      <c r="AD121" s="29">
        <f t="shared" si="56"/>
        <v>0</v>
      </c>
      <c r="AE121" s="30">
        <f>IFERROR(AD121/AD148, "NA")</f>
        <v>0</v>
      </c>
      <c r="AF121" s="29" t="str">
        <f t="shared" si="57"/>
        <v>NA</v>
      </c>
      <c r="AG121" s="28">
        <f t="shared" si="58"/>
        <v>0</v>
      </c>
      <c r="AH121" s="23">
        <f>IFERROR(AG121/AG148, "NA")</f>
        <v>0</v>
      </c>
      <c r="AI121" s="29">
        <f t="shared" si="59"/>
        <v>0</v>
      </c>
      <c r="AJ121" s="30">
        <f>IFERROR(AI121/AI148, "NA")</f>
        <v>0</v>
      </c>
      <c r="AK121" s="29" t="str">
        <f t="shared" si="60"/>
        <v>NA</v>
      </c>
      <c r="AL121" s="30" t="str">
        <f>IFERROR(AK121/AK148, "NA")</f>
        <v>NA</v>
      </c>
    </row>
    <row r="122" ht="16.5" hidden="1" customHeight="1">
      <c r="A122" s="19" t="s">
        <v>232</v>
      </c>
      <c r="B122" s="21">
        <f>SUM('4 - RASA - MVT'!B122,'5 - RASA - National Landin'!B122,'6 - RASA - Mosaic'!B122,'7 - RASA - Rockville'!B122)</f>
        <v>0</v>
      </c>
      <c r="C122" s="23">
        <f>IFERROR(B122/B148, "NA")</f>
        <v>0</v>
      </c>
      <c r="D122" s="21">
        <f>SUM('4 - RASA - MVT'!D122,'5 - RASA - National Landin'!D122,'6 - RASA - Mosaic'!D122,'7 - RASA - Rockville'!D122)</f>
        <v>0</v>
      </c>
      <c r="E122" s="23">
        <f>IFERROR(D122/D148, "NA")</f>
        <v>0</v>
      </c>
      <c r="F122" s="21">
        <f>SUM('4 - RASA - MVT'!F122,'5 - RASA - National Landin'!F122,'6 - RASA - Mosaic'!F122,'7 - RASA - Rockville'!F122)</f>
        <v>0</v>
      </c>
      <c r="G122" s="23">
        <f>IFERROR(F122/F148, "NA")</f>
        <v>0</v>
      </c>
      <c r="H122" s="21">
        <f>SUM('4 - RASA - MVT'!H122,'5 - RASA - National Landin'!H122,'6 - RASA - Mosaic'!H122,'7 - RASA - Rockville'!H122)</f>
        <v>0</v>
      </c>
      <c r="I122" s="23">
        <f>IFERROR(H122/H148, "NA")</f>
        <v>0</v>
      </c>
      <c r="J122" s="21">
        <f>SUM('4 - RASA - MVT'!J122,'5 - RASA - National Landin'!J122,'6 - RASA - Mosaic'!J122,'7 - RASA - Rockville'!J122)</f>
        <v>0</v>
      </c>
      <c r="K122" s="23">
        <f>IFERROR(J122/J148, "NA")</f>
        <v>0</v>
      </c>
      <c r="L122" s="21">
        <f>SUM('4 - RASA - MVT'!L122,'5 - RASA - National Landin'!L122,'6 - RASA - Mosaic'!L122,'7 - RASA - Rockville'!L122)</f>
        <v>0</v>
      </c>
      <c r="M122" s="23">
        <f>IFERROR(L122/L148, "NA")</f>
        <v>0</v>
      </c>
      <c r="N122" s="21">
        <f>SUM('4 - RASA - MVT'!N122,'5 - RASA - National Landin'!N122,'6 - RASA - Mosaic'!N122,'7 - RASA - Rockville'!N122)</f>
        <v>0</v>
      </c>
      <c r="O122" s="23">
        <f>IFERROR(N122/N148, "NA")</f>
        <v>0</v>
      </c>
      <c r="P122" s="21">
        <f>SUM('4 - RASA - MVT'!P122,'5 - RASA - National Landin'!P122,'6 - RASA - Mosaic'!P122,'7 - RASA - Rockville'!P122)</f>
        <v>0</v>
      </c>
      <c r="Q122" s="23">
        <f>IFERROR(P122/P148, "NA")</f>
        <v>0</v>
      </c>
      <c r="R122" s="21">
        <f>SUM('4 - RASA - MVT'!R122,'5 - RASA - National Landin'!R122,'6 - RASA - Mosaic'!R122,'7 - RASA - Rockville'!R122)</f>
        <v>0</v>
      </c>
      <c r="S122" s="23">
        <f>IFERROR(R122/R148, "NA")</f>
        <v>0</v>
      </c>
      <c r="T122" s="21">
        <f>SUM('4 - RASA - MVT'!T122,'5 - RASA - National Landin'!T122,'6 - RASA - Mosaic'!T122,'7 - RASA - Rockville'!T122)</f>
        <v>0</v>
      </c>
      <c r="U122" s="23">
        <f>IFERROR(T122/T148, "NA")</f>
        <v>0</v>
      </c>
      <c r="V122" s="21">
        <f>SUM('4 - RASA - MVT'!V122,'5 - RASA - National Landin'!V122,'6 - RASA - Mosaic'!V122,'7 - RASA - Rockville'!V122)</f>
        <v>0</v>
      </c>
      <c r="W122" s="23">
        <f>IFERROR(V122/V148, "NA")</f>
        <v>0</v>
      </c>
      <c r="X122" s="21">
        <f>SUM('4 - RASA - MVT'!X122,'5 - RASA - National Landin'!X122,'6 - RASA - Mosaic'!X122,'7 - RASA - Rockville'!X122)</f>
        <v>0</v>
      </c>
      <c r="Y122" s="23">
        <f>IFERROR(X122/X148, "NA")</f>
        <v>0</v>
      </c>
      <c r="Z122" s="21">
        <f>SUM('4 - RASA - MVT'!Z122,'5 - RASA - National Landin'!Z122,'6 - RASA - Mosaic'!Z122,'7 - RASA - Rockville'!Z122)</f>
        <v>0</v>
      </c>
      <c r="AA122" s="23">
        <f>IFERROR(Z122/Z148, "NA")</f>
        <v>0</v>
      </c>
      <c r="AB122" s="28">
        <f t="shared" si="55"/>
        <v>0</v>
      </c>
      <c r="AC122" s="23">
        <f>IFERROR(AB122/AB148, "NA")</f>
        <v>0</v>
      </c>
      <c r="AD122" s="29">
        <f t="shared" si="56"/>
        <v>0</v>
      </c>
      <c r="AE122" s="30">
        <f>IFERROR(AD122/AD148, "NA")</f>
        <v>0</v>
      </c>
      <c r="AF122" s="29" t="str">
        <f t="shared" si="57"/>
        <v>NA</v>
      </c>
      <c r="AG122" s="28">
        <f t="shared" si="58"/>
        <v>0</v>
      </c>
      <c r="AH122" s="23">
        <f>IFERROR(AG122/AG148, "NA")</f>
        <v>0</v>
      </c>
      <c r="AI122" s="29">
        <f t="shared" si="59"/>
        <v>0</v>
      </c>
      <c r="AJ122" s="30">
        <f>IFERROR(AI122/AI148, "NA")</f>
        <v>0</v>
      </c>
      <c r="AK122" s="29" t="str">
        <f t="shared" si="60"/>
        <v>NA</v>
      </c>
      <c r="AL122" s="30" t="str">
        <f>IFERROR(AK122/AK148, "NA")</f>
        <v>NA</v>
      </c>
    </row>
    <row r="123" ht="16.5" hidden="1" customHeight="1">
      <c r="A123" s="19" t="s">
        <v>233</v>
      </c>
      <c r="B123" s="21">
        <f>SUM('4 - RASA - MVT'!B123,'5 - RASA - National Landin'!B123,'6 - RASA - Mosaic'!B123,'7 - RASA - Rockville'!B123)</f>
        <v>0</v>
      </c>
      <c r="C123" s="23">
        <f>IFERROR(B123/B148, "NA")</f>
        <v>0</v>
      </c>
      <c r="D123" s="21">
        <f>SUM('4 - RASA - MVT'!D123,'5 - RASA - National Landin'!D123,'6 - RASA - Mosaic'!D123,'7 - RASA - Rockville'!D123)</f>
        <v>0</v>
      </c>
      <c r="E123" s="23">
        <f>IFERROR(D123/D148, "NA")</f>
        <v>0</v>
      </c>
      <c r="F123" s="21">
        <f>SUM('4 - RASA - MVT'!F123,'5 - RASA - National Landin'!F123,'6 - RASA - Mosaic'!F123,'7 - RASA - Rockville'!F123)</f>
        <v>0</v>
      </c>
      <c r="G123" s="23">
        <f>IFERROR(F123/F148, "NA")</f>
        <v>0</v>
      </c>
      <c r="H123" s="21">
        <f>SUM('4 - RASA - MVT'!H123,'5 - RASA - National Landin'!H123,'6 - RASA - Mosaic'!H123,'7 - RASA - Rockville'!H123)</f>
        <v>0</v>
      </c>
      <c r="I123" s="23">
        <f>IFERROR(H123/H148, "NA")</f>
        <v>0</v>
      </c>
      <c r="J123" s="21">
        <f>SUM('4 - RASA - MVT'!J123,'5 - RASA - National Landin'!J123,'6 - RASA - Mosaic'!J123,'7 - RASA - Rockville'!J123)</f>
        <v>0</v>
      </c>
      <c r="K123" s="23">
        <f>IFERROR(J123/J148, "NA")</f>
        <v>0</v>
      </c>
      <c r="L123" s="21">
        <f>SUM('4 - RASA - MVT'!L123,'5 - RASA - National Landin'!L123,'6 - RASA - Mosaic'!L123,'7 - RASA - Rockville'!L123)</f>
        <v>0</v>
      </c>
      <c r="M123" s="23">
        <f>IFERROR(L123/L148, "NA")</f>
        <v>0</v>
      </c>
      <c r="N123" s="21">
        <f>SUM('4 - RASA - MVT'!N123,'5 - RASA - National Landin'!N123,'6 - RASA - Mosaic'!N123,'7 - RASA - Rockville'!N123)</f>
        <v>0</v>
      </c>
      <c r="O123" s="23">
        <f>IFERROR(N123/N148, "NA")</f>
        <v>0</v>
      </c>
      <c r="P123" s="21">
        <f>SUM('4 - RASA - MVT'!P123,'5 - RASA - National Landin'!P123,'6 - RASA - Mosaic'!P123,'7 - RASA - Rockville'!P123)</f>
        <v>0</v>
      </c>
      <c r="Q123" s="23">
        <f>IFERROR(P123/P148, "NA")</f>
        <v>0</v>
      </c>
      <c r="R123" s="21">
        <f>SUM('4 - RASA - MVT'!R123,'5 - RASA - National Landin'!R123,'6 - RASA - Mosaic'!R123,'7 - RASA - Rockville'!R123)</f>
        <v>0</v>
      </c>
      <c r="S123" s="23">
        <f>IFERROR(R123/R148, "NA")</f>
        <v>0</v>
      </c>
      <c r="T123" s="21">
        <f>SUM('4 - RASA - MVT'!T123,'5 - RASA - National Landin'!T123,'6 - RASA - Mosaic'!T123,'7 - RASA - Rockville'!T123)</f>
        <v>0</v>
      </c>
      <c r="U123" s="23">
        <f>IFERROR(T123/T148, "NA")</f>
        <v>0</v>
      </c>
      <c r="V123" s="21">
        <f>SUM('4 - RASA - MVT'!V123,'5 - RASA - National Landin'!V123,'6 - RASA - Mosaic'!V123,'7 - RASA - Rockville'!V123)</f>
        <v>0</v>
      </c>
      <c r="W123" s="23">
        <f>IFERROR(V123/V148, "NA")</f>
        <v>0</v>
      </c>
      <c r="X123" s="21">
        <f>SUM('4 - RASA - MVT'!X123,'5 - RASA - National Landin'!X123,'6 - RASA - Mosaic'!X123,'7 - RASA - Rockville'!X123)</f>
        <v>0</v>
      </c>
      <c r="Y123" s="23">
        <f>IFERROR(X123/X148, "NA")</f>
        <v>0</v>
      </c>
      <c r="Z123" s="21">
        <f>SUM('4 - RASA - MVT'!Z123,'5 - RASA - National Landin'!Z123,'6 - RASA - Mosaic'!Z123,'7 - RASA - Rockville'!Z123)</f>
        <v>0</v>
      </c>
      <c r="AA123" s="23">
        <f>IFERROR(Z123/Z148, "NA")</f>
        <v>0</v>
      </c>
      <c r="AB123" s="28">
        <f t="shared" si="55"/>
        <v>0</v>
      </c>
      <c r="AC123" s="23">
        <f>IFERROR(AB123/AB148, "NA")</f>
        <v>0</v>
      </c>
      <c r="AD123" s="29">
        <f t="shared" si="56"/>
        <v>0</v>
      </c>
      <c r="AE123" s="30">
        <f>IFERROR(AD123/AD148, "NA")</f>
        <v>0</v>
      </c>
      <c r="AF123" s="29" t="str">
        <f t="shared" si="57"/>
        <v>NA</v>
      </c>
      <c r="AG123" s="28">
        <f t="shared" si="58"/>
        <v>0</v>
      </c>
      <c r="AH123" s="23">
        <f>IFERROR(AG123/AG148, "NA")</f>
        <v>0</v>
      </c>
      <c r="AI123" s="29">
        <f t="shared" si="59"/>
        <v>0</v>
      </c>
      <c r="AJ123" s="30">
        <f>IFERROR(AI123/AI148, "NA")</f>
        <v>0</v>
      </c>
      <c r="AK123" s="29" t="str">
        <f t="shared" si="60"/>
        <v>NA</v>
      </c>
      <c r="AL123" s="30" t="str">
        <f>IFERROR(AK123/AK148, "NA")</f>
        <v>NA</v>
      </c>
    </row>
    <row r="124" ht="16.5" hidden="1" customHeight="1">
      <c r="A124" s="19" t="s">
        <v>234</v>
      </c>
      <c r="B124" s="21">
        <f>SUM('4 - RASA - MVT'!B124,'5 - RASA - National Landin'!B124,'6 - RASA - Mosaic'!B124,'7 - RASA - Rockville'!B124)</f>
        <v>0</v>
      </c>
      <c r="C124" s="23">
        <f>IFERROR(B124/B148, "NA")</f>
        <v>0</v>
      </c>
      <c r="D124" s="21">
        <f>SUM('4 - RASA - MVT'!D124,'5 - RASA - National Landin'!D124,'6 - RASA - Mosaic'!D124,'7 - RASA - Rockville'!D124)</f>
        <v>0</v>
      </c>
      <c r="E124" s="23">
        <f>IFERROR(D124/D148, "NA")</f>
        <v>0</v>
      </c>
      <c r="F124" s="21">
        <f>SUM('4 - RASA - MVT'!F124,'5 - RASA - National Landin'!F124,'6 - RASA - Mosaic'!F124,'7 - RASA - Rockville'!F124)</f>
        <v>0</v>
      </c>
      <c r="G124" s="23">
        <f>IFERROR(F124/F148, "NA")</f>
        <v>0</v>
      </c>
      <c r="H124" s="21">
        <f>SUM('4 - RASA - MVT'!H124,'5 - RASA - National Landin'!H124,'6 - RASA - Mosaic'!H124,'7 - RASA - Rockville'!H124)</f>
        <v>0</v>
      </c>
      <c r="I124" s="23">
        <f>IFERROR(H124/H148, "NA")</f>
        <v>0</v>
      </c>
      <c r="J124" s="21">
        <f>SUM('4 - RASA - MVT'!J124,'5 - RASA - National Landin'!J124,'6 - RASA - Mosaic'!J124,'7 - RASA - Rockville'!J124)</f>
        <v>0</v>
      </c>
      <c r="K124" s="23">
        <f>IFERROR(J124/J148, "NA")</f>
        <v>0</v>
      </c>
      <c r="L124" s="21">
        <f>SUM('4 - RASA - MVT'!L124,'5 - RASA - National Landin'!L124,'6 - RASA - Mosaic'!L124,'7 - RASA - Rockville'!L124)</f>
        <v>0</v>
      </c>
      <c r="M124" s="23">
        <f>IFERROR(L124/L148, "NA")</f>
        <v>0</v>
      </c>
      <c r="N124" s="21">
        <f>SUM('4 - RASA - MVT'!N124,'5 - RASA - National Landin'!N124,'6 - RASA - Mosaic'!N124,'7 - RASA - Rockville'!N124)</f>
        <v>0</v>
      </c>
      <c r="O124" s="23">
        <f>IFERROR(N124/N148, "NA")</f>
        <v>0</v>
      </c>
      <c r="P124" s="21">
        <f>SUM('4 - RASA - MVT'!P124,'5 - RASA - National Landin'!P124,'6 - RASA - Mosaic'!P124,'7 - RASA - Rockville'!P124)</f>
        <v>0</v>
      </c>
      <c r="Q124" s="23">
        <f>IFERROR(P124/P148, "NA")</f>
        <v>0</v>
      </c>
      <c r="R124" s="21">
        <f>SUM('4 - RASA - MVT'!R124,'5 - RASA - National Landin'!R124,'6 - RASA - Mosaic'!R124,'7 - RASA - Rockville'!R124)</f>
        <v>0</v>
      </c>
      <c r="S124" s="23">
        <f>IFERROR(R124/R148, "NA")</f>
        <v>0</v>
      </c>
      <c r="T124" s="21">
        <f>SUM('4 - RASA - MVT'!T124,'5 - RASA - National Landin'!T124,'6 - RASA - Mosaic'!T124,'7 - RASA - Rockville'!T124)</f>
        <v>0</v>
      </c>
      <c r="U124" s="23">
        <f>IFERROR(T124/T148, "NA")</f>
        <v>0</v>
      </c>
      <c r="V124" s="21">
        <f>SUM('4 - RASA - MVT'!V124,'5 - RASA - National Landin'!V124,'6 - RASA - Mosaic'!V124,'7 - RASA - Rockville'!V124)</f>
        <v>0</v>
      </c>
      <c r="W124" s="23">
        <f>IFERROR(V124/V148, "NA")</f>
        <v>0</v>
      </c>
      <c r="X124" s="21">
        <f>SUM('4 - RASA - MVT'!X124,'5 - RASA - National Landin'!X124,'6 - RASA - Mosaic'!X124,'7 - RASA - Rockville'!X124)</f>
        <v>0</v>
      </c>
      <c r="Y124" s="23">
        <f>IFERROR(X124/X148, "NA")</f>
        <v>0</v>
      </c>
      <c r="Z124" s="21">
        <f>SUM('4 - RASA - MVT'!Z124,'5 - RASA - National Landin'!Z124,'6 - RASA - Mosaic'!Z124,'7 - RASA - Rockville'!Z124)</f>
        <v>0</v>
      </c>
      <c r="AA124" s="23">
        <f>IFERROR(Z124/Z148, "NA")</f>
        <v>0</v>
      </c>
      <c r="AB124" s="28">
        <f t="shared" si="55"/>
        <v>0</v>
      </c>
      <c r="AC124" s="23">
        <f>IFERROR(AB124/AB148, "NA")</f>
        <v>0</v>
      </c>
      <c r="AD124" s="29">
        <f t="shared" si="56"/>
        <v>0</v>
      </c>
      <c r="AE124" s="30">
        <f>IFERROR(AD124/AD148, "NA")</f>
        <v>0</v>
      </c>
      <c r="AF124" s="29" t="str">
        <f t="shared" si="57"/>
        <v>NA</v>
      </c>
      <c r="AG124" s="28">
        <f t="shared" si="58"/>
        <v>0</v>
      </c>
      <c r="AH124" s="23">
        <f>IFERROR(AG124/AG148, "NA")</f>
        <v>0</v>
      </c>
      <c r="AI124" s="29">
        <f t="shared" si="59"/>
        <v>0</v>
      </c>
      <c r="AJ124" s="30">
        <f>IFERROR(AI124/AI148, "NA")</f>
        <v>0</v>
      </c>
      <c r="AK124" s="29" t="str">
        <f t="shared" si="60"/>
        <v>NA</v>
      </c>
      <c r="AL124" s="30" t="str">
        <f>IFERROR(AK124/AK148, "NA")</f>
        <v>NA</v>
      </c>
    </row>
    <row r="125" ht="16.5" hidden="1" customHeight="1">
      <c r="A125" s="19" t="s">
        <v>235</v>
      </c>
      <c r="B125" s="21">
        <f>SUM('4 - RASA - MVT'!B125,'5 - RASA - National Landin'!B125,'6 - RASA - Mosaic'!B125,'7 - RASA - Rockville'!B125)</f>
        <v>0</v>
      </c>
      <c r="C125" s="23">
        <f>IFERROR(B125/B148, "NA")</f>
        <v>0</v>
      </c>
      <c r="D125" s="21">
        <f>SUM('4 - RASA - MVT'!D125,'5 - RASA - National Landin'!D125,'6 - RASA - Mosaic'!D125,'7 - RASA - Rockville'!D125)</f>
        <v>0</v>
      </c>
      <c r="E125" s="23">
        <f>IFERROR(D125/D148, "NA")</f>
        <v>0</v>
      </c>
      <c r="F125" s="21">
        <f>SUM('4 - RASA - MVT'!F125,'5 - RASA - National Landin'!F125,'6 - RASA - Mosaic'!F125,'7 - RASA - Rockville'!F125)</f>
        <v>0</v>
      </c>
      <c r="G125" s="23">
        <f>IFERROR(F125/F148, "NA")</f>
        <v>0</v>
      </c>
      <c r="H125" s="21">
        <f>SUM('4 - RASA - MVT'!H125,'5 - RASA - National Landin'!H125,'6 - RASA - Mosaic'!H125,'7 - RASA - Rockville'!H125)</f>
        <v>0</v>
      </c>
      <c r="I125" s="23">
        <f>IFERROR(H125/H148, "NA")</f>
        <v>0</v>
      </c>
      <c r="J125" s="21">
        <f>SUM('4 - RASA - MVT'!J125,'5 - RASA - National Landin'!J125,'6 - RASA - Mosaic'!J125,'7 - RASA - Rockville'!J125)</f>
        <v>0</v>
      </c>
      <c r="K125" s="23">
        <f>IFERROR(J125/J148, "NA")</f>
        <v>0</v>
      </c>
      <c r="L125" s="21">
        <f>SUM('4 - RASA - MVT'!L125,'5 - RASA - National Landin'!L125,'6 - RASA - Mosaic'!L125,'7 - RASA - Rockville'!L125)</f>
        <v>0</v>
      </c>
      <c r="M125" s="23">
        <f>IFERROR(L125/L148, "NA")</f>
        <v>0</v>
      </c>
      <c r="N125" s="21">
        <f>SUM('4 - RASA - MVT'!N125,'5 - RASA - National Landin'!N125,'6 - RASA - Mosaic'!N125,'7 - RASA - Rockville'!N125)</f>
        <v>0</v>
      </c>
      <c r="O125" s="23">
        <f>IFERROR(N125/N148, "NA")</f>
        <v>0</v>
      </c>
      <c r="P125" s="21">
        <f>SUM('4 - RASA - MVT'!P125,'5 - RASA - National Landin'!P125,'6 - RASA - Mosaic'!P125,'7 - RASA - Rockville'!P125)</f>
        <v>0</v>
      </c>
      <c r="Q125" s="23">
        <f>IFERROR(P125/P148, "NA")</f>
        <v>0</v>
      </c>
      <c r="R125" s="21">
        <f>SUM('4 - RASA - MVT'!R125,'5 - RASA - National Landin'!R125,'6 - RASA - Mosaic'!R125,'7 - RASA - Rockville'!R125)</f>
        <v>0</v>
      </c>
      <c r="S125" s="23">
        <f>IFERROR(R125/R148, "NA")</f>
        <v>0</v>
      </c>
      <c r="T125" s="21">
        <f>SUM('4 - RASA - MVT'!T125,'5 - RASA - National Landin'!T125,'6 - RASA - Mosaic'!T125,'7 - RASA - Rockville'!T125)</f>
        <v>0</v>
      </c>
      <c r="U125" s="23">
        <f>IFERROR(T125/T148, "NA")</f>
        <v>0</v>
      </c>
      <c r="V125" s="21">
        <f>SUM('4 - RASA - MVT'!V125,'5 - RASA - National Landin'!V125,'6 - RASA - Mosaic'!V125,'7 - RASA - Rockville'!V125)</f>
        <v>0</v>
      </c>
      <c r="W125" s="23">
        <f>IFERROR(V125/V148, "NA")</f>
        <v>0</v>
      </c>
      <c r="X125" s="21">
        <f>SUM('4 - RASA - MVT'!X125,'5 - RASA - National Landin'!X125,'6 - RASA - Mosaic'!X125,'7 - RASA - Rockville'!X125)</f>
        <v>0</v>
      </c>
      <c r="Y125" s="23">
        <f>IFERROR(X125/X148, "NA")</f>
        <v>0</v>
      </c>
      <c r="Z125" s="21">
        <f>SUM('4 - RASA - MVT'!Z125,'5 - RASA - National Landin'!Z125,'6 - RASA - Mosaic'!Z125,'7 - RASA - Rockville'!Z125)</f>
        <v>0</v>
      </c>
      <c r="AA125" s="23">
        <f>IFERROR(Z125/Z148, "NA")</f>
        <v>0</v>
      </c>
      <c r="AB125" s="28">
        <f t="shared" si="55"/>
        <v>0</v>
      </c>
      <c r="AC125" s="23">
        <f>IFERROR(AB125/AB148, "NA")</f>
        <v>0</v>
      </c>
      <c r="AD125" s="29">
        <f t="shared" si="56"/>
        <v>0</v>
      </c>
      <c r="AE125" s="30">
        <f>IFERROR(AD125/AD148, "NA")</f>
        <v>0</v>
      </c>
      <c r="AF125" s="29" t="str">
        <f t="shared" si="57"/>
        <v>NA</v>
      </c>
      <c r="AG125" s="28">
        <f t="shared" si="58"/>
        <v>0</v>
      </c>
      <c r="AH125" s="23">
        <f>IFERROR(AG125/AG148, "NA")</f>
        <v>0</v>
      </c>
      <c r="AI125" s="29">
        <f t="shared" si="59"/>
        <v>0</v>
      </c>
      <c r="AJ125" s="30">
        <f>IFERROR(AI125/AI148, "NA")</f>
        <v>0</v>
      </c>
      <c r="AK125" s="29" t="str">
        <f t="shared" si="60"/>
        <v>NA</v>
      </c>
      <c r="AL125" s="30" t="str">
        <f>IFERROR(AK125/AK148, "NA")</f>
        <v>NA</v>
      </c>
    </row>
    <row r="126" ht="16.5" hidden="1" customHeight="1">
      <c r="A126" s="19" t="s">
        <v>236</v>
      </c>
      <c r="B126" s="21">
        <f>SUM('4 - RASA - MVT'!B126,'5 - RASA - National Landin'!B126,'6 - RASA - Mosaic'!B126,'7 - RASA - Rockville'!B126)</f>
        <v>0</v>
      </c>
      <c r="C126" s="23">
        <f>IFERROR(B126/B148, "NA")</f>
        <v>0</v>
      </c>
      <c r="D126" s="21">
        <f>SUM('4 - RASA - MVT'!D126,'5 - RASA - National Landin'!D126,'6 - RASA - Mosaic'!D126,'7 - RASA - Rockville'!D126)</f>
        <v>0</v>
      </c>
      <c r="E126" s="23">
        <f>IFERROR(D126/D148, "NA")</f>
        <v>0</v>
      </c>
      <c r="F126" s="21">
        <f>SUM('4 - RASA - MVT'!F126,'5 - RASA - National Landin'!F126,'6 - RASA - Mosaic'!F126,'7 - RASA - Rockville'!F126)</f>
        <v>0</v>
      </c>
      <c r="G126" s="23">
        <f>IFERROR(F126/F148, "NA")</f>
        <v>0</v>
      </c>
      <c r="H126" s="21">
        <f>SUM('4 - RASA - MVT'!H126,'5 - RASA - National Landin'!H126,'6 - RASA - Mosaic'!H126,'7 - RASA - Rockville'!H126)</f>
        <v>0</v>
      </c>
      <c r="I126" s="23">
        <f>IFERROR(H126/H148, "NA")</f>
        <v>0</v>
      </c>
      <c r="J126" s="21">
        <f>SUM('4 - RASA - MVT'!J126,'5 - RASA - National Landin'!J126,'6 - RASA - Mosaic'!J126,'7 - RASA - Rockville'!J126)</f>
        <v>0</v>
      </c>
      <c r="K126" s="23">
        <f>IFERROR(J126/J148, "NA")</f>
        <v>0</v>
      </c>
      <c r="L126" s="21">
        <f>SUM('4 - RASA - MVT'!L126,'5 - RASA - National Landin'!L126,'6 - RASA - Mosaic'!L126,'7 - RASA - Rockville'!L126)</f>
        <v>0</v>
      </c>
      <c r="M126" s="23">
        <f>IFERROR(L126/L148, "NA")</f>
        <v>0</v>
      </c>
      <c r="N126" s="21">
        <f>SUM('4 - RASA - MVT'!N126,'5 - RASA - National Landin'!N126,'6 - RASA - Mosaic'!N126,'7 - RASA - Rockville'!N126)</f>
        <v>0</v>
      </c>
      <c r="O126" s="23">
        <f>IFERROR(N126/N148, "NA")</f>
        <v>0</v>
      </c>
      <c r="P126" s="21">
        <f>SUM('4 - RASA - MVT'!P126,'5 - RASA - National Landin'!P126,'6 - RASA - Mosaic'!P126,'7 - RASA - Rockville'!P126)</f>
        <v>0</v>
      </c>
      <c r="Q126" s="23">
        <f>IFERROR(P126/P148, "NA")</f>
        <v>0</v>
      </c>
      <c r="R126" s="21">
        <f>SUM('4 - RASA - MVT'!R126,'5 - RASA - National Landin'!R126,'6 - RASA - Mosaic'!R126,'7 - RASA - Rockville'!R126)</f>
        <v>0</v>
      </c>
      <c r="S126" s="23">
        <f>IFERROR(R126/R148, "NA")</f>
        <v>0</v>
      </c>
      <c r="T126" s="21">
        <f>SUM('4 - RASA - MVT'!T126,'5 - RASA - National Landin'!T126,'6 - RASA - Mosaic'!T126,'7 - RASA - Rockville'!T126)</f>
        <v>0</v>
      </c>
      <c r="U126" s="23">
        <f>IFERROR(T126/T148, "NA")</f>
        <v>0</v>
      </c>
      <c r="V126" s="21">
        <f>SUM('4 - RASA - MVT'!V126,'5 - RASA - National Landin'!V126,'6 - RASA - Mosaic'!V126,'7 - RASA - Rockville'!V126)</f>
        <v>0</v>
      </c>
      <c r="W126" s="23">
        <f>IFERROR(V126/V148, "NA")</f>
        <v>0</v>
      </c>
      <c r="X126" s="21">
        <f>SUM('4 - RASA - MVT'!X126,'5 - RASA - National Landin'!X126,'6 - RASA - Mosaic'!X126,'7 - RASA - Rockville'!X126)</f>
        <v>0</v>
      </c>
      <c r="Y126" s="23">
        <f>IFERROR(X126/X148, "NA")</f>
        <v>0</v>
      </c>
      <c r="Z126" s="21">
        <f>SUM('4 - RASA - MVT'!Z126,'5 - RASA - National Landin'!Z126,'6 - RASA - Mosaic'!Z126,'7 - RASA - Rockville'!Z126)</f>
        <v>0</v>
      </c>
      <c r="AA126" s="23">
        <f>IFERROR(Z126/Z148, "NA")</f>
        <v>0</v>
      </c>
      <c r="AB126" s="28">
        <f t="shared" si="55"/>
        <v>0</v>
      </c>
      <c r="AC126" s="23">
        <f>IFERROR(AB126/AB148, "NA")</f>
        <v>0</v>
      </c>
      <c r="AD126" s="29">
        <f t="shared" si="56"/>
        <v>0</v>
      </c>
      <c r="AE126" s="30">
        <f>IFERROR(AD126/AD148, "NA")</f>
        <v>0</v>
      </c>
      <c r="AF126" s="29" t="str">
        <f t="shared" si="57"/>
        <v>NA</v>
      </c>
      <c r="AG126" s="28">
        <f t="shared" si="58"/>
        <v>0</v>
      </c>
      <c r="AH126" s="23">
        <f>IFERROR(AG126/AG148, "NA")</f>
        <v>0</v>
      </c>
      <c r="AI126" s="29">
        <f t="shared" si="59"/>
        <v>0</v>
      </c>
      <c r="AJ126" s="30">
        <f>IFERROR(AI126/AI148, "NA")</f>
        <v>0</v>
      </c>
      <c r="AK126" s="29" t="str">
        <f t="shared" si="60"/>
        <v>NA</v>
      </c>
      <c r="AL126" s="30" t="str">
        <f>IFERROR(AK126/AK148, "NA")</f>
        <v>NA</v>
      </c>
    </row>
    <row r="127" ht="16.5" hidden="1" customHeight="1">
      <c r="A127" s="19" t="s">
        <v>237</v>
      </c>
      <c r="B127" s="21">
        <f>SUM('4 - RASA - MVT'!B127,'5 - RASA - National Landin'!B127,'6 - RASA - Mosaic'!B127,'7 - RASA - Rockville'!B127)</f>
        <v>0</v>
      </c>
      <c r="C127" s="23">
        <f>IFERROR(B127/B148, "NA")</f>
        <v>0</v>
      </c>
      <c r="D127" s="21">
        <f>SUM('4 - RASA - MVT'!D127,'5 - RASA - National Landin'!D127,'6 - RASA - Mosaic'!D127,'7 - RASA - Rockville'!D127)</f>
        <v>0</v>
      </c>
      <c r="E127" s="23">
        <f>IFERROR(D127/D148, "NA")</f>
        <v>0</v>
      </c>
      <c r="F127" s="21">
        <f>SUM('4 - RASA - MVT'!F127,'5 - RASA - National Landin'!F127,'6 - RASA - Mosaic'!F127,'7 - RASA - Rockville'!F127)</f>
        <v>0</v>
      </c>
      <c r="G127" s="23">
        <f>IFERROR(F127/F148, "NA")</f>
        <v>0</v>
      </c>
      <c r="H127" s="21">
        <f>SUM('4 - RASA - MVT'!H127,'5 - RASA - National Landin'!H127,'6 - RASA - Mosaic'!H127,'7 - RASA - Rockville'!H127)</f>
        <v>0</v>
      </c>
      <c r="I127" s="23">
        <f>IFERROR(H127/H148, "NA")</f>
        <v>0</v>
      </c>
      <c r="J127" s="21">
        <f>SUM('4 - RASA - MVT'!J127,'5 - RASA - National Landin'!J127,'6 - RASA - Mosaic'!J127,'7 - RASA - Rockville'!J127)</f>
        <v>0</v>
      </c>
      <c r="K127" s="23">
        <f>IFERROR(J127/J148, "NA")</f>
        <v>0</v>
      </c>
      <c r="L127" s="21">
        <f>SUM('4 - RASA - MVT'!L127,'5 - RASA - National Landin'!L127,'6 - RASA - Mosaic'!L127,'7 - RASA - Rockville'!L127)</f>
        <v>0</v>
      </c>
      <c r="M127" s="23">
        <f>IFERROR(L127/L148, "NA")</f>
        <v>0</v>
      </c>
      <c r="N127" s="21">
        <f>SUM('4 - RASA - MVT'!N127,'5 - RASA - National Landin'!N127,'6 - RASA - Mosaic'!N127,'7 - RASA - Rockville'!N127)</f>
        <v>0</v>
      </c>
      <c r="O127" s="23">
        <f>IFERROR(N127/N148, "NA")</f>
        <v>0</v>
      </c>
      <c r="P127" s="21">
        <f>SUM('4 - RASA - MVT'!P127,'5 - RASA - National Landin'!P127,'6 - RASA - Mosaic'!P127,'7 - RASA - Rockville'!P127)</f>
        <v>0</v>
      </c>
      <c r="Q127" s="23">
        <f>IFERROR(P127/P148, "NA")</f>
        <v>0</v>
      </c>
      <c r="R127" s="21">
        <f>SUM('4 - RASA - MVT'!R127,'5 - RASA - National Landin'!R127,'6 - RASA - Mosaic'!R127,'7 - RASA - Rockville'!R127)</f>
        <v>0</v>
      </c>
      <c r="S127" s="23">
        <f>IFERROR(R127/R148, "NA")</f>
        <v>0</v>
      </c>
      <c r="T127" s="21">
        <f>SUM('4 - RASA - MVT'!T127,'5 - RASA - National Landin'!T127,'6 - RASA - Mosaic'!T127,'7 - RASA - Rockville'!T127)</f>
        <v>0</v>
      </c>
      <c r="U127" s="23">
        <f>IFERROR(T127/T148, "NA")</f>
        <v>0</v>
      </c>
      <c r="V127" s="21">
        <f>SUM('4 - RASA - MVT'!V127,'5 - RASA - National Landin'!V127,'6 - RASA - Mosaic'!V127,'7 - RASA - Rockville'!V127)</f>
        <v>0</v>
      </c>
      <c r="W127" s="23">
        <f>IFERROR(V127/V148, "NA")</f>
        <v>0</v>
      </c>
      <c r="X127" s="21">
        <f>SUM('4 - RASA - MVT'!X127,'5 - RASA - National Landin'!X127,'6 - RASA - Mosaic'!X127,'7 - RASA - Rockville'!X127)</f>
        <v>0</v>
      </c>
      <c r="Y127" s="23">
        <f>IFERROR(X127/X148, "NA")</f>
        <v>0</v>
      </c>
      <c r="Z127" s="21">
        <f>SUM('4 - RASA - MVT'!Z127,'5 - RASA - National Landin'!Z127,'6 - RASA - Mosaic'!Z127,'7 - RASA - Rockville'!Z127)</f>
        <v>0</v>
      </c>
      <c r="AA127" s="23">
        <f>IFERROR(Z127/Z148, "NA")</f>
        <v>0</v>
      </c>
      <c r="AB127" s="28">
        <f t="shared" si="55"/>
        <v>0</v>
      </c>
      <c r="AC127" s="23">
        <f>IFERROR(AB127/AB148, "NA")</f>
        <v>0</v>
      </c>
      <c r="AD127" s="29">
        <f t="shared" si="56"/>
        <v>0</v>
      </c>
      <c r="AE127" s="30">
        <f>IFERROR(AD127/AD148, "NA")</f>
        <v>0</v>
      </c>
      <c r="AF127" s="29" t="str">
        <f t="shared" si="57"/>
        <v>NA</v>
      </c>
      <c r="AG127" s="28">
        <f t="shared" si="58"/>
        <v>0</v>
      </c>
      <c r="AH127" s="23">
        <f>IFERROR(AG127/AG148, "NA")</f>
        <v>0</v>
      </c>
      <c r="AI127" s="29">
        <f t="shared" si="59"/>
        <v>0</v>
      </c>
      <c r="AJ127" s="30">
        <f>IFERROR(AI127/AI148, "NA")</f>
        <v>0</v>
      </c>
      <c r="AK127" s="29" t="str">
        <f t="shared" si="60"/>
        <v>NA</v>
      </c>
      <c r="AL127" s="30" t="str">
        <f>IFERROR(AK127/AK148, "NA")</f>
        <v>NA</v>
      </c>
    </row>
    <row r="128" ht="16.5" hidden="1" customHeight="1">
      <c r="A128" s="19" t="s">
        <v>238</v>
      </c>
      <c r="B128" s="21">
        <f>SUM('4 - RASA - MVT'!B128,'5 - RASA - National Landin'!B128,'6 - RASA - Mosaic'!B128,'7 - RASA - Rockville'!B128)</f>
        <v>2594.14</v>
      </c>
      <c r="C128" s="23">
        <f>IFERROR(B128/B148, "NA")</f>
        <v>0.01583123569</v>
      </c>
      <c r="D128" s="21">
        <f>SUM('4 - RASA - MVT'!D128,'5 - RASA - National Landin'!D128,'6 - RASA - Mosaic'!D128,'7 - RASA - Rockville'!D128)</f>
        <v>2373.91</v>
      </c>
      <c r="E128" s="23">
        <f>IFERROR(D128/D148, "NA")</f>
        <v>0.01571859236</v>
      </c>
      <c r="F128" s="21">
        <f>SUM('4 - RASA - MVT'!F128,'5 - RASA - National Landin'!F128,'6 - RASA - Mosaic'!F128,'7 - RASA - Rockville'!F128)</f>
        <v>-7866.98</v>
      </c>
      <c r="G128" s="23">
        <f>IFERROR(F128/F148, "NA")</f>
        <v>-0.06633936241</v>
      </c>
      <c r="H128" s="21">
        <f>SUM('4 - RASA - MVT'!H128,'5 - RASA - National Landin'!H128,'6 - RASA - Mosaic'!H128,'7 - RASA - Rockville'!H128)</f>
        <v>2044.75</v>
      </c>
      <c r="I128" s="23">
        <f>IFERROR(H128/H148, "NA")</f>
        <v>0.03217837909</v>
      </c>
      <c r="J128" s="21">
        <f>SUM('4 - RASA - MVT'!J128,'5 - RASA - National Landin'!J128,'6 - RASA - Mosaic'!J128,'7 - RASA - Rockville'!J128)</f>
        <v>2757.89</v>
      </c>
      <c r="K128" s="23">
        <f>IFERROR(J128/J148, "NA")</f>
        <v>0.02319084243</v>
      </c>
      <c r="L128" s="21">
        <f>SUM('4 - RASA - MVT'!L128,'5 - RASA - National Landin'!L128,'6 - RASA - Mosaic'!L128,'7 - RASA - Rockville'!L128)</f>
        <v>2982.19</v>
      </c>
      <c r="M128" s="23">
        <f>IFERROR(L128/L148, "NA")</f>
        <v>0.02606925658</v>
      </c>
      <c r="N128" s="21">
        <f>SUM('4 - RASA - MVT'!N128,'5 - RASA - National Landin'!N128,'6 - RASA - Mosaic'!N128,'7 - RASA - Rockville'!N128)</f>
        <v>2552.49</v>
      </c>
      <c r="O128" s="23">
        <f>IFERROR(N128/N148, "NA")</f>
        <v>0.02493233567</v>
      </c>
      <c r="P128" s="21">
        <f>SUM('4 - RASA - MVT'!P128,'5 - RASA - National Landin'!P128,'6 - RASA - Mosaic'!P128,'7 - RASA - Rockville'!P128)</f>
        <v>-10337.32</v>
      </c>
      <c r="Q128" s="23">
        <f>IFERROR(P128/P148, "NA")</f>
        <v>-0.2122407179</v>
      </c>
      <c r="R128" s="21">
        <f>SUM('4 - RASA - MVT'!R128,'5 - RASA - National Landin'!R128,'6 - RASA - Mosaic'!R128,'7 - RASA - Rockville'!R128)</f>
        <v>3009.72</v>
      </c>
      <c r="S128" s="23">
        <f>IFERROR(R128/R148, "NA")</f>
        <v>0.04953962543</v>
      </c>
      <c r="T128" s="21">
        <f>SUM('4 - RASA - MVT'!T128,'5 - RASA - National Landin'!T128,'6 - RASA - Mosaic'!T128,'7 - RASA - Rockville'!T128)</f>
        <v>2493.69</v>
      </c>
      <c r="U128" s="23">
        <f>IFERROR(T128/T148, "NA")</f>
        <v>0.02664489933</v>
      </c>
      <c r="V128" s="21">
        <f>SUM('4 - RASA - MVT'!V128,'5 - RASA - National Landin'!V128,'6 - RASA - Mosaic'!V128,'7 - RASA - Rockville'!V128)</f>
        <v>2698.74</v>
      </c>
      <c r="W128" s="23">
        <f>IFERROR(V128/V148, "NA")</f>
        <v>0.0238284946</v>
      </c>
      <c r="X128" s="21">
        <f>SUM('4 - RASA - MVT'!X128,'5 - RASA - National Landin'!X128,'6 - RASA - Mosaic'!X128,'7 - RASA - Rockville'!X128)</f>
        <v>2162.03</v>
      </c>
      <c r="Y128" s="23">
        <f>IFERROR(X128/X148, "NA")</f>
        <v>0.0225427399</v>
      </c>
      <c r="Z128" s="21">
        <f>SUM('4 - RASA - MVT'!Z128,'5 - RASA - National Landin'!Z128,'6 - RASA - Mosaic'!Z128,'7 - RASA - Rockville'!Z128)</f>
        <v>10364.18</v>
      </c>
      <c r="AA128" s="23">
        <f>IFERROR(Z128/Z148, "NA")</f>
        <v>0.02851152507</v>
      </c>
      <c r="AB128" s="28">
        <f t="shared" si="55"/>
        <v>2591.045</v>
      </c>
      <c r="AC128" s="23">
        <f>IFERROR(AB128/AB148, "NA")</f>
        <v>0.02851152507</v>
      </c>
      <c r="AD128" s="29">
        <f t="shared" si="56"/>
        <v>-429.015</v>
      </c>
      <c r="AE128" s="30">
        <f>IFERROR(AD128/AD148, "NA")</f>
        <v>-0.08527548584</v>
      </c>
      <c r="AF128" s="29">
        <f t="shared" si="57"/>
        <v>-0.1655760514</v>
      </c>
      <c r="AG128" s="28">
        <f t="shared" si="58"/>
        <v>1039.92875</v>
      </c>
      <c r="AH128" s="23">
        <f>IFERROR(AG128/AG148, "NA")</f>
        <v>0.01112361296</v>
      </c>
      <c r="AI128" s="29">
        <f t="shared" si="59"/>
        <v>1122.10125</v>
      </c>
      <c r="AJ128" s="30">
        <f>IFERROR(AI128/AI148, "NA")</f>
        <v>0.4637467105</v>
      </c>
      <c r="AK128" s="29">
        <f t="shared" si="60"/>
        <v>1.079017433</v>
      </c>
      <c r="AL128" s="30">
        <f>IFERROR(AK128/AK148, "NA")</f>
        <v>41.69029543</v>
      </c>
    </row>
    <row r="129" ht="16.5" hidden="1" customHeight="1">
      <c r="A129" s="19" t="s">
        <v>239</v>
      </c>
      <c r="B129" s="21">
        <f>SUM('4 - RASA - MVT'!B129,'5 - RASA - National Landin'!B129,'6 - RASA - Mosaic'!B129,'7 - RASA - Rockville'!B129)</f>
        <v>0</v>
      </c>
      <c r="C129" s="23">
        <f>IFERROR(B129/B148, "NA")</f>
        <v>0</v>
      </c>
      <c r="D129" s="21">
        <f>SUM('4 - RASA - MVT'!D129,'5 - RASA - National Landin'!D129,'6 - RASA - Mosaic'!D129,'7 - RASA - Rockville'!D129)</f>
        <v>0</v>
      </c>
      <c r="E129" s="23">
        <f>IFERROR(D129/D148, "NA")</f>
        <v>0</v>
      </c>
      <c r="F129" s="21">
        <f>SUM('4 - RASA - MVT'!F129,'5 - RASA - National Landin'!F129,'6 - RASA - Mosaic'!F129,'7 - RASA - Rockville'!F129)</f>
        <v>0</v>
      </c>
      <c r="G129" s="23">
        <f>IFERROR(F129/F148, "NA")</f>
        <v>0</v>
      </c>
      <c r="H129" s="21">
        <f>SUM('4 - RASA - MVT'!H129,'5 - RASA - National Landin'!H129,'6 - RASA - Mosaic'!H129,'7 - RASA - Rockville'!H129)</f>
        <v>0</v>
      </c>
      <c r="I129" s="23">
        <f>IFERROR(H129/H148, "NA")</f>
        <v>0</v>
      </c>
      <c r="J129" s="21">
        <f>SUM('4 - RASA - MVT'!J129,'5 - RASA - National Landin'!J129,'6 - RASA - Mosaic'!J129,'7 - RASA - Rockville'!J129)</f>
        <v>0</v>
      </c>
      <c r="K129" s="23">
        <f>IFERROR(J129/J148, "NA")</f>
        <v>0</v>
      </c>
      <c r="L129" s="21">
        <f>SUM('4 - RASA - MVT'!L129,'5 - RASA - National Landin'!L129,'6 - RASA - Mosaic'!L129,'7 - RASA - Rockville'!L129)</f>
        <v>0</v>
      </c>
      <c r="M129" s="23">
        <f>IFERROR(L129/L148, "NA")</f>
        <v>0</v>
      </c>
      <c r="N129" s="21">
        <f>SUM('4 - RASA - MVT'!N129,'5 - RASA - National Landin'!N129,'6 - RASA - Mosaic'!N129,'7 - RASA - Rockville'!N129)</f>
        <v>0</v>
      </c>
      <c r="O129" s="23">
        <f>IFERROR(N129/N148, "NA")</f>
        <v>0</v>
      </c>
      <c r="P129" s="21">
        <f>SUM('4 - RASA - MVT'!P129,'5 - RASA - National Landin'!P129,'6 - RASA - Mosaic'!P129,'7 - RASA - Rockville'!P129)</f>
        <v>0</v>
      </c>
      <c r="Q129" s="23">
        <f>IFERROR(P129/P148, "NA")</f>
        <v>0</v>
      </c>
      <c r="R129" s="21">
        <f>SUM('4 - RASA - MVT'!R129,'5 - RASA - National Landin'!R129,'6 - RASA - Mosaic'!R129,'7 - RASA - Rockville'!R129)</f>
        <v>0</v>
      </c>
      <c r="S129" s="23">
        <f>IFERROR(R129/R148, "NA")</f>
        <v>0</v>
      </c>
      <c r="T129" s="21">
        <f>SUM('4 - RASA - MVT'!T129,'5 - RASA - National Landin'!T129,'6 - RASA - Mosaic'!T129,'7 - RASA - Rockville'!T129)</f>
        <v>0</v>
      </c>
      <c r="U129" s="23">
        <f>IFERROR(T129/T148, "NA")</f>
        <v>0</v>
      </c>
      <c r="V129" s="21">
        <f>SUM('4 - RASA - MVT'!V129,'5 - RASA - National Landin'!V129,'6 - RASA - Mosaic'!V129,'7 - RASA - Rockville'!V129)</f>
        <v>0</v>
      </c>
      <c r="W129" s="23">
        <f>IFERROR(V129/V148, "NA")</f>
        <v>0</v>
      </c>
      <c r="X129" s="21">
        <f>SUM('4 - RASA - MVT'!X129,'5 - RASA - National Landin'!X129,'6 - RASA - Mosaic'!X129,'7 - RASA - Rockville'!X129)</f>
        <v>0</v>
      </c>
      <c r="Y129" s="23">
        <f>IFERROR(X129/X148, "NA")</f>
        <v>0</v>
      </c>
      <c r="Z129" s="21">
        <f>SUM('4 - RASA - MVT'!Z129,'5 - RASA - National Landin'!Z129,'6 - RASA - Mosaic'!Z129,'7 - RASA - Rockville'!Z129)</f>
        <v>0</v>
      </c>
      <c r="AA129" s="23">
        <f>IFERROR(Z129/Z148, "NA")</f>
        <v>0</v>
      </c>
      <c r="AB129" s="28">
        <f t="shared" si="55"/>
        <v>0</v>
      </c>
      <c r="AC129" s="23">
        <f>IFERROR(AB129/AB148, "NA")</f>
        <v>0</v>
      </c>
      <c r="AD129" s="29">
        <f t="shared" si="56"/>
        <v>0</v>
      </c>
      <c r="AE129" s="30">
        <f>IFERROR(AD129/AD148, "NA")</f>
        <v>0</v>
      </c>
      <c r="AF129" s="29" t="str">
        <f t="shared" si="57"/>
        <v>NA</v>
      </c>
      <c r="AG129" s="28">
        <f t="shared" si="58"/>
        <v>0</v>
      </c>
      <c r="AH129" s="23">
        <f>IFERROR(AG129/AG148, "NA")</f>
        <v>0</v>
      </c>
      <c r="AI129" s="29">
        <f t="shared" si="59"/>
        <v>0</v>
      </c>
      <c r="AJ129" s="30">
        <f>IFERROR(AI129/AI148, "NA")</f>
        <v>0</v>
      </c>
      <c r="AK129" s="29" t="str">
        <f t="shared" si="60"/>
        <v>NA</v>
      </c>
      <c r="AL129" s="30" t="str">
        <f>IFERROR(AK129/AK148, "NA")</f>
        <v>NA</v>
      </c>
    </row>
    <row r="130" ht="16.5" hidden="1" customHeight="1">
      <c r="A130" s="19" t="s">
        <v>240</v>
      </c>
      <c r="B130" s="21">
        <f>SUM('4 - RASA - MVT'!B130,'5 - RASA - National Landin'!B130,'6 - RASA - Mosaic'!B130,'7 - RASA - Rockville'!B130)</f>
        <v>0</v>
      </c>
      <c r="C130" s="23">
        <f>IFERROR(B130/B148, "NA")</f>
        <v>0</v>
      </c>
      <c r="D130" s="21">
        <f>SUM('4 - RASA - MVT'!D130,'5 - RASA - National Landin'!D130,'6 - RASA - Mosaic'!D130,'7 - RASA - Rockville'!D130)</f>
        <v>0</v>
      </c>
      <c r="E130" s="23">
        <f>IFERROR(D130/D148, "NA")</f>
        <v>0</v>
      </c>
      <c r="F130" s="21">
        <f>SUM('4 - RASA - MVT'!F130,'5 - RASA - National Landin'!F130,'6 - RASA - Mosaic'!F130,'7 - RASA - Rockville'!F130)</f>
        <v>0</v>
      </c>
      <c r="G130" s="23">
        <f>IFERROR(F130/F148, "NA")</f>
        <v>0</v>
      </c>
      <c r="H130" s="21">
        <f>SUM('4 - RASA - MVT'!H130,'5 - RASA - National Landin'!H130,'6 - RASA - Mosaic'!H130,'7 - RASA - Rockville'!H130)</f>
        <v>0</v>
      </c>
      <c r="I130" s="23">
        <f>IFERROR(H130/H148, "NA")</f>
        <v>0</v>
      </c>
      <c r="J130" s="21">
        <f>SUM('4 - RASA - MVT'!J130,'5 - RASA - National Landin'!J130,'6 - RASA - Mosaic'!J130,'7 - RASA - Rockville'!J130)</f>
        <v>0</v>
      </c>
      <c r="K130" s="23">
        <f>IFERROR(J130/J148, "NA")</f>
        <v>0</v>
      </c>
      <c r="L130" s="21">
        <f>SUM('4 - RASA - MVT'!L130,'5 - RASA - National Landin'!L130,'6 - RASA - Mosaic'!L130,'7 - RASA - Rockville'!L130)</f>
        <v>0</v>
      </c>
      <c r="M130" s="23">
        <f>IFERROR(L130/L148, "NA")</f>
        <v>0</v>
      </c>
      <c r="N130" s="21">
        <f>SUM('4 - RASA - MVT'!N130,'5 - RASA - National Landin'!N130,'6 - RASA - Mosaic'!N130,'7 - RASA - Rockville'!N130)</f>
        <v>0</v>
      </c>
      <c r="O130" s="23">
        <f>IFERROR(N130/N148, "NA")</f>
        <v>0</v>
      </c>
      <c r="P130" s="21">
        <f>SUM('4 - RASA - MVT'!P130,'5 - RASA - National Landin'!P130,'6 - RASA - Mosaic'!P130,'7 - RASA - Rockville'!P130)</f>
        <v>0</v>
      </c>
      <c r="Q130" s="23">
        <f>IFERROR(P130/P148, "NA")</f>
        <v>0</v>
      </c>
      <c r="R130" s="21">
        <f>SUM('4 - RASA - MVT'!R130,'5 - RASA - National Landin'!R130,'6 - RASA - Mosaic'!R130,'7 - RASA - Rockville'!R130)</f>
        <v>0</v>
      </c>
      <c r="S130" s="23">
        <f>IFERROR(R130/R148, "NA")</f>
        <v>0</v>
      </c>
      <c r="T130" s="21">
        <f>SUM('4 - RASA - MVT'!T130,'5 - RASA - National Landin'!T130,'6 - RASA - Mosaic'!T130,'7 - RASA - Rockville'!T130)</f>
        <v>0</v>
      </c>
      <c r="U130" s="23">
        <f>IFERROR(T130/T148, "NA")</f>
        <v>0</v>
      </c>
      <c r="V130" s="21">
        <f>SUM('4 - RASA - MVT'!V130,'5 - RASA - National Landin'!V130,'6 - RASA - Mosaic'!V130,'7 - RASA - Rockville'!V130)</f>
        <v>0</v>
      </c>
      <c r="W130" s="23">
        <f>IFERROR(V130/V148, "NA")</f>
        <v>0</v>
      </c>
      <c r="X130" s="21">
        <f>SUM('4 - RASA - MVT'!X130,'5 - RASA - National Landin'!X130,'6 - RASA - Mosaic'!X130,'7 - RASA - Rockville'!X130)</f>
        <v>0</v>
      </c>
      <c r="Y130" s="23">
        <f>IFERROR(X130/X148, "NA")</f>
        <v>0</v>
      </c>
      <c r="Z130" s="21">
        <f>SUM('4 - RASA - MVT'!Z130,'5 - RASA - National Landin'!Z130,'6 - RASA - Mosaic'!Z130,'7 - RASA - Rockville'!Z130)</f>
        <v>0</v>
      </c>
      <c r="AA130" s="23">
        <f>IFERROR(Z130/Z148, "NA")</f>
        <v>0</v>
      </c>
      <c r="AB130" s="28">
        <f t="shared" si="55"/>
        <v>0</v>
      </c>
      <c r="AC130" s="23">
        <f>IFERROR(AB130/AB148, "NA")</f>
        <v>0</v>
      </c>
      <c r="AD130" s="29">
        <f t="shared" si="56"/>
        <v>0</v>
      </c>
      <c r="AE130" s="30">
        <f>IFERROR(AD130/AD148, "NA")</f>
        <v>0</v>
      </c>
      <c r="AF130" s="29" t="str">
        <f t="shared" si="57"/>
        <v>NA</v>
      </c>
      <c r="AG130" s="28">
        <f t="shared" si="58"/>
        <v>0</v>
      </c>
      <c r="AH130" s="23">
        <f>IFERROR(AG130/AG148, "NA")</f>
        <v>0</v>
      </c>
      <c r="AI130" s="29">
        <f t="shared" si="59"/>
        <v>0</v>
      </c>
      <c r="AJ130" s="30">
        <f>IFERROR(AI130/AI148, "NA")</f>
        <v>0</v>
      </c>
      <c r="AK130" s="29" t="str">
        <f t="shared" si="60"/>
        <v>NA</v>
      </c>
      <c r="AL130" s="30" t="str">
        <f>IFERROR(AK130/AK148, "NA")</f>
        <v>NA</v>
      </c>
    </row>
    <row r="131" ht="16.5" hidden="1" customHeight="1">
      <c r="A131" s="19" t="s">
        <v>241</v>
      </c>
      <c r="B131" s="21">
        <f>SUM('4 - RASA - MVT'!B131,'5 - RASA - National Landin'!B131,'6 - RASA - Mosaic'!B131,'7 - RASA - Rockville'!B131)</f>
        <v>0</v>
      </c>
      <c r="C131" s="23">
        <f>IFERROR(B131/B148, "NA")</f>
        <v>0</v>
      </c>
      <c r="D131" s="21">
        <f>SUM('4 - RASA - MVT'!D131,'5 - RASA - National Landin'!D131,'6 - RASA - Mosaic'!D131,'7 - RASA - Rockville'!D131)</f>
        <v>0</v>
      </c>
      <c r="E131" s="23">
        <f>IFERROR(D131/D148, "NA")</f>
        <v>0</v>
      </c>
      <c r="F131" s="21">
        <f>SUM('4 - RASA - MVT'!F131,'5 - RASA - National Landin'!F131,'6 - RASA - Mosaic'!F131,'7 - RASA - Rockville'!F131)</f>
        <v>0</v>
      </c>
      <c r="G131" s="23">
        <f>IFERROR(F131/F148, "NA")</f>
        <v>0</v>
      </c>
      <c r="H131" s="21">
        <f>SUM('4 - RASA - MVT'!H131,'5 - RASA - National Landin'!H131,'6 - RASA - Mosaic'!H131,'7 - RASA - Rockville'!H131)</f>
        <v>0</v>
      </c>
      <c r="I131" s="23">
        <f>IFERROR(H131/H148, "NA")</f>
        <v>0</v>
      </c>
      <c r="J131" s="21">
        <f>SUM('4 - RASA - MVT'!J131,'5 - RASA - National Landin'!J131,'6 - RASA - Mosaic'!J131,'7 - RASA - Rockville'!J131)</f>
        <v>0</v>
      </c>
      <c r="K131" s="23">
        <f>IFERROR(J131/J148, "NA")</f>
        <v>0</v>
      </c>
      <c r="L131" s="21">
        <f>SUM('4 - RASA - MVT'!L131,'5 - RASA - National Landin'!L131,'6 - RASA - Mosaic'!L131,'7 - RASA - Rockville'!L131)</f>
        <v>0</v>
      </c>
      <c r="M131" s="23">
        <f>IFERROR(L131/L148, "NA")</f>
        <v>0</v>
      </c>
      <c r="N131" s="21">
        <f>SUM('4 - RASA - MVT'!N131,'5 - RASA - National Landin'!N131,'6 - RASA - Mosaic'!N131,'7 - RASA - Rockville'!N131)</f>
        <v>0</v>
      </c>
      <c r="O131" s="23">
        <f>IFERROR(N131/N148, "NA")</f>
        <v>0</v>
      </c>
      <c r="P131" s="21">
        <f>SUM('4 - RASA - MVT'!P131,'5 - RASA - National Landin'!P131,'6 - RASA - Mosaic'!P131,'7 - RASA - Rockville'!P131)</f>
        <v>0</v>
      </c>
      <c r="Q131" s="23">
        <f>IFERROR(P131/P148, "NA")</f>
        <v>0</v>
      </c>
      <c r="R131" s="21">
        <f>SUM('4 - RASA - MVT'!R131,'5 - RASA - National Landin'!R131,'6 - RASA - Mosaic'!R131,'7 - RASA - Rockville'!R131)</f>
        <v>0</v>
      </c>
      <c r="S131" s="23">
        <f>IFERROR(R131/R148, "NA")</f>
        <v>0</v>
      </c>
      <c r="T131" s="21">
        <f>SUM('4 - RASA - MVT'!T131,'5 - RASA - National Landin'!T131,'6 - RASA - Mosaic'!T131,'7 - RASA - Rockville'!T131)</f>
        <v>0</v>
      </c>
      <c r="U131" s="23">
        <f>IFERROR(T131/T148, "NA")</f>
        <v>0</v>
      </c>
      <c r="V131" s="21">
        <f>SUM('4 - RASA - MVT'!V131,'5 - RASA - National Landin'!V131,'6 - RASA - Mosaic'!V131,'7 - RASA - Rockville'!V131)</f>
        <v>0</v>
      </c>
      <c r="W131" s="23">
        <f>IFERROR(V131/V148, "NA")</f>
        <v>0</v>
      </c>
      <c r="X131" s="21">
        <f>SUM('4 - RASA - MVT'!X131,'5 - RASA - National Landin'!X131,'6 - RASA - Mosaic'!X131,'7 - RASA - Rockville'!X131)</f>
        <v>0</v>
      </c>
      <c r="Y131" s="23">
        <f>IFERROR(X131/X148, "NA")</f>
        <v>0</v>
      </c>
      <c r="Z131" s="21">
        <f>SUM('4 - RASA - MVT'!Z131,'5 - RASA - National Landin'!Z131,'6 - RASA - Mosaic'!Z131,'7 - RASA - Rockville'!Z131)</f>
        <v>0</v>
      </c>
      <c r="AA131" s="23">
        <f>IFERROR(Z131/Z148, "NA")</f>
        <v>0</v>
      </c>
      <c r="AB131" s="28">
        <f t="shared" si="55"/>
        <v>0</v>
      </c>
      <c r="AC131" s="23">
        <f>IFERROR(AB131/AB148, "NA")</f>
        <v>0</v>
      </c>
      <c r="AD131" s="29">
        <f t="shared" si="56"/>
        <v>0</v>
      </c>
      <c r="AE131" s="30">
        <f>IFERROR(AD131/AD148, "NA")</f>
        <v>0</v>
      </c>
      <c r="AF131" s="29" t="str">
        <f t="shared" si="57"/>
        <v>NA</v>
      </c>
      <c r="AG131" s="28">
        <f t="shared" si="58"/>
        <v>0</v>
      </c>
      <c r="AH131" s="23">
        <f>IFERROR(AG131/AG148, "NA")</f>
        <v>0</v>
      </c>
      <c r="AI131" s="29">
        <f t="shared" si="59"/>
        <v>0</v>
      </c>
      <c r="AJ131" s="30">
        <f>IFERROR(AI131/AI148, "NA")</f>
        <v>0</v>
      </c>
      <c r="AK131" s="29" t="str">
        <f t="shared" si="60"/>
        <v>NA</v>
      </c>
      <c r="AL131" s="30" t="str">
        <f>IFERROR(AK131/AK148, "NA")</f>
        <v>NA</v>
      </c>
    </row>
    <row r="132" ht="16.5" hidden="1" customHeight="1">
      <c r="A132" s="19" t="s">
        <v>242</v>
      </c>
      <c r="B132" s="21">
        <f>SUM('4 - RASA - MVT'!B132,'5 - RASA - National Landin'!B132,'6 - RASA - Mosaic'!B132,'7 - RASA - Rockville'!B132)</f>
        <v>0</v>
      </c>
      <c r="C132" s="23">
        <f>IFERROR(B132/B148, "NA")</f>
        <v>0</v>
      </c>
      <c r="D132" s="21">
        <f>SUM('4 - RASA - MVT'!D132,'5 - RASA - National Landin'!D132,'6 - RASA - Mosaic'!D132,'7 - RASA - Rockville'!D132)</f>
        <v>0</v>
      </c>
      <c r="E132" s="23">
        <f>IFERROR(D132/D148, "NA")</f>
        <v>0</v>
      </c>
      <c r="F132" s="21">
        <f>SUM('4 - RASA - MVT'!F132,'5 - RASA - National Landin'!F132,'6 - RASA - Mosaic'!F132,'7 - RASA - Rockville'!F132)</f>
        <v>0</v>
      </c>
      <c r="G132" s="23">
        <f>IFERROR(F132/F148, "NA")</f>
        <v>0</v>
      </c>
      <c r="H132" s="21">
        <f>SUM('4 - RASA - MVT'!H132,'5 - RASA - National Landin'!H132,'6 - RASA - Mosaic'!H132,'7 - RASA - Rockville'!H132)</f>
        <v>0</v>
      </c>
      <c r="I132" s="23">
        <f>IFERROR(H132/H148, "NA")</f>
        <v>0</v>
      </c>
      <c r="J132" s="21">
        <f>SUM('4 - RASA - MVT'!J132,'5 - RASA - National Landin'!J132,'6 - RASA - Mosaic'!J132,'7 - RASA - Rockville'!J132)</f>
        <v>0</v>
      </c>
      <c r="K132" s="23">
        <f>IFERROR(J132/J148, "NA")</f>
        <v>0</v>
      </c>
      <c r="L132" s="21">
        <f>SUM('4 - RASA - MVT'!L132,'5 - RASA - National Landin'!L132,'6 - RASA - Mosaic'!L132,'7 - RASA - Rockville'!L132)</f>
        <v>0</v>
      </c>
      <c r="M132" s="23">
        <f>IFERROR(L132/L148, "NA")</f>
        <v>0</v>
      </c>
      <c r="N132" s="21">
        <f>SUM('4 - RASA - MVT'!N132,'5 - RASA - National Landin'!N132,'6 - RASA - Mosaic'!N132,'7 - RASA - Rockville'!N132)</f>
        <v>0</v>
      </c>
      <c r="O132" s="23">
        <f>IFERROR(N132/N148, "NA")</f>
        <v>0</v>
      </c>
      <c r="P132" s="21">
        <f>SUM('4 - RASA - MVT'!P132,'5 - RASA - National Landin'!P132,'6 - RASA - Mosaic'!P132,'7 - RASA - Rockville'!P132)</f>
        <v>0</v>
      </c>
      <c r="Q132" s="23">
        <f>IFERROR(P132/P148, "NA")</f>
        <v>0</v>
      </c>
      <c r="R132" s="21">
        <f>SUM('4 - RASA - MVT'!R132,'5 - RASA - National Landin'!R132,'6 - RASA - Mosaic'!R132,'7 - RASA - Rockville'!R132)</f>
        <v>0</v>
      </c>
      <c r="S132" s="23">
        <f>IFERROR(R132/R148, "NA")</f>
        <v>0</v>
      </c>
      <c r="T132" s="21">
        <f>SUM('4 - RASA - MVT'!T132,'5 - RASA - National Landin'!T132,'6 - RASA - Mosaic'!T132,'7 - RASA - Rockville'!T132)</f>
        <v>0</v>
      </c>
      <c r="U132" s="23">
        <f>IFERROR(T132/T148, "NA")</f>
        <v>0</v>
      </c>
      <c r="V132" s="21">
        <f>SUM('4 - RASA - MVT'!V132,'5 - RASA - National Landin'!V132,'6 - RASA - Mosaic'!V132,'7 - RASA - Rockville'!V132)</f>
        <v>0</v>
      </c>
      <c r="W132" s="23">
        <f>IFERROR(V132/V148, "NA")</f>
        <v>0</v>
      </c>
      <c r="X132" s="21">
        <f>SUM('4 - RASA - MVT'!X132,'5 - RASA - National Landin'!X132,'6 - RASA - Mosaic'!X132,'7 - RASA - Rockville'!X132)</f>
        <v>0</v>
      </c>
      <c r="Y132" s="23">
        <f>IFERROR(X132/X148, "NA")</f>
        <v>0</v>
      </c>
      <c r="Z132" s="21">
        <f>SUM('4 - RASA - MVT'!Z132,'5 - RASA - National Landin'!Z132,'6 - RASA - Mosaic'!Z132,'7 - RASA - Rockville'!Z132)</f>
        <v>0</v>
      </c>
      <c r="AA132" s="23">
        <f>IFERROR(Z132/Z148, "NA")</f>
        <v>0</v>
      </c>
      <c r="AB132" s="28">
        <f t="shared" si="55"/>
        <v>0</v>
      </c>
      <c r="AC132" s="23">
        <f>IFERROR(AB132/AB148, "NA")</f>
        <v>0</v>
      </c>
      <c r="AD132" s="29">
        <f t="shared" si="56"/>
        <v>0</v>
      </c>
      <c r="AE132" s="30">
        <f>IFERROR(AD132/AD148, "NA")</f>
        <v>0</v>
      </c>
      <c r="AF132" s="29" t="str">
        <f t="shared" si="57"/>
        <v>NA</v>
      </c>
      <c r="AG132" s="28">
        <f t="shared" si="58"/>
        <v>0</v>
      </c>
      <c r="AH132" s="23">
        <f>IFERROR(AG132/AG148, "NA")</f>
        <v>0</v>
      </c>
      <c r="AI132" s="29">
        <f t="shared" si="59"/>
        <v>0</v>
      </c>
      <c r="AJ132" s="30">
        <f>IFERROR(AI132/AI148, "NA")</f>
        <v>0</v>
      </c>
      <c r="AK132" s="29" t="str">
        <f t="shared" si="60"/>
        <v>NA</v>
      </c>
      <c r="AL132" s="30" t="str">
        <f>IFERROR(AK132/AK148, "NA")</f>
        <v>NA</v>
      </c>
    </row>
    <row r="133" ht="16.5" hidden="1" customHeight="1">
      <c r="A133" s="19" t="s">
        <v>243</v>
      </c>
      <c r="B133" s="21">
        <f>SUM('4 - RASA - MVT'!B133,'5 - RASA - National Landin'!B133,'6 - RASA - Mosaic'!B133,'7 - RASA - Rockville'!B133)</f>
        <v>0</v>
      </c>
      <c r="C133" s="23">
        <f>IFERROR(B133/B148, "NA")</f>
        <v>0</v>
      </c>
      <c r="D133" s="21">
        <f>SUM('4 - RASA - MVT'!D133,'5 - RASA - National Landin'!D133,'6 - RASA - Mosaic'!D133,'7 - RASA - Rockville'!D133)</f>
        <v>0</v>
      </c>
      <c r="E133" s="23">
        <f>IFERROR(D133/D148, "NA")</f>
        <v>0</v>
      </c>
      <c r="F133" s="21">
        <f>SUM('4 - RASA - MVT'!F133,'5 - RASA - National Landin'!F133,'6 - RASA - Mosaic'!F133,'7 - RASA - Rockville'!F133)</f>
        <v>0</v>
      </c>
      <c r="G133" s="23">
        <f>IFERROR(F133/F148, "NA")</f>
        <v>0</v>
      </c>
      <c r="H133" s="21">
        <f>SUM('4 - RASA - MVT'!H133,'5 - RASA - National Landin'!H133,'6 - RASA - Mosaic'!H133,'7 - RASA - Rockville'!H133)</f>
        <v>0</v>
      </c>
      <c r="I133" s="23">
        <f>IFERROR(H133/H148, "NA")</f>
        <v>0</v>
      </c>
      <c r="J133" s="21">
        <f>SUM('4 - RASA - MVT'!J133,'5 - RASA - National Landin'!J133,'6 - RASA - Mosaic'!J133,'7 - RASA - Rockville'!J133)</f>
        <v>0</v>
      </c>
      <c r="K133" s="23">
        <f>IFERROR(J133/J148, "NA")</f>
        <v>0</v>
      </c>
      <c r="L133" s="21">
        <f>SUM('4 - RASA - MVT'!L133,'5 - RASA - National Landin'!L133,'6 - RASA - Mosaic'!L133,'7 - RASA - Rockville'!L133)</f>
        <v>0</v>
      </c>
      <c r="M133" s="23">
        <f>IFERROR(L133/L148, "NA")</f>
        <v>0</v>
      </c>
      <c r="N133" s="21">
        <f>SUM('4 - RASA - MVT'!N133,'5 - RASA - National Landin'!N133,'6 - RASA - Mosaic'!N133,'7 - RASA - Rockville'!N133)</f>
        <v>0</v>
      </c>
      <c r="O133" s="23">
        <f>IFERROR(N133/N148, "NA")</f>
        <v>0</v>
      </c>
      <c r="P133" s="21">
        <f>SUM('4 - RASA - MVT'!P133,'5 - RASA - National Landin'!P133,'6 - RASA - Mosaic'!P133,'7 - RASA - Rockville'!P133)</f>
        <v>0</v>
      </c>
      <c r="Q133" s="23">
        <f>IFERROR(P133/P148, "NA")</f>
        <v>0</v>
      </c>
      <c r="R133" s="21">
        <f>SUM('4 - RASA - MVT'!R133,'5 - RASA - National Landin'!R133,'6 - RASA - Mosaic'!R133,'7 - RASA - Rockville'!R133)</f>
        <v>0</v>
      </c>
      <c r="S133" s="23">
        <f>IFERROR(R133/R148, "NA")</f>
        <v>0</v>
      </c>
      <c r="T133" s="21">
        <f>SUM('4 - RASA - MVT'!T133,'5 - RASA - National Landin'!T133,'6 - RASA - Mosaic'!T133,'7 - RASA - Rockville'!T133)</f>
        <v>0</v>
      </c>
      <c r="U133" s="23">
        <f>IFERROR(T133/T148, "NA")</f>
        <v>0</v>
      </c>
      <c r="V133" s="21">
        <f>SUM('4 - RASA - MVT'!V133,'5 - RASA - National Landin'!V133,'6 - RASA - Mosaic'!V133,'7 - RASA - Rockville'!V133)</f>
        <v>0</v>
      </c>
      <c r="W133" s="23">
        <f>IFERROR(V133/V148, "NA")</f>
        <v>0</v>
      </c>
      <c r="X133" s="21">
        <f>SUM('4 - RASA - MVT'!X133,'5 - RASA - National Landin'!X133,'6 - RASA - Mosaic'!X133,'7 - RASA - Rockville'!X133)</f>
        <v>0</v>
      </c>
      <c r="Y133" s="23">
        <f>IFERROR(X133/X148, "NA")</f>
        <v>0</v>
      </c>
      <c r="Z133" s="21">
        <f>SUM('4 - RASA - MVT'!Z133,'5 - RASA - National Landin'!Z133,'6 - RASA - Mosaic'!Z133,'7 - RASA - Rockville'!Z133)</f>
        <v>0</v>
      </c>
      <c r="AA133" s="23">
        <f>IFERROR(Z133/Z148, "NA")</f>
        <v>0</v>
      </c>
      <c r="AB133" s="28">
        <f t="shared" si="55"/>
        <v>0</v>
      </c>
      <c r="AC133" s="23">
        <f>IFERROR(AB133/AB148, "NA")</f>
        <v>0</v>
      </c>
      <c r="AD133" s="29">
        <f t="shared" si="56"/>
        <v>0</v>
      </c>
      <c r="AE133" s="30">
        <f>IFERROR(AD133/AD148, "NA")</f>
        <v>0</v>
      </c>
      <c r="AF133" s="29" t="str">
        <f t="shared" si="57"/>
        <v>NA</v>
      </c>
      <c r="AG133" s="28">
        <f t="shared" si="58"/>
        <v>0</v>
      </c>
      <c r="AH133" s="23">
        <f>IFERROR(AG133/AG148, "NA")</f>
        <v>0</v>
      </c>
      <c r="AI133" s="29">
        <f t="shared" si="59"/>
        <v>0</v>
      </c>
      <c r="AJ133" s="30">
        <f>IFERROR(AI133/AI148, "NA")</f>
        <v>0</v>
      </c>
      <c r="AK133" s="29" t="str">
        <f t="shared" si="60"/>
        <v>NA</v>
      </c>
      <c r="AL133" s="30" t="str">
        <f>IFERROR(AK133/AK148, "NA")</f>
        <v>NA</v>
      </c>
    </row>
    <row r="134" ht="16.5" hidden="1" customHeight="1">
      <c r="A134" s="19" t="s">
        <v>244</v>
      </c>
      <c r="B134" s="21">
        <f>SUM('4 - RASA - MVT'!B134,'5 - RASA - National Landin'!B134,'6 - RASA - Mosaic'!B134,'7 - RASA - Rockville'!B134)</f>
        <v>0</v>
      </c>
      <c r="C134" s="23">
        <f>IFERROR(B134/B148, "NA")</f>
        <v>0</v>
      </c>
      <c r="D134" s="21">
        <f>SUM('4 - RASA - MVT'!D134,'5 - RASA - National Landin'!D134,'6 - RASA - Mosaic'!D134,'7 - RASA - Rockville'!D134)</f>
        <v>0</v>
      </c>
      <c r="E134" s="23">
        <f>IFERROR(D134/D148, "NA")</f>
        <v>0</v>
      </c>
      <c r="F134" s="21">
        <f>SUM('4 - RASA - MVT'!F134,'5 - RASA - National Landin'!F134,'6 - RASA - Mosaic'!F134,'7 - RASA - Rockville'!F134)</f>
        <v>0</v>
      </c>
      <c r="G134" s="23">
        <f>IFERROR(F134/F148, "NA")</f>
        <v>0</v>
      </c>
      <c r="H134" s="21">
        <f>SUM('4 - RASA - MVT'!H134,'5 - RASA - National Landin'!H134,'6 - RASA - Mosaic'!H134,'7 - RASA - Rockville'!H134)</f>
        <v>0</v>
      </c>
      <c r="I134" s="23">
        <f>IFERROR(H134/H148, "NA")</f>
        <v>0</v>
      </c>
      <c r="J134" s="21">
        <f>SUM('4 - RASA - MVT'!J134,'5 - RASA - National Landin'!J134,'6 - RASA - Mosaic'!J134,'7 - RASA - Rockville'!J134)</f>
        <v>0</v>
      </c>
      <c r="K134" s="23">
        <f>IFERROR(J134/J148, "NA")</f>
        <v>0</v>
      </c>
      <c r="L134" s="21">
        <f>SUM('4 - RASA - MVT'!L134,'5 - RASA - National Landin'!L134,'6 - RASA - Mosaic'!L134,'7 - RASA - Rockville'!L134)</f>
        <v>0</v>
      </c>
      <c r="M134" s="23">
        <f>IFERROR(L134/L148, "NA")</f>
        <v>0</v>
      </c>
      <c r="N134" s="21">
        <f>SUM('4 - RASA - MVT'!N134,'5 - RASA - National Landin'!N134,'6 - RASA - Mosaic'!N134,'7 - RASA - Rockville'!N134)</f>
        <v>0</v>
      </c>
      <c r="O134" s="23">
        <f>IFERROR(N134/N148, "NA")</f>
        <v>0</v>
      </c>
      <c r="P134" s="21">
        <f>SUM('4 - RASA - MVT'!P134,'5 - RASA - National Landin'!P134,'6 - RASA - Mosaic'!P134,'7 - RASA - Rockville'!P134)</f>
        <v>0</v>
      </c>
      <c r="Q134" s="23">
        <f>IFERROR(P134/P148, "NA")</f>
        <v>0</v>
      </c>
      <c r="R134" s="21">
        <f>SUM('4 - RASA - MVT'!R134,'5 - RASA - National Landin'!R134,'6 - RASA - Mosaic'!R134,'7 - RASA - Rockville'!R134)</f>
        <v>0</v>
      </c>
      <c r="S134" s="23">
        <f>IFERROR(R134/R148, "NA")</f>
        <v>0</v>
      </c>
      <c r="T134" s="21">
        <f>SUM('4 - RASA - MVT'!T134,'5 - RASA - National Landin'!T134,'6 - RASA - Mosaic'!T134,'7 - RASA - Rockville'!T134)</f>
        <v>0</v>
      </c>
      <c r="U134" s="23">
        <f>IFERROR(T134/T148, "NA")</f>
        <v>0</v>
      </c>
      <c r="V134" s="21">
        <f>SUM('4 - RASA - MVT'!V134,'5 - RASA - National Landin'!V134,'6 - RASA - Mosaic'!V134,'7 - RASA - Rockville'!V134)</f>
        <v>0</v>
      </c>
      <c r="W134" s="23">
        <f>IFERROR(V134/V148, "NA")</f>
        <v>0</v>
      </c>
      <c r="X134" s="21">
        <f>SUM('4 - RASA - MVT'!X134,'5 - RASA - National Landin'!X134,'6 - RASA - Mosaic'!X134,'7 - RASA - Rockville'!X134)</f>
        <v>0</v>
      </c>
      <c r="Y134" s="23">
        <f>IFERROR(X134/X148, "NA")</f>
        <v>0</v>
      </c>
      <c r="Z134" s="21">
        <f>SUM('4 - RASA - MVT'!Z134,'5 - RASA - National Landin'!Z134,'6 - RASA - Mosaic'!Z134,'7 - RASA - Rockville'!Z134)</f>
        <v>0</v>
      </c>
      <c r="AA134" s="23">
        <f>IFERROR(Z134/Z148, "NA")</f>
        <v>0</v>
      </c>
      <c r="AB134" s="28">
        <f t="shared" si="55"/>
        <v>0</v>
      </c>
      <c r="AC134" s="23">
        <f>IFERROR(AB134/AB148, "NA")</f>
        <v>0</v>
      </c>
      <c r="AD134" s="29">
        <f t="shared" si="56"/>
        <v>0</v>
      </c>
      <c r="AE134" s="30">
        <f>IFERROR(AD134/AD148, "NA")</f>
        <v>0</v>
      </c>
      <c r="AF134" s="29" t="str">
        <f t="shared" si="57"/>
        <v>NA</v>
      </c>
      <c r="AG134" s="28">
        <f t="shared" si="58"/>
        <v>0</v>
      </c>
      <c r="AH134" s="23">
        <f>IFERROR(AG134/AG148, "NA")</f>
        <v>0</v>
      </c>
      <c r="AI134" s="29">
        <f t="shared" si="59"/>
        <v>0</v>
      </c>
      <c r="AJ134" s="30">
        <f>IFERROR(AI134/AI148, "NA")</f>
        <v>0</v>
      </c>
      <c r="AK134" s="29" t="str">
        <f t="shared" si="60"/>
        <v>NA</v>
      </c>
      <c r="AL134" s="30" t="str">
        <f>IFERROR(AK134/AK148, "NA")</f>
        <v>NA</v>
      </c>
    </row>
    <row r="135" ht="16.5" hidden="1" customHeight="1">
      <c r="A135" s="65" t="s">
        <v>245</v>
      </c>
      <c r="B135" s="66">
        <f>IFERROR(B110+B111+B112+B113+B114+B115+B116+B117+B118+B119+B120+B121+B122+B123+B124+B125+B126+B127+B128+B129+B130+B131+B132+B133+B134, "NA")</f>
        <v>2594.14</v>
      </c>
      <c r="C135" s="67">
        <f>IFERROR(B135/B148, "NA")</f>
        <v>0.01583123569</v>
      </c>
      <c r="D135" s="66">
        <f>IFERROR(D110+D111+D112+D113+D114+D115+D116+D117+D118+D119+D120+D121+D122+D123+D124+D125+D126+D127+D128+D129+D130+D131+D132+D133+D134, "NA")</f>
        <v>2373.91</v>
      </c>
      <c r="E135" s="67">
        <f>IFERROR(D135/D148, "NA")</f>
        <v>0.01571859236</v>
      </c>
      <c r="F135" s="66">
        <f>IFERROR(F110+F111+F112+F113+F114+F115+F116+F117+F118+F119+F120+F121+F122+F123+F124+F125+F126+F127+F128+F129+F130+F131+F132+F133+F134, "NA")</f>
        <v>-7866.98</v>
      </c>
      <c r="G135" s="67">
        <f>IFERROR(F135/F148, "NA")</f>
        <v>-0.06633936241</v>
      </c>
      <c r="H135" s="66">
        <f>IFERROR(H110+H111+H112+H113+H114+H115+H116+H117+H118+H119+H120+H121+H122+H123+H124+H125+H126+H127+H128+H129+H130+H131+H132+H133+H134, "NA")</f>
        <v>2044.75</v>
      </c>
      <c r="I135" s="67">
        <f>IFERROR(H135/H148, "NA")</f>
        <v>0.03217837909</v>
      </c>
      <c r="J135" s="66">
        <f>IFERROR(J110+J111+J112+J113+J114+J115+J116+J117+J118+J119+J120+J121+J122+J123+J124+J125+J126+J127+J128+J129+J130+J131+J132+J133+J134, "NA")</f>
        <v>2757.89</v>
      </c>
      <c r="K135" s="67">
        <f>IFERROR(J135/J148, "NA")</f>
        <v>0.02319084243</v>
      </c>
      <c r="L135" s="66">
        <f>IFERROR(L110+L111+L112+L113+L114+L115+L116+L117+L118+L119+L120+L121+L122+L123+L124+L125+L126+L127+L128+L129+L130+L131+L132+L133+L134, "NA")</f>
        <v>2982.19</v>
      </c>
      <c r="M135" s="67">
        <f>IFERROR(L135/L148, "NA")</f>
        <v>0.02606925658</v>
      </c>
      <c r="N135" s="66">
        <f>IFERROR(N110+N111+N112+N113+N114+N115+N116+N117+N118+N119+N120+N121+N122+N123+N124+N125+N126+N127+N128+N129+N130+N131+N132+N133+N134, "NA")</f>
        <v>2552.49</v>
      </c>
      <c r="O135" s="67">
        <f>IFERROR(N135/N148, "NA")</f>
        <v>0.02493233567</v>
      </c>
      <c r="P135" s="66">
        <f>IFERROR(P110+P111+P112+P113+P114+P115+P116+P117+P118+P119+P120+P121+P122+P123+P124+P125+P126+P127+P128+P129+P130+P131+P132+P133+P134, "NA")</f>
        <v>-10337.32</v>
      </c>
      <c r="Q135" s="67">
        <f>IFERROR(P135/P148, "NA")</f>
        <v>-0.2122407179</v>
      </c>
      <c r="R135" s="66">
        <f>IFERROR(R110+R111+R112+R113+R114+R115+R116+R117+R118+R119+R120+R121+R122+R123+R124+R125+R126+R127+R128+R129+R130+R131+R132+R133+R134, "NA")</f>
        <v>3009.72</v>
      </c>
      <c r="S135" s="67">
        <f>IFERROR(R135/R148, "NA")</f>
        <v>0.04953962543</v>
      </c>
      <c r="T135" s="66">
        <f>IFERROR(T110+T111+T112+T113+T114+T115+T116+T117+T118+T119+T120+T121+T122+T123+T124+T125+T126+T127+T128+T129+T130+T131+T132+T133+T134, "NA")</f>
        <v>2493.69</v>
      </c>
      <c r="U135" s="67">
        <f>IFERROR(T135/T148, "NA")</f>
        <v>0.02664489933</v>
      </c>
      <c r="V135" s="66">
        <f>IFERROR(V110+V111+V112+V113+V114+V115+V116+V117+V118+V119+V120+V121+V122+V123+V124+V125+V126+V127+V128+V129+V130+V131+V132+V133+V134, "NA")</f>
        <v>2698.74</v>
      </c>
      <c r="W135" s="67">
        <f>IFERROR(V135/V148, "NA")</f>
        <v>0.0238284946</v>
      </c>
      <c r="X135" s="66">
        <f>IFERROR(X110+X111+X112+X113+X114+X115+X116+X117+X118+X119+X120+X121+X122+X123+X124+X125+X126+X127+X128+X129+X130+X131+X132+X133+X134, "NA")</f>
        <v>2162.03</v>
      </c>
      <c r="Y135" s="67">
        <f>IFERROR(X135/X148, "NA")</f>
        <v>0.0225427399</v>
      </c>
      <c r="Z135" s="66">
        <f>IFERROR(Z110+Z111+Z112+Z113+Z114+Z115+Z116+Z117+Z118+Z119+Z120+Z121+Z122+Z123+Z124+Z125+Z126+Z127+Z128+Z129+Z130+Z131+Z132+Z133+Z134, "NA")</f>
        <v>10364.18</v>
      </c>
      <c r="AA135" s="67">
        <f>IFERROR(Z135/Z148, "NA")</f>
        <v>0.02851152507</v>
      </c>
      <c r="AB135" s="66">
        <f t="shared" si="55"/>
        <v>2591.045</v>
      </c>
      <c r="AC135" s="67">
        <f>IFERROR(AB135/AB148, "NA")</f>
        <v>0.02851152507</v>
      </c>
      <c r="AD135" s="75">
        <f t="shared" si="56"/>
        <v>-429.015</v>
      </c>
      <c r="AE135" s="76">
        <f>IFERROR(AD135/AD148, "NA")</f>
        <v>-0.08527548584</v>
      </c>
      <c r="AF135" s="75">
        <f t="shared" si="57"/>
        <v>-0.1655760514</v>
      </c>
      <c r="AG135" s="66">
        <f t="shared" si="58"/>
        <v>1039.92875</v>
      </c>
      <c r="AH135" s="67">
        <f>IFERROR(AG135/AG148, "NA")</f>
        <v>0.01112361296</v>
      </c>
      <c r="AI135" s="75">
        <f t="shared" si="59"/>
        <v>1122.10125</v>
      </c>
      <c r="AJ135" s="76">
        <f>IFERROR(AI135/AI148, "NA")</f>
        <v>0.4637467105</v>
      </c>
      <c r="AK135" s="75">
        <f t="shared" si="60"/>
        <v>1.079017433</v>
      </c>
      <c r="AL135" s="76">
        <f>IFERROR(AK135/AK148, "NA")</f>
        <v>41.69029543</v>
      </c>
    </row>
    <row r="136" ht="16.5" hidden="1" customHeight="1">
      <c r="A136" s="123"/>
      <c r="B136" s="124"/>
      <c r="C136" s="74"/>
      <c r="D136" s="124"/>
      <c r="E136" s="74"/>
      <c r="F136" s="124"/>
      <c r="G136" s="74"/>
      <c r="H136" s="124"/>
      <c r="I136" s="74"/>
      <c r="J136" s="124"/>
      <c r="K136" s="74"/>
      <c r="L136" s="124"/>
      <c r="M136" s="74"/>
      <c r="N136" s="124"/>
      <c r="O136" s="74"/>
      <c r="P136" s="124"/>
      <c r="Q136" s="74"/>
      <c r="R136" s="124"/>
      <c r="S136" s="74"/>
      <c r="T136" s="124"/>
      <c r="U136" s="74"/>
      <c r="V136" s="124"/>
      <c r="W136" s="74"/>
      <c r="X136" s="124"/>
      <c r="Y136" s="74"/>
      <c r="Z136" s="124"/>
      <c r="AA136" s="74"/>
      <c r="AB136" s="124"/>
      <c r="AC136" s="74"/>
      <c r="AD136" s="125"/>
      <c r="AE136" s="80"/>
      <c r="AF136" s="125"/>
      <c r="AG136" s="124"/>
      <c r="AH136" s="74"/>
      <c r="AI136" s="125"/>
      <c r="AJ136" s="80"/>
      <c r="AK136" s="125"/>
      <c r="AL136" s="80"/>
    </row>
    <row r="137" ht="16.5" hidden="1" customHeight="1">
      <c r="A137" s="121" t="s">
        <v>246</v>
      </c>
      <c r="B137" s="122">
        <f>IFERROR(B107-B135, "NA")</f>
        <v>56490.95</v>
      </c>
      <c r="C137" s="94">
        <f>IFERROR(B137/B148, "NA")</f>
        <v>0.3447468308</v>
      </c>
      <c r="D137" s="122">
        <f>IFERROR(D107-D135, "NA")</f>
        <v>30398.95</v>
      </c>
      <c r="E137" s="94">
        <f>IFERROR(D137/D148, "NA")</f>
        <v>0.2012834115</v>
      </c>
      <c r="F137" s="122">
        <f>IFERROR(F107-F135, "NA")</f>
        <v>-34865.75</v>
      </c>
      <c r="G137" s="94">
        <f>IFERROR(F137/F148, "NA")</f>
        <v>-0.2940101062</v>
      </c>
      <c r="H137" s="122">
        <f>IFERROR(H107-H135, "NA")</f>
        <v>3503.53</v>
      </c>
      <c r="I137" s="94">
        <f>IFERROR(H137/H148, "NA")</f>
        <v>0.05513530578</v>
      </c>
      <c r="J137" s="122">
        <f>IFERROR(J107-J135, "NA")</f>
        <v>23317.75</v>
      </c>
      <c r="K137" s="94">
        <f>IFERROR(J137/J148, "NA")</f>
        <v>0.1960768073</v>
      </c>
      <c r="L137" s="122">
        <f>IFERROR(L107-L135, "NA")</f>
        <v>22820.61</v>
      </c>
      <c r="M137" s="94">
        <f>IFERROR(L137/L148, "NA")</f>
        <v>0.19948975</v>
      </c>
      <c r="N137" s="122">
        <f>IFERROR(N107-N135, "NA")</f>
        <v>-5745.64</v>
      </c>
      <c r="O137" s="94">
        <f>IFERROR(N137/N148, "NA")</f>
        <v>-0.05612254118</v>
      </c>
      <c r="P137" s="122">
        <f>IFERROR(P107-P135, "NA")</f>
        <v>-73726.24</v>
      </c>
      <c r="Q137" s="94">
        <f>IFERROR(P137/P148, "NA")</f>
        <v>-1.513710527</v>
      </c>
      <c r="R137" s="122">
        <f>IFERROR(R107-R135, "NA")</f>
        <v>4936.78</v>
      </c>
      <c r="S137" s="94">
        <f>IFERROR(R137/R148, "NA")</f>
        <v>0.08125879883</v>
      </c>
      <c r="T137" s="122">
        <f>IFERROR(T107-T135, "NA")</f>
        <v>15986.1</v>
      </c>
      <c r="U137" s="94">
        <f>IFERROR(T137/T148, "NA")</f>
        <v>0.1708103354</v>
      </c>
      <c r="V137" s="122">
        <f>IFERROR(V107-V135, "NA")</f>
        <v>8424.21</v>
      </c>
      <c r="W137" s="94">
        <f>IFERROR(V137/V148, "NA")</f>
        <v>0.07438146782</v>
      </c>
      <c r="X137" s="122">
        <f>IFERROR(X107-X135, "NA")</f>
        <v>-38355.85</v>
      </c>
      <c r="Y137" s="94">
        <f>IFERROR(X137/X148, "NA")</f>
        <v>-0.3999231973</v>
      </c>
      <c r="Z137" s="122">
        <f>IFERROR(Z107-Z135, "NA")</f>
        <v>-9008.76</v>
      </c>
      <c r="AA137" s="94">
        <f>IFERROR(Z137/Z148, "NA")</f>
        <v>-0.02478280834</v>
      </c>
      <c r="AB137" s="122">
        <f>IFERROR((R137+T137+V137+X137)/4, "NA")</f>
        <v>-2252.19</v>
      </c>
      <c r="AC137" s="94">
        <f>IFERROR(AB137/AB148, "NA")</f>
        <v>-0.02478280834</v>
      </c>
      <c r="AD137" s="75">
        <f>IFERROR(X137-AB137, "NA")</f>
        <v>-36103.66</v>
      </c>
      <c r="AE137" s="76">
        <f>IFERROR(AD137/AD148, "NA")</f>
        <v>-7.176339166</v>
      </c>
      <c r="AF137" s="75">
        <f>IFERROR((X137-AB137)/AB137, "NA")</f>
        <v>16.03046812</v>
      </c>
      <c r="AG137" s="122">
        <f>IFERROR((J137+L137+N137+P137+R137+T137+V137+X137)/8, "NA")</f>
        <v>-5292.785</v>
      </c>
      <c r="AH137" s="94">
        <f>IFERROR(AG137/AG148, "NA")</f>
        <v>-0.05661435153</v>
      </c>
      <c r="AI137" s="75">
        <f>IFERROR(X137-AG137, "NA")</f>
        <v>-33063.065</v>
      </c>
      <c r="AJ137" s="76">
        <f>IFERROR(AI137/AI148, "NA")</f>
        <v>-13.66444216</v>
      </c>
      <c r="AK137" s="75">
        <f>IFERROR((X137-AG137)/AG137, "NA")</f>
        <v>6.246818074</v>
      </c>
      <c r="AL137" s="76">
        <f>IFERROR(AK137/AK148, "NA")</f>
        <v>241.3600403</v>
      </c>
    </row>
    <row r="138" ht="3.75" hidden="1" customHeight="1">
      <c r="A138" s="123"/>
      <c r="B138" s="124"/>
      <c r="C138" s="74"/>
      <c r="D138" s="124"/>
      <c r="E138" s="74"/>
      <c r="F138" s="124"/>
      <c r="G138" s="74"/>
      <c r="H138" s="124"/>
      <c r="I138" s="74"/>
      <c r="J138" s="124"/>
      <c r="K138" s="74"/>
      <c r="L138" s="124"/>
      <c r="M138" s="74"/>
      <c r="N138" s="124"/>
      <c r="O138" s="74"/>
      <c r="P138" s="124"/>
      <c r="Q138" s="74"/>
      <c r="R138" s="124"/>
      <c r="S138" s="74"/>
      <c r="T138" s="124"/>
      <c r="U138" s="74"/>
      <c r="V138" s="124"/>
      <c r="W138" s="74"/>
      <c r="X138" s="124"/>
      <c r="Y138" s="74"/>
      <c r="Z138" s="124"/>
      <c r="AA138" s="74"/>
      <c r="AB138" s="124"/>
      <c r="AC138" s="74"/>
      <c r="AD138" s="125"/>
      <c r="AE138" s="80"/>
      <c r="AF138" s="125"/>
      <c r="AG138" s="124"/>
      <c r="AH138" s="74"/>
      <c r="AI138" s="125"/>
      <c r="AJ138" s="80"/>
      <c r="AK138" s="125"/>
      <c r="AL138" s="80"/>
    </row>
    <row r="139" ht="16.5" hidden="1" customHeight="1">
      <c r="A139" s="13" t="s">
        <v>247</v>
      </c>
      <c r="B139" s="14"/>
      <c r="C139" s="12"/>
      <c r="D139" s="14"/>
      <c r="E139" s="12"/>
      <c r="F139" s="14"/>
      <c r="G139" s="12"/>
      <c r="H139" s="14"/>
      <c r="I139" s="12"/>
      <c r="J139" s="14"/>
      <c r="K139" s="12"/>
      <c r="L139" s="14"/>
      <c r="M139" s="12"/>
      <c r="N139" s="14"/>
      <c r="O139" s="12"/>
      <c r="P139" s="14"/>
      <c r="Q139" s="12"/>
      <c r="R139" s="14"/>
      <c r="S139" s="12"/>
      <c r="T139" s="14"/>
      <c r="U139" s="12"/>
      <c r="V139" s="14"/>
      <c r="W139" s="12"/>
      <c r="X139" s="14"/>
      <c r="Y139" s="12"/>
      <c r="Z139" s="14"/>
      <c r="AA139" s="12"/>
      <c r="AB139" s="14"/>
      <c r="AC139" s="12"/>
      <c r="AD139" s="17"/>
      <c r="AE139" s="18"/>
      <c r="AF139" s="17"/>
      <c r="AG139" s="14"/>
      <c r="AH139" s="12"/>
      <c r="AI139" s="17"/>
      <c r="AJ139" s="18"/>
      <c r="AK139" s="17"/>
      <c r="AL139" s="18"/>
    </row>
    <row r="140" ht="16.5" hidden="1" customHeight="1">
      <c r="A140" s="19" t="s">
        <v>248</v>
      </c>
      <c r="B140" s="21">
        <f>SUM('4 - RASA - MVT'!B140,'5 - RASA - National Landin'!B140,'6 - RASA - Mosaic'!B140,'7 - RASA - Rockville'!B140)</f>
        <v>0</v>
      </c>
      <c r="C140" s="23">
        <f>IFERROR(B140/B148, "NA")</f>
        <v>0</v>
      </c>
      <c r="D140" s="21">
        <f>SUM('4 - RASA - MVT'!D140,'5 - RASA - National Landin'!D140,'6 - RASA - Mosaic'!D140,'7 - RASA - Rockville'!D140)</f>
        <v>0</v>
      </c>
      <c r="E140" s="23">
        <f>IFERROR(D140/D148, "NA")</f>
        <v>0</v>
      </c>
      <c r="F140" s="21">
        <f>SUM('4 - RASA - MVT'!F140,'5 - RASA - National Landin'!F140,'6 - RASA - Mosaic'!F140,'7 - RASA - Rockville'!F140)</f>
        <v>26467.98</v>
      </c>
      <c r="G140" s="23">
        <f>IFERROR(F140/F148, "NA")</f>
        <v>0.223194786</v>
      </c>
      <c r="H140" s="21">
        <f>SUM('4 - RASA - MVT'!H140,'5 - RASA - National Landin'!H140,'6 - RASA - Mosaic'!H140,'7 - RASA - Rockville'!H140)</f>
        <v>6.21</v>
      </c>
      <c r="I140" s="23">
        <f>IFERROR(H140/H148, "NA")</f>
        <v>0.00009772722051</v>
      </c>
      <c r="J140" s="21">
        <f>SUM('4 - RASA - MVT'!J140,'5 - RASA - National Landin'!J140,'6 - RASA - Mosaic'!J140,'7 - RASA - Rockville'!J140)</f>
        <v>-3.2</v>
      </c>
      <c r="K140" s="23">
        <f>IFERROR(J140/J148, "NA")</f>
        <v>-0.00002690850461</v>
      </c>
      <c r="L140" s="21">
        <f>SUM('4 - RASA - MVT'!L140,'5 - RASA - National Landin'!L140,'6 - RASA - Mosaic'!L140,'7 - RASA - Rockville'!L140)</f>
        <v>0</v>
      </c>
      <c r="M140" s="23">
        <f>IFERROR(L140/L148, "NA")</f>
        <v>0</v>
      </c>
      <c r="N140" s="21">
        <f>SUM('4 - RASA - MVT'!N140,'5 - RASA - National Landin'!N140,'6 - RASA - Mosaic'!N140,'7 - RASA - Rockville'!N140)</f>
        <v>-107.24</v>
      </c>
      <c r="O140" s="23">
        <f>IFERROR(N140/N148, "NA")</f>
        <v>-0.001047504075</v>
      </c>
      <c r="P140" s="21">
        <f>SUM('4 - RASA - MVT'!P140,'5 - RASA - National Landin'!P140,'6 - RASA - Mosaic'!P140,'7 - RASA - Rockville'!P140)</f>
        <v>26486.38</v>
      </c>
      <c r="Q140" s="23">
        <f>IFERROR(P140/P148, "NA")</f>
        <v>0.5438051938</v>
      </c>
      <c r="R140" s="21">
        <f>SUM('4 - RASA - MVT'!R140,'5 - RASA - National Landin'!R140,'6 - RASA - Mosaic'!R140,'7 - RASA - Rockville'!R140)</f>
        <v>27.04</v>
      </c>
      <c r="S140" s="23">
        <f>IFERROR(R140/R148, "NA")</f>
        <v>0.0004450751138</v>
      </c>
      <c r="T140" s="21">
        <f>SUM('4 - RASA - MVT'!T140,'5 - RASA - National Landin'!T140,'6 - RASA - Mosaic'!T140,'7 - RASA - Rockville'!T140)</f>
        <v>0</v>
      </c>
      <c r="U140" s="23">
        <f>IFERROR(T140/T148, "NA")</f>
        <v>0</v>
      </c>
      <c r="V140" s="21">
        <f>SUM('4 - RASA - MVT'!V140,'5 - RASA - National Landin'!V140,'6 - RASA - Mosaic'!V140,'7 - RASA - Rockville'!V140)</f>
        <v>-0.52</v>
      </c>
      <c r="W140" s="23">
        <f>IFERROR(V140/V148, "NA")</f>
        <v>-0.000004591334175</v>
      </c>
      <c r="X140" s="21">
        <f>SUM('4 - RASA - MVT'!X140,'5 - RASA - National Landin'!X140,'6 - RASA - Mosaic'!X140,'7 - RASA - Rockville'!X140)</f>
        <v>-103.39</v>
      </c>
      <c r="Y140" s="23">
        <f>IFERROR(X140/X148, "NA")</f>
        <v>-0.001078011812</v>
      </c>
      <c r="Z140" s="21">
        <f>SUM('4 - RASA - MVT'!Z140,'5 - RASA - National Landin'!Z140,'6 - RASA - Mosaic'!Z140,'7 - RASA - Rockville'!Z140)</f>
        <v>-76.87</v>
      </c>
      <c r="AA140" s="23">
        <f>IFERROR(Z140/Z148, "NA")</f>
        <v>-0.0002114668919</v>
      </c>
      <c r="AB140" s="28">
        <f t="shared" ref="AB140:AB141" si="61">IFERROR((R140+T140+V140+X140)/4, "NA")</f>
        <v>-19.2175</v>
      </c>
      <c r="AC140" s="23">
        <f>IFERROR(AB140/AB148, "NA")</f>
        <v>-0.0002114668919</v>
      </c>
      <c r="AD140" s="29">
        <f t="shared" ref="AD140:AD141" si="62">IFERROR(X140-AB140, "NA")</f>
        <v>-84.1725</v>
      </c>
      <c r="AE140" s="30">
        <f>IFERROR(AD140/AD148, "NA")</f>
        <v>-0.01673100202</v>
      </c>
      <c r="AF140" s="29">
        <f t="shared" ref="AF140:AF141" si="63">IFERROR((X140-AB140)/AB140, "NA")</f>
        <v>4.379992195</v>
      </c>
      <c r="AG140" s="28">
        <f t="shared" ref="AG140:AG141" si="64">IFERROR((J140+L140+N140+P140+R140+T140+V140+X140)/8, "NA")</f>
        <v>3287.38375</v>
      </c>
      <c r="AH140" s="23">
        <f>IFERROR(AG140/AG148, "NA")</f>
        <v>0.03516354797</v>
      </c>
      <c r="AI140" s="29">
        <f t="shared" ref="AI140:AI141" si="65">IFERROR(X140-AG140, "NA")</f>
        <v>-3390.77375</v>
      </c>
      <c r="AJ140" s="30">
        <f>IFERROR(AI140/AI148, "NA")</f>
        <v>-1.401353196</v>
      </c>
      <c r="AK140" s="29">
        <f t="shared" ref="AK140:AK141" si="66">IFERROR((X140-AG140)/AG140, "NA")</f>
        <v>-1.031450542</v>
      </c>
      <c r="AL140" s="30">
        <f>IFERROR(AK140/AK148, "NA")</f>
        <v>-39.85244029</v>
      </c>
    </row>
    <row r="141" ht="16.5" hidden="1" customHeight="1">
      <c r="A141" s="65" t="s">
        <v>249</v>
      </c>
      <c r="B141" s="66">
        <f>IFERROR(B140, "NA")</f>
        <v>0</v>
      </c>
      <c r="C141" s="67">
        <f>IFERROR(B141/B148, "NA")</f>
        <v>0</v>
      </c>
      <c r="D141" s="66">
        <f>IFERROR(D140, "NA")</f>
        <v>0</v>
      </c>
      <c r="E141" s="67">
        <f>IFERROR(D141/D148, "NA")</f>
        <v>0</v>
      </c>
      <c r="F141" s="66">
        <f>IFERROR(F140, "NA")</f>
        <v>26467.98</v>
      </c>
      <c r="G141" s="67">
        <f>IFERROR(F141/F148, "NA")</f>
        <v>0.223194786</v>
      </c>
      <c r="H141" s="66">
        <f>IFERROR(H140, "NA")</f>
        <v>6.21</v>
      </c>
      <c r="I141" s="67">
        <f>IFERROR(H141/H148, "NA")</f>
        <v>0.00009772722051</v>
      </c>
      <c r="J141" s="66">
        <f>IFERROR(J140, "NA")</f>
        <v>-3.2</v>
      </c>
      <c r="K141" s="67">
        <f>IFERROR(J141/J148, "NA")</f>
        <v>-0.00002690850461</v>
      </c>
      <c r="L141" s="66">
        <f>IFERROR(L140, "NA")</f>
        <v>0</v>
      </c>
      <c r="M141" s="67">
        <f>IFERROR(L141/L148, "NA")</f>
        <v>0</v>
      </c>
      <c r="N141" s="66">
        <f>IFERROR(N140, "NA")</f>
        <v>-107.24</v>
      </c>
      <c r="O141" s="67">
        <f>IFERROR(N141/N148, "NA")</f>
        <v>-0.001047504075</v>
      </c>
      <c r="P141" s="66">
        <f>IFERROR(P140, "NA")</f>
        <v>26486.38</v>
      </c>
      <c r="Q141" s="67">
        <f>IFERROR(P141/P148, "NA")</f>
        <v>0.5438051938</v>
      </c>
      <c r="R141" s="66">
        <f>IFERROR(R140, "NA")</f>
        <v>27.04</v>
      </c>
      <c r="S141" s="67">
        <f>IFERROR(R141/R148, "NA")</f>
        <v>0.0004450751138</v>
      </c>
      <c r="T141" s="66">
        <f>IFERROR(T140, "NA")</f>
        <v>0</v>
      </c>
      <c r="U141" s="67">
        <f>IFERROR(T141/T148, "NA")</f>
        <v>0</v>
      </c>
      <c r="V141" s="66">
        <f>IFERROR(V140, "NA")</f>
        <v>-0.52</v>
      </c>
      <c r="W141" s="67">
        <f>IFERROR(V141/V148, "NA")</f>
        <v>-0.000004591334175</v>
      </c>
      <c r="X141" s="66">
        <f>IFERROR(X140, "NA")</f>
        <v>-103.39</v>
      </c>
      <c r="Y141" s="67">
        <f>IFERROR(X141/X148, "NA")</f>
        <v>-0.001078011812</v>
      </c>
      <c r="Z141" s="66">
        <f>IFERROR(Z140, "NA")</f>
        <v>-76.87</v>
      </c>
      <c r="AA141" s="67">
        <f>IFERROR(Z141/Z148, "NA")</f>
        <v>-0.0002114668919</v>
      </c>
      <c r="AB141" s="66">
        <f t="shared" si="61"/>
        <v>-19.2175</v>
      </c>
      <c r="AC141" s="67">
        <f>IFERROR(AB141/AB148, "NA")</f>
        <v>-0.0002114668919</v>
      </c>
      <c r="AD141" s="75">
        <f t="shared" si="62"/>
        <v>-84.1725</v>
      </c>
      <c r="AE141" s="76">
        <f>IFERROR(AD141/AD148, "NA")</f>
        <v>-0.01673100202</v>
      </c>
      <c r="AF141" s="75">
        <f t="shared" si="63"/>
        <v>4.379992195</v>
      </c>
      <c r="AG141" s="66">
        <f t="shared" si="64"/>
        <v>3287.38375</v>
      </c>
      <c r="AH141" s="67">
        <f>IFERROR(AG141/AG148, "NA")</f>
        <v>0.03516354797</v>
      </c>
      <c r="AI141" s="75">
        <f t="shared" si="65"/>
        <v>-3390.77375</v>
      </c>
      <c r="AJ141" s="76">
        <f>IFERROR(AI141/AI148, "NA")</f>
        <v>-1.401353196</v>
      </c>
      <c r="AK141" s="75">
        <f t="shared" si="66"/>
        <v>-1.031450542</v>
      </c>
      <c r="AL141" s="76">
        <f>IFERROR(AK141/AK148, "NA")</f>
        <v>-39.85244029</v>
      </c>
    </row>
    <row r="142" ht="3.75" hidden="1" customHeight="1">
      <c r="A142" s="123"/>
      <c r="B142" s="124"/>
      <c r="C142" s="74"/>
      <c r="D142" s="124"/>
      <c r="E142" s="74"/>
      <c r="F142" s="124"/>
      <c r="G142" s="74"/>
      <c r="H142" s="124"/>
      <c r="I142" s="74"/>
      <c r="J142" s="124"/>
      <c r="K142" s="74"/>
      <c r="L142" s="124"/>
      <c r="M142" s="74"/>
      <c r="N142" s="124"/>
      <c r="O142" s="74"/>
      <c r="P142" s="124"/>
      <c r="Q142" s="74"/>
      <c r="R142" s="124"/>
      <c r="S142" s="74"/>
      <c r="T142" s="124"/>
      <c r="U142" s="74"/>
      <c r="V142" s="124"/>
      <c r="W142" s="74"/>
      <c r="X142" s="124"/>
      <c r="Y142" s="74"/>
      <c r="Z142" s="124"/>
      <c r="AA142" s="74"/>
      <c r="AB142" s="124"/>
      <c r="AC142" s="74"/>
      <c r="AD142" s="125"/>
      <c r="AE142" s="80"/>
      <c r="AF142" s="125"/>
      <c r="AG142" s="124"/>
      <c r="AH142" s="74"/>
      <c r="AI142" s="125"/>
      <c r="AJ142" s="80"/>
      <c r="AK142" s="125"/>
      <c r="AL142" s="80"/>
    </row>
    <row r="143" ht="16.5" hidden="1" customHeight="1">
      <c r="A143" s="13" t="s">
        <v>250</v>
      </c>
      <c r="B143" s="14"/>
      <c r="C143" s="12"/>
      <c r="D143" s="14"/>
      <c r="E143" s="12"/>
      <c r="F143" s="14"/>
      <c r="G143" s="12"/>
      <c r="H143" s="14"/>
      <c r="I143" s="12"/>
      <c r="J143" s="14"/>
      <c r="K143" s="12"/>
      <c r="L143" s="14"/>
      <c r="M143" s="12"/>
      <c r="N143" s="14"/>
      <c r="O143" s="12"/>
      <c r="P143" s="14"/>
      <c r="Q143" s="12"/>
      <c r="R143" s="14"/>
      <c r="S143" s="12"/>
      <c r="T143" s="14"/>
      <c r="U143" s="12"/>
      <c r="V143" s="14"/>
      <c r="W143" s="12"/>
      <c r="X143" s="14"/>
      <c r="Y143" s="12"/>
      <c r="Z143" s="14"/>
      <c r="AA143" s="12"/>
      <c r="AB143" s="14"/>
      <c r="AC143" s="12"/>
      <c r="AD143" s="17"/>
      <c r="AE143" s="18"/>
      <c r="AF143" s="17"/>
      <c r="AG143" s="14"/>
      <c r="AH143" s="12"/>
      <c r="AI143" s="17"/>
      <c r="AJ143" s="18"/>
      <c r="AK143" s="17"/>
      <c r="AL143" s="18"/>
    </row>
    <row r="144" ht="16.5" hidden="1" customHeight="1">
      <c r="A144" s="19" t="s">
        <v>251</v>
      </c>
      <c r="B144" s="21">
        <f>SUM('4 - RASA - MVT'!B144,'5 - RASA - National Landin'!B144,'6 - RASA - Mosaic'!B144,'7 - RASA - Rockville'!B144)</f>
        <v>0</v>
      </c>
      <c r="C144" s="23">
        <f>IFERROR(B144/B148, "NA")</f>
        <v>0</v>
      </c>
      <c r="D144" s="21">
        <f>SUM('4 - RASA - MVT'!D144,'5 - RASA - National Landin'!D144,'6 - RASA - Mosaic'!D144,'7 - RASA - Rockville'!D144)</f>
        <v>0</v>
      </c>
      <c r="E144" s="23">
        <f>IFERROR(D144/D148, "NA")</f>
        <v>0</v>
      </c>
      <c r="F144" s="21">
        <f>SUM('4 - RASA - MVT'!F144,'5 - RASA - National Landin'!F144,'6 - RASA - Mosaic'!F144,'7 - RASA - Rockville'!F144)</f>
        <v>0</v>
      </c>
      <c r="G144" s="23">
        <f>IFERROR(F144/F148, "NA")</f>
        <v>0</v>
      </c>
      <c r="H144" s="21">
        <f>SUM('4 - RASA - MVT'!H144,'5 - RASA - National Landin'!H144,'6 - RASA - Mosaic'!H144,'7 - RASA - Rockville'!H144)</f>
        <v>0</v>
      </c>
      <c r="I144" s="23">
        <f>IFERROR(H144/H148, "NA")</f>
        <v>0</v>
      </c>
      <c r="J144" s="21">
        <f>SUM('4 - RASA - MVT'!J144,'5 - RASA - National Landin'!J144,'6 - RASA - Mosaic'!J144,'7 - RASA - Rockville'!J144)</f>
        <v>0</v>
      </c>
      <c r="K144" s="23">
        <f>IFERROR(J144/J148, "NA")</f>
        <v>0</v>
      </c>
      <c r="L144" s="21">
        <f>SUM('4 - RASA - MVT'!L144,'5 - RASA - National Landin'!L144,'6 - RASA - Mosaic'!L144,'7 - RASA - Rockville'!L144)</f>
        <v>0</v>
      </c>
      <c r="M144" s="23">
        <f>IFERROR(L144/L148, "NA")</f>
        <v>0</v>
      </c>
      <c r="N144" s="21">
        <f>SUM('4 - RASA - MVT'!N144,'5 - RASA - National Landin'!N144,'6 - RASA - Mosaic'!N144,'7 - RASA - Rockville'!N144)</f>
        <v>0</v>
      </c>
      <c r="O144" s="23">
        <f>IFERROR(N144/N148, "NA")</f>
        <v>0</v>
      </c>
      <c r="P144" s="21">
        <f>SUM('4 - RASA - MVT'!P144,'5 - RASA - National Landin'!P144,'6 - RASA - Mosaic'!P144,'7 - RASA - Rockville'!P144)</f>
        <v>0</v>
      </c>
      <c r="Q144" s="23">
        <f>IFERROR(P144/P148, "NA")</f>
        <v>0</v>
      </c>
      <c r="R144" s="21">
        <f>SUM('4 - RASA - MVT'!R144,'5 - RASA - National Landin'!R144,'6 - RASA - Mosaic'!R144,'7 - RASA - Rockville'!R144)</f>
        <v>0</v>
      </c>
      <c r="S144" s="23">
        <f>IFERROR(R144/R148, "NA")</f>
        <v>0</v>
      </c>
      <c r="T144" s="21">
        <f>SUM('4 - RASA - MVT'!T144,'5 - RASA - National Landin'!T144,'6 - RASA - Mosaic'!T144,'7 - RASA - Rockville'!T144)</f>
        <v>0</v>
      </c>
      <c r="U144" s="23">
        <f>IFERROR(T144/T148, "NA")</f>
        <v>0</v>
      </c>
      <c r="V144" s="21">
        <f>SUM('4 - RASA - MVT'!V144,'5 - RASA - National Landin'!V144,'6 - RASA - Mosaic'!V144,'7 - RASA - Rockville'!V144)</f>
        <v>0</v>
      </c>
      <c r="W144" s="23">
        <f>IFERROR(V144/V148, "NA")</f>
        <v>0</v>
      </c>
      <c r="X144" s="21">
        <f>SUM('4 - RASA - MVT'!X144,'5 - RASA - National Landin'!X144,'6 - RASA - Mosaic'!X144,'7 - RASA - Rockville'!X144)</f>
        <v>0</v>
      </c>
      <c r="Y144" s="23">
        <f>IFERROR(X144/X148, "NA")</f>
        <v>0</v>
      </c>
      <c r="Z144" s="21">
        <f>SUM('4 - RASA - MVT'!Z144,'5 - RASA - National Landin'!Z144,'6 - RASA - Mosaic'!Z144,'7 - RASA - Rockville'!Z144)</f>
        <v>0</v>
      </c>
      <c r="AA144" s="23">
        <f>IFERROR(Z144/Z148, "NA")</f>
        <v>0</v>
      </c>
      <c r="AB144" s="28">
        <f t="shared" ref="AB144:AB145" si="67">IFERROR((R144+T144+V144+X144)/4, "NA")</f>
        <v>0</v>
      </c>
      <c r="AC144" s="23">
        <f>IFERROR(AB144/AB148, "NA")</f>
        <v>0</v>
      </c>
      <c r="AD144" s="29">
        <f t="shared" ref="AD144:AD145" si="68">IFERROR(X144-AB144, "NA")</f>
        <v>0</v>
      </c>
      <c r="AE144" s="30">
        <f>IFERROR(AD144/AD148, "NA")</f>
        <v>0</v>
      </c>
      <c r="AF144" s="29" t="str">
        <f t="shared" ref="AF144:AF145" si="69">IFERROR((X144-AB144)/AB144, "NA")</f>
        <v>NA</v>
      </c>
      <c r="AG144" s="28">
        <f t="shared" ref="AG144:AG145" si="70">IFERROR((J144+L144+N144+P144+R144+T144+V144+X144)/8, "NA")</f>
        <v>0</v>
      </c>
      <c r="AH144" s="23">
        <f>IFERROR(AG144/AG148, "NA")</f>
        <v>0</v>
      </c>
      <c r="AI144" s="29">
        <f t="shared" ref="AI144:AI145" si="71">IFERROR(X144-AG144, "NA")</f>
        <v>0</v>
      </c>
      <c r="AJ144" s="30">
        <f>IFERROR(AI144/AI148, "NA")</f>
        <v>0</v>
      </c>
      <c r="AK144" s="29" t="str">
        <f t="shared" ref="AK144:AK145" si="72">IFERROR((X144-AG144)/AG144, "NA")</f>
        <v>NA</v>
      </c>
      <c r="AL144" s="30" t="str">
        <f>IFERROR(AK144/AK148, "NA")</f>
        <v>NA</v>
      </c>
    </row>
    <row r="145" ht="16.5" hidden="1" customHeight="1">
      <c r="A145" s="65" t="s">
        <v>252</v>
      </c>
      <c r="B145" s="66">
        <f>IFERROR(B144, "NA")</f>
        <v>0</v>
      </c>
      <c r="C145" s="67">
        <f>IFERROR(B145/B148, "NA")</f>
        <v>0</v>
      </c>
      <c r="D145" s="66">
        <f>IFERROR(D144, "NA")</f>
        <v>0</v>
      </c>
      <c r="E145" s="67">
        <f>IFERROR(D145/D148, "NA")</f>
        <v>0</v>
      </c>
      <c r="F145" s="66">
        <f>IFERROR(F144, "NA")</f>
        <v>0</v>
      </c>
      <c r="G145" s="67">
        <f>IFERROR(F145/F148, "NA")</f>
        <v>0</v>
      </c>
      <c r="H145" s="66">
        <f>IFERROR(H144, "NA")</f>
        <v>0</v>
      </c>
      <c r="I145" s="67">
        <f>IFERROR(H145/H148, "NA")</f>
        <v>0</v>
      </c>
      <c r="J145" s="66">
        <f>IFERROR(J144, "NA")</f>
        <v>0</v>
      </c>
      <c r="K145" s="67">
        <f>IFERROR(J145/J148, "NA")</f>
        <v>0</v>
      </c>
      <c r="L145" s="66">
        <f>IFERROR(L144, "NA")</f>
        <v>0</v>
      </c>
      <c r="M145" s="67">
        <f>IFERROR(L145/L148, "NA")</f>
        <v>0</v>
      </c>
      <c r="N145" s="66">
        <f>IFERROR(N144, "NA")</f>
        <v>0</v>
      </c>
      <c r="O145" s="67">
        <f>IFERROR(N145/N148, "NA")</f>
        <v>0</v>
      </c>
      <c r="P145" s="66">
        <f>IFERROR(P144, "NA")</f>
        <v>0</v>
      </c>
      <c r="Q145" s="67">
        <f>IFERROR(P145/P148, "NA")</f>
        <v>0</v>
      </c>
      <c r="R145" s="66">
        <f>IFERROR(R144, "NA")</f>
        <v>0</v>
      </c>
      <c r="S145" s="67">
        <f>IFERROR(R145/R148, "NA")</f>
        <v>0</v>
      </c>
      <c r="T145" s="66">
        <f>IFERROR(T144, "NA")</f>
        <v>0</v>
      </c>
      <c r="U145" s="67">
        <f>IFERROR(T145/T148, "NA")</f>
        <v>0</v>
      </c>
      <c r="V145" s="66">
        <f>IFERROR(V144, "NA")</f>
        <v>0</v>
      </c>
      <c r="W145" s="67">
        <f>IFERROR(V145/V148, "NA")</f>
        <v>0</v>
      </c>
      <c r="X145" s="66">
        <f>IFERROR(X144, "NA")</f>
        <v>0</v>
      </c>
      <c r="Y145" s="67">
        <f>IFERROR(X145/X148, "NA")</f>
        <v>0</v>
      </c>
      <c r="Z145" s="66">
        <f>IFERROR(Z144, "NA")</f>
        <v>0</v>
      </c>
      <c r="AA145" s="67">
        <f>IFERROR(Z145/Z148, "NA")</f>
        <v>0</v>
      </c>
      <c r="AB145" s="66">
        <f t="shared" si="67"/>
        <v>0</v>
      </c>
      <c r="AC145" s="67">
        <f>IFERROR(AB145/AB148, "NA")</f>
        <v>0</v>
      </c>
      <c r="AD145" s="75">
        <f t="shared" si="68"/>
        <v>0</v>
      </c>
      <c r="AE145" s="76">
        <f>IFERROR(AD145/AD148, "NA")</f>
        <v>0</v>
      </c>
      <c r="AF145" s="75" t="str">
        <f t="shared" si="69"/>
        <v>NA</v>
      </c>
      <c r="AG145" s="66">
        <f t="shared" si="70"/>
        <v>0</v>
      </c>
      <c r="AH145" s="67">
        <f>IFERROR(AG145/AG148, "NA")</f>
        <v>0</v>
      </c>
      <c r="AI145" s="75">
        <f t="shared" si="71"/>
        <v>0</v>
      </c>
      <c r="AJ145" s="76">
        <f>IFERROR(AI145/AI148, "NA")</f>
        <v>0</v>
      </c>
      <c r="AK145" s="75" t="str">
        <f t="shared" si="72"/>
        <v>NA</v>
      </c>
      <c r="AL145" s="76" t="str">
        <f>IFERROR(AK145/AK148, "NA")</f>
        <v>NA</v>
      </c>
    </row>
    <row r="146" ht="3.75" hidden="1" customHeight="1">
      <c r="A146" s="123"/>
      <c r="B146" s="124"/>
      <c r="C146" s="74"/>
      <c r="D146" s="124"/>
      <c r="E146" s="74"/>
      <c r="F146" s="124"/>
      <c r="G146" s="74"/>
      <c r="H146" s="124"/>
      <c r="I146" s="74"/>
      <c r="J146" s="124"/>
      <c r="K146" s="74"/>
      <c r="L146" s="124"/>
      <c r="M146" s="74"/>
      <c r="N146" s="124"/>
      <c r="O146" s="74"/>
      <c r="P146" s="124"/>
      <c r="Q146" s="74"/>
      <c r="R146" s="124"/>
      <c r="S146" s="74"/>
      <c r="T146" s="124"/>
      <c r="U146" s="74"/>
      <c r="V146" s="124"/>
      <c r="W146" s="74"/>
      <c r="X146" s="124"/>
      <c r="Y146" s="74"/>
      <c r="Z146" s="124"/>
      <c r="AA146" s="74"/>
      <c r="AB146" s="124"/>
      <c r="AC146" s="74"/>
      <c r="AD146" s="125"/>
      <c r="AE146" s="80"/>
      <c r="AF146" s="125"/>
      <c r="AG146" s="124"/>
      <c r="AH146" s="74"/>
      <c r="AI146" s="125"/>
      <c r="AJ146" s="80"/>
      <c r="AK146" s="125"/>
      <c r="AL146" s="80"/>
    </row>
    <row r="147" ht="16.5" hidden="1" customHeight="1">
      <c r="A147" s="121" t="s">
        <v>253</v>
      </c>
      <c r="B147" s="122">
        <f>IFERROR(B137-B141-B145, "NA")</f>
        <v>56490.95</v>
      </c>
      <c r="C147" s="94">
        <f>IFERROR(B147/B148, "NA")</f>
        <v>0.3447468308</v>
      </c>
      <c r="D147" s="122">
        <f>IFERROR(D137-D141-D145, "NA")</f>
        <v>30398.95</v>
      </c>
      <c r="E147" s="94">
        <f>IFERROR(D147/D148, "NA")</f>
        <v>0.2012834115</v>
      </c>
      <c r="F147" s="122">
        <f>IFERROR(F137-F141-F145, "NA")</f>
        <v>-61333.73</v>
      </c>
      <c r="G147" s="94">
        <f>IFERROR(F147/F148, "NA")</f>
        <v>-0.5172048922</v>
      </c>
      <c r="H147" s="122">
        <f>IFERROR(H137-H141-H145, "NA")</f>
        <v>3497.32</v>
      </c>
      <c r="I147" s="94">
        <f>IFERROR(H147/H148, "NA")</f>
        <v>0.05503757856</v>
      </c>
      <c r="J147" s="122">
        <f>IFERROR(J137-J141-J145, "NA")</f>
        <v>23320.95</v>
      </c>
      <c r="K147" s="94">
        <f>IFERROR(J147/J148, "NA")</f>
        <v>0.1961037158</v>
      </c>
      <c r="L147" s="122">
        <f>IFERROR(L137-L141-L145, "NA")</f>
        <v>22820.61</v>
      </c>
      <c r="M147" s="94">
        <f>IFERROR(L147/L148, "NA")</f>
        <v>0.19948975</v>
      </c>
      <c r="N147" s="122">
        <f>IFERROR(N137-N141-N145, "NA")</f>
        <v>-5638.4</v>
      </c>
      <c r="O147" s="94">
        <f>IFERROR(N147/N148, "NA")</f>
        <v>-0.0550750371</v>
      </c>
      <c r="P147" s="122">
        <f>IFERROR(P137-P141-P145, "NA")</f>
        <v>-100212.62</v>
      </c>
      <c r="Q147" s="94">
        <f>IFERROR(P147/P148, "NA")</f>
        <v>-2.057515721</v>
      </c>
      <c r="R147" s="122">
        <f>IFERROR(R137-R141-R145, "NA")</f>
        <v>4909.74</v>
      </c>
      <c r="S147" s="94">
        <f>IFERROR(R147/R148, "NA")</f>
        <v>0.08081372372</v>
      </c>
      <c r="T147" s="122">
        <f>IFERROR(T137-T141-T145, "NA")</f>
        <v>15986.1</v>
      </c>
      <c r="U147" s="94">
        <f>IFERROR(T147/T148, "NA")</f>
        <v>0.1708103354</v>
      </c>
      <c r="V147" s="122">
        <f>IFERROR(V137-V141-V145, "NA")</f>
        <v>8424.73</v>
      </c>
      <c r="W147" s="94">
        <f>IFERROR(V147/V148, "NA")</f>
        <v>0.07438605916</v>
      </c>
      <c r="X147" s="122">
        <f>IFERROR(X137-X141-X145, "NA")</f>
        <v>-38252.46</v>
      </c>
      <c r="Y147" s="94">
        <f>IFERROR(X147/X148, "NA")</f>
        <v>-0.3988451855</v>
      </c>
      <c r="Z147" s="122">
        <f>IFERROR(Z137-Z141-Z145, "NA")</f>
        <v>-8931.89</v>
      </c>
      <c r="AA147" s="94">
        <f>IFERROR(Z147/Z148, "NA")</f>
        <v>-0.02457134145</v>
      </c>
      <c r="AB147" s="122">
        <f t="shared" ref="AB147:AB148" si="73">IFERROR((R147+T147+V147+X147)/4, "NA")</f>
        <v>-2232.9725</v>
      </c>
      <c r="AC147" s="94">
        <f>IFERROR(AB147/AB148, "NA")</f>
        <v>-0.02457134145</v>
      </c>
      <c r="AD147" s="75">
        <f t="shared" ref="AD147:AD148" si="74">IFERROR(X147-AB147, "NA")</f>
        <v>-36019.4875</v>
      </c>
      <c r="AE147" s="76">
        <f>IFERROR(AD147/AD148, "NA")</f>
        <v>-7.159608164</v>
      </c>
      <c r="AF147" s="75">
        <f t="shared" ref="AF147:AF148" si="75">IFERROR((X147-AB147)/AB147, "NA")</f>
        <v>16.13073493</v>
      </c>
      <c r="AG147" s="122">
        <f t="shared" ref="AG147:AG148" si="76">IFERROR((J147+L147+N147+P147+R147+T147+V147+X147)/8, "NA")</f>
        <v>-8580.16875</v>
      </c>
      <c r="AH147" s="94">
        <f>IFERROR(AG147/AG148, "NA")</f>
        <v>-0.0917778995</v>
      </c>
      <c r="AI147" s="75">
        <f t="shared" ref="AI147:AI148" si="77">IFERROR(X147-AG147, "NA")</f>
        <v>-29672.29125</v>
      </c>
      <c r="AJ147" s="76">
        <f>IFERROR(AI147/AI148, "NA")</f>
        <v>-12.26308897</v>
      </c>
      <c r="AK147" s="75">
        <f t="shared" ref="AK147:AK148" si="78">IFERROR((X147-AG147)/AG147, "NA")</f>
        <v>3.458240987</v>
      </c>
      <c r="AL147" s="76">
        <f>IFERROR(AK147/AK148, "NA")</f>
        <v>133.6170149</v>
      </c>
    </row>
    <row r="148" ht="14.25" hidden="1" customHeight="1">
      <c r="A148" s="19" t="s">
        <v>54</v>
      </c>
      <c r="B148" s="21">
        <f>SUM('4 - RASA - MVT'!B148,'5 - RASA - National Landin'!B148,'6 - RASA - Mosaic'!B148,'7 - RASA - Rockville'!B148)</f>
        <v>163862.13</v>
      </c>
      <c r="C148" s="128"/>
      <c r="D148" s="21">
        <f>SUM('4 - RASA - MVT'!D148,'5 - RASA - National Landin'!D148,'6 - RASA - Mosaic'!D148,'7 - RASA - Rockville'!D148)</f>
        <v>151025.61</v>
      </c>
      <c r="E148" s="128"/>
      <c r="F148" s="21">
        <f>SUM('4 - RASA - MVT'!F148,'5 - RASA - National Landin'!F148,'6 - RASA - Mosaic'!F148,'7 - RASA - Rockville'!F148)</f>
        <v>118586.91</v>
      </c>
      <c r="G148" s="128"/>
      <c r="H148" s="21">
        <f>SUM('4 - RASA - MVT'!H148,'5 - RASA - National Landin'!H148,'6 - RASA - Mosaic'!H148,'7 - RASA - Rockville'!H148)</f>
        <v>63544.22</v>
      </c>
      <c r="I148" s="128"/>
      <c r="J148" s="21">
        <f>SUM('4 - RASA - MVT'!J148,'5 - RASA - National Landin'!J148,'6 - RASA - Mosaic'!J148,'7 - RASA - Rockville'!J148)</f>
        <v>118921.51</v>
      </c>
      <c r="K148" s="128"/>
      <c r="L148" s="21">
        <f>SUM('4 - RASA - MVT'!L148,'5 - RASA - National Landin'!L148,'6 - RASA - Mosaic'!L148,'7 - RASA - Rockville'!L148)</f>
        <v>114394.9</v>
      </c>
      <c r="M148" s="128"/>
      <c r="N148" s="21">
        <f>SUM('4 - RASA - MVT'!N148,'5 - RASA - National Landin'!N148,'6 - RASA - Mosaic'!N148,'7 - RASA - Rockville'!N148)</f>
        <v>102376.69</v>
      </c>
      <c r="O148" s="128"/>
      <c r="P148" s="21">
        <f>SUM('4 - RASA - MVT'!P148,'5 - RASA - National Landin'!P148,'6 - RASA - Mosaic'!P148,'7 - RASA - Rockville'!P148)</f>
        <v>48705.64</v>
      </c>
      <c r="Q148" s="128"/>
      <c r="R148" s="21">
        <f>SUM('4 - RASA - MVT'!R148,'5 - RASA - National Landin'!R148,'6 - RASA - Mosaic'!R148,'7 - RASA - Rockville'!R148)</f>
        <v>60753.79</v>
      </c>
      <c r="S148" s="128"/>
      <c r="T148" s="21">
        <f>SUM('4 - RASA - MVT'!T148,'5 - RASA - National Landin'!T148,'6 - RASA - Mosaic'!T148,'7 - RASA - Rockville'!T148)</f>
        <v>93589.77</v>
      </c>
      <c r="U148" s="128"/>
      <c r="V148" s="21">
        <f>SUM('4 - RASA - MVT'!V148,'5 - RASA - National Landin'!V148,'6 - RASA - Mosaic'!V148,'7 - RASA - Rockville'!V148)</f>
        <v>113256.84</v>
      </c>
      <c r="W148" s="128"/>
      <c r="X148" s="21">
        <f>SUM('4 - RASA - MVT'!X148,'5 - RASA - National Landin'!X148,'6 - RASA - Mosaic'!X148,'7 - RASA - Rockville'!X148)</f>
        <v>95908.04</v>
      </c>
      <c r="Y148" s="128"/>
      <c r="Z148" s="21">
        <f>SUM('4 - RASA - MVT'!Z148,'5 - RASA - National Landin'!Z148,'6 - RASA - Mosaic'!Z148,'7 - RASA - Rockville'!Z148)</f>
        <v>363508.44</v>
      </c>
      <c r="AA148" s="128"/>
      <c r="AB148" s="28">
        <f t="shared" si="73"/>
        <v>90877.11</v>
      </c>
      <c r="AC148" s="128"/>
      <c r="AD148" s="29">
        <f t="shared" si="74"/>
        <v>5030.93</v>
      </c>
      <c r="AE148" s="129"/>
      <c r="AF148" s="29">
        <f t="shared" si="75"/>
        <v>0.05535970499</v>
      </c>
      <c r="AG148" s="28">
        <f t="shared" si="76"/>
        <v>93488.3975</v>
      </c>
      <c r="AH148" s="128"/>
      <c r="AI148" s="29">
        <f t="shared" si="77"/>
        <v>2419.6425</v>
      </c>
      <c r="AJ148" s="129"/>
      <c r="AK148" s="29">
        <f t="shared" si="78"/>
        <v>0.0258817411</v>
      </c>
      <c r="AL148" s="129"/>
    </row>
    <row r="149" ht="14.25" customHeight="1"/>
    <row r="150" ht="14.25" customHeight="1"/>
    <row r="151" ht="14.25" customHeight="1">
      <c r="A151" s="130" t="s">
        <v>254</v>
      </c>
    </row>
    <row r="152" ht="14.25" customHeight="1">
      <c r="A152" s="130" t="s">
        <v>255</v>
      </c>
    </row>
    <row r="153" ht="14.25" customHeight="1">
      <c r="A153" s="130" t="s">
        <v>256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2" t="s">
        <v>0</v>
      </c>
    </row>
    <row r="2" ht="14.25" customHeight="1">
      <c r="A2" s="4" t="s">
        <v>1</v>
      </c>
    </row>
    <row r="3" ht="14.25" customHeight="1">
      <c r="A3" s="5" t="s">
        <v>59</v>
      </c>
    </row>
    <row r="4" ht="14.25" customHeight="1"/>
    <row r="5" ht="13.5" customHeight="1">
      <c r="A5" s="7"/>
      <c r="B5" s="1" t="s">
        <v>3</v>
      </c>
      <c r="D5" s="1" t="s">
        <v>4</v>
      </c>
      <c r="F5" s="1" t="s">
        <v>5</v>
      </c>
      <c r="H5" s="1" t="s">
        <v>7</v>
      </c>
      <c r="J5" s="1" t="s">
        <v>8</v>
      </c>
      <c r="L5" s="1" t="s">
        <v>10</v>
      </c>
      <c r="N5" s="1" t="s">
        <v>11</v>
      </c>
      <c r="P5" s="1" t="s">
        <v>13</v>
      </c>
      <c r="R5" s="1" t="s">
        <v>15</v>
      </c>
      <c r="T5" s="1" t="s">
        <v>17</v>
      </c>
      <c r="V5" s="1" t="s">
        <v>19</v>
      </c>
      <c r="X5" s="1" t="s">
        <v>21</v>
      </c>
      <c r="Z5" s="1" t="s">
        <v>22</v>
      </c>
      <c r="AB5" s="1" t="s">
        <v>24</v>
      </c>
      <c r="AD5" s="10" t="s">
        <v>26</v>
      </c>
      <c r="AF5" s="10" t="s">
        <v>27</v>
      </c>
      <c r="AG5" s="1" t="s">
        <v>29</v>
      </c>
      <c r="AI5" s="10" t="s">
        <v>30</v>
      </c>
      <c r="AK5" s="10" t="s">
        <v>31</v>
      </c>
    </row>
    <row r="6" ht="16.5" customHeight="1">
      <c r="A6" s="13" t="s">
        <v>25</v>
      </c>
      <c r="B6" s="14"/>
      <c r="C6" s="12"/>
      <c r="D6" s="14"/>
      <c r="E6" s="12"/>
      <c r="F6" s="14"/>
      <c r="G6" s="12"/>
      <c r="H6" s="14"/>
      <c r="I6" s="12"/>
      <c r="J6" s="14"/>
      <c r="K6" s="12"/>
      <c r="L6" s="14"/>
      <c r="M6" s="12"/>
      <c r="N6" s="14"/>
      <c r="O6" s="12"/>
      <c r="P6" s="14"/>
      <c r="Q6" s="12"/>
      <c r="R6" s="14"/>
      <c r="S6" s="12"/>
      <c r="T6" s="14"/>
      <c r="U6" s="12"/>
      <c r="V6" s="14"/>
      <c r="W6" s="12"/>
      <c r="X6" s="14"/>
      <c r="Y6" s="12"/>
      <c r="Z6" s="14"/>
      <c r="AA6" s="12"/>
      <c r="AB6" s="14"/>
      <c r="AC6" s="12"/>
      <c r="AD6" s="17"/>
      <c r="AE6" s="18"/>
      <c r="AF6" s="17"/>
      <c r="AG6" s="14"/>
      <c r="AH6" s="12"/>
      <c r="AI6" s="17"/>
      <c r="AJ6" s="18"/>
      <c r="AK6" s="17"/>
      <c r="AL6" s="18"/>
    </row>
    <row r="7" ht="16.5" customHeight="1">
      <c r="A7" s="19" t="s">
        <v>25</v>
      </c>
      <c r="B7" s="21">
        <v>39832.19</v>
      </c>
      <c r="C7" s="23">
        <f>IFERROR(B7/B148, "NA")</f>
        <v>1</v>
      </c>
      <c r="D7" s="21">
        <v>34578.58</v>
      </c>
      <c r="E7" s="23">
        <f>IFERROR(D7/D148, "NA")</f>
        <v>1</v>
      </c>
      <c r="F7" s="21">
        <v>22671.98</v>
      </c>
      <c r="G7" s="23">
        <f>IFERROR(F7/F148, "NA")</f>
        <v>1</v>
      </c>
      <c r="H7" s="21">
        <v>11120.1</v>
      </c>
      <c r="I7" s="23">
        <f>IFERROR(H7/H148, "NA")</f>
        <v>1</v>
      </c>
      <c r="J7" s="21">
        <v>23476.69</v>
      </c>
      <c r="K7" s="23">
        <f>IFERROR(J7/J148, "NA")</f>
        <v>1</v>
      </c>
      <c r="L7" s="21">
        <v>20745.47</v>
      </c>
      <c r="M7" s="23">
        <f>IFERROR(L7/L148, "NA")</f>
        <v>1</v>
      </c>
      <c r="N7" s="21">
        <v>19220.72</v>
      </c>
      <c r="O7" s="23">
        <f>IFERROR(N7/N148, "NA")</f>
        <v>1</v>
      </c>
      <c r="P7" s="21">
        <v>7906.99</v>
      </c>
      <c r="Q7" s="23">
        <f>IFERROR(P7/P148, "NA")</f>
        <v>1</v>
      </c>
      <c r="R7" s="21">
        <v>8732.85</v>
      </c>
      <c r="S7" s="23">
        <f>IFERROR(R7/R148, "NA")</f>
        <v>1</v>
      </c>
      <c r="T7" s="21">
        <v>16916.41</v>
      </c>
      <c r="U7" s="23">
        <f>IFERROR(T7/T148, "NA")</f>
        <v>1</v>
      </c>
      <c r="V7" s="21">
        <v>21794.9</v>
      </c>
      <c r="W7" s="23">
        <f>IFERROR(V7/V148, "NA")</f>
        <v>1</v>
      </c>
      <c r="X7" s="21">
        <v>20034.79</v>
      </c>
      <c r="Y7" s="23">
        <f>IFERROR(X7/X148, "NA")</f>
        <v>1</v>
      </c>
      <c r="Z7" s="21">
        <v>67478.95</v>
      </c>
      <c r="AA7" s="23">
        <f>IFERROR(Z7/Z148, "NA")</f>
        <v>1</v>
      </c>
      <c r="AB7" s="28">
        <f t="shared" ref="AB7:AB9" si="1">IFERROR((R7+T7+V7+X7)/4, "NA")</f>
        <v>16869.7375</v>
      </c>
      <c r="AC7" s="23">
        <f>IFERROR(AB7/AB148, "NA")</f>
        <v>1</v>
      </c>
      <c r="AD7" s="29">
        <f t="shared" ref="AD7:AD9" si="2">IFERROR(X7-AB7, "NA")</f>
        <v>3165.0525</v>
      </c>
      <c r="AE7" s="30">
        <f>IFERROR(AD7/AD148, "NA")</f>
        <v>1</v>
      </c>
      <c r="AF7" s="29">
        <f t="shared" ref="AF7:AF9" si="3">IFERROR((X7-AB7)/AB7, "NA")</f>
        <v>0.1876171754</v>
      </c>
      <c r="AG7" s="28">
        <f t="shared" ref="AG7:AG9" si="4">IFERROR((J7+L7+N7+P7+R7+T7+V7+X7)/8, "NA")</f>
        <v>17353.6025</v>
      </c>
      <c r="AH7" s="23">
        <f>IFERROR(AG7/AG148, "NA")</f>
        <v>1</v>
      </c>
      <c r="AI7" s="29">
        <f t="shared" ref="AI7:AI9" si="5">IFERROR(X7-AG7, "NA")</f>
        <v>2681.1875</v>
      </c>
      <c r="AJ7" s="30">
        <f>IFERROR(AI7/AI148, "NA")</f>
        <v>1</v>
      </c>
      <c r="AK7" s="29">
        <f t="shared" ref="AK7:AK9" si="6">IFERROR((X7-AG7)/AG7, "NA")</f>
        <v>0.154503222</v>
      </c>
      <c r="AL7" s="30">
        <f>IFERROR(AK7/AK148, "NA")</f>
        <v>1</v>
      </c>
    </row>
    <row r="8" ht="30.75" hidden="1" customHeight="1">
      <c r="A8" s="19" t="s">
        <v>46</v>
      </c>
      <c r="B8" s="21">
        <v>0.0</v>
      </c>
      <c r="C8" s="23">
        <f>IFERROR(B8/B148, "NA")</f>
        <v>0</v>
      </c>
      <c r="D8" s="21">
        <v>0.0</v>
      </c>
      <c r="E8" s="23">
        <f>IFERROR(D8/D148, "NA")</f>
        <v>0</v>
      </c>
      <c r="F8" s="21">
        <v>0.0</v>
      </c>
      <c r="G8" s="23">
        <f>IFERROR(F8/F148, "NA")</f>
        <v>0</v>
      </c>
      <c r="H8" s="21">
        <v>0.0</v>
      </c>
      <c r="I8" s="23">
        <f>IFERROR(H8/H148, "NA")</f>
        <v>0</v>
      </c>
      <c r="J8" s="21">
        <v>0.0</v>
      </c>
      <c r="K8" s="23">
        <f>IFERROR(J8/J148, "NA")</f>
        <v>0</v>
      </c>
      <c r="L8" s="21">
        <v>0.0</v>
      </c>
      <c r="M8" s="23">
        <f>IFERROR(L8/L148, "NA")</f>
        <v>0</v>
      </c>
      <c r="N8" s="21">
        <v>0.0</v>
      </c>
      <c r="O8" s="23">
        <f>IFERROR(N8/N148, "NA")</f>
        <v>0</v>
      </c>
      <c r="P8" s="21">
        <v>0.0</v>
      </c>
      <c r="Q8" s="23">
        <f>IFERROR(P8/P148, "NA")</f>
        <v>0</v>
      </c>
      <c r="R8" s="21">
        <v>0.0</v>
      </c>
      <c r="S8" s="23">
        <f>IFERROR(R8/R148, "NA")</f>
        <v>0</v>
      </c>
      <c r="T8" s="21">
        <v>0.0</v>
      </c>
      <c r="U8" s="23">
        <f>IFERROR(T8/T148, "NA")</f>
        <v>0</v>
      </c>
      <c r="V8" s="21">
        <v>0.0</v>
      </c>
      <c r="W8" s="23">
        <f>IFERROR(V8/V148, "NA")</f>
        <v>0</v>
      </c>
      <c r="X8" s="21">
        <v>0.0</v>
      </c>
      <c r="Y8" s="23">
        <f>IFERROR(X8/X148, "NA")</f>
        <v>0</v>
      </c>
      <c r="Z8" s="21">
        <v>0.0</v>
      </c>
      <c r="AA8" s="23">
        <f>IFERROR(Z8/Z148, "NA")</f>
        <v>0</v>
      </c>
      <c r="AB8" s="28">
        <f t="shared" si="1"/>
        <v>0</v>
      </c>
      <c r="AC8" s="23">
        <f>IFERROR(AB8/AB148, "NA")</f>
        <v>0</v>
      </c>
      <c r="AD8" s="29">
        <f t="shared" si="2"/>
        <v>0</v>
      </c>
      <c r="AE8" s="30">
        <f>IFERROR(AD8/AD148, "NA")</f>
        <v>0</v>
      </c>
      <c r="AF8" s="29" t="str">
        <f t="shared" si="3"/>
        <v>NA</v>
      </c>
      <c r="AG8" s="28">
        <f t="shared" si="4"/>
        <v>0</v>
      </c>
      <c r="AH8" s="23">
        <f>IFERROR(AG8/AG148, "NA")</f>
        <v>0</v>
      </c>
      <c r="AI8" s="29">
        <f t="shared" si="5"/>
        <v>0</v>
      </c>
      <c r="AJ8" s="30">
        <f>IFERROR(AI8/AI148, "NA")</f>
        <v>0</v>
      </c>
      <c r="AK8" s="29" t="str">
        <f t="shared" si="6"/>
        <v>NA</v>
      </c>
      <c r="AL8" s="30" t="str">
        <f>IFERROR(AK8/AK148, "NA")</f>
        <v>NA</v>
      </c>
    </row>
    <row r="9" ht="16.5" customHeight="1">
      <c r="A9" s="65" t="s">
        <v>54</v>
      </c>
      <c r="B9" s="66">
        <f>IFERROR(B7+B8, "NA")</f>
        <v>39832.19</v>
      </c>
      <c r="C9" s="67">
        <f>IFERROR(B9/B148, "NA")</f>
        <v>1</v>
      </c>
      <c r="D9" s="66">
        <f>IFERROR(D7+D8, "NA")</f>
        <v>34578.58</v>
      </c>
      <c r="E9" s="67">
        <f>IFERROR(D9/D148, "NA")</f>
        <v>1</v>
      </c>
      <c r="F9" s="66">
        <f>IFERROR(F7+F8, "NA")</f>
        <v>22671.98</v>
      </c>
      <c r="G9" s="67">
        <f>IFERROR(F9/F148, "NA")</f>
        <v>1</v>
      </c>
      <c r="H9" s="66">
        <f>IFERROR(H7+H8, "NA")</f>
        <v>11120.1</v>
      </c>
      <c r="I9" s="67">
        <f>IFERROR(H9/H148, "NA")</f>
        <v>1</v>
      </c>
      <c r="J9" s="66">
        <f>IFERROR(J7+J8, "NA")</f>
        <v>23476.69</v>
      </c>
      <c r="K9" s="67">
        <f>IFERROR(J9/J148, "NA")</f>
        <v>1</v>
      </c>
      <c r="L9" s="66">
        <f>IFERROR(L7+L8, "NA")</f>
        <v>20745.47</v>
      </c>
      <c r="M9" s="67">
        <f>IFERROR(L9/L148, "NA")</f>
        <v>1</v>
      </c>
      <c r="N9" s="66">
        <f>IFERROR(N7+N8, "NA")</f>
        <v>19220.72</v>
      </c>
      <c r="O9" s="67">
        <f>IFERROR(N9/N148, "NA")</f>
        <v>1</v>
      </c>
      <c r="P9" s="66">
        <f>IFERROR(P7+P8, "NA")</f>
        <v>7906.99</v>
      </c>
      <c r="Q9" s="67">
        <f>IFERROR(P9/P148, "NA")</f>
        <v>1</v>
      </c>
      <c r="R9" s="66">
        <f>IFERROR(R7+R8, "NA")</f>
        <v>8732.85</v>
      </c>
      <c r="S9" s="67">
        <f>IFERROR(R9/R148, "NA")</f>
        <v>1</v>
      </c>
      <c r="T9" s="66">
        <f>IFERROR(T7+T8, "NA")</f>
        <v>16916.41</v>
      </c>
      <c r="U9" s="67">
        <f>IFERROR(T9/T148, "NA")</f>
        <v>1</v>
      </c>
      <c r="V9" s="66">
        <f>IFERROR(V7+V8, "NA")</f>
        <v>21794.9</v>
      </c>
      <c r="W9" s="67">
        <f>IFERROR(V9/V148, "NA")</f>
        <v>1</v>
      </c>
      <c r="X9" s="66">
        <f>IFERROR(X7+X8, "NA")</f>
        <v>20034.79</v>
      </c>
      <c r="Y9" s="67">
        <f>IFERROR(X9/X148, "NA")</f>
        <v>1</v>
      </c>
      <c r="Z9" s="66">
        <f>IFERROR(Z7+Z8, "NA")</f>
        <v>67478.95</v>
      </c>
      <c r="AA9" s="67">
        <f>IFERROR(Z9/Z148, "NA")</f>
        <v>1</v>
      </c>
      <c r="AB9" s="66">
        <f t="shared" si="1"/>
        <v>16869.7375</v>
      </c>
      <c r="AC9" s="67">
        <f>IFERROR(AB9/AB148, "NA")</f>
        <v>1</v>
      </c>
      <c r="AD9" s="75">
        <f t="shared" si="2"/>
        <v>3165.0525</v>
      </c>
      <c r="AE9" s="76">
        <f>IFERROR(AD9/AD148, "NA")</f>
        <v>1</v>
      </c>
      <c r="AF9" s="75">
        <f t="shared" si="3"/>
        <v>0.1876171754</v>
      </c>
      <c r="AG9" s="66">
        <f t="shared" si="4"/>
        <v>17353.6025</v>
      </c>
      <c r="AH9" s="67">
        <f>IFERROR(AG9/AG148, "NA")</f>
        <v>1</v>
      </c>
      <c r="AI9" s="75">
        <f t="shared" si="5"/>
        <v>2681.1875</v>
      </c>
      <c r="AJ9" s="76">
        <f>IFERROR(AI9/AI148, "NA")</f>
        <v>1</v>
      </c>
      <c r="AK9" s="75">
        <f t="shared" si="6"/>
        <v>0.154503222</v>
      </c>
      <c r="AL9" s="76">
        <f>IFERROR(AK9/AK148, "NA")</f>
        <v>1</v>
      </c>
    </row>
    <row r="10" ht="3.75" customHeight="1">
      <c r="A10" s="77"/>
      <c r="B10" s="78"/>
      <c r="C10" s="74"/>
      <c r="D10" s="78"/>
      <c r="E10" s="74"/>
      <c r="F10" s="78"/>
      <c r="G10" s="74"/>
      <c r="H10" s="78"/>
      <c r="I10" s="74"/>
      <c r="J10" s="78"/>
      <c r="K10" s="74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4"/>
      <c r="AB10" s="78"/>
      <c r="AC10" s="74"/>
      <c r="AD10" s="79"/>
      <c r="AE10" s="80"/>
      <c r="AF10" s="79"/>
      <c r="AG10" s="78"/>
      <c r="AH10" s="74"/>
      <c r="AI10" s="79"/>
      <c r="AJ10" s="80"/>
      <c r="AK10" s="79"/>
      <c r="AL10" s="80"/>
    </row>
    <row r="11" ht="16.5" customHeight="1">
      <c r="A11" s="13" t="s">
        <v>65</v>
      </c>
      <c r="B11" s="14"/>
      <c r="C11" s="12"/>
      <c r="D11" s="14"/>
      <c r="E11" s="12"/>
      <c r="F11" s="14"/>
      <c r="G11" s="12"/>
      <c r="H11" s="14"/>
      <c r="I11" s="12"/>
      <c r="J11" s="14"/>
      <c r="K11" s="12"/>
      <c r="L11" s="14"/>
      <c r="M11" s="12"/>
      <c r="N11" s="14"/>
      <c r="O11" s="12"/>
      <c r="P11" s="14"/>
      <c r="Q11" s="12"/>
      <c r="R11" s="14"/>
      <c r="S11" s="12"/>
      <c r="T11" s="14"/>
      <c r="U11" s="12"/>
      <c r="V11" s="14"/>
      <c r="W11" s="12"/>
      <c r="X11" s="14"/>
      <c r="Y11" s="12"/>
      <c r="Z11" s="14"/>
      <c r="AA11" s="12"/>
      <c r="AB11" s="14"/>
      <c r="AC11" s="12"/>
      <c r="AD11" s="17"/>
      <c r="AE11" s="18"/>
      <c r="AF11" s="17"/>
      <c r="AG11" s="14"/>
      <c r="AH11" s="12"/>
      <c r="AI11" s="17"/>
      <c r="AJ11" s="18"/>
      <c r="AK11" s="17"/>
      <c r="AL11" s="18"/>
    </row>
    <row r="12" ht="16.5" customHeight="1">
      <c r="A12" s="13" t="s">
        <v>66</v>
      </c>
      <c r="B12" s="14"/>
      <c r="C12" s="12"/>
      <c r="D12" s="14"/>
      <c r="E12" s="12"/>
      <c r="F12" s="14"/>
      <c r="G12" s="12"/>
      <c r="H12" s="14"/>
      <c r="I12" s="12"/>
      <c r="J12" s="14"/>
      <c r="K12" s="12"/>
      <c r="L12" s="14"/>
      <c r="M12" s="12"/>
      <c r="N12" s="14"/>
      <c r="O12" s="12"/>
      <c r="P12" s="14"/>
      <c r="Q12" s="12"/>
      <c r="R12" s="14"/>
      <c r="S12" s="12"/>
      <c r="T12" s="14"/>
      <c r="U12" s="12"/>
      <c r="V12" s="14"/>
      <c r="W12" s="12"/>
      <c r="X12" s="14"/>
      <c r="Y12" s="12"/>
      <c r="Z12" s="14"/>
      <c r="AA12" s="12"/>
      <c r="AB12" s="14"/>
      <c r="AC12" s="12"/>
      <c r="AD12" s="17"/>
      <c r="AE12" s="18"/>
      <c r="AF12" s="17"/>
      <c r="AG12" s="14"/>
      <c r="AH12" s="12"/>
      <c r="AI12" s="17"/>
      <c r="AJ12" s="18"/>
      <c r="AK12" s="17"/>
      <c r="AL12" s="18"/>
    </row>
    <row r="13" ht="16.5" hidden="1" customHeight="1">
      <c r="A13" s="19" t="s">
        <v>67</v>
      </c>
      <c r="B13" s="21">
        <v>0.0</v>
      </c>
      <c r="C13" s="23">
        <f>IFERROR(B13/B148, "NA")</f>
        <v>0</v>
      </c>
      <c r="D13" s="21">
        <v>0.0</v>
      </c>
      <c r="E13" s="23">
        <f>IFERROR(D13/D148, "NA")</f>
        <v>0</v>
      </c>
      <c r="F13" s="21">
        <v>0.0</v>
      </c>
      <c r="G13" s="23">
        <f>IFERROR(F13/F148, "NA")</f>
        <v>0</v>
      </c>
      <c r="H13" s="21">
        <v>0.0</v>
      </c>
      <c r="I13" s="23">
        <f>IFERROR(H13/H148, "NA")</f>
        <v>0</v>
      </c>
      <c r="J13" s="21">
        <v>0.0</v>
      </c>
      <c r="K13" s="23">
        <f>IFERROR(J13/J148, "NA")</f>
        <v>0</v>
      </c>
      <c r="L13" s="21">
        <v>0.0</v>
      </c>
      <c r="M13" s="23">
        <f>IFERROR(L13/L148, "NA")</f>
        <v>0</v>
      </c>
      <c r="N13" s="21">
        <v>0.0</v>
      </c>
      <c r="O13" s="23">
        <f>IFERROR(N13/N148, "NA")</f>
        <v>0</v>
      </c>
      <c r="P13" s="21">
        <v>0.0</v>
      </c>
      <c r="Q13" s="23">
        <f>IFERROR(P13/P148, "NA")</f>
        <v>0</v>
      </c>
      <c r="R13" s="21">
        <v>0.0</v>
      </c>
      <c r="S13" s="23">
        <f>IFERROR(R13/R148, "NA")</f>
        <v>0</v>
      </c>
      <c r="T13" s="21">
        <v>0.0</v>
      </c>
      <c r="U13" s="23">
        <f>IFERROR(T13/T148, "NA")</f>
        <v>0</v>
      </c>
      <c r="V13" s="21">
        <v>0.0</v>
      </c>
      <c r="W13" s="23">
        <f>IFERROR(V13/V148, "NA")</f>
        <v>0</v>
      </c>
      <c r="X13" s="21">
        <v>0.0</v>
      </c>
      <c r="Y13" s="23">
        <f>IFERROR(X13/X148, "NA")</f>
        <v>0</v>
      </c>
      <c r="Z13" s="21">
        <v>0.0</v>
      </c>
      <c r="AA13" s="23">
        <f>IFERROR(Z13/Z148, "NA")</f>
        <v>0</v>
      </c>
      <c r="AB13" s="28">
        <f>IFERROR((R13+T13+V13+X13)/4, "NA")</f>
        <v>0</v>
      </c>
      <c r="AC13" s="23">
        <f>IFERROR(AB13/AB148, "NA")</f>
        <v>0</v>
      </c>
      <c r="AD13" s="29">
        <f>IFERROR(X13-AB13, "NA")</f>
        <v>0</v>
      </c>
      <c r="AE13" s="30">
        <f>IFERROR(AD13/AD148, "NA")</f>
        <v>0</v>
      </c>
      <c r="AF13" s="29" t="str">
        <f>IFERROR((X13-AB13)/AB13, "NA")</f>
        <v>NA</v>
      </c>
      <c r="AG13" s="28">
        <f>IFERROR((J13+L13+N13+P13+R13+T13+V13+X13)/8, "NA")</f>
        <v>0</v>
      </c>
      <c r="AH13" s="23">
        <f>IFERROR(AG13/AG148, "NA")</f>
        <v>0</v>
      </c>
      <c r="AI13" s="29">
        <f>IFERROR(X13-AG13, "NA")</f>
        <v>0</v>
      </c>
      <c r="AJ13" s="30">
        <f>IFERROR(AI13/AI148, "NA")</f>
        <v>0</v>
      </c>
      <c r="AK13" s="29" t="str">
        <f>IFERROR((X13-AG13)/AG13, "NA")</f>
        <v>NA</v>
      </c>
      <c r="AL13" s="30" t="str">
        <f>IFERROR(AK13/AK148, "NA")</f>
        <v>NA</v>
      </c>
    </row>
    <row r="14" ht="16.5" customHeight="1">
      <c r="A14" s="13" t="s">
        <v>68</v>
      </c>
      <c r="B14" s="14"/>
      <c r="C14" s="12"/>
      <c r="D14" s="14"/>
      <c r="E14" s="12"/>
      <c r="F14" s="14"/>
      <c r="G14" s="12"/>
      <c r="H14" s="14"/>
      <c r="I14" s="12"/>
      <c r="J14" s="14"/>
      <c r="K14" s="12"/>
      <c r="L14" s="14"/>
      <c r="M14" s="12"/>
      <c r="N14" s="14"/>
      <c r="O14" s="12"/>
      <c r="P14" s="14"/>
      <c r="Q14" s="12"/>
      <c r="R14" s="14"/>
      <c r="S14" s="12"/>
      <c r="T14" s="14"/>
      <c r="U14" s="12"/>
      <c r="V14" s="14"/>
      <c r="W14" s="12"/>
      <c r="X14" s="14"/>
      <c r="Y14" s="12"/>
      <c r="Z14" s="14"/>
      <c r="AA14" s="12"/>
      <c r="AB14" s="14"/>
      <c r="AC14" s="12"/>
      <c r="AD14" s="17"/>
      <c r="AE14" s="18"/>
      <c r="AF14" s="17"/>
      <c r="AG14" s="14"/>
      <c r="AH14" s="12"/>
      <c r="AI14" s="17"/>
      <c r="AJ14" s="18"/>
      <c r="AK14" s="17"/>
      <c r="AL14" s="18"/>
    </row>
    <row r="15" ht="16.5" hidden="1" customHeight="1">
      <c r="A15" s="19" t="s">
        <v>69</v>
      </c>
      <c r="B15" s="21">
        <v>0.0</v>
      </c>
      <c r="C15" s="23">
        <f>IFERROR(B15/B148, "NA")</f>
        <v>0</v>
      </c>
      <c r="D15" s="21">
        <v>0.0</v>
      </c>
      <c r="E15" s="23">
        <f>IFERROR(D15/D148, "NA")</f>
        <v>0</v>
      </c>
      <c r="F15" s="21">
        <v>0.0</v>
      </c>
      <c r="G15" s="23">
        <f>IFERROR(F15/F148, "NA")</f>
        <v>0</v>
      </c>
      <c r="H15" s="21">
        <v>0.0</v>
      </c>
      <c r="I15" s="23">
        <f>IFERROR(H15/H148, "NA")</f>
        <v>0</v>
      </c>
      <c r="J15" s="21">
        <v>0.0</v>
      </c>
      <c r="K15" s="23">
        <f>IFERROR(J15/J148, "NA")</f>
        <v>0</v>
      </c>
      <c r="L15" s="21">
        <v>0.0</v>
      </c>
      <c r="M15" s="23">
        <f>IFERROR(L15/L148, "NA")</f>
        <v>0</v>
      </c>
      <c r="N15" s="21">
        <v>0.0</v>
      </c>
      <c r="O15" s="23">
        <f>IFERROR(N15/N148, "NA")</f>
        <v>0</v>
      </c>
      <c r="P15" s="21">
        <v>0.0</v>
      </c>
      <c r="Q15" s="23">
        <f>IFERROR(P15/P148, "NA")</f>
        <v>0</v>
      </c>
      <c r="R15" s="21">
        <v>0.0</v>
      </c>
      <c r="S15" s="23">
        <f>IFERROR(R15/R148, "NA")</f>
        <v>0</v>
      </c>
      <c r="T15" s="21">
        <v>0.0</v>
      </c>
      <c r="U15" s="23">
        <f>IFERROR(T15/T148, "NA")</f>
        <v>0</v>
      </c>
      <c r="V15" s="21">
        <v>0.0</v>
      </c>
      <c r="W15" s="23">
        <f>IFERROR(V15/V148, "NA")</f>
        <v>0</v>
      </c>
      <c r="X15" s="21">
        <v>0.0</v>
      </c>
      <c r="Y15" s="23">
        <f>IFERROR(X15/X148, "NA")</f>
        <v>0</v>
      </c>
      <c r="Z15" s="21">
        <v>0.0</v>
      </c>
      <c r="AA15" s="23">
        <f>IFERROR(Z15/Z148, "NA")</f>
        <v>0</v>
      </c>
      <c r="AB15" s="28">
        <f t="shared" ref="AB15:AB27" si="7">IFERROR((R15+T15+V15+X15)/4, "NA")</f>
        <v>0</v>
      </c>
      <c r="AC15" s="23">
        <f>IFERROR(AB15/AB148, "NA")</f>
        <v>0</v>
      </c>
      <c r="AD15" s="29">
        <f t="shared" ref="AD15:AD27" si="8">IFERROR(X15-AB15, "NA")</f>
        <v>0</v>
      </c>
      <c r="AE15" s="30">
        <f>IFERROR(AD15/AD148, "NA")</f>
        <v>0</v>
      </c>
      <c r="AF15" s="29" t="str">
        <f t="shared" ref="AF15:AF27" si="9">IFERROR((X15-AB15)/AB15, "NA")</f>
        <v>NA</v>
      </c>
      <c r="AG15" s="28">
        <f t="shared" ref="AG15:AG27" si="10">IFERROR((J15+L15+N15+P15+R15+T15+V15+X15)/8, "NA")</f>
        <v>0</v>
      </c>
      <c r="AH15" s="23">
        <f>IFERROR(AG15/AG148, "NA")</f>
        <v>0</v>
      </c>
      <c r="AI15" s="29">
        <f t="shared" ref="AI15:AI27" si="11">IFERROR(X15-AG15, "NA")</f>
        <v>0</v>
      </c>
      <c r="AJ15" s="30">
        <f>IFERROR(AI15/AI148, "NA")</f>
        <v>0</v>
      </c>
      <c r="AK15" s="29" t="str">
        <f t="shared" ref="AK15:AK27" si="12">IFERROR((X15-AG15)/AG15, "NA")</f>
        <v>NA</v>
      </c>
      <c r="AL15" s="30" t="str">
        <f>IFERROR(AK15/AK148, "NA")</f>
        <v>NA</v>
      </c>
    </row>
    <row r="16" ht="16.5" customHeight="1">
      <c r="A16" s="19" t="s">
        <v>70</v>
      </c>
      <c r="B16" s="21">
        <v>1467.73</v>
      </c>
      <c r="C16" s="23">
        <f>IFERROR(B16/B148, "NA")</f>
        <v>0.03684783588</v>
      </c>
      <c r="D16" s="21">
        <v>1730.72</v>
      </c>
      <c r="E16" s="23">
        <f>IFERROR(D16/D148, "NA")</f>
        <v>0.05005179507</v>
      </c>
      <c r="F16" s="21">
        <v>867.57</v>
      </c>
      <c r="G16" s="23">
        <f>IFERROR(F16/F148, "NA")</f>
        <v>0.03826617702</v>
      </c>
      <c r="H16" s="21">
        <v>604.4</v>
      </c>
      <c r="I16" s="23">
        <f>IFERROR(H16/H148, "NA")</f>
        <v>0.05435202921</v>
      </c>
      <c r="J16" s="21">
        <v>1265.11</v>
      </c>
      <c r="K16" s="23">
        <f>IFERROR(J16/J148, "NA")</f>
        <v>0.05388792032</v>
      </c>
      <c r="L16" s="21">
        <v>988.07</v>
      </c>
      <c r="M16" s="23">
        <f>IFERROR(L16/L148, "NA")</f>
        <v>0.0476282292</v>
      </c>
      <c r="N16" s="21">
        <v>900.69</v>
      </c>
      <c r="O16" s="23">
        <f>IFERROR(N16/N148, "NA")</f>
        <v>0.04686036735</v>
      </c>
      <c r="P16" s="21">
        <v>405.2</v>
      </c>
      <c r="Q16" s="23">
        <f>IFERROR(P16/P148, "NA")</f>
        <v>0.05124579644</v>
      </c>
      <c r="R16" s="21">
        <v>520.4</v>
      </c>
      <c r="S16" s="23">
        <f>IFERROR(R16/R148, "NA")</f>
        <v>0.05959108424</v>
      </c>
      <c r="T16" s="21">
        <v>930.91</v>
      </c>
      <c r="U16" s="23">
        <f>IFERROR(T16/T148, "NA")</f>
        <v>0.0550299975</v>
      </c>
      <c r="V16" s="21">
        <v>803.82</v>
      </c>
      <c r="W16" s="23">
        <f>IFERROR(V16/V148, "NA")</f>
        <v>0.03688110521</v>
      </c>
      <c r="X16" s="21">
        <v>1038.36</v>
      </c>
      <c r="Y16" s="23">
        <f>IFERROR(X16/X148, "NA")</f>
        <v>0.05182784546</v>
      </c>
      <c r="Z16" s="21">
        <v>3293.49</v>
      </c>
      <c r="AA16" s="23">
        <f>IFERROR(Z16/Z148, "NA")</f>
        <v>0.04880766521</v>
      </c>
      <c r="AB16" s="28">
        <f t="shared" si="7"/>
        <v>823.3725</v>
      </c>
      <c r="AC16" s="23">
        <f>IFERROR(AB16/AB148, "NA")</f>
        <v>0.04880766521</v>
      </c>
      <c r="AD16" s="29">
        <f t="shared" si="8"/>
        <v>214.9875</v>
      </c>
      <c r="AE16" s="30">
        <f>IFERROR(AD16/AD148, "NA")</f>
        <v>0.06792541356</v>
      </c>
      <c r="AF16" s="29">
        <f t="shared" si="9"/>
        <v>0.261106</v>
      </c>
      <c r="AG16" s="28">
        <f t="shared" si="10"/>
        <v>856.57</v>
      </c>
      <c r="AH16" s="23">
        <f>IFERROR(AG16/AG148, "NA")</f>
        <v>0.04935977991</v>
      </c>
      <c r="AI16" s="29">
        <f t="shared" si="11"/>
        <v>181.79</v>
      </c>
      <c r="AJ16" s="30">
        <f>IFERROR(AI16/AI148, "NA")</f>
        <v>0.06780204667</v>
      </c>
      <c r="AK16" s="29">
        <f t="shared" si="12"/>
        <v>0.2122301738</v>
      </c>
      <c r="AL16" s="30">
        <f>IFERROR(AK16/AK148, "NA")</f>
        <v>1.373629437</v>
      </c>
    </row>
    <row r="17" ht="16.5" customHeight="1">
      <c r="A17" s="19" t="s">
        <v>71</v>
      </c>
      <c r="B17" s="21">
        <v>1087.46</v>
      </c>
      <c r="C17" s="23">
        <f>IFERROR(B17/B148, "NA")</f>
        <v>0.02730103467</v>
      </c>
      <c r="D17" s="21">
        <v>1234.39</v>
      </c>
      <c r="E17" s="23">
        <f>IFERROR(D17/D148, "NA")</f>
        <v>0.03569811137</v>
      </c>
      <c r="F17" s="21">
        <v>450.91</v>
      </c>
      <c r="G17" s="23">
        <f>IFERROR(F17/F148, "NA")</f>
        <v>0.01988842615</v>
      </c>
      <c r="H17" s="21">
        <v>372.99</v>
      </c>
      <c r="I17" s="23">
        <f>IFERROR(H17/H148, "NA")</f>
        <v>0.03354196455</v>
      </c>
      <c r="J17" s="21">
        <v>708.3</v>
      </c>
      <c r="K17" s="23">
        <f>IFERROR(J17/J148, "NA")</f>
        <v>0.03017035195</v>
      </c>
      <c r="L17" s="21">
        <v>555.73</v>
      </c>
      <c r="M17" s="23">
        <f>IFERROR(L17/L148, "NA")</f>
        <v>0.02678801685</v>
      </c>
      <c r="N17" s="21">
        <v>619.44</v>
      </c>
      <c r="O17" s="23">
        <f>IFERROR(N17/N148, "NA")</f>
        <v>0.03222772092</v>
      </c>
      <c r="P17" s="21">
        <v>259.33</v>
      </c>
      <c r="Q17" s="23">
        <f>IFERROR(P17/P148, "NA")</f>
        <v>0.03279756266</v>
      </c>
      <c r="R17" s="21">
        <v>195.8</v>
      </c>
      <c r="S17" s="23">
        <f>IFERROR(R17/R148, "NA")</f>
        <v>0.02242108819</v>
      </c>
      <c r="T17" s="21">
        <v>645.78</v>
      </c>
      <c r="U17" s="23">
        <f>IFERROR(T17/T148, "NA")</f>
        <v>0.0381747664</v>
      </c>
      <c r="V17" s="21">
        <v>441.48</v>
      </c>
      <c r="W17" s="23">
        <f>IFERROR(V17/V148, "NA")</f>
        <v>0.02025611496</v>
      </c>
      <c r="X17" s="21">
        <v>579.79</v>
      </c>
      <c r="Y17" s="23">
        <f>IFERROR(X17/X148, "NA")</f>
        <v>0.02893916033</v>
      </c>
      <c r="Z17" s="21">
        <v>1862.85</v>
      </c>
      <c r="AA17" s="23">
        <f>IFERROR(Z17/Z148, "NA")</f>
        <v>0.02760638688</v>
      </c>
      <c r="AB17" s="28">
        <f t="shared" si="7"/>
        <v>465.7125</v>
      </c>
      <c r="AC17" s="23">
        <f>IFERROR(AB17/AB148, "NA")</f>
        <v>0.02760638688</v>
      </c>
      <c r="AD17" s="29">
        <f t="shared" si="8"/>
        <v>114.0775</v>
      </c>
      <c r="AE17" s="30">
        <f>IFERROR(AD17/AD148, "NA")</f>
        <v>0.03604284605</v>
      </c>
      <c r="AF17" s="29">
        <f t="shared" si="9"/>
        <v>0.2449526264</v>
      </c>
      <c r="AG17" s="28">
        <f t="shared" si="10"/>
        <v>500.70625</v>
      </c>
      <c r="AH17" s="23">
        <f>IFERROR(AG17/AG148, "NA")</f>
        <v>0.02885315888</v>
      </c>
      <c r="AI17" s="29">
        <f t="shared" si="11"/>
        <v>79.08375</v>
      </c>
      <c r="AJ17" s="30">
        <f>IFERROR(AI17/AI148, "NA")</f>
        <v>0.02949579244</v>
      </c>
      <c r="AK17" s="29">
        <f t="shared" si="12"/>
        <v>0.1579444035</v>
      </c>
      <c r="AL17" s="30">
        <f>IFERROR(AK17/AK148, "NA")</f>
        <v>1.022272555</v>
      </c>
    </row>
    <row r="18" ht="16.5" customHeight="1">
      <c r="A18" s="19" t="s">
        <v>74</v>
      </c>
      <c r="B18" s="21">
        <v>1520.2</v>
      </c>
      <c r="C18" s="23">
        <f>IFERROR(B18/B148, "NA")</f>
        <v>0.03816511219</v>
      </c>
      <c r="D18" s="21">
        <v>852.24</v>
      </c>
      <c r="E18" s="23">
        <f>IFERROR(D18/D148, "NA")</f>
        <v>0.02464647189</v>
      </c>
      <c r="F18" s="21">
        <v>398.18</v>
      </c>
      <c r="G18" s="23">
        <f>IFERROR(F18/F148, "NA")</f>
        <v>0.01756264781</v>
      </c>
      <c r="H18" s="21">
        <v>366.93</v>
      </c>
      <c r="I18" s="23">
        <f>IFERROR(H18/H148, "NA")</f>
        <v>0.03299700542</v>
      </c>
      <c r="J18" s="21">
        <v>824.48</v>
      </c>
      <c r="K18" s="23">
        <f>IFERROR(J18/J148, "NA")</f>
        <v>0.03511909047</v>
      </c>
      <c r="L18" s="21">
        <v>775.45</v>
      </c>
      <c r="M18" s="23">
        <f>IFERROR(L18/L148, "NA")</f>
        <v>0.03737924472</v>
      </c>
      <c r="N18" s="21">
        <v>552.78</v>
      </c>
      <c r="O18" s="23">
        <f>IFERROR(N18/N148, "NA")</f>
        <v>0.02875958861</v>
      </c>
      <c r="P18" s="21">
        <v>227.42</v>
      </c>
      <c r="Q18" s="23">
        <f>IFERROR(P18/P148, "NA")</f>
        <v>0.02876189296</v>
      </c>
      <c r="R18" s="21">
        <v>196.65</v>
      </c>
      <c r="S18" s="23">
        <f>IFERROR(R18/R148, "NA")</f>
        <v>0.02251842182</v>
      </c>
      <c r="T18" s="21">
        <v>636.46</v>
      </c>
      <c r="U18" s="23">
        <f>IFERROR(T18/T148, "NA")</f>
        <v>0.03762382208</v>
      </c>
      <c r="V18" s="21">
        <v>670.75</v>
      </c>
      <c r="W18" s="23">
        <f>IFERROR(V18/V148, "NA")</f>
        <v>0.03077554841</v>
      </c>
      <c r="X18" s="21">
        <v>618.5</v>
      </c>
      <c r="Y18" s="23">
        <f>IFERROR(X18/X148, "NA")</f>
        <v>0.03087129937</v>
      </c>
      <c r="Z18" s="21">
        <v>2122.36</v>
      </c>
      <c r="AA18" s="23">
        <f>IFERROR(Z18/Z148, "NA")</f>
        <v>0.03145217879</v>
      </c>
      <c r="AB18" s="28">
        <f t="shared" si="7"/>
        <v>530.59</v>
      </c>
      <c r="AC18" s="23">
        <f>IFERROR(AB18/AB148, "NA")</f>
        <v>0.03145217879</v>
      </c>
      <c r="AD18" s="29">
        <f t="shared" si="8"/>
        <v>87.91</v>
      </c>
      <c r="AE18" s="30">
        <f>IFERROR(AD18/AD148, "NA")</f>
        <v>0.02777521068</v>
      </c>
      <c r="AF18" s="29">
        <f t="shared" si="9"/>
        <v>0.1656834844</v>
      </c>
      <c r="AG18" s="28">
        <f t="shared" si="10"/>
        <v>562.81125</v>
      </c>
      <c r="AH18" s="23">
        <f>IFERROR(AG18/AG148, "NA")</f>
        <v>0.03243195469</v>
      </c>
      <c r="AI18" s="29">
        <f t="shared" si="11"/>
        <v>55.68875</v>
      </c>
      <c r="AJ18" s="30">
        <f>IFERROR(AI18/AI148, "NA")</f>
        <v>0.02077018112</v>
      </c>
      <c r="AK18" s="29">
        <f t="shared" si="12"/>
        <v>0.09894747129</v>
      </c>
      <c r="AL18" s="30">
        <f>IFERROR(AK18/AK148, "NA")</f>
        <v>0.6404233516</v>
      </c>
    </row>
    <row r="19" ht="16.5" customHeight="1">
      <c r="A19" s="19" t="s">
        <v>75</v>
      </c>
      <c r="B19" s="21">
        <v>468.55</v>
      </c>
      <c r="C19" s="23">
        <f>IFERROR(B19/B148, "NA")</f>
        <v>0.01176309914</v>
      </c>
      <c r="D19" s="21">
        <v>580.32</v>
      </c>
      <c r="E19" s="23">
        <f>IFERROR(D19/D148, "NA")</f>
        <v>0.01678264405</v>
      </c>
      <c r="F19" s="21">
        <v>534.27</v>
      </c>
      <c r="G19" s="23">
        <f>IFERROR(F19/F148, "NA")</f>
        <v>0.02356521133</v>
      </c>
      <c r="H19" s="21">
        <v>85.96</v>
      </c>
      <c r="I19" s="23">
        <f>IFERROR(H19/H148, "NA")</f>
        <v>0.007730146312</v>
      </c>
      <c r="J19" s="21">
        <v>460.26</v>
      </c>
      <c r="K19" s="23">
        <f>IFERROR(J19/J148, "NA")</f>
        <v>0.01960497838</v>
      </c>
      <c r="L19" s="21">
        <v>522.71</v>
      </c>
      <c r="M19" s="23">
        <f>IFERROR(L19/L148, "NA")</f>
        <v>0.02519634407</v>
      </c>
      <c r="N19" s="21">
        <v>509.74</v>
      </c>
      <c r="O19" s="23">
        <f>IFERROR(N19/N148, "NA")</f>
        <v>0.02652033847</v>
      </c>
      <c r="P19" s="21">
        <v>55.52</v>
      </c>
      <c r="Q19" s="23">
        <f>IFERROR(P19/P148, "NA")</f>
        <v>0.007021635287</v>
      </c>
      <c r="R19" s="21">
        <v>316.93</v>
      </c>
      <c r="S19" s="23">
        <f>IFERROR(R19/R148, "NA")</f>
        <v>0.03629170317</v>
      </c>
      <c r="T19" s="21">
        <v>434.67</v>
      </c>
      <c r="U19" s="23">
        <f>IFERROR(T19/T148, "NA")</f>
        <v>0.02569516818</v>
      </c>
      <c r="V19" s="21">
        <v>422.27</v>
      </c>
      <c r="W19" s="23">
        <f>IFERROR(V19/V148, "NA")</f>
        <v>0.0193747161</v>
      </c>
      <c r="X19" s="21">
        <v>409.97</v>
      </c>
      <c r="Y19" s="23">
        <f>IFERROR(X19/X148, "NA")</f>
        <v>0.02046290478</v>
      </c>
      <c r="Z19" s="21">
        <v>1583.84</v>
      </c>
      <c r="AA19" s="23">
        <f>IFERROR(Z19/Z148, "NA")</f>
        <v>0.02347161596</v>
      </c>
      <c r="AB19" s="28">
        <f t="shared" si="7"/>
        <v>395.96</v>
      </c>
      <c r="AC19" s="23">
        <f>IFERROR(AB19/AB148, "NA")</f>
        <v>0.02347161596</v>
      </c>
      <c r="AD19" s="29">
        <f t="shared" si="8"/>
        <v>14.01</v>
      </c>
      <c r="AE19" s="30">
        <f>IFERROR(AD19/AD148, "NA")</f>
        <v>0.00442646686</v>
      </c>
      <c r="AF19" s="29">
        <f t="shared" si="9"/>
        <v>0.03538236185</v>
      </c>
      <c r="AG19" s="28">
        <f t="shared" si="10"/>
        <v>391.50875</v>
      </c>
      <c r="AH19" s="23">
        <f>IFERROR(AG19/AG148, "NA")</f>
        <v>0.0225606614</v>
      </c>
      <c r="AI19" s="29">
        <f t="shared" si="11"/>
        <v>18.46125</v>
      </c>
      <c r="AJ19" s="30">
        <f>IFERROR(AI19/AI148, "NA")</f>
        <v>0.006885475186</v>
      </c>
      <c r="AK19" s="29">
        <f t="shared" si="12"/>
        <v>0.04715411852</v>
      </c>
      <c r="AL19" s="30">
        <f>IFERROR(AK19/AK148, "NA")</f>
        <v>0.3051982859</v>
      </c>
    </row>
    <row r="20" ht="16.5" customHeight="1">
      <c r="A20" s="19" t="s">
        <v>76</v>
      </c>
      <c r="B20" s="21">
        <v>250.72</v>
      </c>
      <c r="C20" s="23">
        <f>IFERROR(B20/B148, "NA")</f>
        <v>0.006294406609</v>
      </c>
      <c r="D20" s="21">
        <v>234.89</v>
      </c>
      <c r="E20" s="23">
        <f>IFERROR(D20/D148, "NA")</f>
        <v>0.00679293366</v>
      </c>
      <c r="F20" s="21">
        <v>183.87</v>
      </c>
      <c r="G20" s="23">
        <f>IFERROR(F20/F148, "NA")</f>
        <v>0.008110010683</v>
      </c>
      <c r="H20" s="21">
        <v>122.64</v>
      </c>
      <c r="I20" s="23">
        <f>IFERROR(H20/H148, "NA")</f>
        <v>0.0110286778</v>
      </c>
      <c r="J20" s="21">
        <v>252.77</v>
      </c>
      <c r="K20" s="23">
        <f>IFERROR(J20/J148, "NA")</f>
        <v>0.01076685001</v>
      </c>
      <c r="L20" s="21">
        <v>304.02</v>
      </c>
      <c r="M20" s="23">
        <f>IFERROR(L20/L148, "NA")</f>
        <v>0.01465476559</v>
      </c>
      <c r="N20" s="21">
        <v>207.17</v>
      </c>
      <c r="O20" s="23">
        <f>IFERROR(N20/N148, "NA")</f>
        <v>0.0107784724</v>
      </c>
      <c r="P20" s="21">
        <v>109.25</v>
      </c>
      <c r="Q20" s="23">
        <f>IFERROR(P20/P148, "NA")</f>
        <v>0.0138168886</v>
      </c>
      <c r="R20" s="21">
        <v>117.55</v>
      </c>
      <c r="S20" s="23">
        <f>IFERROR(R20/R148, "NA")</f>
        <v>0.01346066862</v>
      </c>
      <c r="T20" s="21">
        <v>194.91</v>
      </c>
      <c r="U20" s="23">
        <f>IFERROR(T20/T148, "NA")</f>
        <v>0.01152194821</v>
      </c>
      <c r="V20" s="21">
        <v>223.78</v>
      </c>
      <c r="W20" s="23">
        <f>IFERROR(V20/V148, "NA")</f>
        <v>0.01026753965</v>
      </c>
      <c r="X20" s="21">
        <v>231.81</v>
      </c>
      <c r="Y20" s="23">
        <f>IFERROR(X20/X148, "NA")</f>
        <v>0.01157037334</v>
      </c>
      <c r="Z20" s="21">
        <v>768.05</v>
      </c>
      <c r="AA20" s="23">
        <f>IFERROR(Z20/Z148, "NA")</f>
        <v>0.01138206804</v>
      </c>
      <c r="AB20" s="28">
        <f t="shared" si="7"/>
        <v>192.0125</v>
      </c>
      <c r="AC20" s="23">
        <f>IFERROR(AB20/AB148, "NA")</f>
        <v>0.01138206804</v>
      </c>
      <c r="AD20" s="29">
        <f t="shared" si="8"/>
        <v>39.7975</v>
      </c>
      <c r="AE20" s="30">
        <f>IFERROR(AD20/AD148, "NA")</f>
        <v>0.01257404103</v>
      </c>
      <c r="AF20" s="29">
        <f t="shared" si="9"/>
        <v>0.207265152</v>
      </c>
      <c r="AG20" s="28">
        <f t="shared" si="10"/>
        <v>205.1575</v>
      </c>
      <c r="AH20" s="23">
        <f>IFERROR(AG20/AG148, "NA")</f>
        <v>0.01182218505</v>
      </c>
      <c r="AI20" s="29">
        <f t="shared" si="11"/>
        <v>26.6525</v>
      </c>
      <c r="AJ20" s="30">
        <f>IFERROR(AI20/AI148, "NA")</f>
        <v>0.009940558055</v>
      </c>
      <c r="AK20" s="29">
        <f t="shared" si="12"/>
        <v>0.1299123844</v>
      </c>
      <c r="AL20" s="30">
        <f>IFERROR(AK20/AK148, "NA")</f>
        <v>0.8408393216</v>
      </c>
    </row>
    <row r="21" ht="16.5" customHeight="1">
      <c r="A21" s="19" t="s">
        <v>77</v>
      </c>
      <c r="B21" s="21">
        <v>63.99</v>
      </c>
      <c r="C21" s="23">
        <f>IFERROR(B21/B148, "NA")</f>
        <v>0.001606489626</v>
      </c>
      <c r="D21" s="21">
        <v>96.88</v>
      </c>
      <c r="E21" s="23">
        <f>IFERROR(D21/D148, "NA")</f>
        <v>0.002801734484</v>
      </c>
      <c r="F21" s="21">
        <v>264.85</v>
      </c>
      <c r="G21" s="23">
        <f>IFERROR(F21/F148, "NA")</f>
        <v>0.01168182047</v>
      </c>
      <c r="H21" s="21">
        <v>137.36</v>
      </c>
      <c r="I21" s="23">
        <f>IFERROR(H21/H148, "NA")</f>
        <v>0.0123524069</v>
      </c>
      <c r="J21" s="21">
        <v>112.43</v>
      </c>
      <c r="K21" s="23">
        <f>IFERROR(J21/J148, "NA")</f>
        <v>0.004789005605</v>
      </c>
      <c r="L21" s="21">
        <v>432.0</v>
      </c>
      <c r="M21" s="23">
        <f>IFERROR(L21/L148, "NA")</f>
        <v>0.02082382323</v>
      </c>
      <c r="N21" s="21">
        <v>-123.23</v>
      </c>
      <c r="O21" s="23">
        <f>IFERROR(N21/N148, "NA")</f>
        <v>-0.006411310294</v>
      </c>
      <c r="P21" s="21">
        <v>48.6</v>
      </c>
      <c r="Q21" s="23">
        <f>IFERROR(P21/P148, "NA")</f>
        <v>0.006146460284</v>
      </c>
      <c r="R21" s="21">
        <v>64.87</v>
      </c>
      <c r="S21" s="23">
        <f>IFERROR(R21/R148, "NA")</f>
        <v>0.007428273702</v>
      </c>
      <c r="T21" s="21">
        <v>142.85</v>
      </c>
      <c r="U21" s="23">
        <f>IFERROR(T21/T148, "NA")</f>
        <v>0.008444463098</v>
      </c>
      <c r="V21" s="21">
        <v>258.1</v>
      </c>
      <c r="W21" s="23">
        <f>IFERROR(V21/V148, "NA")</f>
        <v>0.01184221997</v>
      </c>
      <c r="X21" s="21">
        <v>199.82</v>
      </c>
      <c r="Y21" s="23">
        <f>IFERROR(X21/X148, "NA")</f>
        <v>0.009973650834</v>
      </c>
      <c r="Z21" s="21">
        <v>665.64</v>
      </c>
      <c r="AA21" s="23">
        <f>IFERROR(Z21/Z148, "NA")</f>
        <v>0.009864409568</v>
      </c>
      <c r="AB21" s="28">
        <f t="shared" si="7"/>
        <v>166.41</v>
      </c>
      <c r="AC21" s="23">
        <f>IFERROR(AB21/AB148, "NA")</f>
        <v>0.009864409568</v>
      </c>
      <c r="AD21" s="29">
        <f t="shared" si="8"/>
        <v>33.41</v>
      </c>
      <c r="AE21" s="30">
        <f>IFERROR(AD21/AD148, "NA")</f>
        <v>0.01055590705</v>
      </c>
      <c r="AF21" s="29">
        <f t="shared" si="9"/>
        <v>0.2007691845</v>
      </c>
      <c r="AG21" s="28">
        <f t="shared" si="10"/>
        <v>141.93</v>
      </c>
      <c r="AH21" s="23">
        <f>IFERROR(AG21/AG148, "NA")</f>
        <v>0.008178705257</v>
      </c>
      <c r="AI21" s="29">
        <f t="shared" si="11"/>
        <v>57.89</v>
      </c>
      <c r="AJ21" s="30">
        <f>IFERROR(AI21/AI148, "NA")</f>
        <v>0.02159117928</v>
      </c>
      <c r="AK21" s="29">
        <f t="shared" si="12"/>
        <v>0.4078771225</v>
      </c>
      <c r="AL21" s="30">
        <f>IFERROR(AK21/AK148, "NA")</f>
        <v>2.639926321</v>
      </c>
    </row>
    <row r="22" ht="16.5" hidden="1" customHeight="1">
      <c r="A22" s="19" t="s">
        <v>78</v>
      </c>
      <c r="B22" s="21">
        <v>0.0</v>
      </c>
      <c r="C22" s="23">
        <f>IFERROR(B22/B148, "NA")</f>
        <v>0</v>
      </c>
      <c r="D22" s="21">
        <v>0.0</v>
      </c>
      <c r="E22" s="23">
        <f>IFERROR(D22/D148, "NA")</f>
        <v>0</v>
      </c>
      <c r="F22" s="21">
        <v>0.0</v>
      </c>
      <c r="G22" s="23">
        <f>IFERROR(F22/F148, "NA")</f>
        <v>0</v>
      </c>
      <c r="H22" s="21">
        <v>0.0</v>
      </c>
      <c r="I22" s="23">
        <f>IFERROR(H22/H148, "NA")</f>
        <v>0</v>
      </c>
      <c r="J22" s="21">
        <v>0.0</v>
      </c>
      <c r="K22" s="23">
        <f>IFERROR(J22/J148, "NA")</f>
        <v>0</v>
      </c>
      <c r="L22" s="21">
        <v>0.0</v>
      </c>
      <c r="M22" s="23">
        <f>IFERROR(L22/L148, "NA")</f>
        <v>0</v>
      </c>
      <c r="N22" s="21">
        <v>0.0</v>
      </c>
      <c r="O22" s="23">
        <f>IFERROR(N22/N148, "NA")</f>
        <v>0</v>
      </c>
      <c r="P22" s="21">
        <v>0.0</v>
      </c>
      <c r="Q22" s="23">
        <f>IFERROR(P22/P148, "NA")</f>
        <v>0</v>
      </c>
      <c r="R22" s="21">
        <v>0.0</v>
      </c>
      <c r="S22" s="23">
        <f>IFERROR(R22/R148, "NA")</f>
        <v>0</v>
      </c>
      <c r="T22" s="21">
        <v>0.0</v>
      </c>
      <c r="U22" s="23">
        <f>IFERROR(T22/T148, "NA")</f>
        <v>0</v>
      </c>
      <c r="V22" s="21">
        <v>0.0</v>
      </c>
      <c r="W22" s="23">
        <f>IFERROR(V22/V148, "NA")</f>
        <v>0</v>
      </c>
      <c r="X22" s="21">
        <v>0.0</v>
      </c>
      <c r="Y22" s="23">
        <f>IFERROR(X22/X148, "NA")</f>
        <v>0</v>
      </c>
      <c r="Z22" s="21">
        <v>0.0</v>
      </c>
      <c r="AA22" s="23">
        <f>IFERROR(Z22/Z148, "NA")</f>
        <v>0</v>
      </c>
      <c r="AB22" s="28">
        <f t="shared" si="7"/>
        <v>0</v>
      </c>
      <c r="AC22" s="23">
        <f>IFERROR(AB22/AB148, "NA")</f>
        <v>0</v>
      </c>
      <c r="AD22" s="29">
        <f t="shared" si="8"/>
        <v>0</v>
      </c>
      <c r="AE22" s="30">
        <f>IFERROR(AD22/AD148, "NA")</f>
        <v>0</v>
      </c>
      <c r="AF22" s="29" t="str">
        <f t="shared" si="9"/>
        <v>NA</v>
      </c>
      <c r="AG22" s="28">
        <f t="shared" si="10"/>
        <v>0</v>
      </c>
      <c r="AH22" s="23">
        <f>IFERROR(AG22/AG148, "NA")</f>
        <v>0</v>
      </c>
      <c r="AI22" s="29">
        <f t="shared" si="11"/>
        <v>0</v>
      </c>
      <c r="AJ22" s="30">
        <f>IFERROR(AI22/AI148, "NA")</f>
        <v>0</v>
      </c>
      <c r="AK22" s="29" t="str">
        <f t="shared" si="12"/>
        <v>NA</v>
      </c>
      <c r="AL22" s="30" t="str">
        <f>IFERROR(AK22/AK148, "NA")</f>
        <v>NA</v>
      </c>
    </row>
    <row r="23" ht="16.5" customHeight="1">
      <c r="A23" s="19" t="s">
        <v>79</v>
      </c>
      <c r="B23" s="21">
        <v>243.15</v>
      </c>
      <c r="C23" s="23">
        <f>IFERROR(B23/B148, "NA")</f>
        <v>0.006104359313</v>
      </c>
      <c r="D23" s="21">
        <v>105.47</v>
      </c>
      <c r="E23" s="23">
        <f>IFERROR(D23/D148, "NA")</f>
        <v>0.003050154171</v>
      </c>
      <c r="F23" s="21">
        <v>120.18</v>
      </c>
      <c r="G23" s="23">
        <f>IFERROR(F23/F148, "NA")</f>
        <v>0.00530081625</v>
      </c>
      <c r="H23" s="21">
        <v>24.78</v>
      </c>
      <c r="I23" s="23">
        <f>IFERROR(H23/H148, "NA")</f>
        <v>0.002228397227</v>
      </c>
      <c r="J23" s="21">
        <v>151.63</v>
      </c>
      <c r="K23" s="23">
        <f>IFERROR(J23/J148, "NA")</f>
        <v>0.006458746953</v>
      </c>
      <c r="L23" s="21">
        <v>74.83</v>
      </c>
      <c r="M23" s="23">
        <f>IFERROR(L23/L148, "NA")</f>
        <v>0.003607052528</v>
      </c>
      <c r="N23" s="21">
        <v>116.8</v>
      </c>
      <c r="O23" s="23">
        <f>IFERROR(N23/N148, "NA")</f>
        <v>0.00607677548</v>
      </c>
      <c r="P23" s="21">
        <v>57.46</v>
      </c>
      <c r="Q23" s="23">
        <f>IFERROR(P23/P148, "NA")</f>
        <v>0.007266987817</v>
      </c>
      <c r="R23" s="21">
        <v>27.89</v>
      </c>
      <c r="S23" s="23">
        <f>IFERROR(R23/R148, "NA")</f>
        <v>0.0031936882</v>
      </c>
      <c r="T23" s="21">
        <v>52.74</v>
      </c>
      <c r="U23" s="23">
        <f>IFERROR(T23/T148, "NA")</f>
        <v>0.003117682771</v>
      </c>
      <c r="V23" s="21">
        <v>140.54</v>
      </c>
      <c r="W23" s="23">
        <f>IFERROR(V23/V148, "NA")</f>
        <v>0.006448297537</v>
      </c>
      <c r="X23" s="21">
        <v>107.93</v>
      </c>
      <c r="Y23" s="23">
        <f>IFERROR(X23/X148, "NA")</f>
        <v>0.005387129089</v>
      </c>
      <c r="Z23" s="21">
        <v>329.1</v>
      </c>
      <c r="AA23" s="23">
        <f>IFERROR(Z23/Z148, "NA")</f>
        <v>0.004877076481</v>
      </c>
      <c r="AB23" s="28">
        <f t="shared" si="7"/>
        <v>82.275</v>
      </c>
      <c r="AC23" s="23">
        <f>IFERROR(AB23/AB148, "NA")</f>
        <v>0.004877076481</v>
      </c>
      <c r="AD23" s="29">
        <f t="shared" si="8"/>
        <v>25.655</v>
      </c>
      <c r="AE23" s="30">
        <f>IFERROR(AD23/AD148, "NA")</f>
        <v>0.008105710727</v>
      </c>
      <c r="AF23" s="29">
        <f t="shared" si="9"/>
        <v>0.3118201155</v>
      </c>
      <c r="AG23" s="28">
        <f t="shared" si="10"/>
        <v>91.2275</v>
      </c>
      <c r="AH23" s="23">
        <f>IFERROR(AG23/AG148, "NA")</f>
        <v>0.005256977622</v>
      </c>
      <c r="AI23" s="29">
        <f t="shared" si="11"/>
        <v>16.7025</v>
      </c>
      <c r="AJ23" s="30">
        <f>IFERROR(AI23/AI148, "NA")</f>
        <v>0.00622951584</v>
      </c>
      <c r="AK23" s="29">
        <f t="shared" si="12"/>
        <v>0.1830862404</v>
      </c>
      <c r="AL23" s="30">
        <f>IFERROR(AK23/AK148, "NA")</f>
        <v>1.184999497</v>
      </c>
    </row>
    <row r="24" ht="16.5" customHeight="1">
      <c r="A24" s="19" t="s">
        <v>80</v>
      </c>
      <c r="B24" s="21">
        <v>2861.6</v>
      </c>
      <c r="C24" s="23">
        <f>IFERROR(B24/B148, "NA")</f>
        <v>0.0718413926</v>
      </c>
      <c r="D24" s="21">
        <v>2497.47</v>
      </c>
      <c r="E24" s="23">
        <f>IFERROR(D24/D148, "NA")</f>
        <v>0.07222592715</v>
      </c>
      <c r="F24" s="21">
        <v>1628.93</v>
      </c>
      <c r="G24" s="23">
        <f>IFERROR(F24/F148, "NA")</f>
        <v>0.07184771687</v>
      </c>
      <c r="H24" s="21">
        <v>900.16</v>
      </c>
      <c r="I24" s="23">
        <f>IFERROR(H24/H148, "NA")</f>
        <v>0.08094891233</v>
      </c>
      <c r="J24" s="21">
        <v>1813.2</v>
      </c>
      <c r="K24" s="23">
        <f>IFERROR(J24/J148, "NA")</f>
        <v>0.07723405642</v>
      </c>
      <c r="L24" s="21">
        <v>1522.71</v>
      </c>
      <c r="M24" s="23">
        <f>IFERROR(L24/L148, "NA")</f>
        <v>0.07339963857</v>
      </c>
      <c r="N24" s="21">
        <v>1084.2</v>
      </c>
      <c r="O24" s="23">
        <f>IFERROR(N24/N148, "NA")</f>
        <v>0.0564078765</v>
      </c>
      <c r="P24" s="21">
        <v>816.9</v>
      </c>
      <c r="Q24" s="23">
        <f>IFERROR(P24/P148, "NA")</f>
        <v>0.1033136503</v>
      </c>
      <c r="R24" s="21">
        <v>675.38</v>
      </c>
      <c r="S24" s="23">
        <f>IFERROR(R24/R148, "NA")</f>
        <v>0.07733786794</v>
      </c>
      <c r="T24" s="21">
        <v>1506.38</v>
      </c>
      <c r="U24" s="23">
        <f>IFERROR(T24/T148, "NA")</f>
        <v>0.08904844468</v>
      </c>
      <c r="V24" s="21">
        <v>1661.08</v>
      </c>
      <c r="W24" s="23">
        <f>IFERROR(V24/V148, "NA")</f>
        <v>0.07621416019</v>
      </c>
      <c r="X24" s="21">
        <v>1150.01</v>
      </c>
      <c r="Y24" s="23">
        <f>IFERROR(X24/X148, "NA")</f>
        <v>0.05740065157</v>
      </c>
      <c r="Z24" s="21">
        <v>4992.85</v>
      </c>
      <c r="AA24" s="23">
        <f>IFERROR(Z24/Z148, "NA")</f>
        <v>0.07399122245</v>
      </c>
      <c r="AB24" s="28">
        <f t="shared" si="7"/>
        <v>1248.2125</v>
      </c>
      <c r="AC24" s="23">
        <f>IFERROR(AB24/AB148, "NA")</f>
        <v>0.07399122245</v>
      </c>
      <c r="AD24" s="29">
        <f t="shared" si="8"/>
        <v>-98.2025</v>
      </c>
      <c r="AE24" s="30">
        <f>IFERROR(AD24/AD148, "NA")</f>
        <v>-0.03102713146</v>
      </c>
      <c r="AF24" s="29">
        <f t="shared" si="9"/>
        <v>-0.07867450454</v>
      </c>
      <c r="AG24" s="28">
        <f t="shared" si="10"/>
        <v>1278.7325</v>
      </c>
      <c r="AH24" s="23">
        <f>IFERROR(AG24/AG148, "NA")</f>
        <v>0.07368686127</v>
      </c>
      <c r="AI24" s="29">
        <f t="shared" si="11"/>
        <v>-128.7225</v>
      </c>
      <c r="AJ24" s="30">
        <f>IFERROR(AI24/AI148, "NA")</f>
        <v>-0.04800951071</v>
      </c>
      <c r="AK24" s="29">
        <f t="shared" si="12"/>
        <v>-0.1006641342</v>
      </c>
      <c r="AL24" s="30">
        <f>IFERROR(AK24/AK148, "NA")</f>
        <v>-0.6515342068</v>
      </c>
    </row>
    <row r="25" ht="16.5" hidden="1" customHeight="1">
      <c r="A25" s="19" t="s">
        <v>81</v>
      </c>
      <c r="B25" s="21">
        <v>0.0</v>
      </c>
      <c r="C25" s="23">
        <f>IFERROR(B25/B148, "NA")</f>
        <v>0</v>
      </c>
      <c r="D25" s="21">
        <v>0.0</v>
      </c>
      <c r="E25" s="23">
        <f>IFERROR(D25/D148, "NA")</f>
        <v>0</v>
      </c>
      <c r="F25" s="21">
        <v>0.0</v>
      </c>
      <c r="G25" s="23">
        <f>IFERROR(F25/F148, "NA")</f>
        <v>0</v>
      </c>
      <c r="H25" s="21">
        <v>0.0</v>
      </c>
      <c r="I25" s="23">
        <f>IFERROR(H25/H148, "NA")</f>
        <v>0</v>
      </c>
      <c r="J25" s="21">
        <v>0.0</v>
      </c>
      <c r="K25" s="23">
        <f>IFERROR(J25/J148, "NA")</f>
        <v>0</v>
      </c>
      <c r="L25" s="21">
        <v>0.0</v>
      </c>
      <c r="M25" s="23">
        <f>IFERROR(L25/L148, "NA")</f>
        <v>0</v>
      </c>
      <c r="N25" s="21">
        <v>0.0</v>
      </c>
      <c r="O25" s="23">
        <f>IFERROR(N25/N148, "NA")</f>
        <v>0</v>
      </c>
      <c r="P25" s="21">
        <v>0.0</v>
      </c>
      <c r="Q25" s="23">
        <f>IFERROR(P25/P148, "NA")</f>
        <v>0</v>
      </c>
      <c r="R25" s="21">
        <v>0.0</v>
      </c>
      <c r="S25" s="23">
        <f>IFERROR(R25/R148, "NA")</f>
        <v>0</v>
      </c>
      <c r="T25" s="21">
        <v>0.0</v>
      </c>
      <c r="U25" s="23">
        <f>IFERROR(T25/T148, "NA")</f>
        <v>0</v>
      </c>
      <c r="V25" s="21">
        <v>0.0</v>
      </c>
      <c r="W25" s="23">
        <f>IFERROR(V25/V148, "NA")</f>
        <v>0</v>
      </c>
      <c r="X25" s="21">
        <v>0.0</v>
      </c>
      <c r="Y25" s="23">
        <f>IFERROR(X25/X148, "NA")</f>
        <v>0</v>
      </c>
      <c r="Z25" s="21">
        <v>0.0</v>
      </c>
      <c r="AA25" s="23">
        <f>IFERROR(Z25/Z148, "NA")</f>
        <v>0</v>
      </c>
      <c r="AB25" s="28">
        <f t="shared" si="7"/>
        <v>0</v>
      </c>
      <c r="AC25" s="23">
        <f>IFERROR(AB25/AB148, "NA")</f>
        <v>0</v>
      </c>
      <c r="AD25" s="29">
        <f t="shared" si="8"/>
        <v>0</v>
      </c>
      <c r="AE25" s="30">
        <f>IFERROR(AD25/AD148, "NA")</f>
        <v>0</v>
      </c>
      <c r="AF25" s="29" t="str">
        <f t="shared" si="9"/>
        <v>NA</v>
      </c>
      <c r="AG25" s="28">
        <f t="shared" si="10"/>
        <v>0</v>
      </c>
      <c r="AH25" s="23">
        <f>IFERROR(AG25/AG148, "NA")</f>
        <v>0</v>
      </c>
      <c r="AI25" s="29">
        <f t="shared" si="11"/>
        <v>0</v>
      </c>
      <c r="AJ25" s="30">
        <f>IFERROR(AI25/AI148, "NA")</f>
        <v>0</v>
      </c>
      <c r="AK25" s="29" t="str">
        <f t="shared" si="12"/>
        <v>NA</v>
      </c>
      <c r="AL25" s="30" t="str">
        <f>IFERROR(AK25/AK148, "NA")</f>
        <v>NA</v>
      </c>
    </row>
    <row r="26" ht="16.5" hidden="1" customHeight="1">
      <c r="A26" s="19" t="s">
        <v>84</v>
      </c>
      <c r="B26" s="21">
        <v>0.0</v>
      </c>
      <c r="C26" s="23">
        <f>IFERROR(B26/B148, "NA")</f>
        <v>0</v>
      </c>
      <c r="D26" s="21">
        <v>0.0</v>
      </c>
      <c r="E26" s="23">
        <f>IFERROR(D26/D148, "NA")</f>
        <v>0</v>
      </c>
      <c r="F26" s="21">
        <v>0.0</v>
      </c>
      <c r="G26" s="23">
        <f>IFERROR(F26/F148, "NA")</f>
        <v>0</v>
      </c>
      <c r="H26" s="21">
        <v>0.0</v>
      </c>
      <c r="I26" s="23">
        <f>IFERROR(H26/H148, "NA")</f>
        <v>0</v>
      </c>
      <c r="J26" s="21">
        <v>0.0</v>
      </c>
      <c r="K26" s="23">
        <f>IFERROR(J26/J148, "NA")</f>
        <v>0</v>
      </c>
      <c r="L26" s="21">
        <v>0.0</v>
      </c>
      <c r="M26" s="23">
        <f>IFERROR(L26/L148, "NA")</f>
        <v>0</v>
      </c>
      <c r="N26" s="21">
        <v>0.0</v>
      </c>
      <c r="O26" s="23">
        <f>IFERROR(N26/N148, "NA")</f>
        <v>0</v>
      </c>
      <c r="P26" s="21">
        <v>0.0</v>
      </c>
      <c r="Q26" s="23">
        <f>IFERROR(P26/P148, "NA")</f>
        <v>0</v>
      </c>
      <c r="R26" s="21">
        <v>0.0</v>
      </c>
      <c r="S26" s="23">
        <f>IFERROR(R26/R148, "NA")</f>
        <v>0</v>
      </c>
      <c r="T26" s="21">
        <v>0.0</v>
      </c>
      <c r="U26" s="23">
        <f>IFERROR(T26/T148, "NA")</f>
        <v>0</v>
      </c>
      <c r="V26" s="21">
        <v>0.0</v>
      </c>
      <c r="W26" s="23">
        <f>IFERROR(V26/V148, "NA")</f>
        <v>0</v>
      </c>
      <c r="X26" s="21">
        <v>0.0</v>
      </c>
      <c r="Y26" s="23">
        <f>IFERROR(X26/X148, "NA")</f>
        <v>0</v>
      </c>
      <c r="Z26" s="21">
        <v>0.0</v>
      </c>
      <c r="AA26" s="23">
        <f>IFERROR(Z26/Z148, "NA")</f>
        <v>0</v>
      </c>
      <c r="AB26" s="28">
        <f t="shared" si="7"/>
        <v>0</v>
      </c>
      <c r="AC26" s="23">
        <f>IFERROR(AB26/AB148, "NA")</f>
        <v>0</v>
      </c>
      <c r="AD26" s="29">
        <f t="shared" si="8"/>
        <v>0</v>
      </c>
      <c r="AE26" s="30">
        <f>IFERROR(AD26/AD148, "NA")</f>
        <v>0</v>
      </c>
      <c r="AF26" s="29" t="str">
        <f t="shared" si="9"/>
        <v>NA</v>
      </c>
      <c r="AG26" s="28">
        <f t="shared" si="10"/>
        <v>0</v>
      </c>
      <c r="AH26" s="23">
        <f>IFERROR(AG26/AG148, "NA")</f>
        <v>0</v>
      </c>
      <c r="AI26" s="29">
        <f t="shared" si="11"/>
        <v>0</v>
      </c>
      <c r="AJ26" s="30">
        <f>IFERROR(AI26/AI148, "NA")</f>
        <v>0</v>
      </c>
      <c r="AK26" s="29" t="str">
        <f t="shared" si="12"/>
        <v>NA</v>
      </c>
      <c r="AL26" s="30" t="str">
        <f>IFERROR(AK26/AK148, "NA")</f>
        <v>NA</v>
      </c>
    </row>
    <row r="27" ht="16.5" customHeight="1">
      <c r="A27" s="65" t="s">
        <v>85</v>
      </c>
      <c r="B27" s="66">
        <f>IFERROR(B15+B16+B17+B18+B19+B20+B21+B22+B23+B24+B25+B26, "NA")</f>
        <v>7963.4</v>
      </c>
      <c r="C27" s="67">
        <f>IFERROR(B27/B148, "NA")</f>
        <v>0.19992373</v>
      </c>
      <c r="D27" s="66">
        <f>IFERROR(D15+D16+D17+D18+D19+D20+D21+D22+D23+D24+D25+D26, "NA")</f>
        <v>7332.38</v>
      </c>
      <c r="E27" s="67">
        <f>IFERROR(D27/D148, "NA")</f>
        <v>0.2120497719</v>
      </c>
      <c r="F27" s="66">
        <f>IFERROR(F15+F16+F17+F18+F19+F20+F21+F22+F23+F24+F25+F26, "NA")</f>
        <v>4448.76</v>
      </c>
      <c r="G27" s="67">
        <f>IFERROR(F27/F148, "NA")</f>
        <v>0.1962228266</v>
      </c>
      <c r="H27" s="66">
        <f>IFERROR(H15+H16+H17+H18+H19+H20+H21+H22+H23+H24+H25+H26, "NA")</f>
        <v>2615.22</v>
      </c>
      <c r="I27" s="67">
        <f>IFERROR(H27/H148, "NA")</f>
        <v>0.2351795398</v>
      </c>
      <c r="J27" s="66">
        <f>IFERROR(J15+J16+J17+J18+J19+J20+J21+J22+J23+J24+J25+J26, "NA")</f>
        <v>5588.18</v>
      </c>
      <c r="K27" s="67">
        <f>IFERROR(J27/J148, "NA")</f>
        <v>0.2380310001</v>
      </c>
      <c r="L27" s="66">
        <f>IFERROR(L15+L16+L17+L18+L19+L20+L21+L22+L23+L24+L25+L26, "NA")</f>
        <v>5175.52</v>
      </c>
      <c r="M27" s="67">
        <f>IFERROR(L27/L148, "NA")</f>
        <v>0.2494771148</v>
      </c>
      <c r="N27" s="66">
        <f>IFERROR(N15+N16+N17+N18+N19+N20+N21+N22+N23+N24+N25+N26, "NA")</f>
        <v>3867.59</v>
      </c>
      <c r="O27" s="67">
        <f>IFERROR(N27/N148, "NA")</f>
        <v>0.2012198294</v>
      </c>
      <c r="P27" s="66">
        <f>IFERROR(P15+P16+P17+P18+P19+P20+P21+P22+P23+P24+P25+P26, "NA")</f>
        <v>1979.68</v>
      </c>
      <c r="Q27" s="67">
        <f>IFERROR(P27/P148, "NA")</f>
        <v>0.2503708744</v>
      </c>
      <c r="R27" s="66">
        <f>IFERROR(R15+R16+R17+R18+R19+R20+R21+R22+R23+R24+R25+R26, "NA")</f>
        <v>2115.47</v>
      </c>
      <c r="S27" s="67">
        <f>IFERROR(R27/R148, "NA")</f>
        <v>0.2422427959</v>
      </c>
      <c r="T27" s="66">
        <f>IFERROR(T15+T16+T17+T18+T19+T20+T21+T22+T23+T24+T25+T26, "NA")</f>
        <v>4544.7</v>
      </c>
      <c r="U27" s="67">
        <f>IFERROR(T27/T148, "NA")</f>
        <v>0.2686562929</v>
      </c>
      <c r="V27" s="66">
        <f>IFERROR(V15+V16+V17+V18+V19+V20+V21+V22+V23+V24+V25+V26, "NA")</f>
        <v>4621.82</v>
      </c>
      <c r="W27" s="67">
        <f>IFERROR(V27/V148, "NA")</f>
        <v>0.212059702</v>
      </c>
      <c r="X27" s="66">
        <f>IFERROR(X15+X16+X17+X18+X19+X20+X21+X22+X23+X24+X25+X26, "NA")</f>
        <v>4336.19</v>
      </c>
      <c r="Y27" s="67">
        <f>IFERROR(X27/X148, "NA")</f>
        <v>0.2164330148</v>
      </c>
      <c r="Z27" s="66">
        <f>IFERROR(Z15+Z16+Z17+Z18+Z19+Z20+Z21+Z22+Z23+Z24+Z25+Z26, "NA")</f>
        <v>15618.18</v>
      </c>
      <c r="AA27" s="67">
        <f>IFERROR(Z27/Z148, "NA")</f>
        <v>0.2314526234</v>
      </c>
      <c r="AB27" s="66">
        <f t="shared" si="7"/>
        <v>3904.545</v>
      </c>
      <c r="AC27" s="67">
        <f>IFERROR(AB27/AB148, "NA")</f>
        <v>0.2314526234</v>
      </c>
      <c r="AD27" s="75">
        <f t="shared" si="8"/>
        <v>431.645</v>
      </c>
      <c r="AE27" s="76">
        <f>IFERROR(AD27/AD148, "NA")</f>
        <v>0.1363784645</v>
      </c>
      <c r="AF27" s="75">
        <f t="shared" si="9"/>
        <v>0.1105493726</v>
      </c>
      <c r="AG27" s="66">
        <f t="shared" si="10"/>
        <v>4028.64375</v>
      </c>
      <c r="AH27" s="67">
        <f>IFERROR(AG27/AG148, "NA")</f>
        <v>0.2321502841</v>
      </c>
      <c r="AI27" s="75">
        <f t="shared" si="11"/>
        <v>307.54625</v>
      </c>
      <c r="AJ27" s="76">
        <f>IFERROR(AI27/AI148, "NA")</f>
        <v>0.1147052379</v>
      </c>
      <c r="AK27" s="75">
        <f t="shared" si="12"/>
        <v>0.07633989727</v>
      </c>
      <c r="AL27" s="76">
        <f>IFERROR(AK27/AK148, "NA")</f>
        <v>0.4940990632</v>
      </c>
    </row>
    <row r="28" ht="16.5" customHeight="1">
      <c r="A28" s="13" t="s">
        <v>86</v>
      </c>
      <c r="B28" s="14"/>
      <c r="C28" s="12"/>
      <c r="D28" s="14"/>
      <c r="E28" s="12"/>
      <c r="F28" s="14"/>
      <c r="G28" s="12"/>
      <c r="H28" s="14"/>
      <c r="I28" s="12"/>
      <c r="J28" s="14"/>
      <c r="K28" s="12"/>
      <c r="L28" s="14"/>
      <c r="M28" s="12"/>
      <c r="N28" s="14"/>
      <c r="O28" s="12"/>
      <c r="P28" s="14"/>
      <c r="Q28" s="12"/>
      <c r="R28" s="14"/>
      <c r="S28" s="12"/>
      <c r="T28" s="14"/>
      <c r="U28" s="12"/>
      <c r="V28" s="14"/>
      <c r="W28" s="12"/>
      <c r="X28" s="14"/>
      <c r="Y28" s="12"/>
      <c r="Z28" s="14"/>
      <c r="AA28" s="12"/>
      <c r="AB28" s="14"/>
      <c r="AC28" s="12"/>
      <c r="AD28" s="17"/>
      <c r="AE28" s="18"/>
      <c r="AF28" s="17"/>
      <c r="AG28" s="14"/>
      <c r="AH28" s="12"/>
      <c r="AI28" s="17"/>
      <c r="AJ28" s="18"/>
      <c r="AK28" s="17"/>
      <c r="AL28" s="18"/>
    </row>
    <row r="29" ht="16.5" hidden="1" customHeight="1">
      <c r="A29" s="19" t="s">
        <v>87</v>
      </c>
      <c r="B29" s="21">
        <v>0.0</v>
      </c>
      <c r="C29" s="23">
        <f>IFERROR(B29/B148, "NA")</f>
        <v>0</v>
      </c>
      <c r="D29" s="21">
        <v>0.0</v>
      </c>
      <c r="E29" s="23">
        <f>IFERROR(D29/D148, "NA")</f>
        <v>0</v>
      </c>
      <c r="F29" s="21">
        <v>0.0</v>
      </c>
      <c r="G29" s="23">
        <f>IFERROR(F29/F148, "NA")</f>
        <v>0</v>
      </c>
      <c r="H29" s="21">
        <v>0.0</v>
      </c>
      <c r="I29" s="23">
        <f>IFERROR(H29/H148, "NA")</f>
        <v>0</v>
      </c>
      <c r="J29" s="21">
        <v>0.0</v>
      </c>
      <c r="K29" s="23">
        <f>IFERROR(J29/J148, "NA")</f>
        <v>0</v>
      </c>
      <c r="L29" s="21">
        <v>0.0</v>
      </c>
      <c r="M29" s="23">
        <f>IFERROR(L29/L148, "NA")</f>
        <v>0</v>
      </c>
      <c r="N29" s="21">
        <v>0.0</v>
      </c>
      <c r="O29" s="23">
        <f>IFERROR(N29/N148, "NA")</f>
        <v>0</v>
      </c>
      <c r="P29" s="21">
        <v>0.0</v>
      </c>
      <c r="Q29" s="23">
        <f>IFERROR(P29/P148, "NA")</f>
        <v>0</v>
      </c>
      <c r="R29" s="21">
        <v>0.0</v>
      </c>
      <c r="S29" s="23">
        <f>IFERROR(R29/R148, "NA")</f>
        <v>0</v>
      </c>
      <c r="T29" s="21">
        <v>0.0</v>
      </c>
      <c r="U29" s="23">
        <f>IFERROR(T29/T148, "NA")</f>
        <v>0</v>
      </c>
      <c r="V29" s="21">
        <v>0.0</v>
      </c>
      <c r="W29" s="23">
        <f>IFERROR(V29/V148, "NA")</f>
        <v>0</v>
      </c>
      <c r="X29" s="21">
        <v>0.0</v>
      </c>
      <c r="Y29" s="23">
        <f>IFERROR(X29/X148, "NA")</f>
        <v>0</v>
      </c>
      <c r="Z29" s="21">
        <v>0.0</v>
      </c>
      <c r="AA29" s="23">
        <f>IFERROR(Z29/Z148, "NA")</f>
        <v>0</v>
      </c>
      <c r="AB29" s="28">
        <f t="shared" ref="AB29:AB35" si="13">IFERROR((R29+T29+V29+X29)/4, "NA")</f>
        <v>0</v>
      </c>
      <c r="AC29" s="23">
        <f>IFERROR(AB29/AB148, "NA")</f>
        <v>0</v>
      </c>
      <c r="AD29" s="29">
        <f t="shared" ref="AD29:AD35" si="14">IFERROR(X29-AB29, "NA")</f>
        <v>0</v>
      </c>
      <c r="AE29" s="30">
        <f>IFERROR(AD29/AD148, "NA")</f>
        <v>0</v>
      </c>
      <c r="AF29" s="29" t="str">
        <f t="shared" ref="AF29:AF35" si="15">IFERROR((X29-AB29)/AB29, "NA")</f>
        <v>NA</v>
      </c>
      <c r="AG29" s="28">
        <f t="shared" ref="AG29:AG35" si="16">IFERROR((J29+L29+N29+P29+R29+T29+V29+X29)/8, "NA")</f>
        <v>0</v>
      </c>
      <c r="AH29" s="23">
        <f>IFERROR(AG29/AG148, "NA")</f>
        <v>0</v>
      </c>
      <c r="AI29" s="29">
        <f t="shared" ref="AI29:AI35" si="17">IFERROR(X29-AG29, "NA")</f>
        <v>0</v>
      </c>
      <c r="AJ29" s="30">
        <f>IFERROR(AI29/AI148, "NA")</f>
        <v>0</v>
      </c>
      <c r="AK29" s="29" t="str">
        <f t="shared" ref="AK29:AK35" si="18">IFERROR((X29-AG29)/AG29, "NA")</f>
        <v>NA</v>
      </c>
      <c r="AL29" s="30" t="str">
        <f>IFERROR(AK29/AK148, "NA")</f>
        <v>NA</v>
      </c>
    </row>
    <row r="30" ht="16.5" customHeight="1">
      <c r="A30" s="19" t="s">
        <v>88</v>
      </c>
      <c r="B30" s="21">
        <v>452.78</v>
      </c>
      <c r="C30" s="23">
        <f>IFERROR(B30/B148, "NA")</f>
        <v>0.0113671882</v>
      </c>
      <c r="D30" s="21">
        <v>389.7</v>
      </c>
      <c r="E30" s="23">
        <f>IFERROR(D30/D148, "NA")</f>
        <v>0.01126998275</v>
      </c>
      <c r="F30" s="21">
        <v>361.12</v>
      </c>
      <c r="G30" s="23">
        <f>IFERROR(F30/F148, "NA")</f>
        <v>0.01592803099</v>
      </c>
      <c r="H30" s="21">
        <v>186.41</v>
      </c>
      <c r="I30" s="23">
        <f>IFERROR(H30/H148, "NA")</f>
        <v>0.01676333846</v>
      </c>
      <c r="J30" s="21">
        <v>364.7</v>
      </c>
      <c r="K30" s="23">
        <f>IFERROR(J30/J148, "NA")</f>
        <v>0.0155345579</v>
      </c>
      <c r="L30" s="21">
        <v>131.19</v>
      </c>
      <c r="M30" s="23">
        <f>IFERROR(L30/L148, "NA")</f>
        <v>0.006323790206</v>
      </c>
      <c r="N30" s="21">
        <v>250.33</v>
      </c>
      <c r="O30" s="23">
        <f>IFERROR(N30/N148, "NA")</f>
        <v>0.0130239658</v>
      </c>
      <c r="P30" s="21">
        <v>72.61</v>
      </c>
      <c r="Q30" s="23">
        <f>IFERROR(P30/P148, "NA")</f>
        <v>0.009183014017</v>
      </c>
      <c r="R30" s="21">
        <v>195.83</v>
      </c>
      <c r="S30" s="23">
        <f>IFERROR(R30/R148, "NA")</f>
        <v>0.02242452349</v>
      </c>
      <c r="T30" s="21">
        <v>304.82</v>
      </c>
      <c r="U30" s="23">
        <f>IFERROR(T30/T148, "NA")</f>
        <v>0.01801918965</v>
      </c>
      <c r="V30" s="21">
        <v>61.74</v>
      </c>
      <c r="W30" s="23">
        <f>IFERROR(V30/V148, "NA")</f>
        <v>0.002832772805</v>
      </c>
      <c r="X30" s="21">
        <v>278.64</v>
      </c>
      <c r="Y30" s="23">
        <f>IFERROR(X30/X148, "NA")</f>
        <v>0.01390780737</v>
      </c>
      <c r="Z30" s="21">
        <v>841.03</v>
      </c>
      <c r="AA30" s="23">
        <f>IFERROR(Z30/Z148, "NA")</f>
        <v>0.0124635905</v>
      </c>
      <c r="AB30" s="28">
        <f t="shared" si="13"/>
        <v>210.2575</v>
      </c>
      <c r="AC30" s="23">
        <f>IFERROR(AB30/AB148, "NA")</f>
        <v>0.0124635905</v>
      </c>
      <c r="AD30" s="29">
        <f t="shared" si="14"/>
        <v>68.3825</v>
      </c>
      <c r="AE30" s="30">
        <f>IFERROR(AD30/AD148, "NA")</f>
        <v>0.0216054868</v>
      </c>
      <c r="AF30" s="29">
        <f t="shared" si="15"/>
        <v>0.3252321558</v>
      </c>
      <c r="AG30" s="28">
        <f t="shared" si="16"/>
        <v>207.4825</v>
      </c>
      <c r="AH30" s="23">
        <f>IFERROR(AG30/AG148, "NA")</f>
        <v>0.01195616299</v>
      </c>
      <c r="AI30" s="29">
        <f t="shared" si="17"/>
        <v>71.1575</v>
      </c>
      <c r="AJ30" s="30">
        <f>IFERROR(AI30/AI148, "NA")</f>
        <v>0.02653954638</v>
      </c>
      <c r="AK30" s="29">
        <f t="shared" si="18"/>
        <v>0.3429566349</v>
      </c>
      <c r="AL30" s="30">
        <f>IFERROR(AK30/AK148, "NA")</f>
        <v>2.219737753</v>
      </c>
    </row>
    <row r="31" ht="16.5" customHeight="1">
      <c r="A31" s="19" t="s">
        <v>89</v>
      </c>
      <c r="B31" s="21">
        <v>8.5</v>
      </c>
      <c r="C31" s="23">
        <f>IFERROR(B31/B148, "NA")</f>
        <v>0.0002133952464</v>
      </c>
      <c r="D31" s="21">
        <v>43.41</v>
      </c>
      <c r="E31" s="23">
        <f>IFERROR(D31/D148, "NA")</f>
        <v>0.001255401465</v>
      </c>
      <c r="F31" s="21">
        <v>12.94</v>
      </c>
      <c r="G31" s="23">
        <f>IFERROR(F31/F148, "NA")</f>
        <v>0.0005707485628</v>
      </c>
      <c r="H31" s="21">
        <v>10.47</v>
      </c>
      <c r="I31" s="23">
        <f>IFERROR(H31/H148, "NA")</f>
        <v>0.0009415382955</v>
      </c>
      <c r="J31" s="21">
        <v>8.04</v>
      </c>
      <c r="K31" s="23">
        <f>IFERROR(J31/J148, "NA")</f>
        <v>0.000342467358</v>
      </c>
      <c r="L31" s="21">
        <v>9.68</v>
      </c>
      <c r="M31" s="23">
        <f>IFERROR(L31/L148, "NA")</f>
        <v>0.0004666078908</v>
      </c>
      <c r="N31" s="21">
        <v>11.98</v>
      </c>
      <c r="O31" s="23">
        <f>IFERROR(N31/N148, "NA")</f>
        <v>0.0006232857042</v>
      </c>
      <c r="P31" s="21">
        <v>13.06</v>
      </c>
      <c r="Q31" s="23">
        <f>IFERROR(P31/P148, "NA")</f>
        <v>0.001651703113</v>
      </c>
      <c r="R31" s="21">
        <v>12.63</v>
      </c>
      <c r="S31" s="23">
        <f>IFERROR(R31/R148, "NA")</f>
        <v>0.001446263247</v>
      </c>
      <c r="T31" s="21">
        <v>45.38</v>
      </c>
      <c r="U31" s="23">
        <f>IFERROR(T31/T148, "NA")</f>
        <v>0.002682602278</v>
      </c>
      <c r="V31" s="21">
        <v>6.52</v>
      </c>
      <c r="W31" s="23">
        <f>IFERROR(V31/V148, "NA")</f>
        <v>0.000299152554</v>
      </c>
      <c r="X31" s="21">
        <v>19.39</v>
      </c>
      <c r="Y31" s="23">
        <f>IFERROR(X31/X148, "NA")</f>
        <v>0.0009678164832</v>
      </c>
      <c r="Z31" s="21">
        <v>83.92</v>
      </c>
      <c r="AA31" s="23">
        <f>IFERROR(Z31/Z148, "NA")</f>
        <v>0.001243647093</v>
      </c>
      <c r="AB31" s="28">
        <f t="shared" si="13"/>
        <v>20.98</v>
      </c>
      <c r="AC31" s="23">
        <f>IFERROR(AB31/AB148, "NA")</f>
        <v>0.001243647093</v>
      </c>
      <c r="AD31" s="29">
        <f t="shared" si="14"/>
        <v>-1.59</v>
      </c>
      <c r="AE31" s="30">
        <f>IFERROR(AD31/AD148, "NA")</f>
        <v>-0.0005023613352</v>
      </c>
      <c r="AF31" s="29">
        <f t="shared" si="15"/>
        <v>-0.0757864633</v>
      </c>
      <c r="AG31" s="28">
        <f t="shared" si="16"/>
        <v>15.835</v>
      </c>
      <c r="AH31" s="23">
        <f>IFERROR(AG31/AG148, "NA")</f>
        <v>0.0009124906486</v>
      </c>
      <c r="AI31" s="29">
        <f t="shared" si="17"/>
        <v>3.555</v>
      </c>
      <c r="AJ31" s="30">
        <f>IFERROR(AI31/AI148, "NA")</f>
        <v>0.001325905033</v>
      </c>
      <c r="AK31" s="29">
        <f t="shared" si="18"/>
        <v>0.2245026839</v>
      </c>
      <c r="AL31" s="30">
        <f>IFERROR(AK31/AK148, "NA")</f>
        <v>1.453061502</v>
      </c>
    </row>
    <row r="32" ht="16.5" customHeight="1">
      <c r="A32" s="19" t="s">
        <v>90</v>
      </c>
      <c r="B32" s="21">
        <v>-7.17</v>
      </c>
      <c r="C32" s="23">
        <f>IFERROR(B32/B148, "NA")</f>
        <v>-0.0001800051667</v>
      </c>
      <c r="D32" s="21">
        <v>15.5</v>
      </c>
      <c r="E32" s="23">
        <f>IFERROR(D32/D148, "NA")</f>
        <v>0.0004482543818</v>
      </c>
      <c r="F32" s="21">
        <v>41.49</v>
      </c>
      <c r="G32" s="23">
        <f>IFERROR(F32/F148, "NA")</f>
        <v>0.0018300122</v>
      </c>
      <c r="H32" s="21">
        <v>-107.91</v>
      </c>
      <c r="I32" s="23">
        <f>IFERROR(H32/H148, "NA")</f>
        <v>-0.009704049424</v>
      </c>
      <c r="J32" s="21">
        <v>12.16</v>
      </c>
      <c r="K32" s="23">
        <f>IFERROR(J32/J148, "NA")</f>
        <v>0.0005179605813</v>
      </c>
      <c r="L32" s="21">
        <v>12.17</v>
      </c>
      <c r="M32" s="23">
        <f>IFERROR(L32/L148, "NA")</f>
        <v>0.0005866340941</v>
      </c>
      <c r="N32" s="21">
        <v>0.0</v>
      </c>
      <c r="O32" s="23">
        <f>IFERROR(N32/N148, "NA")</f>
        <v>0</v>
      </c>
      <c r="P32" s="21">
        <v>502.83</v>
      </c>
      <c r="Q32" s="23">
        <f>IFERROR(P32/P148, "NA")</f>
        <v>0.06359309927</v>
      </c>
      <c r="R32" s="21">
        <v>0.0</v>
      </c>
      <c r="S32" s="23">
        <f>IFERROR(R32/R148, "NA")</f>
        <v>0</v>
      </c>
      <c r="T32" s="21">
        <v>0.0</v>
      </c>
      <c r="U32" s="23">
        <f>IFERROR(T32/T148, "NA")</f>
        <v>0</v>
      </c>
      <c r="V32" s="21">
        <v>0.0</v>
      </c>
      <c r="W32" s="23">
        <f>IFERROR(V32/V148, "NA")</f>
        <v>0</v>
      </c>
      <c r="X32" s="21">
        <v>0.0</v>
      </c>
      <c r="Y32" s="23">
        <f>IFERROR(X32/X148, "NA")</f>
        <v>0</v>
      </c>
      <c r="Z32" s="21">
        <v>0.0</v>
      </c>
      <c r="AA32" s="23">
        <f>IFERROR(Z32/Z148, "NA")</f>
        <v>0</v>
      </c>
      <c r="AB32" s="28">
        <f t="shared" si="13"/>
        <v>0</v>
      </c>
      <c r="AC32" s="23">
        <f>IFERROR(AB32/AB148, "NA")</f>
        <v>0</v>
      </c>
      <c r="AD32" s="29">
        <f t="shared" si="14"/>
        <v>0</v>
      </c>
      <c r="AE32" s="30">
        <f>IFERROR(AD32/AD148, "NA")</f>
        <v>0</v>
      </c>
      <c r="AF32" s="29" t="str">
        <f t="shared" si="15"/>
        <v>NA</v>
      </c>
      <c r="AG32" s="28">
        <f t="shared" si="16"/>
        <v>65.895</v>
      </c>
      <c r="AH32" s="23">
        <f>IFERROR(AG32/AG148, "NA")</f>
        <v>0.003797194271</v>
      </c>
      <c r="AI32" s="29">
        <f t="shared" si="17"/>
        <v>-65.895</v>
      </c>
      <c r="AJ32" s="30">
        <f>IFERROR(AI32/AI148, "NA")</f>
        <v>-0.02457679666</v>
      </c>
      <c r="AK32" s="29">
        <f t="shared" si="18"/>
        <v>-1</v>
      </c>
      <c r="AL32" s="30">
        <f>IFERROR(AK32/AK148, "NA")</f>
        <v>-6.472356931</v>
      </c>
    </row>
    <row r="33" ht="16.5" customHeight="1">
      <c r="A33" s="19" t="s">
        <v>91</v>
      </c>
      <c r="B33" s="21">
        <v>0.0</v>
      </c>
      <c r="C33" s="23">
        <f>IFERROR(B33/B148, "NA")</f>
        <v>0</v>
      </c>
      <c r="D33" s="21">
        <v>1.67</v>
      </c>
      <c r="E33" s="23">
        <f>IFERROR(D33/D148, "NA")</f>
        <v>0.00004829579468</v>
      </c>
      <c r="F33" s="21">
        <v>0.0</v>
      </c>
      <c r="G33" s="23">
        <f>IFERROR(F33/F148, "NA")</f>
        <v>0</v>
      </c>
      <c r="H33" s="21">
        <v>35.39</v>
      </c>
      <c r="I33" s="23">
        <f>IFERROR(H33/H148, "NA")</f>
        <v>0.003182525337</v>
      </c>
      <c r="J33" s="21">
        <v>25.68</v>
      </c>
      <c r="K33" s="23">
        <f>IFERROR(J33/J148, "NA")</f>
        <v>0.001093850965</v>
      </c>
      <c r="L33" s="21">
        <v>-30.12</v>
      </c>
      <c r="M33" s="23">
        <f>IFERROR(L33/L148, "NA")</f>
        <v>-0.00145188323</v>
      </c>
      <c r="N33" s="21">
        <v>10.01</v>
      </c>
      <c r="O33" s="23">
        <f>IFERROR(N33/N148, "NA")</f>
        <v>0.0005207921451</v>
      </c>
      <c r="P33" s="21">
        <v>0.0</v>
      </c>
      <c r="Q33" s="23">
        <f>IFERROR(P33/P148, "NA")</f>
        <v>0</v>
      </c>
      <c r="R33" s="21">
        <v>-20.03</v>
      </c>
      <c r="S33" s="23">
        <f>IFERROR(R33/R148, "NA")</f>
        <v>-0.002293638388</v>
      </c>
      <c r="T33" s="21">
        <v>19.69</v>
      </c>
      <c r="U33" s="23">
        <f>IFERROR(T33/T148, "NA")</f>
        <v>0.001163958547</v>
      </c>
      <c r="V33" s="21">
        <v>-21.36</v>
      </c>
      <c r="W33" s="23">
        <f>IFERROR(V33/V148, "NA")</f>
        <v>-0.0009800457905</v>
      </c>
      <c r="X33" s="21">
        <v>24.71</v>
      </c>
      <c r="Y33" s="23">
        <f>IFERROR(X33/X148, "NA")</f>
        <v>0.00123335458</v>
      </c>
      <c r="Z33" s="21">
        <v>3.01</v>
      </c>
      <c r="AA33" s="23">
        <f>IFERROR(Z33/Z148, "NA")</f>
        <v>0.00004460650321</v>
      </c>
      <c r="AB33" s="28">
        <f t="shared" si="13"/>
        <v>0.7525</v>
      </c>
      <c r="AC33" s="23">
        <f>IFERROR(AB33/AB148, "NA")</f>
        <v>0.00004460650321</v>
      </c>
      <c r="AD33" s="29">
        <f t="shared" si="14"/>
        <v>23.9575</v>
      </c>
      <c r="AE33" s="30">
        <f>IFERROR(AD33/AD148, "NA")</f>
        <v>0.00756938471</v>
      </c>
      <c r="AF33" s="29">
        <f t="shared" si="15"/>
        <v>31.8372093</v>
      </c>
      <c r="AG33" s="28">
        <f t="shared" si="16"/>
        <v>1.0725</v>
      </c>
      <c r="AH33" s="23">
        <f>IFERROR(AG33/AG148, "NA")</f>
        <v>0.00006180272943</v>
      </c>
      <c r="AI33" s="29">
        <f t="shared" si="17"/>
        <v>23.6375</v>
      </c>
      <c r="AJ33" s="30">
        <f>IFERROR(AI33/AI148, "NA")</f>
        <v>0.008816056318</v>
      </c>
      <c r="AK33" s="29">
        <f t="shared" si="18"/>
        <v>22.03962704</v>
      </c>
      <c r="AL33" s="30">
        <f>IFERROR(AK33/AK148, "NA")</f>
        <v>142.6483328</v>
      </c>
    </row>
    <row r="34" ht="16.5" customHeight="1">
      <c r="A34" s="65" t="s">
        <v>94</v>
      </c>
      <c r="B34" s="66">
        <f>IFERROR(B29+B30+B31+B32+B33, "NA")</f>
        <v>454.11</v>
      </c>
      <c r="C34" s="67">
        <f>IFERROR(B34/B148, "NA")</f>
        <v>0.01140057828</v>
      </c>
      <c r="D34" s="66">
        <f>IFERROR(D29+D30+D31+D32+D33, "NA")</f>
        <v>450.28</v>
      </c>
      <c r="E34" s="67">
        <f>IFERROR(D34/D148, "NA")</f>
        <v>0.01302193439</v>
      </c>
      <c r="F34" s="66">
        <f>IFERROR(F29+F30+F31+F32+F33, "NA")</f>
        <v>415.55</v>
      </c>
      <c r="G34" s="67">
        <f>IFERROR(F34/F148, "NA")</f>
        <v>0.01832879175</v>
      </c>
      <c r="H34" s="66">
        <f>IFERROR(H29+H30+H31+H32+H33, "NA")</f>
        <v>124.36</v>
      </c>
      <c r="I34" s="67">
        <f>IFERROR(H34/H148, "NA")</f>
        <v>0.01118335267</v>
      </c>
      <c r="J34" s="66">
        <f>IFERROR(J29+J30+J31+J32+J33, "NA")</f>
        <v>410.58</v>
      </c>
      <c r="K34" s="67">
        <f>IFERROR(J34/J148, "NA")</f>
        <v>0.0174888368</v>
      </c>
      <c r="L34" s="66">
        <f>IFERROR(L29+L30+L31+L32+L33, "NA")</f>
        <v>122.92</v>
      </c>
      <c r="M34" s="67">
        <f>IFERROR(L34/L148, "NA")</f>
        <v>0.00592514896</v>
      </c>
      <c r="N34" s="66">
        <f>IFERROR(N29+N30+N31+N32+N33, "NA")</f>
        <v>272.32</v>
      </c>
      <c r="O34" s="67">
        <f>IFERROR(N34/N148, "NA")</f>
        <v>0.01416804365</v>
      </c>
      <c r="P34" s="66">
        <f>IFERROR(P29+P30+P31+P32+P33, "NA")</f>
        <v>588.5</v>
      </c>
      <c r="Q34" s="67">
        <f>IFERROR(P34/P148, "NA")</f>
        <v>0.0744278164</v>
      </c>
      <c r="R34" s="66">
        <f>IFERROR(R29+R30+R31+R32+R33, "NA")</f>
        <v>188.43</v>
      </c>
      <c r="S34" s="67">
        <f>IFERROR(R34/R148, "NA")</f>
        <v>0.02157714835</v>
      </c>
      <c r="T34" s="66">
        <f>IFERROR(T29+T30+T31+T32+T33, "NA")</f>
        <v>369.89</v>
      </c>
      <c r="U34" s="67">
        <f>IFERROR(T34/T148, "NA")</f>
        <v>0.02186575048</v>
      </c>
      <c r="V34" s="66">
        <f>IFERROR(V29+V30+V31+V32+V33, "NA")</f>
        <v>46.9</v>
      </c>
      <c r="W34" s="67">
        <f>IFERROR(V34/V148, "NA")</f>
        <v>0.002151879568</v>
      </c>
      <c r="X34" s="66">
        <f>IFERROR(X29+X30+X31+X32+X33, "NA")</f>
        <v>322.74</v>
      </c>
      <c r="Y34" s="67">
        <f>IFERROR(X34/X148, "NA")</f>
        <v>0.01610897843</v>
      </c>
      <c r="Z34" s="66">
        <f>IFERROR(Z29+Z30+Z31+Z32+Z33, "NA")</f>
        <v>927.96</v>
      </c>
      <c r="AA34" s="67">
        <f>IFERROR(Z34/Z148, "NA")</f>
        <v>0.01375184409</v>
      </c>
      <c r="AB34" s="66">
        <f t="shared" si="13"/>
        <v>231.99</v>
      </c>
      <c r="AC34" s="67">
        <f>IFERROR(AB34/AB148, "NA")</f>
        <v>0.01375184409</v>
      </c>
      <c r="AD34" s="75">
        <f t="shared" si="14"/>
        <v>90.75</v>
      </c>
      <c r="AE34" s="76">
        <f>IFERROR(AD34/AD148, "NA")</f>
        <v>0.02867251017</v>
      </c>
      <c r="AF34" s="75">
        <f t="shared" si="15"/>
        <v>0.3911806543</v>
      </c>
      <c r="AG34" s="66">
        <f t="shared" si="16"/>
        <v>290.285</v>
      </c>
      <c r="AH34" s="67">
        <f>IFERROR(AG34/AG148, "NA")</f>
        <v>0.01672765064</v>
      </c>
      <c r="AI34" s="75">
        <f t="shared" si="17"/>
        <v>32.455</v>
      </c>
      <c r="AJ34" s="76">
        <f>IFERROR(AI34/AI148, "NA")</f>
        <v>0.01210471107</v>
      </c>
      <c r="AK34" s="75">
        <f t="shared" si="18"/>
        <v>0.1118039168</v>
      </c>
      <c r="AL34" s="76">
        <f>IFERROR(AK34/AK148, "NA")</f>
        <v>0.7236348561</v>
      </c>
    </row>
    <row r="35" ht="16.5" customHeight="1">
      <c r="A35" s="65" t="s">
        <v>95</v>
      </c>
      <c r="B35" s="66">
        <f>IFERROR(B13+B15+B16+B17+B18+B19+B20+B21+B22+B23+B24+B25+B26+B29+B30+B31+B32+B33, "NA")</f>
        <v>8417.51</v>
      </c>
      <c r="C35" s="67">
        <f>IFERROR(B35/B148, "NA")</f>
        <v>0.2113243083</v>
      </c>
      <c r="D35" s="66">
        <f>IFERROR(D13+D15+D16+D17+D18+D19+D20+D21+D22+D23+D24+D25+D26+D29+D30+D31+D32+D33, "NA")</f>
        <v>7782.66</v>
      </c>
      <c r="E35" s="67">
        <f>IFERROR(D35/D148, "NA")</f>
        <v>0.2250717062</v>
      </c>
      <c r="F35" s="66">
        <f>IFERROR(F13+F15+F16+F17+F18+F19+F20+F21+F22+F23+F24+F25+F26+F29+F30+F31+F32+F33, "NA")</f>
        <v>4864.31</v>
      </c>
      <c r="G35" s="67">
        <f>IFERROR(F35/F148, "NA")</f>
        <v>0.2145516183</v>
      </c>
      <c r="H35" s="66">
        <f>IFERROR(H13+H15+H16+H17+H18+H19+H20+H21+H22+H23+H24+H25+H26+H29+H30+H31+H32+H33, "NA")</f>
        <v>2739.58</v>
      </c>
      <c r="I35" s="67">
        <f>IFERROR(H35/H148, "NA")</f>
        <v>0.2463628924</v>
      </c>
      <c r="J35" s="66">
        <f>IFERROR(J13+J15+J16+J17+J18+J19+J20+J21+J22+J23+J24+J25+J26+J29+J30+J31+J32+J33, "NA")</f>
        <v>5998.76</v>
      </c>
      <c r="K35" s="67">
        <f>IFERROR(J35/J148, "NA")</f>
        <v>0.2555198369</v>
      </c>
      <c r="L35" s="66">
        <f>IFERROR(L13+L15+L16+L17+L18+L19+L20+L21+L22+L23+L24+L25+L26+L29+L30+L31+L32+L33, "NA")</f>
        <v>5298.44</v>
      </c>
      <c r="M35" s="67">
        <f>IFERROR(L35/L148, "NA")</f>
        <v>0.2554022637</v>
      </c>
      <c r="N35" s="66">
        <f>IFERROR(N13+N15+N16+N17+N18+N19+N20+N21+N22+N23+N24+N25+N26+N29+N30+N31+N32+N33, "NA")</f>
        <v>4139.91</v>
      </c>
      <c r="O35" s="67">
        <f>IFERROR(N35/N148, "NA")</f>
        <v>0.2153878731</v>
      </c>
      <c r="P35" s="66">
        <f>IFERROR(P13+P15+P16+P17+P18+P19+P20+P21+P22+P23+P24+P25+P26+P29+P30+P31+P32+P33, "NA")</f>
        <v>2568.18</v>
      </c>
      <c r="Q35" s="67">
        <f>IFERROR(P35/P148, "NA")</f>
        <v>0.3247986908</v>
      </c>
      <c r="R35" s="66">
        <f>IFERROR(R13+R15+R16+R17+R18+R19+R20+R21+R22+R23+R24+R25+R26+R29+R30+R31+R32+R33, "NA")</f>
        <v>2303.9</v>
      </c>
      <c r="S35" s="67">
        <f>IFERROR(R35/R148, "NA")</f>
        <v>0.2638199442</v>
      </c>
      <c r="T35" s="66">
        <f>IFERROR(T13+T15+T16+T17+T18+T19+T20+T21+T22+T23+T24+T25+T26+T29+T30+T31+T32+T33, "NA")</f>
        <v>4914.59</v>
      </c>
      <c r="U35" s="67">
        <f>IFERROR(T35/T148, "NA")</f>
        <v>0.2905220434</v>
      </c>
      <c r="V35" s="66">
        <f>IFERROR(V13+V15+V16+V17+V18+V19+V20+V21+V22+V23+V24+V25+V26+V29+V30+V31+V32+V33, "NA")</f>
        <v>4668.72</v>
      </c>
      <c r="W35" s="67">
        <f>IFERROR(V35/V148, "NA")</f>
        <v>0.2142115816</v>
      </c>
      <c r="X35" s="66">
        <f>IFERROR(X13+X15+X16+X17+X18+X19+X20+X21+X22+X23+X24+X25+X26+X29+X30+X31+X32+X33, "NA")</f>
        <v>4658.93</v>
      </c>
      <c r="Y35" s="67">
        <f>IFERROR(X35/X148, "NA")</f>
        <v>0.2325419932</v>
      </c>
      <c r="Z35" s="66">
        <f>IFERROR(Z13+Z15+Z16+Z17+Z18+Z19+Z20+Z21+Z22+Z23+Z24+Z25+Z26+Z29+Z30+Z31+Z32+Z33, "NA")</f>
        <v>16546.14</v>
      </c>
      <c r="AA35" s="67">
        <f>IFERROR(Z35/Z148, "NA")</f>
        <v>0.2452044675</v>
      </c>
      <c r="AB35" s="66">
        <f t="shared" si="13"/>
        <v>4136.535</v>
      </c>
      <c r="AC35" s="67">
        <f>IFERROR(AB35/AB148, "NA")</f>
        <v>0.2452044675</v>
      </c>
      <c r="AD35" s="75">
        <f t="shared" si="14"/>
        <v>522.395</v>
      </c>
      <c r="AE35" s="76">
        <f>IFERROR(AD35/AD148, "NA")</f>
        <v>0.1650509747</v>
      </c>
      <c r="AF35" s="75">
        <f t="shared" si="15"/>
        <v>0.1262880648</v>
      </c>
      <c r="AG35" s="66">
        <f t="shared" si="16"/>
        <v>4318.92875</v>
      </c>
      <c r="AH35" s="67">
        <f>IFERROR(AG35/AG148, "NA")</f>
        <v>0.2488779347</v>
      </c>
      <c r="AI35" s="75">
        <f t="shared" si="17"/>
        <v>340.00125</v>
      </c>
      <c r="AJ35" s="76">
        <f>IFERROR(AI35/AI148, "NA")</f>
        <v>0.1268099489</v>
      </c>
      <c r="AK35" s="75">
        <f t="shared" si="18"/>
        <v>0.07872351448</v>
      </c>
      <c r="AL35" s="76">
        <f>IFERROR(AK35/AK148, "NA")</f>
        <v>0.5095266846</v>
      </c>
    </row>
    <row r="36" ht="16.5" customHeight="1">
      <c r="A36" s="13" t="s">
        <v>96</v>
      </c>
      <c r="B36" s="14"/>
      <c r="C36" s="12"/>
      <c r="D36" s="14"/>
      <c r="E36" s="12"/>
      <c r="F36" s="14"/>
      <c r="G36" s="12"/>
      <c r="H36" s="14"/>
      <c r="I36" s="12"/>
      <c r="J36" s="14"/>
      <c r="K36" s="12"/>
      <c r="L36" s="14"/>
      <c r="M36" s="12"/>
      <c r="N36" s="14"/>
      <c r="O36" s="12"/>
      <c r="P36" s="14"/>
      <c r="Q36" s="12"/>
      <c r="R36" s="14"/>
      <c r="S36" s="12"/>
      <c r="T36" s="14"/>
      <c r="U36" s="12"/>
      <c r="V36" s="14"/>
      <c r="W36" s="12"/>
      <c r="X36" s="14"/>
      <c r="Y36" s="12"/>
      <c r="Z36" s="14"/>
      <c r="AA36" s="12"/>
      <c r="AB36" s="14"/>
      <c r="AC36" s="12"/>
      <c r="AD36" s="17"/>
      <c r="AE36" s="18"/>
      <c r="AF36" s="17"/>
      <c r="AG36" s="14"/>
      <c r="AH36" s="12"/>
      <c r="AI36" s="17"/>
      <c r="AJ36" s="18"/>
      <c r="AK36" s="17"/>
      <c r="AL36" s="18"/>
    </row>
    <row r="37" ht="16.5" hidden="1" customHeight="1">
      <c r="A37" s="19" t="s">
        <v>97</v>
      </c>
      <c r="B37" s="21">
        <v>0.0</v>
      </c>
      <c r="C37" s="23">
        <f>IFERROR(B37/B148, "NA")</f>
        <v>0</v>
      </c>
      <c r="D37" s="21">
        <v>0.0</v>
      </c>
      <c r="E37" s="23">
        <f>IFERROR(D37/D148, "NA")</f>
        <v>0</v>
      </c>
      <c r="F37" s="21">
        <v>0.0</v>
      </c>
      <c r="G37" s="23">
        <f>IFERROR(F37/F148, "NA")</f>
        <v>0</v>
      </c>
      <c r="H37" s="21">
        <v>0.0</v>
      </c>
      <c r="I37" s="23">
        <f>IFERROR(H37/H148, "NA")</f>
        <v>0</v>
      </c>
      <c r="J37" s="21">
        <v>0.0</v>
      </c>
      <c r="K37" s="23">
        <f>IFERROR(J37/J148, "NA")</f>
        <v>0</v>
      </c>
      <c r="L37" s="21">
        <v>0.0</v>
      </c>
      <c r="M37" s="23">
        <f>IFERROR(L37/L148, "NA")</f>
        <v>0</v>
      </c>
      <c r="N37" s="21">
        <v>0.0</v>
      </c>
      <c r="O37" s="23">
        <f>IFERROR(N37/N148, "NA")</f>
        <v>0</v>
      </c>
      <c r="P37" s="21">
        <v>0.0</v>
      </c>
      <c r="Q37" s="23">
        <f>IFERROR(P37/P148, "NA")</f>
        <v>0</v>
      </c>
      <c r="R37" s="21">
        <v>0.0</v>
      </c>
      <c r="S37" s="23">
        <f>IFERROR(R37/R148, "NA")</f>
        <v>0</v>
      </c>
      <c r="T37" s="21">
        <v>0.0</v>
      </c>
      <c r="U37" s="23">
        <f>IFERROR(T37/T148, "NA")</f>
        <v>0</v>
      </c>
      <c r="V37" s="21">
        <v>0.0</v>
      </c>
      <c r="W37" s="23">
        <f>IFERROR(V37/V148, "NA")</f>
        <v>0</v>
      </c>
      <c r="X37" s="21">
        <v>0.0</v>
      </c>
      <c r="Y37" s="23">
        <f>IFERROR(X37/X148, "NA")</f>
        <v>0</v>
      </c>
      <c r="Z37" s="21">
        <v>0.0</v>
      </c>
      <c r="AA37" s="23">
        <f>IFERROR(Z37/Z148, "NA")</f>
        <v>0</v>
      </c>
      <c r="AB37" s="28">
        <f>IFERROR((R37+T37+V37+X37)/4, "NA")</f>
        <v>0</v>
      </c>
      <c r="AC37" s="23">
        <f>IFERROR(AB37/AB148, "NA")</f>
        <v>0</v>
      </c>
      <c r="AD37" s="29">
        <f>IFERROR(X37-AB37, "NA")</f>
        <v>0</v>
      </c>
      <c r="AE37" s="30">
        <f>IFERROR(AD37/AD148, "NA")</f>
        <v>0</v>
      </c>
      <c r="AF37" s="29" t="str">
        <f>IFERROR((X37-AB37)/AB37, "NA")</f>
        <v>NA</v>
      </c>
      <c r="AG37" s="28">
        <f>IFERROR((J37+L37+N37+P37+R37+T37+V37+X37)/8, "NA")</f>
        <v>0</v>
      </c>
      <c r="AH37" s="23">
        <f>IFERROR(AG37/AG148, "NA")</f>
        <v>0</v>
      </c>
      <c r="AI37" s="29">
        <f>IFERROR(X37-AG37, "NA")</f>
        <v>0</v>
      </c>
      <c r="AJ37" s="30">
        <f>IFERROR(AI37/AI148, "NA")</f>
        <v>0</v>
      </c>
      <c r="AK37" s="29" t="str">
        <f>IFERROR((X37-AG37)/AG37, "NA")</f>
        <v>NA</v>
      </c>
      <c r="AL37" s="30" t="str">
        <f>IFERROR(AK37/AK148, "NA")</f>
        <v>NA</v>
      </c>
    </row>
    <row r="38" ht="16.5" customHeight="1">
      <c r="A38" s="13" t="s">
        <v>98</v>
      </c>
      <c r="B38" s="14"/>
      <c r="C38" s="12"/>
      <c r="D38" s="14"/>
      <c r="E38" s="12"/>
      <c r="F38" s="14"/>
      <c r="G38" s="12"/>
      <c r="H38" s="14"/>
      <c r="I38" s="12"/>
      <c r="J38" s="14"/>
      <c r="K38" s="12"/>
      <c r="L38" s="14"/>
      <c r="M38" s="12"/>
      <c r="N38" s="14"/>
      <c r="O38" s="12"/>
      <c r="P38" s="14"/>
      <c r="Q38" s="12"/>
      <c r="R38" s="14"/>
      <c r="S38" s="12"/>
      <c r="T38" s="14"/>
      <c r="U38" s="12"/>
      <c r="V38" s="14"/>
      <c r="W38" s="12"/>
      <c r="X38" s="14"/>
      <c r="Y38" s="12"/>
      <c r="Z38" s="14"/>
      <c r="AA38" s="12"/>
      <c r="AB38" s="14"/>
      <c r="AC38" s="12"/>
      <c r="AD38" s="17"/>
      <c r="AE38" s="18"/>
      <c r="AF38" s="17"/>
      <c r="AG38" s="14"/>
      <c r="AH38" s="12"/>
      <c r="AI38" s="17"/>
      <c r="AJ38" s="18"/>
      <c r="AK38" s="17"/>
      <c r="AL38" s="18"/>
    </row>
    <row r="39" ht="16.5" hidden="1" customHeight="1">
      <c r="A39" s="19" t="s">
        <v>99</v>
      </c>
      <c r="B39" s="21">
        <v>0.0</v>
      </c>
      <c r="C39" s="23">
        <f>IFERROR(B39/B148, "NA")</f>
        <v>0</v>
      </c>
      <c r="D39" s="21">
        <v>0.0</v>
      </c>
      <c r="E39" s="23">
        <f>IFERROR(D39/D148, "NA")</f>
        <v>0</v>
      </c>
      <c r="F39" s="21">
        <v>0.0</v>
      </c>
      <c r="G39" s="23">
        <f>IFERROR(F39/F148, "NA")</f>
        <v>0</v>
      </c>
      <c r="H39" s="21">
        <v>0.0</v>
      </c>
      <c r="I39" s="23">
        <f>IFERROR(H39/H148, "NA")</f>
        <v>0</v>
      </c>
      <c r="J39" s="21">
        <v>0.0</v>
      </c>
      <c r="K39" s="23">
        <f>IFERROR(J39/J148, "NA")</f>
        <v>0</v>
      </c>
      <c r="L39" s="21">
        <v>0.0</v>
      </c>
      <c r="M39" s="23">
        <f>IFERROR(L39/L148, "NA")</f>
        <v>0</v>
      </c>
      <c r="N39" s="21">
        <v>0.0</v>
      </c>
      <c r="O39" s="23">
        <f>IFERROR(N39/N148, "NA")</f>
        <v>0</v>
      </c>
      <c r="P39" s="21">
        <v>0.0</v>
      </c>
      <c r="Q39" s="23">
        <f>IFERROR(P39/P148, "NA")</f>
        <v>0</v>
      </c>
      <c r="R39" s="21">
        <v>0.0</v>
      </c>
      <c r="S39" s="23">
        <f>IFERROR(R39/R148, "NA")</f>
        <v>0</v>
      </c>
      <c r="T39" s="21">
        <v>0.0</v>
      </c>
      <c r="U39" s="23">
        <f>IFERROR(T39/T148, "NA")</f>
        <v>0</v>
      </c>
      <c r="V39" s="21">
        <v>0.0</v>
      </c>
      <c r="W39" s="23">
        <f>IFERROR(V39/V148, "NA")</f>
        <v>0</v>
      </c>
      <c r="X39" s="21">
        <v>0.0</v>
      </c>
      <c r="Y39" s="23">
        <f>IFERROR(X39/X148, "NA")</f>
        <v>0</v>
      </c>
      <c r="Z39" s="21">
        <v>0.0</v>
      </c>
      <c r="AA39" s="23">
        <f>IFERROR(Z39/Z148, "NA")</f>
        <v>0</v>
      </c>
      <c r="AB39" s="28">
        <f t="shared" ref="AB39:AB44" si="19">IFERROR((R39+T39+V39+X39)/4, "NA")</f>
        <v>0</v>
      </c>
      <c r="AC39" s="23">
        <f>IFERROR(AB39/AB148, "NA")</f>
        <v>0</v>
      </c>
      <c r="AD39" s="29">
        <f t="shared" ref="AD39:AD44" si="20">IFERROR(X39-AB39, "NA")</f>
        <v>0</v>
      </c>
      <c r="AE39" s="30">
        <f>IFERROR(AD39/AD148, "NA")</f>
        <v>0</v>
      </c>
      <c r="AF39" s="29" t="str">
        <f t="shared" ref="AF39:AF44" si="21">IFERROR((X39-AB39)/AB39, "NA")</f>
        <v>NA</v>
      </c>
      <c r="AG39" s="28">
        <f t="shared" ref="AG39:AG44" si="22">IFERROR((J39+L39+N39+P39+R39+T39+V39+X39)/8, "NA")</f>
        <v>0</v>
      </c>
      <c r="AH39" s="23">
        <f>IFERROR(AG39/AG148, "NA")</f>
        <v>0</v>
      </c>
      <c r="AI39" s="29">
        <f t="shared" ref="AI39:AI44" si="23">IFERROR(X39-AG39, "NA")</f>
        <v>0</v>
      </c>
      <c r="AJ39" s="30">
        <f>IFERROR(AI39/AI148, "NA")</f>
        <v>0</v>
      </c>
      <c r="AK39" s="29" t="str">
        <f t="shared" ref="AK39:AK44" si="24">IFERROR((X39-AG39)/AG39, "NA")</f>
        <v>NA</v>
      </c>
      <c r="AL39" s="30" t="str">
        <f>IFERROR(AK39/AK148, "NA")</f>
        <v>NA</v>
      </c>
    </row>
    <row r="40" ht="16.5" customHeight="1">
      <c r="A40" s="19" t="s">
        <v>100</v>
      </c>
      <c r="B40" s="21">
        <v>863.14</v>
      </c>
      <c r="C40" s="23">
        <f>IFERROR(B40/B148, "NA")</f>
        <v>0.02166940859</v>
      </c>
      <c r="D40" s="21">
        <v>624.82</v>
      </c>
      <c r="E40" s="23">
        <f>IFERROR(D40/D148, "NA")</f>
        <v>0.01806956792</v>
      </c>
      <c r="F40" s="21">
        <v>715.03</v>
      </c>
      <c r="G40" s="23">
        <f>IFERROR(F40/F148, "NA")</f>
        <v>0.03153804829</v>
      </c>
      <c r="H40" s="21">
        <v>331.66</v>
      </c>
      <c r="I40" s="23">
        <f>IFERROR(H40/H148, "NA")</f>
        <v>0.02982527136</v>
      </c>
      <c r="J40" s="21">
        <v>829.65</v>
      </c>
      <c r="K40" s="23">
        <f>IFERROR(J40/J148, "NA")</f>
        <v>0.03533930891</v>
      </c>
      <c r="L40" s="21">
        <v>676.45</v>
      </c>
      <c r="M40" s="23">
        <f>IFERROR(L40/L148, "NA")</f>
        <v>0.03260711857</v>
      </c>
      <c r="N40" s="21">
        <v>612.69</v>
      </c>
      <c r="O40" s="23">
        <f>IFERROR(N40/N148, "NA")</f>
        <v>0.0318765374</v>
      </c>
      <c r="P40" s="21">
        <v>376.08</v>
      </c>
      <c r="Q40" s="23">
        <f>IFERROR(P40/P148, "NA")</f>
        <v>0.04756297909</v>
      </c>
      <c r="R40" s="21">
        <v>290.37</v>
      </c>
      <c r="S40" s="23">
        <f>IFERROR(R40/R148, "NA")</f>
        <v>0.03325031347</v>
      </c>
      <c r="T40" s="21">
        <v>758.41</v>
      </c>
      <c r="U40" s="23">
        <f>IFERROR(T40/T148, "NA")</f>
        <v>0.04483279845</v>
      </c>
      <c r="V40" s="21">
        <v>633.51</v>
      </c>
      <c r="W40" s="23">
        <f>IFERROR(V40/V148, "NA")</f>
        <v>0.0290668918</v>
      </c>
      <c r="X40" s="21">
        <v>502.4</v>
      </c>
      <c r="Y40" s="23">
        <f>IFERROR(X40/X148, "NA")</f>
        <v>0.02507637964</v>
      </c>
      <c r="Z40" s="21">
        <v>2184.69</v>
      </c>
      <c r="AA40" s="23">
        <f>IFERROR(Z40/Z148, "NA")</f>
        <v>0.03237587425</v>
      </c>
      <c r="AB40" s="28">
        <f t="shared" si="19"/>
        <v>546.1725</v>
      </c>
      <c r="AC40" s="23">
        <f>IFERROR(AB40/AB148, "NA")</f>
        <v>0.03237587425</v>
      </c>
      <c r="AD40" s="29">
        <f t="shared" si="20"/>
        <v>-43.7725</v>
      </c>
      <c r="AE40" s="30">
        <f>IFERROR(AD40/AD148, "NA")</f>
        <v>-0.01382994437</v>
      </c>
      <c r="AF40" s="29">
        <f t="shared" si="21"/>
        <v>-0.08014409367</v>
      </c>
      <c r="AG40" s="28">
        <f t="shared" si="22"/>
        <v>584.945</v>
      </c>
      <c r="AH40" s="23">
        <f>IFERROR(AG40/AG148, "NA")</f>
        <v>0.03370741032</v>
      </c>
      <c r="AI40" s="29">
        <f t="shared" si="23"/>
        <v>-82.545</v>
      </c>
      <c r="AJ40" s="30">
        <f>IFERROR(AI40/AI148, "NA")</f>
        <v>-0.03078673163</v>
      </c>
      <c r="AK40" s="29">
        <f t="shared" si="24"/>
        <v>-0.1411158314</v>
      </c>
      <c r="AL40" s="30">
        <f>IFERROR(AK40/AK148, "NA")</f>
        <v>-0.9133520295</v>
      </c>
    </row>
    <row r="41" ht="16.5" customHeight="1">
      <c r="A41" s="19" t="s">
        <v>101</v>
      </c>
      <c r="B41" s="21">
        <v>711.77</v>
      </c>
      <c r="C41" s="23">
        <f>IFERROR(B41/B148, "NA")</f>
        <v>0.01786921583</v>
      </c>
      <c r="D41" s="21">
        <v>321.87</v>
      </c>
      <c r="E41" s="23">
        <f>IFERROR(D41/D148, "NA")</f>
        <v>0.009308363733</v>
      </c>
      <c r="F41" s="21">
        <v>179.3</v>
      </c>
      <c r="G41" s="23">
        <f>IFERROR(F41/F148, "NA")</f>
        <v>0.007908440286</v>
      </c>
      <c r="H41" s="21">
        <v>204.07</v>
      </c>
      <c r="I41" s="23">
        <f>IFERROR(H41/H148, "NA")</f>
        <v>0.01835145367</v>
      </c>
      <c r="J41" s="21">
        <v>118.59</v>
      </c>
      <c r="K41" s="23">
        <f>IFERROR(J41/J148, "NA")</f>
        <v>0.005051393531</v>
      </c>
      <c r="L41" s="21">
        <v>145.6</v>
      </c>
      <c r="M41" s="23">
        <f>IFERROR(L41/L148, "NA")</f>
        <v>0.00701839968</v>
      </c>
      <c r="N41" s="21">
        <v>141.39</v>
      </c>
      <c r="O41" s="23">
        <f>IFERROR(N41/N148, "NA")</f>
        <v>0.007356124016</v>
      </c>
      <c r="P41" s="21">
        <v>16.37</v>
      </c>
      <c r="Q41" s="23">
        <f>IFERROR(P41/P148, "NA")</f>
        <v>0.002070320059</v>
      </c>
      <c r="R41" s="21">
        <v>-7.8</v>
      </c>
      <c r="S41" s="23">
        <f>IFERROR(R41/R148, "NA")</f>
        <v>-0.0008931792027</v>
      </c>
      <c r="T41" s="21">
        <v>222.1</v>
      </c>
      <c r="U41" s="23">
        <f>IFERROR(T41/T148, "NA")</f>
        <v>0.01312926324</v>
      </c>
      <c r="V41" s="21">
        <v>302.27</v>
      </c>
      <c r="W41" s="23">
        <f>IFERROR(V41/V148, "NA")</f>
        <v>0.01386884088</v>
      </c>
      <c r="X41" s="21">
        <v>461.92</v>
      </c>
      <c r="Y41" s="23">
        <f>IFERROR(X41/X148, "NA")</f>
        <v>0.02305589427</v>
      </c>
      <c r="Z41" s="21">
        <v>978.49</v>
      </c>
      <c r="AA41" s="23">
        <f>IFERROR(Z41/Z148, "NA")</f>
        <v>0.01450067021</v>
      </c>
      <c r="AB41" s="28">
        <f t="shared" si="19"/>
        <v>244.6225</v>
      </c>
      <c r="AC41" s="23">
        <f>IFERROR(AB41/AB148, "NA")</f>
        <v>0.01450067021</v>
      </c>
      <c r="AD41" s="29">
        <f t="shared" si="20"/>
        <v>217.2975</v>
      </c>
      <c r="AE41" s="30">
        <f>IFERROR(AD41/AD148, "NA")</f>
        <v>0.06865525927</v>
      </c>
      <c r="AF41" s="29">
        <f t="shared" si="21"/>
        <v>0.8882972744</v>
      </c>
      <c r="AG41" s="28">
        <f t="shared" si="22"/>
        <v>175.055</v>
      </c>
      <c r="AH41" s="23">
        <f>IFERROR(AG41/AG148, "NA")</f>
        <v>0.01008753082</v>
      </c>
      <c r="AI41" s="29">
        <f t="shared" si="23"/>
        <v>286.865</v>
      </c>
      <c r="AJ41" s="30">
        <f>IFERROR(AI41/AI148, "NA")</f>
        <v>0.1069917714</v>
      </c>
      <c r="AK41" s="29">
        <f t="shared" si="24"/>
        <v>1.638713547</v>
      </c>
      <c r="AL41" s="30">
        <f>IFERROR(AK41/AK148, "NA")</f>
        <v>10.60633899</v>
      </c>
    </row>
    <row r="42" ht="16.5" customHeight="1">
      <c r="A42" s="19" t="s">
        <v>102</v>
      </c>
      <c r="B42" s="21">
        <v>0.0</v>
      </c>
      <c r="C42" s="23">
        <f>IFERROR(B42/B148, "NA")</f>
        <v>0</v>
      </c>
      <c r="D42" s="21">
        <v>0.0</v>
      </c>
      <c r="E42" s="23">
        <f>IFERROR(D42/D148, "NA")</f>
        <v>0</v>
      </c>
      <c r="F42" s="21">
        <v>0.0</v>
      </c>
      <c r="G42" s="23">
        <f>IFERROR(F42/F148, "NA")</f>
        <v>0</v>
      </c>
      <c r="H42" s="21">
        <v>0.0</v>
      </c>
      <c r="I42" s="23">
        <f>IFERROR(H42/H148, "NA")</f>
        <v>0</v>
      </c>
      <c r="J42" s="21">
        <v>0.0</v>
      </c>
      <c r="K42" s="23">
        <f>IFERROR(J42/J148, "NA")</f>
        <v>0</v>
      </c>
      <c r="L42" s="21">
        <v>0.0</v>
      </c>
      <c r="M42" s="23">
        <f>IFERROR(L42/L148, "NA")</f>
        <v>0</v>
      </c>
      <c r="N42" s="21">
        <v>0.0</v>
      </c>
      <c r="O42" s="23">
        <f>IFERROR(N42/N148, "NA")</f>
        <v>0</v>
      </c>
      <c r="P42" s="21">
        <v>0.0</v>
      </c>
      <c r="Q42" s="23">
        <f>IFERROR(P42/P148, "NA")</f>
        <v>0</v>
      </c>
      <c r="R42" s="21">
        <v>0.0</v>
      </c>
      <c r="S42" s="23">
        <f>IFERROR(R42/R148, "NA")</f>
        <v>0</v>
      </c>
      <c r="T42" s="21">
        <v>74.2</v>
      </c>
      <c r="U42" s="23">
        <f>IFERROR(T42/T148, "NA")</f>
        <v>0.004386273447</v>
      </c>
      <c r="V42" s="21">
        <v>0.0</v>
      </c>
      <c r="W42" s="23">
        <f>IFERROR(V42/V148, "NA")</f>
        <v>0</v>
      </c>
      <c r="X42" s="21">
        <v>0.0</v>
      </c>
      <c r="Y42" s="23">
        <f>IFERROR(X42/X148, "NA")</f>
        <v>0</v>
      </c>
      <c r="Z42" s="21">
        <v>74.2</v>
      </c>
      <c r="AA42" s="23">
        <f>IFERROR(Z42/Z148, "NA")</f>
        <v>0.001099602172</v>
      </c>
      <c r="AB42" s="28">
        <f t="shared" si="19"/>
        <v>18.55</v>
      </c>
      <c r="AC42" s="23">
        <f>IFERROR(AB42/AB148, "NA")</f>
        <v>0.001099602172</v>
      </c>
      <c r="AD42" s="29">
        <f t="shared" si="20"/>
        <v>-18.55</v>
      </c>
      <c r="AE42" s="30">
        <f>IFERROR(AD42/AD148, "NA")</f>
        <v>-0.005860882244</v>
      </c>
      <c r="AF42" s="29">
        <f t="shared" si="21"/>
        <v>-1</v>
      </c>
      <c r="AG42" s="28">
        <f t="shared" si="22"/>
        <v>9.275</v>
      </c>
      <c r="AH42" s="23">
        <f>IFERROR(AG42/AG148, "NA")</f>
        <v>0.0005344711566</v>
      </c>
      <c r="AI42" s="29">
        <f t="shared" si="23"/>
        <v>-9.275</v>
      </c>
      <c r="AJ42" s="30">
        <f>IFERROR(AI42/AI148, "NA")</f>
        <v>-0.003459288095</v>
      </c>
      <c r="AK42" s="29">
        <f t="shared" si="24"/>
        <v>-1</v>
      </c>
      <c r="AL42" s="30">
        <f>IFERROR(AK42/AK148, "NA")</f>
        <v>-6.472356931</v>
      </c>
    </row>
    <row r="43" ht="16.5" hidden="1" customHeight="1">
      <c r="A43" s="19" t="s">
        <v>103</v>
      </c>
      <c r="B43" s="21">
        <v>0.0</v>
      </c>
      <c r="C43" s="23">
        <f>IFERROR(B43/B148, "NA")</f>
        <v>0</v>
      </c>
      <c r="D43" s="21">
        <v>0.0</v>
      </c>
      <c r="E43" s="23">
        <f>IFERROR(D43/D148, "NA")</f>
        <v>0</v>
      </c>
      <c r="F43" s="21">
        <v>0.0</v>
      </c>
      <c r="G43" s="23">
        <f>IFERROR(F43/F148, "NA")</f>
        <v>0</v>
      </c>
      <c r="H43" s="21">
        <v>0.0</v>
      </c>
      <c r="I43" s="23">
        <f>IFERROR(H43/H148, "NA")</f>
        <v>0</v>
      </c>
      <c r="J43" s="21">
        <v>0.0</v>
      </c>
      <c r="K43" s="23">
        <f>IFERROR(J43/J148, "NA")</f>
        <v>0</v>
      </c>
      <c r="L43" s="21">
        <v>0.0</v>
      </c>
      <c r="M43" s="23">
        <f>IFERROR(L43/L148, "NA")</f>
        <v>0</v>
      </c>
      <c r="N43" s="21">
        <v>0.0</v>
      </c>
      <c r="O43" s="23">
        <f>IFERROR(N43/N148, "NA")</f>
        <v>0</v>
      </c>
      <c r="P43" s="21">
        <v>0.0</v>
      </c>
      <c r="Q43" s="23">
        <f>IFERROR(P43/P148, "NA")</f>
        <v>0</v>
      </c>
      <c r="R43" s="21">
        <v>0.0</v>
      </c>
      <c r="S43" s="23">
        <f>IFERROR(R43/R148, "NA")</f>
        <v>0</v>
      </c>
      <c r="T43" s="21">
        <v>0.0</v>
      </c>
      <c r="U43" s="23">
        <f>IFERROR(T43/T148, "NA")</f>
        <v>0</v>
      </c>
      <c r="V43" s="21">
        <v>0.0</v>
      </c>
      <c r="W43" s="23">
        <f>IFERROR(V43/V148, "NA")</f>
        <v>0</v>
      </c>
      <c r="X43" s="21">
        <v>0.0</v>
      </c>
      <c r="Y43" s="23">
        <f>IFERROR(X43/X148, "NA")</f>
        <v>0</v>
      </c>
      <c r="Z43" s="21">
        <v>0.0</v>
      </c>
      <c r="AA43" s="23">
        <f>IFERROR(Z43/Z148, "NA")</f>
        <v>0</v>
      </c>
      <c r="AB43" s="28">
        <f t="shared" si="19"/>
        <v>0</v>
      </c>
      <c r="AC43" s="23">
        <f>IFERROR(AB43/AB148, "NA")</f>
        <v>0</v>
      </c>
      <c r="AD43" s="29">
        <f t="shared" si="20"/>
        <v>0</v>
      </c>
      <c r="AE43" s="30">
        <f>IFERROR(AD43/AD148, "NA")</f>
        <v>0</v>
      </c>
      <c r="AF43" s="29" t="str">
        <f t="shared" si="21"/>
        <v>NA</v>
      </c>
      <c r="AG43" s="28">
        <f t="shared" si="22"/>
        <v>0</v>
      </c>
      <c r="AH43" s="23">
        <f>IFERROR(AG43/AG148, "NA")</f>
        <v>0</v>
      </c>
      <c r="AI43" s="29">
        <f t="shared" si="23"/>
        <v>0</v>
      </c>
      <c r="AJ43" s="30">
        <f>IFERROR(AI43/AI148, "NA")</f>
        <v>0</v>
      </c>
      <c r="AK43" s="29" t="str">
        <f t="shared" si="24"/>
        <v>NA</v>
      </c>
      <c r="AL43" s="30" t="str">
        <f>IFERROR(AK43/AK148, "NA")</f>
        <v>NA</v>
      </c>
    </row>
    <row r="44" ht="16.5" customHeight="1">
      <c r="A44" s="65" t="s">
        <v>105</v>
      </c>
      <c r="B44" s="66">
        <f>IFERROR(B39+B40+B41+B42+B43, "NA")</f>
        <v>1574.91</v>
      </c>
      <c r="C44" s="67">
        <f>IFERROR(B44/B148, "NA")</f>
        <v>0.03953862441</v>
      </c>
      <c r="D44" s="66">
        <f>IFERROR(D39+D40+D41+D42+D43, "NA")</f>
        <v>946.69</v>
      </c>
      <c r="E44" s="67">
        <f>IFERROR(D44/D148, "NA")</f>
        <v>0.02737793166</v>
      </c>
      <c r="F44" s="66">
        <f>IFERROR(F39+F40+F41+F42+F43, "NA")</f>
        <v>894.33</v>
      </c>
      <c r="G44" s="67">
        <f>IFERROR(F44/F148, "NA")</f>
        <v>0.03944648857</v>
      </c>
      <c r="H44" s="66">
        <f>IFERROR(H39+H40+H41+H42+H43, "NA")</f>
        <v>535.73</v>
      </c>
      <c r="I44" s="67">
        <f>IFERROR(H44/H148, "NA")</f>
        <v>0.04817672503</v>
      </c>
      <c r="J44" s="66">
        <f>IFERROR(J39+J40+J41+J42+J43, "NA")</f>
        <v>948.24</v>
      </c>
      <c r="K44" s="67">
        <f>IFERROR(J44/J148, "NA")</f>
        <v>0.04039070244</v>
      </c>
      <c r="L44" s="66">
        <f>IFERROR(L39+L40+L41+L42+L43, "NA")</f>
        <v>822.05</v>
      </c>
      <c r="M44" s="67">
        <f>IFERROR(L44/L148, "NA")</f>
        <v>0.03962551825</v>
      </c>
      <c r="N44" s="66">
        <f>IFERROR(N39+N40+N41+N42+N43, "NA")</f>
        <v>754.08</v>
      </c>
      <c r="O44" s="67">
        <f>IFERROR(N44/N148, "NA")</f>
        <v>0.03923266142</v>
      </c>
      <c r="P44" s="66">
        <f>IFERROR(P39+P40+P41+P42+P43, "NA")</f>
        <v>392.45</v>
      </c>
      <c r="Q44" s="67">
        <f>IFERROR(P44/P148, "NA")</f>
        <v>0.04963329914</v>
      </c>
      <c r="R44" s="66">
        <f>IFERROR(R39+R40+R41+R42+R43, "NA")</f>
        <v>282.57</v>
      </c>
      <c r="S44" s="67">
        <f>IFERROR(R44/R148, "NA")</f>
        <v>0.03235713427</v>
      </c>
      <c r="T44" s="66">
        <f>IFERROR(T39+T40+T41+T42+T43, "NA")</f>
        <v>1054.71</v>
      </c>
      <c r="U44" s="67">
        <f>IFERROR(T44/T148, "NA")</f>
        <v>0.06234833514</v>
      </c>
      <c r="V44" s="66">
        <f>IFERROR(V39+V40+V41+V42+V43, "NA")</f>
        <v>935.78</v>
      </c>
      <c r="W44" s="67">
        <f>IFERROR(V44/V148, "NA")</f>
        <v>0.04293573267</v>
      </c>
      <c r="X44" s="66">
        <f>IFERROR(X39+X40+X41+X42+X43, "NA")</f>
        <v>964.32</v>
      </c>
      <c r="Y44" s="67">
        <f>IFERROR(X44/X148, "NA")</f>
        <v>0.04813227391</v>
      </c>
      <c r="Z44" s="66">
        <f>IFERROR(Z39+Z40+Z41+Z42+Z43, "NA")</f>
        <v>3237.38</v>
      </c>
      <c r="AA44" s="67">
        <f>IFERROR(Z44/Z148, "NA")</f>
        <v>0.04797614664</v>
      </c>
      <c r="AB44" s="66">
        <f t="shared" si="19"/>
        <v>809.345</v>
      </c>
      <c r="AC44" s="67">
        <f>IFERROR(AB44/AB148, "NA")</f>
        <v>0.04797614664</v>
      </c>
      <c r="AD44" s="75">
        <f t="shared" si="20"/>
        <v>154.975</v>
      </c>
      <c r="AE44" s="76">
        <f>IFERROR(AD44/AD148, "NA")</f>
        <v>0.04896443266</v>
      </c>
      <c r="AF44" s="75">
        <f t="shared" si="21"/>
        <v>0.1914820009</v>
      </c>
      <c r="AG44" s="66">
        <f t="shared" si="22"/>
        <v>769.275</v>
      </c>
      <c r="AH44" s="67">
        <f>IFERROR(AG44/AG148, "NA")</f>
        <v>0.04432941229</v>
      </c>
      <c r="AI44" s="75">
        <f t="shared" si="23"/>
        <v>195.045</v>
      </c>
      <c r="AJ44" s="76">
        <f>IFERROR(AI44/AI148, "NA")</f>
        <v>0.07274575165</v>
      </c>
      <c r="AK44" s="75">
        <f t="shared" si="24"/>
        <v>0.2535439212</v>
      </c>
      <c r="AL44" s="76">
        <f>IFERROR(AK44/AK148, "NA")</f>
        <v>1.641026756</v>
      </c>
    </row>
    <row r="45" ht="16.5" customHeight="1">
      <c r="A45" s="13" t="s">
        <v>106</v>
      </c>
      <c r="B45" s="14"/>
      <c r="C45" s="12"/>
      <c r="D45" s="14"/>
      <c r="E45" s="12"/>
      <c r="F45" s="14"/>
      <c r="G45" s="12"/>
      <c r="H45" s="14"/>
      <c r="I45" s="12"/>
      <c r="J45" s="14"/>
      <c r="K45" s="12"/>
      <c r="L45" s="14"/>
      <c r="M45" s="12"/>
      <c r="N45" s="14"/>
      <c r="O45" s="12"/>
      <c r="P45" s="14"/>
      <c r="Q45" s="12"/>
      <c r="R45" s="14"/>
      <c r="S45" s="12"/>
      <c r="T45" s="14"/>
      <c r="U45" s="12"/>
      <c r="V45" s="14"/>
      <c r="W45" s="12"/>
      <c r="X45" s="14"/>
      <c r="Y45" s="12"/>
      <c r="Z45" s="14"/>
      <c r="AA45" s="12"/>
      <c r="AB45" s="14"/>
      <c r="AC45" s="12"/>
      <c r="AD45" s="17"/>
      <c r="AE45" s="18"/>
      <c r="AF45" s="17"/>
      <c r="AG45" s="14"/>
      <c r="AH45" s="12"/>
      <c r="AI45" s="17"/>
      <c r="AJ45" s="18"/>
      <c r="AK45" s="17"/>
      <c r="AL45" s="18"/>
    </row>
    <row r="46" ht="16.5" hidden="1" customHeight="1">
      <c r="A46" s="19" t="s">
        <v>107</v>
      </c>
      <c r="B46" s="21">
        <v>0.0</v>
      </c>
      <c r="C46" s="23">
        <f>IFERROR(B46/B148, "NA")</f>
        <v>0</v>
      </c>
      <c r="D46" s="21">
        <v>0.0</v>
      </c>
      <c r="E46" s="23">
        <f>IFERROR(D46/D148, "NA")</f>
        <v>0</v>
      </c>
      <c r="F46" s="21">
        <v>0.0</v>
      </c>
      <c r="G46" s="23">
        <f>IFERROR(F46/F148, "NA")</f>
        <v>0</v>
      </c>
      <c r="H46" s="21">
        <v>0.0</v>
      </c>
      <c r="I46" s="23">
        <f>IFERROR(H46/H148, "NA")</f>
        <v>0</v>
      </c>
      <c r="J46" s="21">
        <v>0.0</v>
      </c>
      <c r="K46" s="23">
        <f>IFERROR(J46/J148, "NA")</f>
        <v>0</v>
      </c>
      <c r="L46" s="21">
        <v>0.0</v>
      </c>
      <c r="M46" s="23">
        <f>IFERROR(L46/L148, "NA")</f>
        <v>0</v>
      </c>
      <c r="N46" s="21">
        <v>0.0</v>
      </c>
      <c r="O46" s="23">
        <f>IFERROR(N46/N148, "NA")</f>
        <v>0</v>
      </c>
      <c r="P46" s="21">
        <v>0.0</v>
      </c>
      <c r="Q46" s="23">
        <f>IFERROR(P46/P148, "NA")</f>
        <v>0</v>
      </c>
      <c r="R46" s="21">
        <v>0.0</v>
      </c>
      <c r="S46" s="23">
        <f>IFERROR(R46/R148, "NA")</f>
        <v>0</v>
      </c>
      <c r="T46" s="21">
        <v>0.0</v>
      </c>
      <c r="U46" s="23">
        <f>IFERROR(T46/T148, "NA")</f>
        <v>0</v>
      </c>
      <c r="V46" s="21">
        <v>0.0</v>
      </c>
      <c r="W46" s="23">
        <f>IFERROR(V46/V148, "NA")</f>
        <v>0</v>
      </c>
      <c r="X46" s="21">
        <v>0.0</v>
      </c>
      <c r="Y46" s="23">
        <f>IFERROR(X46/X148, "NA")</f>
        <v>0</v>
      </c>
      <c r="Z46" s="21">
        <v>0.0</v>
      </c>
      <c r="AA46" s="23">
        <f>IFERROR(Z46/Z148, "NA")</f>
        <v>0</v>
      </c>
      <c r="AB46" s="28">
        <f t="shared" ref="AB46:AB57" si="25">IFERROR((R46+T46+V46+X46)/4, "NA")</f>
        <v>0</v>
      </c>
      <c r="AC46" s="23">
        <f>IFERROR(AB46/AB148, "NA")</f>
        <v>0</v>
      </c>
      <c r="AD46" s="29">
        <f t="shared" ref="AD46:AD57" si="26">IFERROR(X46-AB46, "NA")</f>
        <v>0</v>
      </c>
      <c r="AE46" s="30">
        <f>IFERROR(AD46/AD148, "NA")</f>
        <v>0</v>
      </c>
      <c r="AF46" s="29" t="str">
        <f t="shared" ref="AF46:AF57" si="27">IFERROR((X46-AB46)/AB46, "NA")</f>
        <v>NA</v>
      </c>
      <c r="AG46" s="28">
        <f t="shared" ref="AG46:AG57" si="28">IFERROR((J46+L46+N46+P46+R46+T46+V46+X46)/8, "NA")</f>
        <v>0</v>
      </c>
      <c r="AH46" s="23">
        <f>IFERROR(AG46/AG148, "NA")</f>
        <v>0</v>
      </c>
      <c r="AI46" s="29">
        <f t="shared" ref="AI46:AI57" si="29">IFERROR(X46-AG46, "NA")</f>
        <v>0</v>
      </c>
      <c r="AJ46" s="30">
        <f>IFERROR(AI46/AI148, "NA")</f>
        <v>0</v>
      </c>
      <c r="AK46" s="29" t="str">
        <f t="shared" ref="AK46:AK57" si="30">IFERROR((X46-AG46)/AG46, "NA")</f>
        <v>NA</v>
      </c>
      <c r="AL46" s="30" t="str">
        <f>IFERROR(AK46/AK148, "NA")</f>
        <v>NA</v>
      </c>
    </row>
    <row r="47" ht="16.5" customHeight="1">
      <c r="A47" s="19" t="s">
        <v>108</v>
      </c>
      <c r="B47" s="21">
        <v>161.59</v>
      </c>
      <c r="C47" s="23">
        <f>IFERROR(B47/B148, "NA")</f>
        <v>0.004056769161</v>
      </c>
      <c r="D47" s="21">
        <v>79.61</v>
      </c>
      <c r="E47" s="23">
        <f>IFERROR(D47/D148, "NA")</f>
        <v>0.002302292344</v>
      </c>
      <c r="F47" s="21">
        <v>139.03</v>
      </c>
      <c r="G47" s="23">
        <f>IFERROR(F47/F148, "NA")</f>
        <v>0.006132239002</v>
      </c>
      <c r="H47" s="21">
        <v>75.43</v>
      </c>
      <c r="I47" s="23">
        <f>IFERROR(H47/H148, "NA")</f>
        <v>0.006783212381</v>
      </c>
      <c r="J47" s="21">
        <v>84.1</v>
      </c>
      <c r="K47" s="23">
        <f>IFERROR(J47/J148, "NA")</f>
        <v>0.003582276718</v>
      </c>
      <c r="L47" s="21">
        <v>91.65</v>
      </c>
      <c r="M47" s="23">
        <f>IFERROR(L47/L148, "NA")</f>
        <v>0.004417831941</v>
      </c>
      <c r="N47" s="21">
        <v>98.15</v>
      </c>
      <c r="O47" s="23">
        <f>IFERROR(N47/N148, "NA")</f>
        <v>0.005106468436</v>
      </c>
      <c r="P47" s="21">
        <v>61.62</v>
      </c>
      <c r="Q47" s="23">
        <f>IFERROR(P47/P148, "NA")</f>
        <v>0.007793104582</v>
      </c>
      <c r="R47" s="21">
        <v>74.08</v>
      </c>
      <c r="S47" s="23">
        <f>IFERROR(R47/R148, "NA")</f>
        <v>0.008482912222</v>
      </c>
      <c r="T47" s="21">
        <v>82.07</v>
      </c>
      <c r="U47" s="23">
        <f>IFERROR(T47/T148, "NA")</f>
        <v>0.00485150218</v>
      </c>
      <c r="V47" s="21">
        <v>78.21</v>
      </c>
      <c r="W47" s="23">
        <f>IFERROR(V47/V148, "NA")</f>
        <v>0.00358845418</v>
      </c>
      <c r="X47" s="21">
        <v>82.17</v>
      </c>
      <c r="Y47" s="23">
        <f>IFERROR(X47/X148, "NA")</f>
        <v>0.004101365674</v>
      </c>
      <c r="Z47" s="21">
        <v>316.53</v>
      </c>
      <c r="AA47" s="23">
        <f>IFERROR(Z47/Z148, "NA")</f>
        <v>0.004690796167</v>
      </c>
      <c r="AB47" s="28">
        <f t="shared" si="25"/>
        <v>79.1325</v>
      </c>
      <c r="AC47" s="23">
        <f>IFERROR(AB47/AB148, "NA")</f>
        <v>0.004690796167</v>
      </c>
      <c r="AD47" s="29">
        <f t="shared" si="26"/>
        <v>3.0375</v>
      </c>
      <c r="AE47" s="30">
        <f>IFERROR(AD47/AD148, "NA")</f>
        <v>0.0009596997206</v>
      </c>
      <c r="AF47" s="29">
        <f t="shared" si="27"/>
        <v>0.03838498721</v>
      </c>
      <c r="AG47" s="28">
        <f t="shared" si="28"/>
        <v>81.50625</v>
      </c>
      <c r="AH47" s="23">
        <f>IFERROR(AG47/AG148, "NA")</f>
        <v>0.004696791343</v>
      </c>
      <c r="AI47" s="29">
        <f t="shared" si="29"/>
        <v>0.66375</v>
      </c>
      <c r="AJ47" s="30">
        <f>IFERROR(AI47/AI148, "NA")</f>
        <v>0.0002475582181</v>
      </c>
      <c r="AK47" s="29">
        <f t="shared" si="30"/>
        <v>0.008143547274</v>
      </c>
      <c r="AL47" s="30">
        <f>IFERROR(AK47/AK148, "NA")</f>
        <v>0.05270794464</v>
      </c>
    </row>
    <row r="48" ht="16.5" hidden="1" customHeight="1">
      <c r="A48" s="19" t="s">
        <v>109</v>
      </c>
      <c r="B48" s="21">
        <v>0.0</v>
      </c>
      <c r="C48" s="23">
        <f>IFERROR(B48/B148, "NA")</f>
        <v>0</v>
      </c>
      <c r="D48" s="21">
        <v>0.0</v>
      </c>
      <c r="E48" s="23">
        <f>IFERROR(D48/D148, "NA")</f>
        <v>0</v>
      </c>
      <c r="F48" s="21">
        <v>0.0</v>
      </c>
      <c r="G48" s="23">
        <f>IFERROR(F48/F148, "NA")</f>
        <v>0</v>
      </c>
      <c r="H48" s="21">
        <v>0.0</v>
      </c>
      <c r="I48" s="23">
        <f>IFERROR(H48/H148, "NA")</f>
        <v>0</v>
      </c>
      <c r="J48" s="21">
        <v>0.0</v>
      </c>
      <c r="K48" s="23">
        <f>IFERROR(J48/J148, "NA")</f>
        <v>0</v>
      </c>
      <c r="L48" s="21">
        <v>0.0</v>
      </c>
      <c r="M48" s="23">
        <f>IFERROR(L48/L148, "NA")</f>
        <v>0</v>
      </c>
      <c r="N48" s="21">
        <v>0.0</v>
      </c>
      <c r="O48" s="23">
        <f>IFERROR(N48/N148, "NA")</f>
        <v>0</v>
      </c>
      <c r="P48" s="21">
        <v>0.0</v>
      </c>
      <c r="Q48" s="23">
        <f>IFERROR(P48/P148, "NA")</f>
        <v>0</v>
      </c>
      <c r="R48" s="21">
        <v>0.0</v>
      </c>
      <c r="S48" s="23">
        <f>IFERROR(R48/R148, "NA")</f>
        <v>0</v>
      </c>
      <c r="T48" s="21">
        <v>0.0</v>
      </c>
      <c r="U48" s="23">
        <f>IFERROR(T48/T148, "NA")</f>
        <v>0</v>
      </c>
      <c r="V48" s="21">
        <v>0.0</v>
      </c>
      <c r="W48" s="23">
        <f>IFERROR(V48/V148, "NA")</f>
        <v>0</v>
      </c>
      <c r="X48" s="21">
        <v>0.0</v>
      </c>
      <c r="Y48" s="23">
        <f>IFERROR(X48/X148, "NA")</f>
        <v>0</v>
      </c>
      <c r="Z48" s="21">
        <v>0.0</v>
      </c>
      <c r="AA48" s="23">
        <f>IFERROR(Z48/Z148, "NA")</f>
        <v>0</v>
      </c>
      <c r="AB48" s="28">
        <f t="shared" si="25"/>
        <v>0</v>
      </c>
      <c r="AC48" s="23">
        <f>IFERROR(AB48/AB148, "NA")</f>
        <v>0</v>
      </c>
      <c r="AD48" s="29">
        <f t="shared" si="26"/>
        <v>0</v>
      </c>
      <c r="AE48" s="30">
        <f>IFERROR(AD48/AD148, "NA")</f>
        <v>0</v>
      </c>
      <c r="AF48" s="29" t="str">
        <f t="shared" si="27"/>
        <v>NA</v>
      </c>
      <c r="AG48" s="28">
        <f t="shared" si="28"/>
        <v>0</v>
      </c>
      <c r="AH48" s="23">
        <f>IFERROR(AG48/AG148, "NA")</f>
        <v>0</v>
      </c>
      <c r="AI48" s="29">
        <f t="shared" si="29"/>
        <v>0</v>
      </c>
      <c r="AJ48" s="30">
        <f>IFERROR(AI48/AI148, "NA")</f>
        <v>0</v>
      </c>
      <c r="AK48" s="29" t="str">
        <f t="shared" si="30"/>
        <v>NA</v>
      </c>
      <c r="AL48" s="30" t="str">
        <f>IFERROR(AK48/AK148, "NA")</f>
        <v>NA</v>
      </c>
    </row>
    <row r="49" ht="16.5" hidden="1" customHeight="1">
      <c r="A49" s="19" t="s">
        <v>110</v>
      </c>
      <c r="B49" s="21">
        <v>0.0</v>
      </c>
      <c r="C49" s="23">
        <f>IFERROR(B49/B148, "NA")</f>
        <v>0</v>
      </c>
      <c r="D49" s="21">
        <v>0.0</v>
      </c>
      <c r="E49" s="23">
        <f>IFERROR(D49/D148, "NA")</f>
        <v>0</v>
      </c>
      <c r="F49" s="21">
        <v>0.0</v>
      </c>
      <c r="G49" s="23">
        <f>IFERROR(F49/F148, "NA")</f>
        <v>0</v>
      </c>
      <c r="H49" s="21">
        <v>0.0</v>
      </c>
      <c r="I49" s="23">
        <f>IFERROR(H49/H148, "NA")</f>
        <v>0</v>
      </c>
      <c r="J49" s="21">
        <v>0.0</v>
      </c>
      <c r="K49" s="23">
        <f>IFERROR(J49/J148, "NA")</f>
        <v>0</v>
      </c>
      <c r="L49" s="21">
        <v>0.0</v>
      </c>
      <c r="M49" s="23">
        <f>IFERROR(L49/L148, "NA")</f>
        <v>0</v>
      </c>
      <c r="N49" s="21">
        <v>0.0</v>
      </c>
      <c r="O49" s="23">
        <f>IFERROR(N49/N148, "NA")</f>
        <v>0</v>
      </c>
      <c r="P49" s="21">
        <v>0.0</v>
      </c>
      <c r="Q49" s="23">
        <f>IFERROR(P49/P148, "NA")</f>
        <v>0</v>
      </c>
      <c r="R49" s="21">
        <v>0.0</v>
      </c>
      <c r="S49" s="23">
        <f>IFERROR(R49/R148, "NA")</f>
        <v>0</v>
      </c>
      <c r="T49" s="21">
        <v>0.0</v>
      </c>
      <c r="U49" s="23">
        <f>IFERROR(T49/T148, "NA")</f>
        <v>0</v>
      </c>
      <c r="V49" s="21">
        <v>0.0</v>
      </c>
      <c r="W49" s="23">
        <f>IFERROR(V49/V148, "NA")</f>
        <v>0</v>
      </c>
      <c r="X49" s="21">
        <v>0.0</v>
      </c>
      <c r="Y49" s="23">
        <f>IFERROR(X49/X148, "NA")</f>
        <v>0</v>
      </c>
      <c r="Z49" s="21">
        <v>0.0</v>
      </c>
      <c r="AA49" s="23">
        <f>IFERROR(Z49/Z148, "NA")</f>
        <v>0</v>
      </c>
      <c r="AB49" s="28">
        <f t="shared" si="25"/>
        <v>0</v>
      </c>
      <c r="AC49" s="23">
        <f>IFERROR(AB49/AB148, "NA")</f>
        <v>0</v>
      </c>
      <c r="AD49" s="29">
        <f t="shared" si="26"/>
        <v>0</v>
      </c>
      <c r="AE49" s="30">
        <f>IFERROR(AD49/AD148, "NA")</f>
        <v>0</v>
      </c>
      <c r="AF49" s="29" t="str">
        <f t="shared" si="27"/>
        <v>NA</v>
      </c>
      <c r="AG49" s="28">
        <f t="shared" si="28"/>
        <v>0</v>
      </c>
      <c r="AH49" s="23">
        <f>IFERROR(AG49/AG148, "NA")</f>
        <v>0</v>
      </c>
      <c r="AI49" s="29">
        <f t="shared" si="29"/>
        <v>0</v>
      </c>
      <c r="AJ49" s="30">
        <f>IFERROR(AI49/AI148, "NA")</f>
        <v>0</v>
      </c>
      <c r="AK49" s="29" t="str">
        <f t="shared" si="30"/>
        <v>NA</v>
      </c>
      <c r="AL49" s="30" t="str">
        <f>IFERROR(AK49/AK148, "NA")</f>
        <v>NA</v>
      </c>
    </row>
    <row r="50" ht="16.5" hidden="1" customHeight="1">
      <c r="A50" s="19" t="s">
        <v>111</v>
      </c>
      <c r="B50" s="21">
        <v>0.0</v>
      </c>
      <c r="C50" s="23">
        <f>IFERROR(B50/B148, "NA")</f>
        <v>0</v>
      </c>
      <c r="D50" s="21">
        <v>0.0</v>
      </c>
      <c r="E50" s="23">
        <f>IFERROR(D50/D148, "NA")</f>
        <v>0</v>
      </c>
      <c r="F50" s="21">
        <v>0.0</v>
      </c>
      <c r="G50" s="23">
        <f>IFERROR(F50/F148, "NA")</f>
        <v>0</v>
      </c>
      <c r="H50" s="21">
        <v>0.0</v>
      </c>
      <c r="I50" s="23">
        <f>IFERROR(H50/H148, "NA")</f>
        <v>0</v>
      </c>
      <c r="J50" s="21">
        <v>0.0</v>
      </c>
      <c r="K50" s="23">
        <f>IFERROR(J50/J148, "NA")</f>
        <v>0</v>
      </c>
      <c r="L50" s="21">
        <v>0.0</v>
      </c>
      <c r="M50" s="23">
        <f>IFERROR(L50/L148, "NA")</f>
        <v>0</v>
      </c>
      <c r="N50" s="21">
        <v>0.0</v>
      </c>
      <c r="O50" s="23">
        <f>IFERROR(N50/N148, "NA")</f>
        <v>0</v>
      </c>
      <c r="P50" s="21">
        <v>0.0</v>
      </c>
      <c r="Q50" s="23">
        <f>IFERROR(P50/P148, "NA")</f>
        <v>0</v>
      </c>
      <c r="R50" s="21">
        <v>0.0</v>
      </c>
      <c r="S50" s="23">
        <f>IFERROR(R50/R148, "NA")</f>
        <v>0</v>
      </c>
      <c r="T50" s="21">
        <v>0.0</v>
      </c>
      <c r="U50" s="23">
        <f>IFERROR(T50/T148, "NA")</f>
        <v>0</v>
      </c>
      <c r="V50" s="21">
        <v>0.0</v>
      </c>
      <c r="W50" s="23">
        <f>IFERROR(V50/V148, "NA")</f>
        <v>0</v>
      </c>
      <c r="X50" s="21">
        <v>0.0</v>
      </c>
      <c r="Y50" s="23">
        <f>IFERROR(X50/X148, "NA")</f>
        <v>0</v>
      </c>
      <c r="Z50" s="21">
        <v>0.0</v>
      </c>
      <c r="AA50" s="23">
        <f>IFERROR(Z50/Z148, "NA")</f>
        <v>0</v>
      </c>
      <c r="AB50" s="28">
        <f t="shared" si="25"/>
        <v>0</v>
      </c>
      <c r="AC50" s="23">
        <f>IFERROR(AB50/AB148, "NA")</f>
        <v>0</v>
      </c>
      <c r="AD50" s="29">
        <f t="shared" si="26"/>
        <v>0</v>
      </c>
      <c r="AE50" s="30">
        <f>IFERROR(AD50/AD148, "NA")</f>
        <v>0</v>
      </c>
      <c r="AF50" s="29" t="str">
        <f t="shared" si="27"/>
        <v>NA</v>
      </c>
      <c r="AG50" s="28">
        <f t="shared" si="28"/>
        <v>0</v>
      </c>
      <c r="AH50" s="23">
        <f>IFERROR(AG50/AG148, "NA")</f>
        <v>0</v>
      </c>
      <c r="AI50" s="29">
        <f t="shared" si="29"/>
        <v>0</v>
      </c>
      <c r="AJ50" s="30">
        <f>IFERROR(AI50/AI148, "NA")</f>
        <v>0</v>
      </c>
      <c r="AK50" s="29" t="str">
        <f t="shared" si="30"/>
        <v>NA</v>
      </c>
      <c r="AL50" s="30" t="str">
        <f>IFERROR(AK50/AK148, "NA")</f>
        <v>NA</v>
      </c>
    </row>
    <row r="51" ht="16.5" hidden="1" customHeight="1">
      <c r="A51" s="19" t="s">
        <v>112</v>
      </c>
      <c r="B51" s="21">
        <v>0.0</v>
      </c>
      <c r="C51" s="23">
        <f>IFERROR(B51/B148, "NA")</f>
        <v>0</v>
      </c>
      <c r="D51" s="21">
        <v>0.0</v>
      </c>
      <c r="E51" s="23">
        <f>IFERROR(D51/D148, "NA")</f>
        <v>0</v>
      </c>
      <c r="F51" s="21">
        <v>0.0</v>
      </c>
      <c r="G51" s="23">
        <f>IFERROR(F51/F148, "NA")</f>
        <v>0</v>
      </c>
      <c r="H51" s="21">
        <v>0.0</v>
      </c>
      <c r="I51" s="23">
        <f>IFERROR(H51/H148, "NA")</f>
        <v>0</v>
      </c>
      <c r="J51" s="21">
        <v>0.0</v>
      </c>
      <c r="K51" s="23">
        <f>IFERROR(J51/J148, "NA")</f>
        <v>0</v>
      </c>
      <c r="L51" s="21">
        <v>0.0</v>
      </c>
      <c r="M51" s="23">
        <f>IFERROR(L51/L148, "NA")</f>
        <v>0</v>
      </c>
      <c r="N51" s="21">
        <v>0.0</v>
      </c>
      <c r="O51" s="23">
        <f>IFERROR(N51/N148, "NA")</f>
        <v>0</v>
      </c>
      <c r="P51" s="21">
        <v>0.0</v>
      </c>
      <c r="Q51" s="23">
        <f>IFERROR(P51/P148, "NA")</f>
        <v>0</v>
      </c>
      <c r="R51" s="21">
        <v>0.0</v>
      </c>
      <c r="S51" s="23">
        <f>IFERROR(R51/R148, "NA")</f>
        <v>0</v>
      </c>
      <c r="T51" s="21">
        <v>0.0</v>
      </c>
      <c r="U51" s="23">
        <f>IFERROR(T51/T148, "NA")</f>
        <v>0</v>
      </c>
      <c r="V51" s="21">
        <v>0.0</v>
      </c>
      <c r="W51" s="23">
        <f>IFERROR(V51/V148, "NA")</f>
        <v>0</v>
      </c>
      <c r="X51" s="21">
        <v>0.0</v>
      </c>
      <c r="Y51" s="23">
        <f>IFERROR(X51/X148, "NA")</f>
        <v>0</v>
      </c>
      <c r="Z51" s="21">
        <v>0.0</v>
      </c>
      <c r="AA51" s="23">
        <f>IFERROR(Z51/Z148, "NA")</f>
        <v>0</v>
      </c>
      <c r="AB51" s="28">
        <f t="shared" si="25"/>
        <v>0</v>
      </c>
      <c r="AC51" s="23">
        <f>IFERROR(AB51/AB148, "NA")</f>
        <v>0</v>
      </c>
      <c r="AD51" s="29">
        <f t="shared" si="26"/>
        <v>0</v>
      </c>
      <c r="AE51" s="30">
        <f>IFERROR(AD51/AD148, "NA")</f>
        <v>0</v>
      </c>
      <c r="AF51" s="29" t="str">
        <f t="shared" si="27"/>
        <v>NA</v>
      </c>
      <c r="AG51" s="28">
        <f t="shared" si="28"/>
        <v>0</v>
      </c>
      <c r="AH51" s="23">
        <f>IFERROR(AG51/AG148, "NA")</f>
        <v>0</v>
      </c>
      <c r="AI51" s="29">
        <f t="shared" si="29"/>
        <v>0</v>
      </c>
      <c r="AJ51" s="30">
        <f>IFERROR(AI51/AI148, "NA")</f>
        <v>0</v>
      </c>
      <c r="AK51" s="29" t="str">
        <f t="shared" si="30"/>
        <v>NA</v>
      </c>
      <c r="AL51" s="30" t="str">
        <f>IFERROR(AK51/AK148, "NA")</f>
        <v>NA</v>
      </c>
    </row>
    <row r="52" ht="16.5" customHeight="1">
      <c r="A52" s="65" t="s">
        <v>113</v>
      </c>
      <c r="B52" s="66">
        <f>IFERROR(B46+B47+B48+B49+B50+B51, "NA")</f>
        <v>161.59</v>
      </c>
      <c r="C52" s="67">
        <f>IFERROR(B52/B148, "NA")</f>
        <v>0.004056769161</v>
      </c>
      <c r="D52" s="66">
        <f>IFERROR(D46+D47+D48+D49+D50+D51, "NA")</f>
        <v>79.61</v>
      </c>
      <c r="E52" s="67">
        <f>IFERROR(D52/D148, "NA")</f>
        <v>0.002302292344</v>
      </c>
      <c r="F52" s="66">
        <f>IFERROR(F46+F47+F48+F49+F50+F51, "NA")</f>
        <v>139.03</v>
      </c>
      <c r="G52" s="67">
        <f>IFERROR(F52/F148, "NA")</f>
        <v>0.006132239002</v>
      </c>
      <c r="H52" s="66">
        <f>IFERROR(H46+H47+H48+H49+H50+H51, "NA")</f>
        <v>75.43</v>
      </c>
      <c r="I52" s="67">
        <f>IFERROR(H52/H148, "NA")</f>
        <v>0.006783212381</v>
      </c>
      <c r="J52" s="66">
        <f>IFERROR(J46+J47+J48+J49+J50+J51, "NA")</f>
        <v>84.1</v>
      </c>
      <c r="K52" s="67">
        <f>IFERROR(J52/J148, "NA")</f>
        <v>0.003582276718</v>
      </c>
      <c r="L52" s="66">
        <f>IFERROR(L46+L47+L48+L49+L50+L51, "NA")</f>
        <v>91.65</v>
      </c>
      <c r="M52" s="67">
        <f>IFERROR(L52/L148, "NA")</f>
        <v>0.004417831941</v>
      </c>
      <c r="N52" s="66">
        <f>IFERROR(N46+N47+N48+N49+N50+N51, "NA")</f>
        <v>98.15</v>
      </c>
      <c r="O52" s="67">
        <f>IFERROR(N52/N148, "NA")</f>
        <v>0.005106468436</v>
      </c>
      <c r="P52" s="66">
        <f>IFERROR(P46+P47+P48+P49+P50+P51, "NA")</f>
        <v>61.62</v>
      </c>
      <c r="Q52" s="67">
        <f>IFERROR(P52/P148, "NA")</f>
        <v>0.007793104582</v>
      </c>
      <c r="R52" s="66">
        <f>IFERROR(R46+R47+R48+R49+R50+R51, "NA")</f>
        <v>74.08</v>
      </c>
      <c r="S52" s="67">
        <f>IFERROR(R52/R148, "NA")</f>
        <v>0.008482912222</v>
      </c>
      <c r="T52" s="66">
        <f>IFERROR(T46+T47+T48+T49+T50+T51, "NA")</f>
        <v>82.07</v>
      </c>
      <c r="U52" s="67">
        <f>IFERROR(T52/T148, "NA")</f>
        <v>0.00485150218</v>
      </c>
      <c r="V52" s="66">
        <f>IFERROR(V46+V47+V48+V49+V50+V51, "NA")</f>
        <v>78.21</v>
      </c>
      <c r="W52" s="67">
        <f>IFERROR(V52/V148, "NA")</f>
        <v>0.00358845418</v>
      </c>
      <c r="X52" s="66">
        <f>IFERROR(X46+X47+X48+X49+X50+X51, "NA")</f>
        <v>82.17</v>
      </c>
      <c r="Y52" s="67">
        <f>IFERROR(X52/X148, "NA")</f>
        <v>0.004101365674</v>
      </c>
      <c r="Z52" s="66">
        <f>IFERROR(Z46+Z47+Z48+Z49+Z50+Z51, "NA")</f>
        <v>316.53</v>
      </c>
      <c r="AA52" s="67">
        <f>IFERROR(Z52/Z148, "NA")</f>
        <v>0.004690796167</v>
      </c>
      <c r="AB52" s="66">
        <f t="shared" si="25"/>
        <v>79.1325</v>
      </c>
      <c r="AC52" s="67">
        <f>IFERROR(AB52/AB148, "NA")</f>
        <v>0.004690796167</v>
      </c>
      <c r="AD52" s="75">
        <f t="shared" si="26"/>
        <v>3.0375</v>
      </c>
      <c r="AE52" s="76">
        <f>IFERROR(AD52/AD148, "NA")</f>
        <v>0.0009596997206</v>
      </c>
      <c r="AF52" s="75">
        <f t="shared" si="27"/>
        <v>0.03838498721</v>
      </c>
      <c r="AG52" s="66">
        <f t="shared" si="28"/>
        <v>81.50625</v>
      </c>
      <c r="AH52" s="67">
        <f>IFERROR(AG52/AG148, "NA")</f>
        <v>0.004696791343</v>
      </c>
      <c r="AI52" s="75">
        <f t="shared" si="29"/>
        <v>0.66375</v>
      </c>
      <c r="AJ52" s="76">
        <f>IFERROR(AI52/AI148, "NA")</f>
        <v>0.0002475582181</v>
      </c>
      <c r="AK52" s="75">
        <f t="shared" si="30"/>
        <v>0.008143547274</v>
      </c>
      <c r="AL52" s="76">
        <f>IFERROR(AK52/AK148, "NA")</f>
        <v>0.05270794464</v>
      </c>
    </row>
    <row r="53" ht="16.5" customHeight="1">
      <c r="A53" s="19" t="s">
        <v>114</v>
      </c>
      <c r="B53" s="21">
        <v>26.45</v>
      </c>
      <c r="C53" s="23">
        <f>IFERROR(B53/B148, "NA")</f>
        <v>0.0006640357962</v>
      </c>
      <c r="D53" s="21">
        <v>15.54</v>
      </c>
      <c r="E53" s="23">
        <f>IFERROR(D53/D148, "NA")</f>
        <v>0.0004494111673</v>
      </c>
      <c r="F53" s="21">
        <v>11.33</v>
      </c>
      <c r="G53" s="23">
        <f>IFERROR(F53/F148, "NA")</f>
        <v>0.0004997357972</v>
      </c>
      <c r="H53" s="21">
        <v>25.05</v>
      </c>
      <c r="I53" s="23">
        <f>IFERROR(H53/H148, "NA")</f>
        <v>0.002252677584</v>
      </c>
      <c r="J53" s="21">
        <v>21.94</v>
      </c>
      <c r="K53" s="23">
        <f>IFERROR(J53/J148, "NA")</f>
        <v>0.0009345440094</v>
      </c>
      <c r="L53" s="21">
        <v>32.25</v>
      </c>
      <c r="M53" s="23">
        <f>IFERROR(L53/L148, "NA")</f>
        <v>0.001554556248</v>
      </c>
      <c r="N53" s="21">
        <v>11.09</v>
      </c>
      <c r="O53" s="23">
        <f>IFERROR(N53/N148, "NA")</f>
        <v>0.0005769815075</v>
      </c>
      <c r="P53" s="21">
        <v>17.69</v>
      </c>
      <c r="Q53" s="23">
        <f>IFERROR(P53/P148, "NA")</f>
        <v>0.002237260955</v>
      </c>
      <c r="R53" s="21">
        <v>0.0</v>
      </c>
      <c r="S53" s="23">
        <f>IFERROR(R53/R148, "NA")</f>
        <v>0</v>
      </c>
      <c r="T53" s="21">
        <v>15.05</v>
      </c>
      <c r="U53" s="23">
        <f>IFERROR(T53/T148, "NA")</f>
        <v>0.0008896686708</v>
      </c>
      <c r="V53" s="21">
        <v>18.85</v>
      </c>
      <c r="W53" s="23">
        <f>IFERROR(V53/V148, "NA")</f>
        <v>0.0008648812337</v>
      </c>
      <c r="X53" s="21">
        <v>25.68</v>
      </c>
      <c r="Y53" s="23">
        <f>IFERROR(X53/X148, "NA")</f>
        <v>0.00128177036</v>
      </c>
      <c r="Z53" s="21">
        <v>59.58</v>
      </c>
      <c r="AA53" s="23">
        <f>IFERROR(Z53/Z148, "NA")</f>
        <v>0.0008829420138</v>
      </c>
      <c r="AB53" s="28">
        <f t="shared" si="25"/>
        <v>14.895</v>
      </c>
      <c r="AC53" s="23">
        <f>IFERROR(AB53/AB148, "NA")</f>
        <v>0.0008829420138</v>
      </c>
      <c r="AD53" s="29">
        <f t="shared" si="26"/>
        <v>10.785</v>
      </c>
      <c r="AE53" s="30">
        <f>IFERROR(AD53/AD148, "NA")</f>
        <v>0.003407526415</v>
      </c>
      <c r="AF53" s="29">
        <f t="shared" si="27"/>
        <v>0.7240684794</v>
      </c>
      <c r="AG53" s="28">
        <f t="shared" si="28"/>
        <v>17.81875</v>
      </c>
      <c r="AH53" s="23">
        <f>IFERROR(AG53/AG148, "NA")</f>
        <v>0.001026804089</v>
      </c>
      <c r="AI53" s="29">
        <f t="shared" si="29"/>
        <v>7.86125</v>
      </c>
      <c r="AJ53" s="30">
        <f>IFERROR(AI53/AI148, "NA")</f>
        <v>0.002932003077</v>
      </c>
      <c r="AK53" s="29">
        <f t="shared" si="30"/>
        <v>0.4411785338</v>
      </c>
      <c r="AL53" s="30">
        <f>IFERROR(AK53/AK148, "NA")</f>
        <v>2.855464942</v>
      </c>
    </row>
    <row r="54" ht="16.5" customHeight="1">
      <c r="A54" s="19" t="s">
        <v>115</v>
      </c>
      <c r="B54" s="21">
        <v>12.0</v>
      </c>
      <c r="C54" s="23">
        <f>IFERROR(B54/B148, "NA")</f>
        <v>0.0003012638773</v>
      </c>
      <c r="D54" s="21">
        <v>9.0</v>
      </c>
      <c r="E54" s="23">
        <f>IFERROR(D54/D148, "NA")</f>
        <v>0.0002602767378</v>
      </c>
      <c r="F54" s="21">
        <v>3.0</v>
      </c>
      <c r="G54" s="23">
        <f>IFERROR(F54/F148, "NA")</f>
        <v>0.0001323219234</v>
      </c>
      <c r="H54" s="21">
        <v>6.31</v>
      </c>
      <c r="I54" s="23">
        <f>IFERROR(H54/H148, "NA")</f>
        <v>0.0005674409403</v>
      </c>
      <c r="J54" s="21">
        <v>6.0</v>
      </c>
      <c r="K54" s="23">
        <f>IFERROR(J54/J148, "NA")</f>
        <v>0.0002555726553</v>
      </c>
      <c r="L54" s="21">
        <v>9.0</v>
      </c>
      <c r="M54" s="23">
        <f>IFERROR(L54/L148, "NA")</f>
        <v>0.0004338296505</v>
      </c>
      <c r="N54" s="21">
        <v>6.0</v>
      </c>
      <c r="O54" s="23">
        <f>IFERROR(N54/N148, "NA")</f>
        <v>0.000312163124</v>
      </c>
      <c r="P54" s="21">
        <v>0.0</v>
      </c>
      <c r="Q54" s="23">
        <f>IFERROR(P54/P148, "NA")</f>
        <v>0</v>
      </c>
      <c r="R54" s="21">
        <v>3.0</v>
      </c>
      <c r="S54" s="23">
        <f>IFERROR(R54/R148, "NA")</f>
        <v>0.0003435304626</v>
      </c>
      <c r="T54" s="21">
        <v>3.0</v>
      </c>
      <c r="U54" s="23">
        <f>IFERROR(T54/T148, "NA")</f>
        <v>0.0001773425922</v>
      </c>
      <c r="V54" s="21">
        <v>6.0</v>
      </c>
      <c r="W54" s="23">
        <f>IFERROR(V54/V148, "NA")</f>
        <v>0.0002752937614</v>
      </c>
      <c r="X54" s="21">
        <v>6.0</v>
      </c>
      <c r="Y54" s="23">
        <f>IFERROR(X54/X148, "NA")</f>
        <v>0.0002994790562</v>
      </c>
      <c r="Z54" s="21">
        <v>18.0</v>
      </c>
      <c r="AA54" s="23">
        <f>IFERROR(Z54/Z148, "NA")</f>
        <v>0.0002667498531</v>
      </c>
      <c r="AB54" s="28">
        <f t="shared" si="25"/>
        <v>4.5</v>
      </c>
      <c r="AC54" s="23">
        <f>IFERROR(AB54/AB148, "NA")</f>
        <v>0.0002667498531</v>
      </c>
      <c r="AD54" s="29">
        <f t="shared" si="26"/>
        <v>1.5</v>
      </c>
      <c r="AE54" s="30">
        <f>IFERROR(AD54/AD148, "NA")</f>
        <v>0.000473925788</v>
      </c>
      <c r="AF54" s="29">
        <f t="shared" si="27"/>
        <v>0.3333333333</v>
      </c>
      <c r="AG54" s="28">
        <f t="shared" si="28"/>
        <v>4.875</v>
      </c>
      <c r="AH54" s="23">
        <f>IFERROR(AG54/AG148, "NA")</f>
        <v>0.0002809214974</v>
      </c>
      <c r="AI54" s="29">
        <f t="shared" si="29"/>
        <v>1.125</v>
      </c>
      <c r="AJ54" s="30">
        <f>IFERROR(AI54/AI148, "NA")</f>
        <v>0.0004195902002</v>
      </c>
      <c r="AK54" s="29">
        <f t="shared" si="30"/>
        <v>0.2307692308</v>
      </c>
      <c r="AL54" s="30">
        <f>IFERROR(AK54/AK148, "NA")</f>
        <v>1.49362083</v>
      </c>
    </row>
    <row r="55" ht="16.5" customHeight="1">
      <c r="A55" s="19" t="s">
        <v>116</v>
      </c>
      <c r="B55" s="21">
        <v>-301.54</v>
      </c>
      <c r="C55" s="23">
        <f>IFERROR(B55/B148, "NA")</f>
        <v>-0.00757025913</v>
      </c>
      <c r="D55" s="21">
        <v>-377.34</v>
      </c>
      <c r="E55" s="23">
        <f>IFERROR(D55/D148, "NA")</f>
        <v>-0.01091253603</v>
      </c>
      <c r="F55" s="21">
        <v>-331.3</v>
      </c>
      <c r="G55" s="23">
        <f>IFERROR(F55/F148, "NA")</f>
        <v>-0.01461275107</v>
      </c>
      <c r="H55" s="21">
        <v>-241.29</v>
      </c>
      <c r="I55" s="23">
        <f>IFERROR(H55/H148, "NA")</f>
        <v>-0.02169854588</v>
      </c>
      <c r="J55" s="21">
        <v>-597.54</v>
      </c>
      <c r="K55" s="23">
        <f>IFERROR(J55/J148, "NA")</f>
        <v>-0.02545248074</v>
      </c>
      <c r="L55" s="21">
        <v>-486.65</v>
      </c>
      <c r="M55" s="23">
        <f>IFERROR(L55/L148, "NA")</f>
        <v>-0.02345813327</v>
      </c>
      <c r="N55" s="21">
        <v>-372.5</v>
      </c>
      <c r="O55" s="23">
        <f>IFERROR(N55/N148, "NA")</f>
        <v>-0.01938012728</v>
      </c>
      <c r="P55" s="21">
        <v>-151.0</v>
      </c>
      <c r="Q55" s="23">
        <f>IFERROR(P55/P148, "NA")</f>
        <v>-0.01909702681</v>
      </c>
      <c r="R55" s="21">
        <v>-220.73</v>
      </c>
      <c r="S55" s="23">
        <f>IFERROR(R55/R148, "NA")</f>
        <v>-0.02527582633</v>
      </c>
      <c r="T55" s="21">
        <v>-370.29</v>
      </c>
      <c r="U55" s="23">
        <f>IFERROR(T55/T148, "NA")</f>
        <v>-0.02188939615</v>
      </c>
      <c r="V55" s="21">
        <v>-269.26</v>
      </c>
      <c r="W55" s="23">
        <f>IFERROR(V55/V148, "NA")</f>
        <v>-0.01235426637</v>
      </c>
      <c r="X55" s="21">
        <v>-210.18</v>
      </c>
      <c r="Y55" s="23">
        <f>IFERROR(X55/X148, "NA")</f>
        <v>-0.01049075134</v>
      </c>
      <c r="Z55" s="21">
        <v>-1070.46</v>
      </c>
      <c r="AA55" s="23">
        <f>IFERROR(Z55/Z148, "NA")</f>
        <v>-0.01586361376</v>
      </c>
      <c r="AB55" s="28">
        <f t="shared" si="25"/>
        <v>-267.615</v>
      </c>
      <c r="AC55" s="23">
        <f>IFERROR(AB55/AB148, "NA")</f>
        <v>-0.01586361376</v>
      </c>
      <c r="AD55" s="29">
        <f t="shared" si="26"/>
        <v>57.435</v>
      </c>
      <c r="AE55" s="30">
        <f>IFERROR(AD55/AD148, "NA")</f>
        <v>0.01814661842</v>
      </c>
      <c r="AF55" s="29">
        <f t="shared" si="27"/>
        <v>-0.2146180147</v>
      </c>
      <c r="AG55" s="28">
        <f t="shared" si="28"/>
        <v>-334.76875</v>
      </c>
      <c r="AH55" s="23">
        <f>IFERROR(AG55/AG148, "NA")</f>
        <v>-0.01929102329</v>
      </c>
      <c r="AI55" s="29">
        <f t="shared" si="29"/>
        <v>124.58875</v>
      </c>
      <c r="AJ55" s="30">
        <f>IFERROR(AI55/AI148, "NA")</f>
        <v>0.04646774983</v>
      </c>
      <c r="AK55" s="29">
        <f t="shared" si="30"/>
        <v>-0.3721636204</v>
      </c>
      <c r="AL55" s="30">
        <f>IFERROR(AK55/AK148, "NA")</f>
        <v>-2.408775788</v>
      </c>
    </row>
    <row r="56" ht="16.5" customHeight="1">
      <c r="A56" s="65" t="s">
        <v>117</v>
      </c>
      <c r="B56" s="66">
        <f>IFERROR(B37+B39+B40+B41+B42+B43+B46+B47+B48+B49+B50+B51+B53+B54+B55, "NA")</f>
        <v>1473.41</v>
      </c>
      <c r="C56" s="67">
        <f>IFERROR(B56/B148, "NA")</f>
        <v>0.03699043412</v>
      </c>
      <c r="D56" s="66">
        <f>IFERROR(D37+D39+D40+D41+D42+D43+D46+D47+D48+D49+D50+D51+D53+D54+D55, "NA")</f>
        <v>673.5</v>
      </c>
      <c r="E56" s="67">
        <f>IFERROR(D56/D148, "NA")</f>
        <v>0.01947737588</v>
      </c>
      <c r="F56" s="66">
        <f>IFERROR(F37+F39+F40+F41+F42+F43+F46+F47+F48+F49+F50+F51+F53+F54+F55, "NA")</f>
        <v>716.39</v>
      </c>
      <c r="G56" s="67">
        <f>IFERROR(F56/F148, "NA")</f>
        <v>0.03159803423</v>
      </c>
      <c r="H56" s="66">
        <f>IFERROR(H37+H39+H40+H41+H42+H43+H46+H47+H48+H49+H50+H51+H53+H54+H55, "NA")</f>
        <v>401.23</v>
      </c>
      <c r="I56" s="67">
        <f>IFERROR(H56/H148, "NA")</f>
        <v>0.03608151006</v>
      </c>
      <c r="J56" s="66">
        <f>IFERROR(J37+J39+J40+J41+J42+J43+J46+J47+J48+J49+J50+J51+J53+J54+J55, "NA")</f>
        <v>462.74</v>
      </c>
      <c r="K56" s="67">
        <f>IFERROR(J56/J148, "NA")</f>
        <v>0.01971061508</v>
      </c>
      <c r="L56" s="66">
        <f>IFERROR(L37+L39+L40+L41+L42+L43+L46+L47+L48+L49+L50+L51+L53+L54+L55, "NA")</f>
        <v>468.3</v>
      </c>
      <c r="M56" s="67">
        <f>IFERROR(L56/L148, "NA")</f>
        <v>0.02257360282</v>
      </c>
      <c r="N56" s="66">
        <f>IFERROR(N37+N39+N40+N41+N42+N43+N46+N47+N48+N49+N50+N51+N53+N54+N55, "NA")</f>
        <v>496.82</v>
      </c>
      <c r="O56" s="67">
        <f>IFERROR(N56/N148, "NA")</f>
        <v>0.02584814721</v>
      </c>
      <c r="P56" s="66">
        <f>IFERROR(P37+P39+P40+P41+P42+P43+P46+P47+P48+P49+P50+P51+P53+P54+P55, "NA")</f>
        <v>320.76</v>
      </c>
      <c r="Q56" s="67">
        <f>IFERROR(P56/P148, "NA")</f>
        <v>0.04056663787</v>
      </c>
      <c r="R56" s="66">
        <f>IFERROR(R37+R39+R40+R41+R42+R43+R46+R47+R48+R49+R50+R51+R53+R54+R55, "NA")</f>
        <v>138.92</v>
      </c>
      <c r="S56" s="67">
        <f>IFERROR(R56/R148, "NA")</f>
        <v>0.01590775062</v>
      </c>
      <c r="T56" s="66">
        <f>IFERROR(T37+T39+T40+T41+T42+T43+T46+T47+T48+T49+T50+T51+T53+T54+T55, "NA")</f>
        <v>784.54</v>
      </c>
      <c r="U56" s="67">
        <f>IFERROR(T56/T148, "NA")</f>
        <v>0.04637745243</v>
      </c>
      <c r="V56" s="66">
        <f>IFERROR(V37+V39+V40+V41+V42+V43+V46+V47+V48+V49+V50+V51+V53+V54+V55, "NA")</f>
        <v>769.58</v>
      </c>
      <c r="W56" s="67">
        <f>IFERROR(V56/V148, "NA")</f>
        <v>0.03531009548</v>
      </c>
      <c r="X56" s="66">
        <f>IFERROR(X37+X39+X40+X41+X42+X43+X46+X47+X48+X49+X50+X51+X53+X54+X55, "NA")</f>
        <v>867.99</v>
      </c>
      <c r="Y56" s="67">
        <f>IFERROR(X56/X148, "NA")</f>
        <v>0.04332413766</v>
      </c>
      <c r="Z56" s="66">
        <f>IFERROR(Z37+Z39+Z40+Z41+Z42+Z43+Z46+Z47+Z48+Z49+Z50+Z51+Z53+Z54+Z55, "NA")</f>
        <v>2561.03</v>
      </c>
      <c r="AA56" s="67">
        <f>IFERROR(Z56/Z148, "NA")</f>
        <v>0.03795302091</v>
      </c>
      <c r="AB56" s="66">
        <f t="shared" si="25"/>
        <v>640.2575</v>
      </c>
      <c r="AC56" s="67">
        <f>IFERROR(AB56/AB148, "NA")</f>
        <v>0.03795302091</v>
      </c>
      <c r="AD56" s="75">
        <f t="shared" si="26"/>
        <v>227.7325</v>
      </c>
      <c r="AE56" s="76">
        <f>IFERROR(AD56/AD148, "NA")</f>
        <v>0.071952203</v>
      </c>
      <c r="AF56" s="75">
        <f t="shared" si="27"/>
        <v>0.355688922</v>
      </c>
      <c r="AG56" s="66">
        <f t="shared" si="28"/>
        <v>538.70625</v>
      </c>
      <c r="AH56" s="67">
        <f>IFERROR(AG56/AG148, "NA")</f>
        <v>0.03104290593</v>
      </c>
      <c r="AI56" s="75">
        <f t="shared" si="29"/>
        <v>329.28375</v>
      </c>
      <c r="AJ56" s="76">
        <f>IFERROR(AI56/AI148, "NA")</f>
        <v>0.122812653</v>
      </c>
      <c r="AK56" s="75">
        <f t="shared" si="30"/>
        <v>0.6112491734</v>
      </c>
      <c r="AL56" s="76">
        <f>IFERROR(AK56/AK148, "NA")</f>
        <v>3.956222824</v>
      </c>
    </row>
    <row r="57" ht="16.5" customHeight="1">
      <c r="A57" s="65" t="s">
        <v>55</v>
      </c>
      <c r="B57" s="118">
        <f>IFERROR(B13+B15+B16+B17+B18+B19+B20+B21+B22+B23+B24+B25+B26+B29+B30+B31+B32+B33+B37+B39+B40+B41+B42+B43+B46+B47+B48+B49+B50+B51+B53+B54+B55, "NA")</f>
        <v>9890.92</v>
      </c>
      <c r="C57" s="92">
        <f>IFERROR(B57/B148, "NA")</f>
        <v>0.2483147424</v>
      </c>
      <c r="D57" s="118">
        <f>IFERROR(D13+D15+D16+D17+D18+D19+D20+D21+D22+D23+D24+D25+D26+D29+D30+D31+D32+D33+D37+D39+D40+D41+D42+D43+D46+D47+D48+D49+D50+D51+D53+D54+D55, "NA")</f>
        <v>8456.16</v>
      </c>
      <c r="E57" s="92">
        <f>IFERROR(D57/D148, "NA")</f>
        <v>0.2445490821</v>
      </c>
      <c r="F57" s="118">
        <f>IFERROR(F13+F15+F16+F17+F18+F19+F20+F21+F22+F23+F24+F25+F26+F29+F30+F31+F32+F33+F37+F39+F40+F41+F42+F43+F46+F47+F48+F49+F50+F51+F53+F54+F55, "NA")</f>
        <v>5580.7</v>
      </c>
      <c r="G57" s="92">
        <f>IFERROR(F57/F148, "NA")</f>
        <v>0.2461496526</v>
      </c>
      <c r="H57" s="118">
        <f>IFERROR(H13+H15+H16+H17+H18+H19+H20+H21+H22+H23+H24+H25+H26+H29+H30+H31+H32+H33+H37+H39+H40+H41+H42+H43+H46+H47+H48+H49+H50+H51+H53+H54+H55, "NA")</f>
        <v>3140.81</v>
      </c>
      <c r="I57" s="92">
        <f>IFERROR(H57/H148, "NA")</f>
        <v>0.2824444025</v>
      </c>
      <c r="J57" s="118">
        <f>IFERROR(J13+J15+J16+J17+J18+J19+J20+J21+J22+J23+J24+J25+J26+J29+J30+J31+J32+J33+J37+J39+J40+J41+J42+J43+J46+J47+J48+J49+J50+J51+J53+J54+J55, "NA")</f>
        <v>6461.5</v>
      </c>
      <c r="K57" s="92">
        <f>IFERROR(J57/J148, "NA")</f>
        <v>0.275230452</v>
      </c>
      <c r="L57" s="118">
        <f>IFERROR(L13+L15+L16+L17+L18+L19+L20+L21+L22+L23+L24+L25+L26+L29+L30+L31+L32+L33+L37+L39+L40+L41+L42+L43+L46+L47+L48+L49+L50+L51+L53+L54+L55, "NA")</f>
        <v>5766.74</v>
      </c>
      <c r="M57" s="92">
        <f>IFERROR(L57/L148, "NA")</f>
        <v>0.2779758665</v>
      </c>
      <c r="N57" s="118">
        <f>IFERROR(N13+N15+N16+N17+N18+N19+N20+N21+N22+N23+N24+N25+N26+N29+N30+N31+N32+N33+N37+N39+N40+N41+N42+N43+N46+N47+N48+N49+N50+N51+N53+N54+N55, "NA")</f>
        <v>4636.73</v>
      </c>
      <c r="O57" s="92">
        <f>IFERROR(N57/N148, "NA")</f>
        <v>0.2412360203</v>
      </c>
      <c r="P57" s="118">
        <f>IFERROR(P13+P15+P16+P17+P18+P19+P20+P21+P22+P23+P24+P25+P26+P29+P30+P31+P32+P33+P37+P39+P40+P41+P42+P43+P46+P47+P48+P49+P50+P51+P53+P54+P55, "NA")</f>
        <v>2888.94</v>
      </c>
      <c r="Q57" s="92">
        <f>IFERROR(P57/P148, "NA")</f>
        <v>0.3653653287</v>
      </c>
      <c r="R57" s="118">
        <f>IFERROR(R13+R15+R16+R17+R18+R19+R20+R21+R22+R23+R24+R25+R26+R29+R30+R31+R32+R33+R37+R39+R40+R41+R42+R43+R46+R47+R48+R49+R50+R51+R53+R54+R55, "NA")</f>
        <v>2442.82</v>
      </c>
      <c r="S57" s="92">
        <f>IFERROR(R57/R148, "NA")</f>
        <v>0.2797276949</v>
      </c>
      <c r="T57" s="118">
        <f>IFERROR(T13+T15+T16+T17+T18+T19+T20+T21+T22+T23+T24+T25+T26+T29+T30+T31+T32+T33+T37+T39+T40+T41+T42+T43+T46+T47+T48+T49+T50+T51+T53+T54+T55, "NA")</f>
        <v>5699.13</v>
      </c>
      <c r="U57" s="92">
        <f>IFERROR(T57/T148, "NA")</f>
        <v>0.3368994958</v>
      </c>
      <c r="V57" s="118">
        <f>IFERROR(V13+V15+V16+V17+V18+V19+V20+V21+V22+V23+V24+V25+V26+V29+V30+V31+V32+V33+V37+V39+V40+V41+V42+V43+V46+V47+V48+V49+V50+V51+V53+V54+V55, "NA")</f>
        <v>5438.3</v>
      </c>
      <c r="W57" s="92">
        <f>IFERROR(V57/V148, "NA")</f>
        <v>0.2495216771</v>
      </c>
      <c r="X57" s="118">
        <f>IFERROR(X13+X15+X16+X17+X18+X19+X20+X21+X22+X23+X24+X25+X26+X29+X30+X31+X32+X33+X37+X39+X40+X41+X42+X43+X46+X47+X48+X49+X50+X51+X53+X54+X55, "NA")</f>
        <v>5526.92</v>
      </c>
      <c r="Y57" s="92">
        <f>IFERROR(X57/X148, "NA")</f>
        <v>0.2758661309</v>
      </c>
      <c r="Z57" s="118">
        <f>IFERROR(Z13+Z15+Z16+Z17+Z18+Z19+Z20+Z21+Z22+Z23+Z24+Z25+Z26+Z29+Z30+Z31+Z32+Z33+Z37+Z39+Z40+Z41+Z42+Z43+Z46+Z47+Z48+Z49+Z50+Z51+Z53+Z54+Z55, "NA")</f>
        <v>19107.17</v>
      </c>
      <c r="AA57" s="92">
        <f>IFERROR(Z57/Z148, "NA")</f>
        <v>0.2831574884</v>
      </c>
      <c r="AB57" s="118">
        <f t="shared" si="25"/>
        <v>4776.7925</v>
      </c>
      <c r="AC57" s="92">
        <f>IFERROR(AB57/AB148, "NA")</f>
        <v>0.2831574884</v>
      </c>
      <c r="AD57" s="119">
        <f t="shared" si="26"/>
        <v>750.1275</v>
      </c>
      <c r="AE57" s="120">
        <f>IFERROR(AD57/AD148, "NA")</f>
        <v>0.2370031777</v>
      </c>
      <c r="AF57" s="119">
        <f t="shared" si="27"/>
        <v>0.1570358143</v>
      </c>
      <c r="AG57" s="118">
        <f t="shared" si="28"/>
        <v>4857.635</v>
      </c>
      <c r="AH57" s="92">
        <f>IFERROR(AG57/AG148, "NA")</f>
        <v>0.2799208406</v>
      </c>
      <c r="AI57" s="119">
        <f t="shared" si="29"/>
        <v>669.285</v>
      </c>
      <c r="AJ57" s="120">
        <f>IFERROR(AI57/AI148, "NA")</f>
        <v>0.2496226019</v>
      </c>
      <c r="AK57" s="119">
        <f t="shared" si="30"/>
        <v>0.1377800102</v>
      </c>
      <c r="AL57" s="120">
        <f>IFERROR(AK57/AK148, "NA")</f>
        <v>0.8917614042</v>
      </c>
    </row>
    <row r="58" ht="3.75" customHeight="1">
      <c r="A58" s="77"/>
      <c r="B58" s="78"/>
      <c r="C58" s="74"/>
      <c r="D58" s="78"/>
      <c r="E58" s="74"/>
      <c r="F58" s="78"/>
      <c r="G58" s="74"/>
      <c r="H58" s="78"/>
      <c r="I58" s="74"/>
      <c r="J58" s="78"/>
      <c r="K58" s="74"/>
      <c r="L58" s="78"/>
      <c r="M58" s="74"/>
      <c r="N58" s="78"/>
      <c r="O58" s="74"/>
      <c r="P58" s="78"/>
      <c r="Q58" s="74"/>
      <c r="R58" s="78"/>
      <c r="S58" s="74"/>
      <c r="T58" s="78"/>
      <c r="U58" s="74"/>
      <c r="V58" s="78"/>
      <c r="W58" s="74"/>
      <c r="X58" s="78"/>
      <c r="Y58" s="74"/>
      <c r="Z58" s="78"/>
      <c r="AA58" s="74"/>
      <c r="AB58" s="78"/>
      <c r="AC58" s="74"/>
      <c r="AD58" s="79"/>
      <c r="AE58" s="80"/>
      <c r="AF58" s="79"/>
      <c r="AG58" s="78"/>
      <c r="AH58" s="74"/>
      <c r="AI58" s="79"/>
      <c r="AJ58" s="80"/>
      <c r="AK58" s="79"/>
      <c r="AL58" s="80"/>
    </row>
    <row r="59" ht="16.5" customHeight="1">
      <c r="A59" s="121" t="s">
        <v>118</v>
      </c>
      <c r="B59" s="122">
        <f>IFERROR(B9-B57, "NA")</f>
        <v>29941.27</v>
      </c>
      <c r="C59" s="94">
        <f>IFERROR(B59/B148, "NA")</f>
        <v>0.7516852576</v>
      </c>
      <c r="D59" s="122">
        <f>IFERROR(D9-D57, "NA")</f>
        <v>26122.42</v>
      </c>
      <c r="E59" s="94">
        <f>IFERROR(D59/D148, "NA")</f>
        <v>0.7554509179</v>
      </c>
      <c r="F59" s="122">
        <f>IFERROR(F9-F57, "NA")</f>
        <v>17091.28</v>
      </c>
      <c r="G59" s="94">
        <f>IFERROR(F59/F148, "NA")</f>
        <v>0.7538503474</v>
      </c>
      <c r="H59" s="122">
        <f>IFERROR(H9-H57, "NA")</f>
        <v>7979.29</v>
      </c>
      <c r="I59" s="94">
        <f>IFERROR(H59/H148, "NA")</f>
        <v>0.7175555975</v>
      </c>
      <c r="J59" s="122">
        <f>IFERROR(J9-J57, "NA")</f>
        <v>17015.19</v>
      </c>
      <c r="K59" s="94">
        <f>IFERROR(J59/J148, "NA")</f>
        <v>0.724769548</v>
      </c>
      <c r="L59" s="122">
        <f>IFERROR(L9-L57, "NA")</f>
        <v>14978.73</v>
      </c>
      <c r="M59" s="94">
        <f>IFERROR(L59/L148, "NA")</f>
        <v>0.7220241335</v>
      </c>
      <c r="N59" s="122">
        <f>IFERROR(N9-N57, "NA")</f>
        <v>14583.99</v>
      </c>
      <c r="O59" s="94">
        <f>IFERROR(N59/N148, "NA")</f>
        <v>0.7587639797</v>
      </c>
      <c r="P59" s="122">
        <f>IFERROR(P9-P57, "NA")</f>
        <v>5018.05</v>
      </c>
      <c r="Q59" s="94">
        <f>IFERROR(P59/P148, "NA")</f>
        <v>0.6346346713</v>
      </c>
      <c r="R59" s="122">
        <f>IFERROR(R9-R57, "NA")</f>
        <v>6290.03</v>
      </c>
      <c r="S59" s="94">
        <f>IFERROR(R59/R148, "NA")</f>
        <v>0.7202723051</v>
      </c>
      <c r="T59" s="122">
        <f>IFERROR(T9-T57, "NA")</f>
        <v>11217.28</v>
      </c>
      <c r="U59" s="94">
        <f>IFERROR(T59/T148, "NA")</f>
        <v>0.6631005042</v>
      </c>
      <c r="V59" s="122">
        <f>IFERROR(V9-V57, "NA")</f>
        <v>16356.6</v>
      </c>
      <c r="W59" s="94">
        <f>IFERROR(V59/V148, "NA")</f>
        <v>0.7504783229</v>
      </c>
      <c r="X59" s="122">
        <f>IFERROR(X9-X57, "NA")</f>
        <v>14507.87</v>
      </c>
      <c r="Y59" s="94">
        <f>IFERROR(X59/X148, "NA")</f>
        <v>0.7241338691</v>
      </c>
      <c r="Z59" s="122">
        <f>IFERROR(Z9-Z57, "NA")</f>
        <v>48371.78</v>
      </c>
      <c r="AA59" s="94">
        <f>IFERROR(Z59/Z148, "NA")</f>
        <v>0.7168425116</v>
      </c>
      <c r="AB59" s="122">
        <f>IFERROR((R59+T59+V59+X59)/4, "NA")</f>
        <v>12092.945</v>
      </c>
      <c r="AC59" s="94">
        <f>IFERROR(AB59/AB148, "NA")</f>
        <v>0.7168425116</v>
      </c>
      <c r="AD59" s="75">
        <f>IFERROR(X59-AB59, "NA")</f>
        <v>2414.925</v>
      </c>
      <c r="AE59" s="76">
        <f>IFERROR(AD59/AD148, "NA")</f>
        <v>0.7629968223</v>
      </c>
      <c r="AF59" s="75">
        <f>IFERROR((X59-AB59)/AB59, "NA")</f>
        <v>0.1996970134</v>
      </c>
      <c r="AG59" s="122">
        <f>IFERROR((J59+L59+N59+P59+R59+T59+V59+X59)/8, "NA")</f>
        <v>12495.9675</v>
      </c>
      <c r="AH59" s="94">
        <f>IFERROR(AG59/AG148, "NA")</f>
        <v>0.7200791594</v>
      </c>
      <c r="AI59" s="75">
        <f>IFERROR(X59-AG59, "NA")</f>
        <v>2011.9025</v>
      </c>
      <c r="AJ59" s="76">
        <f>IFERROR(AI59/AI148, "NA")</f>
        <v>0.7503773981</v>
      </c>
      <c r="AK59" s="75">
        <f>IFERROR((X59-AG59)/AG59, "NA")</f>
        <v>0.1610041399</v>
      </c>
      <c r="AL59" s="76">
        <f>IFERROR(AK59/AK148, "NA")</f>
        <v>1.042076261</v>
      </c>
    </row>
    <row r="60" ht="3.75" customHeight="1">
      <c r="A60" s="123"/>
      <c r="B60" s="124"/>
      <c r="C60" s="74"/>
      <c r="D60" s="124"/>
      <c r="E60" s="74"/>
      <c r="F60" s="124"/>
      <c r="G60" s="74"/>
      <c r="H60" s="124"/>
      <c r="I60" s="74"/>
      <c r="J60" s="124"/>
      <c r="K60" s="74"/>
      <c r="L60" s="124"/>
      <c r="M60" s="74"/>
      <c r="N60" s="124"/>
      <c r="O60" s="74"/>
      <c r="P60" s="124"/>
      <c r="Q60" s="74"/>
      <c r="R60" s="124"/>
      <c r="S60" s="74"/>
      <c r="T60" s="124"/>
      <c r="U60" s="74"/>
      <c r="V60" s="124"/>
      <c r="W60" s="74"/>
      <c r="X60" s="124"/>
      <c r="Y60" s="74"/>
      <c r="Z60" s="124"/>
      <c r="AA60" s="74"/>
      <c r="AB60" s="124"/>
      <c r="AC60" s="74"/>
      <c r="AD60" s="125"/>
      <c r="AE60" s="80"/>
      <c r="AF60" s="125"/>
      <c r="AG60" s="124"/>
      <c r="AH60" s="74"/>
      <c r="AI60" s="125"/>
      <c r="AJ60" s="80"/>
      <c r="AK60" s="125"/>
      <c r="AL60" s="80"/>
    </row>
    <row r="61" ht="16.5" customHeight="1">
      <c r="A61" s="13" t="s">
        <v>119</v>
      </c>
      <c r="B61" s="14"/>
      <c r="C61" s="12"/>
      <c r="D61" s="14"/>
      <c r="E61" s="12"/>
      <c r="F61" s="14"/>
      <c r="G61" s="12"/>
      <c r="H61" s="14"/>
      <c r="I61" s="12"/>
      <c r="J61" s="14"/>
      <c r="K61" s="12"/>
      <c r="L61" s="14"/>
      <c r="M61" s="12"/>
      <c r="N61" s="14"/>
      <c r="O61" s="12"/>
      <c r="P61" s="14"/>
      <c r="Q61" s="12"/>
      <c r="R61" s="14"/>
      <c r="S61" s="12"/>
      <c r="T61" s="14"/>
      <c r="U61" s="12"/>
      <c r="V61" s="14"/>
      <c r="W61" s="12"/>
      <c r="X61" s="14"/>
      <c r="Y61" s="12"/>
      <c r="Z61" s="14"/>
      <c r="AA61" s="12"/>
      <c r="AB61" s="14"/>
      <c r="AC61" s="12"/>
      <c r="AD61" s="17"/>
      <c r="AE61" s="18"/>
      <c r="AF61" s="17"/>
      <c r="AG61" s="14"/>
      <c r="AH61" s="12"/>
      <c r="AI61" s="17"/>
      <c r="AJ61" s="18"/>
      <c r="AK61" s="17"/>
      <c r="AL61" s="18"/>
    </row>
    <row r="62" ht="16.5" customHeight="1">
      <c r="A62" s="13" t="s">
        <v>119</v>
      </c>
      <c r="B62" s="14"/>
      <c r="C62" s="12"/>
      <c r="D62" s="14"/>
      <c r="E62" s="12"/>
      <c r="F62" s="14"/>
      <c r="G62" s="12"/>
      <c r="H62" s="14"/>
      <c r="I62" s="12"/>
      <c r="J62" s="14"/>
      <c r="K62" s="12"/>
      <c r="L62" s="14"/>
      <c r="M62" s="12"/>
      <c r="N62" s="14"/>
      <c r="O62" s="12"/>
      <c r="P62" s="14"/>
      <c r="Q62" s="12"/>
      <c r="R62" s="14"/>
      <c r="S62" s="12"/>
      <c r="T62" s="14"/>
      <c r="U62" s="12"/>
      <c r="V62" s="14"/>
      <c r="W62" s="12"/>
      <c r="X62" s="14"/>
      <c r="Y62" s="12"/>
      <c r="Z62" s="14"/>
      <c r="AA62" s="12"/>
      <c r="AB62" s="14"/>
      <c r="AC62" s="12"/>
      <c r="AD62" s="17"/>
      <c r="AE62" s="18"/>
      <c r="AF62" s="17"/>
      <c r="AG62" s="14"/>
      <c r="AH62" s="12"/>
      <c r="AI62" s="17"/>
      <c r="AJ62" s="18"/>
      <c r="AK62" s="17"/>
      <c r="AL62" s="18"/>
    </row>
    <row r="63" ht="16.5" hidden="1" customHeight="1">
      <c r="A63" s="19" t="s">
        <v>120</v>
      </c>
      <c r="B63" s="21">
        <v>0.0</v>
      </c>
      <c r="C63" s="23">
        <f>IFERROR(B63/B148, "NA")</f>
        <v>0</v>
      </c>
      <c r="D63" s="21">
        <v>0.0</v>
      </c>
      <c r="E63" s="23">
        <f>IFERROR(D63/D148, "NA")</f>
        <v>0</v>
      </c>
      <c r="F63" s="21">
        <v>0.0</v>
      </c>
      <c r="G63" s="23">
        <f>IFERROR(F63/F148, "NA")</f>
        <v>0</v>
      </c>
      <c r="H63" s="21">
        <v>0.0</v>
      </c>
      <c r="I63" s="23">
        <f>IFERROR(H63/H148, "NA")</f>
        <v>0</v>
      </c>
      <c r="J63" s="21">
        <v>0.0</v>
      </c>
      <c r="K63" s="23">
        <f>IFERROR(J63/J148, "NA")</f>
        <v>0</v>
      </c>
      <c r="L63" s="21">
        <v>0.0</v>
      </c>
      <c r="M63" s="23">
        <f>IFERROR(L63/L148, "NA")</f>
        <v>0</v>
      </c>
      <c r="N63" s="21">
        <v>0.0</v>
      </c>
      <c r="O63" s="23">
        <f>IFERROR(N63/N148, "NA")</f>
        <v>0</v>
      </c>
      <c r="P63" s="21">
        <v>0.0</v>
      </c>
      <c r="Q63" s="23">
        <f>IFERROR(P63/P148, "NA")</f>
        <v>0</v>
      </c>
      <c r="R63" s="21">
        <v>0.0</v>
      </c>
      <c r="S63" s="23">
        <f>IFERROR(R63/R148, "NA")</f>
        <v>0</v>
      </c>
      <c r="T63" s="21">
        <v>0.0</v>
      </c>
      <c r="U63" s="23">
        <f>IFERROR(T63/T148, "NA")</f>
        <v>0</v>
      </c>
      <c r="V63" s="21">
        <v>0.0</v>
      </c>
      <c r="W63" s="23">
        <f>IFERROR(V63/V148, "NA")</f>
        <v>0</v>
      </c>
      <c r="X63" s="21">
        <v>0.0</v>
      </c>
      <c r="Y63" s="23">
        <f>IFERROR(X63/X148, "NA")</f>
        <v>0</v>
      </c>
      <c r="Z63" s="21">
        <v>0.0</v>
      </c>
      <c r="AA63" s="23">
        <f>IFERROR(Z63/Z148, "NA")</f>
        <v>0</v>
      </c>
      <c r="AB63" s="28">
        <f>IFERROR((R63+T63+V63+X63)/4, "NA")</f>
        <v>0</v>
      </c>
      <c r="AC63" s="23">
        <f>IFERROR(AB63/AB148, "NA")</f>
        <v>0</v>
      </c>
      <c r="AD63" s="29">
        <f>IFERROR(X63-AB63, "NA")</f>
        <v>0</v>
      </c>
      <c r="AE63" s="30">
        <f>IFERROR(AD63/AD148, "NA")</f>
        <v>0</v>
      </c>
      <c r="AF63" s="29" t="str">
        <f>IFERROR((X63-AB63)/AB63, "NA")</f>
        <v>NA</v>
      </c>
      <c r="AG63" s="28">
        <f>IFERROR((J63+L63+N63+P63+R63+T63+V63+X63)/8, "NA")</f>
        <v>0</v>
      </c>
      <c r="AH63" s="23">
        <f>IFERROR(AG63/AG148, "NA")</f>
        <v>0</v>
      </c>
      <c r="AI63" s="29">
        <f>IFERROR(X63-AG63, "NA")</f>
        <v>0</v>
      </c>
      <c r="AJ63" s="30">
        <f>IFERROR(AI63/AI148, "NA")</f>
        <v>0</v>
      </c>
      <c r="AK63" s="29" t="str">
        <f>IFERROR((X63-AG63)/AG63, "NA")</f>
        <v>NA</v>
      </c>
      <c r="AL63" s="30" t="str">
        <f>IFERROR(AK63/AK148, "NA")</f>
        <v>NA</v>
      </c>
    </row>
    <row r="64" ht="16.5" customHeight="1">
      <c r="A64" s="13" t="s">
        <v>121</v>
      </c>
      <c r="B64" s="14"/>
      <c r="C64" s="12"/>
      <c r="D64" s="14"/>
      <c r="E64" s="12"/>
      <c r="F64" s="14"/>
      <c r="G64" s="12"/>
      <c r="H64" s="14"/>
      <c r="I64" s="12"/>
      <c r="J64" s="14"/>
      <c r="K64" s="12"/>
      <c r="L64" s="14"/>
      <c r="M64" s="12"/>
      <c r="N64" s="14"/>
      <c r="O64" s="12"/>
      <c r="P64" s="14"/>
      <c r="Q64" s="12"/>
      <c r="R64" s="14"/>
      <c r="S64" s="12"/>
      <c r="T64" s="14"/>
      <c r="U64" s="12"/>
      <c r="V64" s="14"/>
      <c r="W64" s="12"/>
      <c r="X64" s="14"/>
      <c r="Y64" s="12"/>
      <c r="Z64" s="14"/>
      <c r="AA64" s="12"/>
      <c r="AB64" s="14"/>
      <c r="AC64" s="12"/>
      <c r="AD64" s="17"/>
      <c r="AE64" s="18"/>
      <c r="AF64" s="17"/>
      <c r="AG64" s="14"/>
      <c r="AH64" s="12"/>
      <c r="AI64" s="17"/>
      <c r="AJ64" s="18"/>
      <c r="AK64" s="17"/>
      <c r="AL64" s="18"/>
    </row>
    <row r="65" ht="16.5" hidden="1" customHeight="1">
      <c r="A65" s="19" t="s">
        <v>122</v>
      </c>
      <c r="B65" s="21">
        <v>0.0</v>
      </c>
      <c r="C65" s="23">
        <f>IFERROR(B65/B148, "NA")</f>
        <v>0</v>
      </c>
      <c r="D65" s="21">
        <v>0.0</v>
      </c>
      <c r="E65" s="23">
        <f>IFERROR(D65/D148, "NA")</f>
        <v>0</v>
      </c>
      <c r="F65" s="21">
        <v>0.0</v>
      </c>
      <c r="G65" s="23">
        <f>IFERROR(F65/F148, "NA")</f>
        <v>0</v>
      </c>
      <c r="H65" s="21">
        <v>0.0</v>
      </c>
      <c r="I65" s="23">
        <f>IFERROR(H65/H148, "NA")</f>
        <v>0</v>
      </c>
      <c r="J65" s="21">
        <v>0.0</v>
      </c>
      <c r="K65" s="23">
        <f>IFERROR(J65/J148, "NA")</f>
        <v>0</v>
      </c>
      <c r="L65" s="21">
        <v>0.0</v>
      </c>
      <c r="M65" s="23">
        <f>IFERROR(L65/L148, "NA")</f>
        <v>0</v>
      </c>
      <c r="N65" s="21">
        <v>0.0</v>
      </c>
      <c r="O65" s="23">
        <f>IFERROR(N65/N148, "NA")</f>
        <v>0</v>
      </c>
      <c r="P65" s="21">
        <v>0.0</v>
      </c>
      <c r="Q65" s="23">
        <f>IFERROR(P65/P148, "NA")</f>
        <v>0</v>
      </c>
      <c r="R65" s="21">
        <v>0.0</v>
      </c>
      <c r="S65" s="23">
        <f>IFERROR(R65/R148, "NA")</f>
        <v>0</v>
      </c>
      <c r="T65" s="21">
        <v>0.0</v>
      </c>
      <c r="U65" s="23">
        <f>IFERROR(T65/T148, "NA")</f>
        <v>0</v>
      </c>
      <c r="V65" s="21">
        <v>0.0</v>
      </c>
      <c r="W65" s="23">
        <f>IFERROR(V65/V148, "NA")</f>
        <v>0</v>
      </c>
      <c r="X65" s="21">
        <v>0.0</v>
      </c>
      <c r="Y65" s="23">
        <f>IFERROR(X65/X148, "NA")</f>
        <v>0</v>
      </c>
      <c r="Z65" s="21">
        <v>0.0</v>
      </c>
      <c r="AA65" s="23">
        <f>IFERROR(Z65/Z148, "NA")</f>
        <v>0</v>
      </c>
      <c r="AB65" s="28">
        <f t="shared" ref="AB65:AB72" si="31">IFERROR((R65+T65+V65+X65)/4, "NA")</f>
        <v>0</v>
      </c>
      <c r="AC65" s="23">
        <f>IFERROR(AB65/AB148, "NA")</f>
        <v>0</v>
      </c>
      <c r="AD65" s="29">
        <f t="shared" ref="AD65:AD72" si="32">IFERROR(X65-AB65, "NA")</f>
        <v>0</v>
      </c>
      <c r="AE65" s="30">
        <f>IFERROR(AD65/AD148, "NA")</f>
        <v>0</v>
      </c>
      <c r="AF65" s="29" t="str">
        <f t="shared" ref="AF65:AF72" si="33">IFERROR((X65-AB65)/AB65, "NA")</f>
        <v>NA</v>
      </c>
      <c r="AG65" s="28">
        <f t="shared" ref="AG65:AG72" si="34">IFERROR((J65+L65+N65+P65+R65+T65+V65+X65)/8, "NA")</f>
        <v>0</v>
      </c>
      <c r="AH65" s="23">
        <f>IFERROR(AG65/AG148, "NA")</f>
        <v>0</v>
      </c>
      <c r="AI65" s="29">
        <f t="shared" ref="AI65:AI72" si="35">IFERROR(X65-AG65, "NA")</f>
        <v>0</v>
      </c>
      <c r="AJ65" s="30">
        <f>IFERROR(AI65/AI148, "NA")</f>
        <v>0</v>
      </c>
      <c r="AK65" s="29" t="str">
        <f t="shared" ref="AK65:AK72" si="36">IFERROR((X65-AG65)/AG65, "NA")</f>
        <v>NA</v>
      </c>
      <c r="AL65" s="30" t="str">
        <f>IFERROR(AK65/AK148, "NA")</f>
        <v>NA</v>
      </c>
    </row>
    <row r="66" ht="16.5" customHeight="1">
      <c r="A66" s="19" t="s">
        <v>125</v>
      </c>
      <c r="B66" s="21">
        <v>1269.23</v>
      </c>
      <c r="C66" s="23">
        <f>IFERROR(B66/B148, "NA")</f>
        <v>0.03186442925</v>
      </c>
      <c r="D66" s="21">
        <v>1269.23</v>
      </c>
      <c r="E66" s="23">
        <f>IFERROR(D66/D148, "NA")</f>
        <v>0.03670567155</v>
      </c>
      <c r="F66" s="21">
        <v>1269.23</v>
      </c>
      <c r="G66" s="23">
        <f>IFERROR(F66/F148, "NA")</f>
        <v>0.05598231826</v>
      </c>
      <c r="H66" s="21">
        <v>1269.23</v>
      </c>
      <c r="I66" s="23">
        <f>IFERROR(H66/H148, "NA")</f>
        <v>0.1141383621</v>
      </c>
      <c r="J66" s="21">
        <v>1269.23</v>
      </c>
      <c r="K66" s="23">
        <f>IFERROR(J66/J148, "NA")</f>
        <v>0.05406341354</v>
      </c>
      <c r="L66" s="21">
        <v>1269.23</v>
      </c>
      <c r="M66" s="23">
        <f>IFERROR(L66/L148, "NA")</f>
        <v>0.06118106748</v>
      </c>
      <c r="N66" s="21">
        <v>1269.23</v>
      </c>
      <c r="O66" s="23">
        <f>IFERROR(N66/N148, "NA")</f>
        <v>0.06603446697</v>
      </c>
      <c r="P66" s="21">
        <v>1269.23</v>
      </c>
      <c r="Q66" s="23">
        <f>IFERROR(P66/P148, "NA")</f>
        <v>0.1605199956</v>
      </c>
      <c r="R66" s="21">
        <v>1269.23</v>
      </c>
      <c r="S66" s="23">
        <f>IFERROR(R66/R148, "NA")</f>
        <v>0.145339723</v>
      </c>
      <c r="T66" s="21">
        <v>1269.23</v>
      </c>
      <c r="U66" s="23">
        <f>IFERROR(T66/T148, "NA")</f>
        <v>0.07502951276</v>
      </c>
      <c r="V66" s="21">
        <v>1269.23</v>
      </c>
      <c r="W66" s="23">
        <f>IFERROR(V66/V148, "NA")</f>
        <v>0.05823518346</v>
      </c>
      <c r="X66" s="21">
        <v>1269.23</v>
      </c>
      <c r="Y66" s="23">
        <f>IFERROR(X66/X148, "NA")</f>
        <v>0.06335130041</v>
      </c>
      <c r="Z66" s="21">
        <v>5076.92</v>
      </c>
      <c r="AA66" s="23">
        <f>IFERROR(Z66/Z148, "NA")</f>
        <v>0.07523709246</v>
      </c>
      <c r="AB66" s="28">
        <f t="shared" si="31"/>
        <v>1269.23</v>
      </c>
      <c r="AC66" s="23">
        <f>IFERROR(AB66/AB148, "NA")</f>
        <v>0.07523709246</v>
      </c>
      <c r="AD66" s="29">
        <f t="shared" si="32"/>
        <v>0</v>
      </c>
      <c r="AE66" s="30">
        <f>IFERROR(AD66/AD148, "NA")</f>
        <v>0</v>
      </c>
      <c r="AF66" s="29">
        <f t="shared" si="33"/>
        <v>0</v>
      </c>
      <c r="AG66" s="28">
        <f t="shared" si="34"/>
        <v>1269.23</v>
      </c>
      <c r="AH66" s="23">
        <f>IFERROR(AG66/AG148, "NA")</f>
        <v>0.07313928045</v>
      </c>
      <c r="AI66" s="29">
        <f t="shared" si="35"/>
        <v>0</v>
      </c>
      <c r="AJ66" s="30">
        <f>IFERROR(AI66/AI148, "NA")</f>
        <v>0</v>
      </c>
      <c r="AK66" s="29">
        <f t="shared" si="36"/>
        <v>0</v>
      </c>
      <c r="AL66" s="30">
        <f>IFERROR(AK66/AK148, "NA")</f>
        <v>0</v>
      </c>
    </row>
    <row r="67" ht="16.5" hidden="1" customHeight="1">
      <c r="A67" s="19" t="s">
        <v>126</v>
      </c>
      <c r="B67" s="21">
        <v>0.0</v>
      </c>
      <c r="C67" s="23">
        <f>IFERROR(B67/B148, "NA")</f>
        <v>0</v>
      </c>
      <c r="D67" s="21">
        <v>0.0</v>
      </c>
      <c r="E67" s="23">
        <f>IFERROR(D67/D148, "NA")</f>
        <v>0</v>
      </c>
      <c r="F67" s="21">
        <v>0.0</v>
      </c>
      <c r="G67" s="23">
        <f>IFERROR(F67/F148, "NA")</f>
        <v>0</v>
      </c>
      <c r="H67" s="21">
        <v>0.0</v>
      </c>
      <c r="I67" s="23">
        <f>IFERROR(H67/H148, "NA")</f>
        <v>0</v>
      </c>
      <c r="J67" s="21">
        <v>0.0</v>
      </c>
      <c r="K67" s="23">
        <f>IFERROR(J67/J148, "NA")</f>
        <v>0</v>
      </c>
      <c r="L67" s="21">
        <v>0.0</v>
      </c>
      <c r="M67" s="23">
        <f>IFERROR(L67/L148, "NA")</f>
        <v>0</v>
      </c>
      <c r="N67" s="21">
        <v>0.0</v>
      </c>
      <c r="O67" s="23">
        <f>IFERROR(N67/N148, "NA")</f>
        <v>0</v>
      </c>
      <c r="P67" s="21">
        <v>0.0</v>
      </c>
      <c r="Q67" s="23">
        <f>IFERROR(P67/P148, "NA")</f>
        <v>0</v>
      </c>
      <c r="R67" s="21">
        <v>0.0</v>
      </c>
      <c r="S67" s="23">
        <f>IFERROR(R67/R148, "NA")</f>
        <v>0</v>
      </c>
      <c r="T67" s="21">
        <v>0.0</v>
      </c>
      <c r="U67" s="23">
        <f>IFERROR(T67/T148, "NA")</f>
        <v>0</v>
      </c>
      <c r="V67" s="21">
        <v>0.0</v>
      </c>
      <c r="W67" s="23">
        <f>IFERROR(V67/V148, "NA")</f>
        <v>0</v>
      </c>
      <c r="X67" s="21">
        <v>0.0</v>
      </c>
      <c r="Y67" s="23">
        <f>IFERROR(X67/X148, "NA")</f>
        <v>0</v>
      </c>
      <c r="Z67" s="21">
        <v>0.0</v>
      </c>
      <c r="AA67" s="23">
        <f>IFERROR(Z67/Z148, "NA")</f>
        <v>0</v>
      </c>
      <c r="AB67" s="28">
        <f t="shared" si="31"/>
        <v>0</v>
      </c>
      <c r="AC67" s="23">
        <f>IFERROR(AB67/AB148, "NA")</f>
        <v>0</v>
      </c>
      <c r="AD67" s="29">
        <f t="shared" si="32"/>
        <v>0</v>
      </c>
      <c r="AE67" s="30">
        <f>IFERROR(AD67/AD148, "NA")</f>
        <v>0</v>
      </c>
      <c r="AF67" s="29" t="str">
        <f t="shared" si="33"/>
        <v>NA</v>
      </c>
      <c r="AG67" s="28">
        <f t="shared" si="34"/>
        <v>0</v>
      </c>
      <c r="AH67" s="23">
        <f>IFERROR(AG67/AG148, "NA")</f>
        <v>0</v>
      </c>
      <c r="AI67" s="29">
        <f t="shared" si="35"/>
        <v>0</v>
      </c>
      <c r="AJ67" s="30">
        <f>IFERROR(AI67/AI148, "NA")</f>
        <v>0</v>
      </c>
      <c r="AK67" s="29" t="str">
        <f t="shared" si="36"/>
        <v>NA</v>
      </c>
      <c r="AL67" s="30" t="str">
        <f>IFERROR(AK67/AK148, "NA")</f>
        <v>NA</v>
      </c>
    </row>
    <row r="68" ht="16.5" customHeight="1">
      <c r="A68" s="19" t="s">
        <v>127</v>
      </c>
      <c r="B68" s="21">
        <v>5651.23</v>
      </c>
      <c r="C68" s="23">
        <f>IFERROR(B68/B148, "NA")</f>
        <v>0.1418759551</v>
      </c>
      <c r="D68" s="21">
        <v>5376.77</v>
      </c>
      <c r="E68" s="23">
        <f>IFERROR(D68/D148, "NA")</f>
        <v>0.1554942395</v>
      </c>
      <c r="F68" s="21">
        <v>4932.12</v>
      </c>
      <c r="G68" s="23">
        <f>IFERROR(F68/F148, "NA")</f>
        <v>0.2175425349</v>
      </c>
      <c r="H68" s="21">
        <v>2675.91</v>
      </c>
      <c r="I68" s="23">
        <f>IFERROR(H68/H148, "NA")</f>
        <v>0.2406372245</v>
      </c>
      <c r="J68" s="21">
        <v>4693.38</v>
      </c>
      <c r="K68" s="23">
        <f>IFERROR(J68/J148, "NA")</f>
        <v>0.1999165981</v>
      </c>
      <c r="L68" s="21">
        <v>5038.67</v>
      </c>
      <c r="M68" s="23">
        <f>IFERROR(L68/L148, "NA")</f>
        <v>0.2428804939</v>
      </c>
      <c r="N68" s="21">
        <v>4765.9</v>
      </c>
      <c r="O68" s="23">
        <f>IFERROR(N68/N148, "NA")</f>
        <v>0.2479563721</v>
      </c>
      <c r="P68" s="21">
        <v>2442.73</v>
      </c>
      <c r="Q68" s="23">
        <f>IFERROR(P68/P148, "NA")</f>
        <v>0.3089329821</v>
      </c>
      <c r="R68" s="21">
        <v>3087.68</v>
      </c>
      <c r="S68" s="23">
        <f>IFERROR(R68/R148, "NA")</f>
        <v>0.3535707129</v>
      </c>
      <c r="T68" s="21">
        <v>4917.32</v>
      </c>
      <c r="U68" s="23">
        <f>IFERROR(T68/T148, "NA")</f>
        <v>0.2906834251</v>
      </c>
      <c r="V68" s="21">
        <v>3702.91</v>
      </c>
      <c r="W68" s="23">
        <f>IFERROR(V68/V148, "NA")</f>
        <v>0.1698980037</v>
      </c>
      <c r="X68" s="21">
        <v>3781.92</v>
      </c>
      <c r="Y68" s="23">
        <f>IFERROR(X68/X148, "NA")</f>
        <v>0.1887676387</v>
      </c>
      <c r="Z68" s="21">
        <v>15489.83</v>
      </c>
      <c r="AA68" s="23">
        <f>IFERROR(Z68/Z148, "NA")</f>
        <v>0.2295505487</v>
      </c>
      <c r="AB68" s="28">
        <f t="shared" si="31"/>
        <v>3872.4575</v>
      </c>
      <c r="AC68" s="23">
        <f>IFERROR(AB68/AB148, "NA")</f>
        <v>0.2295505487</v>
      </c>
      <c r="AD68" s="29">
        <f t="shared" si="32"/>
        <v>-90.5375</v>
      </c>
      <c r="AE68" s="30">
        <f>IFERROR(AD68/AD148, "NA")</f>
        <v>-0.02860537069</v>
      </c>
      <c r="AF68" s="29">
        <f t="shared" si="33"/>
        <v>-0.02337985633</v>
      </c>
      <c r="AG68" s="28">
        <f t="shared" si="34"/>
        <v>4053.81375</v>
      </c>
      <c r="AH68" s="23">
        <f>IFERROR(AG68/AG148, "NA")</f>
        <v>0.2336007034</v>
      </c>
      <c r="AI68" s="29">
        <f t="shared" si="35"/>
        <v>-271.89375</v>
      </c>
      <c r="AJ68" s="30">
        <f>IFERROR(AI68/AI148, "NA")</f>
        <v>-0.1014079582</v>
      </c>
      <c r="AK68" s="29">
        <f t="shared" si="36"/>
        <v>-0.06707110064</v>
      </c>
      <c r="AL68" s="30">
        <f>IFERROR(AK68/AK148, "NA")</f>
        <v>-0.4341081031</v>
      </c>
    </row>
    <row r="69" ht="16.5" customHeight="1">
      <c r="A69" s="19" t="s">
        <v>128</v>
      </c>
      <c r="B69" s="21">
        <v>446.59</v>
      </c>
      <c r="C69" s="23">
        <f>IFERROR(B69/B148, "NA")</f>
        <v>0.01121178625</v>
      </c>
      <c r="D69" s="21">
        <v>388.83</v>
      </c>
      <c r="E69" s="23">
        <f>IFERROR(D69/D148, "NA")</f>
        <v>0.01124482266</v>
      </c>
      <c r="F69" s="21">
        <v>213.94</v>
      </c>
      <c r="G69" s="23">
        <f>IFERROR(F69/F148, "NA")</f>
        <v>0.009436317428</v>
      </c>
      <c r="H69" s="21">
        <v>0.0</v>
      </c>
      <c r="I69" s="23">
        <f>IFERROR(H69/H148, "NA")</f>
        <v>0</v>
      </c>
      <c r="J69" s="21">
        <v>98.64</v>
      </c>
      <c r="K69" s="23">
        <f>IFERROR(J69/J148, "NA")</f>
        <v>0.004201614452</v>
      </c>
      <c r="L69" s="21">
        <v>67.81</v>
      </c>
      <c r="M69" s="23">
        <f>IFERROR(L69/L148, "NA")</f>
        <v>0.0032686654</v>
      </c>
      <c r="N69" s="21">
        <v>0.0</v>
      </c>
      <c r="O69" s="23">
        <f>IFERROR(N69/N148, "NA")</f>
        <v>0</v>
      </c>
      <c r="P69" s="21">
        <v>0.0</v>
      </c>
      <c r="Q69" s="23">
        <f>IFERROR(P69/P148, "NA")</f>
        <v>0</v>
      </c>
      <c r="R69" s="21">
        <v>0.0</v>
      </c>
      <c r="S69" s="23">
        <f>IFERROR(R69/R148, "NA")</f>
        <v>0</v>
      </c>
      <c r="T69" s="21">
        <v>0.0</v>
      </c>
      <c r="U69" s="23">
        <f>IFERROR(T69/T148, "NA")</f>
        <v>0</v>
      </c>
      <c r="V69" s="21">
        <v>0.0</v>
      </c>
      <c r="W69" s="23">
        <f>IFERROR(V69/V148, "NA")</f>
        <v>0</v>
      </c>
      <c r="X69" s="21">
        <v>194.4</v>
      </c>
      <c r="Y69" s="23">
        <f>IFERROR(X69/X148, "NA")</f>
        <v>0.00970312142</v>
      </c>
      <c r="Z69" s="21">
        <v>194.4</v>
      </c>
      <c r="AA69" s="23">
        <f>IFERROR(Z69/Z148, "NA")</f>
        <v>0.002880898414</v>
      </c>
      <c r="AB69" s="28">
        <f t="shared" si="31"/>
        <v>48.6</v>
      </c>
      <c r="AC69" s="23">
        <f>IFERROR(AB69/AB148, "NA")</f>
        <v>0.002880898414</v>
      </c>
      <c r="AD69" s="29">
        <f t="shared" si="32"/>
        <v>145.8</v>
      </c>
      <c r="AE69" s="30">
        <f>IFERROR(AD69/AD148, "NA")</f>
        <v>0.04606558659</v>
      </c>
      <c r="AF69" s="29">
        <f t="shared" si="33"/>
        <v>3</v>
      </c>
      <c r="AG69" s="28">
        <f t="shared" si="34"/>
        <v>45.10625</v>
      </c>
      <c r="AH69" s="23">
        <f>IFERROR(AG69/AG148, "NA")</f>
        <v>0.002599244163</v>
      </c>
      <c r="AI69" s="29">
        <f t="shared" si="35"/>
        <v>149.29375</v>
      </c>
      <c r="AJ69" s="30">
        <f>IFERROR(AI69/AI148, "NA")</f>
        <v>0.05568195063</v>
      </c>
      <c r="AK69" s="29">
        <f t="shared" si="36"/>
        <v>3.309824027</v>
      </c>
      <c r="AL69" s="30">
        <f>IFERROR(AK69/AK148, "NA")</f>
        <v>21.42236248</v>
      </c>
    </row>
    <row r="70" ht="16.5" customHeight="1">
      <c r="A70" s="65" t="s">
        <v>129</v>
      </c>
      <c r="B70" s="66">
        <f>IFERROR(B65+B66+B67+B68+B69, "NA")</f>
        <v>7367.05</v>
      </c>
      <c r="C70" s="67">
        <f>IFERROR(B70/B148, "NA")</f>
        <v>0.1849521706</v>
      </c>
      <c r="D70" s="66">
        <f>IFERROR(D65+D66+D67+D68+D69, "NA")</f>
        <v>7034.83</v>
      </c>
      <c r="E70" s="67">
        <f>IFERROR(D70/D148, "NA")</f>
        <v>0.2034447337</v>
      </c>
      <c r="F70" s="66">
        <f>IFERROR(F65+F66+F67+F68+F69, "NA")</f>
        <v>6415.29</v>
      </c>
      <c r="G70" s="67">
        <f>IFERROR(F70/F148, "NA")</f>
        <v>0.2829611706</v>
      </c>
      <c r="H70" s="66">
        <f>IFERROR(H65+H66+H67+H68+H69, "NA")</f>
        <v>3945.14</v>
      </c>
      <c r="I70" s="67">
        <f>IFERROR(H70/H148, "NA")</f>
        <v>0.3547755866</v>
      </c>
      <c r="J70" s="66">
        <f>IFERROR(J65+J66+J67+J68+J69, "NA")</f>
        <v>6061.25</v>
      </c>
      <c r="K70" s="67">
        <f>IFERROR(J70/J148, "NA")</f>
        <v>0.2581816261</v>
      </c>
      <c r="L70" s="66">
        <f>IFERROR(L65+L66+L67+L68+L69, "NA")</f>
        <v>6375.71</v>
      </c>
      <c r="M70" s="67">
        <f>IFERROR(L70/L148, "NA")</f>
        <v>0.3073302268</v>
      </c>
      <c r="N70" s="66">
        <f>IFERROR(N65+N66+N67+N68+N69, "NA")</f>
        <v>6035.13</v>
      </c>
      <c r="O70" s="67">
        <f>IFERROR(N70/N148, "NA")</f>
        <v>0.3139908391</v>
      </c>
      <c r="P70" s="66">
        <f>IFERROR(P65+P66+P67+P68+P69, "NA")</f>
        <v>3711.96</v>
      </c>
      <c r="Q70" s="67">
        <f>IFERROR(P70/P148, "NA")</f>
        <v>0.4694529777</v>
      </c>
      <c r="R70" s="66">
        <f>IFERROR(R65+R66+R67+R68+R69, "NA")</f>
        <v>4356.91</v>
      </c>
      <c r="S70" s="67">
        <f>IFERROR(R70/R148, "NA")</f>
        <v>0.4989104359</v>
      </c>
      <c r="T70" s="66">
        <f>IFERROR(T65+T66+T67+T68+T69, "NA")</f>
        <v>6186.55</v>
      </c>
      <c r="U70" s="67">
        <f>IFERROR(T70/T148, "NA")</f>
        <v>0.3657129379</v>
      </c>
      <c r="V70" s="66">
        <f>IFERROR(V65+V66+V67+V68+V69, "NA")</f>
        <v>4972.14</v>
      </c>
      <c r="W70" s="67">
        <f>IFERROR(V70/V148, "NA")</f>
        <v>0.2281331871</v>
      </c>
      <c r="X70" s="66">
        <f>IFERROR(X65+X66+X67+X68+X69, "NA")</f>
        <v>5245.55</v>
      </c>
      <c r="Y70" s="67">
        <f>IFERROR(X70/X148, "NA")</f>
        <v>0.2618220605</v>
      </c>
      <c r="Z70" s="66">
        <f>IFERROR(Z65+Z66+Z67+Z68+Z69, "NA")</f>
        <v>20761.15</v>
      </c>
      <c r="AA70" s="67">
        <f>IFERROR(Z70/Z148, "NA")</f>
        <v>0.3076685396</v>
      </c>
      <c r="AB70" s="66">
        <f t="shared" si="31"/>
        <v>5190.2875</v>
      </c>
      <c r="AC70" s="67">
        <f>IFERROR(AB70/AB148, "NA")</f>
        <v>0.3076685396</v>
      </c>
      <c r="AD70" s="75">
        <f t="shared" si="32"/>
        <v>55.2625</v>
      </c>
      <c r="AE70" s="76">
        <f>IFERROR(AD70/AD148, "NA")</f>
        <v>0.0174602159</v>
      </c>
      <c r="AF70" s="75">
        <f t="shared" si="33"/>
        <v>0.01064729073</v>
      </c>
      <c r="AG70" s="66">
        <f t="shared" si="34"/>
        <v>5368.15</v>
      </c>
      <c r="AH70" s="67">
        <f>IFERROR(AG70/AG148, "NA")</f>
        <v>0.309339228</v>
      </c>
      <c r="AI70" s="75">
        <f t="shared" si="35"/>
        <v>-122.6</v>
      </c>
      <c r="AJ70" s="76">
        <f>IFERROR(AI70/AI148, "NA")</f>
        <v>-0.0457260076</v>
      </c>
      <c r="AK70" s="75">
        <f t="shared" si="36"/>
        <v>-0.02283840802</v>
      </c>
      <c r="AL70" s="76">
        <f>IFERROR(AK70/AK148, "NA")</f>
        <v>-0.1478183284</v>
      </c>
    </row>
    <row r="71" ht="16.5" hidden="1" customHeight="1">
      <c r="A71" s="19" t="s">
        <v>130</v>
      </c>
      <c r="B71" s="21">
        <v>0.0</v>
      </c>
      <c r="C71" s="23">
        <f>IFERROR(B71/B148, "NA")</f>
        <v>0</v>
      </c>
      <c r="D71" s="21">
        <v>0.0</v>
      </c>
      <c r="E71" s="23">
        <f>IFERROR(D71/D148, "NA")</f>
        <v>0</v>
      </c>
      <c r="F71" s="21">
        <v>0.0</v>
      </c>
      <c r="G71" s="23">
        <f>IFERROR(F71/F148, "NA")</f>
        <v>0</v>
      </c>
      <c r="H71" s="21">
        <v>0.0</v>
      </c>
      <c r="I71" s="23">
        <f>IFERROR(H71/H148, "NA")</f>
        <v>0</v>
      </c>
      <c r="J71" s="21">
        <v>0.0</v>
      </c>
      <c r="K71" s="23">
        <f>IFERROR(J71/J148, "NA")</f>
        <v>0</v>
      </c>
      <c r="L71" s="21">
        <v>0.0</v>
      </c>
      <c r="M71" s="23">
        <f>IFERROR(L71/L148, "NA")</f>
        <v>0</v>
      </c>
      <c r="N71" s="21">
        <v>0.0</v>
      </c>
      <c r="O71" s="23">
        <f>IFERROR(N71/N148, "NA")</f>
        <v>0</v>
      </c>
      <c r="P71" s="21">
        <v>0.0</v>
      </c>
      <c r="Q71" s="23">
        <f>IFERROR(P71/P148, "NA")</f>
        <v>0</v>
      </c>
      <c r="R71" s="21">
        <v>0.0</v>
      </c>
      <c r="S71" s="23">
        <f>IFERROR(R71/R148, "NA")</f>
        <v>0</v>
      </c>
      <c r="T71" s="21">
        <v>0.0</v>
      </c>
      <c r="U71" s="23">
        <f>IFERROR(T71/T148, "NA")</f>
        <v>0</v>
      </c>
      <c r="V71" s="21">
        <v>0.0</v>
      </c>
      <c r="W71" s="23">
        <f>IFERROR(V71/V148, "NA")</f>
        <v>0</v>
      </c>
      <c r="X71" s="21">
        <v>0.0</v>
      </c>
      <c r="Y71" s="23">
        <f>IFERROR(X71/X148, "NA")</f>
        <v>0</v>
      </c>
      <c r="Z71" s="21">
        <v>0.0</v>
      </c>
      <c r="AA71" s="23">
        <f>IFERROR(Z71/Z148, "NA")</f>
        <v>0</v>
      </c>
      <c r="AB71" s="28">
        <f t="shared" si="31"/>
        <v>0</v>
      </c>
      <c r="AC71" s="23">
        <f>IFERROR(AB71/AB148, "NA")</f>
        <v>0</v>
      </c>
      <c r="AD71" s="29">
        <f t="shared" si="32"/>
        <v>0</v>
      </c>
      <c r="AE71" s="30">
        <f>IFERROR(AD71/AD148, "NA")</f>
        <v>0</v>
      </c>
      <c r="AF71" s="29" t="str">
        <f t="shared" si="33"/>
        <v>NA</v>
      </c>
      <c r="AG71" s="28">
        <f t="shared" si="34"/>
        <v>0</v>
      </c>
      <c r="AH71" s="23">
        <f>IFERROR(AG71/AG148, "NA")</f>
        <v>0</v>
      </c>
      <c r="AI71" s="29">
        <f t="shared" si="35"/>
        <v>0</v>
      </c>
      <c r="AJ71" s="30">
        <f>IFERROR(AI71/AI148, "NA")</f>
        <v>0</v>
      </c>
      <c r="AK71" s="29" t="str">
        <f t="shared" si="36"/>
        <v>NA</v>
      </c>
      <c r="AL71" s="30" t="str">
        <f>IFERROR(AK71/AK148, "NA")</f>
        <v>NA</v>
      </c>
    </row>
    <row r="72" ht="16.5" customHeight="1">
      <c r="A72" s="19" t="s">
        <v>131</v>
      </c>
      <c r="B72" s="21">
        <v>0.0</v>
      </c>
      <c r="C72" s="23">
        <f>IFERROR(B72/B148, "NA")</f>
        <v>0</v>
      </c>
      <c r="D72" s="21">
        <v>0.0</v>
      </c>
      <c r="E72" s="23">
        <f>IFERROR(D72/D148, "NA")</f>
        <v>0</v>
      </c>
      <c r="F72" s="21">
        <v>-100.0</v>
      </c>
      <c r="G72" s="23">
        <f>IFERROR(F72/F148, "NA")</f>
        <v>-0.004410730779</v>
      </c>
      <c r="H72" s="21">
        <v>0.0</v>
      </c>
      <c r="I72" s="23">
        <f>IFERROR(H72/H148, "NA")</f>
        <v>0</v>
      </c>
      <c r="J72" s="21">
        <v>0.0</v>
      </c>
      <c r="K72" s="23">
        <f>IFERROR(J72/J148, "NA")</f>
        <v>0</v>
      </c>
      <c r="L72" s="21">
        <v>0.0</v>
      </c>
      <c r="M72" s="23">
        <f>IFERROR(L72/L148, "NA")</f>
        <v>0</v>
      </c>
      <c r="N72" s="21">
        <v>0.0</v>
      </c>
      <c r="O72" s="23">
        <f>IFERROR(N72/N148, "NA")</f>
        <v>0</v>
      </c>
      <c r="P72" s="21">
        <v>300.0</v>
      </c>
      <c r="Q72" s="23">
        <f>IFERROR(P72/P148, "NA")</f>
        <v>0.03794111286</v>
      </c>
      <c r="R72" s="21">
        <v>0.0</v>
      </c>
      <c r="S72" s="23">
        <f>IFERROR(R72/R148, "NA")</f>
        <v>0</v>
      </c>
      <c r="T72" s="21">
        <v>0.0</v>
      </c>
      <c r="U72" s="23">
        <f>IFERROR(T72/T148, "NA")</f>
        <v>0</v>
      </c>
      <c r="V72" s="21">
        <v>0.0</v>
      </c>
      <c r="W72" s="23">
        <f>IFERROR(V72/V148, "NA")</f>
        <v>0</v>
      </c>
      <c r="X72" s="21">
        <v>300.0</v>
      </c>
      <c r="Y72" s="23">
        <f>IFERROR(X72/X148, "NA")</f>
        <v>0.01497395281</v>
      </c>
      <c r="Z72" s="21">
        <v>300.0</v>
      </c>
      <c r="AA72" s="23">
        <f>IFERROR(Z72/Z148, "NA")</f>
        <v>0.004445830885</v>
      </c>
      <c r="AB72" s="28">
        <f t="shared" si="31"/>
        <v>75</v>
      </c>
      <c r="AC72" s="23">
        <f>IFERROR(AB72/AB148, "NA")</f>
        <v>0.004445830885</v>
      </c>
      <c r="AD72" s="29">
        <f t="shared" si="32"/>
        <v>225</v>
      </c>
      <c r="AE72" s="30">
        <f>IFERROR(AD72/AD148, "NA")</f>
        <v>0.07108886819</v>
      </c>
      <c r="AF72" s="29">
        <f t="shared" si="33"/>
        <v>3</v>
      </c>
      <c r="AG72" s="28">
        <f t="shared" si="34"/>
        <v>75</v>
      </c>
      <c r="AH72" s="23">
        <f>IFERROR(AG72/AG148, "NA")</f>
        <v>0.004321869191</v>
      </c>
      <c r="AI72" s="29">
        <f t="shared" si="35"/>
        <v>225</v>
      </c>
      <c r="AJ72" s="30">
        <f>IFERROR(AI72/AI148, "NA")</f>
        <v>0.08391804005</v>
      </c>
      <c r="AK72" s="29">
        <f t="shared" si="36"/>
        <v>3</v>
      </c>
      <c r="AL72" s="30">
        <f>IFERROR(AK72/AK148, "NA")</f>
        <v>19.41707079</v>
      </c>
    </row>
    <row r="73" ht="16.5" customHeight="1">
      <c r="A73" s="13" t="s">
        <v>132</v>
      </c>
      <c r="B73" s="14"/>
      <c r="C73" s="12"/>
      <c r="D73" s="14"/>
      <c r="E73" s="12"/>
      <c r="F73" s="14"/>
      <c r="G73" s="12"/>
      <c r="H73" s="14"/>
      <c r="I73" s="12"/>
      <c r="J73" s="14"/>
      <c r="K73" s="12"/>
      <c r="L73" s="14"/>
      <c r="M73" s="12"/>
      <c r="N73" s="14"/>
      <c r="O73" s="12"/>
      <c r="P73" s="14"/>
      <c r="Q73" s="12"/>
      <c r="R73" s="14"/>
      <c r="S73" s="12"/>
      <c r="T73" s="14"/>
      <c r="U73" s="12"/>
      <c r="V73" s="14"/>
      <c r="W73" s="12"/>
      <c r="X73" s="14"/>
      <c r="Y73" s="12"/>
      <c r="Z73" s="14"/>
      <c r="AA73" s="12"/>
      <c r="AB73" s="14"/>
      <c r="AC73" s="12"/>
      <c r="AD73" s="17"/>
      <c r="AE73" s="18"/>
      <c r="AF73" s="17"/>
      <c r="AG73" s="14"/>
      <c r="AH73" s="12"/>
      <c r="AI73" s="17"/>
      <c r="AJ73" s="18"/>
      <c r="AK73" s="17"/>
      <c r="AL73" s="18"/>
    </row>
    <row r="74" ht="16.5" customHeight="1">
      <c r="A74" s="19" t="s">
        <v>133</v>
      </c>
      <c r="B74" s="21">
        <v>736.11</v>
      </c>
      <c r="C74" s="23">
        <f>IFERROR(B74/B148, "NA")</f>
        <v>0.01848027939</v>
      </c>
      <c r="D74" s="21">
        <v>678.96</v>
      </c>
      <c r="E74" s="23">
        <f>IFERROR(D74/D148, "NA")</f>
        <v>0.0196352771</v>
      </c>
      <c r="F74" s="21">
        <v>699.73</v>
      </c>
      <c r="G74" s="23">
        <f>IFERROR(F74/F148, "NA")</f>
        <v>0.03086320648</v>
      </c>
      <c r="H74" s="21">
        <v>364.97</v>
      </c>
      <c r="I74" s="23">
        <f>IFERROR(H74/H148, "NA")</f>
        <v>0.03282074801</v>
      </c>
      <c r="J74" s="21">
        <v>593.75</v>
      </c>
      <c r="K74" s="23">
        <f>IFERROR(J74/J148, "NA")</f>
        <v>0.02529104401</v>
      </c>
      <c r="L74" s="21">
        <v>636.69</v>
      </c>
      <c r="M74" s="23">
        <f>IFERROR(L74/L148, "NA")</f>
        <v>0.03069055558</v>
      </c>
      <c r="N74" s="21">
        <v>601.76</v>
      </c>
      <c r="O74" s="23">
        <f>IFERROR(N74/N148, "NA")</f>
        <v>0.03130788025</v>
      </c>
      <c r="P74" s="21">
        <v>434.1</v>
      </c>
      <c r="Q74" s="23">
        <f>IFERROR(P74/P148, "NA")</f>
        <v>0.05490079031</v>
      </c>
      <c r="R74" s="21">
        <v>519.85</v>
      </c>
      <c r="S74" s="23">
        <f>IFERROR(R74/R148, "NA")</f>
        <v>0.05952810365</v>
      </c>
      <c r="T74" s="21">
        <v>751.73</v>
      </c>
      <c r="U74" s="23">
        <f>IFERROR(T74/T148, "NA")</f>
        <v>0.04443791561</v>
      </c>
      <c r="V74" s="21">
        <v>615.31</v>
      </c>
      <c r="W74" s="23">
        <f>IFERROR(V74/V148, "NA")</f>
        <v>0.02823183405</v>
      </c>
      <c r="X74" s="21">
        <v>624.46</v>
      </c>
      <c r="Y74" s="23">
        <f>IFERROR(X74/X148, "NA")</f>
        <v>0.0311687819</v>
      </c>
      <c r="Z74" s="21">
        <v>2511.35</v>
      </c>
      <c r="AA74" s="23">
        <f>IFERROR(Z74/Z148, "NA")</f>
        <v>0.03721679131</v>
      </c>
      <c r="AB74" s="28">
        <f t="shared" ref="AB74:AB85" si="37">IFERROR((R74+T74+V74+X74)/4, "NA")</f>
        <v>627.8375</v>
      </c>
      <c r="AC74" s="23">
        <f>IFERROR(AB74/AB148, "NA")</f>
        <v>0.03721679131</v>
      </c>
      <c r="AD74" s="29">
        <f t="shared" ref="AD74:AD85" si="38">IFERROR(X74-AB74, "NA")</f>
        <v>-3.3775</v>
      </c>
      <c r="AE74" s="30">
        <f>IFERROR(AD74/AD148, "NA")</f>
        <v>-0.001067122899</v>
      </c>
      <c r="AF74" s="29">
        <f t="shared" ref="AF74:AF85" si="39">IFERROR((X74-AB74)/AB74, "NA")</f>
        <v>-0.005379576722</v>
      </c>
      <c r="AG74" s="28">
        <f t="shared" ref="AG74:AG85" si="40">IFERROR((J74+L74+N74+P74+R74+T74+V74+X74)/8, "NA")</f>
        <v>597.20625</v>
      </c>
      <c r="AH74" s="23">
        <f>IFERROR(AG74/AG148, "NA")</f>
        <v>0.0344139639</v>
      </c>
      <c r="AI74" s="29">
        <f t="shared" ref="AI74:AI85" si="41">IFERROR(X74-AG74, "NA")</f>
        <v>27.25375</v>
      </c>
      <c r="AJ74" s="30">
        <f>IFERROR(AI74/AI148, "NA")</f>
        <v>0.01016480571</v>
      </c>
      <c r="AK74" s="29">
        <f t="shared" ref="AK74:AK85" si="42">IFERROR((X74-AG74)/AG74, "NA")</f>
        <v>0.04563540653</v>
      </c>
      <c r="AL74" s="30">
        <f>IFERROR(AK74/AK148, "NA")</f>
        <v>0.2953686398</v>
      </c>
    </row>
    <row r="75" ht="16.5" hidden="1" customHeight="1">
      <c r="A75" s="19" t="s">
        <v>134</v>
      </c>
      <c r="B75" s="21">
        <v>0.0</v>
      </c>
      <c r="C75" s="23">
        <f>IFERROR(B75/B148, "NA")</f>
        <v>0</v>
      </c>
      <c r="D75" s="21">
        <v>0.0</v>
      </c>
      <c r="E75" s="23">
        <f>IFERROR(D75/D148, "NA")</f>
        <v>0</v>
      </c>
      <c r="F75" s="21">
        <v>0.0</v>
      </c>
      <c r="G75" s="23">
        <f>IFERROR(F75/F148, "NA")</f>
        <v>0</v>
      </c>
      <c r="H75" s="21">
        <v>0.0</v>
      </c>
      <c r="I75" s="23">
        <f>IFERROR(H75/H148, "NA")</f>
        <v>0</v>
      </c>
      <c r="J75" s="21">
        <v>0.0</v>
      </c>
      <c r="K75" s="23">
        <f>IFERROR(J75/J148, "NA")</f>
        <v>0</v>
      </c>
      <c r="L75" s="21">
        <v>0.0</v>
      </c>
      <c r="M75" s="23">
        <f>IFERROR(L75/L148, "NA")</f>
        <v>0</v>
      </c>
      <c r="N75" s="21">
        <v>0.0</v>
      </c>
      <c r="O75" s="23">
        <f>IFERROR(N75/N148, "NA")</f>
        <v>0</v>
      </c>
      <c r="P75" s="21">
        <v>0.0</v>
      </c>
      <c r="Q75" s="23">
        <f>IFERROR(P75/P148, "NA")</f>
        <v>0</v>
      </c>
      <c r="R75" s="21">
        <v>0.0</v>
      </c>
      <c r="S75" s="23">
        <f>IFERROR(R75/R148, "NA")</f>
        <v>0</v>
      </c>
      <c r="T75" s="21">
        <v>0.0</v>
      </c>
      <c r="U75" s="23">
        <f>IFERROR(T75/T148, "NA")</f>
        <v>0</v>
      </c>
      <c r="V75" s="21">
        <v>0.0</v>
      </c>
      <c r="W75" s="23">
        <f>IFERROR(V75/V148, "NA")</f>
        <v>0</v>
      </c>
      <c r="X75" s="21">
        <v>0.0</v>
      </c>
      <c r="Y75" s="23">
        <f>IFERROR(X75/X148, "NA")</f>
        <v>0</v>
      </c>
      <c r="Z75" s="21">
        <v>0.0</v>
      </c>
      <c r="AA75" s="23">
        <f>IFERROR(Z75/Z148, "NA")</f>
        <v>0</v>
      </c>
      <c r="AB75" s="28">
        <f t="shared" si="37"/>
        <v>0</v>
      </c>
      <c r="AC75" s="23">
        <f>IFERROR(AB75/AB148, "NA")</f>
        <v>0</v>
      </c>
      <c r="AD75" s="29">
        <f t="shared" si="38"/>
        <v>0</v>
      </c>
      <c r="AE75" s="30">
        <f>IFERROR(AD75/AD148, "NA")</f>
        <v>0</v>
      </c>
      <c r="AF75" s="29" t="str">
        <f t="shared" si="39"/>
        <v>NA</v>
      </c>
      <c r="AG75" s="28">
        <f t="shared" si="40"/>
        <v>0</v>
      </c>
      <c r="AH75" s="23">
        <f>IFERROR(AG75/AG148, "NA")</f>
        <v>0</v>
      </c>
      <c r="AI75" s="29">
        <f t="shared" si="41"/>
        <v>0</v>
      </c>
      <c r="AJ75" s="30">
        <f>IFERROR(AI75/AI148, "NA")</f>
        <v>0</v>
      </c>
      <c r="AK75" s="29" t="str">
        <f t="shared" si="42"/>
        <v>NA</v>
      </c>
      <c r="AL75" s="30" t="str">
        <f>IFERROR(AK75/AK148, "NA")</f>
        <v>NA</v>
      </c>
    </row>
    <row r="76" ht="16.5" hidden="1" customHeight="1">
      <c r="A76" s="19" t="s">
        <v>135</v>
      </c>
      <c r="B76" s="21">
        <v>0.0</v>
      </c>
      <c r="C76" s="23">
        <f>IFERROR(B76/B148, "NA")</f>
        <v>0</v>
      </c>
      <c r="D76" s="21">
        <v>0.0</v>
      </c>
      <c r="E76" s="23">
        <f>IFERROR(D76/D148, "NA")</f>
        <v>0</v>
      </c>
      <c r="F76" s="21">
        <v>0.0</v>
      </c>
      <c r="G76" s="23">
        <f>IFERROR(F76/F148, "NA")</f>
        <v>0</v>
      </c>
      <c r="H76" s="21">
        <v>0.0</v>
      </c>
      <c r="I76" s="23">
        <f>IFERROR(H76/H148, "NA")</f>
        <v>0</v>
      </c>
      <c r="J76" s="21">
        <v>0.0</v>
      </c>
      <c r="K76" s="23">
        <f>IFERROR(J76/J148, "NA")</f>
        <v>0</v>
      </c>
      <c r="L76" s="21">
        <v>0.0</v>
      </c>
      <c r="M76" s="23">
        <f>IFERROR(L76/L148, "NA")</f>
        <v>0</v>
      </c>
      <c r="N76" s="21">
        <v>0.0</v>
      </c>
      <c r="O76" s="23">
        <f>IFERROR(N76/N148, "NA")</f>
        <v>0</v>
      </c>
      <c r="P76" s="21">
        <v>0.0</v>
      </c>
      <c r="Q76" s="23">
        <f>IFERROR(P76/P148, "NA")</f>
        <v>0</v>
      </c>
      <c r="R76" s="21">
        <v>0.0</v>
      </c>
      <c r="S76" s="23">
        <f>IFERROR(R76/R148, "NA")</f>
        <v>0</v>
      </c>
      <c r="T76" s="21">
        <v>0.0</v>
      </c>
      <c r="U76" s="23">
        <f>IFERROR(T76/T148, "NA")</f>
        <v>0</v>
      </c>
      <c r="V76" s="21">
        <v>0.0</v>
      </c>
      <c r="W76" s="23">
        <f>IFERROR(V76/V148, "NA")</f>
        <v>0</v>
      </c>
      <c r="X76" s="21">
        <v>0.0</v>
      </c>
      <c r="Y76" s="23">
        <f>IFERROR(X76/X148, "NA")</f>
        <v>0</v>
      </c>
      <c r="Z76" s="21">
        <v>0.0</v>
      </c>
      <c r="AA76" s="23">
        <f>IFERROR(Z76/Z148, "NA")</f>
        <v>0</v>
      </c>
      <c r="AB76" s="28">
        <f t="shared" si="37"/>
        <v>0</v>
      </c>
      <c r="AC76" s="23">
        <f>IFERROR(AB76/AB148, "NA")</f>
        <v>0</v>
      </c>
      <c r="AD76" s="29">
        <f t="shared" si="38"/>
        <v>0</v>
      </c>
      <c r="AE76" s="30">
        <f>IFERROR(AD76/AD148, "NA")</f>
        <v>0</v>
      </c>
      <c r="AF76" s="29" t="str">
        <f t="shared" si="39"/>
        <v>NA</v>
      </c>
      <c r="AG76" s="28">
        <f t="shared" si="40"/>
        <v>0</v>
      </c>
      <c r="AH76" s="23">
        <f>IFERROR(AG76/AG148, "NA")</f>
        <v>0</v>
      </c>
      <c r="AI76" s="29">
        <f t="shared" si="41"/>
        <v>0</v>
      </c>
      <c r="AJ76" s="30">
        <f>IFERROR(AI76/AI148, "NA")</f>
        <v>0</v>
      </c>
      <c r="AK76" s="29" t="str">
        <f t="shared" si="42"/>
        <v>NA</v>
      </c>
      <c r="AL76" s="30" t="str">
        <f>IFERROR(AK76/AK148, "NA")</f>
        <v>NA</v>
      </c>
    </row>
    <row r="77" ht="16.5" hidden="1" customHeight="1">
      <c r="A77" s="19" t="s">
        <v>136</v>
      </c>
      <c r="B77" s="21">
        <v>0.0</v>
      </c>
      <c r="C77" s="23">
        <f>IFERROR(B77/B148, "NA")</f>
        <v>0</v>
      </c>
      <c r="D77" s="21">
        <v>0.0</v>
      </c>
      <c r="E77" s="23">
        <f>IFERROR(D77/D148, "NA")</f>
        <v>0</v>
      </c>
      <c r="F77" s="21">
        <v>0.0</v>
      </c>
      <c r="G77" s="23">
        <f>IFERROR(F77/F148, "NA")</f>
        <v>0</v>
      </c>
      <c r="H77" s="21">
        <v>0.0</v>
      </c>
      <c r="I77" s="23">
        <f>IFERROR(H77/H148, "NA")</f>
        <v>0</v>
      </c>
      <c r="J77" s="21">
        <v>0.0</v>
      </c>
      <c r="K77" s="23">
        <f>IFERROR(J77/J148, "NA")</f>
        <v>0</v>
      </c>
      <c r="L77" s="21">
        <v>0.0</v>
      </c>
      <c r="M77" s="23">
        <f>IFERROR(L77/L148, "NA")</f>
        <v>0</v>
      </c>
      <c r="N77" s="21">
        <v>0.0</v>
      </c>
      <c r="O77" s="23">
        <f>IFERROR(N77/N148, "NA")</f>
        <v>0</v>
      </c>
      <c r="P77" s="21">
        <v>0.0</v>
      </c>
      <c r="Q77" s="23">
        <f>IFERROR(P77/P148, "NA")</f>
        <v>0</v>
      </c>
      <c r="R77" s="21">
        <v>0.0</v>
      </c>
      <c r="S77" s="23">
        <f>IFERROR(R77/R148, "NA")</f>
        <v>0</v>
      </c>
      <c r="T77" s="21">
        <v>0.0</v>
      </c>
      <c r="U77" s="23">
        <f>IFERROR(T77/T148, "NA")</f>
        <v>0</v>
      </c>
      <c r="V77" s="21">
        <v>0.0</v>
      </c>
      <c r="W77" s="23">
        <f>IFERROR(V77/V148, "NA")</f>
        <v>0</v>
      </c>
      <c r="X77" s="21">
        <v>0.0</v>
      </c>
      <c r="Y77" s="23">
        <f>IFERROR(X77/X148, "NA")</f>
        <v>0</v>
      </c>
      <c r="Z77" s="21">
        <v>0.0</v>
      </c>
      <c r="AA77" s="23">
        <f>IFERROR(Z77/Z148, "NA")</f>
        <v>0</v>
      </c>
      <c r="AB77" s="28">
        <f t="shared" si="37"/>
        <v>0</v>
      </c>
      <c r="AC77" s="23">
        <f>IFERROR(AB77/AB148, "NA")</f>
        <v>0</v>
      </c>
      <c r="AD77" s="29">
        <f t="shared" si="38"/>
        <v>0</v>
      </c>
      <c r="AE77" s="30">
        <f>IFERROR(AD77/AD148, "NA")</f>
        <v>0</v>
      </c>
      <c r="AF77" s="29" t="str">
        <f t="shared" si="39"/>
        <v>NA</v>
      </c>
      <c r="AG77" s="28">
        <f t="shared" si="40"/>
        <v>0</v>
      </c>
      <c r="AH77" s="23">
        <f>IFERROR(AG77/AG148, "NA")</f>
        <v>0</v>
      </c>
      <c r="AI77" s="29">
        <f t="shared" si="41"/>
        <v>0</v>
      </c>
      <c r="AJ77" s="30">
        <f>IFERROR(AI77/AI148, "NA")</f>
        <v>0</v>
      </c>
      <c r="AK77" s="29" t="str">
        <f t="shared" si="42"/>
        <v>NA</v>
      </c>
      <c r="AL77" s="30" t="str">
        <f>IFERROR(AK77/AK148, "NA")</f>
        <v>NA</v>
      </c>
    </row>
    <row r="78" ht="16.5" hidden="1" customHeight="1">
      <c r="A78" s="19" t="s">
        <v>137</v>
      </c>
      <c r="B78" s="21">
        <v>0.0</v>
      </c>
      <c r="C78" s="23">
        <f>IFERROR(B78/B148, "NA")</f>
        <v>0</v>
      </c>
      <c r="D78" s="21">
        <v>0.0</v>
      </c>
      <c r="E78" s="23">
        <f>IFERROR(D78/D148, "NA")</f>
        <v>0</v>
      </c>
      <c r="F78" s="21">
        <v>0.0</v>
      </c>
      <c r="G78" s="23">
        <f>IFERROR(F78/F148, "NA")</f>
        <v>0</v>
      </c>
      <c r="H78" s="21">
        <v>0.0</v>
      </c>
      <c r="I78" s="23">
        <f>IFERROR(H78/H148, "NA")</f>
        <v>0</v>
      </c>
      <c r="J78" s="21">
        <v>0.0</v>
      </c>
      <c r="K78" s="23">
        <f>IFERROR(J78/J148, "NA")</f>
        <v>0</v>
      </c>
      <c r="L78" s="21">
        <v>0.0</v>
      </c>
      <c r="M78" s="23">
        <f>IFERROR(L78/L148, "NA")</f>
        <v>0</v>
      </c>
      <c r="N78" s="21">
        <v>0.0</v>
      </c>
      <c r="O78" s="23">
        <f>IFERROR(N78/N148, "NA")</f>
        <v>0</v>
      </c>
      <c r="P78" s="21">
        <v>0.0</v>
      </c>
      <c r="Q78" s="23">
        <f>IFERROR(P78/P148, "NA")</f>
        <v>0</v>
      </c>
      <c r="R78" s="21">
        <v>0.0</v>
      </c>
      <c r="S78" s="23">
        <f>IFERROR(R78/R148, "NA")</f>
        <v>0</v>
      </c>
      <c r="T78" s="21">
        <v>0.0</v>
      </c>
      <c r="U78" s="23">
        <f>IFERROR(T78/T148, "NA")</f>
        <v>0</v>
      </c>
      <c r="V78" s="21">
        <v>0.0</v>
      </c>
      <c r="W78" s="23">
        <f>IFERROR(V78/V148, "NA")</f>
        <v>0</v>
      </c>
      <c r="X78" s="21">
        <v>0.0</v>
      </c>
      <c r="Y78" s="23">
        <f>IFERROR(X78/X148, "NA")</f>
        <v>0</v>
      </c>
      <c r="Z78" s="21">
        <v>0.0</v>
      </c>
      <c r="AA78" s="23">
        <f>IFERROR(Z78/Z148, "NA")</f>
        <v>0</v>
      </c>
      <c r="AB78" s="28">
        <f t="shared" si="37"/>
        <v>0</v>
      </c>
      <c r="AC78" s="23">
        <f>IFERROR(AB78/AB148, "NA")</f>
        <v>0</v>
      </c>
      <c r="AD78" s="29">
        <f t="shared" si="38"/>
        <v>0</v>
      </c>
      <c r="AE78" s="30">
        <f>IFERROR(AD78/AD148, "NA")</f>
        <v>0</v>
      </c>
      <c r="AF78" s="29" t="str">
        <f t="shared" si="39"/>
        <v>NA</v>
      </c>
      <c r="AG78" s="28">
        <f t="shared" si="40"/>
        <v>0</v>
      </c>
      <c r="AH78" s="23">
        <f>IFERROR(AG78/AG148, "NA")</f>
        <v>0</v>
      </c>
      <c r="AI78" s="29">
        <f t="shared" si="41"/>
        <v>0</v>
      </c>
      <c r="AJ78" s="30">
        <f>IFERROR(AI78/AI148, "NA")</f>
        <v>0</v>
      </c>
      <c r="AK78" s="29" t="str">
        <f t="shared" si="42"/>
        <v>NA</v>
      </c>
      <c r="AL78" s="30" t="str">
        <f>IFERROR(AK78/AK148, "NA")</f>
        <v>NA</v>
      </c>
    </row>
    <row r="79" ht="16.5" hidden="1" customHeight="1">
      <c r="A79" s="19" t="s">
        <v>139</v>
      </c>
      <c r="B79" s="21">
        <v>0.0</v>
      </c>
      <c r="C79" s="23">
        <f>IFERROR(B79/B148, "NA")</f>
        <v>0</v>
      </c>
      <c r="D79" s="21">
        <v>0.0</v>
      </c>
      <c r="E79" s="23">
        <f>IFERROR(D79/D148, "NA")</f>
        <v>0</v>
      </c>
      <c r="F79" s="21">
        <v>0.0</v>
      </c>
      <c r="G79" s="23">
        <f>IFERROR(F79/F148, "NA")</f>
        <v>0</v>
      </c>
      <c r="H79" s="21">
        <v>0.0</v>
      </c>
      <c r="I79" s="23">
        <f>IFERROR(H79/H148, "NA")</f>
        <v>0</v>
      </c>
      <c r="J79" s="21">
        <v>0.0</v>
      </c>
      <c r="K79" s="23">
        <f>IFERROR(J79/J148, "NA")</f>
        <v>0</v>
      </c>
      <c r="L79" s="21">
        <v>0.0</v>
      </c>
      <c r="M79" s="23">
        <f>IFERROR(L79/L148, "NA")</f>
        <v>0</v>
      </c>
      <c r="N79" s="21">
        <v>0.0</v>
      </c>
      <c r="O79" s="23">
        <f>IFERROR(N79/N148, "NA")</f>
        <v>0</v>
      </c>
      <c r="P79" s="21">
        <v>0.0</v>
      </c>
      <c r="Q79" s="23">
        <f>IFERROR(P79/P148, "NA")</f>
        <v>0</v>
      </c>
      <c r="R79" s="21">
        <v>0.0</v>
      </c>
      <c r="S79" s="23">
        <f>IFERROR(R79/R148, "NA")</f>
        <v>0</v>
      </c>
      <c r="T79" s="21">
        <v>0.0</v>
      </c>
      <c r="U79" s="23">
        <f>IFERROR(T79/T148, "NA")</f>
        <v>0</v>
      </c>
      <c r="V79" s="21">
        <v>0.0</v>
      </c>
      <c r="W79" s="23">
        <f>IFERROR(V79/V148, "NA")</f>
        <v>0</v>
      </c>
      <c r="X79" s="21">
        <v>0.0</v>
      </c>
      <c r="Y79" s="23">
        <f>IFERROR(X79/X148, "NA")</f>
        <v>0</v>
      </c>
      <c r="Z79" s="21">
        <v>0.0</v>
      </c>
      <c r="AA79" s="23">
        <f>IFERROR(Z79/Z148, "NA")</f>
        <v>0</v>
      </c>
      <c r="AB79" s="28">
        <f t="shared" si="37"/>
        <v>0</v>
      </c>
      <c r="AC79" s="23">
        <f>IFERROR(AB79/AB148, "NA")</f>
        <v>0</v>
      </c>
      <c r="AD79" s="29">
        <f t="shared" si="38"/>
        <v>0</v>
      </c>
      <c r="AE79" s="30">
        <f>IFERROR(AD79/AD148, "NA")</f>
        <v>0</v>
      </c>
      <c r="AF79" s="29" t="str">
        <f t="shared" si="39"/>
        <v>NA</v>
      </c>
      <c r="AG79" s="28">
        <f t="shared" si="40"/>
        <v>0</v>
      </c>
      <c r="AH79" s="23">
        <f>IFERROR(AG79/AG148, "NA")</f>
        <v>0</v>
      </c>
      <c r="AI79" s="29">
        <f t="shared" si="41"/>
        <v>0</v>
      </c>
      <c r="AJ79" s="30">
        <f>IFERROR(AI79/AI148, "NA")</f>
        <v>0</v>
      </c>
      <c r="AK79" s="29" t="str">
        <f t="shared" si="42"/>
        <v>NA</v>
      </c>
      <c r="AL79" s="30" t="str">
        <f>IFERROR(AK79/AK148, "NA")</f>
        <v>NA</v>
      </c>
    </row>
    <row r="80" ht="16.5" hidden="1" customHeight="1">
      <c r="A80" s="19" t="s">
        <v>141</v>
      </c>
      <c r="B80" s="21">
        <v>0.0</v>
      </c>
      <c r="C80" s="23">
        <f>IFERROR(B80/B148, "NA")</f>
        <v>0</v>
      </c>
      <c r="D80" s="21">
        <v>0.0</v>
      </c>
      <c r="E80" s="23">
        <f>IFERROR(D80/D148, "NA")</f>
        <v>0</v>
      </c>
      <c r="F80" s="21">
        <v>0.0</v>
      </c>
      <c r="G80" s="23">
        <f>IFERROR(F80/F148, "NA")</f>
        <v>0</v>
      </c>
      <c r="H80" s="21">
        <v>0.0</v>
      </c>
      <c r="I80" s="23">
        <f>IFERROR(H80/H148, "NA")</f>
        <v>0</v>
      </c>
      <c r="J80" s="21">
        <v>0.0</v>
      </c>
      <c r="K80" s="23">
        <f>IFERROR(J80/J148, "NA")</f>
        <v>0</v>
      </c>
      <c r="L80" s="21">
        <v>0.0</v>
      </c>
      <c r="M80" s="23">
        <f>IFERROR(L80/L148, "NA")</f>
        <v>0</v>
      </c>
      <c r="N80" s="21">
        <v>0.0</v>
      </c>
      <c r="O80" s="23">
        <f>IFERROR(N80/N148, "NA")</f>
        <v>0</v>
      </c>
      <c r="P80" s="21">
        <v>0.0</v>
      </c>
      <c r="Q80" s="23">
        <f>IFERROR(P80/P148, "NA")</f>
        <v>0</v>
      </c>
      <c r="R80" s="21">
        <v>0.0</v>
      </c>
      <c r="S80" s="23">
        <f>IFERROR(R80/R148, "NA")</f>
        <v>0</v>
      </c>
      <c r="T80" s="21">
        <v>0.0</v>
      </c>
      <c r="U80" s="23">
        <f>IFERROR(T80/T148, "NA")</f>
        <v>0</v>
      </c>
      <c r="V80" s="21">
        <v>0.0</v>
      </c>
      <c r="W80" s="23">
        <f>IFERROR(V80/V148, "NA")</f>
        <v>0</v>
      </c>
      <c r="X80" s="21">
        <v>0.0</v>
      </c>
      <c r="Y80" s="23">
        <f>IFERROR(X80/X148, "NA")</f>
        <v>0</v>
      </c>
      <c r="Z80" s="21">
        <v>0.0</v>
      </c>
      <c r="AA80" s="23">
        <f>IFERROR(Z80/Z148, "NA")</f>
        <v>0</v>
      </c>
      <c r="AB80" s="28">
        <f t="shared" si="37"/>
        <v>0</v>
      </c>
      <c r="AC80" s="23">
        <f>IFERROR(AB80/AB148, "NA")</f>
        <v>0</v>
      </c>
      <c r="AD80" s="29">
        <f t="shared" si="38"/>
        <v>0</v>
      </c>
      <c r="AE80" s="30">
        <f>IFERROR(AD80/AD148, "NA")</f>
        <v>0</v>
      </c>
      <c r="AF80" s="29" t="str">
        <f t="shared" si="39"/>
        <v>NA</v>
      </c>
      <c r="AG80" s="28">
        <f t="shared" si="40"/>
        <v>0</v>
      </c>
      <c r="AH80" s="23">
        <f>IFERROR(AG80/AG148, "NA")</f>
        <v>0</v>
      </c>
      <c r="AI80" s="29">
        <f t="shared" si="41"/>
        <v>0</v>
      </c>
      <c r="AJ80" s="30">
        <f>IFERROR(AI80/AI148, "NA")</f>
        <v>0</v>
      </c>
      <c r="AK80" s="29" t="str">
        <f t="shared" si="42"/>
        <v>NA</v>
      </c>
      <c r="AL80" s="30" t="str">
        <f>IFERROR(AK80/AK148, "NA")</f>
        <v>NA</v>
      </c>
    </row>
    <row r="81" ht="16.5" customHeight="1">
      <c r="A81" s="65" t="s">
        <v>142</v>
      </c>
      <c r="B81" s="66">
        <f>IFERROR(B74+B75+B76+B77+B78+B79+B80, "NA")</f>
        <v>736.11</v>
      </c>
      <c r="C81" s="67">
        <f>IFERROR(B81/B148, "NA")</f>
        <v>0.01848027939</v>
      </c>
      <c r="D81" s="66">
        <f>IFERROR(D74+D75+D76+D77+D78+D79+D80, "NA")</f>
        <v>678.96</v>
      </c>
      <c r="E81" s="67">
        <f>IFERROR(D81/D148, "NA")</f>
        <v>0.0196352771</v>
      </c>
      <c r="F81" s="66">
        <f>IFERROR(F74+F75+F76+F77+F78+F79+F80, "NA")</f>
        <v>699.73</v>
      </c>
      <c r="G81" s="67">
        <f>IFERROR(F81/F148, "NA")</f>
        <v>0.03086320648</v>
      </c>
      <c r="H81" s="66">
        <f>IFERROR(H74+H75+H76+H77+H78+H79+H80, "NA")</f>
        <v>364.97</v>
      </c>
      <c r="I81" s="67">
        <f>IFERROR(H81/H148, "NA")</f>
        <v>0.03282074801</v>
      </c>
      <c r="J81" s="66">
        <f>IFERROR(J74+J75+J76+J77+J78+J79+J80, "NA")</f>
        <v>593.75</v>
      </c>
      <c r="K81" s="67">
        <f>IFERROR(J81/J148, "NA")</f>
        <v>0.02529104401</v>
      </c>
      <c r="L81" s="66">
        <f>IFERROR(L74+L75+L76+L77+L78+L79+L80, "NA")</f>
        <v>636.69</v>
      </c>
      <c r="M81" s="67">
        <f>IFERROR(L81/L148, "NA")</f>
        <v>0.03069055558</v>
      </c>
      <c r="N81" s="66">
        <f>IFERROR(N74+N75+N76+N77+N78+N79+N80, "NA")</f>
        <v>601.76</v>
      </c>
      <c r="O81" s="67">
        <f>IFERROR(N81/N148, "NA")</f>
        <v>0.03130788025</v>
      </c>
      <c r="P81" s="66">
        <f>IFERROR(P74+P75+P76+P77+P78+P79+P80, "NA")</f>
        <v>434.1</v>
      </c>
      <c r="Q81" s="67">
        <f>IFERROR(P81/P148, "NA")</f>
        <v>0.05490079031</v>
      </c>
      <c r="R81" s="66">
        <f>IFERROR(R74+R75+R76+R77+R78+R79+R80, "NA")</f>
        <v>519.85</v>
      </c>
      <c r="S81" s="67">
        <f>IFERROR(R81/R148, "NA")</f>
        <v>0.05952810365</v>
      </c>
      <c r="T81" s="66">
        <f>IFERROR(T74+T75+T76+T77+T78+T79+T80, "NA")</f>
        <v>751.73</v>
      </c>
      <c r="U81" s="67">
        <f>IFERROR(T81/T148, "NA")</f>
        <v>0.04443791561</v>
      </c>
      <c r="V81" s="66">
        <f>IFERROR(V74+V75+V76+V77+V78+V79+V80, "NA")</f>
        <v>615.31</v>
      </c>
      <c r="W81" s="67">
        <f>IFERROR(V81/V148, "NA")</f>
        <v>0.02823183405</v>
      </c>
      <c r="X81" s="66">
        <f>IFERROR(X74+X75+X76+X77+X78+X79+X80, "NA")</f>
        <v>624.46</v>
      </c>
      <c r="Y81" s="67">
        <f>IFERROR(X81/X148, "NA")</f>
        <v>0.0311687819</v>
      </c>
      <c r="Z81" s="66">
        <f>IFERROR(Z74+Z75+Z76+Z77+Z78+Z79+Z80, "NA")</f>
        <v>2511.35</v>
      </c>
      <c r="AA81" s="67">
        <f>IFERROR(Z81/Z148, "NA")</f>
        <v>0.03721679131</v>
      </c>
      <c r="AB81" s="66">
        <f t="shared" si="37"/>
        <v>627.8375</v>
      </c>
      <c r="AC81" s="67">
        <f>IFERROR(AB81/AB148, "NA")</f>
        <v>0.03721679131</v>
      </c>
      <c r="AD81" s="75">
        <f t="shared" si="38"/>
        <v>-3.3775</v>
      </c>
      <c r="AE81" s="76">
        <f>IFERROR(AD81/AD148, "NA")</f>
        <v>-0.001067122899</v>
      </c>
      <c r="AF81" s="75">
        <f t="shared" si="39"/>
        <v>-0.005379576722</v>
      </c>
      <c r="AG81" s="66">
        <f t="shared" si="40"/>
        <v>597.20625</v>
      </c>
      <c r="AH81" s="67">
        <f>IFERROR(AG81/AG148, "NA")</f>
        <v>0.0344139639</v>
      </c>
      <c r="AI81" s="75">
        <f t="shared" si="41"/>
        <v>27.25375</v>
      </c>
      <c r="AJ81" s="76">
        <f>IFERROR(AI81/AI148, "NA")</f>
        <v>0.01016480571</v>
      </c>
      <c r="AK81" s="75">
        <f t="shared" si="42"/>
        <v>0.04563540653</v>
      </c>
      <c r="AL81" s="76">
        <f>IFERROR(AK81/AK148, "NA")</f>
        <v>0.2953686398</v>
      </c>
    </row>
    <row r="82" ht="16.5" customHeight="1">
      <c r="A82" s="19" t="s">
        <v>145</v>
      </c>
      <c r="B82" s="21">
        <v>0.0</v>
      </c>
      <c r="C82" s="23">
        <f>IFERROR(B82/B148, "NA")</f>
        <v>0</v>
      </c>
      <c r="D82" s="21">
        <v>0.0</v>
      </c>
      <c r="E82" s="23">
        <f>IFERROR(D82/D148, "NA")</f>
        <v>0</v>
      </c>
      <c r="F82" s="21">
        <v>0.0</v>
      </c>
      <c r="G82" s="23">
        <f>IFERROR(F82/F148, "NA")</f>
        <v>0</v>
      </c>
      <c r="H82" s="21">
        <v>288.32</v>
      </c>
      <c r="I82" s="23">
        <f>IFERROR(H82/H148, "NA")</f>
        <v>0.02592782439</v>
      </c>
      <c r="J82" s="21">
        <v>0.0</v>
      </c>
      <c r="K82" s="23">
        <f>IFERROR(J82/J148, "NA")</f>
        <v>0</v>
      </c>
      <c r="L82" s="21">
        <v>0.0</v>
      </c>
      <c r="M82" s="23">
        <f>IFERROR(L82/L148, "NA")</f>
        <v>0</v>
      </c>
      <c r="N82" s="21">
        <v>0.0</v>
      </c>
      <c r="O82" s="23">
        <f>IFERROR(N82/N148, "NA")</f>
        <v>0</v>
      </c>
      <c r="P82" s="21">
        <v>0.0</v>
      </c>
      <c r="Q82" s="23">
        <f>IFERROR(P82/P148, "NA")</f>
        <v>0</v>
      </c>
      <c r="R82" s="21">
        <v>301.04</v>
      </c>
      <c r="S82" s="23">
        <f>IFERROR(R82/R148, "NA")</f>
        <v>0.03447213682</v>
      </c>
      <c r="T82" s="21">
        <v>0.0</v>
      </c>
      <c r="U82" s="23">
        <f>IFERROR(T82/T148, "NA")</f>
        <v>0</v>
      </c>
      <c r="V82" s="21">
        <v>0.0</v>
      </c>
      <c r="W82" s="23">
        <f>IFERROR(V82/V148, "NA")</f>
        <v>0</v>
      </c>
      <c r="X82" s="21">
        <v>0.0</v>
      </c>
      <c r="Y82" s="23">
        <f>IFERROR(X82/X148, "NA")</f>
        <v>0</v>
      </c>
      <c r="Z82" s="21">
        <v>301.04</v>
      </c>
      <c r="AA82" s="23">
        <f>IFERROR(Z82/Z148, "NA")</f>
        <v>0.004461243099</v>
      </c>
      <c r="AB82" s="28">
        <f t="shared" si="37"/>
        <v>75.26</v>
      </c>
      <c r="AC82" s="23">
        <f>IFERROR(AB82/AB148, "NA")</f>
        <v>0.004461243099</v>
      </c>
      <c r="AD82" s="29">
        <f t="shared" si="38"/>
        <v>-75.26</v>
      </c>
      <c r="AE82" s="30">
        <f>IFERROR(AD82/AD148, "NA")</f>
        <v>-0.02377843653</v>
      </c>
      <c r="AF82" s="29">
        <f t="shared" si="39"/>
        <v>-1</v>
      </c>
      <c r="AG82" s="28">
        <f t="shared" si="40"/>
        <v>37.63</v>
      </c>
      <c r="AH82" s="23">
        <f>IFERROR(AG82/AG148, "NA")</f>
        <v>0.002168425836</v>
      </c>
      <c r="AI82" s="29">
        <f t="shared" si="41"/>
        <v>-37.63</v>
      </c>
      <c r="AJ82" s="30">
        <f>IFERROR(AI82/AI148, "NA")</f>
        <v>-0.01403482599</v>
      </c>
      <c r="AK82" s="29">
        <f t="shared" si="42"/>
        <v>-1</v>
      </c>
      <c r="AL82" s="30">
        <f>IFERROR(AK82/AK148, "NA")</f>
        <v>-6.472356931</v>
      </c>
    </row>
    <row r="83" ht="16.5" customHeight="1">
      <c r="A83" s="19" t="s">
        <v>147</v>
      </c>
      <c r="B83" s="21">
        <v>0.0</v>
      </c>
      <c r="C83" s="23">
        <f>IFERROR(B83/B148, "NA")</f>
        <v>0</v>
      </c>
      <c r="D83" s="21">
        <v>0.0</v>
      </c>
      <c r="E83" s="23">
        <f>IFERROR(D83/D148, "NA")</f>
        <v>0</v>
      </c>
      <c r="F83" s="21">
        <v>0.0</v>
      </c>
      <c r="G83" s="23">
        <f>IFERROR(F83/F148, "NA")</f>
        <v>0</v>
      </c>
      <c r="H83" s="21">
        <v>0.0</v>
      </c>
      <c r="I83" s="23">
        <f>IFERROR(H83/H148, "NA")</f>
        <v>0</v>
      </c>
      <c r="J83" s="21">
        <v>-10.72</v>
      </c>
      <c r="K83" s="23">
        <f>IFERROR(J83/J148, "NA")</f>
        <v>-0.0004566231441</v>
      </c>
      <c r="L83" s="21">
        <v>-10.72</v>
      </c>
      <c r="M83" s="23">
        <f>IFERROR(L83/L148, "NA")</f>
        <v>-0.0005167393171</v>
      </c>
      <c r="N83" s="21">
        <v>35.73</v>
      </c>
      <c r="O83" s="23">
        <f>IFERROR(N83/N148, "NA")</f>
        <v>0.001858931403</v>
      </c>
      <c r="P83" s="21">
        <v>-10.72</v>
      </c>
      <c r="Q83" s="23">
        <f>IFERROR(P83/P148, "NA")</f>
        <v>-0.001355762433</v>
      </c>
      <c r="R83" s="21">
        <v>-10.72</v>
      </c>
      <c r="S83" s="23">
        <f>IFERROR(R83/R148, "NA")</f>
        <v>-0.001227548853</v>
      </c>
      <c r="T83" s="21">
        <v>-10.72</v>
      </c>
      <c r="U83" s="23">
        <f>IFERROR(T83/T148, "NA")</f>
        <v>-0.0006337041961</v>
      </c>
      <c r="V83" s="21">
        <v>35.73</v>
      </c>
      <c r="W83" s="23">
        <f>IFERROR(V83/V148, "NA")</f>
        <v>0.001639374349</v>
      </c>
      <c r="X83" s="21">
        <v>-10.72</v>
      </c>
      <c r="Y83" s="23">
        <f>IFERROR(X83/X148, "NA")</f>
        <v>-0.000535069247</v>
      </c>
      <c r="Z83" s="21">
        <v>3.57</v>
      </c>
      <c r="AA83" s="23">
        <f>IFERROR(Z83/Z148, "NA")</f>
        <v>0.00005290538753</v>
      </c>
      <c r="AB83" s="28">
        <f t="shared" si="37"/>
        <v>0.8925</v>
      </c>
      <c r="AC83" s="23">
        <f>IFERROR(AB83/AB148, "NA")</f>
        <v>0.00005290538753</v>
      </c>
      <c r="AD83" s="29">
        <f t="shared" si="38"/>
        <v>-11.6125</v>
      </c>
      <c r="AE83" s="30">
        <f>IFERROR(AD83/AD148, "NA")</f>
        <v>-0.003668975475</v>
      </c>
      <c r="AF83" s="29">
        <f t="shared" si="39"/>
        <v>-13.01120448</v>
      </c>
      <c r="AG83" s="28">
        <f t="shared" si="40"/>
        <v>0.8925</v>
      </c>
      <c r="AH83" s="23">
        <f>IFERROR(AG83/AG148, "NA")</f>
        <v>0.00005143024337</v>
      </c>
      <c r="AI83" s="29">
        <f t="shared" si="41"/>
        <v>-11.6125</v>
      </c>
      <c r="AJ83" s="30">
        <f>IFERROR(AI83/AI148, "NA")</f>
        <v>-0.004331103289</v>
      </c>
      <c r="AK83" s="29">
        <f t="shared" si="42"/>
        <v>-13.01120448</v>
      </c>
      <c r="AL83" s="30">
        <f>IFERROR(AK83/AK148, "NA")</f>
        <v>-84.21315951</v>
      </c>
    </row>
    <row r="84" ht="16.5" customHeight="1">
      <c r="A84" s="65" t="s">
        <v>56</v>
      </c>
      <c r="B84" s="66">
        <f>IFERROR(B63+B65+B66+B67+B68+B69+B71+B72+B74+B75+B76+B77+B78+B79+B80+B82+B83, "NA")</f>
        <v>8103.16</v>
      </c>
      <c r="C84" s="67">
        <f>IFERROR(B84/B148, "NA")</f>
        <v>0.20343245</v>
      </c>
      <c r="D84" s="66">
        <f>IFERROR(D63+D65+D66+D67+D68+D69+D71+D72+D74+D75+D76+D77+D78+D79+D80+D82+D83, "NA")</f>
        <v>7713.79</v>
      </c>
      <c r="E84" s="67">
        <f>IFERROR(D84/D148, "NA")</f>
        <v>0.2230800108</v>
      </c>
      <c r="F84" s="66">
        <f>IFERROR(F63+F65+F66+F67+F68+F69+F71+F72+F74+F75+F76+F77+F78+F79+F80+F82+F83, "NA")</f>
        <v>7015.02</v>
      </c>
      <c r="G84" s="67">
        <f>IFERROR(F84/F148, "NA")</f>
        <v>0.3094136463</v>
      </c>
      <c r="H84" s="66">
        <f>IFERROR(H63+H65+H66+H67+H68+H69+H71+H72+H74+H75+H76+H77+H78+H79+H80+H82+H83, "NA")</f>
        <v>4598.43</v>
      </c>
      <c r="I84" s="67">
        <f>IFERROR(H84/H148, "NA")</f>
        <v>0.413524159</v>
      </c>
      <c r="J84" s="66">
        <f>IFERROR(J63+J65+J66+J67+J68+J69+J71+J72+J74+J75+J76+J77+J78+J79+J80+J82+J83, "NA")</f>
        <v>6644.28</v>
      </c>
      <c r="K84" s="67">
        <f>IFERROR(J84/J148, "NA")</f>
        <v>0.283016047</v>
      </c>
      <c r="L84" s="66">
        <f>IFERROR(L63+L65+L66+L67+L68+L69+L71+L72+L74+L75+L76+L77+L78+L79+L80+L82+L83, "NA")</f>
        <v>7001.68</v>
      </c>
      <c r="M84" s="67">
        <f>IFERROR(L84/L148, "NA")</f>
        <v>0.3375040431</v>
      </c>
      <c r="N84" s="66">
        <f>IFERROR(N63+N65+N66+N67+N68+N69+N71+N72+N74+N75+N76+N77+N78+N79+N80+N82+N83, "NA")</f>
        <v>6672.62</v>
      </c>
      <c r="O84" s="67">
        <f>IFERROR(N84/N148, "NA")</f>
        <v>0.3471576507</v>
      </c>
      <c r="P84" s="66">
        <f>IFERROR(P63+P65+P66+P67+P68+P69+P71+P72+P74+P75+P76+P77+P78+P79+P80+P82+P83, "NA")</f>
        <v>4435.34</v>
      </c>
      <c r="Q84" s="67">
        <f>IFERROR(P84/P148, "NA")</f>
        <v>0.5609391184</v>
      </c>
      <c r="R84" s="66">
        <f>IFERROR(R63+R65+R66+R67+R68+R69+R71+R72+R74+R75+R76+R77+R78+R79+R80+R82+R83, "NA")</f>
        <v>5167.08</v>
      </c>
      <c r="S84" s="67">
        <f>IFERROR(R84/R148, "NA")</f>
        <v>0.5916831275</v>
      </c>
      <c r="T84" s="66">
        <f>IFERROR(T63+T65+T66+T67+T68+T69+T71+T72+T74+T75+T76+T77+T78+T79+T80+T82+T83, "NA")</f>
        <v>6927.56</v>
      </c>
      <c r="U84" s="67">
        <f>IFERROR(T84/T148, "NA")</f>
        <v>0.4095171493</v>
      </c>
      <c r="V84" s="66">
        <f>IFERROR(V63+V65+V66+V67+V68+V69+V71+V72+V74+V75+V76+V77+V78+V79+V80+V82+V83, "NA")</f>
        <v>5623.18</v>
      </c>
      <c r="W84" s="67">
        <f>IFERROR(V84/V148, "NA")</f>
        <v>0.2580043955</v>
      </c>
      <c r="X84" s="66">
        <f>IFERROR(X63+X65+X66+X67+X68+X69+X71+X72+X74+X75+X76+X77+X78+X79+X80+X82+X83, "NA")</f>
        <v>6159.29</v>
      </c>
      <c r="Y84" s="67">
        <f>IFERROR(X84/X148, "NA")</f>
        <v>0.307429726</v>
      </c>
      <c r="Z84" s="66">
        <f>IFERROR(Z63+Z65+Z66+Z67+Z68+Z69+Z71+Z72+Z74+Z75+Z76+Z77+Z78+Z79+Z80+Z82+Z83, "NA")</f>
        <v>23877.11</v>
      </c>
      <c r="AA84" s="67">
        <f>IFERROR(Z84/Z148, "NA")</f>
        <v>0.3538453103</v>
      </c>
      <c r="AB84" s="66">
        <f t="shared" si="37"/>
        <v>5969.2775</v>
      </c>
      <c r="AC84" s="67">
        <f>IFERROR(AB84/AB148, "NA")</f>
        <v>0.3538453103</v>
      </c>
      <c r="AD84" s="75">
        <f t="shared" si="38"/>
        <v>190.0125</v>
      </c>
      <c r="AE84" s="76">
        <f>IFERROR(AD84/AD148, "NA")</f>
        <v>0.06003454919</v>
      </c>
      <c r="AF84" s="75">
        <f t="shared" si="39"/>
        <v>0.03183174178</v>
      </c>
      <c r="AG84" s="66">
        <f t="shared" si="40"/>
        <v>6078.87875</v>
      </c>
      <c r="AH84" s="67">
        <f>IFERROR(AG84/AG148, "NA")</f>
        <v>0.3502949172</v>
      </c>
      <c r="AI84" s="75">
        <f t="shared" si="41"/>
        <v>80.41125</v>
      </c>
      <c r="AJ84" s="76">
        <f>IFERROR(AI84/AI148, "NA")</f>
        <v>0.02999090888</v>
      </c>
      <c r="AK84" s="75">
        <f t="shared" si="42"/>
        <v>0.01322797399</v>
      </c>
      <c r="AL84" s="76">
        <f>IFERROR(AK84/AK148, "NA")</f>
        <v>0.08561616915</v>
      </c>
    </row>
    <row r="85" ht="16.5" customHeight="1">
      <c r="A85" s="65" t="s">
        <v>56</v>
      </c>
      <c r="B85" s="118">
        <f>IFERROR(B63+B65+B66+B67+B68+B69+B71+B72+B74+B75+B76+B77+B78+B79+B80+B82+B83, "NA")</f>
        <v>8103.16</v>
      </c>
      <c r="C85" s="92">
        <f>IFERROR(B85/B148, "NA")</f>
        <v>0.20343245</v>
      </c>
      <c r="D85" s="118">
        <f>IFERROR(D63+D65+D66+D67+D68+D69+D71+D72+D74+D75+D76+D77+D78+D79+D80+D82+D83, "NA")</f>
        <v>7713.79</v>
      </c>
      <c r="E85" s="92">
        <f>IFERROR(D85/D148, "NA")</f>
        <v>0.2230800108</v>
      </c>
      <c r="F85" s="118">
        <f>IFERROR(F63+F65+F66+F67+F68+F69+F71+F72+F74+F75+F76+F77+F78+F79+F80+F82+F83, "NA")</f>
        <v>7015.02</v>
      </c>
      <c r="G85" s="92">
        <f>IFERROR(F85/F148, "NA")</f>
        <v>0.3094136463</v>
      </c>
      <c r="H85" s="118">
        <f>IFERROR(H63+H65+H66+H67+H68+H69+H71+H72+H74+H75+H76+H77+H78+H79+H80+H82+H83, "NA")</f>
        <v>4598.43</v>
      </c>
      <c r="I85" s="92">
        <f>IFERROR(H85/H148, "NA")</f>
        <v>0.413524159</v>
      </c>
      <c r="J85" s="118">
        <f>IFERROR(J63+J65+J66+J67+J68+J69+J71+J72+J74+J75+J76+J77+J78+J79+J80+J82+J83, "NA")</f>
        <v>6644.28</v>
      </c>
      <c r="K85" s="92">
        <f>IFERROR(J85/J148, "NA")</f>
        <v>0.283016047</v>
      </c>
      <c r="L85" s="118">
        <f>IFERROR(L63+L65+L66+L67+L68+L69+L71+L72+L74+L75+L76+L77+L78+L79+L80+L82+L83, "NA")</f>
        <v>7001.68</v>
      </c>
      <c r="M85" s="92">
        <f>IFERROR(L85/L148, "NA")</f>
        <v>0.3375040431</v>
      </c>
      <c r="N85" s="118">
        <f>IFERROR(N63+N65+N66+N67+N68+N69+N71+N72+N74+N75+N76+N77+N78+N79+N80+N82+N83, "NA")</f>
        <v>6672.62</v>
      </c>
      <c r="O85" s="92">
        <f>IFERROR(N85/N148, "NA")</f>
        <v>0.3471576507</v>
      </c>
      <c r="P85" s="118">
        <f>IFERROR(P63+P65+P66+P67+P68+P69+P71+P72+P74+P75+P76+P77+P78+P79+P80+P82+P83, "NA")</f>
        <v>4435.34</v>
      </c>
      <c r="Q85" s="92">
        <f>IFERROR(P85/P148, "NA")</f>
        <v>0.5609391184</v>
      </c>
      <c r="R85" s="118">
        <f>IFERROR(R63+R65+R66+R67+R68+R69+R71+R72+R74+R75+R76+R77+R78+R79+R80+R82+R83, "NA")</f>
        <v>5167.08</v>
      </c>
      <c r="S85" s="92">
        <f>IFERROR(R85/R148, "NA")</f>
        <v>0.5916831275</v>
      </c>
      <c r="T85" s="118">
        <f>IFERROR(T63+T65+T66+T67+T68+T69+T71+T72+T74+T75+T76+T77+T78+T79+T80+T82+T83, "NA")</f>
        <v>6927.56</v>
      </c>
      <c r="U85" s="92">
        <f>IFERROR(T85/T148, "NA")</f>
        <v>0.4095171493</v>
      </c>
      <c r="V85" s="118">
        <f>IFERROR(V63+V65+V66+V67+V68+V69+V71+V72+V74+V75+V76+V77+V78+V79+V80+V82+V83, "NA")</f>
        <v>5623.18</v>
      </c>
      <c r="W85" s="92">
        <f>IFERROR(V85/V148, "NA")</f>
        <v>0.2580043955</v>
      </c>
      <c r="X85" s="118">
        <f>IFERROR(X63+X65+X66+X67+X68+X69+X71+X72+X74+X75+X76+X77+X78+X79+X80+X82+X83, "NA")</f>
        <v>6159.29</v>
      </c>
      <c r="Y85" s="92">
        <f>IFERROR(X85/X148, "NA")</f>
        <v>0.307429726</v>
      </c>
      <c r="Z85" s="118">
        <f>IFERROR(Z63+Z65+Z66+Z67+Z68+Z69+Z71+Z72+Z74+Z75+Z76+Z77+Z78+Z79+Z80+Z82+Z83, "NA")</f>
        <v>23877.11</v>
      </c>
      <c r="AA85" s="92">
        <f>IFERROR(Z85/Z148, "NA")</f>
        <v>0.3538453103</v>
      </c>
      <c r="AB85" s="118">
        <f t="shared" si="37"/>
        <v>5969.2775</v>
      </c>
      <c r="AC85" s="92">
        <f>IFERROR(AB85/AB148, "NA")</f>
        <v>0.3538453103</v>
      </c>
      <c r="AD85" s="119">
        <f t="shared" si="38"/>
        <v>190.0125</v>
      </c>
      <c r="AE85" s="120">
        <f>IFERROR(AD85/AD148, "NA")</f>
        <v>0.06003454919</v>
      </c>
      <c r="AF85" s="119">
        <f t="shared" si="39"/>
        <v>0.03183174178</v>
      </c>
      <c r="AG85" s="118">
        <f t="shared" si="40"/>
        <v>6078.87875</v>
      </c>
      <c r="AH85" s="92">
        <f>IFERROR(AG85/AG148, "NA")</f>
        <v>0.3502949172</v>
      </c>
      <c r="AI85" s="119">
        <f t="shared" si="41"/>
        <v>80.41125</v>
      </c>
      <c r="AJ85" s="120">
        <f>IFERROR(AI85/AI148, "NA")</f>
        <v>0.02999090888</v>
      </c>
      <c r="AK85" s="119">
        <f t="shared" si="42"/>
        <v>0.01322797399</v>
      </c>
      <c r="AL85" s="120">
        <f>IFERROR(AK85/AK148, "NA")</f>
        <v>0.08561616915</v>
      </c>
    </row>
    <row r="86" ht="3.75" customHeight="1">
      <c r="A86" s="123"/>
      <c r="B86" s="124"/>
      <c r="C86" s="74"/>
      <c r="D86" s="124"/>
      <c r="E86" s="74"/>
      <c r="F86" s="124"/>
      <c r="G86" s="74"/>
      <c r="H86" s="124"/>
      <c r="I86" s="74"/>
      <c r="J86" s="124"/>
      <c r="K86" s="74"/>
      <c r="L86" s="124"/>
      <c r="M86" s="74"/>
      <c r="N86" s="124"/>
      <c r="O86" s="74"/>
      <c r="P86" s="124"/>
      <c r="Q86" s="74"/>
      <c r="R86" s="124"/>
      <c r="S86" s="74"/>
      <c r="T86" s="124"/>
      <c r="U86" s="74"/>
      <c r="V86" s="124"/>
      <c r="W86" s="74"/>
      <c r="X86" s="124"/>
      <c r="Y86" s="74"/>
      <c r="Z86" s="124"/>
      <c r="AA86" s="74"/>
      <c r="AB86" s="124"/>
      <c r="AC86" s="74"/>
      <c r="AD86" s="125"/>
      <c r="AE86" s="80"/>
      <c r="AF86" s="125"/>
      <c r="AG86" s="124"/>
      <c r="AH86" s="74"/>
      <c r="AI86" s="125"/>
      <c r="AJ86" s="80"/>
      <c r="AK86" s="125"/>
      <c r="AL86" s="80"/>
    </row>
    <row r="87" ht="16.5" customHeight="1">
      <c r="A87" s="121" t="s">
        <v>57</v>
      </c>
      <c r="B87" s="122">
        <f>IFERROR(B59-B85, "NA")</f>
        <v>21838.11</v>
      </c>
      <c r="C87" s="94">
        <f>IFERROR(B87/B148, "NA")</f>
        <v>0.5482528076</v>
      </c>
      <c r="D87" s="122">
        <f>IFERROR(D59-D85, "NA")</f>
        <v>18408.63</v>
      </c>
      <c r="E87" s="94">
        <f>IFERROR(D87/D148, "NA")</f>
        <v>0.5323709071</v>
      </c>
      <c r="F87" s="122">
        <f>IFERROR(F59-F85, "NA")</f>
        <v>10076.26</v>
      </c>
      <c r="G87" s="94">
        <f>IFERROR(F87/F148, "NA")</f>
        <v>0.4444367012</v>
      </c>
      <c r="H87" s="122">
        <f>IFERROR(H59-H85, "NA")</f>
        <v>3380.86</v>
      </c>
      <c r="I87" s="94">
        <f>IFERROR(H87/H148, "NA")</f>
        <v>0.3040314386</v>
      </c>
      <c r="J87" s="122">
        <f>IFERROR(J59-J85, "NA")</f>
        <v>10370.91</v>
      </c>
      <c r="K87" s="94">
        <f>IFERROR(J87/J148, "NA")</f>
        <v>0.441753501</v>
      </c>
      <c r="L87" s="122">
        <f>IFERROR(L59-L85, "NA")</f>
        <v>7977.05</v>
      </c>
      <c r="M87" s="94">
        <f>IFERROR(L87/L148, "NA")</f>
        <v>0.3845200904</v>
      </c>
      <c r="N87" s="122">
        <f>IFERROR(N59-N85, "NA")</f>
        <v>7911.37</v>
      </c>
      <c r="O87" s="94">
        <f>IFERROR(N87/N148, "NA")</f>
        <v>0.411606329</v>
      </c>
      <c r="P87" s="122">
        <f>IFERROR(P59-P85, "NA")</f>
        <v>582.71</v>
      </c>
      <c r="Q87" s="94">
        <f>IFERROR(P87/P148, "NA")</f>
        <v>0.07369555292</v>
      </c>
      <c r="R87" s="122">
        <f>IFERROR(R59-R85, "NA")</f>
        <v>1122.95</v>
      </c>
      <c r="S87" s="94">
        <f>IFERROR(R87/R148, "NA")</f>
        <v>0.1285891776</v>
      </c>
      <c r="T87" s="122">
        <f>IFERROR(T59-T85, "NA")</f>
        <v>4289.72</v>
      </c>
      <c r="U87" s="94">
        <f>IFERROR(T87/T148, "NA")</f>
        <v>0.2535833549</v>
      </c>
      <c r="V87" s="122">
        <f>IFERROR(V59-V85, "NA")</f>
        <v>10733.42</v>
      </c>
      <c r="W87" s="94">
        <f>IFERROR(V87/V148, "NA")</f>
        <v>0.4924739274</v>
      </c>
      <c r="X87" s="122">
        <f>IFERROR(X59-X85, "NA")</f>
        <v>8348.58</v>
      </c>
      <c r="Y87" s="94">
        <f>IFERROR(X87/X148, "NA")</f>
        <v>0.4167041431</v>
      </c>
      <c r="Z87" s="122">
        <f>IFERROR(Z59-Z85, "NA")</f>
        <v>24494.67</v>
      </c>
      <c r="AA87" s="94">
        <f>IFERROR(Z87/Z148, "NA")</f>
        <v>0.3629972013</v>
      </c>
      <c r="AB87" s="122">
        <f>IFERROR((R87+T87+V87+X87)/4, "NA")</f>
        <v>6123.6675</v>
      </c>
      <c r="AC87" s="94">
        <f>IFERROR(AB87/AB148, "NA")</f>
        <v>0.3629972013</v>
      </c>
      <c r="AD87" s="75">
        <f>IFERROR(X87-AB87, "NA")</f>
        <v>2224.9125</v>
      </c>
      <c r="AE87" s="76">
        <f>IFERROR(AD87/AD148, "NA")</f>
        <v>0.7029622731</v>
      </c>
      <c r="AF87" s="75">
        <f>IFERROR((X87-AB87)/AB87, "NA")</f>
        <v>0.3633300632</v>
      </c>
      <c r="AG87" s="122">
        <f>IFERROR((J87+L87+N87+P87+R87+T87+V87+X87)/8, "NA")</f>
        <v>6417.08875</v>
      </c>
      <c r="AH87" s="94">
        <f>IFERROR(AG87/AG148, "NA")</f>
        <v>0.3697842422</v>
      </c>
      <c r="AI87" s="75">
        <f>IFERROR(X87-AG87, "NA")</f>
        <v>1931.49125</v>
      </c>
      <c r="AJ87" s="76">
        <f>IFERROR(AI87/AI148, "NA")</f>
        <v>0.7203864892</v>
      </c>
      <c r="AK87" s="75">
        <f>IFERROR((X87-AG87)/AG87, "NA")</f>
        <v>0.3009918244</v>
      </c>
      <c r="AL87" s="76">
        <f>IFERROR(AK87/AK148, "NA")</f>
        <v>1.948126521</v>
      </c>
    </row>
    <row r="88" ht="3.75" customHeight="1">
      <c r="A88" s="123"/>
      <c r="B88" s="124"/>
      <c r="C88" s="74"/>
      <c r="D88" s="124"/>
      <c r="E88" s="74"/>
      <c r="F88" s="124"/>
      <c r="G88" s="74"/>
      <c r="H88" s="124"/>
      <c r="I88" s="74"/>
      <c r="J88" s="124"/>
      <c r="K88" s="74"/>
      <c r="L88" s="124"/>
      <c r="M88" s="74"/>
      <c r="N88" s="124"/>
      <c r="O88" s="74"/>
      <c r="P88" s="124"/>
      <c r="Q88" s="74"/>
      <c r="R88" s="124"/>
      <c r="S88" s="74"/>
      <c r="T88" s="124"/>
      <c r="U88" s="74"/>
      <c r="V88" s="124"/>
      <c r="W88" s="74"/>
      <c r="X88" s="124"/>
      <c r="Y88" s="74"/>
      <c r="Z88" s="124"/>
      <c r="AA88" s="74"/>
      <c r="AB88" s="124"/>
      <c r="AC88" s="74"/>
      <c r="AD88" s="125"/>
      <c r="AE88" s="80"/>
      <c r="AF88" s="125"/>
      <c r="AG88" s="124"/>
      <c r="AH88" s="74"/>
      <c r="AI88" s="125"/>
      <c r="AJ88" s="80"/>
      <c r="AK88" s="125"/>
      <c r="AL88" s="80"/>
    </row>
    <row r="89" ht="16.5" hidden="1" customHeight="1">
      <c r="A89" s="13" t="s">
        <v>203</v>
      </c>
      <c r="B89" s="14"/>
      <c r="C89" s="12"/>
      <c r="D89" s="14"/>
      <c r="E89" s="12"/>
      <c r="F89" s="14"/>
      <c r="G89" s="12"/>
      <c r="H89" s="14"/>
      <c r="I89" s="12"/>
      <c r="J89" s="14"/>
      <c r="K89" s="12"/>
      <c r="L89" s="14"/>
      <c r="M89" s="12"/>
      <c r="N89" s="14"/>
      <c r="O89" s="12"/>
      <c r="P89" s="14"/>
      <c r="Q89" s="12"/>
      <c r="R89" s="14"/>
      <c r="S89" s="12"/>
      <c r="T89" s="14"/>
      <c r="U89" s="12"/>
      <c r="V89" s="14"/>
      <c r="W89" s="12"/>
      <c r="X89" s="14"/>
      <c r="Y89" s="12"/>
      <c r="Z89" s="14"/>
      <c r="AA89" s="12"/>
      <c r="AB89" s="14"/>
      <c r="AC89" s="12"/>
      <c r="AD89" s="17"/>
      <c r="AE89" s="18"/>
      <c r="AF89" s="17"/>
      <c r="AG89" s="14"/>
      <c r="AH89" s="12"/>
      <c r="AI89" s="17"/>
      <c r="AJ89" s="18"/>
      <c r="AK89" s="17"/>
      <c r="AL89" s="18"/>
    </row>
    <row r="90" ht="16.5" hidden="1" customHeight="1">
      <c r="A90" s="19" t="s">
        <v>204</v>
      </c>
      <c r="B90" s="21">
        <v>1072.41</v>
      </c>
      <c r="C90" s="23">
        <f>IFERROR(B90/B148, "NA")</f>
        <v>0.02692319955</v>
      </c>
      <c r="D90" s="21">
        <v>426.09</v>
      </c>
      <c r="E90" s="23">
        <f>IFERROR(D90/D148, "NA")</f>
        <v>0.01232236836</v>
      </c>
      <c r="F90" s="21">
        <v>591.62</v>
      </c>
      <c r="G90" s="23">
        <f>IFERROR(F90/F148, "NA")</f>
        <v>0.02609476543</v>
      </c>
      <c r="H90" s="21">
        <v>620.72</v>
      </c>
      <c r="I90" s="23">
        <f>IFERROR(H90/H148, "NA")</f>
        <v>0.05581964191</v>
      </c>
      <c r="J90" s="21">
        <v>265.73</v>
      </c>
      <c r="K90" s="23">
        <f>IFERROR(J90/J148, "NA")</f>
        <v>0.01131888695</v>
      </c>
      <c r="L90" s="21">
        <v>332.69</v>
      </c>
      <c r="M90" s="23">
        <f>IFERROR(L90/L148, "NA")</f>
        <v>0.01603675405</v>
      </c>
      <c r="N90" s="21">
        <v>410.89</v>
      </c>
      <c r="O90" s="23">
        <f>IFERROR(N90/N148, "NA")</f>
        <v>0.021377451</v>
      </c>
      <c r="P90" s="21">
        <v>260.26</v>
      </c>
      <c r="Q90" s="23">
        <f>IFERROR(P90/P148, "NA")</f>
        <v>0.03291518011</v>
      </c>
      <c r="R90" s="21">
        <v>259.14</v>
      </c>
      <c r="S90" s="23">
        <f>IFERROR(R90/R148, "NA")</f>
        <v>0.02967416136</v>
      </c>
      <c r="T90" s="21">
        <v>320.59</v>
      </c>
      <c r="U90" s="23">
        <f>IFERROR(T90/T148, "NA")</f>
        <v>0.01895142054</v>
      </c>
      <c r="V90" s="21">
        <v>292.87</v>
      </c>
      <c r="W90" s="23">
        <f>IFERROR(V90/V148, "NA")</f>
        <v>0.01343754732</v>
      </c>
      <c r="X90" s="21">
        <v>358.0</v>
      </c>
      <c r="Y90" s="23">
        <f>IFERROR(X90/X148, "NA")</f>
        <v>0.01786891702</v>
      </c>
      <c r="Z90" s="21">
        <v>1230.6</v>
      </c>
      <c r="AA90" s="23">
        <f>IFERROR(Z90/Z148, "NA")</f>
        <v>0.01823679829</v>
      </c>
      <c r="AB90" s="28">
        <f t="shared" ref="AB90:AB99" si="43">IFERROR((R90+T90+V90+X90)/4, "NA")</f>
        <v>307.65</v>
      </c>
      <c r="AC90" s="23">
        <f>IFERROR(AB90/AB148, "NA")</f>
        <v>0.01823679829</v>
      </c>
      <c r="AD90" s="29">
        <f t="shared" ref="AD90:AD99" si="44">IFERROR(X90-AB90, "NA")</f>
        <v>50.35</v>
      </c>
      <c r="AE90" s="30">
        <f>IFERROR(AD90/AD148, "NA")</f>
        <v>0.01590810895</v>
      </c>
      <c r="AF90" s="29">
        <f t="shared" ref="AF90:AF99" si="45">IFERROR((X90-AB90)/AB90, "NA")</f>
        <v>0.1636600033</v>
      </c>
      <c r="AG90" s="28">
        <f t="shared" ref="AG90:AG99" si="46">IFERROR((J90+L90+N90+P90+R90+T90+V90+X90)/8, "NA")</f>
        <v>312.52125</v>
      </c>
      <c r="AH90" s="23">
        <f>IFERROR(AG90/AG148, "NA")</f>
        <v>0.01800901283</v>
      </c>
      <c r="AI90" s="29">
        <f t="shared" ref="AI90:AI99" si="47">IFERROR(X90-AG90, "NA")</f>
        <v>45.47875</v>
      </c>
      <c r="AJ90" s="30">
        <f>IFERROR(AI90/AI148, "NA")</f>
        <v>0.01696216695</v>
      </c>
      <c r="AK90" s="29">
        <f t="shared" ref="AK90:AK99" si="48">IFERROR((X90-AG90)/AG90, "NA")</f>
        <v>0.1455221045</v>
      </c>
      <c r="AL90" s="30">
        <f>IFERROR(AK90/AK148, "NA")</f>
        <v>0.9418710017</v>
      </c>
    </row>
    <row r="91" ht="16.5" hidden="1" customHeight="1">
      <c r="A91" s="19" t="s">
        <v>205</v>
      </c>
      <c r="B91" s="21">
        <v>877.3</v>
      </c>
      <c r="C91" s="23">
        <f>IFERROR(B91/B148, "NA")</f>
        <v>0.02202489996</v>
      </c>
      <c r="D91" s="21">
        <v>547.83</v>
      </c>
      <c r="E91" s="23">
        <f>IFERROR(D91/D148, "NA")</f>
        <v>0.01584304503</v>
      </c>
      <c r="F91" s="21">
        <v>511.64</v>
      </c>
      <c r="G91" s="23">
        <f>IFERROR(F91/F148, "NA")</f>
        <v>0.02256706296</v>
      </c>
      <c r="H91" s="21">
        <v>604.53</v>
      </c>
      <c r="I91" s="23">
        <f>IFERROR(H91/H148, "NA")</f>
        <v>0.05436371975</v>
      </c>
      <c r="J91" s="21">
        <v>975.39</v>
      </c>
      <c r="K91" s="23">
        <f>IFERROR(J91/J148, "NA")</f>
        <v>0.0415471687</v>
      </c>
      <c r="L91" s="21">
        <v>831.14</v>
      </c>
      <c r="M91" s="23">
        <f>IFERROR(L91/L148, "NA")</f>
        <v>0.04006368619</v>
      </c>
      <c r="N91" s="21">
        <v>449.29</v>
      </c>
      <c r="O91" s="23">
        <f>IFERROR(N91/N148, "NA")</f>
        <v>0.02337529499</v>
      </c>
      <c r="P91" s="21">
        <v>445.25</v>
      </c>
      <c r="Q91" s="23">
        <f>IFERROR(P91/P148, "NA")</f>
        <v>0.05631093501</v>
      </c>
      <c r="R91" s="21">
        <v>112.68</v>
      </c>
      <c r="S91" s="23">
        <f>IFERROR(R91/R148, "NA")</f>
        <v>0.01290300417</v>
      </c>
      <c r="T91" s="21">
        <v>303.73</v>
      </c>
      <c r="U91" s="23">
        <f>IFERROR(T91/T148, "NA")</f>
        <v>0.01795475518</v>
      </c>
      <c r="V91" s="21">
        <v>545.01</v>
      </c>
      <c r="W91" s="23">
        <f>IFERROR(V91/V148, "NA")</f>
        <v>0.02500630882</v>
      </c>
      <c r="X91" s="21">
        <v>648.54</v>
      </c>
      <c r="Y91" s="23">
        <f>IFERROR(X91/X148, "NA")</f>
        <v>0.03237069118</v>
      </c>
      <c r="Z91" s="21">
        <v>1609.96</v>
      </c>
      <c r="AA91" s="23">
        <f>IFERROR(Z91/Z148, "NA")</f>
        <v>0.02385869964</v>
      </c>
      <c r="AB91" s="28">
        <f t="shared" si="43"/>
        <v>402.49</v>
      </c>
      <c r="AC91" s="23">
        <f>IFERROR(AB91/AB148, "NA")</f>
        <v>0.02385869964</v>
      </c>
      <c r="AD91" s="29">
        <f t="shared" si="44"/>
        <v>246.05</v>
      </c>
      <c r="AE91" s="30">
        <f>IFERROR(AD91/AD148, "NA")</f>
        <v>0.07773962675</v>
      </c>
      <c r="AF91" s="29">
        <f t="shared" si="45"/>
        <v>0.6113195359</v>
      </c>
      <c r="AG91" s="28">
        <f t="shared" si="46"/>
        <v>538.87875</v>
      </c>
      <c r="AH91" s="23">
        <f>IFERROR(AG91/AG148, "NA")</f>
        <v>0.03105284623</v>
      </c>
      <c r="AI91" s="29">
        <f t="shared" si="47"/>
        <v>109.66125</v>
      </c>
      <c r="AJ91" s="30">
        <f>IFERROR(AI91/AI148, "NA")</f>
        <v>0.04090025409</v>
      </c>
      <c r="AK91" s="29">
        <f t="shared" si="48"/>
        <v>0.2034989318</v>
      </c>
      <c r="AL91" s="30">
        <f>IFERROR(AK91/AK148, "NA")</f>
        <v>1.317117722</v>
      </c>
    </row>
    <row r="92" ht="16.5" hidden="1" customHeight="1">
      <c r="A92" s="19" t="s">
        <v>206</v>
      </c>
      <c r="B92" s="21">
        <v>137.95</v>
      </c>
      <c r="C92" s="23">
        <f>IFERROR(B92/B148, "NA")</f>
        <v>0.003463279323</v>
      </c>
      <c r="D92" s="21">
        <v>0.0</v>
      </c>
      <c r="E92" s="23">
        <f>IFERROR(D92/D148, "NA")</f>
        <v>0</v>
      </c>
      <c r="F92" s="21">
        <v>0.0</v>
      </c>
      <c r="G92" s="23">
        <f>IFERROR(F92/F148, "NA")</f>
        <v>0</v>
      </c>
      <c r="H92" s="21">
        <v>160.75</v>
      </c>
      <c r="I92" s="23">
        <f>IFERROR(H92/H148, "NA")</f>
        <v>0.01445580525</v>
      </c>
      <c r="J92" s="21">
        <v>41.0</v>
      </c>
      <c r="K92" s="23">
        <f>IFERROR(J92/J148, "NA")</f>
        <v>0.001746413144</v>
      </c>
      <c r="L92" s="21">
        <v>88.18</v>
      </c>
      <c r="M92" s="23">
        <f>IFERROR(L92/L148, "NA")</f>
        <v>0.004250566509</v>
      </c>
      <c r="N92" s="21">
        <v>107.62</v>
      </c>
      <c r="O92" s="23">
        <f>IFERROR(N92/N148, "NA")</f>
        <v>0.0055991659</v>
      </c>
      <c r="P92" s="21">
        <v>0.0</v>
      </c>
      <c r="Q92" s="23">
        <f>IFERROR(P92/P148, "NA")</f>
        <v>0</v>
      </c>
      <c r="R92" s="21">
        <v>112.0</v>
      </c>
      <c r="S92" s="23">
        <f>IFERROR(R92/R148, "NA")</f>
        <v>0.01282513727</v>
      </c>
      <c r="T92" s="21">
        <v>0.0</v>
      </c>
      <c r="U92" s="23">
        <f>IFERROR(T92/T148, "NA")</f>
        <v>0</v>
      </c>
      <c r="V92" s="21">
        <v>87.71</v>
      </c>
      <c r="W92" s="23">
        <f>IFERROR(V92/V148, "NA")</f>
        <v>0.004024335969</v>
      </c>
      <c r="X92" s="21">
        <v>76.72</v>
      </c>
      <c r="Y92" s="23">
        <f>IFERROR(X92/X148, "NA")</f>
        <v>0.003829338865</v>
      </c>
      <c r="Z92" s="21">
        <v>276.43</v>
      </c>
      <c r="AA92" s="23">
        <f>IFERROR(Z92/Z148, "NA")</f>
        <v>0.004096536772</v>
      </c>
      <c r="AB92" s="28">
        <f t="shared" si="43"/>
        <v>69.1075</v>
      </c>
      <c r="AC92" s="23">
        <f>IFERROR(AB92/AB148, "NA")</f>
        <v>0.004096536772</v>
      </c>
      <c r="AD92" s="29">
        <f t="shared" si="44"/>
        <v>7.6125</v>
      </c>
      <c r="AE92" s="30">
        <f>IFERROR(AD92/AD148, "NA")</f>
        <v>0.002405173374</v>
      </c>
      <c r="AF92" s="29">
        <f t="shared" si="45"/>
        <v>0.1101544695</v>
      </c>
      <c r="AG92" s="28">
        <f t="shared" si="46"/>
        <v>64.15375</v>
      </c>
      <c r="AH92" s="23">
        <f>IFERROR(AG92/AG148, "NA")</f>
        <v>0.003696854875</v>
      </c>
      <c r="AI92" s="29">
        <f t="shared" si="47"/>
        <v>12.56625</v>
      </c>
      <c r="AJ92" s="30">
        <f>IFERROR(AI92/AI148, "NA")</f>
        <v>0.004686822537</v>
      </c>
      <c r="AK92" s="29">
        <f t="shared" si="48"/>
        <v>0.1958770921</v>
      </c>
      <c r="AL92" s="30">
        <f>IFERROR(AK92/AK148, "NA")</f>
        <v>1.267786455</v>
      </c>
    </row>
    <row r="93" ht="16.5" hidden="1" customHeight="1">
      <c r="A93" s="19" t="s">
        <v>207</v>
      </c>
      <c r="B93" s="21">
        <v>998.81</v>
      </c>
      <c r="C93" s="23">
        <f>IFERROR(B93/B148, "NA")</f>
        <v>0.02507544777</v>
      </c>
      <c r="D93" s="21">
        <v>622.8</v>
      </c>
      <c r="E93" s="23">
        <f>IFERROR(D93/D148, "NA")</f>
        <v>0.01801115026</v>
      </c>
      <c r="F93" s="21">
        <v>1768.29</v>
      </c>
      <c r="G93" s="23">
        <f>IFERROR(F93/F148, "NA")</f>
        <v>0.07799451129</v>
      </c>
      <c r="H93" s="21">
        <v>1252.59</v>
      </c>
      <c r="I93" s="23">
        <f>IFERROR(H93/H148, "NA")</f>
        <v>0.1126419726</v>
      </c>
      <c r="J93" s="21">
        <v>1747.32</v>
      </c>
      <c r="K93" s="23">
        <f>IFERROR(J93/J148, "NA")</f>
        <v>0.07442786866</v>
      </c>
      <c r="L93" s="21">
        <v>2031.87</v>
      </c>
      <c r="M93" s="23">
        <f>IFERROR(L93/L148, "NA")</f>
        <v>0.097942828</v>
      </c>
      <c r="N93" s="21">
        <v>1319.06</v>
      </c>
      <c r="O93" s="23">
        <f>IFERROR(N93/N148, "NA")</f>
        <v>0.06862698172</v>
      </c>
      <c r="P93" s="21">
        <v>484.16</v>
      </c>
      <c r="Q93" s="23">
        <f>IFERROR(P93/P148, "NA")</f>
        <v>0.06123189735</v>
      </c>
      <c r="R93" s="21">
        <v>394.22</v>
      </c>
      <c r="S93" s="23">
        <f>IFERROR(R93/R148, "NA")</f>
        <v>0.04514219298</v>
      </c>
      <c r="T93" s="21">
        <v>1023.62</v>
      </c>
      <c r="U93" s="23">
        <f>IFERROR(T93/T148, "NA")</f>
        <v>0.06051047474</v>
      </c>
      <c r="V93" s="21">
        <v>1278.76</v>
      </c>
      <c r="W93" s="23">
        <f>IFERROR(V93/V148, "NA")</f>
        <v>0.05867244172</v>
      </c>
      <c r="X93" s="21">
        <v>1908.61</v>
      </c>
      <c r="Y93" s="23">
        <f>IFERROR(X93/X148, "NA")</f>
        <v>0.0952647869</v>
      </c>
      <c r="Z93" s="21">
        <v>4605.21</v>
      </c>
      <c r="AA93" s="23">
        <f>IFERROR(Z93/Z148, "NA")</f>
        <v>0.06824661617</v>
      </c>
      <c r="AB93" s="28">
        <f t="shared" si="43"/>
        <v>1151.3025</v>
      </c>
      <c r="AC93" s="23">
        <f>IFERROR(AB93/AB148, "NA")</f>
        <v>0.06824661617</v>
      </c>
      <c r="AD93" s="29">
        <f t="shared" si="44"/>
        <v>757.3075</v>
      </c>
      <c r="AE93" s="30">
        <f>IFERROR(AD93/AD148, "NA")</f>
        <v>0.2392717024</v>
      </c>
      <c r="AF93" s="29">
        <f t="shared" si="45"/>
        <v>0.6577832498</v>
      </c>
      <c r="AG93" s="28">
        <f t="shared" si="46"/>
        <v>1273.4525</v>
      </c>
      <c r="AH93" s="23">
        <f>IFERROR(AG93/AG148, "NA")</f>
        <v>0.07338260168</v>
      </c>
      <c r="AI93" s="29">
        <f t="shared" si="47"/>
        <v>635.1575</v>
      </c>
      <c r="AJ93" s="30">
        <f>IFERROR(AI93/AI148, "NA")</f>
        <v>0.2368941001</v>
      </c>
      <c r="AK93" s="29">
        <f t="shared" si="48"/>
        <v>0.4987681127</v>
      </c>
      <c r="AL93" s="30">
        <f>IFERROR(AK93/AK148, "NA")</f>
        <v>3.228205251</v>
      </c>
    </row>
    <row r="94" ht="16.5" hidden="1" customHeight="1">
      <c r="A94" s="19" t="s">
        <v>208</v>
      </c>
      <c r="B94" s="21">
        <v>523.3</v>
      </c>
      <c r="C94" s="23">
        <f>IFERROR(B94/B148, "NA")</f>
        <v>0.01313761558</v>
      </c>
      <c r="D94" s="21">
        <v>390.56</v>
      </c>
      <c r="E94" s="23">
        <f>IFERROR(D94/D148, "NA")</f>
        <v>0.01129485363</v>
      </c>
      <c r="F94" s="21">
        <v>495.73</v>
      </c>
      <c r="G94" s="23">
        <f>IFERROR(F94/F148, "NA")</f>
        <v>0.02186531569</v>
      </c>
      <c r="H94" s="21">
        <v>270.8</v>
      </c>
      <c r="I94" s="23">
        <f>IFERROR(H94/H148, "NA")</f>
        <v>0.02435229899</v>
      </c>
      <c r="J94" s="21">
        <v>559.59</v>
      </c>
      <c r="K94" s="23">
        <f>IFERROR(J94/J148, "NA")</f>
        <v>0.02383598369</v>
      </c>
      <c r="L94" s="21">
        <v>603.78</v>
      </c>
      <c r="M94" s="23">
        <f>IFERROR(L94/L148, "NA")</f>
        <v>0.02910418515</v>
      </c>
      <c r="N94" s="21">
        <v>403.92</v>
      </c>
      <c r="O94" s="23">
        <f>IFERROR(N94/N148, "NA")</f>
        <v>0.02101482151</v>
      </c>
      <c r="P94" s="21">
        <v>185.34</v>
      </c>
      <c r="Q94" s="23">
        <f>IFERROR(P94/P148, "NA")</f>
        <v>0.02344001953</v>
      </c>
      <c r="R94" s="21">
        <v>215.38</v>
      </c>
      <c r="S94" s="23">
        <f>IFERROR(R94/R148, "NA")</f>
        <v>0.02466319701</v>
      </c>
      <c r="T94" s="21">
        <v>441.57</v>
      </c>
      <c r="U94" s="23">
        <f>IFERROR(T94/T148, "NA")</f>
        <v>0.02610305614</v>
      </c>
      <c r="V94" s="21">
        <v>356.18</v>
      </c>
      <c r="W94" s="23">
        <f>IFERROR(V94/V148, "NA")</f>
        <v>0.01634235532</v>
      </c>
      <c r="X94" s="21">
        <v>434.13</v>
      </c>
      <c r="Y94" s="23">
        <f>IFERROR(X94/X148, "NA")</f>
        <v>0.02166880711</v>
      </c>
      <c r="Z94" s="21">
        <v>1447.26</v>
      </c>
      <c r="AA94" s="23">
        <f>IFERROR(Z94/Z148, "NA")</f>
        <v>0.02144757736</v>
      </c>
      <c r="AB94" s="28">
        <f t="shared" si="43"/>
        <v>361.815</v>
      </c>
      <c r="AC94" s="23">
        <f>IFERROR(AB94/AB148, "NA")</f>
        <v>0.02144757736</v>
      </c>
      <c r="AD94" s="29">
        <f t="shared" si="44"/>
        <v>72.315</v>
      </c>
      <c r="AE94" s="30">
        <f>IFERROR(AD94/AD148, "NA")</f>
        <v>0.02284796224</v>
      </c>
      <c r="AF94" s="29">
        <f t="shared" si="45"/>
        <v>0.1998673355</v>
      </c>
      <c r="AG94" s="28">
        <f t="shared" si="46"/>
        <v>399.98625</v>
      </c>
      <c r="AH94" s="23">
        <f>IFERROR(AG94/AG148, "NA")</f>
        <v>0.02304917668</v>
      </c>
      <c r="AI94" s="29">
        <f t="shared" si="47"/>
        <v>34.14375</v>
      </c>
      <c r="AJ94" s="30">
        <f>IFERROR(AI94/AI148, "NA")</f>
        <v>0.01273456258</v>
      </c>
      <c r="AK94" s="29">
        <f t="shared" si="48"/>
        <v>0.08536230933</v>
      </c>
      <c r="AL94" s="30">
        <f>IFERROR(AK94/AK148, "NA")</f>
        <v>0.5524953345</v>
      </c>
    </row>
    <row r="95" ht="16.5" hidden="1" customHeight="1">
      <c r="A95" s="19" t="s">
        <v>209</v>
      </c>
      <c r="B95" s="21">
        <v>0.0</v>
      </c>
      <c r="C95" s="23">
        <f>IFERROR(B95/B148, "NA")</f>
        <v>0</v>
      </c>
      <c r="D95" s="21">
        <v>0.0</v>
      </c>
      <c r="E95" s="23">
        <f>IFERROR(D95/D148, "NA")</f>
        <v>0</v>
      </c>
      <c r="F95" s="21">
        <v>1406.33</v>
      </c>
      <c r="G95" s="23">
        <f>IFERROR(F95/F148, "NA")</f>
        <v>0.06202943016</v>
      </c>
      <c r="H95" s="21">
        <v>0.0</v>
      </c>
      <c r="I95" s="23">
        <f>IFERROR(H95/H148, "NA")</f>
        <v>0</v>
      </c>
      <c r="J95" s="21">
        <v>0.0</v>
      </c>
      <c r="K95" s="23">
        <f>IFERROR(J95/J148, "NA")</f>
        <v>0</v>
      </c>
      <c r="L95" s="21">
        <v>0.0</v>
      </c>
      <c r="M95" s="23">
        <f>IFERROR(L95/L148, "NA")</f>
        <v>0</v>
      </c>
      <c r="N95" s="21">
        <v>0.0</v>
      </c>
      <c r="O95" s="23">
        <f>IFERROR(N95/N148, "NA")</f>
        <v>0</v>
      </c>
      <c r="P95" s="21">
        <v>1362.08</v>
      </c>
      <c r="Q95" s="23">
        <f>IFERROR(P95/P148, "NA")</f>
        <v>0.17226277</v>
      </c>
      <c r="R95" s="21">
        <v>0.0</v>
      </c>
      <c r="S95" s="23">
        <f>IFERROR(R95/R148, "NA")</f>
        <v>0</v>
      </c>
      <c r="T95" s="21">
        <v>0.0</v>
      </c>
      <c r="U95" s="23">
        <f>IFERROR(T95/T148, "NA")</f>
        <v>0</v>
      </c>
      <c r="V95" s="21">
        <v>0.0</v>
      </c>
      <c r="W95" s="23">
        <f>IFERROR(V95/V148, "NA")</f>
        <v>0</v>
      </c>
      <c r="X95" s="21">
        <v>0.0</v>
      </c>
      <c r="Y95" s="23">
        <f>IFERROR(X95/X148, "NA")</f>
        <v>0</v>
      </c>
      <c r="Z95" s="21">
        <v>0.0</v>
      </c>
      <c r="AA95" s="23">
        <f>IFERROR(Z95/Z148, "NA")</f>
        <v>0</v>
      </c>
      <c r="AB95" s="28">
        <f t="shared" si="43"/>
        <v>0</v>
      </c>
      <c r="AC95" s="23">
        <f>IFERROR(AB95/AB148, "NA")</f>
        <v>0</v>
      </c>
      <c r="AD95" s="29">
        <f t="shared" si="44"/>
        <v>0</v>
      </c>
      <c r="AE95" s="30">
        <f>IFERROR(AD95/AD148, "NA")</f>
        <v>0</v>
      </c>
      <c r="AF95" s="29" t="str">
        <f t="shared" si="45"/>
        <v>NA</v>
      </c>
      <c r="AG95" s="28">
        <f t="shared" si="46"/>
        <v>170.26</v>
      </c>
      <c r="AH95" s="23">
        <f>IFERROR(AG95/AG148, "NA")</f>
        <v>0.009811219313</v>
      </c>
      <c r="AI95" s="29">
        <f t="shared" si="47"/>
        <v>-170.26</v>
      </c>
      <c r="AJ95" s="30">
        <f>IFERROR(AI95/AI148, "NA")</f>
        <v>-0.06350171333</v>
      </c>
      <c r="AK95" s="29">
        <f t="shared" si="48"/>
        <v>-1</v>
      </c>
      <c r="AL95" s="30">
        <f>IFERROR(AK95/AK148, "NA")</f>
        <v>-6.472356931</v>
      </c>
    </row>
    <row r="96" ht="16.5" hidden="1" customHeight="1">
      <c r="A96" s="19" t="s">
        <v>210</v>
      </c>
      <c r="B96" s="21">
        <v>0.0</v>
      </c>
      <c r="C96" s="23">
        <f>IFERROR(B96/B148, "NA")</f>
        <v>0</v>
      </c>
      <c r="D96" s="21">
        <v>0.0</v>
      </c>
      <c r="E96" s="23">
        <f>IFERROR(D96/D148, "NA")</f>
        <v>0</v>
      </c>
      <c r="F96" s="21">
        <v>0.0</v>
      </c>
      <c r="G96" s="23">
        <f>IFERROR(F96/F148, "NA")</f>
        <v>0</v>
      </c>
      <c r="H96" s="21">
        <v>0.0</v>
      </c>
      <c r="I96" s="23">
        <f>IFERROR(H96/H148, "NA")</f>
        <v>0</v>
      </c>
      <c r="J96" s="21">
        <v>0.0</v>
      </c>
      <c r="K96" s="23">
        <f>IFERROR(J96/J148, "NA")</f>
        <v>0</v>
      </c>
      <c r="L96" s="21">
        <v>0.0</v>
      </c>
      <c r="M96" s="23">
        <f>IFERROR(L96/L148, "NA")</f>
        <v>0</v>
      </c>
      <c r="N96" s="21">
        <v>0.0</v>
      </c>
      <c r="O96" s="23">
        <f>IFERROR(N96/N148, "NA")</f>
        <v>0</v>
      </c>
      <c r="P96" s="21">
        <v>0.0</v>
      </c>
      <c r="Q96" s="23">
        <f>IFERROR(P96/P148, "NA")</f>
        <v>0</v>
      </c>
      <c r="R96" s="21">
        <v>0.0</v>
      </c>
      <c r="S96" s="23">
        <f>IFERROR(R96/R148, "NA")</f>
        <v>0</v>
      </c>
      <c r="T96" s="21">
        <v>0.0</v>
      </c>
      <c r="U96" s="23">
        <f>IFERROR(T96/T148, "NA")</f>
        <v>0</v>
      </c>
      <c r="V96" s="21">
        <v>0.0</v>
      </c>
      <c r="W96" s="23">
        <f>IFERROR(V96/V148, "NA")</f>
        <v>0</v>
      </c>
      <c r="X96" s="21">
        <v>0.0</v>
      </c>
      <c r="Y96" s="23">
        <f>IFERROR(X96/X148, "NA")</f>
        <v>0</v>
      </c>
      <c r="Z96" s="21">
        <v>0.0</v>
      </c>
      <c r="AA96" s="23">
        <f>IFERROR(Z96/Z148, "NA")</f>
        <v>0</v>
      </c>
      <c r="AB96" s="28">
        <f t="shared" si="43"/>
        <v>0</v>
      </c>
      <c r="AC96" s="23">
        <f>IFERROR(AB96/AB148, "NA")</f>
        <v>0</v>
      </c>
      <c r="AD96" s="29">
        <f t="shared" si="44"/>
        <v>0</v>
      </c>
      <c r="AE96" s="30">
        <f>IFERROR(AD96/AD148, "NA")</f>
        <v>0</v>
      </c>
      <c r="AF96" s="29" t="str">
        <f t="shared" si="45"/>
        <v>NA</v>
      </c>
      <c r="AG96" s="28">
        <f t="shared" si="46"/>
        <v>0</v>
      </c>
      <c r="AH96" s="23">
        <f>IFERROR(AG96/AG148, "NA")</f>
        <v>0</v>
      </c>
      <c r="AI96" s="29">
        <f t="shared" si="47"/>
        <v>0</v>
      </c>
      <c r="AJ96" s="30">
        <f>IFERROR(AI96/AI148, "NA")</f>
        <v>0</v>
      </c>
      <c r="AK96" s="29" t="str">
        <f t="shared" si="48"/>
        <v>NA</v>
      </c>
      <c r="AL96" s="30" t="str">
        <f>IFERROR(AK96/AK148, "NA")</f>
        <v>NA</v>
      </c>
    </row>
    <row r="97" ht="16.5" hidden="1" customHeight="1">
      <c r="A97" s="19" t="s">
        <v>211</v>
      </c>
      <c r="B97" s="21">
        <v>457.2</v>
      </c>
      <c r="C97" s="23">
        <f>IFERROR(B97/B148, "NA")</f>
        <v>0.01147815372</v>
      </c>
      <c r="D97" s="21">
        <v>223.61</v>
      </c>
      <c r="E97" s="23">
        <f>IFERROR(D97/D148, "NA")</f>
        <v>0.006466720149</v>
      </c>
      <c r="F97" s="21">
        <v>1481.34</v>
      </c>
      <c r="G97" s="23">
        <f>IFERROR(F97/F148, "NA")</f>
        <v>0.06533791932</v>
      </c>
      <c r="H97" s="21">
        <v>0.0</v>
      </c>
      <c r="I97" s="23">
        <f>IFERROR(H97/H148, "NA")</f>
        <v>0</v>
      </c>
      <c r="J97" s="21">
        <v>13.53</v>
      </c>
      <c r="K97" s="23">
        <f>IFERROR(J97/J148, "NA")</f>
        <v>0.0005763163376</v>
      </c>
      <c r="L97" s="21">
        <v>1218.23</v>
      </c>
      <c r="M97" s="23">
        <f>IFERROR(L97/L148, "NA")</f>
        <v>0.05872269946</v>
      </c>
      <c r="N97" s="21">
        <v>616.77</v>
      </c>
      <c r="O97" s="23">
        <f>IFERROR(N97/N148, "NA")</f>
        <v>0.03208880833</v>
      </c>
      <c r="P97" s="21">
        <v>1481.33</v>
      </c>
      <c r="Q97" s="23">
        <f>IFERROR(P97/P148, "NA")</f>
        <v>0.1873443624</v>
      </c>
      <c r="R97" s="21">
        <v>216.61</v>
      </c>
      <c r="S97" s="23">
        <f>IFERROR(R97/R148, "NA")</f>
        <v>0.0248040445</v>
      </c>
      <c r="T97" s="21">
        <v>185.52</v>
      </c>
      <c r="U97" s="23">
        <f>IFERROR(T97/T148, "NA")</f>
        <v>0.0109668659</v>
      </c>
      <c r="V97" s="21">
        <v>237.03</v>
      </c>
      <c r="W97" s="23">
        <f>IFERROR(V97/V148, "NA")</f>
        <v>0.01087548004</v>
      </c>
      <c r="X97" s="21">
        <v>1067.59</v>
      </c>
      <c r="Y97" s="23">
        <f>IFERROR(X97/X148, "NA")</f>
        <v>0.0532868076</v>
      </c>
      <c r="Z97" s="21">
        <v>1706.75</v>
      </c>
      <c r="AA97" s="23">
        <f>IFERROR(Z97/Z148, "NA")</f>
        <v>0.02529307288</v>
      </c>
      <c r="AB97" s="28">
        <f t="shared" si="43"/>
        <v>426.6875</v>
      </c>
      <c r="AC97" s="23">
        <f>IFERROR(AB97/AB148, "NA")</f>
        <v>0.02529307288</v>
      </c>
      <c r="AD97" s="29">
        <f t="shared" si="44"/>
        <v>640.9025</v>
      </c>
      <c r="AE97" s="30">
        <f>IFERROR(AD97/AD148, "NA")</f>
        <v>0.2024934815</v>
      </c>
      <c r="AF97" s="29">
        <f t="shared" si="45"/>
        <v>1.502041892</v>
      </c>
      <c r="AG97" s="28">
        <f t="shared" si="46"/>
        <v>629.57625</v>
      </c>
      <c r="AH97" s="23">
        <f>IFERROR(AG97/AG148, "NA")</f>
        <v>0.03627928264</v>
      </c>
      <c r="AI97" s="29">
        <f t="shared" si="47"/>
        <v>438.01375</v>
      </c>
      <c r="AJ97" s="30">
        <f>IFERROR(AI97/AI148, "NA")</f>
        <v>0.1633655796</v>
      </c>
      <c r="AK97" s="29">
        <f t="shared" si="48"/>
        <v>0.6957278805</v>
      </c>
      <c r="AL97" s="30">
        <f>IFERROR(AK97/AK148, "NA")</f>
        <v>4.502999169</v>
      </c>
    </row>
    <row r="98" ht="16.5" hidden="1" customHeight="1">
      <c r="A98" s="19" t="s">
        <v>212</v>
      </c>
      <c r="B98" s="21">
        <v>450.62</v>
      </c>
      <c r="C98" s="23">
        <f>IFERROR(B98/B148, "NA")</f>
        <v>0.0113129607</v>
      </c>
      <c r="D98" s="21">
        <v>2612.22</v>
      </c>
      <c r="E98" s="23">
        <f>IFERROR(D98/D148, "NA")</f>
        <v>0.07554445556</v>
      </c>
      <c r="F98" s="21">
        <v>827.12</v>
      </c>
      <c r="G98" s="23">
        <f>IFERROR(F98/F148, "NA")</f>
        <v>0.03648203642</v>
      </c>
      <c r="H98" s="21">
        <v>274.23</v>
      </c>
      <c r="I98" s="23">
        <f>IFERROR(H98/H148, "NA")</f>
        <v>0.02466074945</v>
      </c>
      <c r="J98" s="21">
        <v>638.83</v>
      </c>
      <c r="K98" s="23">
        <f>IFERROR(J98/J148, "NA")</f>
        <v>0.02721124656</v>
      </c>
      <c r="L98" s="21">
        <v>558.26</v>
      </c>
      <c r="M98" s="23">
        <f>IFERROR(L98/L148, "NA")</f>
        <v>0.02690997119</v>
      </c>
      <c r="N98" s="21">
        <v>2527.49</v>
      </c>
      <c r="O98" s="23">
        <f>IFERROR(N98/N148, "NA")</f>
        <v>0.1314981957</v>
      </c>
      <c r="P98" s="21">
        <v>552.97</v>
      </c>
      <c r="Q98" s="23">
        <f>IFERROR(P98/P148, "NA")</f>
        <v>0.06993432393</v>
      </c>
      <c r="R98" s="21">
        <v>220.73</v>
      </c>
      <c r="S98" s="23">
        <f>IFERROR(R98/R148, "NA")</f>
        <v>0.02527582633</v>
      </c>
      <c r="T98" s="21">
        <v>741.66</v>
      </c>
      <c r="U98" s="23">
        <f>IFERROR(T98/T148, "NA")</f>
        <v>0.04384263564</v>
      </c>
      <c r="V98" s="21">
        <v>3517.72</v>
      </c>
      <c r="W98" s="23">
        <f>IFERROR(V98/V148, "NA")</f>
        <v>0.1614010617</v>
      </c>
      <c r="X98" s="21">
        <v>372.47</v>
      </c>
      <c r="Y98" s="23">
        <f>IFERROR(X98/X148, "NA")</f>
        <v>0.01859116068</v>
      </c>
      <c r="Z98" s="21">
        <v>4852.58</v>
      </c>
      <c r="AA98" s="23">
        <f>IFERROR(Z98/Z148, "NA")</f>
        <v>0.07191250012</v>
      </c>
      <c r="AB98" s="28">
        <f t="shared" si="43"/>
        <v>1213.145</v>
      </c>
      <c r="AC98" s="23">
        <f>IFERROR(AB98/AB148, "NA")</f>
        <v>0.07191250012</v>
      </c>
      <c r="AD98" s="29">
        <f t="shared" si="44"/>
        <v>-840.675</v>
      </c>
      <c r="AE98" s="30">
        <f>IFERROR(AD98/AD148, "NA")</f>
        <v>-0.2656117079</v>
      </c>
      <c r="AF98" s="29">
        <f t="shared" si="45"/>
        <v>-0.6929715739</v>
      </c>
      <c r="AG98" s="28">
        <f t="shared" si="46"/>
        <v>1141.26625</v>
      </c>
      <c r="AH98" s="23">
        <f>IFERROR(AG98/AG148, "NA")</f>
        <v>0.06576537926</v>
      </c>
      <c r="AI98" s="29">
        <f t="shared" si="47"/>
        <v>-768.79625</v>
      </c>
      <c r="AJ98" s="30">
        <f>IFERROR(AI98/AI148, "NA")</f>
        <v>-0.28673722</v>
      </c>
      <c r="AK98" s="29">
        <f t="shared" si="48"/>
        <v>-0.6736344389</v>
      </c>
      <c r="AL98" s="30">
        <f>IFERROR(AK98/AK148, "NA")</f>
        <v>-4.36000253</v>
      </c>
    </row>
    <row r="99" ht="16.5" hidden="1" customHeight="1">
      <c r="A99" s="65" t="s">
        <v>213</v>
      </c>
      <c r="B99" s="66">
        <f>IFERROR(B90+B91+B92+B93+B94+B95+B96+B97+B98, "NA")</f>
        <v>4517.59</v>
      </c>
      <c r="C99" s="67">
        <f>IFERROR(B99/B148, "NA")</f>
        <v>0.1134155566</v>
      </c>
      <c r="D99" s="66">
        <f>IFERROR(D90+D91+D92+D93+D94+D95+D96+D97+D98, "NA")</f>
        <v>4823.11</v>
      </c>
      <c r="E99" s="67">
        <f>IFERROR(D99/D148, "NA")</f>
        <v>0.139482593</v>
      </c>
      <c r="F99" s="66">
        <f>IFERROR(F90+F91+F92+F93+F94+F95+F96+F97+F98, "NA")</f>
        <v>7082.07</v>
      </c>
      <c r="G99" s="67">
        <f>IFERROR(F99/F148, "NA")</f>
        <v>0.3123710413</v>
      </c>
      <c r="H99" s="66">
        <f>IFERROR(H90+H91+H92+H93+H94+H95+H96+H97+H98, "NA")</f>
        <v>3183.62</v>
      </c>
      <c r="I99" s="67">
        <f>IFERROR(H99/H148, "NA")</f>
        <v>0.286294188</v>
      </c>
      <c r="J99" s="66">
        <f>IFERROR(J90+J91+J92+J93+J94+J95+J96+J97+J98, "NA")</f>
        <v>4241.39</v>
      </c>
      <c r="K99" s="67">
        <f>IFERROR(J99/J148, "NA")</f>
        <v>0.180663884</v>
      </c>
      <c r="L99" s="66">
        <f>IFERROR(L90+L91+L92+L93+L94+L95+L96+L97+L98, "NA")</f>
        <v>5664.15</v>
      </c>
      <c r="M99" s="67">
        <f>IFERROR(L99/L148, "NA")</f>
        <v>0.2730306906</v>
      </c>
      <c r="N99" s="66">
        <f>IFERROR(N90+N91+N92+N93+N94+N95+N96+N97+N98, "NA")</f>
        <v>5835.04</v>
      </c>
      <c r="O99" s="67">
        <f>IFERROR(N99/N148, "NA")</f>
        <v>0.3035807191</v>
      </c>
      <c r="P99" s="66">
        <f>IFERROR(P90+P91+P92+P93+P94+P95+P96+P97+P98, "NA")</f>
        <v>4771.39</v>
      </c>
      <c r="Q99" s="67">
        <f>IFERROR(P99/P148, "NA")</f>
        <v>0.6034394884</v>
      </c>
      <c r="R99" s="66">
        <f>IFERROR(R90+R91+R92+R93+R94+R95+R96+R97+R98, "NA")</f>
        <v>1530.76</v>
      </c>
      <c r="S99" s="67">
        <f>IFERROR(R99/R148, "NA")</f>
        <v>0.1752875636</v>
      </c>
      <c r="T99" s="66">
        <f>IFERROR(T90+T91+T92+T93+T94+T95+T96+T97+T98, "NA")</f>
        <v>3016.69</v>
      </c>
      <c r="U99" s="67">
        <f>IFERROR(T99/T148, "NA")</f>
        <v>0.1783292081</v>
      </c>
      <c r="V99" s="66">
        <f>IFERROR(V90+V91+V92+V93+V94+V95+V96+V97+V98, "NA")</f>
        <v>6315.28</v>
      </c>
      <c r="W99" s="67">
        <f>IFERROR(V99/V148, "NA")</f>
        <v>0.2897595309</v>
      </c>
      <c r="X99" s="66">
        <f>IFERROR(X90+X91+X92+X93+X94+X95+X96+X97+X98, "NA")</f>
        <v>4866.06</v>
      </c>
      <c r="Y99" s="67">
        <f>IFERROR(X99/X148, "NA")</f>
        <v>0.2428805094</v>
      </c>
      <c r="Z99" s="66">
        <f>IFERROR(Z90+Z91+Z92+Z93+Z94+Z95+Z96+Z97+Z98, "NA")</f>
        <v>15728.79</v>
      </c>
      <c r="AA99" s="67">
        <f>IFERROR(Z99/Z148, "NA")</f>
        <v>0.2330918012</v>
      </c>
      <c r="AB99" s="66">
        <f t="shared" si="43"/>
        <v>3932.1975</v>
      </c>
      <c r="AC99" s="67">
        <f>IFERROR(AB99/AB148, "NA")</f>
        <v>0.2330918012</v>
      </c>
      <c r="AD99" s="75">
        <f t="shared" si="44"/>
        <v>933.8625</v>
      </c>
      <c r="AE99" s="76">
        <f>IFERROR(AD99/AD148, "NA")</f>
        <v>0.2950543474</v>
      </c>
      <c r="AF99" s="75">
        <f t="shared" si="45"/>
        <v>0.2374912501</v>
      </c>
      <c r="AG99" s="66">
        <f t="shared" si="46"/>
        <v>4530.095</v>
      </c>
      <c r="AH99" s="67">
        <f>IFERROR(AG99/AG148, "NA")</f>
        <v>0.2610463735</v>
      </c>
      <c r="AI99" s="75">
        <f t="shared" si="47"/>
        <v>335.965</v>
      </c>
      <c r="AJ99" s="76">
        <f>IFERROR(AI99/AI148, "NA")</f>
        <v>0.1253045526</v>
      </c>
      <c r="AK99" s="75">
        <f t="shared" si="48"/>
        <v>0.07416290387</v>
      </c>
      <c r="AL99" s="76">
        <f>IFERROR(AK99/AK148, "NA")</f>
        <v>0.4800087849</v>
      </c>
    </row>
    <row r="100" ht="16.5" hidden="1" customHeight="1">
      <c r="A100" s="123"/>
      <c r="B100" s="124"/>
      <c r="C100" s="74"/>
      <c r="D100" s="124"/>
      <c r="E100" s="74"/>
      <c r="F100" s="124"/>
      <c r="G100" s="74"/>
      <c r="H100" s="124"/>
      <c r="I100" s="74"/>
      <c r="J100" s="124"/>
      <c r="K100" s="74"/>
      <c r="L100" s="124"/>
      <c r="M100" s="74"/>
      <c r="N100" s="124"/>
      <c r="O100" s="74"/>
      <c r="P100" s="124"/>
      <c r="Q100" s="74"/>
      <c r="R100" s="124"/>
      <c r="S100" s="74"/>
      <c r="T100" s="124"/>
      <c r="U100" s="74"/>
      <c r="V100" s="124"/>
      <c r="W100" s="74"/>
      <c r="X100" s="124"/>
      <c r="Y100" s="74"/>
      <c r="Z100" s="124"/>
      <c r="AA100" s="74"/>
      <c r="AB100" s="124"/>
      <c r="AC100" s="74"/>
      <c r="AD100" s="125"/>
      <c r="AE100" s="80"/>
      <c r="AF100" s="125"/>
      <c r="AG100" s="124"/>
      <c r="AH100" s="74"/>
      <c r="AI100" s="125"/>
      <c r="AJ100" s="80"/>
      <c r="AK100" s="125"/>
      <c r="AL100" s="80"/>
    </row>
    <row r="101" ht="16.5" hidden="1" customHeight="1">
      <c r="A101" s="121" t="s">
        <v>214</v>
      </c>
      <c r="B101" s="122">
        <f>IFERROR(B87-B99, "NA")</f>
        <v>17320.52</v>
      </c>
      <c r="C101" s="94">
        <f>IFERROR(B101/B148, "NA")</f>
        <v>0.434837251</v>
      </c>
      <c r="D101" s="122">
        <f>IFERROR(D87-D99, "NA")</f>
        <v>13585.52</v>
      </c>
      <c r="E101" s="94">
        <f>IFERROR(D101/D148, "NA")</f>
        <v>0.3928883141</v>
      </c>
      <c r="F101" s="122">
        <f>IFERROR(F87-F99, "NA")</f>
        <v>2994.19</v>
      </c>
      <c r="G101" s="94">
        <f>IFERROR(F101/F148, "NA")</f>
        <v>0.1320656599</v>
      </c>
      <c r="H101" s="122">
        <f>IFERROR(H87-H99, "NA")</f>
        <v>197.24</v>
      </c>
      <c r="I101" s="94">
        <f>IFERROR(H101/H148, "NA")</f>
        <v>0.01773725056</v>
      </c>
      <c r="J101" s="122">
        <f>IFERROR(J87-J99, "NA")</f>
        <v>6129.52</v>
      </c>
      <c r="K101" s="94">
        <f>IFERROR(J101/J148, "NA")</f>
        <v>0.261089617</v>
      </c>
      <c r="L101" s="122">
        <f>IFERROR(L87-L99, "NA")</f>
        <v>2312.9</v>
      </c>
      <c r="M101" s="94">
        <f>IFERROR(L101/L148, "NA")</f>
        <v>0.1114893999</v>
      </c>
      <c r="N101" s="122">
        <f>IFERROR(N87-N99, "NA")</f>
        <v>2076.33</v>
      </c>
      <c r="O101" s="94">
        <f>IFERROR(N101/N148, "NA")</f>
        <v>0.1080256099</v>
      </c>
      <c r="P101" s="122">
        <f>IFERROR(P87-P99, "NA")</f>
        <v>-4188.68</v>
      </c>
      <c r="Q101" s="94">
        <f>IFERROR(P101/P148, "NA")</f>
        <v>-0.5297439354</v>
      </c>
      <c r="R101" s="122">
        <f>IFERROR(R87-R99, "NA")</f>
        <v>-407.81</v>
      </c>
      <c r="S101" s="94">
        <f>IFERROR(R101/R148, "NA")</f>
        <v>-0.04669838598</v>
      </c>
      <c r="T101" s="122">
        <f>IFERROR(T87-T99, "NA")</f>
        <v>1273.03</v>
      </c>
      <c r="U101" s="94">
        <f>IFERROR(T101/T148, "NA")</f>
        <v>0.07525414671</v>
      </c>
      <c r="V101" s="122">
        <f>IFERROR(V87-V99, "NA")</f>
        <v>4418.14</v>
      </c>
      <c r="W101" s="94">
        <f>IFERROR(V101/V148, "NA")</f>
        <v>0.2027143965</v>
      </c>
      <c r="X101" s="122">
        <f>IFERROR(X87-X99, "NA")</f>
        <v>3482.52</v>
      </c>
      <c r="Y101" s="94">
        <f>IFERROR(X101/X148, "NA")</f>
        <v>0.1738236338</v>
      </c>
      <c r="Z101" s="122">
        <f>IFERROR(Z87-Z99, "NA")</f>
        <v>8765.88</v>
      </c>
      <c r="AA101" s="94">
        <f>IFERROR(Z101/Z148, "NA")</f>
        <v>0.1299054001</v>
      </c>
      <c r="AB101" s="122">
        <f>IFERROR((R101+T101+V101+X101)/4, "NA")</f>
        <v>2191.47</v>
      </c>
      <c r="AC101" s="94">
        <f>IFERROR(AB101/AB148, "NA")</f>
        <v>0.1299054001</v>
      </c>
      <c r="AD101" s="75">
        <f>IFERROR(X101-AB101, "NA")</f>
        <v>1291.05</v>
      </c>
      <c r="AE101" s="76">
        <f>IFERROR(AD101/AD148, "NA")</f>
        <v>0.4079079257</v>
      </c>
      <c r="AF101" s="75">
        <f>IFERROR((X101-AB101)/AB101, "NA")</f>
        <v>0.5891251078</v>
      </c>
      <c r="AG101" s="122">
        <f>IFERROR((J101+L101+N101+P101+R101+T101+V101+X101)/8, "NA")</f>
        <v>1886.99375</v>
      </c>
      <c r="AH101" s="94">
        <f>IFERROR(AG101/AG148, "NA")</f>
        <v>0.1087378687</v>
      </c>
      <c r="AI101" s="75">
        <f>IFERROR(X101-AG101, "NA")</f>
        <v>1595.52625</v>
      </c>
      <c r="AJ101" s="76">
        <f>IFERROR(AI101/AI148, "NA")</f>
        <v>0.5950819366</v>
      </c>
      <c r="AK101" s="75">
        <f>IFERROR((X101-AG101)/AG101, "NA")</f>
        <v>0.8455387041</v>
      </c>
      <c r="AL101" s="76">
        <f>IFERROR(AK101/AK148, "NA")</f>
        <v>5.472628292</v>
      </c>
    </row>
    <row r="102" ht="3.75" hidden="1" customHeight="1">
      <c r="A102" s="123"/>
      <c r="B102" s="124"/>
      <c r="C102" s="74"/>
      <c r="D102" s="124"/>
      <c r="E102" s="74"/>
      <c r="F102" s="124"/>
      <c r="G102" s="74"/>
      <c r="H102" s="124"/>
      <c r="I102" s="74"/>
      <c r="J102" s="124"/>
      <c r="K102" s="74"/>
      <c r="L102" s="124"/>
      <c r="M102" s="74"/>
      <c r="N102" s="124"/>
      <c r="O102" s="74"/>
      <c r="P102" s="124"/>
      <c r="Q102" s="74"/>
      <c r="R102" s="124"/>
      <c r="S102" s="74"/>
      <c r="T102" s="124"/>
      <c r="U102" s="74"/>
      <c r="V102" s="124"/>
      <c r="W102" s="74"/>
      <c r="X102" s="124"/>
      <c r="Y102" s="74"/>
      <c r="Z102" s="124"/>
      <c r="AA102" s="74"/>
      <c r="AB102" s="124"/>
      <c r="AC102" s="74"/>
      <c r="AD102" s="125"/>
      <c r="AE102" s="80"/>
      <c r="AF102" s="125"/>
      <c r="AG102" s="124"/>
      <c r="AH102" s="74"/>
      <c r="AI102" s="125"/>
      <c r="AJ102" s="80"/>
      <c r="AK102" s="125"/>
      <c r="AL102" s="80"/>
    </row>
    <row r="103" ht="16.5" hidden="1" customHeight="1">
      <c r="A103" s="13" t="s">
        <v>215</v>
      </c>
      <c r="B103" s="14"/>
      <c r="C103" s="12"/>
      <c r="D103" s="14"/>
      <c r="E103" s="12"/>
      <c r="F103" s="14"/>
      <c r="G103" s="12"/>
      <c r="H103" s="14"/>
      <c r="I103" s="12"/>
      <c r="J103" s="14"/>
      <c r="K103" s="12"/>
      <c r="L103" s="14"/>
      <c r="M103" s="12"/>
      <c r="N103" s="14"/>
      <c r="O103" s="12"/>
      <c r="P103" s="14"/>
      <c r="Q103" s="12"/>
      <c r="R103" s="14"/>
      <c r="S103" s="12"/>
      <c r="T103" s="14"/>
      <c r="U103" s="12"/>
      <c r="V103" s="14"/>
      <c r="W103" s="12"/>
      <c r="X103" s="14"/>
      <c r="Y103" s="12"/>
      <c r="Z103" s="14"/>
      <c r="AA103" s="12"/>
      <c r="AB103" s="14"/>
      <c r="AC103" s="12"/>
      <c r="AD103" s="17"/>
      <c r="AE103" s="18"/>
      <c r="AF103" s="17"/>
      <c r="AG103" s="14"/>
      <c r="AH103" s="12"/>
      <c r="AI103" s="17"/>
      <c r="AJ103" s="18"/>
      <c r="AK103" s="17"/>
      <c r="AL103" s="18"/>
    </row>
    <row r="104" ht="16.5" hidden="1" customHeight="1">
      <c r="A104" s="126" t="s">
        <v>216</v>
      </c>
      <c r="B104" s="127">
        <v>0.0</v>
      </c>
      <c r="C104" s="94">
        <f>IFERROR(B104/B148, "NA")</f>
        <v>0</v>
      </c>
      <c r="D104" s="127">
        <v>2458.24</v>
      </c>
      <c r="E104" s="94">
        <f>IFERROR(D104/D148, "NA")</f>
        <v>0.07109140977</v>
      </c>
      <c r="F104" s="127">
        <v>7843.72</v>
      </c>
      <c r="G104" s="94">
        <f>IFERROR(F104/F148, "NA")</f>
        <v>0.3459653722</v>
      </c>
      <c r="H104" s="127">
        <v>392.05</v>
      </c>
      <c r="I104" s="94">
        <f>IFERROR(H104/H148, "NA")</f>
        <v>0.03525597791</v>
      </c>
      <c r="J104" s="127">
        <v>0.0</v>
      </c>
      <c r="K104" s="94">
        <f>IFERROR(J104/J148, "NA")</f>
        <v>0</v>
      </c>
      <c r="L104" s="127">
        <v>0.0</v>
      </c>
      <c r="M104" s="94">
        <f>IFERROR(L104/L148, "NA")</f>
        <v>0</v>
      </c>
      <c r="N104" s="127">
        <v>2932.62</v>
      </c>
      <c r="O104" s="94">
        <f>IFERROR(N104/N148, "NA")</f>
        <v>0.1525759701</v>
      </c>
      <c r="P104" s="127">
        <v>8905.81</v>
      </c>
      <c r="Q104" s="94">
        <f>IFERROR(P104/P148, "NA")</f>
        <v>1.126321141</v>
      </c>
      <c r="R104" s="127">
        <v>475.55</v>
      </c>
      <c r="S104" s="94">
        <f>IFERROR(R104/R148, "NA")</f>
        <v>0.05445530382</v>
      </c>
      <c r="T104" s="127">
        <v>0.0</v>
      </c>
      <c r="U104" s="94">
        <f>IFERROR(T104/T148, "NA")</f>
        <v>0</v>
      </c>
      <c r="V104" s="127">
        <v>393.81</v>
      </c>
      <c r="W104" s="94">
        <f>IFERROR(V104/V148, "NA")</f>
        <v>0.01806890603</v>
      </c>
      <c r="X104" s="127">
        <v>7989.63</v>
      </c>
      <c r="Y104" s="94">
        <f>IFERROR(X104/X148, "NA")</f>
        <v>0.3987878086</v>
      </c>
      <c r="Z104" s="127">
        <v>8858.99</v>
      </c>
      <c r="AA104" s="94">
        <f>IFERROR(Z104/Z148, "NA")</f>
        <v>0.1312852378</v>
      </c>
      <c r="AB104" s="122">
        <f t="shared" ref="AB104:AB105" si="49">IFERROR((R104+T104+V104+X104)/4, "NA")</f>
        <v>2214.7475</v>
      </c>
      <c r="AC104" s="94">
        <f>IFERROR(AB104/AB148, "NA")</f>
        <v>0.1312852378</v>
      </c>
      <c r="AD104" s="75">
        <f t="shared" ref="AD104:AD105" si="50">IFERROR(X104-AB104, "NA")</f>
        <v>5774.8825</v>
      </c>
      <c r="AE104" s="76">
        <f>IFERROR(AD104/AD148, "NA")</f>
        <v>1.824577159</v>
      </c>
      <c r="AF104" s="75">
        <f t="shared" ref="AF104:AF105" si="51">IFERROR((X104-AB104)/AB104, "NA")</f>
        <v>2.607467668</v>
      </c>
      <c r="AG104" s="122">
        <f t="shared" ref="AG104:AG105" si="52">IFERROR((J104+L104+N104+P104+R104+T104+V104+X104)/8, "NA")</f>
        <v>2587.1775</v>
      </c>
      <c r="AH104" s="94">
        <f>IFERROR(AG104/AG148, "NA")</f>
        <v>0.1490859031</v>
      </c>
      <c r="AI104" s="75">
        <f t="shared" ref="AI104:AI105" si="53">IFERROR(X104-AG104, "NA")</f>
        <v>5402.4525</v>
      </c>
      <c r="AJ104" s="76">
        <f>IFERROR(AI104/AI148, "NA")</f>
        <v>2.014947668</v>
      </c>
      <c r="AK104" s="75">
        <f t="shared" ref="AK104:AK105" si="54">IFERROR((X104-AG104)/AG104, "NA")</f>
        <v>2.088164612</v>
      </c>
      <c r="AL104" s="76">
        <f>IFERROR(AK104/AK148, "NA")</f>
        <v>13.5153467</v>
      </c>
    </row>
    <row r="105" ht="16.5" hidden="1" customHeight="1">
      <c r="A105" s="65" t="s">
        <v>217</v>
      </c>
      <c r="B105" s="66">
        <f>IFERROR(B104, "NA")</f>
        <v>0</v>
      </c>
      <c r="C105" s="67">
        <f>IFERROR(B105/B148, "NA")</f>
        <v>0</v>
      </c>
      <c r="D105" s="66">
        <f>IFERROR(D104, "NA")</f>
        <v>2458.24</v>
      </c>
      <c r="E105" s="67">
        <f>IFERROR(D105/D148, "NA")</f>
        <v>0.07109140977</v>
      </c>
      <c r="F105" s="66">
        <f>IFERROR(F104, "NA")</f>
        <v>7843.72</v>
      </c>
      <c r="G105" s="67">
        <f>IFERROR(F105/F148, "NA")</f>
        <v>0.3459653722</v>
      </c>
      <c r="H105" s="66">
        <f>IFERROR(H104, "NA")</f>
        <v>392.05</v>
      </c>
      <c r="I105" s="67">
        <f>IFERROR(H105/H148, "NA")</f>
        <v>0.03525597791</v>
      </c>
      <c r="J105" s="66">
        <f>IFERROR(J104, "NA")</f>
        <v>0</v>
      </c>
      <c r="K105" s="67">
        <f>IFERROR(J105/J148, "NA")</f>
        <v>0</v>
      </c>
      <c r="L105" s="66">
        <f>IFERROR(L104, "NA")</f>
        <v>0</v>
      </c>
      <c r="M105" s="67">
        <f>IFERROR(L105/L148, "NA")</f>
        <v>0</v>
      </c>
      <c r="N105" s="66">
        <f>IFERROR(N104, "NA")</f>
        <v>2932.62</v>
      </c>
      <c r="O105" s="67">
        <f>IFERROR(N105/N148, "NA")</f>
        <v>0.1525759701</v>
      </c>
      <c r="P105" s="66">
        <f>IFERROR(P104, "NA")</f>
        <v>8905.81</v>
      </c>
      <c r="Q105" s="67">
        <f>IFERROR(P105/P148, "NA")</f>
        <v>1.126321141</v>
      </c>
      <c r="R105" s="66">
        <f>IFERROR(R104, "NA")</f>
        <v>475.55</v>
      </c>
      <c r="S105" s="67">
        <f>IFERROR(R105/R148, "NA")</f>
        <v>0.05445530382</v>
      </c>
      <c r="T105" s="66">
        <f>IFERROR(T104, "NA")</f>
        <v>0</v>
      </c>
      <c r="U105" s="67">
        <f>IFERROR(T105/T148, "NA")</f>
        <v>0</v>
      </c>
      <c r="V105" s="66">
        <f>IFERROR(V104, "NA")</f>
        <v>393.81</v>
      </c>
      <c r="W105" s="67">
        <f>IFERROR(V105/V148, "NA")</f>
        <v>0.01806890603</v>
      </c>
      <c r="X105" s="66">
        <f>IFERROR(X104, "NA")</f>
        <v>7989.63</v>
      </c>
      <c r="Y105" s="67">
        <f>IFERROR(X105/X148, "NA")</f>
        <v>0.3987878086</v>
      </c>
      <c r="Z105" s="66">
        <f>IFERROR(Z104, "NA")</f>
        <v>8858.99</v>
      </c>
      <c r="AA105" s="67">
        <f>IFERROR(Z105/Z148, "NA")</f>
        <v>0.1312852378</v>
      </c>
      <c r="AB105" s="66">
        <f t="shared" si="49"/>
        <v>2214.7475</v>
      </c>
      <c r="AC105" s="67">
        <f>IFERROR(AB105/AB148, "NA")</f>
        <v>0.1312852378</v>
      </c>
      <c r="AD105" s="75">
        <f t="shared" si="50"/>
        <v>5774.8825</v>
      </c>
      <c r="AE105" s="76">
        <f>IFERROR(AD105/AD148, "NA")</f>
        <v>1.824577159</v>
      </c>
      <c r="AF105" s="75">
        <f t="shared" si="51"/>
        <v>2.607467668</v>
      </c>
      <c r="AG105" s="66">
        <f t="shared" si="52"/>
        <v>2587.1775</v>
      </c>
      <c r="AH105" s="67">
        <f>IFERROR(AG105/AG148, "NA")</f>
        <v>0.1490859031</v>
      </c>
      <c r="AI105" s="75">
        <f t="shared" si="53"/>
        <v>5402.4525</v>
      </c>
      <c r="AJ105" s="76">
        <f>IFERROR(AI105/AI148, "NA")</f>
        <v>2.014947668</v>
      </c>
      <c r="AK105" s="75">
        <f t="shared" si="54"/>
        <v>2.088164612</v>
      </c>
      <c r="AL105" s="76">
        <f>IFERROR(AK105/AK148, "NA")</f>
        <v>13.5153467</v>
      </c>
    </row>
    <row r="106" ht="16.5" hidden="1" customHeight="1">
      <c r="A106" s="123"/>
      <c r="B106" s="124"/>
      <c r="C106" s="74"/>
      <c r="D106" s="124"/>
      <c r="E106" s="74"/>
      <c r="F106" s="124"/>
      <c r="G106" s="74"/>
      <c r="H106" s="124"/>
      <c r="I106" s="74"/>
      <c r="J106" s="124"/>
      <c r="K106" s="74"/>
      <c r="L106" s="124"/>
      <c r="M106" s="74"/>
      <c r="N106" s="124"/>
      <c r="O106" s="74"/>
      <c r="P106" s="124"/>
      <c r="Q106" s="74"/>
      <c r="R106" s="124"/>
      <c r="S106" s="74"/>
      <c r="T106" s="124"/>
      <c r="U106" s="74"/>
      <c r="V106" s="124"/>
      <c r="W106" s="74"/>
      <c r="X106" s="124"/>
      <c r="Y106" s="74"/>
      <c r="Z106" s="124"/>
      <c r="AA106" s="74"/>
      <c r="AB106" s="124"/>
      <c r="AC106" s="74"/>
      <c r="AD106" s="125"/>
      <c r="AE106" s="80"/>
      <c r="AF106" s="125"/>
      <c r="AG106" s="124"/>
      <c r="AH106" s="74"/>
      <c r="AI106" s="125"/>
      <c r="AJ106" s="80"/>
      <c r="AK106" s="125"/>
      <c r="AL106" s="80"/>
    </row>
    <row r="107" ht="16.5" hidden="1" customHeight="1">
      <c r="A107" s="121" t="s">
        <v>218</v>
      </c>
      <c r="B107" s="122">
        <f>IFERROR(B87-B99-B105, "NA")</f>
        <v>17320.52</v>
      </c>
      <c r="C107" s="94">
        <f>IFERROR(B107/B148, "NA")</f>
        <v>0.434837251</v>
      </c>
      <c r="D107" s="122">
        <f>IFERROR(D87-D99-D105, "NA")</f>
        <v>11127.28</v>
      </c>
      <c r="E107" s="94">
        <f>IFERROR(D107/D148, "NA")</f>
        <v>0.3217969043</v>
      </c>
      <c r="F107" s="122">
        <f>IFERROR(F87-F99-F105, "NA")</f>
        <v>-4849.53</v>
      </c>
      <c r="G107" s="94">
        <f>IFERROR(F107/F148, "NA")</f>
        <v>-0.2138997123</v>
      </c>
      <c r="H107" s="122">
        <f>IFERROR(H87-H99-H105, "NA")</f>
        <v>-194.81</v>
      </c>
      <c r="I107" s="94">
        <f>IFERROR(H107/H148, "NA")</f>
        <v>-0.01751872735</v>
      </c>
      <c r="J107" s="122">
        <f>IFERROR(J87-J99-J105, "NA")</f>
        <v>6129.52</v>
      </c>
      <c r="K107" s="94">
        <f>IFERROR(J107/J148, "NA")</f>
        <v>0.261089617</v>
      </c>
      <c r="L107" s="122">
        <f>IFERROR(L87-L99-L105, "NA")</f>
        <v>2312.9</v>
      </c>
      <c r="M107" s="94">
        <f>IFERROR(L107/L148, "NA")</f>
        <v>0.1114893999</v>
      </c>
      <c r="N107" s="122">
        <f>IFERROR(N87-N99-N105, "NA")</f>
        <v>-856.29</v>
      </c>
      <c r="O107" s="94">
        <f>IFERROR(N107/N148, "NA")</f>
        <v>-0.04455036024</v>
      </c>
      <c r="P107" s="122">
        <f>IFERROR(P87-P99-P105, "NA")</f>
        <v>-13094.49</v>
      </c>
      <c r="Q107" s="94">
        <f>IFERROR(P107/P148, "NA")</f>
        <v>-1.656065077</v>
      </c>
      <c r="R107" s="122">
        <f>IFERROR(R87-R99-R105, "NA")</f>
        <v>-883.36</v>
      </c>
      <c r="S107" s="94">
        <f>IFERROR(R107/R148, "NA")</f>
        <v>-0.1011536898</v>
      </c>
      <c r="T107" s="122">
        <f>IFERROR(T87-T99-T105, "NA")</f>
        <v>1273.03</v>
      </c>
      <c r="U107" s="94">
        <f>IFERROR(T107/T148, "NA")</f>
        <v>0.07525414671</v>
      </c>
      <c r="V107" s="122">
        <f>IFERROR(V87-V99-V105, "NA")</f>
        <v>4024.33</v>
      </c>
      <c r="W107" s="94">
        <f>IFERROR(V107/V148, "NA")</f>
        <v>0.1846454905</v>
      </c>
      <c r="X107" s="122">
        <f>IFERROR(X87-X99-X105, "NA")</f>
        <v>-4507.11</v>
      </c>
      <c r="Y107" s="94">
        <f>IFERROR(X107/X148, "NA")</f>
        <v>-0.2249641748</v>
      </c>
      <c r="Z107" s="122">
        <f>IFERROR(Z87-Z99-Z105, "NA")</f>
        <v>-93.11</v>
      </c>
      <c r="AA107" s="94">
        <f>IFERROR(Z107/Z148, "NA")</f>
        <v>-0.001379837712</v>
      </c>
      <c r="AB107" s="122">
        <f>IFERROR((R107+T107+V107+X107)/4, "NA")</f>
        <v>-23.2775</v>
      </c>
      <c r="AC107" s="94">
        <f>IFERROR(AB107/AB148, "NA")</f>
        <v>-0.001379837712</v>
      </c>
      <c r="AD107" s="75">
        <f>IFERROR(X107-AB107, "NA")</f>
        <v>-4483.8325</v>
      </c>
      <c r="AE107" s="76">
        <f>IFERROR(AD107/AD148, "NA")</f>
        <v>-1.416669234</v>
      </c>
      <c r="AF107" s="75">
        <f>IFERROR((X107-AB107)/AB107, "NA")</f>
        <v>192.6251745</v>
      </c>
      <c r="AG107" s="122">
        <f>IFERROR((J107+L107+N107+P107+R107+T107+V107+X107)/8, "NA")</f>
        <v>-700.18375</v>
      </c>
      <c r="AH107" s="94">
        <f>IFERROR(AG107/AG148, "NA")</f>
        <v>-0.04034803436</v>
      </c>
      <c r="AI107" s="75">
        <f>IFERROR(X107-AG107, "NA")</f>
        <v>-3806.92625</v>
      </c>
      <c r="AJ107" s="76">
        <f>IFERROR(AI107/AI148, "NA")</f>
        <v>-1.419865731</v>
      </c>
      <c r="AK107" s="75">
        <f>IFERROR((X107-AG107)/AG107, "NA")</f>
        <v>5.437038849</v>
      </c>
      <c r="AL107" s="76">
        <f>IFERROR(AK107/AK148, "NA")</f>
        <v>35.19045608</v>
      </c>
    </row>
    <row r="108" ht="3.75" hidden="1" customHeight="1">
      <c r="A108" s="123"/>
      <c r="B108" s="124"/>
      <c r="C108" s="74"/>
      <c r="D108" s="124"/>
      <c r="E108" s="74"/>
      <c r="F108" s="124"/>
      <c r="G108" s="74"/>
      <c r="H108" s="124"/>
      <c r="I108" s="74"/>
      <c r="J108" s="124"/>
      <c r="K108" s="74"/>
      <c r="L108" s="124"/>
      <c r="M108" s="74"/>
      <c r="N108" s="124"/>
      <c r="O108" s="74"/>
      <c r="P108" s="124"/>
      <c r="Q108" s="74"/>
      <c r="R108" s="124"/>
      <c r="S108" s="74"/>
      <c r="T108" s="124"/>
      <c r="U108" s="74"/>
      <c r="V108" s="124"/>
      <c r="W108" s="74"/>
      <c r="X108" s="124"/>
      <c r="Y108" s="74"/>
      <c r="Z108" s="124"/>
      <c r="AA108" s="74"/>
      <c r="AB108" s="124"/>
      <c r="AC108" s="74"/>
      <c r="AD108" s="125"/>
      <c r="AE108" s="80"/>
      <c r="AF108" s="125"/>
      <c r="AG108" s="124"/>
      <c r="AH108" s="74"/>
      <c r="AI108" s="125"/>
      <c r="AJ108" s="80"/>
      <c r="AK108" s="125"/>
      <c r="AL108" s="80"/>
    </row>
    <row r="109" ht="16.5" hidden="1" customHeight="1">
      <c r="A109" s="13" t="s">
        <v>219</v>
      </c>
      <c r="B109" s="14"/>
      <c r="C109" s="12"/>
      <c r="D109" s="14"/>
      <c r="E109" s="12"/>
      <c r="F109" s="14"/>
      <c r="G109" s="12"/>
      <c r="H109" s="14"/>
      <c r="I109" s="12"/>
      <c r="J109" s="14"/>
      <c r="K109" s="12"/>
      <c r="L109" s="14"/>
      <c r="M109" s="12"/>
      <c r="N109" s="14"/>
      <c r="O109" s="12"/>
      <c r="P109" s="14"/>
      <c r="Q109" s="12"/>
      <c r="R109" s="14"/>
      <c r="S109" s="12"/>
      <c r="T109" s="14"/>
      <c r="U109" s="12"/>
      <c r="V109" s="14"/>
      <c r="W109" s="12"/>
      <c r="X109" s="14"/>
      <c r="Y109" s="12"/>
      <c r="Z109" s="14"/>
      <c r="AA109" s="12"/>
      <c r="AB109" s="14"/>
      <c r="AC109" s="12"/>
      <c r="AD109" s="17"/>
      <c r="AE109" s="18"/>
      <c r="AF109" s="17"/>
      <c r="AG109" s="14"/>
      <c r="AH109" s="12"/>
      <c r="AI109" s="17"/>
      <c r="AJ109" s="18"/>
      <c r="AK109" s="17"/>
      <c r="AL109" s="18"/>
    </row>
    <row r="110" ht="16.5" hidden="1" customHeight="1">
      <c r="A110" s="19" t="s">
        <v>220</v>
      </c>
      <c r="B110" s="21">
        <v>0.0</v>
      </c>
      <c r="C110" s="23">
        <f>IFERROR(B110/B148, "NA")</f>
        <v>0</v>
      </c>
      <c r="D110" s="21">
        <v>0.0</v>
      </c>
      <c r="E110" s="23">
        <f>IFERROR(D110/D148, "NA")</f>
        <v>0</v>
      </c>
      <c r="F110" s="21">
        <v>0.0</v>
      </c>
      <c r="G110" s="23">
        <f>IFERROR(F110/F148, "NA")</f>
        <v>0</v>
      </c>
      <c r="H110" s="21">
        <v>0.0</v>
      </c>
      <c r="I110" s="23">
        <f>IFERROR(H110/H148, "NA")</f>
        <v>0</v>
      </c>
      <c r="J110" s="21">
        <v>0.0</v>
      </c>
      <c r="K110" s="23">
        <f>IFERROR(J110/J148, "NA")</f>
        <v>0</v>
      </c>
      <c r="L110" s="21">
        <v>0.0</v>
      </c>
      <c r="M110" s="23">
        <f>IFERROR(L110/L148, "NA")</f>
        <v>0</v>
      </c>
      <c r="N110" s="21">
        <v>0.0</v>
      </c>
      <c r="O110" s="23">
        <f>IFERROR(N110/N148, "NA")</f>
        <v>0</v>
      </c>
      <c r="P110" s="21">
        <v>0.0</v>
      </c>
      <c r="Q110" s="23">
        <f>IFERROR(P110/P148, "NA")</f>
        <v>0</v>
      </c>
      <c r="R110" s="21">
        <v>0.0</v>
      </c>
      <c r="S110" s="23">
        <f>IFERROR(R110/R148, "NA")</f>
        <v>0</v>
      </c>
      <c r="T110" s="21">
        <v>0.0</v>
      </c>
      <c r="U110" s="23">
        <f>IFERROR(T110/T148, "NA")</f>
        <v>0</v>
      </c>
      <c r="V110" s="21">
        <v>0.0</v>
      </c>
      <c r="W110" s="23">
        <f>IFERROR(V110/V148, "NA")</f>
        <v>0</v>
      </c>
      <c r="X110" s="21">
        <v>0.0</v>
      </c>
      <c r="Y110" s="23">
        <f>IFERROR(X110/X148, "NA")</f>
        <v>0</v>
      </c>
      <c r="Z110" s="21">
        <v>0.0</v>
      </c>
      <c r="AA110" s="23">
        <f>IFERROR(Z110/Z148, "NA")</f>
        <v>0</v>
      </c>
      <c r="AB110" s="28">
        <f t="shared" ref="AB110:AB135" si="55">IFERROR((R110+T110+V110+X110)/4, "NA")</f>
        <v>0</v>
      </c>
      <c r="AC110" s="23">
        <f>IFERROR(AB110/AB148, "NA")</f>
        <v>0</v>
      </c>
      <c r="AD110" s="29">
        <f t="shared" ref="AD110:AD135" si="56">IFERROR(X110-AB110, "NA")</f>
        <v>0</v>
      </c>
      <c r="AE110" s="30">
        <f>IFERROR(AD110/AD148, "NA")</f>
        <v>0</v>
      </c>
      <c r="AF110" s="29" t="str">
        <f t="shared" ref="AF110:AF135" si="57">IFERROR((X110-AB110)/AB110, "NA")</f>
        <v>NA</v>
      </c>
      <c r="AG110" s="28">
        <f t="shared" ref="AG110:AG135" si="58">IFERROR((J110+L110+N110+P110+R110+T110+V110+X110)/8, "NA")</f>
        <v>0</v>
      </c>
      <c r="AH110" s="23">
        <f>IFERROR(AG110/AG148, "NA")</f>
        <v>0</v>
      </c>
      <c r="AI110" s="29">
        <f t="shared" ref="AI110:AI135" si="59">IFERROR(X110-AG110, "NA")</f>
        <v>0</v>
      </c>
      <c r="AJ110" s="30">
        <f>IFERROR(AI110/AI148, "NA")</f>
        <v>0</v>
      </c>
      <c r="AK110" s="29" t="str">
        <f t="shared" ref="AK110:AK135" si="60">IFERROR((X110-AG110)/AG110, "NA")</f>
        <v>NA</v>
      </c>
      <c r="AL110" s="30" t="str">
        <f>IFERROR(AK110/AK148, "NA")</f>
        <v>NA</v>
      </c>
    </row>
    <row r="111" ht="16.5" hidden="1" customHeight="1">
      <c r="A111" s="19" t="s">
        <v>221</v>
      </c>
      <c r="B111" s="21">
        <v>0.0</v>
      </c>
      <c r="C111" s="23">
        <f>IFERROR(B111/B148, "NA")</f>
        <v>0</v>
      </c>
      <c r="D111" s="21">
        <v>0.0</v>
      </c>
      <c r="E111" s="23">
        <f>IFERROR(D111/D148, "NA")</f>
        <v>0</v>
      </c>
      <c r="F111" s="21">
        <v>0.0</v>
      </c>
      <c r="G111" s="23">
        <f>IFERROR(F111/F148, "NA")</f>
        <v>0</v>
      </c>
      <c r="H111" s="21">
        <v>0.0</v>
      </c>
      <c r="I111" s="23">
        <f>IFERROR(H111/H148, "NA")</f>
        <v>0</v>
      </c>
      <c r="J111" s="21">
        <v>0.0</v>
      </c>
      <c r="K111" s="23">
        <f>IFERROR(J111/J148, "NA")</f>
        <v>0</v>
      </c>
      <c r="L111" s="21">
        <v>0.0</v>
      </c>
      <c r="M111" s="23">
        <f>IFERROR(L111/L148, "NA")</f>
        <v>0</v>
      </c>
      <c r="N111" s="21">
        <v>0.0</v>
      </c>
      <c r="O111" s="23">
        <f>IFERROR(N111/N148, "NA")</f>
        <v>0</v>
      </c>
      <c r="P111" s="21">
        <v>0.0</v>
      </c>
      <c r="Q111" s="23">
        <f>IFERROR(P111/P148, "NA")</f>
        <v>0</v>
      </c>
      <c r="R111" s="21">
        <v>0.0</v>
      </c>
      <c r="S111" s="23">
        <f>IFERROR(R111/R148, "NA")</f>
        <v>0</v>
      </c>
      <c r="T111" s="21">
        <v>0.0</v>
      </c>
      <c r="U111" s="23">
        <f>IFERROR(T111/T148, "NA")</f>
        <v>0</v>
      </c>
      <c r="V111" s="21">
        <v>0.0</v>
      </c>
      <c r="W111" s="23">
        <f>IFERROR(V111/V148, "NA")</f>
        <v>0</v>
      </c>
      <c r="X111" s="21">
        <v>0.0</v>
      </c>
      <c r="Y111" s="23">
        <f>IFERROR(X111/X148, "NA")</f>
        <v>0</v>
      </c>
      <c r="Z111" s="21">
        <v>0.0</v>
      </c>
      <c r="AA111" s="23">
        <f>IFERROR(Z111/Z148, "NA")</f>
        <v>0</v>
      </c>
      <c r="AB111" s="28">
        <f t="shared" si="55"/>
        <v>0</v>
      </c>
      <c r="AC111" s="23">
        <f>IFERROR(AB111/AB148, "NA")</f>
        <v>0</v>
      </c>
      <c r="AD111" s="29">
        <f t="shared" si="56"/>
        <v>0</v>
      </c>
      <c r="AE111" s="30">
        <f>IFERROR(AD111/AD148, "NA")</f>
        <v>0</v>
      </c>
      <c r="AF111" s="29" t="str">
        <f t="shared" si="57"/>
        <v>NA</v>
      </c>
      <c r="AG111" s="28">
        <f t="shared" si="58"/>
        <v>0</v>
      </c>
      <c r="AH111" s="23">
        <f>IFERROR(AG111/AG148, "NA")</f>
        <v>0</v>
      </c>
      <c r="AI111" s="29">
        <f t="shared" si="59"/>
        <v>0</v>
      </c>
      <c r="AJ111" s="30">
        <f>IFERROR(AI111/AI148, "NA")</f>
        <v>0</v>
      </c>
      <c r="AK111" s="29" t="str">
        <f t="shared" si="60"/>
        <v>NA</v>
      </c>
      <c r="AL111" s="30" t="str">
        <f>IFERROR(AK111/AK148, "NA")</f>
        <v>NA</v>
      </c>
    </row>
    <row r="112" ht="16.5" hidden="1" customHeight="1">
      <c r="A112" s="19" t="s">
        <v>222</v>
      </c>
      <c r="B112" s="21">
        <v>0.0</v>
      </c>
      <c r="C112" s="23">
        <f>IFERROR(B112/B148, "NA")</f>
        <v>0</v>
      </c>
      <c r="D112" s="21">
        <v>0.0</v>
      </c>
      <c r="E112" s="23">
        <f>IFERROR(D112/D148, "NA")</f>
        <v>0</v>
      </c>
      <c r="F112" s="21">
        <v>0.0</v>
      </c>
      <c r="G112" s="23">
        <f>IFERROR(F112/F148, "NA")</f>
        <v>0</v>
      </c>
      <c r="H112" s="21">
        <v>0.0</v>
      </c>
      <c r="I112" s="23">
        <f>IFERROR(H112/H148, "NA")</f>
        <v>0</v>
      </c>
      <c r="J112" s="21">
        <v>0.0</v>
      </c>
      <c r="K112" s="23">
        <f>IFERROR(J112/J148, "NA")</f>
        <v>0</v>
      </c>
      <c r="L112" s="21">
        <v>0.0</v>
      </c>
      <c r="M112" s="23">
        <f>IFERROR(L112/L148, "NA")</f>
        <v>0</v>
      </c>
      <c r="N112" s="21">
        <v>0.0</v>
      </c>
      <c r="O112" s="23">
        <f>IFERROR(N112/N148, "NA")</f>
        <v>0</v>
      </c>
      <c r="P112" s="21">
        <v>0.0</v>
      </c>
      <c r="Q112" s="23">
        <f>IFERROR(P112/P148, "NA")</f>
        <v>0</v>
      </c>
      <c r="R112" s="21">
        <v>0.0</v>
      </c>
      <c r="S112" s="23">
        <f>IFERROR(R112/R148, "NA")</f>
        <v>0</v>
      </c>
      <c r="T112" s="21">
        <v>0.0</v>
      </c>
      <c r="U112" s="23">
        <f>IFERROR(T112/T148, "NA")</f>
        <v>0</v>
      </c>
      <c r="V112" s="21">
        <v>0.0</v>
      </c>
      <c r="W112" s="23">
        <f>IFERROR(V112/V148, "NA")</f>
        <v>0</v>
      </c>
      <c r="X112" s="21">
        <v>0.0</v>
      </c>
      <c r="Y112" s="23">
        <f>IFERROR(X112/X148, "NA")</f>
        <v>0</v>
      </c>
      <c r="Z112" s="21">
        <v>0.0</v>
      </c>
      <c r="AA112" s="23">
        <f>IFERROR(Z112/Z148, "NA")</f>
        <v>0</v>
      </c>
      <c r="AB112" s="28">
        <f t="shared" si="55"/>
        <v>0</v>
      </c>
      <c r="AC112" s="23">
        <f>IFERROR(AB112/AB148, "NA")</f>
        <v>0</v>
      </c>
      <c r="AD112" s="29">
        <f t="shared" si="56"/>
        <v>0</v>
      </c>
      <c r="AE112" s="30">
        <f>IFERROR(AD112/AD148, "NA")</f>
        <v>0</v>
      </c>
      <c r="AF112" s="29" t="str">
        <f t="shared" si="57"/>
        <v>NA</v>
      </c>
      <c r="AG112" s="28">
        <f t="shared" si="58"/>
        <v>0</v>
      </c>
      <c r="AH112" s="23">
        <f>IFERROR(AG112/AG148, "NA")</f>
        <v>0</v>
      </c>
      <c r="AI112" s="29">
        <f t="shared" si="59"/>
        <v>0</v>
      </c>
      <c r="AJ112" s="30">
        <f>IFERROR(AI112/AI148, "NA")</f>
        <v>0</v>
      </c>
      <c r="AK112" s="29" t="str">
        <f t="shared" si="60"/>
        <v>NA</v>
      </c>
      <c r="AL112" s="30" t="str">
        <f>IFERROR(AK112/AK148, "NA")</f>
        <v>NA</v>
      </c>
    </row>
    <row r="113" ht="16.5" hidden="1" customHeight="1">
      <c r="A113" s="19" t="s">
        <v>223</v>
      </c>
      <c r="B113" s="21">
        <v>0.0</v>
      </c>
      <c r="C113" s="23">
        <f>IFERROR(B113/B148, "NA")</f>
        <v>0</v>
      </c>
      <c r="D113" s="21">
        <v>0.0</v>
      </c>
      <c r="E113" s="23">
        <f>IFERROR(D113/D148, "NA")</f>
        <v>0</v>
      </c>
      <c r="F113" s="21">
        <v>0.0</v>
      </c>
      <c r="G113" s="23">
        <f>IFERROR(F113/F148, "NA")</f>
        <v>0</v>
      </c>
      <c r="H113" s="21">
        <v>0.0</v>
      </c>
      <c r="I113" s="23">
        <f>IFERROR(H113/H148, "NA")</f>
        <v>0</v>
      </c>
      <c r="J113" s="21">
        <v>0.0</v>
      </c>
      <c r="K113" s="23">
        <f>IFERROR(J113/J148, "NA")</f>
        <v>0</v>
      </c>
      <c r="L113" s="21">
        <v>0.0</v>
      </c>
      <c r="M113" s="23">
        <f>IFERROR(L113/L148, "NA")</f>
        <v>0</v>
      </c>
      <c r="N113" s="21">
        <v>0.0</v>
      </c>
      <c r="O113" s="23">
        <f>IFERROR(N113/N148, "NA")</f>
        <v>0</v>
      </c>
      <c r="P113" s="21">
        <v>0.0</v>
      </c>
      <c r="Q113" s="23">
        <f>IFERROR(P113/P148, "NA")</f>
        <v>0</v>
      </c>
      <c r="R113" s="21">
        <v>0.0</v>
      </c>
      <c r="S113" s="23">
        <f>IFERROR(R113/R148, "NA")</f>
        <v>0</v>
      </c>
      <c r="T113" s="21">
        <v>0.0</v>
      </c>
      <c r="U113" s="23">
        <f>IFERROR(T113/T148, "NA")</f>
        <v>0</v>
      </c>
      <c r="V113" s="21">
        <v>0.0</v>
      </c>
      <c r="W113" s="23">
        <f>IFERROR(V113/V148, "NA")</f>
        <v>0</v>
      </c>
      <c r="X113" s="21">
        <v>0.0</v>
      </c>
      <c r="Y113" s="23">
        <f>IFERROR(X113/X148, "NA")</f>
        <v>0</v>
      </c>
      <c r="Z113" s="21">
        <v>0.0</v>
      </c>
      <c r="AA113" s="23">
        <f>IFERROR(Z113/Z148, "NA")</f>
        <v>0</v>
      </c>
      <c r="AB113" s="28">
        <f t="shared" si="55"/>
        <v>0</v>
      </c>
      <c r="AC113" s="23">
        <f>IFERROR(AB113/AB148, "NA")</f>
        <v>0</v>
      </c>
      <c r="AD113" s="29">
        <f t="shared" si="56"/>
        <v>0</v>
      </c>
      <c r="AE113" s="30">
        <f>IFERROR(AD113/AD148, "NA")</f>
        <v>0</v>
      </c>
      <c r="AF113" s="29" t="str">
        <f t="shared" si="57"/>
        <v>NA</v>
      </c>
      <c r="AG113" s="28">
        <f t="shared" si="58"/>
        <v>0</v>
      </c>
      <c r="AH113" s="23">
        <f>IFERROR(AG113/AG148, "NA")</f>
        <v>0</v>
      </c>
      <c r="AI113" s="29">
        <f t="shared" si="59"/>
        <v>0</v>
      </c>
      <c r="AJ113" s="30">
        <f>IFERROR(AI113/AI148, "NA")</f>
        <v>0</v>
      </c>
      <c r="AK113" s="29" t="str">
        <f t="shared" si="60"/>
        <v>NA</v>
      </c>
      <c r="AL113" s="30" t="str">
        <f>IFERROR(AK113/AK148, "NA")</f>
        <v>NA</v>
      </c>
    </row>
    <row r="114" ht="16.5" hidden="1" customHeight="1">
      <c r="A114" s="19" t="s">
        <v>224</v>
      </c>
      <c r="B114" s="21">
        <v>0.0</v>
      </c>
      <c r="C114" s="23">
        <f>IFERROR(B114/B148, "NA")</f>
        <v>0</v>
      </c>
      <c r="D114" s="21">
        <v>0.0</v>
      </c>
      <c r="E114" s="23">
        <f>IFERROR(D114/D148, "NA")</f>
        <v>0</v>
      </c>
      <c r="F114" s="21">
        <v>0.0</v>
      </c>
      <c r="G114" s="23">
        <f>IFERROR(F114/F148, "NA")</f>
        <v>0</v>
      </c>
      <c r="H114" s="21">
        <v>0.0</v>
      </c>
      <c r="I114" s="23">
        <f>IFERROR(H114/H148, "NA")</f>
        <v>0</v>
      </c>
      <c r="J114" s="21">
        <v>0.0</v>
      </c>
      <c r="K114" s="23">
        <f>IFERROR(J114/J148, "NA")</f>
        <v>0</v>
      </c>
      <c r="L114" s="21">
        <v>0.0</v>
      </c>
      <c r="M114" s="23">
        <f>IFERROR(L114/L148, "NA")</f>
        <v>0</v>
      </c>
      <c r="N114" s="21">
        <v>0.0</v>
      </c>
      <c r="O114" s="23">
        <f>IFERROR(N114/N148, "NA")</f>
        <v>0</v>
      </c>
      <c r="P114" s="21">
        <v>0.0</v>
      </c>
      <c r="Q114" s="23">
        <f>IFERROR(P114/P148, "NA")</f>
        <v>0</v>
      </c>
      <c r="R114" s="21">
        <v>0.0</v>
      </c>
      <c r="S114" s="23">
        <f>IFERROR(R114/R148, "NA")</f>
        <v>0</v>
      </c>
      <c r="T114" s="21">
        <v>0.0</v>
      </c>
      <c r="U114" s="23">
        <f>IFERROR(T114/T148, "NA")</f>
        <v>0</v>
      </c>
      <c r="V114" s="21">
        <v>0.0</v>
      </c>
      <c r="W114" s="23">
        <f>IFERROR(V114/V148, "NA")</f>
        <v>0</v>
      </c>
      <c r="X114" s="21">
        <v>0.0</v>
      </c>
      <c r="Y114" s="23">
        <f>IFERROR(X114/X148, "NA")</f>
        <v>0</v>
      </c>
      <c r="Z114" s="21">
        <v>0.0</v>
      </c>
      <c r="AA114" s="23">
        <f>IFERROR(Z114/Z148, "NA")</f>
        <v>0</v>
      </c>
      <c r="AB114" s="28">
        <f t="shared" si="55"/>
        <v>0</v>
      </c>
      <c r="AC114" s="23">
        <f>IFERROR(AB114/AB148, "NA")</f>
        <v>0</v>
      </c>
      <c r="AD114" s="29">
        <f t="shared" si="56"/>
        <v>0</v>
      </c>
      <c r="AE114" s="30">
        <f>IFERROR(AD114/AD148, "NA")</f>
        <v>0</v>
      </c>
      <c r="AF114" s="29" t="str">
        <f t="shared" si="57"/>
        <v>NA</v>
      </c>
      <c r="AG114" s="28">
        <f t="shared" si="58"/>
        <v>0</v>
      </c>
      <c r="AH114" s="23">
        <f>IFERROR(AG114/AG148, "NA")</f>
        <v>0</v>
      </c>
      <c r="AI114" s="29">
        <f t="shared" si="59"/>
        <v>0</v>
      </c>
      <c r="AJ114" s="30">
        <f>IFERROR(AI114/AI148, "NA")</f>
        <v>0</v>
      </c>
      <c r="AK114" s="29" t="str">
        <f t="shared" si="60"/>
        <v>NA</v>
      </c>
      <c r="AL114" s="30" t="str">
        <f>IFERROR(AK114/AK148, "NA")</f>
        <v>NA</v>
      </c>
    </row>
    <row r="115" ht="16.5" hidden="1" customHeight="1">
      <c r="A115" s="19" t="s">
        <v>225</v>
      </c>
      <c r="B115" s="21">
        <v>0.0</v>
      </c>
      <c r="C115" s="23">
        <f>IFERROR(B115/B148, "NA")</f>
        <v>0</v>
      </c>
      <c r="D115" s="21">
        <v>0.0</v>
      </c>
      <c r="E115" s="23">
        <f>IFERROR(D115/D148, "NA")</f>
        <v>0</v>
      </c>
      <c r="F115" s="21">
        <v>0.0</v>
      </c>
      <c r="G115" s="23">
        <f>IFERROR(F115/F148, "NA")</f>
        <v>0</v>
      </c>
      <c r="H115" s="21">
        <v>0.0</v>
      </c>
      <c r="I115" s="23">
        <f>IFERROR(H115/H148, "NA")</f>
        <v>0</v>
      </c>
      <c r="J115" s="21">
        <v>0.0</v>
      </c>
      <c r="K115" s="23">
        <f>IFERROR(J115/J148, "NA")</f>
        <v>0</v>
      </c>
      <c r="L115" s="21">
        <v>0.0</v>
      </c>
      <c r="M115" s="23">
        <f>IFERROR(L115/L148, "NA")</f>
        <v>0</v>
      </c>
      <c r="N115" s="21">
        <v>0.0</v>
      </c>
      <c r="O115" s="23">
        <f>IFERROR(N115/N148, "NA")</f>
        <v>0</v>
      </c>
      <c r="P115" s="21">
        <v>0.0</v>
      </c>
      <c r="Q115" s="23">
        <f>IFERROR(P115/P148, "NA")</f>
        <v>0</v>
      </c>
      <c r="R115" s="21">
        <v>0.0</v>
      </c>
      <c r="S115" s="23">
        <f>IFERROR(R115/R148, "NA")</f>
        <v>0</v>
      </c>
      <c r="T115" s="21">
        <v>0.0</v>
      </c>
      <c r="U115" s="23">
        <f>IFERROR(T115/T148, "NA")</f>
        <v>0</v>
      </c>
      <c r="V115" s="21">
        <v>0.0</v>
      </c>
      <c r="W115" s="23">
        <f>IFERROR(V115/V148, "NA")</f>
        <v>0</v>
      </c>
      <c r="X115" s="21">
        <v>0.0</v>
      </c>
      <c r="Y115" s="23">
        <f>IFERROR(X115/X148, "NA")</f>
        <v>0</v>
      </c>
      <c r="Z115" s="21">
        <v>0.0</v>
      </c>
      <c r="AA115" s="23">
        <f>IFERROR(Z115/Z148, "NA")</f>
        <v>0</v>
      </c>
      <c r="AB115" s="28">
        <f t="shared" si="55"/>
        <v>0</v>
      </c>
      <c r="AC115" s="23">
        <f>IFERROR(AB115/AB148, "NA")</f>
        <v>0</v>
      </c>
      <c r="AD115" s="29">
        <f t="shared" si="56"/>
        <v>0</v>
      </c>
      <c r="AE115" s="30">
        <f>IFERROR(AD115/AD148, "NA")</f>
        <v>0</v>
      </c>
      <c r="AF115" s="29" t="str">
        <f t="shared" si="57"/>
        <v>NA</v>
      </c>
      <c r="AG115" s="28">
        <f t="shared" si="58"/>
        <v>0</v>
      </c>
      <c r="AH115" s="23">
        <f>IFERROR(AG115/AG148, "NA")</f>
        <v>0</v>
      </c>
      <c r="AI115" s="29">
        <f t="shared" si="59"/>
        <v>0</v>
      </c>
      <c r="AJ115" s="30">
        <f>IFERROR(AI115/AI148, "NA")</f>
        <v>0</v>
      </c>
      <c r="AK115" s="29" t="str">
        <f t="shared" si="60"/>
        <v>NA</v>
      </c>
      <c r="AL115" s="30" t="str">
        <f>IFERROR(AK115/AK148, "NA")</f>
        <v>NA</v>
      </c>
    </row>
    <row r="116" ht="16.5" hidden="1" customHeight="1">
      <c r="A116" s="19" t="s">
        <v>226</v>
      </c>
      <c r="B116" s="21">
        <v>0.0</v>
      </c>
      <c r="C116" s="23">
        <f>IFERROR(B116/B148, "NA")</f>
        <v>0</v>
      </c>
      <c r="D116" s="21">
        <v>0.0</v>
      </c>
      <c r="E116" s="23">
        <f>IFERROR(D116/D148, "NA")</f>
        <v>0</v>
      </c>
      <c r="F116" s="21">
        <v>0.0</v>
      </c>
      <c r="G116" s="23">
        <f>IFERROR(F116/F148, "NA")</f>
        <v>0</v>
      </c>
      <c r="H116" s="21">
        <v>0.0</v>
      </c>
      <c r="I116" s="23">
        <f>IFERROR(H116/H148, "NA")</f>
        <v>0</v>
      </c>
      <c r="J116" s="21">
        <v>0.0</v>
      </c>
      <c r="K116" s="23">
        <f>IFERROR(J116/J148, "NA")</f>
        <v>0</v>
      </c>
      <c r="L116" s="21">
        <v>0.0</v>
      </c>
      <c r="M116" s="23">
        <f>IFERROR(L116/L148, "NA")</f>
        <v>0</v>
      </c>
      <c r="N116" s="21">
        <v>0.0</v>
      </c>
      <c r="O116" s="23">
        <f>IFERROR(N116/N148, "NA")</f>
        <v>0</v>
      </c>
      <c r="P116" s="21">
        <v>0.0</v>
      </c>
      <c r="Q116" s="23">
        <f>IFERROR(P116/P148, "NA")</f>
        <v>0</v>
      </c>
      <c r="R116" s="21">
        <v>0.0</v>
      </c>
      <c r="S116" s="23">
        <f>IFERROR(R116/R148, "NA")</f>
        <v>0</v>
      </c>
      <c r="T116" s="21">
        <v>0.0</v>
      </c>
      <c r="U116" s="23">
        <f>IFERROR(T116/T148, "NA")</f>
        <v>0</v>
      </c>
      <c r="V116" s="21">
        <v>0.0</v>
      </c>
      <c r="W116" s="23">
        <f>IFERROR(V116/V148, "NA")</f>
        <v>0</v>
      </c>
      <c r="X116" s="21">
        <v>0.0</v>
      </c>
      <c r="Y116" s="23">
        <f>IFERROR(X116/X148, "NA")</f>
        <v>0</v>
      </c>
      <c r="Z116" s="21">
        <v>0.0</v>
      </c>
      <c r="AA116" s="23">
        <f>IFERROR(Z116/Z148, "NA")</f>
        <v>0</v>
      </c>
      <c r="AB116" s="28">
        <f t="shared" si="55"/>
        <v>0</v>
      </c>
      <c r="AC116" s="23">
        <f>IFERROR(AB116/AB148, "NA")</f>
        <v>0</v>
      </c>
      <c r="AD116" s="29">
        <f t="shared" si="56"/>
        <v>0</v>
      </c>
      <c r="AE116" s="30">
        <f>IFERROR(AD116/AD148, "NA")</f>
        <v>0</v>
      </c>
      <c r="AF116" s="29" t="str">
        <f t="shared" si="57"/>
        <v>NA</v>
      </c>
      <c r="AG116" s="28">
        <f t="shared" si="58"/>
        <v>0</v>
      </c>
      <c r="AH116" s="23">
        <f>IFERROR(AG116/AG148, "NA")</f>
        <v>0</v>
      </c>
      <c r="AI116" s="29">
        <f t="shared" si="59"/>
        <v>0</v>
      </c>
      <c r="AJ116" s="30">
        <f>IFERROR(AI116/AI148, "NA")</f>
        <v>0</v>
      </c>
      <c r="AK116" s="29" t="str">
        <f t="shared" si="60"/>
        <v>NA</v>
      </c>
      <c r="AL116" s="30" t="str">
        <f>IFERROR(AK116/AK148, "NA")</f>
        <v>NA</v>
      </c>
    </row>
    <row r="117" ht="16.5" hidden="1" customHeight="1">
      <c r="A117" s="19" t="s">
        <v>227</v>
      </c>
      <c r="B117" s="21">
        <v>0.0</v>
      </c>
      <c r="C117" s="23">
        <f>IFERROR(B117/B148, "NA")</f>
        <v>0</v>
      </c>
      <c r="D117" s="21">
        <v>0.0</v>
      </c>
      <c r="E117" s="23">
        <f>IFERROR(D117/D148, "NA")</f>
        <v>0</v>
      </c>
      <c r="F117" s="21">
        <v>0.0</v>
      </c>
      <c r="G117" s="23">
        <f>IFERROR(F117/F148, "NA")</f>
        <v>0</v>
      </c>
      <c r="H117" s="21">
        <v>0.0</v>
      </c>
      <c r="I117" s="23">
        <f>IFERROR(H117/H148, "NA")</f>
        <v>0</v>
      </c>
      <c r="J117" s="21">
        <v>0.0</v>
      </c>
      <c r="K117" s="23">
        <f>IFERROR(J117/J148, "NA")</f>
        <v>0</v>
      </c>
      <c r="L117" s="21">
        <v>0.0</v>
      </c>
      <c r="M117" s="23">
        <f>IFERROR(L117/L148, "NA")</f>
        <v>0</v>
      </c>
      <c r="N117" s="21">
        <v>0.0</v>
      </c>
      <c r="O117" s="23">
        <f>IFERROR(N117/N148, "NA")</f>
        <v>0</v>
      </c>
      <c r="P117" s="21">
        <v>0.0</v>
      </c>
      <c r="Q117" s="23">
        <f>IFERROR(P117/P148, "NA")</f>
        <v>0</v>
      </c>
      <c r="R117" s="21">
        <v>0.0</v>
      </c>
      <c r="S117" s="23">
        <f>IFERROR(R117/R148, "NA")</f>
        <v>0</v>
      </c>
      <c r="T117" s="21">
        <v>0.0</v>
      </c>
      <c r="U117" s="23">
        <f>IFERROR(T117/T148, "NA")</f>
        <v>0</v>
      </c>
      <c r="V117" s="21">
        <v>0.0</v>
      </c>
      <c r="W117" s="23">
        <f>IFERROR(V117/V148, "NA")</f>
        <v>0</v>
      </c>
      <c r="X117" s="21">
        <v>0.0</v>
      </c>
      <c r="Y117" s="23">
        <f>IFERROR(X117/X148, "NA")</f>
        <v>0</v>
      </c>
      <c r="Z117" s="21">
        <v>0.0</v>
      </c>
      <c r="AA117" s="23">
        <f>IFERROR(Z117/Z148, "NA")</f>
        <v>0</v>
      </c>
      <c r="AB117" s="28">
        <f t="shared" si="55"/>
        <v>0</v>
      </c>
      <c r="AC117" s="23">
        <f>IFERROR(AB117/AB148, "NA")</f>
        <v>0</v>
      </c>
      <c r="AD117" s="29">
        <f t="shared" si="56"/>
        <v>0</v>
      </c>
      <c r="AE117" s="30">
        <f>IFERROR(AD117/AD148, "NA")</f>
        <v>0</v>
      </c>
      <c r="AF117" s="29" t="str">
        <f t="shared" si="57"/>
        <v>NA</v>
      </c>
      <c r="AG117" s="28">
        <f t="shared" si="58"/>
        <v>0</v>
      </c>
      <c r="AH117" s="23">
        <f>IFERROR(AG117/AG148, "NA")</f>
        <v>0</v>
      </c>
      <c r="AI117" s="29">
        <f t="shared" si="59"/>
        <v>0</v>
      </c>
      <c r="AJ117" s="30">
        <f>IFERROR(AI117/AI148, "NA")</f>
        <v>0</v>
      </c>
      <c r="AK117" s="29" t="str">
        <f t="shared" si="60"/>
        <v>NA</v>
      </c>
      <c r="AL117" s="30" t="str">
        <f>IFERROR(AK117/AK148, "NA")</f>
        <v>NA</v>
      </c>
    </row>
    <row r="118" ht="16.5" hidden="1" customHeight="1">
      <c r="A118" s="19" t="s">
        <v>228</v>
      </c>
      <c r="B118" s="21">
        <v>0.0</v>
      </c>
      <c r="C118" s="23">
        <f>IFERROR(B118/B148, "NA")</f>
        <v>0</v>
      </c>
      <c r="D118" s="21">
        <v>0.0</v>
      </c>
      <c r="E118" s="23">
        <f>IFERROR(D118/D148, "NA")</f>
        <v>0</v>
      </c>
      <c r="F118" s="21">
        <v>0.0</v>
      </c>
      <c r="G118" s="23">
        <f>IFERROR(F118/F148, "NA")</f>
        <v>0</v>
      </c>
      <c r="H118" s="21">
        <v>0.0</v>
      </c>
      <c r="I118" s="23">
        <f>IFERROR(H118/H148, "NA")</f>
        <v>0</v>
      </c>
      <c r="J118" s="21">
        <v>0.0</v>
      </c>
      <c r="K118" s="23">
        <f>IFERROR(J118/J148, "NA")</f>
        <v>0</v>
      </c>
      <c r="L118" s="21">
        <v>0.0</v>
      </c>
      <c r="M118" s="23">
        <f>IFERROR(L118/L148, "NA")</f>
        <v>0</v>
      </c>
      <c r="N118" s="21">
        <v>0.0</v>
      </c>
      <c r="O118" s="23">
        <f>IFERROR(N118/N148, "NA")</f>
        <v>0</v>
      </c>
      <c r="P118" s="21">
        <v>0.0</v>
      </c>
      <c r="Q118" s="23">
        <f>IFERROR(P118/P148, "NA")</f>
        <v>0</v>
      </c>
      <c r="R118" s="21">
        <v>0.0</v>
      </c>
      <c r="S118" s="23">
        <f>IFERROR(R118/R148, "NA")</f>
        <v>0</v>
      </c>
      <c r="T118" s="21">
        <v>0.0</v>
      </c>
      <c r="U118" s="23">
        <f>IFERROR(T118/T148, "NA")</f>
        <v>0</v>
      </c>
      <c r="V118" s="21">
        <v>0.0</v>
      </c>
      <c r="W118" s="23">
        <f>IFERROR(V118/V148, "NA")</f>
        <v>0</v>
      </c>
      <c r="X118" s="21">
        <v>0.0</v>
      </c>
      <c r="Y118" s="23">
        <f>IFERROR(X118/X148, "NA")</f>
        <v>0</v>
      </c>
      <c r="Z118" s="21">
        <v>0.0</v>
      </c>
      <c r="AA118" s="23">
        <f>IFERROR(Z118/Z148, "NA")</f>
        <v>0</v>
      </c>
      <c r="AB118" s="28">
        <f t="shared" si="55"/>
        <v>0</v>
      </c>
      <c r="AC118" s="23">
        <f>IFERROR(AB118/AB148, "NA")</f>
        <v>0</v>
      </c>
      <c r="AD118" s="29">
        <f t="shared" si="56"/>
        <v>0</v>
      </c>
      <c r="AE118" s="30">
        <f>IFERROR(AD118/AD148, "NA")</f>
        <v>0</v>
      </c>
      <c r="AF118" s="29" t="str">
        <f t="shared" si="57"/>
        <v>NA</v>
      </c>
      <c r="AG118" s="28">
        <f t="shared" si="58"/>
        <v>0</v>
      </c>
      <c r="AH118" s="23">
        <f>IFERROR(AG118/AG148, "NA")</f>
        <v>0</v>
      </c>
      <c r="AI118" s="29">
        <f t="shared" si="59"/>
        <v>0</v>
      </c>
      <c r="AJ118" s="30">
        <f>IFERROR(AI118/AI148, "NA")</f>
        <v>0</v>
      </c>
      <c r="AK118" s="29" t="str">
        <f t="shared" si="60"/>
        <v>NA</v>
      </c>
      <c r="AL118" s="30" t="str">
        <f>IFERROR(AK118/AK148, "NA")</f>
        <v>NA</v>
      </c>
    </row>
    <row r="119" ht="16.5" hidden="1" customHeight="1">
      <c r="A119" s="19" t="s">
        <v>229</v>
      </c>
      <c r="B119" s="21">
        <v>0.0</v>
      </c>
      <c r="C119" s="23">
        <f>IFERROR(B119/B148, "NA")</f>
        <v>0</v>
      </c>
      <c r="D119" s="21">
        <v>0.0</v>
      </c>
      <c r="E119" s="23">
        <f>IFERROR(D119/D148, "NA")</f>
        <v>0</v>
      </c>
      <c r="F119" s="21">
        <v>0.0</v>
      </c>
      <c r="G119" s="23">
        <f>IFERROR(F119/F148, "NA")</f>
        <v>0</v>
      </c>
      <c r="H119" s="21">
        <v>0.0</v>
      </c>
      <c r="I119" s="23">
        <f>IFERROR(H119/H148, "NA")</f>
        <v>0</v>
      </c>
      <c r="J119" s="21">
        <v>0.0</v>
      </c>
      <c r="K119" s="23">
        <f>IFERROR(J119/J148, "NA")</f>
        <v>0</v>
      </c>
      <c r="L119" s="21">
        <v>0.0</v>
      </c>
      <c r="M119" s="23">
        <f>IFERROR(L119/L148, "NA")</f>
        <v>0</v>
      </c>
      <c r="N119" s="21">
        <v>0.0</v>
      </c>
      <c r="O119" s="23">
        <f>IFERROR(N119/N148, "NA")</f>
        <v>0</v>
      </c>
      <c r="P119" s="21">
        <v>0.0</v>
      </c>
      <c r="Q119" s="23">
        <f>IFERROR(P119/P148, "NA")</f>
        <v>0</v>
      </c>
      <c r="R119" s="21">
        <v>0.0</v>
      </c>
      <c r="S119" s="23">
        <f>IFERROR(R119/R148, "NA")</f>
        <v>0</v>
      </c>
      <c r="T119" s="21">
        <v>0.0</v>
      </c>
      <c r="U119" s="23">
        <f>IFERROR(T119/T148, "NA")</f>
        <v>0</v>
      </c>
      <c r="V119" s="21">
        <v>0.0</v>
      </c>
      <c r="W119" s="23">
        <f>IFERROR(V119/V148, "NA")</f>
        <v>0</v>
      </c>
      <c r="X119" s="21">
        <v>0.0</v>
      </c>
      <c r="Y119" s="23">
        <f>IFERROR(X119/X148, "NA")</f>
        <v>0</v>
      </c>
      <c r="Z119" s="21">
        <v>0.0</v>
      </c>
      <c r="AA119" s="23">
        <f>IFERROR(Z119/Z148, "NA")</f>
        <v>0</v>
      </c>
      <c r="AB119" s="28">
        <f t="shared" si="55"/>
        <v>0</v>
      </c>
      <c r="AC119" s="23">
        <f>IFERROR(AB119/AB148, "NA")</f>
        <v>0</v>
      </c>
      <c r="AD119" s="29">
        <f t="shared" si="56"/>
        <v>0</v>
      </c>
      <c r="AE119" s="30">
        <f>IFERROR(AD119/AD148, "NA")</f>
        <v>0</v>
      </c>
      <c r="AF119" s="29" t="str">
        <f t="shared" si="57"/>
        <v>NA</v>
      </c>
      <c r="AG119" s="28">
        <f t="shared" si="58"/>
        <v>0</v>
      </c>
      <c r="AH119" s="23">
        <f>IFERROR(AG119/AG148, "NA")</f>
        <v>0</v>
      </c>
      <c r="AI119" s="29">
        <f t="shared" si="59"/>
        <v>0</v>
      </c>
      <c r="AJ119" s="30">
        <f>IFERROR(AI119/AI148, "NA")</f>
        <v>0</v>
      </c>
      <c r="AK119" s="29" t="str">
        <f t="shared" si="60"/>
        <v>NA</v>
      </c>
      <c r="AL119" s="30" t="str">
        <f>IFERROR(AK119/AK148, "NA")</f>
        <v>NA</v>
      </c>
    </row>
    <row r="120" ht="16.5" hidden="1" customHeight="1">
      <c r="A120" s="19" t="s">
        <v>230</v>
      </c>
      <c r="B120" s="21">
        <v>0.0</v>
      </c>
      <c r="C120" s="23">
        <f>IFERROR(B120/B148, "NA")</f>
        <v>0</v>
      </c>
      <c r="D120" s="21">
        <v>0.0</v>
      </c>
      <c r="E120" s="23">
        <f>IFERROR(D120/D148, "NA")</f>
        <v>0</v>
      </c>
      <c r="F120" s="21">
        <v>0.0</v>
      </c>
      <c r="G120" s="23">
        <f>IFERROR(F120/F148, "NA")</f>
        <v>0</v>
      </c>
      <c r="H120" s="21">
        <v>0.0</v>
      </c>
      <c r="I120" s="23">
        <f>IFERROR(H120/H148, "NA")</f>
        <v>0</v>
      </c>
      <c r="J120" s="21">
        <v>0.0</v>
      </c>
      <c r="K120" s="23">
        <f>IFERROR(J120/J148, "NA")</f>
        <v>0</v>
      </c>
      <c r="L120" s="21">
        <v>0.0</v>
      </c>
      <c r="M120" s="23">
        <f>IFERROR(L120/L148, "NA")</f>
        <v>0</v>
      </c>
      <c r="N120" s="21">
        <v>0.0</v>
      </c>
      <c r="O120" s="23">
        <f>IFERROR(N120/N148, "NA")</f>
        <v>0</v>
      </c>
      <c r="P120" s="21">
        <v>0.0</v>
      </c>
      <c r="Q120" s="23">
        <f>IFERROR(P120/P148, "NA")</f>
        <v>0</v>
      </c>
      <c r="R120" s="21">
        <v>0.0</v>
      </c>
      <c r="S120" s="23">
        <f>IFERROR(R120/R148, "NA")</f>
        <v>0</v>
      </c>
      <c r="T120" s="21">
        <v>0.0</v>
      </c>
      <c r="U120" s="23">
        <f>IFERROR(T120/T148, "NA")</f>
        <v>0</v>
      </c>
      <c r="V120" s="21">
        <v>0.0</v>
      </c>
      <c r="W120" s="23">
        <f>IFERROR(V120/V148, "NA")</f>
        <v>0</v>
      </c>
      <c r="X120" s="21">
        <v>0.0</v>
      </c>
      <c r="Y120" s="23">
        <f>IFERROR(X120/X148, "NA")</f>
        <v>0</v>
      </c>
      <c r="Z120" s="21">
        <v>0.0</v>
      </c>
      <c r="AA120" s="23">
        <f>IFERROR(Z120/Z148, "NA")</f>
        <v>0</v>
      </c>
      <c r="AB120" s="28">
        <f t="shared" si="55"/>
        <v>0</v>
      </c>
      <c r="AC120" s="23">
        <f>IFERROR(AB120/AB148, "NA")</f>
        <v>0</v>
      </c>
      <c r="AD120" s="29">
        <f t="shared" si="56"/>
        <v>0</v>
      </c>
      <c r="AE120" s="30">
        <f>IFERROR(AD120/AD148, "NA")</f>
        <v>0</v>
      </c>
      <c r="AF120" s="29" t="str">
        <f t="shared" si="57"/>
        <v>NA</v>
      </c>
      <c r="AG120" s="28">
        <f t="shared" si="58"/>
        <v>0</v>
      </c>
      <c r="AH120" s="23">
        <f>IFERROR(AG120/AG148, "NA")</f>
        <v>0</v>
      </c>
      <c r="AI120" s="29">
        <f t="shared" si="59"/>
        <v>0</v>
      </c>
      <c r="AJ120" s="30">
        <f>IFERROR(AI120/AI148, "NA")</f>
        <v>0</v>
      </c>
      <c r="AK120" s="29" t="str">
        <f t="shared" si="60"/>
        <v>NA</v>
      </c>
      <c r="AL120" s="30" t="str">
        <f>IFERROR(AK120/AK148, "NA")</f>
        <v>NA</v>
      </c>
    </row>
    <row r="121" ht="16.5" hidden="1" customHeight="1">
      <c r="A121" s="19" t="s">
        <v>231</v>
      </c>
      <c r="B121" s="21">
        <v>0.0</v>
      </c>
      <c r="C121" s="23">
        <f>IFERROR(B121/B148, "NA")</f>
        <v>0</v>
      </c>
      <c r="D121" s="21">
        <v>0.0</v>
      </c>
      <c r="E121" s="23">
        <f>IFERROR(D121/D148, "NA")</f>
        <v>0</v>
      </c>
      <c r="F121" s="21">
        <v>0.0</v>
      </c>
      <c r="G121" s="23">
        <f>IFERROR(F121/F148, "NA")</f>
        <v>0</v>
      </c>
      <c r="H121" s="21">
        <v>0.0</v>
      </c>
      <c r="I121" s="23">
        <f>IFERROR(H121/H148, "NA")</f>
        <v>0</v>
      </c>
      <c r="J121" s="21">
        <v>0.0</v>
      </c>
      <c r="K121" s="23">
        <f>IFERROR(J121/J148, "NA")</f>
        <v>0</v>
      </c>
      <c r="L121" s="21">
        <v>0.0</v>
      </c>
      <c r="M121" s="23">
        <f>IFERROR(L121/L148, "NA")</f>
        <v>0</v>
      </c>
      <c r="N121" s="21">
        <v>0.0</v>
      </c>
      <c r="O121" s="23">
        <f>IFERROR(N121/N148, "NA")</f>
        <v>0</v>
      </c>
      <c r="P121" s="21">
        <v>0.0</v>
      </c>
      <c r="Q121" s="23">
        <f>IFERROR(P121/P148, "NA")</f>
        <v>0</v>
      </c>
      <c r="R121" s="21">
        <v>0.0</v>
      </c>
      <c r="S121" s="23">
        <f>IFERROR(R121/R148, "NA")</f>
        <v>0</v>
      </c>
      <c r="T121" s="21">
        <v>0.0</v>
      </c>
      <c r="U121" s="23">
        <f>IFERROR(T121/T148, "NA")</f>
        <v>0</v>
      </c>
      <c r="V121" s="21">
        <v>0.0</v>
      </c>
      <c r="W121" s="23">
        <f>IFERROR(V121/V148, "NA")</f>
        <v>0</v>
      </c>
      <c r="X121" s="21">
        <v>0.0</v>
      </c>
      <c r="Y121" s="23">
        <f>IFERROR(X121/X148, "NA")</f>
        <v>0</v>
      </c>
      <c r="Z121" s="21">
        <v>0.0</v>
      </c>
      <c r="AA121" s="23">
        <f>IFERROR(Z121/Z148, "NA")</f>
        <v>0</v>
      </c>
      <c r="AB121" s="28">
        <f t="shared" si="55"/>
        <v>0</v>
      </c>
      <c r="AC121" s="23">
        <f>IFERROR(AB121/AB148, "NA")</f>
        <v>0</v>
      </c>
      <c r="AD121" s="29">
        <f t="shared" si="56"/>
        <v>0</v>
      </c>
      <c r="AE121" s="30">
        <f>IFERROR(AD121/AD148, "NA")</f>
        <v>0</v>
      </c>
      <c r="AF121" s="29" t="str">
        <f t="shared" si="57"/>
        <v>NA</v>
      </c>
      <c r="AG121" s="28">
        <f t="shared" si="58"/>
        <v>0</v>
      </c>
      <c r="AH121" s="23">
        <f>IFERROR(AG121/AG148, "NA")</f>
        <v>0</v>
      </c>
      <c r="AI121" s="29">
        <f t="shared" si="59"/>
        <v>0</v>
      </c>
      <c r="AJ121" s="30">
        <f>IFERROR(AI121/AI148, "NA")</f>
        <v>0</v>
      </c>
      <c r="AK121" s="29" t="str">
        <f t="shared" si="60"/>
        <v>NA</v>
      </c>
      <c r="AL121" s="30" t="str">
        <f>IFERROR(AK121/AK148, "NA")</f>
        <v>NA</v>
      </c>
    </row>
    <row r="122" ht="16.5" hidden="1" customHeight="1">
      <c r="A122" s="19" t="s">
        <v>232</v>
      </c>
      <c r="B122" s="21">
        <v>0.0</v>
      </c>
      <c r="C122" s="23">
        <f>IFERROR(B122/B148, "NA")</f>
        <v>0</v>
      </c>
      <c r="D122" s="21">
        <v>0.0</v>
      </c>
      <c r="E122" s="23">
        <f>IFERROR(D122/D148, "NA")</f>
        <v>0</v>
      </c>
      <c r="F122" s="21">
        <v>0.0</v>
      </c>
      <c r="G122" s="23">
        <f>IFERROR(F122/F148, "NA")</f>
        <v>0</v>
      </c>
      <c r="H122" s="21">
        <v>0.0</v>
      </c>
      <c r="I122" s="23">
        <f>IFERROR(H122/H148, "NA")</f>
        <v>0</v>
      </c>
      <c r="J122" s="21">
        <v>0.0</v>
      </c>
      <c r="K122" s="23">
        <f>IFERROR(J122/J148, "NA")</f>
        <v>0</v>
      </c>
      <c r="L122" s="21">
        <v>0.0</v>
      </c>
      <c r="M122" s="23">
        <f>IFERROR(L122/L148, "NA")</f>
        <v>0</v>
      </c>
      <c r="N122" s="21">
        <v>0.0</v>
      </c>
      <c r="O122" s="23">
        <f>IFERROR(N122/N148, "NA")</f>
        <v>0</v>
      </c>
      <c r="P122" s="21">
        <v>0.0</v>
      </c>
      <c r="Q122" s="23">
        <f>IFERROR(P122/P148, "NA")</f>
        <v>0</v>
      </c>
      <c r="R122" s="21">
        <v>0.0</v>
      </c>
      <c r="S122" s="23">
        <f>IFERROR(R122/R148, "NA")</f>
        <v>0</v>
      </c>
      <c r="T122" s="21">
        <v>0.0</v>
      </c>
      <c r="U122" s="23">
        <f>IFERROR(T122/T148, "NA")</f>
        <v>0</v>
      </c>
      <c r="V122" s="21">
        <v>0.0</v>
      </c>
      <c r="W122" s="23">
        <f>IFERROR(V122/V148, "NA")</f>
        <v>0</v>
      </c>
      <c r="X122" s="21">
        <v>0.0</v>
      </c>
      <c r="Y122" s="23">
        <f>IFERROR(X122/X148, "NA")</f>
        <v>0</v>
      </c>
      <c r="Z122" s="21">
        <v>0.0</v>
      </c>
      <c r="AA122" s="23">
        <f>IFERROR(Z122/Z148, "NA")</f>
        <v>0</v>
      </c>
      <c r="AB122" s="28">
        <f t="shared" si="55"/>
        <v>0</v>
      </c>
      <c r="AC122" s="23">
        <f>IFERROR(AB122/AB148, "NA")</f>
        <v>0</v>
      </c>
      <c r="AD122" s="29">
        <f t="shared" si="56"/>
        <v>0</v>
      </c>
      <c r="AE122" s="30">
        <f>IFERROR(AD122/AD148, "NA")</f>
        <v>0</v>
      </c>
      <c r="AF122" s="29" t="str">
        <f t="shared" si="57"/>
        <v>NA</v>
      </c>
      <c r="AG122" s="28">
        <f t="shared" si="58"/>
        <v>0</v>
      </c>
      <c r="AH122" s="23">
        <f>IFERROR(AG122/AG148, "NA")</f>
        <v>0</v>
      </c>
      <c r="AI122" s="29">
        <f t="shared" si="59"/>
        <v>0</v>
      </c>
      <c r="AJ122" s="30">
        <f>IFERROR(AI122/AI148, "NA")</f>
        <v>0</v>
      </c>
      <c r="AK122" s="29" t="str">
        <f t="shared" si="60"/>
        <v>NA</v>
      </c>
      <c r="AL122" s="30" t="str">
        <f>IFERROR(AK122/AK148, "NA")</f>
        <v>NA</v>
      </c>
    </row>
    <row r="123" ht="16.5" hidden="1" customHeight="1">
      <c r="A123" s="19" t="s">
        <v>233</v>
      </c>
      <c r="B123" s="21">
        <v>0.0</v>
      </c>
      <c r="C123" s="23">
        <f>IFERROR(B123/B148, "NA")</f>
        <v>0</v>
      </c>
      <c r="D123" s="21">
        <v>0.0</v>
      </c>
      <c r="E123" s="23">
        <f>IFERROR(D123/D148, "NA")</f>
        <v>0</v>
      </c>
      <c r="F123" s="21">
        <v>0.0</v>
      </c>
      <c r="G123" s="23">
        <f>IFERROR(F123/F148, "NA")</f>
        <v>0</v>
      </c>
      <c r="H123" s="21">
        <v>0.0</v>
      </c>
      <c r="I123" s="23">
        <f>IFERROR(H123/H148, "NA")</f>
        <v>0</v>
      </c>
      <c r="J123" s="21">
        <v>0.0</v>
      </c>
      <c r="K123" s="23">
        <f>IFERROR(J123/J148, "NA")</f>
        <v>0</v>
      </c>
      <c r="L123" s="21">
        <v>0.0</v>
      </c>
      <c r="M123" s="23">
        <f>IFERROR(L123/L148, "NA")</f>
        <v>0</v>
      </c>
      <c r="N123" s="21">
        <v>0.0</v>
      </c>
      <c r="O123" s="23">
        <f>IFERROR(N123/N148, "NA")</f>
        <v>0</v>
      </c>
      <c r="P123" s="21">
        <v>0.0</v>
      </c>
      <c r="Q123" s="23">
        <f>IFERROR(P123/P148, "NA")</f>
        <v>0</v>
      </c>
      <c r="R123" s="21">
        <v>0.0</v>
      </c>
      <c r="S123" s="23">
        <f>IFERROR(R123/R148, "NA")</f>
        <v>0</v>
      </c>
      <c r="T123" s="21">
        <v>0.0</v>
      </c>
      <c r="U123" s="23">
        <f>IFERROR(T123/T148, "NA")</f>
        <v>0</v>
      </c>
      <c r="V123" s="21">
        <v>0.0</v>
      </c>
      <c r="W123" s="23">
        <f>IFERROR(V123/V148, "NA")</f>
        <v>0</v>
      </c>
      <c r="X123" s="21">
        <v>0.0</v>
      </c>
      <c r="Y123" s="23">
        <f>IFERROR(X123/X148, "NA")</f>
        <v>0</v>
      </c>
      <c r="Z123" s="21">
        <v>0.0</v>
      </c>
      <c r="AA123" s="23">
        <f>IFERROR(Z123/Z148, "NA")</f>
        <v>0</v>
      </c>
      <c r="AB123" s="28">
        <f t="shared" si="55"/>
        <v>0</v>
      </c>
      <c r="AC123" s="23">
        <f>IFERROR(AB123/AB148, "NA")</f>
        <v>0</v>
      </c>
      <c r="AD123" s="29">
        <f t="shared" si="56"/>
        <v>0</v>
      </c>
      <c r="AE123" s="30">
        <f>IFERROR(AD123/AD148, "NA")</f>
        <v>0</v>
      </c>
      <c r="AF123" s="29" t="str">
        <f t="shared" si="57"/>
        <v>NA</v>
      </c>
      <c r="AG123" s="28">
        <f t="shared" si="58"/>
        <v>0</v>
      </c>
      <c r="AH123" s="23">
        <f>IFERROR(AG123/AG148, "NA")</f>
        <v>0</v>
      </c>
      <c r="AI123" s="29">
        <f t="shared" si="59"/>
        <v>0</v>
      </c>
      <c r="AJ123" s="30">
        <f>IFERROR(AI123/AI148, "NA")</f>
        <v>0</v>
      </c>
      <c r="AK123" s="29" t="str">
        <f t="shared" si="60"/>
        <v>NA</v>
      </c>
      <c r="AL123" s="30" t="str">
        <f>IFERROR(AK123/AK148, "NA")</f>
        <v>NA</v>
      </c>
    </row>
    <row r="124" ht="16.5" hidden="1" customHeight="1">
      <c r="A124" s="19" t="s">
        <v>234</v>
      </c>
      <c r="B124" s="21">
        <v>0.0</v>
      </c>
      <c r="C124" s="23">
        <f>IFERROR(B124/B148, "NA")</f>
        <v>0</v>
      </c>
      <c r="D124" s="21">
        <v>0.0</v>
      </c>
      <c r="E124" s="23">
        <f>IFERROR(D124/D148, "NA")</f>
        <v>0</v>
      </c>
      <c r="F124" s="21">
        <v>0.0</v>
      </c>
      <c r="G124" s="23">
        <f>IFERROR(F124/F148, "NA")</f>
        <v>0</v>
      </c>
      <c r="H124" s="21">
        <v>0.0</v>
      </c>
      <c r="I124" s="23">
        <f>IFERROR(H124/H148, "NA")</f>
        <v>0</v>
      </c>
      <c r="J124" s="21">
        <v>0.0</v>
      </c>
      <c r="K124" s="23">
        <f>IFERROR(J124/J148, "NA")</f>
        <v>0</v>
      </c>
      <c r="L124" s="21">
        <v>0.0</v>
      </c>
      <c r="M124" s="23">
        <f>IFERROR(L124/L148, "NA")</f>
        <v>0</v>
      </c>
      <c r="N124" s="21">
        <v>0.0</v>
      </c>
      <c r="O124" s="23">
        <f>IFERROR(N124/N148, "NA")</f>
        <v>0</v>
      </c>
      <c r="P124" s="21">
        <v>0.0</v>
      </c>
      <c r="Q124" s="23">
        <f>IFERROR(P124/P148, "NA")</f>
        <v>0</v>
      </c>
      <c r="R124" s="21">
        <v>0.0</v>
      </c>
      <c r="S124" s="23">
        <f>IFERROR(R124/R148, "NA")</f>
        <v>0</v>
      </c>
      <c r="T124" s="21">
        <v>0.0</v>
      </c>
      <c r="U124" s="23">
        <f>IFERROR(T124/T148, "NA")</f>
        <v>0</v>
      </c>
      <c r="V124" s="21">
        <v>0.0</v>
      </c>
      <c r="W124" s="23">
        <f>IFERROR(V124/V148, "NA")</f>
        <v>0</v>
      </c>
      <c r="X124" s="21">
        <v>0.0</v>
      </c>
      <c r="Y124" s="23">
        <f>IFERROR(X124/X148, "NA")</f>
        <v>0</v>
      </c>
      <c r="Z124" s="21">
        <v>0.0</v>
      </c>
      <c r="AA124" s="23">
        <f>IFERROR(Z124/Z148, "NA")</f>
        <v>0</v>
      </c>
      <c r="AB124" s="28">
        <f t="shared" si="55"/>
        <v>0</v>
      </c>
      <c r="AC124" s="23">
        <f>IFERROR(AB124/AB148, "NA")</f>
        <v>0</v>
      </c>
      <c r="AD124" s="29">
        <f t="shared" si="56"/>
        <v>0</v>
      </c>
      <c r="AE124" s="30">
        <f>IFERROR(AD124/AD148, "NA")</f>
        <v>0</v>
      </c>
      <c r="AF124" s="29" t="str">
        <f t="shared" si="57"/>
        <v>NA</v>
      </c>
      <c r="AG124" s="28">
        <f t="shared" si="58"/>
        <v>0</v>
      </c>
      <c r="AH124" s="23">
        <f>IFERROR(AG124/AG148, "NA")</f>
        <v>0</v>
      </c>
      <c r="AI124" s="29">
        <f t="shared" si="59"/>
        <v>0</v>
      </c>
      <c r="AJ124" s="30">
        <f>IFERROR(AI124/AI148, "NA")</f>
        <v>0</v>
      </c>
      <c r="AK124" s="29" t="str">
        <f t="shared" si="60"/>
        <v>NA</v>
      </c>
      <c r="AL124" s="30" t="str">
        <f>IFERROR(AK124/AK148, "NA")</f>
        <v>NA</v>
      </c>
    </row>
    <row r="125" ht="16.5" hidden="1" customHeight="1">
      <c r="A125" s="19" t="s">
        <v>235</v>
      </c>
      <c r="B125" s="21">
        <v>0.0</v>
      </c>
      <c r="C125" s="23">
        <f>IFERROR(B125/B148, "NA")</f>
        <v>0</v>
      </c>
      <c r="D125" s="21">
        <v>0.0</v>
      </c>
      <c r="E125" s="23">
        <f>IFERROR(D125/D148, "NA")</f>
        <v>0</v>
      </c>
      <c r="F125" s="21">
        <v>0.0</v>
      </c>
      <c r="G125" s="23">
        <f>IFERROR(F125/F148, "NA")</f>
        <v>0</v>
      </c>
      <c r="H125" s="21">
        <v>0.0</v>
      </c>
      <c r="I125" s="23">
        <f>IFERROR(H125/H148, "NA")</f>
        <v>0</v>
      </c>
      <c r="J125" s="21">
        <v>0.0</v>
      </c>
      <c r="K125" s="23">
        <f>IFERROR(J125/J148, "NA")</f>
        <v>0</v>
      </c>
      <c r="L125" s="21">
        <v>0.0</v>
      </c>
      <c r="M125" s="23">
        <f>IFERROR(L125/L148, "NA")</f>
        <v>0</v>
      </c>
      <c r="N125" s="21">
        <v>0.0</v>
      </c>
      <c r="O125" s="23">
        <f>IFERROR(N125/N148, "NA")</f>
        <v>0</v>
      </c>
      <c r="P125" s="21">
        <v>0.0</v>
      </c>
      <c r="Q125" s="23">
        <f>IFERROR(P125/P148, "NA")</f>
        <v>0</v>
      </c>
      <c r="R125" s="21">
        <v>0.0</v>
      </c>
      <c r="S125" s="23">
        <f>IFERROR(R125/R148, "NA")</f>
        <v>0</v>
      </c>
      <c r="T125" s="21">
        <v>0.0</v>
      </c>
      <c r="U125" s="23">
        <f>IFERROR(T125/T148, "NA")</f>
        <v>0</v>
      </c>
      <c r="V125" s="21">
        <v>0.0</v>
      </c>
      <c r="W125" s="23">
        <f>IFERROR(V125/V148, "NA")</f>
        <v>0</v>
      </c>
      <c r="X125" s="21">
        <v>0.0</v>
      </c>
      <c r="Y125" s="23">
        <f>IFERROR(X125/X148, "NA")</f>
        <v>0</v>
      </c>
      <c r="Z125" s="21">
        <v>0.0</v>
      </c>
      <c r="AA125" s="23">
        <f>IFERROR(Z125/Z148, "NA")</f>
        <v>0</v>
      </c>
      <c r="AB125" s="28">
        <f t="shared" si="55"/>
        <v>0</v>
      </c>
      <c r="AC125" s="23">
        <f>IFERROR(AB125/AB148, "NA")</f>
        <v>0</v>
      </c>
      <c r="AD125" s="29">
        <f t="shared" si="56"/>
        <v>0</v>
      </c>
      <c r="AE125" s="30">
        <f>IFERROR(AD125/AD148, "NA")</f>
        <v>0</v>
      </c>
      <c r="AF125" s="29" t="str">
        <f t="shared" si="57"/>
        <v>NA</v>
      </c>
      <c r="AG125" s="28">
        <f t="shared" si="58"/>
        <v>0</v>
      </c>
      <c r="AH125" s="23">
        <f>IFERROR(AG125/AG148, "NA")</f>
        <v>0</v>
      </c>
      <c r="AI125" s="29">
        <f t="shared" si="59"/>
        <v>0</v>
      </c>
      <c r="AJ125" s="30">
        <f>IFERROR(AI125/AI148, "NA")</f>
        <v>0</v>
      </c>
      <c r="AK125" s="29" t="str">
        <f t="shared" si="60"/>
        <v>NA</v>
      </c>
      <c r="AL125" s="30" t="str">
        <f>IFERROR(AK125/AK148, "NA")</f>
        <v>NA</v>
      </c>
    </row>
    <row r="126" ht="16.5" hidden="1" customHeight="1">
      <c r="A126" s="19" t="s">
        <v>236</v>
      </c>
      <c r="B126" s="21">
        <v>0.0</v>
      </c>
      <c r="C126" s="23">
        <f>IFERROR(B126/B148, "NA")</f>
        <v>0</v>
      </c>
      <c r="D126" s="21">
        <v>0.0</v>
      </c>
      <c r="E126" s="23">
        <f>IFERROR(D126/D148, "NA")</f>
        <v>0</v>
      </c>
      <c r="F126" s="21">
        <v>0.0</v>
      </c>
      <c r="G126" s="23">
        <f>IFERROR(F126/F148, "NA")</f>
        <v>0</v>
      </c>
      <c r="H126" s="21">
        <v>0.0</v>
      </c>
      <c r="I126" s="23">
        <f>IFERROR(H126/H148, "NA")</f>
        <v>0</v>
      </c>
      <c r="J126" s="21">
        <v>0.0</v>
      </c>
      <c r="K126" s="23">
        <f>IFERROR(J126/J148, "NA")</f>
        <v>0</v>
      </c>
      <c r="L126" s="21">
        <v>0.0</v>
      </c>
      <c r="M126" s="23">
        <f>IFERROR(L126/L148, "NA")</f>
        <v>0</v>
      </c>
      <c r="N126" s="21">
        <v>0.0</v>
      </c>
      <c r="O126" s="23">
        <f>IFERROR(N126/N148, "NA")</f>
        <v>0</v>
      </c>
      <c r="P126" s="21">
        <v>0.0</v>
      </c>
      <c r="Q126" s="23">
        <f>IFERROR(P126/P148, "NA")</f>
        <v>0</v>
      </c>
      <c r="R126" s="21">
        <v>0.0</v>
      </c>
      <c r="S126" s="23">
        <f>IFERROR(R126/R148, "NA")</f>
        <v>0</v>
      </c>
      <c r="T126" s="21">
        <v>0.0</v>
      </c>
      <c r="U126" s="23">
        <f>IFERROR(T126/T148, "NA")</f>
        <v>0</v>
      </c>
      <c r="V126" s="21">
        <v>0.0</v>
      </c>
      <c r="W126" s="23">
        <f>IFERROR(V126/V148, "NA")</f>
        <v>0</v>
      </c>
      <c r="X126" s="21">
        <v>0.0</v>
      </c>
      <c r="Y126" s="23">
        <f>IFERROR(X126/X148, "NA")</f>
        <v>0</v>
      </c>
      <c r="Z126" s="21">
        <v>0.0</v>
      </c>
      <c r="AA126" s="23">
        <f>IFERROR(Z126/Z148, "NA")</f>
        <v>0</v>
      </c>
      <c r="AB126" s="28">
        <f t="shared" si="55"/>
        <v>0</v>
      </c>
      <c r="AC126" s="23">
        <f>IFERROR(AB126/AB148, "NA")</f>
        <v>0</v>
      </c>
      <c r="AD126" s="29">
        <f t="shared" si="56"/>
        <v>0</v>
      </c>
      <c r="AE126" s="30">
        <f>IFERROR(AD126/AD148, "NA")</f>
        <v>0</v>
      </c>
      <c r="AF126" s="29" t="str">
        <f t="shared" si="57"/>
        <v>NA</v>
      </c>
      <c r="AG126" s="28">
        <f t="shared" si="58"/>
        <v>0</v>
      </c>
      <c r="AH126" s="23">
        <f>IFERROR(AG126/AG148, "NA")</f>
        <v>0</v>
      </c>
      <c r="AI126" s="29">
        <f t="shared" si="59"/>
        <v>0</v>
      </c>
      <c r="AJ126" s="30">
        <f>IFERROR(AI126/AI148, "NA")</f>
        <v>0</v>
      </c>
      <c r="AK126" s="29" t="str">
        <f t="shared" si="60"/>
        <v>NA</v>
      </c>
      <c r="AL126" s="30" t="str">
        <f>IFERROR(AK126/AK148, "NA")</f>
        <v>NA</v>
      </c>
    </row>
    <row r="127" ht="16.5" hidden="1" customHeight="1">
      <c r="A127" s="19" t="s">
        <v>237</v>
      </c>
      <c r="B127" s="21">
        <v>0.0</v>
      </c>
      <c r="C127" s="23">
        <f>IFERROR(B127/B148, "NA")</f>
        <v>0</v>
      </c>
      <c r="D127" s="21">
        <v>0.0</v>
      </c>
      <c r="E127" s="23">
        <f>IFERROR(D127/D148, "NA")</f>
        <v>0</v>
      </c>
      <c r="F127" s="21">
        <v>0.0</v>
      </c>
      <c r="G127" s="23">
        <f>IFERROR(F127/F148, "NA")</f>
        <v>0</v>
      </c>
      <c r="H127" s="21">
        <v>0.0</v>
      </c>
      <c r="I127" s="23">
        <f>IFERROR(H127/H148, "NA")</f>
        <v>0</v>
      </c>
      <c r="J127" s="21">
        <v>0.0</v>
      </c>
      <c r="K127" s="23">
        <f>IFERROR(J127/J148, "NA")</f>
        <v>0</v>
      </c>
      <c r="L127" s="21">
        <v>0.0</v>
      </c>
      <c r="M127" s="23">
        <f>IFERROR(L127/L148, "NA")</f>
        <v>0</v>
      </c>
      <c r="N127" s="21">
        <v>0.0</v>
      </c>
      <c r="O127" s="23">
        <f>IFERROR(N127/N148, "NA")</f>
        <v>0</v>
      </c>
      <c r="P127" s="21">
        <v>0.0</v>
      </c>
      <c r="Q127" s="23">
        <f>IFERROR(P127/P148, "NA")</f>
        <v>0</v>
      </c>
      <c r="R127" s="21">
        <v>0.0</v>
      </c>
      <c r="S127" s="23">
        <f>IFERROR(R127/R148, "NA")</f>
        <v>0</v>
      </c>
      <c r="T127" s="21">
        <v>0.0</v>
      </c>
      <c r="U127" s="23">
        <f>IFERROR(T127/T148, "NA")</f>
        <v>0</v>
      </c>
      <c r="V127" s="21">
        <v>0.0</v>
      </c>
      <c r="W127" s="23">
        <f>IFERROR(V127/V148, "NA")</f>
        <v>0</v>
      </c>
      <c r="X127" s="21">
        <v>0.0</v>
      </c>
      <c r="Y127" s="23">
        <f>IFERROR(X127/X148, "NA")</f>
        <v>0</v>
      </c>
      <c r="Z127" s="21">
        <v>0.0</v>
      </c>
      <c r="AA127" s="23">
        <f>IFERROR(Z127/Z148, "NA")</f>
        <v>0</v>
      </c>
      <c r="AB127" s="28">
        <f t="shared" si="55"/>
        <v>0</v>
      </c>
      <c r="AC127" s="23">
        <f>IFERROR(AB127/AB148, "NA")</f>
        <v>0</v>
      </c>
      <c r="AD127" s="29">
        <f t="shared" si="56"/>
        <v>0</v>
      </c>
      <c r="AE127" s="30">
        <f>IFERROR(AD127/AD148, "NA")</f>
        <v>0</v>
      </c>
      <c r="AF127" s="29" t="str">
        <f t="shared" si="57"/>
        <v>NA</v>
      </c>
      <c r="AG127" s="28">
        <f t="shared" si="58"/>
        <v>0</v>
      </c>
      <c r="AH127" s="23">
        <f>IFERROR(AG127/AG148, "NA")</f>
        <v>0</v>
      </c>
      <c r="AI127" s="29">
        <f t="shared" si="59"/>
        <v>0</v>
      </c>
      <c r="AJ127" s="30">
        <f>IFERROR(AI127/AI148, "NA")</f>
        <v>0</v>
      </c>
      <c r="AK127" s="29" t="str">
        <f t="shared" si="60"/>
        <v>NA</v>
      </c>
      <c r="AL127" s="30" t="str">
        <f>IFERROR(AK127/AK148, "NA")</f>
        <v>NA</v>
      </c>
    </row>
    <row r="128" ht="16.5" hidden="1" customHeight="1">
      <c r="A128" s="19" t="s">
        <v>238</v>
      </c>
      <c r="B128" s="21">
        <v>398.41</v>
      </c>
      <c r="C128" s="23">
        <f>IFERROR(B128/B148, "NA")</f>
        <v>0.01000221178</v>
      </c>
      <c r="D128" s="21">
        <v>307.53</v>
      </c>
      <c r="E128" s="23">
        <f>IFERROR(D128/D148, "NA")</f>
        <v>0.00889365613</v>
      </c>
      <c r="F128" s="21">
        <v>-1022.46</v>
      </c>
      <c r="G128" s="23">
        <f>IFERROR(F128/F148, "NA")</f>
        <v>-0.04509795792</v>
      </c>
      <c r="H128" s="21">
        <v>242.9</v>
      </c>
      <c r="I128" s="23">
        <f>IFERROR(H128/H148, "NA")</f>
        <v>0.02184332875</v>
      </c>
      <c r="J128" s="21">
        <v>466.45</v>
      </c>
      <c r="K128" s="23">
        <f>IFERROR(J128/J148, "NA")</f>
        <v>0.01986864417</v>
      </c>
      <c r="L128" s="21">
        <v>506.26</v>
      </c>
      <c r="M128" s="23">
        <f>IFERROR(L128/L148, "NA")</f>
        <v>0.02440339987</v>
      </c>
      <c r="N128" s="21">
        <v>390.65</v>
      </c>
      <c r="O128" s="23">
        <f>IFERROR(N128/N148, "NA")</f>
        <v>0.02032442073</v>
      </c>
      <c r="P128" s="21">
        <v>-1606.26</v>
      </c>
      <c r="Q128" s="23">
        <f>IFERROR(P128/P148, "NA")</f>
        <v>-0.2031443065</v>
      </c>
      <c r="R128" s="21">
        <v>354.54</v>
      </c>
      <c r="S128" s="23">
        <f>IFERROR(R128/R148, "NA")</f>
        <v>0.04059843007</v>
      </c>
      <c r="T128" s="21">
        <v>340.37</v>
      </c>
      <c r="U128" s="23">
        <f>IFERROR(T128/T148, "NA")</f>
        <v>0.02012069937</v>
      </c>
      <c r="V128" s="21">
        <v>357.01</v>
      </c>
      <c r="W128" s="23">
        <f>IFERROR(V128/V148, "NA")</f>
        <v>0.01638043763</v>
      </c>
      <c r="X128" s="21">
        <v>321.87</v>
      </c>
      <c r="Y128" s="23">
        <f>IFERROR(X128/X148, "NA")</f>
        <v>0.01606555397</v>
      </c>
      <c r="Z128" s="21">
        <v>1373.79</v>
      </c>
      <c r="AA128" s="23">
        <f>IFERROR(Z128/Z148, "NA")</f>
        <v>0.02035879337</v>
      </c>
      <c r="AB128" s="28">
        <f t="shared" si="55"/>
        <v>343.4475</v>
      </c>
      <c r="AC128" s="23">
        <f>IFERROR(AB128/AB148, "NA")</f>
        <v>0.02035879337</v>
      </c>
      <c r="AD128" s="29">
        <f t="shared" si="56"/>
        <v>-21.5775</v>
      </c>
      <c r="AE128" s="30">
        <f>IFERROR(AD128/AD148, "NA")</f>
        <v>-0.00681742246</v>
      </c>
      <c r="AF128" s="29">
        <f t="shared" si="57"/>
        <v>-0.06282619614</v>
      </c>
      <c r="AG128" s="28">
        <f t="shared" si="58"/>
        <v>141.36125</v>
      </c>
      <c r="AH128" s="23">
        <f>IFERROR(AG128/AG148, "NA")</f>
        <v>0.008145931083</v>
      </c>
      <c r="AI128" s="29">
        <f t="shared" si="59"/>
        <v>180.50875</v>
      </c>
      <c r="AJ128" s="30">
        <f>IFERROR(AI128/AI148, "NA")</f>
        <v>0.06732418005</v>
      </c>
      <c r="AK128" s="29">
        <f t="shared" si="60"/>
        <v>1.276932328</v>
      </c>
      <c r="AL128" s="30">
        <f>IFERROR(AK128/AK148, "NA")</f>
        <v>8.264761802</v>
      </c>
    </row>
    <row r="129" ht="16.5" hidden="1" customHeight="1">
      <c r="A129" s="19" t="s">
        <v>239</v>
      </c>
      <c r="B129" s="21">
        <v>0.0</v>
      </c>
      <c r="C129" s="23">
        <f>IFERROR(B129/B148, "NA")</f>
        <v>0</v>
      </c>
      <c r="D129" s="21">
        <v>0.0</v>
      </c>
      <c r="E129" s="23">
        <f>IFERROR(D129/D148, "NA")</f>
        <v>0</v>
      </c>
      <c r="F129" s="21">
        <v>0.0</v>
      </c>
      <c r="G129" s="23">
        <f>IFERROR(F129/F148, "NA")</f>
        <v>0</v>
      </c>
      <c r="H129" s="21">
        <v>0.0</v>
      </c>
      <c r="I129" s="23">
        <f>IFERROR(H129/H148, "NA")</f>
        <v>0</v>
      </c>
      <c r="J129" s="21">
        <v>0.0</v>
      </c>
      <c r="K129" s="23">
        <f>IFERROR(J129/J148, "NA")</f>
        <v>0</v>
      </c>
      <c r="L129" s="21">
        <v>0.0</v>
      </c>
      <c r="M129" s="23">
        <f>IFERROR(L129/L148, "NA")</f>
        <v>0</v>
      </c>
      <c r="N129" s="21">
        <v>0.0</v>
      </c>
      <c r="O129" s="23">
        <f>IFERROR(N129/N148, "NA")</f>
        <v>0</v>
      </c>
      <c r="P129" s="21">
        <v>0.0</v>
      </c>
      <c r="Q129" s="23">
        <f>IFERROR(P129/P148, "NA")</f>
        <v>0</v>
      </c>
      <c r="R129" s="21">
        <v>0.0</v>
      </c>
      <c r="S129" s="23">
        <f>IFERROR(R129/R148, "NA")</f>
        <v>0</v>
      </c>
      <c r="T129" s="21">
        <v>0.0</v>
      </c>
      <c r="U129" s="23">
        <f>IFERROR(T129/T148, "NA")</f>
        <v>0</v>
      </c>
      <c r="V129" s="21">
        <v>0.0</v>
      </c>
      <c r="W129" s="23">
        <f>IFERROR(V129/V148, "NA")</f>
        <v>0</v>
      </c>
      <c r="X129" s="21">
        <v>0.0</v>
      </c>
      <c r="Y129" s="23">
        <f>IFERROR(X129/X148, "NA")</f>
        <v>0</v>
      </c>
      <c r="Z129" s="21">
        <v>0.0</v>
      </c>
      <c r="AA129" s="23">
        <f>IFERROR(Z129/Z148, "NA")</f>
        <v>0</v>
      </c>
      <c r="AB129" s="28">
        <f t="shared" si="55"/>
        <v>0</v>
      </c>
      <c r="AC129" s="23">
        <f>IFERROR(AB129/AB148, "NA")</f>
        <v>0</v>
      </c>
      <c r="AD129" s="29">
        <f t="shared" si="56"/>
        <v>0</v>
      </c>
      <c r="AE129" s="30">
        <f>IFERROR(AD129/AD148, "NA")</f>
        <v>0</v>
      </c>
      <c r="AF129" s="29" t="str">
        <f t="shared" si="57"/>
        <v>NA</v>
      </c>
      <c r="AG129" s="28">
        <f t="shared" si="58"/>
        <v>0</v>
      </c>
      <c r="AH129" s="23">
        <f>IFERROR(AG129/AG148, "NA")</f>
        <v>0</v>
      </c>
      <c r="AI129" s="29">
        <f t="shared" si="59"/>
        <v>0</v>
      </c>
      <c r="AJ129" s="30">
        <f>IFERROR(AI129/AI148, "NA")</f>
        <v>0</v>
      </c>
      <c r="AK129" s="29" t="str">
        <f t="shared" si="60"/>
        <v>NA</v>
      </c>
      <c r="AL129" s="30" t="str">
        <f>IFERROR(AK129/AK148, "NA")</f>
        <v>NA</v>
      </c>
    </row>
    <row r="130" ht="16.5" hidden="1" customHeight="1">
      <c r="A130" s="19" t="s">
        <v>240</v>
      </c>
      <c r="B130" s="21">
        <v>0.0</v>
      </c>
      <c r="C130" s="23">
        <f>IFERROR(B130/B148, "NA")</f>
        <v>0</v>
      </c>
      <c r="D130" s="21">
        <v>0.0</v>
      </c>
      <c r="E130" s="23">
        <f>IFERROR(D130/D148, "NA")</f>
        <v>0</v>
      </c>
      <c r="F130" s="21">
        <v>0.0</v>
      </c>
      <c r="G130" s="23">
        <f>IFERROR(F130/F148, "NA")</f>
        <v>0</v>
      </c>
      <c r="H130" s="21">
        <v>0.0</v>
      </c>
      <c r="I130" s="23">
        <f>IFERROR(H130/H148, "NA")</f>
        <v>0</v>
      </c>
      <c r="J130" s="21">
        <v>0.0</v>
      </c>
      <c r="K130" s="23">
        <f>IFERROR(J130/J148, "NA")</f>
        <v>0</v>
      </c>
      <c r="L130" s="21">
        <v>0.0</v>
      </c>
      <c r="M130" s="23">
        <f>IFERROR(L130/L148, "NA")</f>
        <v>0</v>
      </c>
      <c r="N130" s="21">
        <v>0.0</v>
      </c>
      <c r="O130" s="23">
        <f>IFERROR(N130/N148, "NA")</f>
        <v>0</v>
      </c>
      <c r="P130" s="21">
        <v>0.0</v>
      </c>
      <c r="Q130" s="23">
        <f>IFERROR(P130/P148, "NA")</f>
        <v>0</v>
      </c>
      <c r="R130" s="21">
        <v>0.0</v>
      </c>
      <c r="S130" s="23">
        <f>IFERROR(R130/R148, "NA")</f>
        <v>0</v>
      </c>
      <c r="T130" s="21">
        <v>0.0</v>
      </c>
      <c r="U130" s="23">
        <f>IFERROR(T130/T148, "NA")</f>
        <v>0</v>
      </c>
      <c r="V130" s="21">
        <v>0.0</v>
      </c>
      <c r="W130" s="23">
        <f>IFERROR(V130/V148, "NA")</f>
        <v>0</v>
      </c>
      <c r="X130" s="21">
        <v>0.0</v>
      </c>
      <c r="Y130" s="23">
        <f>IFERROR(X130/X148, "NA")</f>
        <v>0</v>
      </c>
      <c r="Z130" s="21">
        <v>0.0</v>
      </c>
      <c r="AA130" s="23">
        <f>IFERROR(Z130/Z148, "NA")</f>
        <v>0</v>
      </c>
      <c r="AB130" s="28">
        <f t="shared" si="55"/>
        <v>0</v>
      </c>
      <c r="AC130" s="23">
        <f>IFERROR(AB130/AB148, "NA")</f>
        <v>0</v>
      </c>
      <c r="AD130" s="29">
        <f t="shared" si="56"/>
        <v>0</v>
      </c>
      <c r="AE130" s="30">
        <f>IFERROR(AD130/AD148, "NA")</f>
        <v>0</v>
      </c>
      <c r="AF130" s="29" t="str">
        <f t="shared" si="57"/>
        <v>NA</v>
      </c>
      <c r="AG130" s="28">
        <f t="shared" si="58"/>
        <v>0</v>
      </c>
      <c r="AH130" s="23">
        <f>IFERROR(AG130/AG148, "NA")</f>
        <v>0</v>
      </c>
      <c r="AI130" s="29">
        <f t="shared" si="59"/>
        <v>0</v>
      </c>
      <c r="AJ130" s="30">
        <f>IFERROR(AI130/AI148, "NA")</f>
        <v>0</v>
      </c>
      <c r="AK130" s="29" t="str">
        <f t="shared" si="60"/>
        <v>NA</v>
      </c>
      <c r="AL130" s="30" t="str">
        <f>IFERROR(AK130/AK148, "NA")</f>
        <v>NA</v>
      </c>
    </row>
    <row r="131" ht="16.5" hidden="1" customHeight="1">
      <c r="A131" s="19" t="s">
        <v>241</v>
      </c>
      <c r="B131" s="21">
        <v>0.0</v>
      </c>
      <c r="C131" s="23">
        <f>IFERROR(B131/B148, "NA")</f>
        <v>0</v>
      </c>
      <c r="D131" s="21">
        <v>0.0</v>
      </c>
      <c r="E131" s="23">
        <f>IFERROR(D131/D148, "NA")</f>
        <v>0</v>
      </c>
      <c r="F131" s="21">
        <v>0.0</v>
      </c>
      <c r="G131" s="23">
        <f>IFERROR(F131/F148, "NA")</f>
        <v>0</v>
      </c>
      <c r="H131" s="21">
        <v>0.0</v>
      </c>
      <c r="I131" s="23">
        <f>IFERROR(H131/H148, "NA")</f>
        <v>0</v>
      </c>
      <c r="J131" s="21">
        <v>0.0</v>
      </c>
      <c r="K131" s="23">
        <f>IFERROR(J131/J148, "NA")</f>
        <v>0</v>
      </c>
      <c r="L131" s="21">
        <v>0.0</v>
      </c>
      <c r="M131" s="23">
        <f>IFERROR(L131/L148, "NA")</f>
        <v>0</v>
      </c>
      <c r="N131" s="21">
        <v>0.0</v>
      </c>
      <c r="O131" s="23">
        <f>IFERROR(N131/N148, "NA")</f>
        <v>0</v>
      </c>
      <c r="P131" s="21">
        <v>0.0</v>
      </c>
      <c r="Q131" s="23">
        <f>IFERROR(P131/P148, "NA")</f>
        <v>0</v>
      </c>
      <c r="R131" s="21">
        <v>0.0</v>
      </c>
      <c r="S131" s="23">
        <f>IFERROR(R131/R148, "NA")</f>
        <v>0</v>
      </c>
      <c r="T131" s="21">
        <v>0.0</v>
      </c>
      <c r="U131" s="23">
        <f>IFERROR(T131/T148, "NA")</f>
        <v>0</v>
      </c>
      <c r="V131" s="21">
        <v>0.0</v>
      </c>
      <c r="W131" s="23">
        <f>IFERROR(V131/V148, "NA")</f>
        <v>0</v>
      </c>
      <c r="X131" s="21">
        <v>0.0</v>
      </c>
      <c r="Y131" s="23">
        <f>IFERROR(X131/X148, "NA")</f>
        <v>0</v>
      </c>
      <c r="Z131" s="21">
        <v>0.0</v>
      </c>
      <c r="AA131" s="23">
        <f>IFERROR(Z131/Z148, "NA")</f>
        <v>0</v>
      </c>
      <c r="AB131" s="28">
        <f t="shared" si="55"/>
        <v>0</v>
      </c>
      <c r="AC131" s="23">
        <f>IFERROR(AB131/AB148, "NA")</f>
        <v>0</v>
      </c>
      <c r="AD131" s="29">
        <f t="shared" si="56"/>
        <v>0</v>
      </c>
      <c r="AE131" s="30">
        <f>IFERROR(AD131/AD148, "NA")</f>
        <v>0</v>
      </c>
      <c r="AF131" s="29" t="str">
        <f t="shared" si="57"/>
        <v>NA</v>
      </c>
      <c r="AG131" s="28">
        <f t="shared" si="58"/>
        <v>0</v>
      </c>
      <c r="AH131" s="23">
        <f>IFERROR(AG131/AG148, "NA")</f>
        <v>0</v>
      </c>
      <c r="AI131" s="29">
        <f t="shared" si="59"/>
        <v>0</v>
      </c>
      <c r="AJ131" s="30">
        <f>IFERROR(AI131/AI148, "NA")</f>
        <v>0</v>
      </c>
      <c r="AK131" s="29" t="str">
        <f t="shared" si="60"/>
        <v>NA</v>
      </c>
      <c r="AL131" s="30" t="str">
        <f>IFERROR(AK131/AK148, "NA")</f>
        <v>NA</v>
      </c>
    </row>
    <row r="132" ht="16.5" hidden="1" customHeight="1">
      <c r="A132" s="19" t="s">
        <v>242</v>
      </c>
      <c r="B132" s="21">
        <v>0.0</v>
      </c>
      <c r="C132" s="23">
        <f>IFERROR(B132/B148, "NA")</f>
        <v>0</v>
      </c>
      <c r="D132" s="21">
        <v>0.0</v>
      </c>
      <c r="E132" s="23">
        <f>IFERROR(D132/D148, "NA")</f>
        <v>0</v>
      </c>
      <c r="F132" s="21">
        <v>0.0</v>
      </c>
      <c r="G132" s="23">
        <f>IFERROR(F132/F148, "NA")</f>
        <v>0</v>
      </c>
      <c r="H132" s="21">
        <v>0.0</v>
      </c>
      <c r="I132" s="23">
        <f>IFERROR(H132/H148, "NA")</f>
        <v>0</v>
      </c>
      <c r="J132" s="21">
        <v>0.0</v>
      </c>
      <c r="K132" s="23">
        <f>IFERROR(J132/J148, "NA")</f>
        <v>0</v>
      </c>
      <c r="L132" s="21">
        <v>0.0</v>
      </c>
      <c r="M132" s="23">
        <f>IFERROR(L132/L148, "NA")</f>
        <v>0</v>
      </c>
      <c r="N132" s="21">
        <v>0.0</v>
      </c>
      <c r="O132" s="23">
        <f>IFERROR(N132/N148, "NA")</f>
        <v>0</v>
      </c>
      <c r="P132" s="21">
        <v>0.0</v>
      </c>
      <c r="Q132" s="23">
        <f>IFERROR(P132/P148, "NA")</f>
        <v>0</v>
      </c>
      <c r="R132" s="21">
        <v>0.0</v>
      </c>
      <c r="S132" s="23">
        <f>IFERROR(R132/R148, "NA")</f>
        <v>0</v>
      </c>
      <c r="T132" s="21">
        <v>0.0</v>
      </c>
      <c r="U132" s="23">
        <f>IFERROR(T132/T148, "NA")</f>
        <v>0</v>
      </c>
      <c r="V132" s="21">
        <v>0.0</v>
      </c>
      <c r="W132" s="23">
        <f>IFERROR(V132/V148, "NA")</f>
        <v>0</v>
      </c>
      <c r="X132" s="21">
        <v>0.0</v>
      </c>
      <c r="Y132" s="23">
        <f>IFERROR(X132/X148, "NA")</f>
        <v>0</v>
      </c>
      <c r="Z132" s="21">
        <v>0.0</v>
      </c>
      <c r="AA132" s="23">
        <f>IFERROR(Z132/Z148, "NA")</f>
        <v>0</v>
      </c>
      <c r="AB132" s="28">
        <f t="shared" si="55"/>
        <v>0</v>
      </c>
      <c r="AC132" s="23">
        <f>IFERROR(AB132/AB148, "NA")</f>
        <v>0</v>
      </c>
      <c r="AD132" s="29">
        <f t="shared" si="56"/>
        <v>0</v>
      </c>
      <c r="AE132" s="30">
        <f>IFERROR(AD132/AD148, "NA")</f>
        <v>0</v>
      </c>
      <c r="AF132" s="29" t="str">
        <f t="shared" si="57"/>
        <v>NA</v>
      </c>
      <c r="AG132" s="28">
        <f t="shared" si="58"/>
        <v>0</v>
      </c>
      <c r="AH132" s="23">
        <f>IFERROR(AG132/AG148, "NA")</f>
        <v>0</v>
      </c>
      <c r="AI132" s="29">
        <f t="shared" si="59"/>
        <v>0</v>
      </c>
      <c r="AJ132" s="30">
        <f>IFERROR(AI132/AI148, "NA")</f>
        <v>0</v>
      </c>
      <c r="AK132" s="29" t="str">
        <f t="shared" si="60"/>
        <v>NA</v>
      </c>
      <c r="AL132" s="30" t="str">
        <f>IFERROR(AK132/AK148, "NA")</f>
        <v>NA</v>
      </c>
    </row>
    <row r="133" ht="16.5" hidden="1" customHeight="1">
      <c r="A133" s="19" t="s">
        <v>243</v>
      </c>
      <c r="B133" s="21">
        <v>0.0</v>
      </c>
      <c r="C133" s="23">
        <f>IFERROR(B133/B148, "NA")</f>
        <v>0</v>
      </c>
      <c r="D133" s="21">
        <v>0.0</v>
      </c>
      <c r="E133" s="23">
        <f>IFERROR(D133/D148, "NA")</f>
        <v>0</v>
      </c>
      <c r="F133" s="21">
        <v>0.0</v>
      </c>
      <c r="G133" s="23">
        <f>IFERROR(F133/F148, "NA")</f>
        <v>0</v>
      </c>
      <c r="H133" s="21">
        <v>0.0</v>
      </c>
      <c r="I133" s="23">
        <f>IFERROR(H133/H148, "NA")</f>
        <v>0</v>
      </c>
      <c r="J133" s="21">
        <v>0.0</v>
      </c>
      <c r="K133" s="23">
        <f>IFERROR(J133/J148, "NA")</f>
        <v>0</v>
      </c>
      <c r="L133" s="21">
        <v>0.0</v>
      </c>
      <c r="M133" s="23">
        <f>IFERROR(L133/L148, "NA")</f>
        <v>0</v>
      </c>
      <c r="N133" s="21">
        <v>0.0</v>
      </c>
      <c r="O133" s="23">
        <f>IFERROR(N133/N148, "NA")</f>
        <v>0</v>
      </c>
      <c r="P133" s="21">
        <v>0.0</v>
      </c>
      <c r="Q133" s="23">
        <f>IFERROR(P133/P148, "NA")</f>
        <v>0</v>
      </c>
      <c r="R133" s="21">
        <v>0.0</v>
      </c>
      <c r="S133" s="23">
        <f>IFERROR(R133/R148, "NA")</f>
        <v>0</v>
      </c>
      <c r="T133" s="21">
        <v>0.0</v>
      </c>
      <c r="U133" s="23">
        <f>IFERROR(T133/T148, "NA")</f>
        <v>0</v>
      </c>
      <c r="V133" s="21">
        <v>0.0</v>
      </c>
      <c r="W133" s="23">
        <f>IFERROR(V133/V148, "NA")</f>
        <v>0</v>
      </c>
      <c r="X133" s="21">
        <v>0.0</v>
      </c>
      <c r="Y133" s="23">
        <f>IFERROR(X133/X148, "NA")</f>
        <v>0</v>
      </c>
      <c r="Z133" s="21">
        <v>0.0</v>
      </c>
      <c r="AA133" s="23">
        <f>IFERROR(Z133/Z148, "NA")</f>
        <v>0</v>
      </c>
      <c r="AB133" s="28">
        <f t="shared" si="55"/>
        <v>0</v>
      </c>
      <c r="AC133" s="23">
        <f>IFERROR(AB133/AB148, "NA")</f>
        <v>0</v>
      </c>
      <c r="AD133" s="29">
        <f t="shared" si="56"/>
        <v>0</v>
      </c>
      <c r="AE133" s="30">
        <f>IFERROR(AD133/AD148, "NA")</f>
        <v>0</v>
      </c>
      <c r="AF133" s="29" t="str">
        <f t="shared" si="57"/>
        <v>NA</v>
      </c>
      <c r="AG133" s="28">
        <f t="shared" si="58"/>
        <v>0</v>
      </c>
      <c r="AH133" s="23">
        <f>IFERROR(AG133/AG148, "NA")</f>
        <v>0</v>
      </c>
      <c r="AI133" s="29">
        <f t="shared" si="59"/>
        <v>0</v>
      </c>
      <c r="AJ133" s="30">
        <f>IFERROR(AI133/AI148, "NA")</f>
        <v>0</v>
      </c>
      <c r="AK133" s="29" t="str">
        <f t="shared" si="60"/>
        <v>NA</v>
      </c>
      <c r="AL133" s="30" t="str">
        <f>IFERROR(AK133/AK148, "NA")</f>
        <v>NA</v>
      </c>
    </row>
    <row r="134" ht="16.5" hidden="1" customHeight="1">
      <c r="A134" s="19" t="s">
        <v>244</v>
      </c>
      <c r="B134" s="21">
        <v>0.0</v>
      </c>
      <c r="C134" s="23">
        <f>IFERROR(B134/B148, "NA")</f>
        <v>0</v>
      </c>
      <c r="D134" s="21">
        <v>0.0</v>
      </c>
      <c r="E134" s="23">
        <f>IFERROR(D134/D148, "NA")</f>
        <v>0</v>
      </c>
      <c r="F134" s="21">
        <v>0.0</v>
      </c>
      <c r="G134" s="23">
        <f>IFERROR(F134/F148, "NA")</f>
        <v>0</v>
      </c>
      <c r="H134" s="21">
        <v>0.0</v>
      </c>
      <c r="I134" s="23">
        <f>IFERROR(H134/H148, "NA")</f>
        <v>0</v>
      </c>
      <c r="J134" s="21">
        <v>0.0</v>
      </c>
      <c r="K134" s="23">
        <f>IFERROR(J134/J148, "NA")</f>
        <v>0</v>
      </c>
      <c r="L134" s="21">
        <v>0.0</v>
      </c>
      <c r="M134" s="23">
        <f>IFERROR(L134/L148, "NA")</f>
        <v>0</v>
      </c>
      <c r="N134" s="21">
        <v>0.0</v>
      </c>
      <c r="O134" s="23">
        <f>IFERROR(N134/N148, "NA")</f>
        <v>0</v>
      </c>
      <c r="P134" s="21">
        <v>0.0</v>
      </c>
      <c r="Q134" s="23">
        <f>IFERROR(P134/P148, "NA")</f>
        <v>0</v>
      </c>
      <c r="R134" s="21">
        <v>0.0</v>
      </c>
      <c r="S134" s="23">
        <f>IFERROR(R134/R148, "NA")</f>
        <v>0</v>
      </c>
      <c r="T134" s="21">
        <v>0.0</v>
      </c>
      <c r="U134" s="23">
        <f>IFERROR(T134/T148, "NA")</f>
        <v>0</v>
      </c>
      <c r="V134" s="21">
        <v>0.0</v>
      </c>
      <c r="W134" s="23">
        <f>IFERROR(V134/V148, "NA")</f>
        <v>0</v>
      </c>
      <c r="X134" s="21">
        <v>0.0</v>
      </c>
      <c r="Y134" s="23">
        <f>IFERROR(X134/X148, "NA")</f>
        <v>0</v>
      </c>
      <c r="Z134" s="21">
        <v>0.0</v>
      </c>
      <c r="AA134" s="23">
        <f>IFERROR(Z134/Z148, "NA")</f>
        <v>0</v>
      </c>
      <c r="AB134" s="28">
        <f t="shared" si="55"/>
        <v>0</v>
      </c>
      <c r="AC134" s="23">
        <f>IFERROR(AB134/AB148, "NA")</f>
        <v>0</v>
      </c>
      <c r="AD134" s="29">
        <f t="shared" si="56"/>
        <v>0</v>
      </c>
      <c r="AE134" s="30">
        <f>IFERROR(AD134/AD148, "NA")</f>
        <v>0</v>
      </c>
      <c r="AF134" s="29" t="str">
        <f t="shared" si="57"/>
        <v>NA</v>
      </c>
      <c r="AG134" s="28">
        <f t="shared" si="58"/>
        <v>0</v>
      </c>
      <c r="AH134" s="23">
        <f>IFERROR(AG134/AG148, "NA")</f>
        <v>0</v>
      </c>
      <c r="AI134" s="29">
        <f t="shared" si="59"/>
        <v>0</v>
      </c>
      <c r="AJ134" s="30">
        <f>IFERROR(AI134/AI148, "NA")</f>
        <v>0</v>
      </c>
      <c r="AK134" s="29" t="str">
        <f t="shared" si="60"/>
        <v>NA</v>
      </c>
      <c r="AL134" s="30" t="str">
        <f>IFERROR(AK134/AK148, "NA")</f>
        <v>NA</v>
      </c>
    </row>
    <row r="135" ht="16.5" hidden="1" customHeight="1">
      <c r="A135" s="65" t="s">
        <v>245</v>
      </c>
      <c r="B135" s="66">
        <f>IFERROR(B110+B111+B112+B113+B114+B115+B116+B117+B118+B119+B120+B121+B122+B123+B124+B125+B126+B127+B128+B129+B130+B131+B132+B133+B134, "NA")</f>
        <v>398.41</v>
      </c>
      <c r="C135" s="67">
        <f>IFERROR(B135/B148, "NA")</f>
        <v>0.01000221178</v>
      </c>
      <c r="D135" s="66">
        <f>IFERROR(D110+D111+D112+D113+D114+D115+D116+D117+D118+D119+D120+D121+D122+D123+D124+D125+D126+D127+D128+D129+D130+D131+D132+D133+D134, "NA")</f>
        <v>307.53</v>
      </c>
      <c r="E135" s="67">
        <f>IFERROR(D135/D148, "NA")</f>
        <v>0.00889365613</v>
      </c>
      <c r="F135" s="66">
        <f>IFERROR(F110+F111+F112+F113+F114+F115+F116+F117+F118+F119+F120+F121+F122+F123+F124+F125+F126+F127+F128+F129+F130+F131+F132+F133+F134, "NA")</f>
        <v>-1022.46</v>
      </c>
      <c r="G135" s="67">
        <f>IFERROR(F135/F148, "NA")</f>
        <v>-0.04509795792</v>
      </c>
      <c r="H135" s="66">
        <f>IFERROR(H110+H111+H112+H113+H114+H115+H116+H117+H118+H119+H120+H121+H122+H123+H124+H125+H126+H127+H128+H129+H130+H131+H132+H133+H134, "NA")</f>
        <v>242.9</v>
      </c>
      <c r="I135" s="67">
        <f>IFERROR(H135/H148, "NA")</f>
        <v>0.02184332875</v>
      </c>
      <c r="J135" s="66">
        <f>IFERROR(J110+J111+J112+J113+J114+J115+J116+J117+J118+J119+J120+J121+J122+J123+J124+J125+J126+J127+J128+J129+J130+J131+J132+J133+J134, "NA")</f>
        <v>466.45</v>
      </c>
      <c r="K135" s="67">
        <f>IFERROR(J135/J148, "NA")</f>
        <v>0.01986864417</v>
      </c>
      <c r="L135" s="66">
        <f>IFERROR(L110+L111+L112+L113+L114+L115+L116+L117+L118+L119+L120+L121+L122+L123+L124+L125+L126+L127+L128+L129+L130+L131+L132+L133+L134, "NA")</f>
        <v>506.26</v>
      </c>
      <c r="M135" s="67">
        <f>IFERROR(L135/L148, "NA")</f>
        <v>0.02440339987</v>
      </c>
      <c r="N135" s="66">
        <f>IFERROR(N110+N111+N112+N113+N114+N115+N116+N117+N118+N119+N120+N121+N122+N123+N124+N125+N126+N127+N128+N129+N130+N131+N132+N133+N134, "NA")</f>
        <v>390.65</v>
      </c>
      <c r="O135" s="67">
        <f>IFERROR(N135/N148, "NA")</f>
        <v>0.02032442073</v>
      </c>
      <c r="P135" s="66">
        <f>IFERROR(P110+P111+P112+P113+P114+P115+P116+P117+P118+P119+P120+P121+P122+P123+P124+P125+P126+P127+P128+P129+P130+P131+P132+P133+P134, "NA")</f>
        <v>-1606.26</v>
      </c>
      <c r="Q135" s="67">
        <f>IFERROR(P135/P148, "NA")</f>
        <v>-0.2031443065</v>
      </c>
      <c r="R135" s="66">
        <f>IFERROR(R110+R111+R112+R113+R114+R115+R116+R117+R118+R119+R120+R121+R122+R123+R124+R125+R126+R127+R128+R129+R130+R131+R132+R133+R134, "NA")</f>
        <v>354.54</v>
      </c>
      <c r="S135" s="67">
        <f>IFERROR(R135/R148, "NA")</f>
        <v>0.04059843007</v>
      </c>
      <c r="T135" s="66">
        <f>IFERROR(T110+T111+T112+T113+T114+T115+T116+T117+T118+T119+T120+T121+T122+T123+T124+T125+T126+T127+T128+T129+T130+T131+T132+T133+T134, "NA")</f>
        <v>340.37</v>
      </c>
      <c r="U135" s="67">
        <f>IFERROR(T135/T148, "NA")</f>
        <v>0.02012069937</v>
      </c>
      <c r="V135" s="66">
        <f>IFERROR(V110+V111+V112+V113+V114+V115+V116+V117+V118+V119+V120+V121+V122+V123+V124+V125+V126+V127+V128+V129+V130+V131+V132+V133+V134, "NA")</f>
        <v>357.01</v>
      </c>
      <c r="W135" s="67">
        <f>IFERROR(V135/V148, "NA")</f>
        <v>0.01638043763</v>
      </c>
      <c r="X135" s="66">
        <f>IFERROR(X110+X111+X112+X113+X114+X115+X116+X117+X118+X119+X120+X121+X122+X123+X124+X125+X126+X127+X128+X129+X130+X131+X132+X133+X134, "NA")</f>
        <v>321.87</v>
      </c>
      <c r="Y135" s="67">
        <f>IFERROR(X135/X148, "NA")</f>
        <v>0.01606555397</v>
      </c>
      <c r="Z135" s="66">
        <f>IFERROR(Z110+Z111+Z112+Z113+Z114+Z115+Z116+Z117+Z118+Z119+Z120+Z121+Z122+Z123+Z124+Z125+Z126+Z127+Z128+Z129+Z130+Z131+Z132+Z133+Z134, "NA")</f>
        <v>1373.79</v>
      </c>
      <c r="AA135" s="67">
        <f>IFERROR(Z135/Z148, "NA")</f>
        <v>0.02035879337</v>
      </c>
      <c r="AB135" s="66">
        <f t="shared" si="55"/>
        <v>343.4475</v>
      </c>
      <c r="AC135" s="67">
        <f>IFERROR(AB135/AB148, "NA")</f>
        <v>0.02035879337</v>
      </c>
      <c r="AD135" s="75">
        <f t="shared" si="56"/>
        <v>-21.5775</v>
      </c>
      <c r="AE135" s="76">
        <f>IFERROR(AD135/AD148, "NA")</f>
        <v>-0.00681742246</v>
      </c>
      <c r="AF135" s="75">
        <f t="shared" si="57"/>
        <v>-0.06282619614</v>
      </c>
      <c r="AG135" s="66">
        <f t="shared" si="58"/>
        <v>141.36125</v>
      </c>
      <c r="AH135" s="67">
        <f>IFERROR(AG135/AG148, "NA")</f>
        <v>0.008145931083</v>
      </c>
      <c r="AI135" s="75">
        <f t="shared" si="59"/>
        <v>180.50875</v>
      </c>
      <c r="AJ135" s="76">
        <f>IFERROR(AI135/AI148, "NA")</f>
        <v>0.06732418005</v>
      </c>
      <c r="AK135" s="75">
        <f t="shared" si="60"/>
        <v>1.276932328</v>
      </c>
      <c r="AL135" s="76">
        <f>IFERROR(AK135/AK148, "NA")</f>
        <v>8.264761802</v>
      </c>
    </row>
    <row r="136" ht="16.5" hidden="1" customHeight="1">
      <c r="A136" s="123"/>
      <c r="B136" s="124"/>
      <c r="C136" s="74"/>
      <c r="D136" s="124"/>
      <c r="E136" s="74"/>
      <c r="F136" s="124"/>
      <c r="G136" s="74"/>
      <c r="H136" s="124"/>
      <c r="I136" s="74"/>
      <c r="J136" s="124"/>
      <c r="K136" s="74"/>
      <c r="L136" s="124"/>
      <c r="M136" s="74"/>
      <c r="N136" s="124"/>
      <c r="O136" s="74"/>
      <c r="P136" s="124"/>
      <c r="Q136" s="74"/>
      <c r="R136" s="124"/>
      <c r="S136" s="74"/>
      <c r="T136" s="124"/>
      <c r="U136" s="74"/>
      <c r="V136" s="124"/>
      <c r="W136" s="74"/>
      <c r="X136" s="124"/>
      <c r="Y136" s="74"/>
      <c r="Z136" s="124"/>
      <c r="AA136" s="74"/>
      <c r="AB136" s="124"/>
      <c r="AC136" s="74"/>
      <c r="AD136" s="125"/>
      <c r="AE136" s="80"/>
      <c r="AF136" s="125"/>
      <c r="AG136" s="124"/>
      <c r="AH136" s="74"/>
      <c r="AI136" s="125"/>
      <c r="AJ136" s="80"/>
      <c r="AK136" s="125"/>
      <c r="AL136" s="80"/>
    </row>
    <row r="137" ht="16.5" hidden="1" customHeight="1">
      <c r="A137" s="121" t="s">
        <v>246</v>
      </c>
      <c r="B137" s="122">
        <f>IFERROR(B107-B135, "NA")</f>
        <v>16922.11</v>
      </c>
      <c r="C137" s="94">
        <f>IFERROR(B137/B148, "NA")</f>
        <v>0.4248350392</v>
      </c>
      <c r="D137" s="122">
        <f>IFERROR(D107-D135, "NA")</f>
        <v>10819.75</v>
      </c>
      <c r="E137" s="94">
        <f>IFERROR(D137/D148, "NA")</f>
        <v>0.3129032482</v>
      </c>
      <c r="F137" s="122">
        <f>IFERROR(F107-F135, "NA")</f>
        <v>-3827.07</v>
      </c>
      <c r="G137" s="94">
        <f>IFERROR(F137/F148, "NA")</f>
        <v>-0.1688017544</v>
      </c>
      <c r="H137" s="122">
        <f>IFERROR(H107-H135, "NA")</f>
        <v>-437.71</v>
      </c>
      <c r="I137" s="94">
        <f>IFERROR(H137/H148, "NA")</f>
        <v>-0.0393620561</v>
      </c>
      <c r="J137" s="122">
        <f>IFERROR(J107-J135, "NA")</f>
        <v>5663.07</v>
      </c>
      <c r="K137" s="94">
        <f>IFERROR(J137/J148, "NA")</f>
        <v>0.2412209728</v>
      </c>
      <c r="L137" s="122">
        <f>IFERROR(L107-L135, "NA")</f>
        <v>1806.64</v>
      </c>
      <c r="M137" s="94">
        <f>IFERROR(L137/L148, "NA")</f>
        <v>0.08708599998</v>
      </c>
      <c r="N137" s="122">
        <f>IFERROR(N107-N135, "NA")</f>
        <v>-1246.94</v>
      </c>
      <c r="O137" s="94">
        <f>IFERROR(N137/N148, "NA")</f>
        <v>-0.06487478097</v>
      </c>
      <c r="P137" s="122">
        <f>IFERROR(P107-P135, "NA")</f>
        <v>-11488.23</v>
      </c>
      <c r="Q137" s="94">
        <f>IFERROR(P137/P148, "NA")</f>
        <v>-1.45292077</v>
      </c>
      <c r="R137" s="122">
        <f>IFERROR(R107-R135, "NA")</f>
        <v>-1237.9</v>
      </c>
      <c r="S137" s="94">
        <f>IFERROR(R137/R148, "NA")</f>
        <v>-0.1417521199</v>
      </c>
      <c r="T137" s="122">
        <f>IFERROR(T107-T135, "NA")</f>
        <v>932.66</v>
      </c>
      <c r="U137" s="94">
        <f>IFERROR(T137/T148, "NA")</f>
        <v>0.05513344734</v>
      </c>
      <c r="V137" s="122">
        <f>IFERROR(V107-V135, "NA")</f>
        <v>3667.32</v>
      </c>
      <c r="W137" s="94">
        <f>IFERROR(V137/V148, "NA")</f>
        <v>0.1682650528</v>
      </c>
      <c r="X137" s="122">
        <f>IFERROR(X107-X135, "NA")</f>
        <v>-4828.98</v>
      </c>
      <c r="Y137" s="94">
        <f>IFERROR(X137/X148, "NA")</f>
        <v>-0.2410297288</v>
      </c>
      <c r="Z137" s="122">
        <f>IFERROR(Z107-Z135, "NA")</f>
        <v>-1466.9</v>
      </c>
      <c r="AA137" s="94">
        <f>IFERROR(Z137/Z148, "NA")</f>
        <v>-0.02173863108</v>
      </c>
      <c r="AB137" s="122">
        <f>IFERROR((R137+T137+V137+X137)/4, "NA")</f>
        <v>-366.725</v>
      </c>
      <c r="AC137" s="94">
        <f>IFERROR(AB137/AB148, "NA")</f>
        <v>-0.02173863108</v>
      </c>
      <c r="AD137" s="75">
        <f>IFERROR(X137-AB137, "NA")</f>
        <v>-4462.255</v>
      </c>
      <c r="AE137" s="76">
        <f>IFERROR(AD137/AD148, "NA")</f>
        <v>-1.409851811</v>
      </c>
      <c r="AF137" s="75">
        <f>IFERROR((X137-AB137)/AB137, "NA")</f>
        <v>12.16785057</v>
      </c>
      <c r="AG137" s="122">
        <f>IFERROR((J137+L137+N137+P137+R137+T137+V137+X137)/8, "NA")</f>
        <v>-841.545</v>
      </c>
      <c r="AH137" s="94">
        <f>IFERROR(AG137/AG148, "NA")</f>
        <v>-0.04849396545</v>
      </c>
      <c r="AI137" s="75">
        <f>IFERROR(X137-AG137, "NA")</f>
        <v>-3987.435</v>
      </c>
      <c r="AJ137" s="76">
        <f>IFERROR(AI137/AI148, "NA")</f>
        <v>-1.487189911</v>
      </c>
      <c r="AK137" s="75">
        <f>IFERROR((X137-AG137)/AG137, "NA")</f>
        <v>4.738231467</v>
      </c>
      <c r="AL137" s="76">
        <f>IFERROR(AK137/AK148, "NA")</f>
        <v>30.66752528</v>
      </c>
    </row>
    <row r="138" ht="3.75" hidden="1" customHeight="1">
      <c r="A138" s="123"/>
      <c r="B138" s="124"/>
      <c r="C138" s="74"/>
      <c r="D138" s="124"/>
      <c r="E138" s="74"/>
      <c r="F138" s="124"/>
      <c r="G138" s="74"/>
      <c r="H138" s="124"/>
      <c r="I138" s="74"/>
      <c r="J138" s="124"/>
      <c r="K138" s="74"/>
      <c r="L138" s="124"/>
      <c r="M138" s="74"/>
      <c r="N138" s="124"/>
      <c r="O138" s="74"/>
      <c r="P138" s="124"/>
      <c r="Q138" s="74"/>
      <c r="R138" s="124"/>
      <c r="S138" s="74"/>
      <c r="T138" s="124"/>
      <c r="U138" s="74"/>
      <c r="V138" s="124"/>
      <c r="W138" s="74"/>
      <c r="X138" s="124"/>
      <c r="Y138" s="74"/>
      <c r="Z138" s="124"/>
      <c r="AA138" s="74"/>
      <c r="AB138" s="124"/>
      <c r="AC138" s="74"/>
      <c r="AD138" s="125"/>
      <c r="AE138" s="80"/>
      <c r="AF138" s="125"/>
      <c r="AG138" s="124"/>
      <c r="AH138" s="74"/>
      <c r="AI138" s="125"/>
      <c r="AJ138" s="80"/>
      <c r="AK138" s="125"/>
      <c r="AL138" s="80"/>
    </row>
    <row r="139" ht="16.5" hidden="1" customHeight="1">
      <c r="A139" s="13" t="s">
        <v>247</v>
      </c>
      <c r="B139" s="14"/>
      <c r="C139" s="12"/>
      <c r="D139" s="14"/>
      <c r="E139" s="12"/>
      <c r="F139" s="14"/>
      <c r="G139" s="12"/>
      <c r="H139" s="14"/>
      <c r="I139" s="12"/>
      <c r="J139" s="14"/>
      <c r="K139" s="12"/>
      <c r="L139" s="14"/>
      <c r="M139" s="12"/>
      <c r="N139" s="14"/>
      <c r="O139" s="12"/>
      <c r="P139" s="14"/>
      <c r="Q139" s="12"/>
      <c r="R139" s="14"/>
      <c r="S139" s="12"/>
      <c r="T139" s="14"/>
      <c r="U139" s="12"/>
      <c r="V139" s="14"/>
      <c r="W139" s="12"/>
      <c r="X139" s="14"/>
      <c r="Y139" s="12"/>
      <c r="Z139" s="14"/>
      <c r="AA139" s="12"/>
      <c r="AB139" s="14"/>
      <c r="AC139" s="12"/>
      <c r="AD139" s="17"/>
      <c r="AE139" s="18"/>
      <c r="AF139" s="17"/>
      <c r="AG139" s="14"/>
      <c r="AH139" s="12"/>
      <c r="AI139" s="17"/>
      <c r="AJ139" s="18"/>
      <c r="AK139" s="17"/>
      <c r="AL139" s="18"/>
    </row>
    <row r="140" ht="16.5" hidden="1" customHeight="1">
      <c r="A140" s="19" t="s">
        <v>248</v>
      </c>
      <c r="B140" s="21">
        <v>0.0</v>
      </c>
      <c r="C140" s="23">
        <f>IFERROR(B140/B148, "NA")</f>
        <v>0</v>
      </c>
      <c r="D140" s="21">
        <v>0.0</v>
      </c>
      <c r="E140" s="23">
        <f>IFERROR(D140/D148, "NA")</f>
        <v>0</v>
      </c>
      <c r="F140" s="21">
        <v>4837.84</v>
      </c>
      <c r="G140" s="23">
        <f>IFERROR(F140/F148, "NA")</f>
        <v>0.2133840979</v>
      </c>
      <c r="H140" s="21">
        <v>-101.84</v>
      </c>
      <c r="I140" s="23">
        <f>IFERROR(H140/H148, "NA")</f>
        <v>-0.009158191023</v>
      </c>
      <c r="J140" s="21">
        <v>0.0</v>
      </c>
      <c r="K140" s="23">
        <f>IFERROR(J140/J148, "NA")</f>
        <v>0</v>
      </c>
      <c r="L140" s="21">
        <v>0.0</v>
      </c>
      <c r="M140" s="23">
        <f>IFERROR(L140/L148, "NA")</f>
        <v>0</v>
      </c>
      <c r="N140" s="21">
        <v>0.0</v>
      </c>
      <c r="O140" s="23">
        <f>IFERROR(N140/N148, "NA")</f>
        <v>0</v>
      </c>
      <c r="P140" s="21">
        <v>4735.63</v>
      </c>
      <c r="Q140" s="23">
        <f>IFERROR(P140/P148, "NA")</f>
        <v>0.5989169077</v>
      </c>
      <c r="R140" s="21">
        <v>-117.87</v>
      </c>
      <c r="S140" s="23">
        <f>IFERROR(R140/R148, "NA")</f>
        <v>-0.01349731187</v>
      </c>
      <c r="T140" s="21">
        <v>0.0</v>
      </c>
      <c r="U140" s="23">
        <f>IFERROR(T140/T148, "NA")</f>
        <v>0</v>
      </c>
      <c r="V140" s="21">
        <v>0.0</v>
      </c>
      <c r="W140" s="23">
        <f>IFERROR(V140/V148, "NA")</f>
        <v>0</v>
      </c>
      <c r="X140" s="21">
        <v>0.0</v>
      </c>
      <c r="Y140" s="23">
        <f>IFERROR(X140/X148, "NA")</f>
        <v>0</v>
      </c>
      <c r="Z140" s="21">
        <v>-117.87</v>
      </c>
      <c r="AA140" s="23">
        <f>IFERROR(Z140/Z148, "NA")</f>
        <v>-0.001746766955</v>
      </c>
      <c r="AB140" s="28">
        <f t="shared" ref="AB140:AB141" si="61">IFERROR((R140+T140+V140+X140)/4, "NA")</f>
        <v>-29.4675</v>
      </c>
      <c r="AC140" s="23">
        <f>IFERROR(AB140/AB148, "NA")</f>
        <v>-0.001746766955</v>
      </c>
      <c r="AD140" s="29">
        <f t="shared" ref="AD140:AD141" si="62">IFERROR(X140-AB140, "NA")</f>
        <v>29.4675</v>
      </c>
      <c r="AE140" s="30">
        <f>IFERROR(AD140/AD148, "NA")</f>
        <v>0.009310272104</v>
      </c>
      <c r="AF140" s="29">
        <f t="shared" ref="AF140:AF141" si="63">IFERROR((X140-AB140)/AB140, "NA")</f>
        <v>-1</v>
      </c>
      <c r="AG140" s="28">
        <f t="shared" ref="AG140:AG141" si="64">IFERROR((J140+L140+N140+P140+R140+T140+V140+X140)/8, "NA")</f>
        <v>577.22</v>
      </c>
      <c r="AH140" s="23">
        <f>IFERROR(AG140/AG148, "NA")</f>
        <v>0.03326225779</v>
      </c>
      <c r="AI140" s="29">
        <f t="shared" ref="AI140:AI141" si="65">IFERROR(X140-AG140, "NA")</f>
        <v>-577.22</v>
      </c>
      <c r="AJ140" s="30">
        <f>IFERROR(AI140/AI148, "NA")</f>
        <v>-0.2152852048</v>
      </c>
      <c r="AK140" s="29">
        <f t="shared" ref="AK140:AK141" si="66">IFERROR((X140-AG140)/AG140, "NA")</f>
        <v>-1</v>
      </c>
      <c r="AL140" s="30">
        <f>IFERROR(AK140/AK148, "NA")</f>
        <v>-6.472356931</v>
      </c>
    </row>
    <row r="141" ht="16.5" hidden="1" customHeight="1">
      <c r="A141" s="65" t="s">
        <v>249</v>
      </c>
      <c r="B141" s="66">
        <f>IFERROR(B140, "NA")</f>
        <v>0</v>
      </c>
      <c r="C141" s="67">
        <f>IFERROR(B141/B148, "NA")</f>
        <v>0</v>
      </c>
      <c r="D141" s="66">
        <f>IFERROR(D140, "NA")</f>
        <v>0</v>
      </c>
      <c r="E141" s="67">
        <f>IFERROR(D141/D148, "NA")</f>
        <v>0</v>
      </c>
      <c r="F141" s="66">
        <f>IFERROR(F140, "NA")</f>
        <v>4837.84</v>
      </c>
      <c r="G141" s="67">
        <f>IFERROR(F141/F148, "NA")</f>
        <v>0.2133840979</v>
      </c>
      <c r="H141" s="66">
        <f>IFERROR(H140, "NA")</f>
        <v>-101.84</v>
      </c>
      <c r="I141" s="67">
        <f>IFERROR(H141/H148, "NA")</f>
        <v>-0.009158191023</v>
      </c>
      <c r="J141" s="66">
        <f>IFERROR(J140, "NA")</f>
        <v>0</v>
      </c>
      <c r="K141" s="67">
        <f>IFERROR(J141/J148, "NA")</f>
        <v>0</v>
      </c>
      <c r="L141" s="66">
        <f>IFERROR(L140, "NA")</f>
        <v>0</v>
      </c>
      <c r="M141" s="67">
        <f>IFERROR(L141/L148, "NA")</f>
        <v>0</v>
      </c>
      <c r="N141" s="66">
        <f>IFERROR(N140, "NA")</f>
        <v>0</v>
      </c>
      <c r="O141" s="67">
        <f>IFERROR(N141/N148, "NA")</f>
        <v>0</v>
      </c>
      <c r="P141" s="66">
        <f>IFERROR(P140, "NA")</f>
        <v>4735.63</v>
      </c>
      <c r="Q141" s="67">
        <f>IFERROR(P141/P148, "NA")</f>
        <v>0.5989169077</v>
      </c>
      <c r="R141" s="66">
        <f>IFERROR(R140, "NA")</f>
        <v>-117.87</v>
      </c>
      <c r="S141" s="67">
        <f>IFERROR(R141/R148, "NA")</f>
        <v>-0.01349731187</v>
      </c>
      <c r="T141" s="66">
        <f>IFERROR(T140, "NA")</f>
        <v>0</v>
      </c>
      <c r="U141" s="67">
        <f>IFERROR(T141/T148, "NA")</f>
        <v>0</v>
      </c>
      <c r="V141" s="66">
        <f>IFERROR(V140, "NA")</f>
        <v>0</v>
      </c>
      <c r="W141" s="67">
        <f>IFERROR(V141/V148, "NA")</f>
        <v>0</v>
      </c>
      <c r="X141" s="66">
        <f>IFERROR(X140, "NA")</f>
        <v>0</v>
      </c>
      <c r="Y141" s="67">
        <f>IFERROR(X141/X148, "NA")</f>
        <v>0</v>
      </c>
      <c r="Z141" s="66">
        <f>IFERROR(Z140, "NA")</f>
        <v>-117.87</v>
      </c>
      <c r="AA141" s="67">
        <f>IFERROR(Z141/Z148, "NA")</f>
        <v>-0.001746766955</v>
      </c>
      <c r="AB141" s="66">
        <f t="shared" si="61"/>
        <v>-29.4675</v>
      </c>
      <c r="AC141" s="67">
        <f>IFERROR(AB141/AB148, "NA")</f>
        <v>-0.001746766955</v>
      </c>
      <c r="AD141" s="75">
        <f t="shared" si="62"/>
        <v>29.4675</v>
      </c>
      <c r="AE141" s="76">
        <f>IFERROR(AD141/AD148, "NA")</f>
        <v>0.009310272104</v>
      </c>
      <c r="AF141" s="75">
        <f t="shared" si="63"/>
        <v>-1</v>
      </c>
      <c r="AG141" s="66">
        <f t="shared" si="64"/>
        <v>577.22</v>
      </c>
      <c r="AH141" s="67">
        <f>IFERROR(AG141/AG148, "NA")</f>
        <v>0.03326225779</v>
      </c>
      <c r="AI141" s="75">
        <f t="shared" si="65"/>
        <v>-577.22</v>
      </c>
      <c r="AJ141" s="76">
        <f>IFERROR(AI141/AI148, "NA")</f>
        <v>-0.2152852048</v>
      </c>
      <c r="AK141" s="75">
        <f t="shared" si="66"/>
        <v>-1</v>
      </c>
      <c r="AL141" s="76">
        <f>IFERROR(AK141/AK148, "NA")</f>
        <v>-6.472356931</v>
      </c>
    </row>
    <row r="142" ht="3.75" hidden="1" customHeight="1">
      <c r="A142" s="123"/>
      <c r="B142" s="124"/>
      <c r="C142" s="74"/>
      <c r="D142" s="124"/>
      <c r="E142" s="74"/>
      <c r="F142" s="124"/>
      <c r="G142" s="74"/>
      <c r="H142" s="124"/>
      <c r="I142" s="74"/>
      <c r="J142" s="124"/>
      <c r="K142" s="74"/>
      <c r="L142" s="124"/>
      <c r="M142" s="74"/>
      <c r="N142" s="124"/>
      <c r="O142" s="74"/>
      <c r="P142" s="124"/>
      <c r="Q142" s="74"/>
      <c r="R142" s="124"/>
      <c r="S142" s="74"/>
      <c r="T142" s="124"/>
      <c r="U142" s="74"/>
      <c r="V142" s="124"/>
      <c r="W142" s="74"/>
      <c r="X142" s="124"/>
      <c r="Y142" s="74"/>
      <c r="Z142" s="124"/>
      <c r="AA142" s="74"/>
      <c r="AB142" s="124"/>
      <c r="AC142" s="74"/>
      <c r="AD142" s="125"/>
      <c r="AE142" s="80"/>
      <c r="AF142" s="125"/>
      <c r="AG142" s="124"/>
      <c r="AH142" s="74"/>
      <c r="AI142" s="125"/>
      <c r="AJ142" s="80"/>
      <c r="AK142" s="125"/>
      <c r="AL142" s="80"/>
    </row>
    <row r="143" ht="16.5" hidden="1" customHeight="1">
      <c r="A143" s="13" t="s">
        <v>250</v>
      </c>
      <c r="B143" s="14"/>
      <c r="C143" s="12"/>
      <c r="D143" s="14"/>
      <c r="E143" s="12"/>
      <c r="F143" s="14"/>
      <c r="G143" s="12"/>
      <c r="H143" s="14"/>
      <c r="I143" s="12"/>
      <c r="J143" s="14"/>
      <c r="K143" s="12"/>
      <c r="L143" s="14"/>
      <c r="M143" s="12"/>
      <c r="N143" s="14"/>
      <c r="O143" s="12"/>
      <c r="P143" s="14"/>
      <c r="Q143" s="12"/>
      <c r="R143" s="14"/>
      <c r="S143" s="12"/>
      <c r="T143" s="14"/>
      <c r="U143" s="12"/>
      <c r="V143" s="14"/>
      <c r="W143" s="12"/>
      <c r="X143" s="14"/>
      <c r="Y143" s="12"/>
      <c r="Z143" s="14"/>
      <c r="AA143" s="12"/>
      <c r="AB143" s="14"/>
      <c r="AC143" s="12"/>
      <c r="AD143" s="17"/>
      <c r="AE143" s="18"/>
      <c r="AF143" s="17"/>
      <c r="AG143" s="14"/>
      <c r="AH143" s="12"/>
      <c r="AI143" s="17"/>
      <c r="AJ143" s="18"/>
      <c r="AK143" s="17"/>
      <c r="AL143" s="18"/>
    </row>
    <row r="144" ht="16.5" hidden="1" customHeight="1">
      <c r="A144" s="19" t="s">
        <v>251</v>
      </c>
      <c r="B144" s="21">
        <v>0.0</v>
      </c>
      <c r="C144" s="23">
        <f>IFERROR(B144/B148, "NA")</f>
        <v>0</v>
      </c>
      <c r="D144" s="21">
        <v>0.0</v>
      </c>
      <c r="E144" s="23">
        <f>IFERROR(D144/D148, "NA")</f>
        <v>0</v>
      </c>
      <c r="F144" s="21">
        <v>0.0</v>
      </c>
      <c r="G144" s="23">
        <f>IFERROR(F144/F148, "NA")</f>
        <v>0</v>
      </c>
      <c r="H144" s="21">
        <v>0.0</v>
      </c>
      <c r="I144" s="23">
        <f>IFERROR(H144/H148, "NA")</f>
        <v>0</v>
      </c>
      <c r="J144" s="21">
        <v>0.0</v>
      </c>
      <c r="K144" s="23">
        <f>IFERROR(J144/J148, "NA")</f>
        <v>0</v>
      </c>
      <c r="L144" s="21">
        <v>0.0</v>
      </c>
      <c r="M144" s="23">
        <f>IFERROR(L144/L148, "NA")</f>
        <v>0</v>
      </c>
      <c r="N144" s="21">
        <v>0.0</v>
      </c>
      <c r="O144" s="23">
        <f>IFERROR(N144/N148, "NA")</f>
        <v>0</v>
      </c>
      <c r="P144" s="21">
        <v>0.0</v>
      </c>
      <c r="Q144" s="23">
        <f>IFERROR(P144/P148, "NA")</f>
        <v>0</v>
      </c>
      <c r="R144" s="21">
        <v>0.0</v>
      </c>
      <c r="S144" s="23">
        <f>IFERROR(R144/R148, "NA")</f>
        <v>0</v>
      </c>
      <c r="T144" s="21">
        <v>0.0</v>
      </c>
      <c r="U144" s="23">
        <f>IFERROR(T144/T148, "NA")</f>
        <v>0</v>
      </c>
      <c r="V144" s="21">
        <v>0.0</v>
      </c>
      <c r="W144" s="23">
        <f>IFERROR(V144/V148, "NA")</f>
        <v>0</v>
      </c>
      <c r="X144" s="21">
        <v>0.0</v>
      </c>
      <c r="Y144" s="23">
        <f>IFERROR(X144/X148, "NA")</f>
        <v>0</v>
      </c>
      <c r="Z144" s="21">
        <v>0.0</v>
      </c>
      <c r="AA144" s="23">
        <f>IFERROR(Z144/Z148, "NA")</f>
        <v>0</v>
      </c>
      <c r="AB144" s="28">
        <f t="shared" ref="AB144:AB145" si="67">IFERROR((R144+T144+V144+X144)/4, "NA")</f>
        <v>0</v>
      </c>
      <c r="AC144" s="23">
        <f>IFERROR(AB144/AB148, "NA")</f>
        <v>0</v>
      </c>
      <c r="AD144" s="29">
        <f t="shared" ref="AD144:AD145" si="68">IFERROR(X144-AB144, "NA")</f>
        <v>0</v>
      </c>
      <c r="AE144" s="30">
        <f>IFERROR(AD144/AD148, "NA")</f>
        <v>0</v>
      </c>
      <c r="AF144" s="29" t="str">
        <f t="shared" ref="AF144:AF145" si="69">IFERROR((X144-AB144)/AB144, "NA")</f>
        <v>NA</v>
      </c>
      <c r="AG144" s="28">
        <f t="shared" ref="AG144:AG145" si="70">IFERROR((J144+L144+N144+P144+R144+T144+V144+X144)/8, "NA")</f>
        <v>0</v>
      </c>
      <c r="AH144" s="23">
        <f>IFERROR(AG144/AG148, "NA")</f>
        <v>0</v>
      </c>
      <c r="AI144" s="29">
        <f t="shared" ref="AI144:AI145" si="71">IFERROR(X144-AG144, "NA")</f>
        <v>0</v>
      </c>
      <c r="AJ144" s="30">
        <f>IFERROR(AI144/AI148, "NA")</f>
        <v>0</v>
      </c>
      <c r="AK144" s="29" t="str">
        <f t="shared" ref="AK144:AK145" si="72">IFERROR((X144-AG144)/AG144, "NA")</f>
        <v>NA</v>
      </c>
      <c r="AL144" s="30" t="str">
        <f>IFERROR(AK144/AK148, "NA")</f>
        <v>NA</v>
      </c>
    </row>
    <row r="145" ht="16.5" hidden="1" customHeight="1">
      <c r="A145" s="65" t="s">
        <v>252</v>
      </c>
      <c r="B145" s="66">
        <f>IFERROR(B144, "NA")</f>
        <v>0</v>
      </c>
      <c r="C145" s="67">
        <f>IFERROR(B145/B148, "NA")</f>
        <v>0</v>
      </c>
      <c r="D145" s="66">
        <f>IFERROR(D144, "NA")</f>
        <v>0</v>
      </c>
      <c r="E145" s="67">
        <f>IFERROR(D145/D148, "NA")</f>
        <v>0</v>
      </c>
      <c r="F145" s="66">
        <f>IFERROR(F144, "NA")</f>
        <v>0</v>
      </c>
      <c r="G145" s="67">
        <f>IFERROR(F145/F148, "NA")</f>
        <v>0</v>
      </c>
      <c r="H145" s="66">
        <f>IFERROR(H144, "NA")</f>
        <v>0</v>
      </c>
      <c r="I145" s="67">
        <f>IFERROR(H145/H148, "NA")</f>
        <v>0</v>
      </c>
      <c r="J145" s="66">
        <f>IFERROR(J144, "NA")</f>
        <v>0</v>
      </c>
      <c r="K145" s="67">
        <f>IFERROR(J145/J148, "NA")</f>
        <v>0</v>
      </c>
      <c r="L145" s="66">
        <f>IFERROR(L144, "NA")</f>
        <v>0</v>
      </c>
      <c r="M145" s="67">
        <f>IFERROR(L145/L148, "NA")</f>
        <v>0</v>
      </c>
      <c r="N145" s="66">
        <f>IFERROR(N144, "NA")</f>
        <v>0</v>
      </c>
      <c r="O145" s="67">
        <f>IFERROR(N145/N148, "NA")</f>
        <v>0</v>
      </c>
      <c r="P145" s="66">
        <f>IFERROR(P144, "NA")</f>
        <v>0</v>
      </c>
      <c r="Q145" s="67">
        <f>IFERROR(P145/P148, "NA")</f>
        <v>0</v>
      </c>
      <c r="R145" s="66">
        <f>IFERROR(R144, "NA")</f>
        <v>0</v>
      </c>
      <c r="S145" s="67">
        <f>IFERROR(R145/R148, "NA")</f>
        <v>0</v>
      </c>
      <c r="T145" s="66">
        <f>IFERROR(T144, "NA")</f>
        <v>0</v>
      </c>
      <c r="U145" s="67">
        <f>IFERROR(T145/T148, "NA")</f>
        <v>0</v>
      </c>
      <c r="V145" s="66">
        <f>IFERROR(V144, "NA")</f>
        <v>0</v>
      </c>
      <c r="W145" s="67">
        <f>IFERROR(V145/V148, "NA")</f>
        <v>0</v>
      </c>
      <c r="X145" s="66">
        <f>IFERROR(X144, "NA")</f>
        <v>0</v>
      </c>
      <c r="Y145" s="67">
        <f>IFERROR(X145/X148, "NA")</f>
        <v>0</v>
      </c>
      <c r="Z145" s="66">
        <f>IFERROR(Z144, "NA")</f>
        <v>0</v>
      </c>
      <c r="AA145" s="67">
        <f>IFERROR(Z145/Z148, "NA")</f>
        <v>0</v>
      </c>
      <c r="AB145" s="66">
        <f t="shared" si="67"/>
        <v>0</v>
      </c>
      <c r="AC145" s="67">
        <f>IFERROR(AB145/AB148, "NA")</f>
        <v>0</v>
      </c>
      <c r="AD145" s="75">
        <f t="shared" si="68"/>
        <v>0</v>
      </c>
      <c r="AE145" s="76">
        <f>IFERROR(AD145/AD148, "NA")</f>
        <v>0</v>
      </c>
      <c r="AF145" s="75" t="str">
        <f t="shared" si="69"/>
        <v>NA</v>
      </c>
      <c r="AG145" s="66">
        <f t="shared" si="70"/>
        <v>0</v>
      </c>
      <c r="AH145" s="67">
        <f>IFERROR(AG145/AG148, "NA")</f>
        <v>0</v>
      </c>
      <c r="AI145" s="75">
        <f t="shared" si="71"/>
        <v>0</v>
      </c>
      <c r="AJ145" s="76">
        <f>IFERROR(AI145/AI148, "NA")</f>
        <v>0</v>
      </c>
      <c r="AK145" s="75" t="str">
        <f t="shared" si="72"/>
        <v>NA</v>
      </c>
      <c r="AL145" s="76" t="str">
        <f>IFERROR(AK145/AK148, "NA")</f>
        <v>NA</v>
      </c>
    </row>
    <row r="146" ht="3.75" hidden="1" customHeight="1">
      <c r="A146" s="123"/>
      <c r="B146" s="124"/>
      <c r="C146" s="74"/>
      <c r="D146" s="124"/>
      <c r="E146" s="74"/>
      <c r="F146" s="124"/>
      <c r="G146" s="74"/>
      <c r="H146" s="124"/>
      <c r="I146" s="74"/>
      <c r="J146" s="124"/>
      <c r="K146" s="74"/>
      <c r="L146" s="124"/>
      <c r="M146" s="74"/>
      <c r="N146" s="124"/>
      <c r="O146" s="74"/>
      <c r="P146" s="124"/>
      <c r="Q146" s="74"/>
      <c r="R146" s="124"/>
      <c r="S146" s="74"/>
      <c r="T146" s="124"/>
      <c r="U146" s="74"/>
      <c r="V146" s="124"/>
      <c r="W146" s="74"/>
      <c r="X146" s="124"/>
      <c r="Y146" s="74"/>
      <c r="Z146" s="124"/>
      <c r="AA146" s="74"/>
      <c r="AB146" s="124"/>
      <c r="AC146" s="74"/>
      <c r="AD146" s="125"/>
      <c r="AE146" s="80"/>
      <c r="AF146" s="125"/>
      <c r="AG146" s="124"/>
      <c r="AH146" s="74"/>
      <c r="AI146" s="125"/>
      <c r="AJ146" s="80"/>
      <c r="AK146" s="125"/>
      <c r="AL146" s="80"/>
    </row>
    <row r="147" ht="16.5" hidden="1" customHeight="1">
      <c r="A147" s="121" t="s">
        <v>253</v>
      </c>
      <c r="B147" s="122">
        <f>IFERROR(B137-B141-B145, "NA")</f>
        <v>16922.11</v>
      </c>
      <c r="C147" s="94">
        <f>IFERROR(B147/B148, "NA")</f>
        <v>0.4248350392</v>
      </c>
      <c r="D147" s="122">
        <f>IFERROR(D137-D141-D145, "NA")</f>
        <v>10819.75</v>
      </c>
      <c r="E147" s="94">
        <f>IFERROR(D147/D148, "NA")</f>
        <v>0.3129032482</v>
      </c>
      <c r="F147" s="122">
        <f>IFERROR(F137-F141-F145, "NA")</f>
        <v>-8664.91</v>
      </c>
      <c r="G147" s="94">
        <f>IFERROR(F147/F148, "NA")</f>
        <v>-0.3821858523</v>
      </c>
      <c r="H147" s="122">
        <f>IFERROR(H137-H141-H145, "NA")</f>
        <v>-335.87</v>
      </c>
      <c r="I147" s="94">
        <f>IFERROR(H147/H148, "NA")</f>
        <v>-0.03020386507</v>
      </c>
      <c r="J147" s="122">
        <f>IFERROR(J137-J141-J145, "NA")</f>
        <v>5663.07</v>
      </c>
      <c r="K147" s="94">
        <f>IFERROR(J147/J148, "NA")</f>
        <v>0.2412209728</v>
      </c>
      <c r="L147" s="122">
        <f>IFERROR(L137-L141-L145, "NA")</f>
        <v>1806.64</v>
      </c>
      <c r="M147" s="94">
        <f>IFERROR(L147/L148, "NA")</f>
        <v>0.08708599998</v>
      </c>
      <c r="N147" s="122">
        <f>IFERROR(N137-N141-N145, "NA")</f>
        <v>-1246.94</v>
      </c>
      <c r="O147" s="94">
        <f>IFERROR(N147/N148, "NA")</f>
        <v>-0.06487478097</v>
      </c>
      <c r="P147" s="122">
        <f>IFERROR(P137-P141-P145, "NA")</f>
        <v>-16223.86</v>
      </c>
      <c r="Q147" s="94">
        <f>IFERROR(P147/P148, "NA")</f>
        <v>-2.051837678</v>
      </c>
      <c r="R147" s="122">
        <f>IFERROR(R137-R141-R145, "NA")</f>
        <v>-1120.03</v>
      </c>
      <c r="S147" s="94">
        <f>IFERROR(R147/R148, "NA")</f>
        <v>-0.128254808</v>
      </c>
      <c r="T147" s="122">
        <f>IFERROR(T137-T141-T145, "NA")</f>
        <v>932.66</v>
      </c>
      <c r="U147" s="94">
        <f>IFERROR(T147/T148, "NA")</f>
        <v>0.05513344734</v>
      </c>
      <c r="V147" s="122">
        <f>IFERROR(V137-V141-V145, "NA")</f>
        <v>3667.32</v>
      </c>
      <c r="W147" s="94">
        <f>IFERROR(V147/V148, "NA")</f>
        <v>0.1682650528</v>
      </c>
      <c r="X147" s="122">
        <f>IFERROR(X137-X141-X145, "NA")</f>
        <v>-4828.98</v>
      </c>
      <c r="Y147" s="94">
        <f>IFERROR(X147/X148, "NA")</f>
        <v>-0.2410297288</v>
      </c>
      <c r="Z147" s="122">
        <f>IFERROR(Z137-Z141-Z145, "NA")</f>
        <v>-1349.03</v>
      </c>
      <c r="AA147" s="94">
        <f>IFERROR(Z147/Z148, "NA")</f>
        <v>-0.01999186413</v>
      </c>
      <c r="AB147" s="122">
        <f t="shared" ref="AB147:AB148" si="73">IFERROR((R147+T147+V147+X147)/4, "NA")</f>
        <v>-337.2575</v>
      </c>
      <c r="AC147" s="94">
        <f>IFERROR(AB147/AB148, "NA")</f>
        <v>-0.01999186413</v>
      </c>
      <c r="AD147" s="75">
        <f t="shared" ref="AD147:AD148" si="74">IFERROR(X147-AB147, "NA")</f>
        <v>-4491.7225</v>
      </c>
      <c r="AE147" s="76">
        <f>IFERROR(AD147/AD148, "NA")</f>
        <v>-1.419162083</v>
      </c>
      <c r="AF147" s="75">
        <f t="shared" ref="AF147:AF148" si="75">IFERROR((X147-AB147)/AB147, "NA")</f>
        <v>13.31837691</v>
      </c>
      <c r="AG147" s="122">
        <f t="shared" ref="AG147:AG148" si="76">IFERROR((J147+L147+N147+P147+R147+T147+V147+X147)/8, "NA")</f>
        <v>-1418.765</v>
      </c>
      <c r="AH147" s="94">
        <f>IFERROR(AG147/AG148, "NA")</f>
        <v>-0.08175622324</v>
      </c>
      <c r="AI147" s="75">
        <f t="shared" ref="AI147:AI148" si="77">IFERROR(X147-AG147, "NA")</f>
        <v>-3410.215</v>
      </c>
      <c r="AJ147" s="76">
        <f>IFERROR(AI147/AI148, "NA")</f>
        <v>-1.271904706</v>
      </c>
      <c r="AK147" s="75">
        <f t="shared" ref="AK147:AK148" si="78">IFERROR((X147-AG147)/AG147, "NA")</f>
        <v>2.403650358</v>
      </c>
      <c r="AL147" s="76">
        <f>IFERROR(AK147/AK148, "NA")</f>
        <v>15.55728305</v>
      </c>
    </row>
    <row r="148" ht="14.25" hidden="1" customHeight="1">
      <c r="A148" s="19" t="s">
        <v>54</v>
      </c>
      <c r="B148" s="21">
        <v>39832.19</v>
      </c>
      <c r="C148" s="128"/>
      <c r="D148" s="21">
        <v>34578.58</v>
      </c>
      <c r="E148" s="128"/>
      <c r="F148" s="21">
        <v>22671.98</v>
      </c>
      <c r="G148" s="128"/>
      <c r="H148" s="21">
        <v>11120.1</v>
      </c>
      <c r="I148" s="128"/>
      <c r="J148" s="21">
        <v>23476.69</v>
      </c>
      <c r="K148" s="128"/>
      <c r="L148" s="21">
        <v>20745.47</v>
      </c>
      <c r="M148" s="128"/>
      <c r="N148" s="21">
        <v>19220.72</v>
      </c>
      <c r="O148" s="128"/>
      <c r="P148" s="21">
        <v>7906.99</v>
      </c>
      <c r="Q148" s="128"/>
      <c r="R148" s="21">
        <v>8732.85</v>
      </c>
      <c r="S148" s="128"/>
      <c r="T148" s="21">
        <v>16916.41</v>
      </c>
      <c r="U148" s="128"/>
      <c r="V148" s="21">
        <v>21794.9</v>
      </c>
      <c r="W148" s="128"/>
      <c r="X148" s="21">
        <v>20034.79</v>
      </c>
      <c r="Y148" s="128"/>
      <c r="Z148" s="21">
        <v>67478.95</v>
      </c>
      <c r="AA148" s="128"/>
      <c r="AB148" s="28">
        <f t="shared" si="73"/>
        <v>16869.7375</v>
      </c>
      <c r="AC148" s="128"/>
      <c r="AD148" s="29">
        <f t="shared" si="74"/>
        <v>3165.0525</v>
      </c>
      <c r="AE148" s="129"/>
      <c r="AF148" s="29">
        <f t="shared" si="75"/>
        <v>0.1876171754</v>
      </c>
      <c r="AG148" s="28">
        <f t="shared" si="76"/>
        <v>17353.6025</v>
      </c>
      <c r="AH148" s="128"/>
      <c r="AI148" s="29">
        <f t="shared" si="77"/>
        <v>2681.1875</v>
      </c>
      <c r="AJ148" s="129"/>
      <c r="AK148" s="29">
        <f t="shared" si="78"/>
        <v>0.154503222</v>
      </c>
      <c r="AL148" s="129"/>
    </row>
    <row r="149" ht="14.25" customHeight="1"/>
    <row r="150" ht="14.25" customHeight="1"/>
    <row r="151" ht="14.25" customHeight="1">
      <c r="A151" s="130" t="s">
        <v>254</v>
      </c>
    </row>
    <row r="152" ht="14.25" customHeight="1">
      <c r="A152" s="130" t="s">
        <v>255</v>
      </c>
    </row>
    <row r="153" ht="14.25" customHeight="1">
      <c r="A153" s="130" t="s">
        <v>256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2" t="s">
        <v>0</v>
      </c>
    </row>
    <row r="2" ht="14.25" customHeight="1">
      <c r="A2" s="4" t="s">
        <v>1</v>
      </c>
    </row>
    <row r="3" ht="14.25" customHeight="1">
      <c r="A3" s="5" t="s">
        <v>73</v>
      </c>
    </row>
    <row r="4" ht="14.25" customHeight="1"/>
    <row r="5" ht="13.5" customHeight="1">
      <c r="A5" s="7"/>
      <c r="B5" s="1" t="s">
        <v>3</v>
      </c>
      <c r="D5" s="1" t="s">
        <v>4</v>
      </c>
      <c r="F5" s="1" t="s">
        <v>5</v>
      </c>
      <c r="H5" s="1" t="s">
        <v>7</v>
      </c>
      <c r="J5" s="1" t="s">
        <v>8</v>
      </c>
      <c r="L5" s="1" t="s">
        <v>10</v>
      </c>
      <c r="N5" s="1" t="s">
        <v>11</v>
      </c>
      <c r="P5" s="1" t="s">
        <v>13</v>
      </c>
      <c r="R5" s="1" t="s">
        <v>15</v>
      </c>
      <c r="T5" s="1" t="s">
        <v>17</v>
      </c>
      <c r="V5" s="1" t="s">
        <v>19</v>
      </c>
      <c r="X5" s="1" t="s">
        <v>21</v>
      </c>
      <c r="Z5" s="1" t="s">
        <v>22</v>
      </c>
      <c r="AB5" s="1" t="s">
        <v>24</v>
      </c>
      <c r="AD5" s="10" t="s">
        <v>26</v>
      </c>
      <c r="AF5" s="10" t="s">
        <v>27</v>
      </c>
      <c r="AG5" s="1" t="s">
        <v>29</v>
      </c>
      <c r="AI5" s="10" t="s">
        <v>30</v>
      </c>
      <c r="AK5" s="10" t="s">
        <v>31</v>
      </c>
    </row>
    <row r="6" ht="16.5" customHeight="1">
      <c r="A6" s="13" t="s">
        <v>25</v>
      </c>
      <c r="B6" s="14"/>
      <c r="C6" s="12"/>
      <c r="D6" s="14"/>
      <c r="E6" s="12"/>
      <c r="F6" s="14"/>
      <c r="G6" s="12"/>
      <c r="H6" s="14"/>
      <c r="I6" s="12"/>
      <c r="J6" s="14"/>
      <c r="K6" s="12"/>
      <c r="L6" s="14"/>
      <c r="M6" s="12"/>
      <c r="N6" s="14"/>
      <c r="O6" s="12"/>
      <c r="P6" s="14"/>
      <c r="Q6" s="12"/>
      <c r="R6" s="14"/>
      <c r="S6" s="12"/>
      <c r="T6" s="14"/>
      <c r="U6" s="12"/>
      <c r="V6" s="14"/>
      <c r="W6" s="12"/>
      <c r="X6" s="14"/>
      <c r="Y6" s="12"/>
      <c r="Z6" s="14"/>
      <c r="AA6" s="12"/>
      <c r="AB6" s="14"/>
      <c r="AC6" s="12"/>
      <c r="AD6" s="17"/>
      <c r="AE6" s="18"/>
      <c r="AF6" s="17"/>
      <c r="AG6" s="14"/>
      <c r="AH6" s="12"/>
      <c r="AI6" s="17"/>
      <c r="AJ6" s="18"/>
      <c r="AK6" s="17"/>
      <c r="AL6" s="18"/>
    </row>
    <row r="7" ht="16.5" customHeight="1">
      <c r="A7" s="19" t="s">
        <v>25</v>
      </c>
      <c r="B7" s="21">
        <v>61418.4</v>
      </c>
      <c r="C7" s="23">
        <f>IFERROR(B7/B148, "NA")</f>
        <v>1</v>
      </c>
      <c r="D7" s="21">
        <v>57223.56</v>
      </c>
      <c r="E7" s="23">
        <f>IFERROR(D7/D148, "NA")</f>
        <v>1</v>
      </c>
      <c r="F7" s="21">
        <v>41278.97</v>
      </c>
      <c r="G7" s="23">
        <f>IFERROR(F7/F148, "NA")</f>
        <v>1</v>
      </c>
      <c r="H7" s="21">
        <v>17423.26</v>
      </c>
      <c r="I7" s="23">
        <f>IFERROR(H7/H148, "NA")</f>
        <v>1</v>
      </c>
      <c r="J7" s="21">
        <v>48196.66</v>
      </c>
      <c r="K7" s="23">
        <f>IFERROR(J7/J148, "NA")</f>
        <v>1</v>
      </c>
      <c r="L7" s="21">
        <v>38827.76</v>
      </c>
      <c r="M7" s="23">
        <f>IFERROR(L7/L148, "NA")</f>
        <v>1</v>
      </c>
      <c r="N7" s="21">
        <v>37647.77</v>
      </c>
      <c r="O7" s="23">
        <f>IFERROR(N7/N148, "NA")</f>
        <v>1</v>
      </c>
      <c r="P7" s="21">
        <v>10409.92</v>
      </c>
      <c r="Q7" s="23">
        <f>IFERROR(P7/P148, "NA")</f>
        <v>1</v>
      </c>
      <c r="R7" s="21">
        <v>17941.21</v>
      </c>
      <c r="S7" s="23">
        <f>IFERROR(R7/R148, "NA")</f>
        <v>1</v>
      </c>
      <c r="T7" s="21">
        <v>32949.2</v>
      </c>
      <c r="U7" s="23">
        <f>IFERROR(T7/T148, "NA")</f>
        <v>1</v>
      </c>
      <c r="V7" s="21">
        <v>39814.82</v>
      </c>
      <c r="W7" s="23">
        <f>IFERROR(V7/V148, "NA")</f>
        <v>1</v>
      </c>
      <c r="X7" s="21">
        <v>39699.41</v>
      </c>
      <c r="Y7" s="23">
        <f>IFERROR(X7/X148, "NA")</f>
        <v>1</v>
      </c>
      <c r="Z7" s="21">
        <v>130404.64</v>
      </c>
      <c r="AA7" s="23">
        <f>IFERROR(Z7/Z148, "NA")</f>
        <v>1</v>
      </c>
      <c r="AB7" s="28">
        <f t="shared" ref="AB7:AB9" si="1">IFERROR((R7+T7+V7+X7)/4, "NA")</f>
        <v>32601.16</v>
      </c>
      <c r="AC7" s="23">
        <f>IFERROR(AB7/AB148, "NA")</f>
        <v>1</v>
      </c>
      <c r="AD7" s="29">
        <f t="shared" ref="AD7:AD9" si="2">IFERROR(X7-AB7, "NA")</f>
        <v>7098.25</v>
      </c>
      <c r="AE7" s="30">
        <f>IFERROR(AD7/AD148, "NA")</f>
        <v>1</v>
      </c>
      <c r="AF7" s="29">
        <f t="shared" ref="AF7:AF9" si="3">IFERROR((X7-AB7)/AB7, "NA")</f>
        <v>0.2177299826</v>
      </c>
      <c r="AG7" s="28">
        <f t="shared" ref="AG7:AG9" si="4">IFERROR((J7+L7+N7+P7+R7+T7+V7+X7)/8, "NA")</f>
        <v>33185.84375</v>
      </c>
      <c r="AH7" s="23">
        <f>IFERROR(AG7/AG148, "NA")</f>
        <v>1</v>
      </c>
      <c r="AI7" s="29">
        <f t="shared" ref="AI7:AI9" si="5">IFERROR(X7-AG7, "NA")</f>
        <v>6513.56625</v>
      </c>
      <c r="AJ7" s="30">
        <f>IFERROR(AI7/AI148, "NA")</f>
        <v>1</v>
      </c>
      <c r="AK7" s="29">
        <f t="shared" ref="AK7:AK9" si="6">IFERROR((X7-AG7)/AG7, "NA")</f>
        <v>0.196275445</v>
      </c>
      <c r="AL7" s="30">
        <f>IFERROR(AK7/AK148, "NA")</f>
        <v>1</v>
      </c>
    </row>
    <row r="8" ht="30.75" hidden="1" customHeight="1">
      <c r="A8" s="19" t="s">
        <v>46</v>
      </c>
      <c r="B8" s="21">
        <v>0.0</v>
      </c>
      <c r="C8" s="23">
        <f>IFERROR(B8/B148, "NA")</f>
        <v>0</v>
      </c>
      <c r="D8" s="21">
        <v>0.0</v>
      </c>
      <c r="E8" s="23">
        <f>IFERROR(D8/D148, "NA")</f>
        <v>0</v>
      </c>
      <c r="F8" s="21">
        <v>0.0</v>
      </c>
      <c r="G8" s="23">
        <f>IFERROR(F8/F148, "NA")</f>
        <v>0</v>
      </c>
      <c r="H8" s="21">
        <v>0.0</v>
      </c>
      <c r="I8" s="23">
        <f>IFERROR(H8/H148, "NA")</f>
        <v>0</v>
      </c>
      <c r="J8" s="21">
        <v>0.0</v>
      </c>
      <c r="K8" s="23">
        <f>IFERROR(J8/J148, "NA")</f>
        <v>0</v>
      </c>
      <c r="L8" s="21">
        <v>0.0</v>
      </c>
      <c r="M8" s="23">
        <f>IFERROR(L8/L148, "NA")</f>
        <v>0</v>
      </c>
      <c r="N8" s="21">
        <v>0.0</v>
      </c>
      <c r="O8" s="23">
        <f>IFERROR(N8/N148, "NA")</f>
        <v>0</v>
      </c>
      <c r="P8" s="21">
        <v>0.0</v>
      </c>
      <c r="Q8" s="23">
        <f>IFERROR(P8/P148, "NA")</f>
        <v>0</v>
      </c>
      <c r="R8" s="21">
        <v>0.0</v>
      </c>
      <c r="S8" s="23">
        <f>IFERROR(R8/R148, "NA")</f>
        <v>0</v>
      </c>
      <c r="T8" s="21">
        <v>0.0</v>
      </c>
      <c r="U8" s="23">
        <f>IFERROR(T8/T148, "NA")</f>
        <v>0</v>
      </c>
      <c r="V8" s="21">
        <v>0.0</v>
      </c>
      <c r="W8" s="23">
        <f>IFERROR(V8/V148, "NA")</f>
        <v>0</v>
      </c>
      <c r="X8" s="21">
        <v>0.0</v>
      </c>
      <c r="Y8" s="23">
        <f>IFERROR(X8/X148, "NA")</f>
        <v>0</v>
      </c>
      <c r="Z8" s="21">
        <v>0.0</v>
      </c>
      <c r="AA8" s="23">
        <f>IFERROR(Z8/Z148, "NA")</f>
        <v>0</v>
      </c>
      <c r="AB8" s="28">
        <f t="shared" si="1"/>
        <v>0</v>
      </c>
      <c r="AC8" s="23">
        <f>IFERROR(AB8/AB148, "NA")</f>
        <v>0</v>
      </c>
      <c r="AD8" s="29">
        <f t="shared" si="2"/>
        <v>0</v>
      </c>
      <c r="AE8" s="30">
        <f>IFERROR(AD8/AD148, "NA")</f>
        <v>0</v>
      </c>
      <c r="AF8" s="29" t="str">
        <f t="shared" si="3"/>
        <v>NA</v>
      </c>
      <c r="AG8" s="28">
        <f t="shared" si="4"/>
        <v>0</v>
      </c>
      <c r="AH8" s="23">
        <f>IFERROR(AG8/AG148, "NA")</f>
        <v>0</v>
      </c>
      <c r="AI8" s="29">
        <f t="shared" si="5"/>
        <v>0</v>
      </c>
      <c r="AJ8" s="30">
        <f>IFERROR(AI8/AI148, "NA")</f>
        <v>0</v>
      </c>
      <c r="AK8" s="29" t="str">
        <f t="shared" si="6"/>
        <v>NA</v>
      </c>
      <c r="AL8" s="30" t="str">
        <f>IFERROR(AK8/AK148, "NA")</f>
        <v>NA</v>
      </c>
    </row>
    <row r="9" ht="16.5" customHeight="1">
      <c r="A9" s="65" t="s">
        <v>54</v>
      </c>
      <c r="B9" s="66">
        <f>IFERROR(B7+B8, "NA")</f>
        <v>61418.4</v>
      </c>
      <c r="C9" s="67">
        <f>IFERROR(B9/B148, "NA")</f>
        <v>1</v>
      </c>
      <c r="D9" s="66">
        <f>IFERROR(D7+D8, "NA")</f>
        <v>57223.56</v>
      </c>
      <c r="E9" s="67">
        <f>IFERROR(D9/D148, "NA")</f>
        <v>1</v>
      </c>
      <c r="F9" s="66">
        <f>IFERROR(F7+F8, "NA")</f>
        <v>41278.97</v>
      </c>
      <c r="G9" s="67">
        <f>IFERROR(F9/F148, "NA")</f>
        <v>1</v>
      </c>
      <c r="H9" s="66">
        <f>IFERROR(H7+H8, "NA")</f>
        <v>17423.26</v>
      </c>
      <c r="I9" s="67">
        <f>IFERROR(H9/H148, "NA")</f>
        <v>1</v>
      </c>
      <c r="J9" s="66">
        <f>IFERROR(J7+J8, "NA")</f>
        <v>48196.66</v>
      </c>
      <c r="K9" s="67">
        <f>IFERROR(J9/J148, "NA")</f>
        <v>1</v>
      </c>
      <c r="L9" s="66">
        <f>IFERROR(L7+L8, "NA")</f>
        <v>38827.76</v>
      </c>
      <c r="M9" s="67">
        <f>IFERROR(L9/L148, "NA")</f>
        <v>1</v>
      </c>
      <c r="N9" s="66">
        <f>IFERROR(N7+N8, "NA")</f>
        <v>37647.77</v>
      </c>
      <c r="O9" s="67">
        <f>IFERROR(N9/N148, "NA")</f>
        <v>1</v>
      </c>
      <c r="P9" s="66">
        <f>IFERROR(P7+P8, "NA")</f>
        <v>10409.92</v>
      </c>
      <c r="Q9" s="67">
        <f>IFERROR(P9/P148, "NA")</f>
        <v>1</v>
      </c>
      <c r="R9" s="66">
        <f>IFERROR(R7+R8, "NA")</f>
        <v>17941.21</v>
      </c>
      <c r="S9" s="67">
        <f>IFERROR(R9/R148, "NA")</f>
        <v>1</v>
      </c>
      <c r="T9" s="66">
        <f>IFERROR(T7+T8, "NA")</f>
        <v>32949.2</v>
      </c>
      <c r="U9" s="67">
        <f>IFERROR(T9/T148, "NA")</f>
        <v>1</v>
      </c>
      <c r="V9" s="66">
        <f>IFERROR(V7+V8, "NA")</f>
        <v>39814.82</v>
      </c>
      <c r="W9" s="67">
        <f>IFERROR(V9/V148, "NA")</f>
        <v>1</v>
      </c>
      <c r="X9" s="66">
        <f>IFERROR(X7+X8, "NA")</f>
        <v>39699.41</v>
      </c>
      <c r="Y9" s="67">
        <f>IFERROR(X9/X148, "NA")</f>
        <v>1</v>
      </c>
      <c r="Z9" s="66">
        <f>IFERROR(Z7+Z8, "NA")</f>
        <v>130404.64</v>
      </c>
      <c r="AA9" s="67">
        <f>IFERROR(Z9/Z148, "NA")</f>
        <v>1</v>
      </c>
      <c r="AB9" s="66">
        <f t="shared" si="1"/>
        <v>32601.16</v>
      </c>
      <c r="AC9" s="67">
        <f>IFERROR(AB9/AB148, "NA")</f>
        <v>1</v>
      </c>
      <c r="AD9" s="75">
        <f t="shared" si="2"/>
        <v>7098.25</v>
      </c>
      <c r="AE9" s="76">
        <f>IFERROR(AD9/AD148, "NA")</f>
        <v>1</v>
      </c>
      <c r="AF9" s="75">
        <f t="shared" si="3"/>
        <v>0.2177299826</v>
      </c>
      <c r="AG9" s="66">
        <f t="shared" si="4"/>
        <v>33185.84375</v>
      </c>
      <c r="AH9" s="67">
        <f>IFERROR(AG9/AG148, "NA")</f>
        <v>1</v>
      </c>
      <c r="AI9" s="75">
        <f t="shared" si="5"/>
        <v>6513.56625</v>
      </c>
      <c r="AJ9" s="76">
        <f>IFERROR(AI9/AI148, "NA")</f>
        <v>1</v>
      </c>
      <c r="AK9" s="75">
        <f t="shared" si="6"/>
        <v>0.196275445</v>
      </c>
      <c r="AL9" s="76">
        <f>IFERROR(AK9/AK148, "NA")</f>
        <v>1</v>
      </c>
    </row>
    <row r="10" ht="3.75" customHeight="1">
      <c r="A10" s="77"/>
      <c r="B10" s="78"/>
      <c r="C10" s="74"/>
      <c r="D10" s="78"/>
      <c r="E10" s="74"/>
      <c r="F10" s="78"/>
      <c r="G10" s="74"/>
      <c r="H10" s="78"/>
      <c r="I10" s="74"/>
      <c r="J10" s="78"/>
      <c r="K10" s="74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4"/>
      <c r="AB10" s="78"/>
      <c r="AC10" s="74"/>
      <c r="AD10" s="79"/>
      <c r="AE10" s="80"/>
      <c r="AF10" s="79"/>
      <c r="AG10" s="78"/>
      <c r="AH10" s="74"/>
      <c r="AI10" s="79"/>
      <c r="AJ10" s="80"/>
      <c r="AK10" s="79"/>
      <c r="AL10" s="80"/>
    </row>
    <row r="11" ht="16.5" customHeight="1">
      <c r="A11" s="13" t="s">
        <v>65</v>
      </c>
      <c r="B11" s="14"/>
      <c r="C11" s="12"/>
      <c r="D11" s="14"/>
      <c r="E11" s="12"/>
      <c r="F11" s="14"/>
      <c r="G11" s="12"/>
      <c r="H11" s="14"/>
      <c r="I11" s="12"/>
      <c r="J11" s="14"/>
      <c r="K11" s="12"/>
      <c r="L11" s="14"/>
      <c r="M11" s="12"/>
      <c r="N11" s="14"/>
      <c r="O11" s="12"/>
      <c r="P11" s="14"/>
      <c r="Q11" s="12"/>
      <c r="R11" s="14"/>
      <c r="S11" s="12"/>
      <c r="T11" s="14"/>
      <c r="U11" s="12"/>
      <c r="V11" s="14"/>
      <c r="W11" s="12"/>
      <c r="X11" s="14"/>
      <c r="Y11" s="12"/>
      <c r="Z11" s="14"/>
      <c r="AA11" s="12"/>
      <c r="AB11" s="14"/>
      <c r="AC11" s="12"/>
      <c r="AD11" s="17"/>
      <c r="AE11" s="18"/>
      <c r="AF11" s="17"/>
      <c r="AG11" s="14"/>
      <c r="AH11" s="12"/>
      <c r="AI11" s="17"/>
      <c r="AJ11" s="18"/>
      <c r="AK11" s="17"/>
      <c r="AL11" s="18"/>
    </row>
    <row r="12" ht="16.5" customHeight="1">
      <c r="A12" s="13" t="s">
        <v>66</v>
      </c>
      <c r="B12" s="14"/>
      <c r="C12" s="12"/>
      <c r="D12" s="14"/>
      <c r="E12" s="12"/>
      <c r="F12" s="14"/>
      <c r="G12" s="12"/>
      <c r="H12" s="14"/>
      <c r="I12" s="12"/>
      <c r="J12" s="14"/>
      <c r="K12" s="12"/>
      <c r="L12" s="14"/>
      <c r="M12" s="12"/>
      <c r="N12" s="14"/>
      <c r="O12" s="12"/>
      <c r="P12" s="14"/>
      <c r="Q12" s="12"/>
      <c r="R12" s="14"/>
      <c r="S12" s="12"/>
      <c r="T12" s="14"/>
      <c r="U12" s="12"/>
      <c r="V12" s="14"/>
      <c r="W12" s="12"/>
      <c r="X12" s="14"/>
      <c r="Y12" s="12"/>
      <c r="Z12" s="14"/>
      <c r="AA12" s="12"/>
      <c r="AB12" s="14"/>
      <c r="AC12" s="12"/>
      <c r="AD12" s="17"/>
      <c r="AE12" s="18"/>
      <c r="AF12" s="17"/>
      <c r="AG12" s="14"/>
      <c r="AH12" s="12"/>
      <c r="AI12" s="17"/>
      <c r="AJ12" s="18"/>
      <c r="AK12" s="17"/>
      <c r="AL12" s="18"/>
    </row>
    <row r="13" ht="16.5" hidden="1" customHeight="1">
      <c r="A13" s="19" t="s">
        <v>67</v>
      </c>
      <c r="B13" s="21">
        <v>0.0</v>
      </c>
      <c r="C13" s="23">
        <f>IFERROR(B13/B148, "NA")</f>
        <v>0</v>
      </c>
      <c r="D13" s="21">
        <v>0.0</v>
      </c>
      <c r="E13" s="23">
        <f>IFERROR(D13/D148, "NA")</f>
        <v>0</v>
      </c>
      <c r="F13" s="21">
        <v>0.0</v>
      </c>
      <c r="G13" s="23">
        <f>IFERROR(F13/F148, "NA")</f>
        <v>0</v>
      </c>
      <c r="H13" s="21">
        <v>0.0</v>
      </c>
      <c r="I13" s="23">
        <f>IFERROR(H13/H148, "NA")</f>
        <v>0</v>
      </c>
      <c r="J13" s="21">
        <v>0.0</v>
      </c>
      <c r="K13" s="23">
        <f>IFERROR(J13/J148, "NA")</f>
        <v>0</v>
      </c>
      <c r="L13" s="21">
        <v>0.0</v>
      </c>
      <c r="M13" s="23">
        <f>IFERROR(L13/L148, "NA")</f>
        <v>0</v>
      </c>
      <c r="N13" s="21">
        <v>0.0</v>
      </c>
      <c r="O13" s="23">
        <f>IFERROR(N13/N148, "NA")</f>
        <v>0</v>
      </c>
      <c r="P13" s="21">
        <v>0.0</v>
      </c>
      <c r="Q13" s="23">
        <f>IFERROR(P13/P148, "NA")</f>
        <v>0</v>
      </c>
      <c r="R13" s="21">
        <v>0.0</v>
      </c>
      <c r="S13" s="23">
        <f>IFERROR(R13/R148, "NA")</f>
        <v>0</v>
      </c>
      <c r="T13" s="21">
        <v>0.0</v>
      </c>
      <c r="U13" s="23">
        <f>IFERROR(T13/T148, "NA")</f>
        <v>0</v>
      </c>
      <c r="V13" s="21">
        <v>0.0</v>
      </c>
      <c r="W13" s="23">
        <f>IFERROR(V13/V148, "NA")</f>
        <v>0</v>
      </c>
      <c r="X13" s="21">
        <v>0.0</v>
      </c>
      <c r="Y13" s="23">
        <f>IFERROR(X13/X148, "NA")</f>
        <v>0</v>
      </c>
      <c r="Z13" s="21">
        <v>0.0</v>
      </c>
      <c r="AA13" s="23">
        <f>IFERROR(Z13/Z148, "NA")</f>
        <v>0</v>
      </c>
      <c r="AB13" s="28">
        <f>IFERROR((R13+T13+V13+X13)/4, "NA")</f>
        <v>0</v>
      </c>
      <c r="AC13" s="23">
        <f>IFERROR(AB13/AB148, "NA")</f>
        <v>0</v>
      </c>
      <c r="AD13" s="29">
        <f>IFERROR(X13-AB13, "NA")</f>
        <v>0</v>
      </c>
      <c r="AE13" s="30">
        <f>IFERROR(AD13/AD148, "NA")</f>
        <v>0</v>
      </c>
      <c r="AF13" s="29" t="str">
        <f>IFERROR((X13-AB13)/AB13, "NA")</f>
        <v>NA</v>
      </c>
      <c r="AG13" s="28">
        <f>IFERROR((J13+L13+N13+P13+R13+T13+V13+X13)/8, "NA")</f>
        <v>0</v>
      </c>
      <c r="AH13" s="23">
        <f>IFERROR(AG13/AG148, "NA")</f>
        <v>0</v>
      </c>
      <c r="AI13" s="29">
        <f>IFERROR(X13-AG13, "NA")</f>
        <v>0</v>
      </c>
      <c r="AJ13" s="30">
        <f>IFERROR(AI13/AI148, "NA")</f>
        <v>0</v>
      </c>
      <c r="AK13" s="29" t="str">
        <f>IFERROR((X13-AG13)/AG13, "NA")</f>
        <v>NA</v>
      </c>
      <c r="AL13" s="30" t="str">
        <f>IFERROR(AK13/AK148, "NA")</f>
        <v>NA</v>
      </c>
    </row>
    <row r="14" ht="16.5" customHeight="1">
      <c r="A14" s="13" t="s">
        <v>68</v>
      </c>
      <c r="B14" s="14"/>
      <c r="C14" s="12"/>
      <c r="D14" s="14"/>
      <c r="E14" s="12"/>
      <c r="F14" s="14"/>
      <c r="G14" s="12"/>
      <c r="H14" s="14"/>
      <c r="I14" s="12"/>
      <c r="J14" s="14"/>
      <c r="K14" s="12"/>
      <c r="L14" s="14"/>
      <c r="M14" s="12"/>
      <c r="N14" s="14"/>
      <c r="O14" s="12"/>
      <c r="P14" s="14"/>
      <c r="Q14" s="12"/>
      <c r="R14" s="14"/>
      <c r="S14" s="12"/>
      <c r="T14" s="14"/>
      <c r="U14" s="12"/>
      <c r="V14" s="14"/>
      <c r="W14" s="12"/>
      <c r="X14" s="14"/>
      <c r="Y14" s="12"/>
      <c r="Z14" s="14"/>
      <c r="AA14" s="12"/>
      <c r="AB14" s="14"/>
      <c r="AC14" s="12"/>
      <c r="AD14" s="17"/>
      <c r="AE14" s="18"/>
      <c r="AF14" s="17"/>
      <c r="AG14" s="14"/>
      <c r="AH14" s="12"/>
      <c r="AI14" s="17"/>
      <c r="AJ14" s="18"/>
      <c r="AK14" s="17"/>
      <c r="AL14" s="18"/>
    </row>
    <row r="15" ht="16.5" hidden="1" customHeight="1">
      <c r="A15" s="19" t="s">
        <v>69</v>
      </c>
      <c r="B15" s="21">
        <v>0.0</v>
      </c>
      <c r="C15" s="23">
        <f>IFERROR(B15/B148, "NA")</f>
        <v>0</v>
      </c>
      <c r="D15" s="21">
        <v>0.0</v>
      </c>
      <c r="E15" s="23">
        <f>IFERROR(D15/D148, "NA")</f>
        <v>0</v>
      </c>
      <c r="F15" s="21">
        <v>0.0</v>
      </c>
      <c r="G15" s="23">
        <f>IFERROR(F15/F148, "NA")</f>
        <v>0</v>
      </c>
      <c r="H15" s="21">
        <v>0.0</v>
      </c>
      <c r="I15" s="23">
        <f>IFERROR(H15/H148, "NA")</f>
        <v>0</v>
      </c>
      <c r="J15" s="21">
        <v>0.0</v>
      </c>
      <c r="K15" s="23">
        <f>IFERROR(J15/J148, "NA")</f>
        <v>0</v>
      </c>
      <c r="L15" s="21">
        <v>0.0</v>
      </c>
      <c r="M15" s="23">
        <f>IFERROR(L15/L148, "NA")</f>
        <v>0</v>
      </c>
      <c r="N15" s="21">
        <v>0.0</v>
      </c>
      <c r="O15" s="23">
        <f>IFERROR(N15/N148, "NA")</f>
        <v>0</v>
      </c>
      <c r="P15" s="21">
        <v>0.0</v>
      </c>
      <c r="Q15" s="23">
        <f>IFERROR(P15/P148, "NA")</f>
        <v>0</v>
      </c>
      <c r="R15" s="21">
        <v>0.0</v>
      </c>
      <c r="S15" s="23">
        <f>IFERROR(R15/R148, "NA")</f>
        <v>0</v>
      </c>
      <c r="T15" s="21">
        <v>0.0</v>
      </c>
      <c r="U15" s="23">
        <f>IFERROR(T15/T148, "NA")</f>
        <v>0</v>
      </c>
      <c r="V15" s="21">
        <v>0.0</v>
      </c>
      <c r="W15" s="23">
        <f>IFERROR(V15/V148, "NA")</f>
        <v>0</v>
      </c>
      <c r="X15" s="21">
        <v>0.0</v>
      </c>
      <c r="Y15" s="23">
        <f>IFERROR(X15/X148, "NA")</f>
        <v>0</v>
      </c>
      <c r="Z15" s="21">
        <v>0.0</v>
      </c>
      <c r="AA15" s="23">
        <f>IFERROR(Z15/Z148, "NA")</f>
        <v>0</v>
      </c>
      <c r="AB15" s="28">
        <f t="shared" ref="AB15:AB27" si="7">IFERROR((R15+T15+V15+X15)/4, "NA")</f>
        <v>0</v>
      </c>
      <c r="AC15" s="23">
        <f>IFERROR(AB15/AB148, "NA")</f>
        <v>0</v>
      </c>
      <c r="AD15" s="29">
        <f t="shared" ref="AD15:AD27" si="8">IFERROR(X15-AB15, "NA")</f>
        <v>0</v>
      </c>
      <c r="AE15" s="30">
        <f>IFERROR(AD15/AD148, "NA")</f>
        <v>0</v>
      </c>
      <c r="AF15" s="29" t="str">
        <f t="shared" ref="AF15:AF27" si="9">IFERROR((X15-AB15)/AB15, "NA")</f>
        <v>NA</v>
      </c>
      <c r="AG15" s="28">
        <f t="shared" ref="AG15:AG27" si="10">IFERROR((J15+L15+N15+P15+R15+T15+V15+X15)/8, "NA")</f>
        <v>0</v>
      </c>
      <c r="AH15" s="23">
        <f>IFERROR(AG15/AG148, "NA")</f>
        <v>0</v>
      </c>
      <c r="AI15" s="29">
        <f t="shared" ref="AI15:AI27" si="11">IFERROR(X15-AG15, "NA")</f>
        <v>0</v>
      </c>
      <c r="AJ15" s="30">
        <f>IFERROR(AI15/AI148, "NA")</f>
        <v>0</v>
      </c>
      <c r="AK15" s="29" t="str">
        <f t="shared" ref="AK15:AK27" si="12">IFERROR((X15-AG15)/AG15, "NA")</f>
        <v>NA</v>
      </c>
      <c r="AL15" s="30" t="str">
        <f>IFERROR(AK15/AK148, "NA")</f>
        <v>NA</v>
      </c>
    </row>
    <row r="16" ht="16.5" customHeight="1">
      <c r="A16" s="19" t="s">
        <v>70</v>
      </c>
      <c r="B16" s="21">
        <v>2548.0</v>
      </c>
      <c r="C16" s="23">
        <f>IFERROR(B16/B148, "NA")</f>
        <v>0.04148593907</v>
      </c>
      <c r="D16" s="21">
        <v>2848.5</v>
      </c>
      <c r="E16" s="23">
        <f>IFERROR(D16/D148, "NA")</f>
        <v>0.0497784479</v>
      </c>
      <c r="F16" s="21">
        <v>2269.49</v>
      </c>
      <c r="G16" s="23">
        <f>IFERROR(F16/F148, "NA")</f>
        <v>0.05497932725</v>
      </c>
      <c r="H16" s="21">
        <v>786.36</v>
      </c>
      <c r="I16" s="23">
        <f>IFERROR(H16/H148, "NA")</f>
        <v>0.04513277079</v>
      </c>
      <c r="J16" s="21">
        <v>2661.05</v>
      </c>
      <c r="K16" s="23">
        <f>IFERROR(J16/J148, "NA")</f>
        <v>0.05521233214</v>
      </c>
      <c r="L16" s="21">
        <v>2172.76</v>
      </c>
      <c r="M16" s="23">
        <f>IFERROR(L16/L148, "NA")</f>
        <v>0.05595893248</v>
      </c>
      <c r="N16" s="21">
        <v>1841.52</v>
      </c>
      <c r="O16" s="23">
        <f>IFERROR(N16/N148, "NA")</f>
        <v>0.04891445098</v>
      </c>
      <c r="P16" s="21">
        <v>571.21</v>
      </c>
      <c r="Q16" s="23">
        <f>IFERROR(P16/P148, "NA")</f>
        <v>0.0548716993</v>
      </c>
      <c r="R16" s="21">
        <v>1055.3</v>
      </c>
      <c r="S16" s="23">
        <f>IFERROR(R16/R148, "NA")</f>
        <v>0.05881989007</v>
      </c>
      <c r="T16" s="21">
        <v>1724.79</v>
      </c>
      <c r="U16" s="23">
        <f>IFERROR(T16/T148, "NA")</f>
        <v>0.05234694621</v>
      </c>
      <c r="V16" s="21">
        <v>1785.49</v>
      </c>
      <c r="W16" s="23">
        <f>IFERROR(V16/V148, "NA")</f>
        <v>0.04484485928</v>
      </c>
      <c r="X16" s="21">
        <v>1910.6</v>
      </c>
      <c r="Y16" s="23">
        <f>IFERROR(X16/X148, "NA")</f>
        <v>0.04812665982</v>
      </c>
      <c r="Z16" s="21">
        <v>6476.18</v>
      </c>
      <c r="AA16" s="23">
        <f>IFERROR(Z16/Z148, "NA")</f>
        <v>0.04966218993</v>
      </c>
      <c r="AB16" s="28">
        <f t="shared" si="7"/>
        <v>1619.045</v>
      </c>
      <c r="AC16" s="23">
        <f>IFERROR(AB16/AB148, "NA")</f>
        <v>0.04966218993</v>
      </c>
      <c r="AD16" s="29">
        <f t="shared" si="8"/>
        <v>291.555</v>
      </c>
      <c r="AE16" s="30">
        <f>IFERROR(AD16/AD148, "NA")</f>
        <v>0.04107420843</v>
      </c>
      <c r="AF16" s="29">
        <f t="shared" si="9"/>
        <v>0.1800783795</v>
      </c>
      <c r="AG16" s="28">
        <f t="shared" si="10"/>
        <v>1715.34</v>
      </c>
      <c r="AH16" s="23">
        <f>IFERROR(AG16/AG148, "NA")</f>
        <v>0.05168890726</v>
      </c>
      <c r="AI16" s="29">
        <f t="shared" si="11"/>
        <v>195.26</v>
      </c>
      <c r="AJ16" s="30">
        <f>IFERROR(AI16/AI148, "NA")</f>
        <v>0.02997743364</v>
      </c>
      <c r="AK16" s="29">
        <f t="shared" si="12"/>
        <v>0.1138316602</v>
      </c>
      <c r="AL16" s="30">
        <f>IFERROR(AK16/AK148, "NA")</f>
        <v>0.5799587421</v>
      </c>
    </row>
    <row r="17" ht="16.5" customHeight="1">
      <c r="A17" s="19" t="s">
        <v>71</v>
      </c>
      <c r="B17" s="21">
        <v>1570.76</v>
      </c>
      <c r="C17" s="23">
        <f>IFERROR(B17/B148, "NA")</f>
        <v>0.02557474633</v>
      </c>
      <c r="D17" s="21">
        <v>1484.53</v>
      </c>
      <c r="E17" s="23">
        <f>IFERROR(D17/D148, "NA")</f>
        <v>0.02594263621</v>
      </c>
      <c r="F17" s="21">
        <v>84.86</v>
      </c>
      <c r="G17" s="23">
        <f>IFERROR(F17/F148, "NA")</f>
        <v>0.002055768349</v>
      </c>
      <c r="H17" s="21">
        <v>908.52</v>
      </c>
      <c r="I17" s="23">
        <f>IFERROR(H17/H148, "NA")</f>
        <v>0.05214408785</v>
      </c>
      <c r="J17" s="21">
        <v>1071.86</v>
      </c>
      <c r="K17" s="23">
        <f>IFERROR(J17/J148, "NA")</f>
        <v>0.0222393004</v>
      </c>
      <c r="L17" s="21">
        <v>864.25</v>
      </c>
      <c r="M17" s="23">
        <f>IFERROR(L17/L148, "NA")</f>
        <v>0.02225855934</v>
      </c>
      <c r="N17" s="21">
        <v>1338.52</v>
      </c>
      <c r="O17" s="23">
        <f>IFERROR(N17/N148, "NA")</f>
        <v>0.03555376587</v>
      </c>
      <c r="P17" s="21">
        <v>224.99</v>
      </c>
      <c r="Q17" s="23">
        <f>IFERROR(P17/P148, "NA")</f>
        <v>0.02161303833</v>
      </c>
      <c r="R17" s="21">
        <v>614.14</v>
      </c>
      <c r="S17" s="23">
        <f>IFERROR(R17/R148, "NA")</f>
        <v>0.03423069013</v>
      </c>
      <c r="T17" s="21">
        <v>1032.94</v>
      </c>
      <c r="U17" s="23">
        <f>IFERROR(T17/T148, "NA")</f>
        <v>0.03134947131</v>
      </c>
      <c r="V17" s="21">
        <v>1496.65</v>
      </c>
      <c r="W17" s="23">
        <f>IFERROR(V17/V148, "NA")</f>
        <v>0.03759027417</v>
      </c>
      <c r="X17" s="21">
        <v>1091.48</v>
      </c>
      <c r="Y17" s="23">
        <f>IFERROR(X17/X148, "NA")</f>
        <v>0.02749360759</v>
      </c>
      <c r="Z17" s="21">
        <v>4235.21</v>
      </c>
      <c r="AA17" s="23">
        <f>IFERROR(Z17/Z148, "NA")</f>
        <v>0.03247744866</v>
      </c>
      <c r="AB17" s="28">
        <f t="shared" si="7"/>
        <v>1058.8025</v>
      </c>
      <c r="AC17" s="23">
        <f>IFERROR(AB17/AB148, "NA")</f>
        <v>0.03247744866</v>
      </c>
      <c r="AD17" s="29">
        <f t="shared" si="8"/>
        <v>32.6775</v>
      </c>
      <c r="AE17" s="30">
        <f>IFERROR(AD17/AD148, "NA")</f>
        <v>0.004603599479</v>
      </c>
      <c r="AF17" s="29">
        <f t="shared" si="9"/>
        <v>0.0308626963</v>
      </c>
      <c r="AG17" s="28">
        <f t="shared" si="10"/>
        <v>966.85375</v>
      </c>
      <c r="AH17" s="23">
        <f>IFERROR(AG17/AG148, "NA")</f>
        <v>0.02913452366</v>
      </c>
      <c r="AI17" s="29">
        <f t="shared" si="11"/>
        <v>124.62625</v>
      </c>
      <c r="AJ17" s="30">
        <f>IFERROR(AI17/AI148, "NA")</f>
        <v>0.01913333575</v>
      </c>
      <c r="AK17" s="29">
        <f t="shared" si="12"/>
        <v>0.1288987605</v>
      </c>
      <c r="AL17" s="30">
        <f>IFERROR(AK17/AK148, "NA")</f>
        <v>0.6567238227</v>
      </c>
    </row>
    <row r="18" ht="16.5" customHeight="1">
      <c r="A18" s="19" t="s">
        <v>74</v>
      </c>
      <c r="B18" s="21">
        <v>2149.48</v>
      </c>
      <c r="C18" s="23">
        <f>IFERROR(B18/B148, "NA")</f>
        <v>0.03499732979</v>
      </c>
      <c r="D18" s="21">
        <v>1804.2</v>
      </c>
      <c r="E18" s="23">
        <f>IFERROR(D18/D148, "NA")</f>
        <v>0.03152897163</v>
      </c>
      <c r="F18" s="21">
        <v>1688.5</v>
      </c>
      <c r="G18" s="23">
        <f>IFERROR(F18/F148, "NA")</f>
        <v>0.0409046059</v>
      </c>
      <c r="H18" s="21">
        <v>329.3</v>
      </c>
      <c r="I18" s="23">
        <f>IFERROR(H18/H148, "NA")</f>
        <v>0.01890002215</v>
      </c>
      <c r="J18" s="21">
        <v>1320.41</v>
      </c>
      <c r="K18" s="23">
        <f>IFERROR(J18/J148, "NA")</f>
        <v>0.02739629676</v>
      </c>
      <c r="L18" s="21">
        <v>1092.37</v>
      </c>
      <c r="M18" s="23">
        <f>IFERROR(L18/L148, "NA")</f>
        <v>0.02813373731</v>
      </c>
      <c r="N18" s="21">
        <v>987.54</v>
      </c>
      <c r="O18" s="23">
        <f>IFERROR(N18/N148, "NA")</f>
        <v>0.02623103573</v>
      </c>
      <c r="P18" s="21">
        <v>277.37</v>
      </c>
      <c r="Q18" s="23">
        <f>IFERROR(P18/P148, "NA")</f>
        <v>0.02664477729</v>
      </c>
      <c r="R18" s="21">
        <v>586.87</v>
      </c>
      <c r="S18" s="23">
        <f>IFERROR(R18/R148, "NA")</f>
        <v>0.03271072575</v>
      </c>
      <c r="T18" s="21">
        <v>875.65</v>
      </c>
      <c r="U18" s="23">
        <f>IFERROR(T18/T148, "NA")</f>
        <v>0.02657575905</v>
      </c>
      <c r="V18" s="21">
        <v>1491.68</v>
      </c>
      <c r="W18" s="23">
        <f>IFERROR(V18/V148, "NA")</f>
        <v>0.03746544628</v>
      </c>
      <c r="X18" s="21">
        <v>1062.92</v>
      </c>
      <c r="Y18" s="23">
        <f>IFERROR(X18/X148, "NA")</f>
        <v>0.02677420143</v>
      </c>
      <c r="Z18" s="21">
        <v>4017.12</v>
      </c>
      <c r="AA18" s="23">
        <f>IFERROR(Z18/Z148, "NA")</f>
        <v>0.03080503884</v>
      </c>
      <c r="AB18" s="28">
        <f t="shared" si="7"/>
        <v>1004.28</v>
      </c>
      <c r="AC18" s="23">
        <f>IFERROR(AB18/AB148, "NA")</f>
        <v>0.03080503884</v>
      </c>
      <c r="AD18" s="29">
        <f t="shared" si="8"/>
        <v>58.64</v>
      </c>
      <c r="AE18" s="30">
        <f>IFERROR(AD18/AD148, "NA")</f>
        <v>0.008261191139</v>
      </c>
      <c r="AF18" s="29">
        <f t="shared" si="9"/>
        <v>0.05839009041</v>
      </c>
      <c r="AG18" s="28">
        <f t="shared" si="10"/>
        <v>961.85125</v>
      </c>
      <c r="AH18" s="23">
        <f>IFERROR(AG18/AG148, "NA")</f>
        <v>0.02898378168</v>
      </c>
      <c r="AI18" s="29">
        <f t="shared" si="11"/>
        <v>101.06875</v>
      </c>
      <c r="AJ18" s="30">
        <f>IFERROR(AI18/AI148, "NA")</f>
        <v>0.01551665342</v>
      </c>
      <c r="AK18" s="29">
        <f t="shared" si="12"/>
        <v>0.1050773183</v>
      </c>
      <c r="AL18" s="30">
        <f>IFERROR(AK18/AK148, "NA")</f>
        <v>0.5353564138</v>
      </c>
    </row>
    <row r="19" ht="16.5" customHeight="1">
      <c r="A19" s="19" t="s">
        <v>75</v>
      </c>
      <c r="B19" s="21">
        <v>1317.25</v>
      </c>
      <c r="C19" s="23">
        <f>IFERROR(B19/B148, "NA")</f>
        <v>0.0214471559</v>
      </c>
      <c r="D19" s="21">
        <v>890.88</v>
      </c>
      <c r="E19" s="23">
        <f>IFERROR(D19/D148, "NA")</f>
        <v>0.01556841273</v>
      </c>
      <c r="F19" s="21">
        <v>480.38</v>
      </c>
      <c r="G19" s="23">
        <f>IFERROR(F19/F148, "NA")</f>
        <v>0.01163740277</v>
      </c>
      <c r="H19" s="21">
        <v>1014.76</v>
      </c>
      <c r="I19" s="23">
        <f>IFERROR(H19/H148, "NA")</f>
        <v>0.05824168382</v>
      </c>
      <c r="J19" s="21">
        <v>883.16</v>
      </c>
      <c r="K19" s="23">
        <f>IFERROR(J19/J148, "NA")</f>
        <v>0.01832409134</v>
      </c>
      <c r="L19" s="21">
        <v>1059.19</v>
      </c>
      <c r="M19" s="23">
        <f>IFERROR(L19/L148, "NA")</f>
        <v>0.02727919406</v>
      </c>
      <c r="N19" s="21">
        <v>748.52</v>
      </c>
      <c r="O19" s="23">
        <f>IFERROR(N19/N148, "NA")</f>
        <v>0.01988218691</v>
      </c>
      <c r="P19" s="21">
        <v>191.68</v>
      </c>
      <c r="Q19" s="23">
        <f>IFERROR(P19/P148, "NA")</f>
        <v>0.01841320587</v>
      </c>
      <c r="R19" s="21">
        <v>581.21</v>
      </c>
      <c r="S19" s="23">
        <f>IFERROR(R19/R148, "NA")</f>
        <v>0.03239525093</v>
      </c>
      <c r="T19" s="21">
        <v>669.88</v>
      </c>
      <c r="U19" s="23">
        <f>IFERROR(T19/T148, "NA")</f>
        <v>0.02033069088</v>
      </c>
      <c r="V19" s="21">
        <v>1157.07</v>
      </c>
      <c r="W19" s="23">
        <f>IFERROR(V19/V148, "NA")</f>
        <v>0.02906128924</v>
      </c>
      <c r="X19" s="21">
        <v>573.87</v>
      </c>
      <c r="Y19" s="23">
        <f>IFERROR(X19/X148, "NA")</f>
        <v>0.01445537856</v>
      </c>
      <c r="Z19" s="21">
        <v>2982.03</v>
      </c>
      <c r="AA19" s="23">
        <f>IFERROR(Z19/Z148, "NA")</f>
        <v>0.02286751453</v>
      </c>
      <c r="AB19" s="28">
        <f t="shared" si="7"/>
        <v>745.5075</v>
      </c>
      <c r="AC19" s="23">
        <f>IFERROR(AB19/AB148, "NA")</f>
        <v>0.02286751453</v>
      </c>
      <c r="AD19" s="29">
        <f t="shared" si="8"/>
        <v>-171.6375</v>
      </c>
      <c r="AE19" s="30">
        <f>IFERROR(AD19/AD148, "NA")</f>
        <v>-0.0241802557</v>
      </c>
      <c r="AF19" s="29">
        <f t="shared" si="9"/>
        <v>-0.2302290721</v>
      </c>
      <c r="AG19" s="28">
        <f t="shared" si="10"/>
        <v>733.0725</v>
      </c>
      <c r="AH19" s="23">
        <f>IFERROR(AG19/AG148, "NA")</f>
        <v>0.02208991598</v>
      </c>
      <c r="AI19" s="29">
        <f t="shared" si="11"/>
        <v>-159.2025</v>
      </c>
      <c r="AJ19" s="30">
        <f>IFERROR(AI19/AI148, "NA")</f>
        <v>-0.0244416797</v>
      </c>
      <c r="AK19" s="29">
        <f t="shared" si="12"/>
        <v>-0.2171715622</v>
      </c>
      <c r="AL19" s="30">
        <f>IFERROR(AK19/AK148, "NA")</f>
        <v>-1.106463226</v>
      </c>
    </row>
    <row r="20" ht="16.5" customHeight="1">
      <c r="A20" s="19" t="s">
        <v>76</v>
      </c>
      <c r="B20" s="21">
        <v>573.69</v>
      </c>
      <c r="C20" s="23">
        <f>IFERROR(B20/B148, "NA")</f>
        <v>0.009340686179</v>
      </c>
      <c r="D20" s="21">
        <v>486.95</v>
      </c>
      <c r="E20" s="23">
        <f>IFERROR(D20/D148, "NA")</f>
        <v>0.008509606882</v>
      </c>
      <c r="F20" s="21">
        <v>-337.64</v>
      </c>
      <c r="G20" s="23">
        <f>IFERROR(F20/F148, "NA")</f>
        <v>-0.008179467656</v>
      </c>
      <c r="H20" s="21">
        <v>869.96</v>
      </c>
      <c r="I20" s="23">
        <f>IFERROR(H20/H148, "NA")</f>
        <v>0.04993095437</v>
      </c>
      <c r="J20" s="21">
        <v>631.8</v>
      </c>
      <c r="K20" s="23">
        <f>IFERROR(J20/J148, "NA")</f>
        <v>0.01310879219</v>
      </c>
      <c r="L20" s="21">
        <v>546.4</v>
      </c>
      <c r="M20" s="23">
        <f>IFERROR(L20/L148, "NA")</f>
        <v>0.01407240593</v>
      </c>
      <c r="N20" s="21">
        <v>436.73</v>
      </c>
      <c r="O20" s="23">
        <f>IFERROR(N20/N148, "NA")</f>
        <v>0.01160042149</v>
      </c>
      <c r="P20" s="21">
        <v>137.82</v>
      </c>
      <c r="Q20" s="23">
        <f>IFERROR(P20/P148, "NA")</f>
        <v>0.01323929483</v>
      </c>
      <c r="R20" s="21">
        <v>225.47</v>
      </c>
      <c r="S20" s="23">
        <f>IFERROR(R20/R148, "NA")</f>
        <v>0.01256715684</v>
      </c>
      <c r="T20" s="21">
        <v>304.41</v>
      </c>
      <c r="U20" s="23">
        <f>IFERROR(T20/T148, "NA")</f>
        <v>0.009238767557</v>
      </c>
      <c r="V20" s="21">
        <v>406.36</v>
      </c>
      <c r="W20" s="23">
        <f>IFERROR(V20/V148, "NA")</f>
        <v>0.01020624983</v>
      </c>
      <c r="X20" s="21">
        <v>331.07</v>
      </c>
      <c r="Y20" s="23">
        <f>IFERROR(X20/X148, "NA")</f>
        <v>0.008339418646</v>
      </c>
      <c r="Z20" s="21">
        <v>1267.31</v>
      </c>
      <c r="AA20" s="23">
        <f>IFERROR(Z20/Z148, "NA")</f>
        <v>0.009718289165</v>
      </c>
      <c r="AB20" s="28">
        <f t="shared" si="7"/>
        <v>316.8275</v>
      </c>
      <c r="AC20" s="23">
        <f>IFERROR(AB20/AB148, "NA")</f>
        <v>0.009718289165</v>
      </c>
      <c r="AD20" s="29">
        <f t="shared" si="8"/>
        <v>14.2425</v>
      </c>
      <c r="AE20" s="30">
        <f>IFERROR(AD20/AD148, "NA")</f>
        <v>0.002006480471</v>
      </c>
      <c r="AF20" s="29">
        <f t="shared" si="9"/>
        <v>0.04495348415</v>
      </c>
      <c r="AG20" s="28">
        <f t="shared" si="10"/>
        <v>377.5075</v>
      </c>
      <c r="AH20" s="23">
        <f>IFERROR(AG20/AG148, "NA")</f>
        <v>0.01137555829</v>
      </c>
      <c r="AI20" s="29">
        <f t="shared" si="11"/>
        <v>-46.4375</v>
      </c>
      <c r="AJ20" s="30">
        <f>IFERROR(AI20/AI148, "NA")</f>
        <v>-0.007129350991</v>
      </c>
      <c r="AK20" s="29">
        <f t="shared" si="12"/>
        <v>-0.1230108011</v>
      </c>
      <c r="AL20" s="30">
        <f>IFERROR(AK20/AK148, "NA")</f>
        <v>-0.6267253711</v>
      </c>
    </row>
    <row r="21" ht="16.5" customHeight="1">
      <c r="A21" s="19" t="s">
        <v>77</v>
      </c>
      <c r="B21" s="21">
        <v>389.72</v>
      </c>
      <c r="C21" s="23">
        <f>IFERROR(B21/B148, "NA")</f>
        <v>0.006345329738</v>
      </c>
      <c r="D21" s="21">
        <v>531.97</v>
      </c>
      <c r="E21" s="23">
        <f>IFERROR(D21/D148, "NA")</f>
        <v>0.009296345771</v>
      </c>
      <c r="F21" s="21">
        <v>465.41</v>
      </c>
      <c r="G21" s="23">
        <f>IFERROR(F21/F148, "NA")</f>
        <v>0.01127474838</v>
      </c>
      <c r="H21" s="21">
        <v>49.75</v>
      </c>
      <c r="I21" s="23">
        <f>IFERROR(H21/H148, "NA")</f>
        <v>0.002855378385</v>
      </c>
      <c r="J21" s="21">
        <v>-1093.88</v>
      </c>
      <c r="K21" s="23">
        <f>IFERROR(J21/J148, "NA")</f>
        <v>-0.02269617853</v>
      </c>
      <c r="L21" s="21">
        <v>2087.68</v>
      </c>
      <c r="M21" s="23">
        <f>IFERROR(L21/L148, "NA")</f>
        <v>0.05376771671</v>
      </c>
      <c r="N21" s="21">
        <v>526.45</v>
      </c>
      <c r="O21" s="23">
        <f>IFERROR(N21/N148, "NA")</f>
        <v>0.01398356397</v>
      </c>
      <c r="P21" s="21">
        <v>128.53</v>
      </c>
      <c r="Q21" s="23">
        <f>IFERROR(P21/P148, "NA")</f>
        <v>0.01234687683</v>
      </c>
      <c r="R21" s="21">
        <v>144.88</v>
      </c>
      <c r="S21" s="23">
        <f>IFERROR(R21/R148, "NA")</f>
        <v>0.008075263597</v>
      </c>
      <c r="T21" s="21">
        <v>339.52</v>
      </c>
      <c r="U21" s="23">
        <f>IFERROR(T21/T148, "NA")</f>
        <v>0.0103043473</v>
      </c>
      <c r="V21" s="21">
        <v>318.72</v>
      </c>
      <c r="W21" s="23">
        <f>IFERROR(V21/V148, "NA")</f>
        <v>0.008005059423</v>
      </c>
      <c r="X21" s="21">
        <v>488.88</v>
      </c>
      <c r="Y21" s="23">
        <f>IFERROR(X21/X148, "NA")</f>
        <v>0.01231454069</v>
      </c>
      <c r="Z21" s="21">
        <v>1292.0</v>
      </c>
      <c r="AA21" s="23">
        <f>IFERROR(Z21/Z148, "NA")</f>
        <v>0.009907622919</v>
      </c>
      <c r="AB21" s="28">
        <f t="shared" si="7"/>
        <v>323</v>
      </c>
      <c r="AC21" s="23">
        <f>IFERROR(AB21/AB148, "NA")</f>
        <v>0.009907622919</v>
      </c>
      <c r="AD21" s="29">
        <f t="shared" si="8"/>
        <v>165.88</v>
      </c>
      <c r="AE21" s="30">
        <f>IFERROR(AD21/AD148, "NA")</f>
        <v>0.02336914028</v>
      </c>
      <c r="AF21" s="29">
        <f t="shared" si="9"/>
        <v>0.5135603715</v>
      </c>
      <c r="AG21" s="28">
        <f t="shared" si="10"/>
        <v>367.5975</v>
      </c>
      <c r="AH21" s="23">
        <f>IFERROR(AG21/AG148, "NA")</f>
        <v>0.01107693698</v>
      </c>
      <c r="AI21" s="29">
        <f t="shared" si="11"/>
        <v>121.2825</v>
      </c>
      <c r="AJ21" s="30">
        <f>IFERROR(AI21/AI148, "NA")</f>
        <v>0.0186199841</v>
      </c>
      <c r="AK21" s="29">
        <f t="shared" si="12"/>
        <v>0.329932875</v>
      </c>
      <c r="AL21" s="30">
        <f>IFERROR(AK21/AK148, "NA")</f>
        <v>1.680968676</v>
      </c>
    </row>
    <row r="22" ht="16.5" hidden="1" customHeight="1">
      <c r="A22" s="19" t="s">
        <v>78</v>
      </c>
      <c r="B22" s="21">
        <v>0.0</v>
      </c>
      <c r="C22" s="23">
        <f>IFERROR(B22/B148, "NA")</f>
        <v>0</v>
      </c>
      <c r="D22" s="21">
        <v>0.0</v>
      </c>
      <c r="E22" s="23">
        <f>IFERROR(D22/D148, "NA")</f>
        <v>0</v>
      </c>
      <c r="F22" s="21">
        <v>0.0</v>
      </c>
      <c r="G22" s="23">
        <f>IFERROR(F22/F148, "NA")</f>
        <v>0</v>
      </c>
      <c r="H22" s="21">
        <v>0.0</v>
      </c>
      <c r="I22" s="23">
        <f>IFERROR(H22/H148, "NA")</f>
        <v>0</v>
      </c>
      <c r="J22" s="21">
        <v>0.0</v>
      </c>
      <c r="K22" s="23">
        <f>IFERROR(J22/J148, "NA")</f>
        <v>0</v>
      </c>
      <c r="L22" s="21">
        <v>0.0</v>
      </c>
      <c r="M22" s="23">
        <f>IFERROR(L22/L148, "NA")</f>
        <v>0</v>
      </c>
      <c r="N22" s="21">
        <v>0.0</v>
      </c>
      <c r="O22" s="23">
        <f>IFERROR(N22/N148, "NA")</f>
        <v>0</v>
      </c>
      <c r="P22" s="21">
        <v>0.0</v>
      </c>
      <c r="Q22" s="23">
        <f>IFERROR(P22/P148, "NA")</f>
        <v>0</v>
      </c>
      <c r="R22" s="21">
        <v>0.0</v>
      </c>
      <c r="S22" s="23">
        <f>IFERROR(R22/R148, "NA")</f>
        <v>0</v>
      </c>
      <c r="T22" s="21">
        <v>0.0</v>
      </c>
      <c r="U22" s="23">
        <f>IFERROR(T22/T148, "NA")</f>
        <v>0</v>
      </c>
      <c r="V22" s="21">
        <v>0.0</v>
      </c>
      <c r="W22" s="23">
        <f>IFERROR(V22/V148, "NA")</f>
        <v>0</v>
      </c>
      <c r="X22" s="21">
        <v>0.0</v>
      </c>
      <c r="Y22" s="23">
        <f>IFERROR(X22/X148, "NA")</f>
        <v>0</v>
      </c>
      <c r="Z22" s="21">
        <v>0.0</v>
      </c>
      <c r="AA22" s="23">
        <f>IFERROR(Z22/Z148, "NA")</f>
        <v>0</v>
      </c>
      <c r="AB22" s="28">
        <f t="shared" si="7"/>
        <v>0</v>
      </c>
      <c r="AC22" s="23">
        <f>IFERROR(AB22/AB148, "NA")</f>
        <v>0</v>
      </c>
      <c r="AD22" s="29">
        <f t="shared" si="8"/>
        <v>0</v>
      </c>
      <c r="AE22" s="30">
        <f>IFERROR(AD22/AD148, "NA")</f>
        <v>0</v>
      </c>
      <c r="AF22" s="29" t="str">
        <f t="shared" si="9"/>
        <v>NA</v>
      </c>
      <c r="AG22" s="28">
        <f t="shared" si="10"/>
        <v>0</v>
      </c>
      <c r="AH22" s="23">
        <f>IFERROR(AG22/AG148, "NA")</f>
        <v>0</v>
      </c>
      <c r="AI22" s="29">
        <f t="shared" si="11"/>
        <v>0</v>
      </c>
      <c r="AJ22" s="30">
        <f>IFERROR(AI22/AI148, "NA")</f>
        <v>0</v>
      </c>
      <c r="AK22" s="29" t="str">
        <f t="shared" si="12"/>
        <v>NA</v>
      </c>
      <c r="AL22" s="30" t="str">
        <f>IFERROR(AK22/AK148, "NA")</f>
        <v>NA</v>
      </c>
    </row>
    <row r="23" ht="16.5" customHeight="1">
      <c r="A23" s="19" t="s">
        <v>79</v>
      </c>
      <c r="B23" s="21">
        <v>-83.54</v>
      </c>
      <c r="C23" s="23">
        <f>IFERROR(B23/B148, "NA")</f>
        <v>-0.001360178709</v>
      </c>
      <c r="D23" s="21">
        <v>235.91</v>
      </c>
      <c r="E23" s="23">
        <f>IFERROR(D23/D148, "NA")</f>
        <v>0.004122602648</v>
      </c>
      <c r="F23" s="21">
        <v>75.53</v>
      </c>
      <c r="G23" s="23">
        <f>IFERROR(F23/F148, "NA")</f>
        <v>0.001829745267</v>
      </c>
      <c r="H23" s="21">
        <v>89.55</v>
      </c>
      <c r="I23" s="23">
        <f>IFERROR(H23/H148, "NA")</f>
        <v>0.005139681093</v>
      </c>
      <c r="J23" s="21">
        <v>264.26</v>
      </c>
      <c r="K23" s="23">
        <f>IFERROR(J23/J148, "NA")</f>
        <v>0.005482952553</v>
      </c>
      <c r="L23" s="21">
        <v>74.62</v>
      </c>
      <c r="M23" s="23">
        <f>IFERROR(L23/L148, "NA")</f>
        <v>0.001921820883</v>
      </c>
      <c r="N23" s="21">
        <v>228.45</v>
      </c>
      <c r="O23" s="23">
        <f>IFERROR(N23/N148, "NA")</f>
        <v>0.006068088495</v>
      </c>
      <c r="P23" s="21">
        <v>-5.66</v>
      </c>
      <c r="Q23" s="23">
        <f>IFERROR(P23/P148, "NA")</f>
        <v>-0.0005437121515</v>
      </c>
      <c r="R23" s="21">
        <v>192.13</v>
      </c>
      <c r="S23" s="23">
        <f>IFERROR(R23/R148, "NA")</f>
        <v>0.01070886523</v>
      </c>
      <c r="T23" s="21">
        <v>99.76</v>
      </c>
      <c r="U23" s="23">
        <f>IFERROR(T23/T148, "NA")</f>
        <v>0.003027691112</v>
      </c>
      <c r="V23" s="21">
        <v>186.3</v>
      </c>
      <c r="W23" s="23">
        <f>IFERROR(V23/V148, "NA")</f>
        <v>0.004679162181</v>
      </c>
      <c r="X23" s="21">
        <v>46.78</v>
      </c>
      <c r="Y23" s="23">
        <f>IFERROR(X23/X148, "NA")</f>
        <v>0.001178355044</v>
      </c>
      <c r="Z23" s="21">
        <v>524.97</v>
      </c>
      <c r="AA23" s="23">
        <f>IFERROR(Z23/Z148, "NA")</f>
        <v>0.004025700313</v>
      </c>
      <c r="AB23" s="28">
        <f t="shared" si="7"/>
        <v>131.2425</v>
      </c>
      <c r="AC23" s="23">
        <f>IFERROR(AB23/AB148, "NA")</f>
        <v>0.004025700313</v>
      </c>
      <c r="AD23" s="29">
        <f t="shared" si="8"/>
        <v>-84.4625</v>
      </c>
      <c r="AE23" s="30">
        <f>IFERROR(AD23/AD148, "NA")</f>
        <v>-0.01189905963</v>
      </c>
      <c r="AF23" s="29">
        <f t="shared" si="9"/>
        <v>-0.6435605844</v>
      </c>
      <c r="AG23" s="28">
        <f t="shared" si="10"/>
        <v>135.83</v>
      </c>
      <c r="AH23" s="23">
        <f>IFERROR(AG23/AG148, "NA")</f>
        <v>0.004093010291</v>
      </c>
      <c r="AI23" s="29">
        <f t="shared" si="11"/>
        <v>-89.05</v>
      </c>
      <c r="AJ23" s="30">
        <f>IFERROR(AI23/AI148, "NA")</f>
        <v>-0.01367146607</v>
      </c>
      <c r="AK23" s="29">
        <f t="shared" si="12"/>
        <v>-0.6555989104</v>
      </c>
      <c r="AL23" s="30">
        <f>IFERROR(AK23/AK148, "NA")</f>
        <v>-3.340198314</v>
      </c>
    </row>
    <row r="24" ht="16.5" customHeight="1">
      <c r="A24" s="19" t="s">
        <v>80</v>
      </c>
      <c r="B24" s="21">
        <v>4397.25</v>
      </c>
      <c r="C24" s="23">
        <f>IFERROR(B24/B148, "NA")</f>
        <v>0.07159499433</v>
      </c>
      <c r="D24" s="21">
        <v>4185.26</v>
      </c>
      <c r="E24" s="23">
        <f>IFERROR(D24/D148, "NA")</f>
        <v>0.07313875613</v>
      </c>
      <c r="F24" s="21">
        <v>2993.54</v>
      </c>
      <c r="G24" s="23">
        <f>IFERROR(F24/F148, "NA")</f>
        <v>0.07251973584</v>
      </c>
      <c r="H24" s="21">
        <v>1163.45</v>
      </c>
      <c r="I24" s="23">
        <f>IFERROR(H24/H148, "NA")</f>
        <v>0.06677567803</v>
      </c>
      <c r="J24" s="21">
        <v>3243.4</v>
      </c>
      <c r="K24" s="23">
        <f>IFERROR(J24/J148, "NA")</f>
        <v>0.06729511962</v>
      </c>
      <c r="L24" s="21">
        <v>2725.76</v>
      </c>
      <c r="M24" s="23">
        <f>IFERROR(L24/L148, "NA")</f>
        <v>0.07020131988</v>
      </c>
      <c r="N24" s="21">
        <v>2394.67</v>
      </c>
      <c r="O24" s="23">
        <f>IFERROR(N24/N148, "NA")</f>
        <v>0.06360722029</v>
      </c>
      <c r="P24" s="21">
        <v>882.64</v>
      </c>
      <c r="Q24" s="23">
        <f>IFERROR(P24/P148, "NA")</f>
        <v>0.08478835572</v>
      </c>
      <c r="R24" s="21">
        <v>1635.97</v>
      </c>
      <c r="S24" s="23">
        <f>IFERROR(R24/R148, "NA")</f>
        <v>0.0911850427</v>
      </c>
      <c r="T24" s="21">
        <v>2223.03</v>
      </c>
      <c r="U24" s="23">
        <f>IFERROR(T24/T148, "NA")</f>
        <v>0.06746840591</v>
      </c>
      <c r="V24" s="21">
        <v>2985.87</v>
      </c>
      <c r="W24" s="23">
        <f>IFERROR(V24/V148, "NA")</f>
        <v>0.07499393442</v>
      </c>
      <c r="X24" s="21">
        <v>2283.11</v>
      </c>
      <c r="Y24" s="23">
        <f>IFERROR(X24/X148, "NA")</f>
        <v>0.05750992269</v>
      </c>
      <c r="Z24" s="21">
        <v>9127.98</v>
      </c>
      <c r="AA24" s="23">
        <f>IFERROR(Z24/Z148, "NA")</f>
        <v>0.06999735592</v>
      </c>
      <c r="AB24" s="28">
        <f t="shared" si="7"/>
        <v>2281.995</v>
      </c>
      <c r="AC24" s="23">
        <f>IFERROR(AB24/AB148, "NA")</f>
        <v>0.06999735592</v>
      </c>
      <c r="AD24" s="29">
        <f t="shared" si="8"/>
        <v>1.115</v>
      </c>
      <c r="AE24" s="30">
        <f>IFERROR(AD24/AD148, "NA")</f>
        <v>0.0001570809707</v>
      </c>
      <c r="AF24" s="29">
        <f t="shared" si="9"/>
        <v>0.0004886075561</v>
      </c>
      <c r="AG24" s="28">
        <f t="shared" si="10"/>
        <v>2296.80625</v>
      </c>
      <c r="AH24" s="23">
        <f>IFERROR(AG24/AG148, "NA")</f>
        <v>0.06921042199</v>
      </c>
      <c r="AI24" s="29">
        <f t="shared" si="11"/>
        <v>-13.69625</v>
      </c>
      <c r="AJ24" s="30">
        <f>IFERROR(AI24/AI148, "NA")</f>
        <v>-0.002102726751</v>
      </c>
      <c r="AK24" s="29">
        <f t="shared" si="12"/>
        <v>-0.005963171687</v>
      </c>
      <c r="AL24" s="30">
        <f>IFERROR(AK24/AK148, "NA")</f>
        <v>-0.03038164905</v>
      </c>
    </row>
    <row r="25" ht="16.5" hidden="1" customHeight="1">
      <c r="A25" s="19" t="s">
        <v>81</v>
      </c>
      <c r="B25" s="21">
        <v>0.0</v>
      </c>
      <c r="C25" s="23">
        <f>IFERROR(B25/B148, "NA")</f>
        <v>0</v>
      </c>
      <c r="D25" s="21">
        <v>0.0</v>
      </c>
      <c r="E25" s="23">
        <f>IFERROR(D25/D148, "NA")</f>
        <v>0</v>
      </c>
      <c r="F25" s="21">
        <v>0.0</v>
      </c>
      <c r="G25" s="23">
        <f>IFERROR(F25/F148, "NA")</f>
        <v>0</v>
      </c>
      <c r="H25" s="21">
        <v>0.0</v>
      </c>
      <c r="I25" s="23">
        <f>IFERROR(H25/H148, "NA")</f>
        <v>0</v>
      </c>
      <c r="J25" s="21">
        <v>0.0</v>
      </c>
      <c r="K25" s="23">
        <f>IFERROR(J25/J148, "NA")</f>
        <v>0</v>
      </c>
      <c r="L25" s="21">
        <v>0.0</v>
      </c>
      <c r="M25" s="23">
        <f>IFERROR(L25/L148, "NA")</f>
        <v>0</v>
      </c>
      <c r="N25" s="21">
        <v>0.0</v>
      </c>
      <c r="O25" s="23">
        <f>IFERROR(N25/N148, "NA")</f>
        <v>0</v>
      </c>
      <c r="P25" s="21">
        <v>0.0</v>
      </c>
      <c r="Q25" s="23">
        <f>IFERROR(P25/P148, "NA")</f>
        <v>0</v>
      </c>
      <c r="R25" s="21">
        <v>0.0</v>
      </c>
      <c r="S25" s="23">
        <f>IFERROR(R25/R148, "NA")</f>
        <v>0</v>
      </c>
      <c r="T25" s="21">
        <v>0.0</v>
      </c>
      <c r="U25" s="23">
        <f>IFERROR(T25/T148, "NA")</f>
        <v>0</v>
      </c>
      <c r="V25" s="21">
        <v>0.0</v>
      </c>
      <c r="W25" s="23">
        <f>IFERROR(V25/V148, "NA")</f>
        <v>0</v>
      </c>
      <c r="X25" s="21">
        <v>0.0</v>
      </c>
      <c r="Y25" s="23">
        <f>IFERROR(X25/X148, "NA")</f>
        <v>0</v>
      </c>
      <c r="Z25" s="21">
        <v>0.0</v>
      </c>
      <c r="AA25" s="23">
        <f>IFERROR(Z25/Z148, "NA")</f>
        <v>0</v>
      </c>
      <c r="AB25" s="28">
        <f t="shared" si="7"/>
        <v>0</v>
      </c>
      <c r="AC25" s="23">
        <f>IFERROR(AB25/AB148, "NA")</f>
        <v>0</v>
      </c>
      <c r="AD25" s="29">
        <f t="shared" si="8"/>
        <v>0</v>
      </c>
      <c r="AE25" s="30">
        <f>IFERROR(AD25/AD148, "NA")</f>
        <v>0</v>
      </c>
      <c r="AF25" s="29" t="str">
        <f t="shared" si="9"/>
        <v>NA</v>
      </c>
      <c r="AG25" s="28">
        <f t="shared" si="10"/>
        <v>0</v>
      </c>
      <c r="AH25" s="23">
        <f>IFERROR(AG25/AG148, "NA")</f>
        <v>0</v>
      </c>
      <c r="AI25" s="29">
        <f t="shared" si="11"/>
        <v>0</v>
      </c>
      <c r="AJ25" s="30">
        <f>IFERROR(AI25/AI148, "NA")</f>
        <v>0</v>
      </c>
      <c r="AK25" s="29" t="str">
        <f t="shared" si="12"/>
        <v>NA</v>
      </c>
      <c r="AL25" s="30" t="str">
        <f>IFERROR(AK25/AK148, "NA")</f>
        <v>NA</v>
      </c>
    </row>
    <row r="26" ht="16.5" hidden="1" customHeight="1">
      <c r="A26" s="19" t="s">
        <v>84</v>
      </c>
      <c r="B26" s="21">
        <v>0.0</v>
      </c>
      <c r="C26" s="23">
        <f>IFERROR(B26/B148, "NA")</f>
        <v>0</v>
      </c>
      <c r="D26" s="21">
        <v>0.0</v>
      </c>
      <c r="E26" s="23">
        <f>IFERROR(D26/D148, "NA")</f>
        <v>0</v>
      </c>
      <c r="F26" s="21">
        <v>0.0</v>
      </c>
      <c r="G26" s="23">
        <f>IFERROR(F26/F148, "NA")</f>
        <v>0</v>
      </c>
      <c r="H26" s="21">
        <v>0.0</v>
      </c>
      <c r="I26" s="23">
        <f>IFERROR(H26/H148, "NA")</f>
        <v>0</v>
      </c>
      <c r="J26" s="21">
        <v>0.0</v>
      </c>
      <c r="K26" s="23">
        <f>IFERROR(J26/J148, "NA")</f>
        <v>0</v>
      </c>
      <c r="L26" s="21">
        <v>0.0</v>
      </c>
      <c r="M26" s="23">
        <f>IFERROR(L26/L148, "NA")</f>
        <v>0</v>
      </c>
      <c r="N26" s="21">
        <v>0.0</v>
      </c>
      <c r="O26" s="23">
        <f>IFERROR(N26/N148, "NA")</f>
        <v>0</v>
      </c>
      <c r="P26" s="21">
        <v>0.0</v>
      </c>
      <c r="Q26" s="23">
        <f>IFERROR(P26/P148, "NA")</f>
        <v>0</v>
      </c>
      <c r="R26" s="21">
        <v>0.0</v>
      </c>
      <c r="S26" s="23">
        <f>IFERROR(R26/R148, "NA")</f>
        <v>0</v>
      </c>
      <c r="T26" s="21">
        <v>0.0</v>
      </c>
      <c r="U26" s="23">
        <f>IFERROR(T26/T148, "NA")</f>
        <v>0</v>
      </c>
      <c r="V26" s="21">
        <v>0.0</v>
      </c>
      <c r="W26" s="23">
        <f>IFERROR(V26/V148, "NA")</f>
        <v>0</v>
      </c>
      <c r="X26" s="21">
        <v>0.0</v>
      </c>
      <c r="Y26" s="23">
        <f>IFERROR(X26/X148, "NA")</f>
        <v>0</v>
      </c>
      <c r="Z26" s="21">
        <v>0.0</v>
      </c>
      <c r="AA26" s="23">
        <f>IFERROR(Z26/Z148, "NA")</f>
        <v>0</v>
      </c>
      <c r="AB26" s="28">
        <f t="shared" si="7"/>
        <v>0</v>
      </c>
      <c r="AC26" s="23">
        <f>IFERROR(AB26/AB148, "NA")</f>
        <v>0</v>
      </c>
      <c r="AD26" s="29">
        <f t="shared" si="8"/>
        <v>0</v>
      </c>
      <c r="AE26" s="30">
        <f>IFERROR(AD26/AD148, "NA")</f>
        <v>0</v>
      </c>
      <c r="AF26" s="29" t="str">
        <f t="shared" si="9"/>
        <v>NA</v>
      </c>
      <c r="AG26" s="28">
        <f t="shared" si="10"/>
        <v>0</v>
      </c>
      <c r="AH26" s="23">
        <f>IFERROR(AG26/AG148, "NA")</f>
        <v>0</v>
      </c>
      <c r="AI26" s="29">
        <f t="shared" si="11"/>
        <v>0</v>
      </c>
      <c r="AJ26" s="30">
        <f>IFERROR(AI26/AI148, "NA")</f>
        <v>0</v>
      </c>
      <c r="AK26" s="29" t="str">
        <f t="shared" si="12"/>
        <v>NA</v>
      </c>
      <c r="AL26" s="30" t="str">
        <f>IFERROR(AK26/AK148, "NA")</f>
        <v>NA</v>
      </c>
    </row>
    <row r="27" ht="16.5" customHeight="1">
      <c r="A27" s="65" t="s">
        <v>85</v>
      </c>
      <c r="B27" s="66">
        <f>IFERROR(B15+B16+B17+B18+B19+B20+B21+B22+B23+B24+B25+B26, "NA")</f>
        <v>12862.61</v>
      </c>
      <c r="C27" s="67">
        <f>IFERROR(B27/B148, "NA")</f>
        <v>0.2094260026</v>
      </c>
      <c r="D27" s="66">
        <f>IFERROR(D15+D16+D17+D18+D19+D20+D21+D22+D23+D24+D25+D26, "NA")</f>
        <v>12468.2</v>
      </c>
      <c r="E27" s="67">
        <f>IFERROR(D27/D148, "NA")</f>
        <v>0.2178857799</v>
      </c>
      <c r="F27" s="66">
        <f>IFERROR(F15+F16+F17+F18+F19+F20+F21+F22+F23+F24+F25+F26, "NA")</f>
        <v>7720.07</v>
      </c>
      <c r="G27" s="67">
        <f>IFERROR(F27/F148, "NA")</f>
        <v>0.1870218661</v>
      </c>
      <c r="H27" s="66">
        <f>IFERROR(H15+H16+H17+H18+H19+H20+H21+H22+H23+H24+H25+H26, "NA")</f>
        <v>5211.65</v>
      </c>
      <c r="I27" s="67">
        <f>IFERROR(H27/H148, "NA")</f>
        <v>0.2991202565</v>
      </c>
      <c r="J27" s="66">
        <f>IFERROR(J15+J16+J17+J18+J19+J20+J21+J22+J23+J24+J25+J26, "NA")</f>
        <v>8982.06</v>
      </c>
      <c r="K27" s="67">
        <f>IFERROR(J27/J148, "NA")</f>
        <v>0.1863627065</v>
      </c>
      <c r="L27" s="66">
        <f>IFERROR(L15+L16+L17+L18+L19+L20+L21+L22+L23+L24+L25+L26, "NA")</f>
        <v>10623.03</v>
      </c>
      <c r="M27" s="67">
        <f>IFERROR(L27/L148, "NA")</f>
        <v>0.2735936866</v>
      </c>
      <c r="N27" s="66">
        <f>IFERROR(N15+N16+N17+N18+N19+N20+N21+N22+N23+N24+N25+N26, "NA")</f>
        <v>8502.4</v>
      </c>
      <c r="O27" s="67">
        <f>IFERROR(N27/N148, "NA")</f>
        <v>0.2258407337</v>
      </c>
      <c r="P27" s="66">
        <f>IFERROR(P15+P16+P17+P18+P19+P20+P21+P22+P23+P24+P25+P26, "NA")</f>
        <v>2408.58</v>
      </c>
      <c r="Q27" s="67">
        <f>IFERROR(P27/P148, "NA")</f>
        <v>0.231373536</v>
      </c>
      <c r="R27" s="66">
        <f>IFERROR(R15+R16+R17+R18+R19+R20+R21+R22+R23+R24+R25+R26, "NA")</f>
        <v>5035.97</v>
      </c>
      <c r="S27" s="67">
        <f>IFERROR(R27/R148, "NA")</f>
        <v>0.2806928853</v>
      </c>
      <c r="T27" s="66">
        <f>IFERROR(T15+T16+T17+T18+T19+T20+T21+T22+T23+T24+T25+T26, "NA")</f>
        <v>7269.98</v>
      </c>
      <c r="U27" s="67">
        <f>IFERROR(T27/T148, "NA")</f>
        <v>0.2206420793</v>
      </c>
      <c r="V27" s="66">
        <f>IFERROR(V15+V16+V17+V18+V19+V20+V21+V22+V23+V24+V25+V26, "NA")</f>
        <v>9828.14</v>
      </c>
      <c r="W27" s="67">
        <f>IFERROR(V27/V148, "NA")</f>
        <v>0.2468462748</v>
      </c>
      <c r="X27" s="66">
        <f>IFERROR(X15+X16+X17+X18+X19+X20+X21+X22+X23+X24+X25+X26, "NA")</f>
        <v>7788.71</v>
      </c>
      <c r="Y27" s="67">
        <f>IFERROR(X27/X148, "NA")</f>
        <v>0.1961920845</v>
      </c>
      <c r="Z27" s="66">
        <f>IFERROR(Z15+Z16+Z17+Z18+Z19+Z20+Z21+Z22+Z23+Z24+Z25+Z26, "NA")</f>
        <v>29922.8</v>
      </c>
      <c r="AA27" s="67">
        <f>IFERROR(Z27/Z148, "NA")</f>
        <v>0.2294611603</v>
      </c>
      <c r="AB27" s="66">
        <f t="shared" si="7"/>
        <v>7480.7</v>
      </c>
      <c r="AC27" s="67">
        <f>IFERROR(AB27/AB148, "NA")</f>
        <v>0.2294611603</v>
      </c>
      <c r="AD27" s="75">
        <f t="shared" si="8"/>
        <v>308.01</v>
      </c>
      <c r="AE27" s="76">
        <f>IFERROR(AD27/AD148, "NA")</f>
        <v>0.04339238545</v>
      </c>
      <c r="AF27" s="75">
        <f t="shared" si="9"/>
        <v>0.04117395431</v>
      </c>
      <c r="AG27" s="66">
        <f t="shared" si="10"/>
        <v>7554.85875</v>
      </c>
      <c r="AH27" s="67">
        <f>IFERROR(AG27/AG148, "NA")</f>
        <v>0.2276530561</v>
      </c>
      <c r="AI27" s="75">
        <f t="shared" si="11"/>
        <v>233.85125</v>
      </c>
      <c r="AJ27" s="76">
        <f>IFERROR(AI27/AI148, "NA")</f>
        <v>0.03590218339</v>
      </c>
      <c r="AK27" s="75">
        <f t="shared" si="12"/>
        <v>0.03095375542</v>
      </c>
      <c r="AL27" s="76">
        <f>IFERROR(AK27/AK148, "NA")</f>
        <v>0.1577056948</v>
      </c>
    </row>
    <row r="28" ht="16.5" customHeight="1">
      <c r="A28" s="13" t="s">
        <v>86</v>
      </c>
      <c r="B28" s="14"/>
      <c r="C28" s="12"/>
      <c r="D28" s="14"/>
      <c r="E28" s="12"/>
      <c r="F28" s="14"/>
      <c r="G28" s="12"/>
      <c r="H28" s="14"/>
      <c r="I28" s="12"/>
      <c r="J28" s="14"/>
      <c r="K28" s="12"/>
      <c r="L28" s="14"/>
      <c r="M28" s="12"/>
      <c r="N28" s="14"/>
      <c r="O28" s="12"/>
      <c r="P28" s="14"/>
      <c r="Q28" s="12"/>
      <c r="R28" s="14"/>
      <c r="S28" s="12"/>
      <c r="T28" s="14"/>
      <c r="U28" s="12"/>
      <c r="V28" s="14"/>
      <c r="W28" s="12"/>
      <c r="X28" s="14"/>
      <c r="Y28" s="12"/>
      <c r="Z28" s="14"/>
      <c r="AA28" s="12"/>
      <c r="AB28" s="14"/>
      <c r="AC28" s="12"/>
      <c r="AD28" s="17"/>
      <c r="AE28" s="18"/>
      <c r="AF28" s="17"/>
      <c r="AG28" s="14"/>
      <c r="AH28" s="12"/>
      <c r="AI28" s="17"/>
      <c r="AJ28" s="18"/>
      <c r="AK28" s="17"/>
      <c r="AL28" s="18"/>
    </row>
    <row r="29" ht="16.5" hidden="1" customHeight="1">
      <c r="A29" s="19" t="s">
        <v>87</v>
      </c>
      <c r="B29" s="21">
        <v>0.0</v>
      </c>
      <c r="C29" s="23">
        <f>IFERROR(B29/B148, "NA")</f>
        <v>0</v>
      </c>
      <c r="D29" s="21">
        <v>0.0</v>
      </c>
      <c r="E29" s="23">
        <f>IFERROR(D29/D148, "NA")</f>
        <v>0</v>
      </c>
      <c r="F29" s="21">
        <v>0.0</v>
      </c>
      <c r="G29" s="23">
        <f>IFERROR(F29/F148, "NA")</f>
        <v>0</v>
      </c>
      <c r="H29" s="21">
        <v>0.0</v>
      </c>
      <c r="I29" s="23">
        <f>IFERROR(H29/H148, "NA")</f>
        <v>0</v>
      </c>
      <c r="J29" s="21">
        <v>0.0</v>
      </c>
      <c r="K29" s="23">
        <f>IFERROR(J29/J148, "NA")</f>
        <v>0</v>
      </c>
      <c r="L29" s="21">
        <v>0.0</v>
      </c>
      <c r="M29" s="23">
        <f>IFERROR(L29/L148, "NA")</f>
        <v>0</v>
      </c>
      <c r="N29" s="21">
        <v>0.0</v>
      </c>
      <c r="O29" s="23">
        <f>IFERROR(N29/N148, "NA")</f>
        <v>0</v>
      </c>
      <c r="P29" s="21">
        <v>0.0</v>
      </c>
      <c r="Q29" s="23">
        <f>IFERROR(P29/P148, "NA")</f>
        <v>0</v>
      </c>
      <c r="R29" s="21">
        <v>0.0</v>
      </c>
      <c r="S29" s="23">
        <f>IFERROR(R29/R148, "NA")</f>
        <v>0</v>
      </c>
      <c r="T29" s="21">
        <v>0.0</v>
      </c>
      <c r="U29" s="23">
        <f>IFERROR(T29/T148, "NA")</f>
        <v>0</v>
      </c>
      <c r="V29" s="21">
        <v>0.0</v>
      </c>
      <c r="W29" s="23">
        <f>IFERROR(V29/V148, "NA")</f>
        <v>0</v>
      </c>
      <c r="X29" s="21">
        <v>0.0</v>
      </c>
      <c r="Y29" s="23">
        <f>IFERROR(X29/X148, "NA")</f>
        <v>0</v>
      </c>
      <c r="Z29" s="21">
        <v>0.0</v>
      </c>
      <c r="AA29" s="23">
        <f>IFERROR(Z29/Z148, "NA")</f>
        <v>0</v>
      </c>
      <c r="AB29" s="28">
        <f t="shared" ref="AB29:AB35" si="13">IFERROR((R29+T29+V29+X29)/4, "NA")</f>
        <v>0</v>
      </c>
      <c r="AC29" s="23">
        <f>IFERROR(AB29/AB148, "NA")</f>
        <v>0</v>
      </c>
      <c r="AD29" s="29">
        <f t="shared" ref="AD29:AD35" si="14">IFERROR(X29-AB29, "NA")</f>
        <v>0</v>
      </c>
      <c r="AE29" s="30">
        <f>IFERROR(AD29/AD148, "NA")</f>
        <v>0</v>
      </c>
      <c r="AF29" s="29" t="str">
        <f t="shared" ref="AF29:AF35" si="15">IFERROR((X29-AB29)/AB29, "NA")</f>
        <v>NA</v>
      </c>
      <c r="AG29" s="28">
        <f t="shared" ref="AG29:AG35" si="16">IFERROR((J29+L29+N29+P29+R29+T29+V29+X29)/8, "NA")</f>
        <v>0</v>
      </c>
      <c r="AH29" s="23">
        <f>IFERROR(AG29/AG148, "NA")</f>
        <v>0</v>
      </c>
      <c r="AI29" s="29">
        <f t="shared" ref="AI29:AI35" si="17">IFERROR(X29-AG29, "NA")</f>
        <v>0</v>
      </c>
      <c r="AJ29" s="30">
        <f>IFERROR(AI29/AI148, "NA")</f>
        <v>0</v>
      </c>
      <c r="AK29" s="29" t="str">
        <f t="shared" ref="AK29:AK35" si="18">IFERROR((X29-AG29)/AG29, "NA")</f>
        <v>NA</v>
      </c>
      <c r="AL29" s="30" t="str">
        <f>IFERROR(AK29/AK148, "NA")</f>
        <v>NA</v>
      </c>
    </row>
    <row r="30" ht="16.5" customHeight="1">
      <c r="A30" s="19" t="s">
        <v>88</v>
      </c>
      <c r="B30" s="21">
        <v>474.86</v>
      </c>
      <c r="C30" s="23">
        <f>IFERROR(B30/B148, "NA")</f>
        <v>0.007731559272</v>
      </c>
      <c r="D30" s="21">
        <v>309.11</v>
      </c>
      <c r="E30" s="23">
        <f>IFERROR(D30/D148, "NA")</f>
        <v>0.005401796043</v>
      </c>
      <c r="F30" s="21">
        <v>312.76</v>
      </c>
      <c r="G30" s="23">
        <f>IFERROR(F30/F148, "NA")</f>
        <v>0.007576739439</v>
      </c>
      <c r="H30" s="21">
        <v>347.0</v>
      </c>
      <c r="I30" s="23">
        <f>IFERROR(H30/H148, "NA")</f>
        <v>0.01991590552</v>
      </c>
      <c r="J30" s="21">
        <v>634.82</v>
      </c>
      <c r="K30" s="23">
        <f>IFERROR(J30/J148, "NA")</f>
        <v>0.01317145213</v>
      </c>
      <c r="L30" s="21">
        <v>280.77</v>
      </c>
      <c r="M30" s="23">
        <f>IFERROR(L30/L148, "NA")</f>
        <v>0.007231166567</v>
      </c>
      <c r="N30" s="21">
        <v>207.5</v>
      </c>
      <c r="O30" s="23">
        <f>IFERROR(N30/N148, "NA")</f>
        <v>0.005511614632</v>
      </c>
      <c r="P30" s="21">
        <v>466.59</v>
      </c>
      <c r="Q30" s="23">
        <f>IFERROR(P30/P148, "NA")</f>
        <v>0.0448216701</v>
      </c>
      <c r="R30" s="21">
        <v>174.92</v>
      </c>
      <c r="S30" s="23">
        <f>IFERROR(R30/R148, "NA")</f>
        <v>0.009749621124</v>
      </c>
      <c r="T30" s="21">
        <v>416.42</v>
      </c>
      <c r="U30" s="23">
        <f>IFERROR(T30/T148, "NA")</f>
        <v>0.01263824311</v>
      </c>
      <c r="V30" s="21">
        <v>345.71</v>
      </c>
      <c r="W30" s="23">
        <f>IFERROR(V30/V148, "NA")</f>
        <v>0.008682947706</v>
      </c>
      <c r="X30" s="21">
        <v>450.47</v>
      </c>
      <c r="Y30" s="23">
        <f>IFERROR(X30/X148, "NA")</f>
        <v>0.01134702002</v>
      </c>
      <c r="Z30" s="21">
        <v>1387.52</v>
      </c>
      <c r="AA30" s="23">
        <f>IFERROR(Z30/Z148, "NA")</f>
        <v>0.01064011219</v>
      </c>
      <c r="AB30" s="28">
        <f t="shared" si="13"/>
        <v>346.88</v>
      </c>
      <c r="AC30" s="23">
        <f>IFERROR(AB30/AB148, "NA")</f>
        <v>0.01064011219</v>
      </c>
      <c r="AD30" s="29">
        <f t="shared" si="14"/>
        <v>103.59</v>
      </c>
      <c r="AE30" s="30">
        <f>IFERROR(AD30/AD148, "NA")</f>
        <v>0.01459373789</v>
      </c>
      <c r="AF30" s="29">
        <f t="shared" si="15"/>
        <v>0.2986335332</v>
      </c>
      <c r="AG30" s="28">
        <f t="shared" si="16"/>
        <v>372.15</v>
      </c>
      <c r="AH30" s="23">
        <f>IFERROR(AG30/AG148, "NA")</f>
        <v>0.01121411897</v>
      </c>
      <c r="AI30" s="29">
        <f t="shared" si="17"/>
        <v>78.32</v>
      </c>
      <c r="AJ30" s="30">
        <f>IFERROR(AI30/AI148, "NA")</f>
        <v>0.01202413501</v>
      </c>
      <c r="AK30" s="29">
        <f t="shared" si="18"/>
        <v>0.2104527744</v>
      </c>
      <c r="AL30" s="30">
        <f>IFERROR(AK30/AK148, "NA")</f>
        <v>1.072231804</v>
      </c>
    </row>
    <row r="31" ht="16.5" customHeight="1">
      <c r="A31" s="19" t="s">
        <v>89</v>
      </c>
      <c r="B31" s="21">
        <v>-206.06</v>
      </c>
      <c r="C31" s="23">
        <f>IFERROR(B31/B148, "NA")</f>
        <v>-0.003355020645</v>
      </c>
      <c r="D31" s="21">
        <v>57.61</v>
      </c>
      <c r="E31" s="23">
        <f>IFERROR(D31/D148, "NA")</f>
        <v>0.001006753163</v>
      </c>
      <c r="F31" s="21">
        <v>-40.64</v>
      </c>
      <c r="G31" s="23">
        <f>IFERROR(F31/F148, "NA")</f>
        <v>-0.0009845206893</v>
      </c>
      <c r="H31" s="21">
        <v>11.35</v>
      </c>
      <c r="I31" s="23">
        <f>IFERROR(H31/H148, "NA")</f>
        <v>0.0006514280336</v>
      </c>
      <c r="J31" s="21">
        <v>1.59</v>
      </c>
      <c r="K31" s="23">
        <f>IFERROR(J31/J148, "NA")</f>
        <v>0.00003298983789</v>
      </c>
      <c r="L31" s="21">
        <v>13.77</v>
      </c>
      <c r="M31" s="23">
        <f>IFERROR(L31/L148, "NA")</f>
        <v>0.0003546431728</v>
      </c>
      <c r="N31" s="21">
        <v>8.07</v>
      </c>
      <c r="O31" s="23">
        <f>IFERROR(N31/N148, "NA")</f>
        <v>0.0002143553257</v>
      </c>
      <c r="P31" s="21">
        <v>3.19</v>
      </c>
      <c r="Q31" s="23">
        <f>IFERROR(P31/P148, "NA")</f>
        <v>0.0003064384741</v>
      </c>
      <c r="R31" s="21">
        <v>0.0</v>
      </c>
      <c r="S31" s="23">
        <f>IFERROR(R31/R148, "NA")</f>
        <v>0</v>
      </c>
      <c r="T31" s="21">
        <v>16.22</v>
      </c>
      <c r="U31" s="23">
        <f>IFERROR(T31/T148, "NA")</f>
        <v>0.0004922729535</v>
      </c>
      <c r="V31" s="21">
        <v>4.87</v>
      </c>
      <c r="W31" s="23">
        <f>IFERROR(V31/V148, "NA")</f>
        <v>0.0001223162631</v>
      </c>
      <c r="X31" s="21">
        <v>13.77</v>
      </c>
      <c r="Y31" s="23">
        <f>IFERROR(X31/X148, "NA")</f>
        <v>0.0003468565402</v>
      </c>
      <c r="Z31" s="21">
        <v>34.86</v>
      </c>
      <c r="AA31" s="23">
        <f>IFERROR(Z31/Z148, "NA")</f>
        <v>0.0002673217763</v>
      </c>
      <c r="AB31" s="28">
        <f t="shared" si="13"/>
        <v>8.715</v>
      </c>
      <c r="AC31" s="23">
        <f>IFERROR(AB31/AB148, "NA")</f>
        <v>0.0002673217763</v>
      </c>
      <c r="AD31" s="29">
        <f t="shared" si="14"/>
        <v>5.055</v>
      </c>
      <c r="AE31" s="30">
        <f>IFERROR(AD31/AD148, "NA")</f>
        <v>0.0007121473603</v>
      </c>
      <c r="AF31" s="29">
        <f t="shared" si="15"/>
        <v>0.5800344234</v>
      </c>
      <c r="AG31" s="28">
        <f t="shared" si="16"/>
        <v>7.685</v>
      </c>
      <c r="AH31" s="23">
        <f>IFERROR(AG31/AG148, "NA")</f>
        <v>0.0002315746454</v>
      </c>
      <c r="AI31" s="29">
        <f t="shared" si="17"/>
        <v>6.085</v>
      </c>
      <c r="AJ31" s="30">
        <f>IFERROR(AI31/AI148, "NA")</f>
        <v>0.0009342040545</v>
      </c>
      <c r="AK31" s="29">
        <f t="shared" si="18"/>
        <v>0.7918022121</v>
      </c>
      <c r="AL31" s="30">
        <f>IFERROR(AK31/AK148, "NA")</f>
        <v>4.034137903</v>
      </c>
    </row>
    <row r="32" ht="16.5" customHeight="1">
      <c r="A32" s="19" t="s">
        <v>90</v>
      </c>
      <c r="B32" s="21">
        <v>0.0</v>
      </c>
      <c r="C32" s="23">
        <f>IFERROR(B32/B148, "NA")</f>
        <v>0</v>
      </c>
      <c r="D32" s="21">
        <v>4.79</v>
      </c>
      <c r="E32" s="23">
        <f>IFERROR(D32/D148, "NA")</f>
        <v>0.00008370678091</v>
      </c>
      <c r="F32" s="21">
        <v>184.96</v>
      </c>
      <c r="G32" s="23">
        <f>IFERROR(F32/F148, "NA")</f>
        <v>0.004480731956</v>
      </c>
      <c r="H32" s="21">
        <v>1.6</v>
      </c>
      <c r="I32" s="23">
        <f>IFERROR(H32/H148, "NA")</f>
        <v>0.00009183126464</v>
      </c>
      <c r="J32" s="21">
        <v>-182.56</v>
      </c>
      <c r="K32" s="23">
        <f>IFERROR(J32/J148, "NA")</f>
        <v>-0.003787814342</v>
      </c>
      <c r="L32" s="21">
        <v>-16.0</v>
      </c>
      <c r="M32" s="23">
        <f>IFERROR(L32/L148, "NA")</f>
        <v>-0.0004120763083</v>
      </c>
      <c r="N32" s="21">
        <v>201.76</v>
      </c>
      <c r="O32" s="23">
        <f>IFERROR(N32/N148, "NA")</f>
        <v>0.005359148762</v>
      </c>
      <c r="P32" s="21">
        <v>3.2</v>
      </c>
      <c r="Q32" s="23">
        <f>IFERROR(P32/P148, "NA")</f>
        <v>0.0003073990962</v>
      </c>
      <c r="R32" s="21">
        <v>0.0</v>
      </c>
      <c r="S32" s="23">
        <f>IFERROR(R32/R148, "NA")</f>
        <v>0</v>
      </c>
      <c r="T32" s="21">
        <v>17.59</v>
      </c>
      <c r="U32" s="23">
        <f>IFERROR(T32/T148, "NA")</f>
        <v>0.0005338521117</v>
      </c>
      <c r="V32" s="21">
        <v>-16.79</v>
      </c>
      <c r="W32" s="23">
        <f>IFERROR(V32/V148, "NA")</f>
        <v>-0.0004217022707</v>
      </c>
      <c r="X32" s="21">
        <v>0.8</v>
      </c>
      <c r="Y32" s="23">
        <f>IFERROR(X32/X148, "NA")</f>
        <v>0.00002015143298</v>
      </c>
      <c r="Z32" s="21">
        <v>1.6</v>
      </c>
      <c r="AA32" s="23">
        <f>IFERROR(Z32/Z148, "NA")</f>
        <v>0.00001226950207</v>
      </c>
      <c r="AB32" s="28">
        <f t="shared" si="13"/>
        <v>0.4</v>
      </c>
      <c r="AC32" s="23">
        <f>IFERROR(AB32/AB148, "NA")</f>
        <v>0.00001226950207</v>
      </c>
      <c r="AD32" s="29">
        <f t="shared" si="14"/>
        <v>0.4</v>
      </c>
      <c r="AE32" s="30">
        <f>IFERROR(AD32/AD148, "NA")</f>
        <v>0.00005635191773</v>
      </c>
      <c r="AF32" s="29">
        <f t="shared" si="15"/>
        <v>1</v>
      </c>
      <c r="AG32" s="28">
        <f t="shared" si="16"/>
        <v>1</v>
      </c>
      <c r="AH32" s="23">
        <f>IFERROR(AG32/AG148, "NA")</f>
        <v>0.00003013333057</v>
      </c>
      <c r="AI32" s="29">
        <f t="shared" si="17"/>
        <v>-0.2</v>
      </c>
      <c r="AJ32" s="30">
        <f>IFERROR(AI32/AI148, "NA")</f>
        <v>-0.00003070514559</v>
      </c>
      <c r="AK32" s="29">
        <f t="shared" si="18"/>
        <v>-0.2</v>
      </c>
      <c r="AL32" s="30">
        <f>IFERROR(AK32/AK148, "NA")</f>
        <v>-1.018976164</v>
      </c>
    </row>
    <row r="33" ht="16.5" customHeight="1">
      <c r="A33" s="19" t="s">
        <v>91</v>
      </c>
      <c r="B33" s="21">
        <v>6.18</v>
      </c>
      <c r="C33" s="23">
        <f>IFERROR(B33/B148, "NA")</f>
        <v>0.0001006213122</v>
      </c>
      <c r="D33" s="21">
        <v>6.67</v>
      </c>
      <c r="E33" s="23">
        <f>IFERROR(D33/D148, "NA")</f>
        <v>0.0001165603818</v>
      </c>
      <c r="F33" s="21">
        <v>-6.18</v>
      </c>
      <c r="G33" s="23">
        <f>IFERROR(F33/F148, "NA")</f>
        <v>-0.0001497130379</v>
      </c>
      <c r="H33" s="21">
        <v>0.0</v>
      </c>
      <c r="I33" s="23">
        <f>IFERROR(H33/H148, "NA")</f>
        <v>0</v>
      </c>
      <c r="J33" s="21">
        <v>13.36</v>
      </c>
      <c r="K33" s="23">
        <f>IFERROR(J33/J148, "NA")</f>
        <v>0.0002771976315</v>
      </c>
      <c r="L33" s="21">
        <v>0.0</v>
      </c>
      <c r="M33" s="23">
        <f>IFERROR(L33/L148, "NA")</f>
        <v>0</v>
      </c>
      <c r="N33" s="21">
        <v>6.69</v>
      </c>
      <c r="O33" s="23">
        <f>IFERROR(N33/N148, "NA")</f>
        <v>0.0001776997681</v>
      </c>
      <c r="P33" s="21">
        <v>0.0</v>
      </c>
      <c r="Q33" s="23">
        <f>IFERROR(P33/P148, "NA")</f>
        <v>0</v>
      </c>
      <c r="R33" s="21">
        <v>3.09</v>
      </c>
      <c r="S33" s="23">
        <f>IFERROR(R33/R148, "NA")</f>
        <v>0.0001722291863</v>
      </c>
      <c r="T33" s="21">
        <v>6.43</v>
      </c>
      <c r="U33" s="23">
        <f>IFERROR(T33/T148, "NA")</f>
        <v>0.0001951488959</v>
      </c>
      <c r="V33" s="21">
        <v>-0.66</v>
      </c>
      <c r="W33" s="23">
        <f>IFERROR(V33/V148, "NA")</f>
        <v>-0.00001657674203</v>
      </c>
      <c r="X33" s="21">
        <v>-11.7</v>
      </c>
      <c r="Y33" s="23">
        <f>IFERROR(X33/X148, "NA")</f>
        <v>-0.0002947147073</v>
      </c>
      <c r="Z33" s="21">
        <v>-2.84</v>
      </c>
      <c r="AA33" s="23">
        <f>IFERROR(Z33/Z148, "NA")</f>
        <v>-0.00002177836617</v>
      </c>
      <c r="AB33" s="28">
        <f t="shared" si="13"/>
        <v>-0.71</v>
      </c>
      <c r="AC33" s="23">
        <f>IFERROR(AB33/AB148, "NA")</f>
        <v>-0.00002177836617</v>
      </c>
      <c r="AD33" s="29">
        <f t="shared" si="14"/>
        <v>-10.99</v>
      </c>
      <c r="AE33" s="30">
        <f>IFERROR(AD33/AD148, "NA")</f>
        <v>-0.00154826894</v>
      </c>
      <c r="AF33" s="29">
        <f t="shared" si="15"/>
        <v>15.47887324</v>
      </c>
      <c r="AG33" s="28">
        <f t="shared" si="16"/>
        <v>2.15125</v>
      </c>
      <c r="AH33" s="23">
        <f>IFERROR(AG33/AG148, "NA")</f>
        <v>0.00006482432739</v>
      </c>
      <c r="AI33" s="29">
        <f t="shared" si="17"/>
        <v>-13.85125</v>
      </c>
      <c r="AJ33" s="30">
        <f>IFERROR(AI33/AI148, "NA")</f>
        <v>-0.002126523239</v>
      </c>
      <c r="AK33" s="29">
        <f t="shared" si="18"/>
        <v>-6.438698431</v>
      </c>
      <c r="AL33" s="30">
        <f>IFERROR(AK33/AK148, "NA")</f>
        <v>-32.80440114</v>
      </c>
    </row>
    <row r="34" ht="16.5" customHeight="1">
      <c r="A34" s="65" t="s">
        <v>94</v>
      </c>
      <c r="B34" s="66">
        <f>IFERROR(B29+B30+B31+B32+B33, "NA")</f>
        <v>274.98</v>
      </c>
      <c r="C34" s="67">
        <f>IFERROR(B34/B148, "NA")</f>
        <v>0.004477159939</v>
      </c>
      <c r="D34" s="66">
        <f>IFERROR(D29+D30+D31+D32+D33, "NA")</f>
        <v>378.18</v>
      </c>
      <c r="E34" s="67">
        <f>IFERROR(D34/D148, "NA")</f>
        <v>0.006608816369</v>
      </c>
      <c r="F34" s="66">
        <f>IFERROR(F29+F30+F31+F32+F33, "NA")</f>
        <v>450.9</v>
      </c>
      <c r="G34" s="67">
        <f>IFERROR(F34/F148, "NA")</f>
        <v>0.01092323767</v>
      </c>
      <c r="H34" s="66">
        <f>IFERROR(H29+H30+H31+H32+H33, "NA")</f>
        <v>359.95</v>
      </c>
      <c r="I34" s="67">
        <f>IFERROR(H34/H148, "NA")</f>
        <v>0.02065916482</v>
      </c>
      <c r="J34" s="66">
        <f>IFERROR(J29+J30+J31+J32+J33, "NA")</f>
        <v>467.21</v>
      </c>
      <c r="K34" s="67">
        <f>IFERROR(J34/J148, "NA")</f>
        <v>0.009693825257</v>
      </c>
      <c r="L34" s="66">
        <f>IFERROR(L29+L30+L31+L32+L33, "NA")</f>
        <v>278.54</v>
      </c>
      <c r="M34" s="67">
        <f>IFERROR(L34/L148, "NA")</f>
        <v>0.007173733432</v>
      </c>
      <c r="N34" s="66">
        <f>IFERROR(N29+N30+N31+N32+N33, "NA")</f>
        <v>424.02</v>
      </c>
      <c r="O34" s="67">
        <f>IFERROR(N34/N148, "NA")</f>
        <v>0.01126281849</v>
      </c>
      <c r="P34" s="66">
        <f>IFERROR(P29+P30+P31+P32+P33, "NA")</f>
        <v>472.98</v>
      </c>
      <c r="Q34" s="67">
        <f>IFERROR(P34/P148, "NA")</f>
        <v>0.04543550767</v>
      </c>
      <c r="R34" s="66">
        <f>IFERROR(R29+R30+R31+R32+R33, "NA")</f>
        <v>178.01</v>
      </c>
      <c r="S34" s="67">
        <f>IFERROR(R34/R148, "NA")</f>
        <v>0.00992185031</v>
      </c>
      <c r="T34" s="66">
        <f>IFERROR(T29+T30+T31+T32+T33, "NA")</f>
        <v>456.66</v>
      </c>
      <c r="U34" s="67">
        <f>IFERROR(T34/T148, "NA")</f>
        <v>0.01385951707</v>
      </c>
      <c r="V34" s="66">
        <f>IFERROR(V29+V30+V31+V32+V33, "NA")</f>
        <v>333.13</v>
      </c>
      <c r="W34" s="67">
        <f>IFERROR(V34/V148, "NA")</f>
        <v>0.008366984957</v>
      </c>
      <c r="X34" s="66">
        <f>IFERROR(X29+X30+X31+X32+X33, "NA")</f>
        <v>453.34</v>
      </c>
      <c r="Y34" s="67">
        <f>IFERROR(X34/X148, "NA")</f>
        <v>0.01141931328</v>
      </c>
      <c r="Z34" s="66">
        <f>IFERROR(Z29+Z30+Z31+Z32+Z33, "NA")</f>
        <v>1421.14</v>
      </c>
      <c r="AA34" s="67">
        <f>IFERROR(Z34/Z148, "NA")</f>
        <v>0.0108979251</v>
      </c>
      <c r="AB34" s="66">
        <f t="shared" si="13"/>
        <v>355.285</v>
      </c>
      <c r="AC34" s="67">
        <f>IFERROR(AB34/AB148, "NA")</f>
        <v>0.0108979251</v>
      </c>
      <c r="AD34" s="75">
        <f t="shared" si="14"/>
        <v>98.055</v>
      </c>
      <c r="AE34" s="76">
        <f>IFERROR(AD34/AD148, "NA")</f>
        <v>0.01381396823</v>
      </c>
      <c r="AF34" s="75">
        <f t="shared" si="15"/>
        <v>0.2759896984</v>
      </c>
      <c r="AG34" s="66">
        <f t="shared" si="16"/>
        <v>382.98625</v>
      </c>
      <c r="AH34" s="67">
        <f>IFERROR(AG34/AG148, "NA")</f>
        <v>0.01154065128</v>
      </c>
      <c r="AI34" s="75">
        <f t="shared" si="17"/>
        <v>70.35375</v>
      </c>
      <c r="AJ34" s="76">
        <f>IFERROR(AI34/AI148, "NA")</f>
        <v>0.01080111068</v>
      </c>
      <c r="AK34" s="75">
        <f t="shared" si="18"/>
        <v>0.1836978482</v>
      </c>
      <c r="AL34" s="76">
        <f>IFERROR(AK34/AK148, "NA")</f>
        <v>0.9359186431</v>
      </c>
    </row>
    <row r="35" ht="16.5" customHeight="1">
      <c r="A35" s="65" t="s">
        <v>95</v>
      </c>
      <c r="B35" s="66">
        <f>IFERROR(B13+B15+B16+B17+B18+B19+B20+B21+B22+B23+B24+B25+B26+B29+B30+B31+B32+B33, "NA")</f>
        <v>13137.59</v>
      </c>
      <c r="C35" s="67">
        <f>IFERROR(B35/B148, "NA")</f>
        <v>0.2139031626</v>
      </c>
      <c r="D35" s="66">
        <f>IFERROR(D13+D15+D16+D17+D18+D19+D20+D21+D22+D23+D24+D25+D26+D29+D30+D31+D32+D33, "NA")</f>
        <v>12846.38</v>
      </c>
      <c r="E35" s="67">
        <f>IFERROR(D35/D148, "NA")</f>
        <v>0.2244945963</v>
      </c>
      <c r="F35" s="66">
        <f>IFERROR(F13+F15+F16+F17+F18+F19+F20+F21+F22+F23+F24+F25+F26+F29+F30+F31+F32+F33, "NA")</f>
        <v>8170.97</v>
      </c>
      <c r="G35" s="67">
        <f>IFERROR(F35/F148, "NA")</f>
        <v>0.1979451038</v>
      </c>
      <c r="H35" s="66">
        <f>IFERROR(H13+H15+H16+H17+H18+H19+H20+H21+H22+H23+H24+H25+H26+H29+H30+H31+H32+H33, "NA")</f>
        <v>5571.6</v>
      </c>
      <c r="I35" s="67">
        <f>IFERROR(H35/H148, "NA")</f>
        <v>0.3197794213</v>
      </c>
      <c r="J35" s="66">
        <f>IFERROR(J13+J15+J16+J17+J18+J19+J20+J21+J22+J23+J24+J25+J26+J29+J30+J31+J32+J33, "NA")</f>
        <v>9449.27</v>
      </c>
      <c r="K35" s="67">
        <f>IFERROR(J35/J148, "NA")</f>
        <v>0.1960565317</v>
      </c>
      <c r="L35" s="66">
        <f>IFERROR(L13+L15+L16+L17+L18+L19+L20+L21+L22+L23+L24+L25+L26+L29+L30+L31+L32+L33, "NA")</f>
        <v>10901.57</v>
      </c>
      <c r="M35" s="67">
        <f>IFERROR(L35/L148, "NA")</f>
        <v>0.28076742</v>
      </c>
      <c r="N35" s="66">
        <f>IFERROR(N13+N15+N16+N17+N18+N19+N20+N21+N22+N23+N24+N25+N26+N29+N30+N31+N32+N33, "NA")</f>
        <v>8926.42</v>
      </c>
      <c r="O35" s="67">
        <f>IFERROR(N35/N148, "NA")</f>
        <v>0.2371035522</v>
      </c>
      <c r="P35" s="66">
        <f>IFERROR(P13+P15+P16+P17+P18+P19+P20+P21+P22+P23+P24+P25+P26+P29+P30+P31+P32+P33, "NA")</f>
        <v>2881.56</v>
      </c>
      <c r="Q35" s="67">
        <f>IFERROR(P35/P148, "NA")</f>
        <v>0.2768090437</v>
      </c>
      <c r="R35" s="66">
        <f>IFERROR(R13+R15+R16+R17+R18+R19+R20+R21+R22+R23+R24+R25+R26+R29+R30+R31+R32+R33, "NA")</f>
        <v>5213.98</v>
      </c>
      <c r="S35" s="67">
        <f>IFERROR(R35/R148, "NA")</f>
        <v>0.2906147356</v>
      </c>
      <c r="T35" s="66">
        <f>IFERROR(T13+T15+T16+T17+T18+T19+T20+T21+T22+T23+T24+T25+T26+T29+T30+T31+T32+T33, "NA")</f>
        <v>7726.64</v>
      </c>
      <c r="U35" s="67">
        <f>IFERROR(T35/T148, "NA")</f>
        <v>0.2345015964</v>
      </c>
      <c r="V35" s="66">
        <f>IFERROR(V13+V15+V16+V17+V18+V19+V20+V21+V22+V23+V24+V25+V26+V29+V30+V31+V32+V33, "NA")</f>
        <v>10161.27</v>
      </c>
      <c r="W35" s="67">
        <f>IFERROR(V35/V148, "NA")</f>
        <v>0.2552132598</v>
      </c>
      <c r="X35" s="66">
        <f>IFERROR(X13+X15+X16+X17+X18+X19+X20+X21+X22+X23+X24+X25+X26+X29+X30+X31+X32+X33, "NA")</f>
        <v>8242.05</v>
      </c>
      <c r="Y35" s="67">
        <f>IFERROR(X35/X148, "NA")</f>
        <v>0.2076113978</v>
      </c>
      <c r="Z35" s="66">
        <f>IFERROR(Z13+Z15+Z16+Z17+Z18+Z19+Z20+Z21+Z22+Z23+Z24+Z25+Z26+Z29+Z30+Z31+Z32+Z33, "NA")</f>
        <v>31343.94</v>
      </c>
      <c r="AA35" s="67">
        <f>IFERROR(Z35/Z148, "NA")</f>
        <v>0.2403590854</v>
      </c>
      <c r="AB35" s="66">
        <f t="shared" si="13"/>
        <v>7835.985</v>
      </c>
      <c r="AC35" s="67">
        <f>IFERROR(AB35/AB148, "NA")</f>
        <v>0.2403590854</v>
      </c>
      <c r="AD35" s="75">
        <f t="shared" si="14"/>
        <v>406.065</v>
      </c>
      <c r="AE35" s="76">
        <f>IFERROR(AD35/AD148, "NA")</f>
        <v>0.05720635368</v>
      </c>
      <c r="AF35" s="75">
        <f t="shared" si="15"/>
        <v>0.0518205433</v>
      </c>
      <c r="AG35" s="66">
        <f t="shared" si="16"/>
        <v>7937.845</v>
      </c>
      <c r="AH35" s="67">
        <f>IFERROR(AG35/AG148, "NA")</f>
        <v>0.2391937074</v>
      </c>
      <c r="AI35" s="75">
        <f t="shared" si="17"/>
        <v>304.205</v>
      </c>
      <c r="AJ35" s="76">
        <f>IFERROR(AI35/AI148, "NA")</f>
        <v>0.04670329407</v>
      </c>
      <c r="AK35" s="75">
        <f t="shared" si="18"/>
        <v>0.03832337366</v>
      </c>
      <c r="AL35" s="76">
        <f>IFERROR(AK35/AK148, "NA")</f>
        <v>0.1952530214</v>
      </c>
    </row>
    <row r="36" ht="16.5" customHeight="1">
      <c r="A36" s="13" t="s">
        <v>96</v>
      </c>
      <c r="B36" s="14"/>
      <c r="C36" s="12"/>
      <c r="D36" s="14"/>
      <c r="E36" s="12"/>
      <c r="F36" s="14"/>
      <c r="G36" s="12"/>
      <c r="H36" s="14"/>
      <c r="I36" s="12"/>
      <c r="J36" s="14"/>
      <c r="K36" s="12"/>
      <c r="L36" s="14"/>
      <c r="M36" s="12"/>
      <c r="N36" s="14"/>
      <c r="O36" s="12"/>
      <c r="P36" s="14"/>
      <c r="Q36" s="12"/>
      <c r="R36" s="14"/>
      <c r="S36" s="12"/>
      <c r="T36" s="14"/>
      <c r="U36" s="12"/>
      <c r="V36" s="14"/>
      <c r="W36" s="12"/>
      <c r="X36" s="14"/>
      <c r="Y36" s="12"/>
      <c r="Z36" s="14"/>
      <c r="AA36" s="12"/>
      <c r="AB36" s="14"/>
      <c r="AC36" s="12"/>
      <c r="AD36" s="17"/>
      <c r="AE36" s="18"/>
      <c r="AF36" s="17"/>
      <c r="AG36" s="14"/>
      <c r="AH36" s="12"/>
      <c r="AI36" s="17"/>
      <c r="AJ36" s="18"/>
      <c r="AK36" s="17"/>
      <c r="AL36" s="18"/>
    </row>
    <row r="37" ht="16.5" hidden="1" customHeight="1">
      <c r="A37" s="19" t="s">
        <v>97</v>
      </c>
      <c r="B37" s="21">
        <v>0.0</v>
      </c>
      <c r="C37" s="23">
        <f>IFERROR(B37/B148, "NA")</f>
        <v>0</v>
      </c>
      <c r="D37" s="21">
        <v>0.0</v>
      </c>
      <c r="E37" s="23">
        <f>IFERROR(D37/D148, "NA")</f>
        <v>0</v>
      </c>
      <c r="F37" s="21">
        <v>0.0</v>
      </c>
      <c r="G37" s="23">
        <f>IFERROR(F37/F148, "NA")</f>
        <v>0</v>
      </c>
      <c r="H37" s="21">
        <v>0.0</v>
      </c>
      <c r="I37" s="23">
        <f>IFERROR(H37/H148, "NA")</f>
        <v>0</v>
      </c>
      <c r="J37" s="21">
        <v>0.0</v>
      </c>
      <c r="K37" s="23">
        <f>IFERROR(J37/J148, "NA")</f>
        <v>0</v>
      </c>
      <c r="L37" s="21">
        <v>0.0</v>
      </c>
      <c r="M37" s="23">
        <f>IFERROR(L37/L148, "NA")</f>
        <v>0</v>
      </c>
      <c r="N37" s="21">
        <v>0.0</v>
      </c>
      <c r="O37" s="23">
        <f>IFERROR(N37/N148, "NA")</f>
        <v>0</v>
      </c>
      <c r="P37" s="21">
        <v>0.0</v>
      </c>
      <c r="Q37" s="23">
        <f>IFERROR(P37/P148, "NA")</f>
        <v>0</v>
      </c>
      <c r="R37" s="21">
        <v>0.0</v>
      </c>
      <c r="S37" s="23">
        <f>IFERROR(R37/R148, "NA")</f>
        <v>0</v>
      </c>
      <c r="T37" s="21">
        <v>0.0</v>
      </c>
      <c r="U37" s="23">
        <f>IFERROR(T37/T148, "NA")</f>
        <v>0</v>
      </c>
      <c r="V37" s="21">
        <v>0.0</v>
      </c>
      <c r="W37" s="23">
        <f>IFERROR(V37/V148, "NA")</f>
        <v>0</v>
      </c>
      <c r="X37" s="21">
        <v>0.0</v>
      </c>
      <c r="Y37" s="23">
        <f>IFERROR(X37/X148, "NA")</f>
        <v>0</v>
      </c>
      <c r="Z37" s="21">
        <v>0.0</v>
      </c>
      <c r="AA37" s="23">
        <f>IFERROR(Z37/Z148, "NA")</f>
        <v>0</v>
      </c>
      <c r="AB37" s="28">
        <f>IFERROR((R37+T37+V37+X37)/4, "NA")</f>
        <v>0</v>
      </c>
      <c r="AC37" s="23">
        <f>IFERROR(AB37/AB148, "NA")</f>
        <v>0</v>
      </c>
      <c r="AD37" s="29">
        <f>IFERROR(X37-AB37, "NA")</f>
        <v>0</v>
      </c>
      <c r="AE37" s="30">
        <f>IFERROR(AD37/AD148, "NA")</f>
        <v>0</v>
      </c>
      <c r="AF37" s="29" t="str">
        <f>IFERROR((X37-AB37)/AB37, "NA")</f>
        <v>NA</v>
      </c>
      <c r="AG37" s="28">
        <f>IFERROR((J37+L37+N37+P37+R37+T37+V37+X37)/8, "NA")</f>
        <v>0</v>
      </c>
      <c r="AH37" s="23">
        <f>IFERROR(AG37/AG148, "NA")</f>
        <v>0</v>
      </c>
      <c r="AI37" s="29">
        <f>IFERROR(X37-AG37, "NA")</f>
        <v>0</v>
      </c>
      <c r="AJ37" s="30">
        <f>IFERROR(AI37/AI148, "NA")</f>
        <v>0</v>
      </c>
      <c r="AK37" s="29" t="str">
        <f>IFERROR((X37-AG37)/AG37, "NA")</f>
        <v>NA</v>
      </c>
      <c r="AL37" s="30" t="str">
        <f>IFERROR(AK37/AK148, "NA")</f>
        <v>NA</v>
      </c>
    </row>
    <row r="38" ht="16.5" customHeight="1">
      <c r="A38" s="13" t="s">
        <v>98</v>
      </c>
      <c r="B38" s="14"/>
      <c r="C38" s="12"/>
      <c r="D38" s="14"/>
      <c r="E38" s="12"/>
      <c r="F38" s="14"/>
      <c r="G38" s="12"/>
      <c r="H38" s="14"/>
      <c r="I38" s="12"/>
      <c r="J38" s="14"/>
      <c r="K38" s="12"/>
      <c r="L38" s="14"/>
      <c r="M38" s="12"/>
      <c r="N38" s="14"/>
      <c r="O38" s="12"/>
      <c r="P38" s="14"/>
      <c r="Q38" s="12"/>
      <c r="R38" s="14"/>
      <c r="S38" s="12"/>
      <c r="T38" s="14"/>
      <c r="U38" s="12"/>
      <c r="V38" s="14"/>
      <c r="W38" s="12"/>
      <c r="X38" s="14"/>
      <c r="Y38" s="12"/>
      <c r="Z38" s="14"/>
      <c r="AA38" s="12"/>
      <c r="AB38" s="14"/>
      <c r="AC38" s="12"/>
      <c r="AD38" s="17"/>
      <c r="AE38" s="18"/>
      <c r="AF38" s="17"/>
      <c r="AG38" s="14"/>
      <c r="AH38" s="12"/>
      <c r="AI38" s="17"/>
      <c r="AJ38" s="18"/>
      <c r="AK38" s="17"/>
      <c r="AL38" s="18"/>
    </row>
    <row r="39" ht="16.5" hidden="1" customHeight="1">
      <c r="A39" s="19" t="s">
        <v>99</v>
      </c>
      <c r="B39" s="21">
        <v>0.0</v>
      </c>
      <c r="C39" s="23">
        <f>IFERROR(B39/B148, "NA")</f>
        <v>0</v>
      </c>
      <c r="D39" s="21">
        <v>0.0</v>
      </c>
      <c r="E39" s="23">
        <f>IFERROR(D39/D148, "NA")</f>
        <v>0</v>
      </c>
      <c r="F39" s="21">
        <v>0.0</v>
      </c>
      <c r="G39" s="23">
        <f>IFERROR(F39/F148, "NA")</f>
        <v>0</v>
      </c>
      <c r="H39" s="21">
        <v>0.0</v>
      </c>
      <c r="I39" s="23">
        <f>IFERROR(H39/H148, "NA")</f>
        <v>0</v>
      </c>
      <c r="J39" s="21">
        <v>0.0</v>
      </c>
      <c r="K39" s="23">
        <f>IFERROR(J39/J148, "NA")</f>
        <v>0</v>
      </c>
      <c r="L39" s="21">
        <v>0.0</v>
      </c>
      <c r="M39" s="23">
        <f>IFERROR(L39/L148, "NA")</f>
        <v>0</v>
      </c>
      <c r="N39" s="21">
        <v>0.0</v>
      </c>
      <c r="O39" s="23">
        <f>IFERROR(N39/N148, "NA")</f>
        <v>0</v>
      </c>
      <c r="P39" s="21">
        <v>0.0</v>
      </c>
      <c r="Q39" s="23">
        <f>IFERROR(P39/P148, "NA")</f>
        <v>0</v>
      </c>
      <c r="R39" s="21">
        <v>0.0</v>
      </c>
      <c r="S39" s="23">
        <f>IFERROR(R39/R148, "NA")</f>
        <v>0</v>
      </c>
      <c r="T39" s="21">
        <v>0.0</v>
      </c>
      <c r="U39" s="23">
        <f>IFERROR(T39/T148, "NA")</f>
        <v>0</v>
      </c>
      <c r="V39" s="21">
        <v>0.0</v>
      </c>
      <c r="W39" s="23">
        <f>IFERROR(V39/V148, "NA")</f>
        <v>0</v>
      </c>
      <c r="X39" s="21">
        <v>0.0</v>
      </c>
      <c r="Y39" s="23">
        <f>IFERROR(X39/X148, "NA")</f>
        <v>0</v>
      </c>
      <c r="Z39" s="21">
        <v>0.0</v>
      </c>
      <c r="AA39" s="23">
        <f>IFERROR(Z39/Z148, "NA")</f>
        <v>0</v>
      </c>
      <c r="AB39" s="28">
        <f t="shared" ref="AB39:AB44" si="19">IFERROR((R39+T39+V39+X39)/4, "NA")</f>
        <v>0</v>
      </c>
      <c r="AC39" s="23">
        <f>IFERROR(AB39/AB148, "NA")</f>
        <v>0</v>
      </c>
      <c r="AD39" s="29">
        <f t="shared" ref="AD39:AD44" si="20">IFERROR(X39-AB39, "NA")</f>
        <v>0</v>
      </c>
      <c r="AE39" s="30">
        <f>IFERROR(AD39/AD148, "NA")</f>
        <v>0</v>
      </c>
      <c r="AF39" s="29" t="str">
        <f t="shared" ref="AF39:AF44" si="21">IFERROR((X39-AB39)/AB39, "NA")</f>
        <v>NA</v>
      </c>
      <c r="AG39" s="28">
        <f t="shared" ref="AG39:AG44" si="22">IFERROR((J39+L39+N39+P39+R39+T39+V39+X39)/8, "NA")</f>
        <v>0</v>
      </c>
      <c r="AH39" s="23">
        <f>IFERROR(AG39/AG148, "NA")</f>
        <v>0</v>
      </c>
      <c r="AI39" s="29">
        <f t="shared" ref="AI39:AI44" si="23">IFERROR(X39-AG39, "NA")</f>
        <v>0</v>
      </c>
      <c r="AJ39" s="30">
        <f>IFERROR(AI39/AI148, "NA")</f>
        <v>0</v>
      </c>
      <c r="AK39" s="29" t="str">
        <f t="shared" ref="AK39:AK44" si="24">IFERROR((X39-AG39)/AG39, "NA")</f>
        <v>NA</v>
      </c>
      <c r="AL39" s="30" t="str">
        <f>IFERROR(AK39/AK148, "NA")</f>
        <v>NA</v>
      </c>
    </row>
    <row r="40" ht="16.5" customHeight="1">
      <c r="A40" s="19" t="s">
        <v>100</v>
      </c>
      <c r="B40" s="21">
        <v>1028.54</v>
      </c>
      <c r="C40" s="23">
        <f>IFERROR(B40/B148, "NA")</f>
        <v>0.01674644732</v>
      </c>
      <c r="D40" s="21">
        <v>1140.23</v>
      </c>
      <c r="E40" s="23">
        <f>IFERROR(D40/D148, "NA")</f>
        <v>0.01992588367</v>
      </c>
      <c r="F40" s="21">
        <v>1008.07</v>
      </c>
      <c r="G40" s="23">
        <f>IFERROR(F40/F148, "NA")</f>
        <v>0.02442090973</v>
      </c>
      <c r="H40" s="21">
        <v>824.34</v>
      </c>
      <c r="I40" s="23">
        <f>IFERROR(H40/H148, "NA")</f>
        <v>0.04731261543</v>
      </c>
      <c r="J40" s="21">
        <v>1396.5</v>
      </c>
      <c r="K40" s="23">
        <f>IFERROR(J40/J148, "NA")</f>
        <v>0.02897503686</v>
      </c>
      <c r="L40" s="21">
        <v>888.35</v>
      </c>
      <c r="M40" s="23">
        <f>IFERROR(L40/L148, "NA")</f>
        <v>0.02287924928</v>
      </c>
      <c r="N40" s="21">
        <v>1096.22</v>
      </c>
      <c r="O40" s="23">
        <f>IFERROR(N40/N148, "NA")</f>
        <v>0.0291177937</v>
      </c>
      <c r="P40" s="21">
        <v>379.83</v>
      </c>
      <c r="Q40" s="23">
        <f>IFERROR(P40/P148, "NA")</f>
        <v>0.0364873121</v>
      </c>
      <c r="R40" s="21">
        <v>510.36</v>
      </c>
      <c r="S40" s="23">
        <f>IFERROR(R40/R148, "NA")</f>
        <v>0.02844624192</v>
      </c>
      <c r="T40" s="21">
        <v>1017.04</v>
      </c>
      <c r="U40" s="23">
        <f>IFERROR(T40/T148, "NA")</f>
        <v>0.03086691027</v>
      </c>
      <c r="V40" s="21">
        <v>1082.85</v>
      </c>
      <c r="W40" s="23">
        <f>IFERROR(V40/V148, "NA")</f>
        <v>0.02719715925</v>
      </c>
      <c r="X40" s="21">
        <v>1217.14</v>
      </c>
      <c r="Y40" s="23">
        <f>IFERROR(X40/X148, "NA")</f>
        <v>0.03065889392</v>
      </c>
      <c r="Z40" s="21">
        <v>3827.39</v>
      </c>
      <c r="AA40" s="23">
        <f>IFERROR(Z40/Z148, "NA")</f>
        <v>0.02935010595</v>
      </c>
      <c r="AB40" s="28">
        <f t="shared" si="19"/>
        <v>956.8475</v>
      </c>
      <c r="AC40" s="23">
        <f>IFERROR(AB40/AB148, "NA")</f>
        <v>0.02935010595</v>
      </c>
      <c r="AD40" s="29">
        <f t="shared" si="20"/>
        <v>260.2925</v>
      </c>
      <c r="AE40" s="30">
        <f>IFERROR(AD40/AD148, "NA")</f>
        <v>0.03666995386</v>
      </c>
      <c r="AF40" s="29">
        <f t="shared" si="21"/>
        <v>0.2720313321</v>
      </c>
      <c r="AG40" s="28">
        <f t="shared" si="22"/>
        <v>948.53625</v>
      </c>
      <c r="AH40" s="23">
        <f>IFERROR(AG40/AG148, "NA")</f>
        <v>0.02858255638</v>
      </c>
      <c r="AI40" s="29">
        <f t="shared" si="23"/>
        <v>268.60375</v>
      </c>
      <c r="AJ40" s="30">
        <f>IFERROR(AI40/AI148, "NA")</f>
        <v>0.04123758625</v>
      </c>
      <c r="AK40" s="29">
        <f t="shared" si="24"/>
        <v>0.2831771058</v>
      </c>
      <c r="AL40" s="30">
        <f>IFERROR(AK40/AK148, "NA")</f>
        <v>1.442753605</v>
      </c>
    </row>
    <row r="41" ht="16.5" customHeight="1">
      <c r="A41" s="19" t="s">
        <v>101</v>
      </c>
      <c r="B41" s="21">
        <v>1288.59</v>
      </c>
      <c r="C41" s="23">
        <f>IFERROR(B41/B148, "NA")</f>
        <v>0.0209805205</v>
      </c>
      <c r="D41" s="21">
        <v>1001.07</v>
      </c>
      <c r="E41" s="23">
        <f>IFERROR(D41/D148, "NA")</f>
        <v>0.0174940182</v>
      </c>
      <c r="F41" s="21">
        <v>550.69</v>
      </c>
      <c r="G41" s="23">
        <f>IFERROR(F41/F148, "NA")</f>
        <v>0.0133406914</v>
      </c>
      <c r="H41" s="21">
        <v>107.38</v>
      </c>
      <c r="I41" s="23">
        <f>IFERROR(H41/H148, "NA")</f>
        <v>0.006163025748</v>
      </c>
      <c r="J41" s="21">
        <v>935.15</v>
      </c>
      <c r="K41" s="23">
        <f>IFERROR(J41/J148, "NA")</f>
        <v>0.01940279679</v>
      </c>
      <c r="L41" s="21">
        <v>603.46</v>
      </c>
      <c r="M41" s="23">
        <f>IFERROR(L41/L148, "NA")</f>
        <v>0.01554197306</v>
      </c>
      <c r="N41" s="21">
        <v>897.86</v>
      </c>
      <c r="O41" s="23">
        <f>IFERROR(N41/N148, "NA")</f>
        <v>0.02384895573</v>
      </c>
      <c r="P41" s="21">
        <v>-26.44</v>
      </c>
      <c r="Q41" s="23">
        <f>IFERROR(P41/P148, "NA")</f>
        <v>-0.002539885033</v>
      </c>
      <c r="R41" s="21">
        <v>247.23</v>
      </c>
      <c r="S41" s="23">
        <f>IFERROR(R41/R148, "NA")</f>
        <v>0.01378000703</v>
      </c>
      <c r="T41" s="21">
        <v>374.31</v>
      </c>
      <c r="U41" s="23">
        <f>IFERROR(T41/T148, "NA")</f>
        <v>0.01136021512</v>
      </c>
      <c r="V41" s="21">
        <v>442.57</v>
      </c>
      <c r="W41" s="23">
        <f>IFERROR(V41/V148, "NA")</f>
        <v>0.01111571018</v>
      </c>
      <c r="X41" s="21">
        <v>407.25</v>
      </c>
      <c r="Y41" s="23">
        <f>IFERROR(X41/X148, "NA")</f>
        <v>0.01025833885</v>
      </c>
      <c r="Z41" s="21">
        <v>1471.36</v>
      </c>
      <c r="AA41" s="23">
        <f>IFERROR(Z41/Z148, "NA")</f>
        <v>0.0112830341</v>
      </c>
      <c r="AB41" s="28">
        <f t="shared" si="19"/>
        <v>367.84</v>
      </c>
      <c r="AC41" s="23">
        <f>IFERROR(AB41/AB148, "NA")</f>
        <v>0.0112830341</v>
      </c>
      <c r="AD41" s="29">
        <f t="shared" si="20"/>
        <v>39.41</v>
      </c>
      <c r="AE41" s="30">
        <f>IFERROR(AD41/AD148, "NA")</f>
        <v>0.005552072694</v>
      </c>
      <c r="AF41" s="29">
        <f t="shared" si="21"/>
        <v>0.1071389735</v>
      </c>
      <c r="AG41" s="28">
        <f t="shared" si="22"/>
        <v>485.17375</v>
      </c>
      <c r="AH41" s="23">
        <f>IFERROR(AG41/AG148, "NA")</f>
        <v>0.01461990099</v>
      </c>
      <c r="AI41" s="29">
        <f t="shared" si="23"/>
        <v>-77.92375</v>
      </c>
      <c r="AJ41" s="30">
        <f>IFERROR(AI41/AI148, "NA")</f>
        <v>-0.01196330044</v>
      </c>
      <c r="AK41" s="29">
        <f t="shared" si="24"/>
        <v>-0.1606099877</v>
      </c>
      <c r="AL41" s="30">
        <f>IFERROR(AK41/AK148, "NA")</f>
        <v>-0.8182887455</v>
      </c>
    </row>
    <row r="42" ht="16.5" hidden="1" customHeight="1">
      <c r="A42" s="19" t="s">
        <v>102</v>
      </c>
      <c r="B42" s="21">
        <v>0.0</v>
      </c>
      <c r="C42" s="23">
        <f>IFERROR(B42/B148, "NA")</f>
        <v>0</v>
      </c>
      <c r="D42" s="21">
        <v>0.0</v>
      </c>
      <c r="E42" s="23">
        <f>IFERROR(D42/D148, "NA")</f>
        <v>0</v>
      </c>
      <c r="F42" s="21">
        <v>0.0</v>
      </c>
      <c r="G42" s="23">
        <f>IFERROR(F42/F148, "NA")</f>
        <v>0</v>
      </c>
      <c r="H42" s="21">
        <v>0.0</v>
      </c>
      <c r="I42" s="23">
        <f>IFERROR(H42/H148, "NA")</f>
        <v>0</v>
      </c>
      <c r="J42" s="21">
        <v>0.0</v>
      </c>
      <c r="K42" s="23">
        <f>IFERROR(J42/J148, "NA")</f>
        <v>0</v>
      </c>
      <c r="L42" s="21">
        <v>0.0</v>
      </c>
      <c r="M42" s="23">
        <f>IFERROR(L42/L148, "NA")</f>
        <v>0</v>
      </c>
      <c r="N42" s="21">
        <v>0.0</v>
      </c>
      <c r="O42" s="23">
        <f>IFERROR(N42/N148, "NA")</f>
        <v>0</v>
      </c>
      <c r="P42" s="21">
        <v>0.0</v>
      </c>
      <c r="Q42" s="23">
        <f>IFERROR(P42/P148, "NA")</f>
        <v>0</v>
      </c>
      <c r="R42" s="21">
        <v>0.0</v>
      </c>
      <c r="S42" s="23">
        <f>IFERROR(R42/R148, "NA")</f>
        <v>0</v>
      </c>
      <c r="T42" s="21">
        <v>0.0</v>
      </c>
      <c r="U42" s="23">
        <f>IFERROR(T42/T148, "NA")</f>
        <v>0</v>
      </c>
      <c r="V42" s="21">
        <v>0.0</v>
      </c>
      <c r="W42" s="23">
        <f>IFERROR(V42/V148, "NA")</f>
        <v>0</v>
      </c>
      <c r="X42" s="21">
        <v>0.0</v>
      </c>
      <c r="Y42" s="23">
        <f>IFERROR(X42/X148, "NA")</f>
        <v>0</v>
      </c>
      <c r="Z42" s="21">
        <v>0.0</v>
      </c>
      <c r="AA42" s="23">
        <f>IFERROR(Z42/Z148, "NA")</f>
        <v>0</v>
      </c>
      <c r="AB42" s="28">
        <f t="shared" si="19"/>
        <v>0</v>
      </c>
      <c r="AC42" s="23">
        <f>IFERROR(AB42/AB148, "NA")</f>
        <v>0</v>
      </c>
      <c r="AD42" s="29">
        <f t="shared" si="20"/>
        <v>0</v>
      </c>
      <c r="AE42" s="30">
        <f>IFERROR(AD42/AD148, "NA")</f>
        <v>0</v>
      </c>
      <c r="AF42" s="29" t="str">
        <f t="shared" si="21"/>
        <v>NA</v>
      </c>
      <c r="AG42" s="28">
        <f t="shared" si="22"/>
        <v>0</v>
      </c>
      <c r="AH42" s="23">
        <f>IFERROR(AG42/AG148, "NA")</f>
        <v>0</v>
      </c>
      <c r="AI42" s="29">
        <f t="shared" si="23"/>
        <v>0</v>
      </c>
      <c r="AJ42" s="30">
        <f>IFERROR(AI42/AI148, "NA")</f>
        <v>0</v>
      </c>
      <c r="AK42" s="29" t="str">
        <f t="shared" si="24"/>
        <v>NA</v>
      </c>
      <c r="AL42" s="30" t="str">
        <f>IFERROR(AK42/AK148, "NA")</f>
        <v>NA</v>
      </c>
    </row>
    <row r="43" ht="16.5" hidden="1" customHeight="1">
      <c r="A43" s="19" t="s">
        <v>103</v>
      </c>
      <c r="B43" s="21">
        <v>0.0</v>
      </c>
      <c r="C43" s="23">
        <f>IFERROR(B43/B148, "NA")</f>
        <v>0</v>
      </c>
      <c r="D43" s="21">
        <v>0.0</v>
      </c>
      <c r="E43" s="23">
        <f>IFERROR(D43/D148, "NA")</f>
        <v>0</v>
      </c>
      <c r="F43" s="21">
        <v>0.0</v>
      </c>
      <c r="G43" s="23">
        <f>IFERROR(F43/F148, "NA")</f>
        <v>0</v>
      </c>
      <c r="H43" s="21">
        <v>0.0</v>
      </c>
      <c r="I43" s="23">
        <f>IFERROR(H43/H148, "NA")</f>
        <v>0</v>
      </c>
      <c r="J43" s="21">
        <v>0.0</v>
      </c>
      <c r="K43" s="23">
        <f>IFERROR(J43/J148, "NA")</f>
        <v>0</v>
      </c>
      <c r="L43" s="21">
        <v>0.0</v>
      </c>
      <c r="M43" s="23">
        <f>IFERROR(L43/L148, "NA")</f>
        <v>0</v>
      </c>
      <c r="N43" s="21">
        <v>0.0</v>
      </c>
      <c r="O43" s="23">
        <f>IFERROR(N43/N148, "NA")</f>
        <v>0</v>
      </c>
      <c r="P43" s="21">
        <v>0.0</v>
      </c>
      <c r="Q43" s="23">
        <f>IFERROR(P43/P148, "NA")</f>
        <v>0</v>
      </c>
      <c r="R43" s="21">
        <v>0.0</v>
      </c>
      <c r="S43" s="23">
        <f>IFERROR(R43/R148, "NA")</f>
        <v>0</v>
      </c>
      <c r="T43" s="21">
        <v>0.0</v>
      </c>
      <c r="U43" s="23">
        <f>IFERROR(T43/T148, "NA")</f>
        <v>0</v>
      </c>
      <c r="V43" s="21">
        <v>0.0</v>
      </c>
      <c r="W43" s="23">
        <f>IFERROR(V43/V148, "NA")</f>
        <v>0</v>
      </c>
      <c r="X43" s="21">
        <v>0.0</v>
      </c>
      <c r="Y43" s="23">
        <f>IFERROR(X43/X148, "NA")</f>
        <v>0</v>
      </c>
      <c r="Z43" s="21">
        <v>0.0</v>
      </c>
      <c r="AA43" s="23">
        <f>IFERROR(Z43/Z148, "NA")</f>
        <v>0</v>
      </c>
      <c r="AB43" s="28">
        <f t="shared" si="19"/>
        <v>0</v>
      </c>
      <c r="AC43" s="23">
        <f>IFERROR(AB43/AB148, "NA")</f>
        <v>0</v>
      </c>
      <c r="AD43" s="29">
        <f t="shared" si="20"/>
        <v>0</v>
      </c>
      <c r="AE43" s="30">
        <f>IFERROR(AD43/AD148, "NA")</f>
        <v>0</v>
      </c>
      <c r="AF43" s="29" t="str">
        <f t="shared" si="21"/>
        <v>NA</v>
      </c>
      <c r="AG43" s="28">
        <f t="shared" si="22"/>
        <v>0</v>
      </c>
      <c r="AH43" s="23">
        <f>IFERROR(AG43/AG148, "NA")</f>
        <v>0</v>
      </c>
      <c r="AI43" s="29">
        <f t="shared" si="23"/>
        <v>0</v>
      </c>
      <c r="AJ43" s="30">
        <f>IFERROR(AI43/AI148, "NA")</f>
        <v>0</v>
      </c>
      <c r="AK43" s="29" t="str">
        <f t="shared" si="24"/>
        <v>NA</v>
      </c>
      <c r="AL43" s="30" t="str">
        <f>IFERROR(AK43/AK148, "NA")</f>
        <v>NA</v>
      </c>
    </row>
    <row r="44" ht="16.5" customHeight="1">
      <c r="A44" s="65" t="s">
        <v>105</v>
      </c>
      <c r="B44" s="66">
        <f>IFERROR(B39+B40+B41+B42+B43, "NA")</f>
        <v>2317.13</v>
      </c>
      <c r="C44" s="67">
        <f>IFERROR(B44/B148, "NA")</f>
        <v>0.03772696781</v>
      </c>
      <c r="D44" s="66">
        <f>IFERROR(D39+D40+D41+D42+D43, "NA")</f>
        <v>2141.3</v>
      </c>
      <c r="E44" s="67">
        <f>IFERROR(D44/D148, "NA")</f>
        <v>0.03741990187</v>
      </c>
      <c r="F44" s="66">
        <f>IFERROR(F39+F40+F41+F42+F43, "NA")</f>
        <v>1558.76</v>
      </c>
      <c r="G44" s="67">
        <f>IFERROR(F44/F148, "NA")</f>
        <v>0.03776160113</v>
      </c>
      <c r="H44" s="66">
        <f>IFERROR(H39+H40+H41+H42+H43, "NA")</f>
        <v>931.72</v>
      </c>
      <c r="I44" s="67">
        <f>IFERROR(H44/H148, "NA")</f>
        <v>0.05347564118</v>
      </c>
      <c r="J44" s="66">
        <f>IFERROR(J39+J40+J41+J42+J43, "NA")</f>
        <v>2331.65</v>
      </c>
      <c r="K44" s="67">
        <f>IFERROR(J44/J148, "NA")</f>
        <v>0.04837783365</v>
      </c>
      <c r="L44" s="66">
        <f>IFERROR(L39+L40+L41+L42+L43, "NA")</f>
        <v>1491.81</v>
      </c>
      <c r="M44" s="67">
        <f>IFERROR(L44/L148, "NA")</f>
        <v>0.03842122234</v>
      </c>
      <c r="N44" s="66">
        <f>IFERROR(N39+N40+N41+N42+N43, "NA")</f>
        <v>1994.08</v>
      </c>
      <c r="O44" s="67">
        <f>IFERROR(N44/N148, "NA")</f>
        <v>0.05296674942</v>
      </c>
      <c r="P44" s="66">
        <f>IFERROR(P39+P40+P41+P42+P43, "NA")</f>
        <v>353.39</v>
      </c>
      <c r="Q44" s="67">
        <f>IFERROR(P44/P148, "NA")</f>
        <v>0.03394742707</v>
      </c>
      <c r="R44" s="66">
        <f>IFERROR(R39+R40+R41+R42+R43, "NA")</f>
        <v>757.59</v>
      </c>
      <c r="S44" s="67">
        <f>IFERROR(R44/R148, "NA")</f>
        <v>0.04222624895</v>
      </c>
      <c r="T44" s="66">
        <f>IFERROR(T39+T40+T41+T42+T43, "NA")</f>
        <v>1391.35</v>
      </c>
      <c r="U44" s="67">
        <f>IFERROR(T44/T148, "NA")</f>
        <v>0.04222712539</v>
      </c>
      <c r="V44" s="66">
        <f>IFERROR(V39+V40+V41+V42+V43, "NA")</f>
        <v>1525.42</v>
      </c>
      <c r="W44" s="67">
        <f>IFERROR(V44/V148, "NA")</f>
        <v>0.03831286943</v>
      </c>
      <c r="X44" s="66">
        <f>IFERROR(X39+X40+X41+X42+X43, "NA")</f>
        <v>1624.39</v>
      </c>
      <c r="Y44" s="67">
        <f>IFERROR(X44/X148, "NA")</f>
        <v>0.04091723277</v>
      </c>
      <c r="Z44" s="66">
        <f>IFERROR(Z39+Z40+Z41+Z42+Z43, "NA")</f>
        <v>5298.75</v>
      </c>
      <c r="AA44" s="67">
        <f>IFERROR(Z44/Z148, "NA")</f>
        <v>0.04063314005</v>
      </c>
      <c r="AB44" s="66">
        <f t="shared" si="19"/>
        <v>1324.6875</v>
      </c>
      <c r="AC44" s="67">
        <f>IFERROR(AB44/AB148, "NA")</f>
        <v>0.04063314005</v>
      </c>
      <c r="AD44" s="75">
        <f t="shared" si="20"/>
        <v>299.7025</v>
      </c>
      <c r="AE44" s="76">
        <f>IFERROR(AD44/AD148, "NA")</f>
        <v>0.04222202656</v>
      </c>
      <c r="AF44" s="75">
        <f t="shared" si="21"/>
        <v>0.2262439255</v>
      </c>
      <c r="AG44" s="66">
        <f t="shared" si="22"/>
        <v>1433.71</v>
      </c>
      <c r="AH44" s="67">
        <f>IFERROR(AG44/AG148, "NA")</f>
        <v>0.04320245737</v>
      </c>
      <c r="AI44" s="75">
        <f t="shared" si="23"/>
        <v>190.68</v>
      </c>
      <c r="AJ44" s="76">
        <f>IFERROR(AI44/AI148, "NA")</f>
        <v>0.0292742858</v>
      </c>
      <c r="AK44" s="75">
        <f t="shared" si="24"/>
        <v>0.1329976076</v>
      </c>
      <c r="AL44" s="76">
        <f>IFERROR(AK44/AK148, "NA")</f>
        <v>0.67760696</v>
      </c>
    </row>
    <row r="45" ht="16.5" customHeight="1">
      <c r="A45" s="13" t="s">
        <v>106</v>
      </c>
      <c r="B45" s="14"/>
      <c r="C45" s="12"/>
      <c r="D45" s="14"/>
      <c r="E45" s="12"/>
      <c r="F45" s="14"/>
      <c r="G45" s="12"/>
      <c r="H45" s="14"/>
      <c r="I45" s="12"/>
      <c r="J45" s="14"/>
      <c r="K45" s="12"/>
      <c r="L45" s="14"/>
      <c r="M45" s="12"/>
      <c r="N45" s="14"/>
      <c r="O45" s="12"/>
      <c r="P45" s="14"/>
      <c r="Q45" s="12"/>
      <c r="R45" s="14"/>
      <c r="S45" s="12"/>
      <c r="T45" s="14"/>
      <c r="U45" s="12"/>
      <c r="V45" s="14"/>
      <c r="W45" s="12"/>
      <c r="X45" s="14"/>
      <c r="Y45" s="12"/>
      <c r="Z45" s="14"/>
      <c r="AA45" s="12"/>
      <c r="AB45" s="14"/>
      <c r="AC45" s="12"/>
      <c r="AD45" s="17"/>
      <c r="AE45" s="18"/>
      <c r="AF45" s="17"/>
      <c r="AG45" s="14"/>
      <c r="AH45" s="12"/>
      <c r="AI45" s="17"/>
      <c r="AJ45" s="18"/>
      <c r="AK45" s="17"/>
      <c r="AL45" s="18"/>
    </row>
    <row r="46" ht="16.5" hidden="1" customHeight="1">
      <c r="A46" s="19" t="s">
        <v>107</v>
      </c>
      <c r="B46" s="21">
        <v>0.0</v>
      </c>
      <c r="C46" s="23">
        <f>IFERROR(B46/B148, "NA")</f>
        <v>0</v>
      </c>
      <c r="D46" s="21">
        <v>0.0</v>
      </c>
      <c r="E46" s="23">
        <f>IFERROR(D46/D148, "NA")</f>
        <v>0</v>
      </c>
      <c r="F46" s="21">
        <v>0.0</v>
      </c>
      <c r="G46" s="23">
        <f>IFERROR(F46/F148, "NA")</f>
        <v>0</v>
      </c>
      <c r="H46" s="21">
        <v>0.0</v>
      </c>
      <c r="I46" s="23">
        <f>IFERROR(H46/H148, "NA")</f>
        <v>0</v>
      </c>
      <c r="J46" s="21">
        <v>0.0</v>
      </c>
      <c r="K46" s="23">
        <f>IFERROR(J46/J148, "NA")</f>
        <v>0</v>
      </c>
      <c r="L46" s="21">
        <v>0.0</v>
      </c>
      <c r="M46" s="23">
        <f>IFERROR(L46/L148, "NA")</f>
        <v>0</v>
      </c>
      <c r="N46" s="21">
        <v>0.0</v>
      </c>
      <c r="O46" s="23">
        <f>IFERROR(N46/N148, "NA")</f>
        <v>0</v>
      </c>
      <c r="P46" s="21">
        <v>0.0</v>
      </c>
      <c r="Q46" s="23">
        <f>IFERROR(P46/P148, "NA")</f>
        <v>0</v>
      </c>
      <c r="R46" s="21">
        <v>0.0</v>
      </c>
      <c r="S46" s="23">
        <f>IFERROR(R46/R148, "NA")</f>
        <v>0</v>
      </c>
      <c r="T46" s="21">
        <v>0.0</v>
      </c>
      <c r="U46" s="23">
        <f>IFERROR(T46/T148, "NA")</f>
        <v>0</v>
      </c>
      <c r="V46" s="21">
        <v>0.0</v>
      </c>
      <c r="W46" s="23">
        <f>IFERROR(V46/V148, "NA")</f>
        <v>0</v>
      </c>
      <c r="X46" s="21">
        <v>0.0</v>
      </c>
      <c r="Y46" s="23">
        <f>IFERROR(X46/X148, "NA")</f>
        <v>0</v>
      </c>
      <c r="Z46" s="21">
        <v>0.0</v>
      </c>
      <c r="AA46" s="23">
        <f>IFERROR(Z46/Z148, "NA")</f>
        <v>0</v>
      </c>
      <c r="AB46" s="28">
        <f t="shared" ref="AB46:AB57" si="25">IFERROR((R46+T46+V46+X46)/4, "NA")</f>
        <v>0</v>
      </c>
      <c r="AC46" s="23">
        <f>IFERROR(AB46/AB148, "NA")</f>
        <v>0</v>
      </c>
      <c r="AD46" s="29">
        <f t="shared" ref="AD46:AD57" si="26">IFERROR(X46-AB46, "NA")</f>
        <v>0</v>
      </c>
      <c r="AE46" s="30">
        <f>IFERROR(AD46/AD148, "NA")</f>
        <v>0</v>
      </c>
      <c r="AF46" s="29" t="str">
        <f t="shared" ref="AF46:AF57" si="27">IFERROR((X46-AB46)/AB46, "NA")</f>
        <v>NA</v>
      </c>
      <c r="AG46" s="28">
        <f t="shared" ref="AG46:AG57" si="28">IFERROR((J46+L46+N46+P46+R46+T46+V46+X46)/8, "NA")</f>
        <v>0</v>
      </c>
      <c r="AH46" s="23">
        <f>IFERROR(AG46/AG148, "NA")</f>
        <v>0</v>
      </c>
      <c r="AI46" s="29">
        <f t="shared" ref="AI46:AI57" si="29">IFERROR(X46-AG46, "NA")</f>
        <v>0</v>
      </c>
      <c r="AJ46" s="30">
        <f>IFERROR(AI46/AI148, "NA")</f>
        <v>0</v>
      </c>
      <c r="AK46" s="29" t="str">
        <f t="shared" ref="AK46:AK57" si="30">IFERROR((X46-AG46)/AG46, "NA")</f>
        <v>NA</v>
      </c>
      <c r="AL46" s="30" t="str">
        <f>IFERROR(AK46/AK148, "NA")</f>
        <v>NA</v>
      </c>
    </row>
    <row r="47" ht="16.5" customHeight="1">
      <c r="A47" s="19" t="s">
        <v>108</v>
      </c>
      <c r="B47" s="21">
        <v>45.74</v>
      </c>
      <c r="C47" s="23">
        <f>IFERROR(B47/B148, "NA")</f>
        <v>0.0007447279643</v>
      </c>
      <c r="D47" s="21">
        <v>65.21</v>
      </c>
      <c r="E47" s="23">
        <f>IFERROR(D47/D148, "NA")</f>
        <v>0.001139565592</v>
      </c>
      <c r="F47" s="21">
        <v>63.79</v>
      </c>
      <c r="G47" s="23">
        <f>IFERROR(F47/F148, "NA")</f>
        <v>0.001545338946</v>
      </c>
      <c r="H47" s="21">
        <v>49.18</v>
      </c>
      <c r="I47" s="23">
        <f>IFERROR(H47/H148, "NA")</f>
        <v>0.002822663497</v>
      </c>
      <c r="J47" s="21">
        <v>75.16</v>
      </c>
      <c r="K47" s="23">
        <f>IFERROR(J47/J148, "NA")</f>
        <v>0.001559444161</v>
      </c>
      <c r="L47" s="21">
        <v>48.95</v>
      </c>
      <c r="M47" s="23">
        <f>IFERROR(L47/L148, "NA")</f>
        <v>0.001260695956</v>
      </c>
      <c r="N47" s="21">
        <v>55.7</v>
      </c>
      <c r="O47" s="23">
        <f>IFERROR(N47/N148, "NA")</f>
        <v>0.001479503301</v>
      </c>
      <c r="P47" s="21">
        <v>23.52</v>
      </c>
      <c r="Q47" s="23">
        <f>IFERROR(P47/P148, "NA")</f>
        <v>0.002259383357</v>
      </c>
      <c r="R47" s="21">
        <v>58.35</v>
      </c>
      <c r="S47" s="23">
        <f>IFERROR(R47/R148, "NA")</f>
        <v>0.003252289004</v>
      </c>
      <c r="T47" s="21">
        <v>51.89</v>
      </c>
      <c r="U47" s="23">
        <f>IFERROR(T47/T148, "NA")</f>
        <v>0.001574848555</v>
      </c>
      <c r="V47" s="21">
        <v>20.96</v>
      </c>
      <c r="W47" s="23">
        <f>IFERROR(V47/V148, "NA")</f>
        <v>0.0005264371407</v>
      </c>
      <c r="X47" s="21">
        <v>49.37</v>
      </c>
      <c r="Y47" s="23">
        <f>IFERROR(X47/X148, "NA")</f>
        <v>0.001243595308</v>
      </c>
      <c r="Z47" s="21">
        <v>180.57</v>
      </c>
      <c r="AA47" s="23">
        <f>IFERROR(Z47/Z148, "NA")</f>
        <v>0.001384689993</v>
      </c>
      <c r="AB47" s="28">
        <f t="shared" si="25"/>
        <v>45.1425</v>
      </c>
      <c r="AC47" s="23">
        <f>IFERROR(AB47/AB148, "NA")</f>
        <v>0.001384689993</v>
      </c>
      <c r="AD47" s="29">
        <f t="shared" si="26"/>
        <v>4.2275</v>
      </c>
      <c r="AE47" s="30">
        <f>IFERROR(AD47/AD148, "NA")</f>
        <v>0.0005955693305</v>
      </c>
      <c r="AF47" s="29">
        <f t="shared" si="27"/>
        <v>0.09364789278</v>
      </c>
      <c r="AG47" s="28">
        <f t="shared" si="28"/>
        <v>47.9875</v>
      </c>
      <c r="AH47" s="23">
        <f>IFERROR(AG47/AG148, "NA")</f>
        <v>0.001446023201</v>
      </c>
      <c r="AI47" s="29">
        <f t="shared" si="29"/>
        <v>1.3825</v>
      </c>
      <c r="AJ47" s="30">
        <f>IFERROR(AI47/AI148, "NA")</f>
        <v>0.0002122493189</v>
      </c>
      <c r="AK47" s="29">
        <f t="shared" si="30"/>
        <v>0.02880958583</v>
      </c>
      <c r="AL47" s="30">
        <f>IFERROR(AK47/AK148, "NA")</f>
        <v>0.1467814062</v>
      </c>
    </row>
    <row r="48" ht="16.5" hidden="1" customHeight="1">
      <c r="A48" s="19" t="s">
        <v>109</v>
      </c>
      <c r="B48" s="21">
        <v>0.0</v>
      </c>
      <c r="C48" s="23">
        <f>IFERROR(B48/B148, "NA")</f>
        <v>0</v>
      </c>
      <c r="D48" s="21">
        <v>0.0</v>
      </c>
      <c r="E48" s="23">
        <f>IFERROR(D48/D148, "NA")</f>
        <v>0</v>
      </c>
      <c r="F48" s="21">
        <v>0.0</v>
      </c>
      <c r="G48" s="23">
        <f>IFERROR(F48/F148, "NA")</f>
        <v>0</v>
      </c>
      <c r="H48" s="21">
        <v>0.0</v>
      </c>
      <c r="I48" s="23">
        <f>IFERROR(H48/H148, "NA")</f>
        <v>0</v>
      </c>
      <c r="J48" s="21">
        <v>0.0</v>
      </c>
      <c r="K48" s="23">
        <f>IFERROR(J48/J148, "NA")</f>
        <v>0</v>
      </c>
      <c r="L48" s="21">
        <v>0.0</v>
      </c>
      <c r="M48" s="23">
        <f>IFERROR(L48/L148, "NA")</f>
        <v>0</v>
      </c>
      <c r="N48" s="21">
        <v>0.0</v>
      </c>
      <c r="O48" s="23">
        <f>IFERROR(N48/N148, "NA")</f>
        <v>0</v>
      </c>
      <c r="P48" s="21">
        <v>0.0</v>
      </c>
      <c r="Q48" s="23">
        <f>IFERROR(P48/P148, "NA")</f>
        <v>0</v>
      </c>
      <c r="R48" s="21">
        <v>0.0</v>
      </c>
      <c r="S48" s="23">
        <f>IFERROR(R48/R148, "NA")</f>
        <v>0</v>
      </c>
      <c r="T48" s="21">
        <v>0.0</v>
      </c>
      <c r="U48" s="23">
        <f>IFERROR(T48/T148, "NA")</f>
        <v>0</v>
      </c>
      <c r="V48" s="21">
        <v>0.0</v>
      </c>
      <c r="W48" s="23">
        <f>IFERROR(V48/V148, "NA")</f>
        <v>0</v>
      </c>
      <c r="X48" s="21">
        <v>0.0</v>
      </c>
      <c r="Y48" s="23">
        <f>IFERROR(X48/X148, "NA")</f>
        <v>0</v>
      </c>
      <c r="Z48" s="21">
        <v>0.0</v>
      </c>
      <c r="AA48" s="23">
        <f>IFERROR(Z48/Z148, "NA")</f>
        <v>0</v>
      </c>
      <c r="AB48" s="28">
        <f t="shared" si="25"/>
        <v>0</v>
      </c>
      <c r="AC48" s="23">
        <f>IFERROR(AB48/AB148, "NA")</f>
        <v>0</v>
      </c>
      <c r="AD48" s="29">
        <f t="shared" si="26"/>
        <v>0</v>
      </c>
      <c r="AE48" s="30">
        <f>IFERROR(AD48/AD148, "NA")</f>
        <v>0</v>
      </c>
      <c r="AF48" s="29" t="str">
        <f t="shared" si="27"/>
        <v>NA</v>
      </c>
      <c r="AG48" s="28">
        <f t="shared" si="28"/>
        <v>0</v>
      </c>
      <c r="AH48" s="23">
        <f>IFERROR(AG48/AG148, "NA")</f>
        <v>0</v>
      </c>
      <c r="AI48" s="29">
        <f t="shared" si="29"/>
        <v>0</v>
      </c>
      <c r="AJ48" s="30">
        <f>IFERROR(AI48/AI148, "NA")</f>
        <v>0</v>
      </c>
      <c r="AK48" s="29" t="str">
        <f t="shared" si="30"/>
        <v>NA</v>
      </c>
      <c r="AL48" s="30" t="str">
        <f>IFERROR(AK48/AK148, "NA")</f>
        <v>NA</v>
      </c>
    </row>
    <row r="49" ht="16.5" hidden="1" customHeight="1">
      <c r="A49" s="19" t="s">
        <v>110</v>
      </c>
      <c r="B49" s="21">
        <v>0.0</v>
      </c>
      <c r="C49" s="23">
        <f>IFERROR(B49/B148, "NA")</f>
        <v>0</v>
      </c>
      <c r="D49" s="21">
        <v>0.0</v>
      </c>
      <c r="E49" s="23">
        <f>IFERROR(D49/D148, "NA")</f>
        <v>0</v>
      </c>
      <c r="F49" s="21">
        <v>0.0</v>
      </c>
      <c r="G49" s="23">
        <f>IFERROR(F49/F148, "NA")</f>
        <v>0</v>
      </c>
      <c r="H49" s="21">
        <v>0.0</v>
      </c>
      <c r="I49" s="23">
        <f>IFERROR(H49/H148, "NA")</f>
        <v>0</v>
      </c>
      <c r="J49" s="21">
        <v>0.0</v>
      </c>
      <c r="K49" s="23">
        <f>IFERROR(J49/J148, "NA")</f>
        <v>0</v>
      </c>
      <c r="L49" s="21">
        <v>0.0</v>
      </c>
      <c r="M49" s="23">
        <f>IFERROR(L49/L148, "NA")</f>
        <v>0</v>
      </c>
      <c r="N49" s="21">
        <v>0.0</v>
      </c>
      <c r="O49" s="23">
        <f>IFERROR(N49/N148, "NA")</f>
        <v>0</v>
      </c>
      <c r="P49" s="21">
        <v>0.0</v>
      </c>
      <c r="Q49" s="23">
        <f>IFERROR(P49/P148, "NA")</f>
        <v>0</v>
      </c>
      <c r="R49" s="21">
        <v>0.0</v>
      </c>
      <c r="S49" s="23">
        <f>IFERROR(R49/R148, "NA")</f>
        <v>0</v>
      </c>
      <c r="T49" s="21">
        <v>0.0</v>
      </c>
      <c r="U49" s="23">
        <f>IFERROR(T49/T148, "NA")</f>
        <v>0</v>
      </c>
      <c r="V49" s="21">
        <v>0.0</v>
      </c>
      <c r="W49" s="23">
        <f>IFERROR(V49/V148, "NA")</f>
        <v>0</v>
      </c>
      <c r="X49" s="21">
        <v>0.0</v>
      </c>
      <c r="Y49" s="23">
        <f>IFERROR(X49/X148, "NA")</f>
        <v>0</v>
      </c>
      <c r="Z49" s="21">
        <v>0.0</v>
      </c>
      <c r="AA49" s="23">
        <f>IFERROR(Z49/Z148, "NA")</f>
        <v>0</v>
      </c>
      <c r="AB49" s="28">
        <f t="shared" si="25"/>
        <v>0</v>
      </c>
      <c r="AC49" s="23">
        <f>IFERROR(AB49/AB148, "NA")</f>
        <v>0</v>
      </c>
      <c r="AD49" s="29">
        <f t="shared" si="26"/>
        <v>0</v>
      </c>
      <c r="AE49" s="30">
        <f>IFERROR(AD49/AD148, "NA")</f>
        <v>0</v>
      </c>
      <c r="AF49" s="29" t="str">
        <f t="shared" si="27"/>
        <v>NA</v>
      </c>
      <c r="AG49" s="28">
        <f t="shared" si="28"/>
        <v>0</v>
      </c>
      <c r="AH49" s="23">
        <f>IFERROR(AG49/AG148, "NA")</f>
        <v>0</v>
      </c>
      <c r="AI49" s="29">
        <f t="shared" si="29"/>
        <v>0</v>
      </c>
      <c r="AJ49" s="30">
        <f>IFERROR(AI49/AI148, "NA")</f>
        <v>0</v>
      </c>
      <c r="AK49" s="29" t="str">
        <f t="shared" si="30"/>
        <v>NA</v>
      </c>
      <c r="AL49" s="30" t="str">
        <f>IFERROR(AK49/AK148, "NA")</f>
        <v>NA</v>
      </c>
    </row>
    <row r="50" ht="16.5" hidden="1" customHeight="1">
      <c r="A50" s="19" t="s">
        <v>111</v>
      </c>
      <c r="B50" s="21">
        <v>0.0</v>
      </c>
      <c r="C50" s="23">
        <f>IFERROR(B50/B148, "NA")</f>
        <v>0</v>
      </c>
      <c r="D50" s="21">
        <v>0.0</v>
      </c>
      <c r="E50" s="23">
        <f>IFERROR(D50/D148, "NA")</f>
        <v>0</v>
      </c>
      <c r="F50" s="21">
        <v>0.0</v>
      </c>
      <c r="G50" s="23">
        <f>IFERROR(F50/F148, "NA")</f>
        <v>0</v>
      </c>
      <c r="H50" s="21">
        <v>0.0</v>
      </c>
      <c r="I50" s="23">
        <f>IFERROR(H50/H148, "NA")</f>
        <v>0</v>
      </c>
      <c r="J50" s="21">
        <v>0.0</v>
      </c>
      <c r="K50" s="23">
        <f>IFERROR(J50/J148, "NA")</f>
        <v>0</v>
      </c>
      <c r="L50" s="21">
        <v>0.0</v>
      </c>
      <c r="M50" s="23">
        <f>IFERROR(L50/L148, "NA")</f>
        <v>0</v>
      </c>
      <c r="N50" s="21">
        <v>0.0</v>
      </c>
      <c r="O50" s="23">
        <f>IFERROR(N50/N148, "NA")</f>
        <v>0</v>
      </c>
      <c r="P50" s="21">
        <v>0.0</v>
      </c>
      <c r="Q50" s="23">
        <f>IFERROR(P50/P148, "NA")</f>
        <v>0</v>
      </c>
      <c r="R50" s="21">
        <v>0.0</v>
      </c>
      <c r="S50" s="23">
        <f>IFERROR(R50/R148, "NA")</f>
        <v>0</v>
      </c>
      <c r="T50" s="21">
        <v>0.0</v>
      </c>
      <c r="U50" s="23">
        <f>IFERROR(T50/T148, "NA")</f>
        <v>0</v>
      </c>
      <c r="V50" s="21">
        <v>0.0</v>
      </c>
      <c r="W50" s="23">
        <f>IFERROR(V50/V148, "NA")</f>
        <v>0</v>
      </c>
      <c r="X50" s="21">
        <v>0.0</v>
      </c>
      <c r="Y50" s="23">
        <f>IFERROR(X50/X148, "NA")</f>
        <v>0</v>
      </c>
      <c r="Z50" s="21">
        <v>0.0</v>
      </c>
      <c r="AA50" s="23">
        <f>IFERROR(Z50/Z148, "NA")</f>
        <v>0</v>
      </c>
      <c r="AB50" s="28">
        <f t="shared" si="25"/>
        <v>0</v>
      </c>
      <c r="AC50" s="23">
        <f>IFERROR(AB50/AB148, "NA")</f>
        <v>0</v>
      </c>
      <c r="AD50" s="29">
        <f t="shared" si="26"/>
        <v>0</v>
      </c>
      <c r="AE50" s="30">
        <f>IFERROR(AD50/AD148, "NA")</f>
        <v>0</v>
      </c>
      <c r="AF50" s="29" t="str">
        <f t="shared" si="27"/>
        <v>NA</v>
      </c>
      <c r="AG50" s="28">
        <f t="shared" si="28"/>
        <v>0</v>
      </c>
      <c r="AH50" s="23">
        <f>IFERROR(AG50/AG148, "NA")</f>
        <v>0</v>
      </c>
      <c r="AI50" s="29">
        <f t="shared" si="29"/>
        <v>0</v>
      </c>
      <c r="AJ50" s="30">
        <f>IFERROR(AI50/AI148, "NA")</f>
        <v>0</v>
      </c>
      <c r="AK50" s="29" t="str">
        <f t="shared" si="30"/>
        <v>NA</v>
      </c>
      <c r="AL50" s="30" t="str">
        <f>IFERROR(AK50/AK148, "NA")</f>
        <v>NA</v>
      </c>
    </row>
    <row r="51" ht="16.5" hidden="1" customHeight="1">
      <c r="A51" s="19" t="s">
        <v>112</v>
      </c>
      <c r="B51" s="21">
        <v>0.0</v>
      </c>
      <c r="C51" s="23">
        <f>IFERROR(B51/B148, "NA")</f>
        <v>0</v>
      </c>
      <c r="D51" s="21">
        <v>0.0</v>
      </c>
      <c r="E51" s="23">
        <f>IFERROR(D51/D148, "NA")</f>
        <v>0</v>
      </c>
      <c r="F51" s="21">
        <v>0.0</v>
      </c>
      <c r="G51" s="23">
        <f>IFERROR(F51/F148, "NA")</f>
        <v>0</v>
      </c>
      <c r="H51" s="21">
        <v>0.0</v>
      </c>
      <c r="I51" s="23">
        <f>IFERROR(H51/H148, "NA")</f>
        <v>0</v>
      </c>
      <c r="J51" s="21">
        <v>0.0</v>
      </c>
      <c r="K51" s="23">
        <f>IFERROR(J51/J148, "NA")</f>
        <v>0</v>
      </c>
      <c r="L51" s="21">
        <v>0.0</v>
      </c>
      <c r="M51" s="23">
        <f>IFERROR(L51/L148, "NA")</f>
        <v>0</v>
      </c>
      <c r="N51" s="21">
        <v>0.0</v>
      </c>
      <c r="O51" s="23">
        <f>IFERROR(N51/N148, "NA")</f>
        <v>0</v>
      </c>
      <c r="P51" s="21">
        <v>0.0</v>
      </c>
      <c r="Q51" s="23">
        <f>IFERROR(P51/P148, "NA")</f>
        <v>0</v>
      </c>
      <c r="R51" s="21">
        <v>0.0</v>
      </c>
      <c r="S51" s="23">
        <f>IFERROR(R51/R148, "NA")</f>
        <v>0</v>
      </c>
      <c r="T51" s="21">
        <v>0.0</v>
      </c>
      <c r="U51" s="23">
        <f>IFERROR(T51/T148, "NA")</f>
        <v>0</v>
      </c>
      <c r="V51" s="21">
        <v>0.0</v>
      </c>
      <c r="W51" s="23">
        <f>IFERROR(V51/V148, "NA")</f>
        <v>0</v>
      </c>
      <c r="X51" s="21">
        <v>0.0</v>
      </c>
      <c r="Y51" s="23">
        <f>IFERROR(X51/X148, "NA")</f>
        <v>0</v>
      </c>
      <c r="Z51" s="21">
        <v>0.0</v>
      </c>
      <c r="AA51" s="23">
        <f>IFERROR(Z51/Z148, "NA")</f>
        <v>0</v>
      </c>
      <c r="AB51" s="28">
        <f t="shared" si="25"/>
        <v>0</v>
      </c>
      <c r="AC51" s="23">
        <f>IFERROR(AB51/AB148, "NA")</f>
        <v>0</v>
      </c>
      <c r="AD51" s="29">
        <f t="shared" si="26"/>
        <v>0</v>
      </c>
      <c r="AE51" s="30">
        <f>IFERROR(AD51/AD148, "NA")</f>
        <v>0</v>
      </c>
      <c r="AF51" s="29" t="str">
        <f t="shared" si="27"/>
        <v>NA</v>
      </c>
      <c r="AG51" s="28">
        <f t="shared" si="28"/>
        <v>0</v>
      </c>
      <c r="AH51" s="23">
        <f>IFERROR(AG51/AG148, "NA")</f>
        <v>0</v>
      </c>
      <c r="AI51" s="29">
        <f t="shared" si="29"/>
        <v>0</v>
      </c>
      <c r="AJ51" s="30">
        <f>IFERROR(AI51/AI148, "NA")</f>
        <v>0</v>
      </c>
      <c r="AK51" s="29" t="str">
        <f t="shared" si="30"/>
        <v>NA</v>
      </c>
      <c r="AL51" s="30" t="str">
        <f>IFERROR(AK51/AK148, "NA")</f>
        <v>NA</v>
      </c>
    </row>
    <row r="52" ht="16.5" customHeight="1">
      <c r="A52" s="65" t="s">
        <v>113</v>
      </c>
      <c r="B52" s="66">
        <f>IFERROR(B46+B47+B48+B49+B50+B51, "NA")</f>
        <v>45.74</v>
      </c>
      <c r="C52" s="67">
        <f>IFERROR(B52/B148, "NA")</f>
        <v>0.0007447279643</v>
      </c>
      <c r="D52" s="66">
        <f>IFERROR(D46+D47+D48+D49+D50+D51, "NA")</f>
        <v>65.21</v>
      </c>
      <c r="E52" s="67">
        <f>IFERROR(D52/D148, "NA")</f>
        <v>0.001139565592</v>
      </c>
      <c r="F52" s="66">
        <f>IFERROR(F46+F47+F48+F49+F50+F51, "NA")</f>
        <v>63.79</v>
      </c>
      <c r="G52" s="67">
        <f>IFERROR(F52/F148, "NA")</f>
        <v>0.001545338946</v>
      </c>
      <c r="H52" s="66">
        <f>IFERROR(H46+H47+H48+H49+H50+H51, "NA")</f>
        <v>49.18</v>
      </c>
      <c r="I52" s="67">
        <f>IFERROR(H52/H148, "NA")</f>
        <v>0.002822663497</v>
      </c>
      <c r="J52" s="66">
        <f>IFERROR(J46+J47+J48+J49+J50+J51, "NA")</f>
        <v>75.16</v>
      </c>
      <c r="K52" s="67">
        <f>IFERROR(J52/J148, "NA")</f>
        <v>0.001559444161</v>
      </c>
      <c r="L52" s="66">
        <f>IFERROR(L46+L47+L48+L49+L50+L51, "NA")</f>
        <v>48.95</v>
      </c>
      <c r="M52" s="67">
        <f>IFERROR(L52/L148, "NA")</f>
        <v>0.001260695956</v>
      </c>
      <c r="N52" s="66">
        <f>IFERROR(N46+N47+N48+N49+N50+N51, "NA")</f>
        <v>55.7</v>
      </c>
      <c r="O52" s="67">
        <f>IFERROR(N52/N148, "NA")</f>
        <v>0.001479503301</v>
      </c>
      <c r="P52" s="66">
        <f>IFERROR(P46+P47+P48+P49+P50+P51, "NA")</f>
        <v>23.52</v>
      </c>
      <c r="Q52" s="67">
        <f>IFERROR(P52/P148, "NA")</f>
        <v>0.002259383357</v>
      </c>
      <c r="R52" s="66">
        <f>IFERROR(R46+R47+R48+R49+R50+R51, "NA")</f>
        <v>58.35</v>
      </c>
      <c r="S52" s="67">
        <f>IFERROR(R52/R148, "NA")</f>
        <v>0.003252289004</v>
      </c>
      <c r="T52" s="66">
        <f>IFERROR(T46+T47+T48+T49+T50+T51, "NA")</f>
        <v>51.89</v>
      </c>
      <c r="U52" s="67">
        <f>IFERROR(T52/T148, "NA")</f>
        <v>0.001574848555</v>
      </c>
      <c r="V52" s="66">
        <f>IFERROR(V46+V47+V48+V49+V50+V51, "NA")</f>
        <v>20.96</v>
      </c>
      <c r="W52" s="67">
        <f>IFERROR(V52/V148, "NA")</f>
        <v>0.0005264371407</v>
      </c>
      <c r="X52" s="66">
        <f>IFERROR(X46+X47+X48+X49+X50+X51, "NA")</f>
        <v>49.37</v>
      </c>
      <c r="Y52" s="67">
        <f>IFERROR(X52/X148, "NA")</f>
        <v>0.001243595308</v>
      </c>
      <c r="Z52" s="66">
        <f>IFERROR(Z46+Z47+Z48+Z49+Z50+Z51, "NA")</f>
        <v>180.57</v>
      </c>
      <c r="AA52" s="67">
        <f>IFERROR(Z52/Z148, "NA")</f>
        <v>0.001384689993</v>
      </c>
      <c r="AB52" s="66">
        <f t="shared" si="25"/>
        <v>45.1425</v>
      </c>
      <c r="AC52" s="67">
        <f>IFERROR(AB52/AB148, "NA")</f>
        <v>0.001384689993</v>
      </c>
      <c r="AD52" s="75">
        <f t="shared" si="26"/>
        <v>4.2275</v>
      </c>
      <c r="AE52" s="76">
        <f>IFERROR(AD52/AD148, "NA")</f>
        <v>0.0005955693305</v>
      </c>
      <c r="AF52" s="75">
        <f t="shared" si="27"/>
        <v>0.09364789278</v>
      </c>
      <c r="AG52" s="66">
        <f t="shared" si="28"/>
        <v>47.9875</v>
      </c>
      <c r="AH52" s="67">
        <f>IFERROR(AG52/AG148, "NA")</f>
        <v>0.001446023201</v>
      </c>
      <c r="AI52" s="75">
        <f t="shared" si="29"/>
        <v>1.3825</v>
      </c>
      <c r="AJ52" s="76">
        <f>IFERROR(AI52/AI148, "NA")</f>
        <v>0.0002122493189</v>
      </c>
      <c r="AK52" s="75">
        <f t="shared" si="30"/>
        <v>0.02880958583</v>
      </c>
      <c r="AL52" s="76">
        <f>IFERROR(AK52/AK148, "NA")</f>
        <v>0.1467814062</v>
      </c>
    </row>
    <row r="53" ht="16.5" customHeight="1">
      <c r="A53" s="19" t="s">
        <v>114</v>
      </c>
      <c r="B53" s="21">
        <v>57.96</v>
      </c>
      <c r="C53" s="23">
        <f>IFERROR(B53/B148, "NA")</f>
        <v>0.0009436911414</v>
      </c>
      <c r="D53" s="21">
        <v>58.17</v>
      </c>
      <c r="E53" s="23">
        <f>IFERROR(D53/D148, "NA")</f>
        <v>0.001016539341</v>
      </c>
      <c r="F53" s="21">
        <v>40.52</v>
      </c>
      <c r="G53" s="23">
        <f>IFERROR(F53/F148, "NA")</f>
        <v>0.0009816136401</v>
      </c>
      <c r="H53" s="21">
        <v>14.99</v>
      </c>
      <c r="I53" s="23">
        <f>IFERROR(H53/H148, "NA")</f>
        <v>0.0008603441606</v>
      </c>
      <c r="J53" s="21">
        <v>37.88</v>
      </c>
      <c r="K53" s="23">
        <f>IFERROR(J53/J148, "NA")</f>
        <v>0.000785946578</v>
      </c>
      <c r="L53" s="21">
        <v>45.22</v>
      </c>
      <c r="M53" s="23">
        <f>IFERROR(L53/L148, "NA")</f>
        <v>0.001164630666</v>
      </c>
      <c r="N53" s="21">
        <v>53.93</v>
      </c>
      <c r="O53" s="23">
        <f>IFERROR(N53/N148, "NA")</f>
        <v>0.001432488564</v>
      </c>
      <c r="P53" s="21">
        <v>0.0</v>
      </c>
      <c r="Q53" s="23">
        <f>IFERROR(P53/P148, "NA")</f>
        <v>0</v>
      </c>
      <c r="R53" s="21">
        <v>28.29</v>
      </c>
      <c r="S53" s="23">
        <f>IFERROR(R53/R148, "NA")</f>
        <v>0.001576816725</v>
      </c>
      <c r="T53" s="21">
        <v>44.38</v>
      </c>
      <c r="U53" s="23">
        <f>IFERROR(T53/T148, "NA")</f>
        <v>0.001346921928</v>
      </c>
      <c r="V53" s="21">
        <v>81.72</v>
      </c>
      <c r="W53" s="23">
        <f>IFERROR(V53/V148, "NA")</f>
        <v>0.002052502058</v>
      </c>
      <c r="X53" s="21">
        <v>7.2</v>
      </c>
      <c r="Y53" s="23">
        <f>IFERROR(X53/X148, "NA")</f>
        <v>0.0001813628968</v>
      </c>
      <c r="Z53" s="21">
        <v>161.59</v>
      </c>
      <c r="AA53" s="23">
        <f>IFERROR(Z53/Z148, "NA")</f>
        <v>0.001239143024</v>
      </c>
      <c r="AB53" s="28">
        <f t="shared" si="25"/>
        <v>40.3975</v>
      </c>
      <c r="AC53" s="23">
        <f>IFERROR(AB53/AB148, "NA")</f>
        <v>0.001239143024</v>
      </c>
      <c r="AD53" s="29">
        <f t="shared" si="26"/>
        <v>-33.1975</v>
      </c>
      <c r="AE53" s="30">
        <f>IFERROR(AD53/AD148, "NA")</f>
        <v>-0.004676856972</v>
      </c>
      <c r="AF53" s="29">
        <f t="shared" si="27"/>
        <v>-0.8217711492</v>
      </c>
      <c r="AG53" s="28">
        <f t="shared" si="28"/>
        <v>37.3275</v>
      </c>
      <c r="AH53" s="23">
        <f>IFERROR(AG53/AG148, "NA")</f>
        <v>0.001124801897</v>
      </c>
      <c r="AI53" s="29">
        <f t="shared" si="29"/>
        <v>-30.1275</v>
      </c>
      <c r="AJ53" s="30">
        <f>IFERROR(AI53/AI148, "NA")</f>
        <v>-0.004625346368</v>
      </c>
      <c r="AK53" s="29">
        <f t="shared" si="30"/>
        <v>-0.8071127185</v>
      </c>
      <c r="AL53" s="30">
        <f>IFERROR(AK53/AK148, "NA")</f>
        <v>-4.112143108</v>
      </c>
    </row>
    <row r="54" ht="16.5" customHeight="1">
      <c r="A54" s="19" t="s">
        <v>115</v>
      </c>
      <c r="B54" s="21">
        <v>18.31</v>
      </c>
      <c r="C54" s="23">
        <f>IFERROR(B54/B148, "NA")</f>
        <v>0.0002981191304</v>
      </c>
      <c r="D54" s="21">
        <v>12.0</v>
      </c>
      <c r="E54" s="23">
        <f>IFERROR(D54/D148, "NA")</f>
        <v>0.0002097038353</v>
      </c>
      <c r="F54" s="21">
        <v>9.0</v>
      </c>
      <c r="G54" s="23">
        <f>IFERROR(F54/F148, "NA")</f>
        <v>0.000218028696</v>
      </c>
      <c r="H54" s="21">
        <v>9.31</v>
      </c>
      <c r="I54" s="23">
        <f>IFERROR(H54/H148, "NA")</f>
        <v>0.0005343431711</v>
      </c>
      <c r="J54" s="21">
        <v>18.31</v>
      </c>
      <c r="K54" s="23">
        <f>IFERROR(J54/J148, "NA")</f>
        <v>0.0003799018438</v>
      </c>
      <c r="L54" s="21">
        <v>18.0</v>
      </c>
      <c r="M54" s="23">
        <f>IFERROR(L54/L148, "NA")</f>
        <v>0.0004635858468</v>
      </c>
      <c r="N54" s="21">
        <v>12.0</v>
      </c>
      <c r="O54" s="23">
        <f>IFERROR(N54/N148, "NA")</f>
        <v>0.0003187439787</v>
      </c>
      <c r="P54" s="21">
        <v>3.0</v>
      </c>
      <c r="Q54" s="23">
        <f>IFERROR(P54/P148, "NA")</f>
        <v>0.0002881866527</v>
      </c>
      <c r="R54" s="21">
        <v>9.0</v>
      </c>
      <c r="S54" s="23">
        <f>IFERROR(R54/R148, "NA")</f>
        <v>0.0005016384068</v>
      </c>
      <c r="T54" s="21">
        <v>15.31</v>
      </c>
      <c r="U54" s="23">
        <f>IFERROR(T54/T148, "NA")</f>
        <v>0.0004646546805</v>
      </c>
      <c r="V54" s="21">
        <v>15.31</v>
      </c>
      <c r="W54" s="23">
        <f>IFERROR(V54/V148, "NA")</f>
        <v>0.0003845301825</v>
      </c>
      <c r="X54" s="21">
        <v>12.0</v>
      </c>
      <c r="Y54" s="23">
        <f>IFERROR(X54/X148, "NA")</f>
        <v>0.0003022714947</v>
      </c>
      <c r="Z54" s="21">
        <v>51.62</v>
      </c>
      <c r="AA54" s="23">
        <f>IFERROR(Z54/Z148, "NA")</f>
        <v>0.0003958448104</v>
      </c>
      <c r="AB54" s="28">
        <f t="shared" si="25"/>
        <v>12.905</v>
      </c>
      <c r="AC54" s="23">
        <f>IFERROR(AB54/AB148, "NA")</f>
        <v>0.0003958448104</v>
      </c>
      <c r="AD54" s="29">
        <f t="shared" si="26"/>
        <v>-0.905</v>
      </c>
      <c r="AE54" s="30">
        <f>IFERROR(AD54/AD148, "NA")</f>
        <v>-0.0001274962139</v>
      </c>
      <c r="AF54" s="29">
        <f t="shared" si="27"/>
        <v>-0.07012785742</v>
      </c>
      <c r="AG54" s="28">
        <f t="shared" si="28"/>
        <v>12.86625</v>
      </c>
      <c r="AH54" s="23">
        <f>IFERROR(AG54/AG148, "NA")</f>
        <v>0.0003877029645</v>
      </c>
      <c r="AI54" s="29">
        <f t="shared" si="29"/>
        <v>-0.86625</v>
      </c>
      <c r="AJ54" s="30">
        <f>IFERROR(AI54/AI148, "NA")</f>
        <v>-0.0001329916618</v>
      </c>
      <c r="AK54" s="29">
        <f t="shared" si="30"/>
        <v>-0.06732730982</v>
      </c>
      <c r="AL54" s="30">
        <f>IFERROR(AK54/AK148, "NA")</f>
        <v>-0.3430246194</v>
      </c>
    </row>
    <row r="55" ht="16.5" customHeight="1">
      <c r="A55" s="19" t="s">
        <v>116</v>
      </c>
      <c r="B55" s="21">
        <v>-216.91</v>
      </c>
      <c r="C55" s="23">
        <f>IFERROR(B55/B148, "NA")</f>
        <v>-0.003531677803</v>
      </c>
      <c r="D55" s="21">
        <v>-206.29</v>
      </c>
      <c r="E55" s="23">
        <f>IFERROR(D55/D148, "NA")</f>
        <v>-0.003604983682</v>
      </c>
      <c r="F55" s="21">
        <v>-156.97</v>
      </c>
      <c r="G55" s="23">
        <f>IFERROR(F55/F148, "NA")</f>
        <v>-0.003802662712</v>
      </c>
      <c r="H55" s="21">
        <v>-166.08</v>
      </c>
      <c r="I55" s="23">
        <f>IFERROR(H55/H148, "NA")</f>
        <v>-0.00953208527</v>
      </c>
      <c r="J55" s="21">
        <v>-510.21</v>
      </c>
      <c r="K55" s="23">
        <f>IFERROR(J55/J148, "NA")</f>
        <v>-0.01058600326</v>
      </c>
      <c r="L55" s="21">
        <v>-455.18</v>
      </c>
      <c r="M55" s="23">
        <f>IFERROR(L55/L148, "NA")</f>
        <v>-0.01172305588</v>
      </c>
      <c r="N55" s="21">
        <v>-309.6</v>
      </c>
      <c r="O55" s="23">
        <f>IFERROR(N55/N148, "NA")</f>
        <v>-0.008223594651</v>
      </c>
      <c r="P55" s="21">
        <v>-129.46</v>
      </c>
      <c r="Q55" s="23">
        <f>IFERROR(P55/P148, "NA")</f>
        <v>-0.01243621469</v>
      </c>
      <c r="R55" s="21">
        <v>-264.56</v>
      </c>
      <c r="S55" s="23">
        <f>IFERROR(R55/R148, "NA")</f>
        <v>-0.01474593966</v>
      </c>
      <c r="T55" s="21">
        <v>-336.21</v>
      </c>
      <c r="U55" s="23">
        <f>IFERROR(T55/T148, "NA")</f>
        <v>-0.01020388962</v>
      </c>
      <c r="V55" s="21">
        <v>-245.46</v>
      </c>
      <c r="W55" s="23">
        <f>IFERROR(V55/V148, "NA")</f>
        <v>-0.006165041058</v>
      </c>
      <c r="X55" s="21">
        <v>-159.98</v>
      </c>
      <c r="Y55" s="23">
        <f>IFERROR(X55/X148, "NA")</f>
        <v>-0.00402978281</v>
      </c>
      <c r="Z55" s="21">
        <v>-1006.21</v>
      </c>
      <c r="AA55" s="23">
        <f>IFERROR(Z55/Z148, "NA")</f>
        <v>-0.007716059797</v>
      </c>
      <c r="AB55" s="28">
        <f t="shared" si="25"/>
        <v>-251.5525</v>
      </c>
      <c r="AC55" s="23">
        <f>IFERROR(AB55/AB148, "NA")</f>
        <v>-0.007716059797</v>
      </c>
      <c r="AD55" s="29">
        <f t="shared" si="26"/>
        <v>91.5725</v>
      </c>
      <c r="AE55" s="30">
        <f>IFERROR(AD55/AD148, "NA")</f>
        <v>0.01290071496</v>
      </c>
      <c r="AF55" s="29">
        <f t="shared" si="27"/>
        <v>-0.3640293776</v>
      </c>
      <c r="AG55" s="28">
        <f t="shared" si="28"/>
        <v>-301.3325</v>
      </c>
      <c r="AH55" s="23">
        <f>IFERROR(AG55/AG148, "NA")</f>
        <v>-0.009080151834</v>
      </c>
      <c r="AI55" s="29">
        <f t="shared" si="29"/>
        <v>141.3525</v>
      </c>
      <c r="AJ55" s="30">
        <f>IFERROR(AI55/AI148, "NA")</f>
        <v>0.02170124546</v>
      </c>
      <c r="AK55" s="29">
        <f t="shared" si="30"/>
        <v>-0.4690914521</v>
      </c>
      <c r="AL55" s="30">
        <f>IFERROR(AK55/AK148, "NA")</f>
        <v>-2.389965042</v>
      </c>
    </row>
    <row r="56" ht="16.5" customHeight="1">
      <c r="A56" s="65" t="s">
        <v>117</v>
      </c>
      <c r="B56" s="66">
        <f>IFERROR(B37+B39+B40+B41+B42+B43+B46+B47+B48+B49+B50+B51+B53+B54+B55, "NA")</f>
        <v>2222.23</v>
      </c>
      <c r="C56" s="67">
        <f>IFERROR(B56/B148, "NA")</f>
        <v>0.03618182825</v>
      </c>
      <c r="D56" s="66">
        <f>IFERROR(D37+D39+D40+D41+D42+D43+D46+D47+D48+D49+D50+D51+D53+D54+D55, "NA")</f>
        <v>2070.39</v>
      </c>
      <c r="E56" s="67">
        <f>IFERROR(D56/D148, "NA")</f>
        <v>0.03618072696</v>
      </c>
      <c r="F56" s="66">
        <f>IFERROR(F37+F39+F40+F41+F42+F43+F46+F47+F48+F49+F50+F51+F53+F54+F55, "NA")</f>
        <v>1515.1</v>
      </c>
      <c r="G56" s="67">
        <f>IFERROR(F56/F148, "NA")</f>
        <v>0.0367039197</v>
      </c>
      <c r="H56" s="66">
        <f>IFERROR(H37+H39+H40+H41+H42+H43+H46+H47+H48+H49+H50+H51+H53+H54+H55, "NA")</f>
        <v>839.12</v>
      </c>
      <c r="I56" s="67">
        <f>IFERROR(H56/H148, "NA")</f>
        <v>0.04816090674</v>
      </c>
      <c r="J56" s="66">
        <f>IFERROR(J37+J39+J40+J41+J42+J43+J46+J47+J48+J49+J50+J51+J53+J54+J55, "NA")</f>
        <v>1952.79</v>
      </c>
      <c r="K56" s="67">
        <f>IFERROR(J56/J148, "NA")</f>
        <v>0.04051712297</v>
      </c>
      <c r="L56" s="66">
        <f>IFERROR(L37+L39+L40+L41+L42+L43+L46+L47+L48+L49+L50+L51+L53+L54+L55, "NA")</f>
        <v>1148.8</v>
      </c>
      <c r="M56" s="67">
        <f>IFERROR(L56/L148, "NA")</f>
        <v>0.02958707894</v>
      </c>
      <c r="N56" s="66">
        <f>IFERROR(N37+N39+N40+N41+N42+N43+N46+N47+N48+N49+N50+N51+N53+N54+N55, "NA")</f>
        <v>1806.11</v>
      </c>
      <c r="O56" s="67">
        <f>IFERROR(N56/N148, "NA")</f>
        <v>0.04797389062</v>
      </c>
      <c r="P56" s="66">
        <f>IFERROR(P37+P39+P40+P41+P42+P43+P46+P47+P48+P49+P50+P51+P53+P54+P55, "NA")</f>
        <v>250.45</v>
      </c>
      <c r="Q56" s="67">
        <f>IFERROR(P56/P148, "NA")</f>
        <v>0.02405878239</v>
      </c>
      <c r="R56" s="66">
        <f>IFERROR(R37+R39+R40+R41+R42+R43+R46+R47+R48+R49+R50+R51+R53+R54+R55, "NA")</f>
        <v>588.67</v>
      </c>
      <c r="S56" s="67">
        <f>IFERROR(R56/R148, "NA")</f>
        <v>0.03281105344</v>
      </c>
      <c r="T56" s="66">
        <f>IFERROR(T37+T39+T40+T41+T42+T43+T46+T47+T48+T49+T50+T51+T53+T54+T55, "NA")</f>
        <v>1166.72</v>
      </c>
      <c r="U56" s="67">
        <f>IFERROR(T56/T148, "NA")</f>
        <v>0.03540966093</v>
      </c>
      <c r="V56" s="66">
        <f>IFERROR(V37+V39+V40+V41+V42+V43+V46+V47+V48+V49+V50+V51+V53+V54+V55, "NA")</f>
        <v>1397.95</v>
      </c>
      <c r="W56" s="67">
        <f>IFERROR(V56/V148, "NA")</f>
        <v>0.03511129775</v>
      </c>
      <c r="X56" s="66">
        <f>IFERROR(X37+X39+X40+X41+X42+X43+X46+X47+X48+X49+X50+X51+X53+X54+X55, "NA")</f>
        <v>1532.98</v>
      </c>
      <c r="Y56" s="67">
        <f>IFERROR(X56/X148, "NA")</f>
        <v>0.03861467966</v>
      </c>
      <c r="Z56" s="66">
        <f>IFERROR(Z37+Z39+Z40+Z41+Z42+Z43+Z46+Z47+Z48+Z49+Z50+Z51+Z53+Z54+Z55, "NA")</f>
        <v>4686.32</v>
      </c>
      <c r="AA56" s="67">
        <f>IFERROR(Z56/Z148, "NA")</f>
        <v>0.03593675808</v>
      </c>
      <c r="AB56" s="66">
        <f t="shared" si="25"/>
        <v>1171.58</v>
      </c>
      <c r="AC56" s="67">
        <f>IFERROR(AB56/AB148, "NA")</f>
        <v>0.03593675808</v>
      </c>
      <c r="AD56" s="75">
        <f t="shared" si="26"/>
        <v>361.4</v>
      </c>
      <c r="AE56" s="76">
        <f>IFERROR(AD56/AD148, "NA")</f>
        <v>0.05091395767</v>
      </c>
      <c r="AF56" s="75">
        <f t="shared" si="27"/>
        <v>0.3084723194</v>
      </c>
      <c r="AG56" s="66">
        <f t="shared" si="28"/>
        <v>1230.55875</v>
      </c>
      <c r="AH56" s="67">
        <f>IFERROR(AG56/AG148, "NA")</f>
        <v>0.0370808336</v>
      </c>
      <c r="AI56" s="75">
        <f t="shared" si="29"/>
        <v>302.42125</v>
      </c>
      <c r="AJ56" s="76">
        <f>IFERROR(AI56/AI148, "NA")</f>
        <v>0.04642944255</v>
      </c>
      <c r="AK56" s="75">
        <f t="shared" si="30"/>
        <v>0.2457592943</v>
      </c>
      <c r="AL56" s="76">
        <f>IFERROR(AK56/AK148, "NA")</f>
        <v>1.252114315</v>
      </c>
    </row>
    <row r="57" ht="16.5" customHeight="1">
      <c r="A57" s="65" t="s">
        <v>55</v>
      </c>
      <c r="B57" s="118">
        <f>IFERROR(B13+B15+B16+B17+B18+B19+B20+B21+B22+B23+B24+B25+B26+B29+B30+B31+B32+B33+B37+B39+B40+B41+B42+B43+B46+B47+B48+B49+B50+B51+B53+B54+B55, "NA")</f>
        <v>15359.82</v>
      </c>
      <c r="C57" s="92">
        <f>IFERROR(B57/B148, "NA")</f>
        <v>0.2500849908</v>
      </c>
      <c r="D57" s="118">
        <f>IFERROR(D13+D15+D16+D17+D18+D19+D20+D21+D22+D23+D24+D25+D26+D29+D30+D31+D32+D33+D37+D39+D40+D41+D42+D43+D46+D47+D48+D49+D50+D51+D53+D54+D55, "NA")</f>
        <v>14916.77</v>
      </c>
      <c r="E57" s="92">
        <f>IFERROR(D57/D148, "NA")</f>
        <v>0.2606753232</v>
      </c>
      <c r="F57" s="118">
        <f>IFERROR(F13+F15+F16+F17+F18+F19+F20+F21+F22+F23+F24+F25+F26+F29+F30+F31+F32+F33+F37+F39+F40+F41+F42+F43+F46+F47+F48+F49+F50+F51+F53+F54+F55, "NA")</f>
        <v>9686.07</v>
      </c>
      <c r="G57" s="92">
        <f>IFERROR(F57/F148, "NA")</f>
        <v>0.2346490235</v>
      </c>
      <c r="H57" s="118">
        <f>IFERROR(H13+H15+H16+H17+H18+H19+H20+H21+H22+H23+H24+H25+H26+H29+H30+H31+H32+H33+H37+H39+H40+H41+H42+H43+H46+H47+H48+H49+H50+H51+H53+H54+H55, "NA")</f>
        <v>6410.72</v>
      </c>
      <c r="I57" s="92">
        <f>IFERROR(H57/H148, "NA")</f>
        <v>0.367940328</v>
      </c>
      <c r="J57" s="118">
        <f>IFERROR(J13+J15+J16+J17+J18+J19+J20+J21+J22+J23+J24+J25+J26+J29+J30+J31+J32+J33+J37+J39+J40+J41+J42+J43+J46+J47+J48+J49+J50+J51+J53+J54+J55, "NA")</f>
        <v>11402.06</v>
      </c>
      <c r="K57" s="92">
        <f>IFERROR(J57/J148, "NA")</f>
        <v>0.2365736547</v>
      </c>
      <c r="L57" s="118">
        <f>IFERROR(L13+L15+L16+L17+L18+L19+L20+L21+L22+L23+L24+L25+L26+L29+L30+L31+L32+L33+L37+L39+L40+L41+L42+L43+L46+L47+L48+L49+L50+L51+L53+L54+L55, "NA")</f>
        <v>12050.37</v>
      </c>
      <c r="M57" s="92">
        <f>IFERROR(L57/L148, "NA")</f>
        <v>0.3103544989</v>
      </c>
      <c r="N57" s="118">
        <f>IFERROR(N13+N15+N16+N17+N18+N19+N20+N21+N22+N23+N24+N25+N26+N29+N30+N31+N32+N33+N37+N39+N40+N41+N42+N43+N46+N47+N48+N49+N50+N51+N53+N54+N55, "NA")</f>
        <v>10732.53</v>
      </c>
      <c r="O57" s="92">
        <f>IFERROR(N57/N148, "NA")</f>
        <v>0.2850774428</v>
      </c>
      <c r="P57" s="118">
        <f>IFERROR(P13+P15+P16+P17+P18+P19+P20+P21+P22+P23+P24+P25+P26+P29+P30+P31+P32+P33+P37+P39+P40+P41+P42+P43+P46+P47+P48+P49+P50+P51+P53+P54+P55, "NA")</f>
        <v>3132.01</v>
      </c>
      <c r="Q57" s="92">
        <f>IFERROR(P57/P148, "NA")</f>
        <v>0.3008678261</v>
      </c>
      <c r="R57" s="118">
        <f>IFERROR(R13+R15+R16+R17+R18+R19+R20+R21+R22+R23+R24+R25+R26+R29+R30+R31+R32+R33+R37+R39+R40+R41+R42+R43+R46+R47+R48+R49+R50+R51+R53+R54+R55, "NA")</f>
        <v>5802.65</v>
      </c>
      <c r="S57" s="92">
        <f>IFERROR(R57/R148, "NA")</f>
        <v>0.323425789</v>
      </c>
      <c r="T57" s="118">
        <f>IFERROR(T13+T15+T16+T17+T18+T19+T20+T21+T22+T23+T24+T25+T26+T29+T30+T31+T32+T33+T37+T39+T40+T41+T42+T43+T46+T47+T48+T49+T50+T51+T53+T54+T55, "NA")</f>
        <v>8893.36</v>
      </c>
      <c r="U57" s="92">
        <f>IFERROR(T57/T148, "NA")</f>
        <v>0.2699112573</v>
      </c>
      <c r="V57" s="118">
        <f>IFERROR(V13+V15+V16+V17+V18+V19+V20+V21+V22+V23+V24+V25+V26+V29+V30+V31+V32+V33+V37+V39+V40+V41+V42+V43+V46+V47+V48+V49+V50+V51+V53+V54+V55, "NA")</f>
        <v>11559.22</v>
      </c>
      <c r="W57" s="92">
        <f>IFERROR(V57/V148, "NA")</f>
        <v>0.2903245575</v>
      </c>
      <c r="X57" s="118">
        <f>IFERROR(X13+X15+X16+X17+X18+X19+X20+X21+X22+X23+X24+X25+X26+X29+X30+X31+X32+X33+X37+X39+X40+X41+X42+X43+X46+X47+X48+X49+X50+X51+X53+X54+X55, "NA")</f>
        <v>9775.03</v>
      </c>
      <c r="Y57" s="92">
        <f>IFERROR(X57/X148, "NA")</f>
        <v>0.2462260774</v>
      </c>
      <c r="Z57" s="118">
        <f>IFERROR(Z13+Z15+Z16+Z17+Z18+Z19+Z20+Z21+Z22+Z23+Z24+Z25+Z26+Z29+Z30+Z31+Z32+Z33+Z37+Z39+Z40+Z41+Z42+Z43+Z46+Z47+Z48+Z49+Z50+Z51+Z53+Z54+Z55, "NA")</f>
        <v>36030.26</v>
      </c>
      <c r="AA57" s="92">
        <f>IFERROR(Z57/Z148, "NA")</f>
        <v>0.2762958435</v>
      </c>
      <c r="AB57" s="118">
        <f t="shared" si="25"/>
        <v>9007.565</v>
      </c>
      <c r="AC57" s="92">
        <f>IFERROR(AB57/AB148, "NA")</f>
        <v>0.2762958435</v>
      </c>
      <c r="AD57" s="119">
        <f t="shared" si="26"/>
        <v>767.465</v>
      </c>
      <c r="AE57" s="120">
        <f>IFERROR(AD57/AD148, "NA")</f>
        <v>0.1081203113</v>
      </c>
      <c r="AF57" s="119">
        <f t="shared" si="27"/>
        <v>0.08520227165</v>
      </c>
      <c r="AG57" s="118">
        <f t="shared" si="28"/>
        <v>9168.40375</v>
      </c>
      <c r="AH57" s="92">
        <f>IFERROR(AG57/AG148, "NA")</f>
        <v>0.276274541</v>
      </c>
      <c r="AI57" s="119">
        <f t="shared" si="29"/>
        <v>606.62625</v>
      </c>
      <c r="AJ57" s="120">
        <f>IFERROR(AI57/AI148, "NA")</f>
        <v>0.09313273662</v>
      </c>
      <c r="AK57" s="119">
        <f t="shared" si="30"/>
        <v>0.06616487085</v>
      </c>
      <c r="AL57" s="120">
        <f>IFERROR(AK57/AK148, "NA")</f>
        <v>0.3371021314</v>
      </c>
    </row>
    <row r="58" ht="3.75" customHeight="1">
      <c r="A58" s="77"/>
      <c r="B58" s="78"/>
      <c r="C58" s="74"/>
      <c r="D58" s="78"/>
      <c r="E58" s="74"/>
      <c r="F58" s="78"/>
      <c r="G58" s="74"/>
      <c r="H58" s="78"/>
      <c r="I58" s="74"/>
      <c r="J58" s="78"/>
      <c r="K58" s="74"/>
      <c r="L58" s="78"/>
      <c r="M58" s="74"/>
      <c r="N58" s="78"/>
      <c r="O58" s="74"/>
      <c r="P58" s="78"/>
      <c r="Q58" s="74"/>
      <c r="R58" s="78"/>
      <c r="S58" s="74"/>
      <c r="T58" s="78"/>
      <c r="U58" s="74"/>
      <c r="V58" s="78"/>
      <c r="W58" s="74"/>
      <c r="X58" s="78"/>
      <c r="Y58" s="74"/>
      <c r="Z58" s="78"/>
      <c r="AA58" s="74"/>
      <c r="AB58" s="78"/>
      <c r="AC58" s="74"/>
      <c r="AD58" s="79"/>
      <c r="AE58" s="80"/>
      <c r="AF58" s="79"/>
      <c r="AG58" s="78"/>
      <c r="AH58" s="74"/>
      <c r="AI58" s="79"/>
      <c r="AJ58" s="80"/>
      <c r="AK58" s="79"/>
      <c r="AL58" s="80"/>
    </row>
    <row r="59" ht="16.5" customHeight="1">
      <c r="A59" s="121" t="s">
        <v>118</v>
      </c>
      <c r="B59" s="122">
        <f>IFERROR(B9-B57, "NA")</f>
        <v>46058.58</v>
      </c>
      <c r="C59" s="94">
        <f>IFERROR(B59/B148, "NA")</f>
        <v>0.7499150092</v>
      </c>
      <c r="D59" s="122">
        <f>IFERROR(D9-D57, "NA")</f>
        <v>42306.79</v>
      </c>
      <c r="E59" s="94">
        <f>IFERROR(D59/D148, "NA")</f>
        <v>0.7393246768</v>
      </c>
      <c r="F59" s="122">
        <f>IFERROR(F9-F57, "NA")</f>
        <v>31592.9</v>
      </c>
      <c r="G59" s="94">
        <f>IFERROR(F59/F148, "NA")</f>
        <v>0.7653509765</v>
      </c>
      <c r="H59" s="122">
        <f>IFERROR(H9-H57, "NA")</f>
        <v>11012.54</v>
      </c>
      <c r="I59" s="94">
        <f>IFERROR(H59/H148, "NA")</f>
        <v>0.632059672</v>
      </c>
      <c r="J59" s="122">
        <f>IFERROR(J9-J57, "NA")</f>
        <v>36794.6</v>
      </c>
      <c r="K59" s="94">
        <f>IFERROR(J59/J148, "NA")</f>
        <v>0.7634263453</v>
      </c>
      <c r="L59" s="122">
        <f>IFERROR(L9-L57, "NA")</f>
        <v>26777.39</v>
      </c>
      <c r="M59" s="94">
        <f>IFERROR(L59/L148, "NA")</f>
        <v>0.6896455011</v>
      </c>
      <c r="N59" s="122">
        <f>IFERROR(N9-N57, "NA")</f>
        <v>26915.24</v>
      </c>
      <c r="O59" s="94">
        <f>IFERROR(N59/N148, "NA")</f>
        <v>0.7149225572</v>
      </c>
      <c r="P59" s="122">
        <f>IFERROR(P9-P57, "NA")</f>
        <v>7277.91</v>
      </c>
      <c r="Q59" s="94">
        <f>IFERROR(P59/P148, "NA")</f>
        <v>0.6991321739</v>
      </c>
      <c r="R59" s="122">
        <f>IFERROR(R9-R57, "NA")</f>
        <v>12138.56</v>
      </c>
      <c r="S59" s="94">
        <f>IFERROR(R59/R148, "NA")</f>
        <v>0.676574211</v>
      </c>
      <c r="T59" s="122">
        <f>IFERROR(T9-T57, "NA")</f>
        <v>24055.84</v>
      </c>
      <c r="U59" s="94">
        <f>IFERROR(T59/T148, "NA")</f>
        <v>0.7300887427</v>
      </c>
      <c r="V59" s="122">
        <f>IFERROR(V9-V57, "NA")</f>
        <v>28255.6</v>
      </c>
      <c r="W59" s="94">
        <f>IFERROR(V59/V148, "NA")</f>
        <v>0.7096754425</v>
      </c>
      <c r="X59" s="122">
        <f>IFERROR(X9-X57, "NA")</f>
        <v>29924.38</v>
      </c>
      <c r="Y59" s="94">
        <f>IFERROR(X59/X148, "NA")</f>
        <v>0.7537739226</v>
      </c>
      <c r="Z59" s="122">
        <f>IFERROR(Z9-Z57, "NA")</f>
        <v>94374.38</v>
      </c>
      <c r="AA59" s="94">
        <f>IFERROR(Z59/Z148, "NA")</f>
        <v>0.7237041565</v>
      </c>
      <c r="AB59" s="122">
        <f>IFERROR((R59+T59+V59+X59)/4, "NA")</f>
        <v>23593.595</v>
      </c>
      <c r="AC59" s="94">
        <f>IFERROR(AB59/AB148, "NA")</f>
        <v>0.7237041565</v>
      </c>
      <c r="AD59" s="75">
        <f>IFERROR(X59-AB59, "NA")</f>
        <v>6330.785</v>
      </c>
      <c r="AE59" s="76">
        <f>IFERROR(AD59/AD148, "NA")</f>
        <v>0.8918796887</v>
      </c>
      <c r="AF59" s="75">
        <f>IFERROR((X59-AB59)/AB59, "NA")</f>
        <v>0.268326425</v>
      </c>
      <c r="AG59" s="122">
        <f>IFERROR((J59+L59+N59+P59+R59+T59+V59+X59)/8, "NA")</f>
        <v>24017.44</v>
      </c>
      <c r="AH59" s="94">
        <f>IFERROR(AG59/AG148, "NA")</f>
        <v>0.723725459</v>
      </c>
      <c r="AI59" s="75">
        <f>IFERROR(X59-AG59, "NA")</f>
        <v>5906.94</v>
      </c>
      <c r="AJ59" s="76">
        <f>IFERROR(AI59/AI148, "NA")</f>
        <v>0.9068672634</v>
      </c>
      <c r="AK59" s="75">
        <f>IFERROR((X59-AG59)/AG59, "NA")</f>
        <v>0.2459437809</v>
      </c>
      <c r="AL59" s="76">
        <f>IFERROR(AK59/AK148, "NA")</f>
        <v>1.253054252</v>
      </c>
    </row>
    <row r="60" ht="3.75" customHeight="1">
      <c r="A60" s="123"/>
      <c r="B60" s="124"/>
      <c r="C60" s="74"/>
      <c r="D60" s="124"/>
      <c r="E60" s="74"/>
      <c r="F60" s="124"/>
      <c r="G60" s="74"/>
      <c r="H60" s="124"/>
      <c r="I60" s="74"/>
      <c r="J60" s="124"/>
      <c r="K60" s="74"/>
      <c r="L60" s="124"/>
      <c r="M60" s="74"/>
      <c r="N60" s="124"/>
      <c r="O60" s="74"/>
      <c r="P60" s="124"/>
      <c r="Q60" s="74"/>
      <c r="R60" s="124"/>
      <c r="S60" s="74"/>
      <c r="T60" s="124"/>
      <c r="U60" s="74"/>
      <c r="V60" s="124"/>
      <c r="W60" s="74"/>
      <c r="X60" s="124"/>
      <c r="Y60" s="74"/>
      <c r="Z60" s="124"/>
      <c r="AA60" s="74"/>
      <c r="AB60" s="124"/>
      <c r="AC60" s="74"/>
      <c r="AD60" s="125"/>
      <c r="AE60" s="80"/>
      <c r="AF60" s="125"/>
      <c r="AG60" s="124"/>
      <c r="AH60" s="74"/>
      <c r="AI60" s="125"/>
      <c r="AJ60" s="80"/>
      <c r="AK60" s="125"/>
      <c r="AL60" s="80"/>
    </row>
    <row r="61" ht="16.5" customHeight="1">
      <c r="A61" s="13" t="s">
        <v>119</v>
      </c>
      <c r="B61" s="14"/>
      <c r="C61" s="12"/>
      <c r="D61" s="14"/>
      <c r="E61" s="12"/>
      <c r="F61" s="14"/>
      <c r="G61" s="12"/>
      <c r="H61" s="14"/>
      <c r="I61" s="12"/>
      <c r="J61" s="14"/>
      <c r="K61" s="12"/>
      <c r="L61" s="14"/>
      <c r="M61" s="12"/>
      <c r="N61" s="14"/>
      <c r="O61" s="12"/>
      <c r="P61" s="14"/>
      <c r="Q61" s="12"/>
      <c r="R61" s="14"/>
      <c r="S61" s="12"/>
      <c r="T61" s="14"/>
      <c r="U61" s="12"/>
      <c r="V61" s="14"/>
      <c r="W61" s="12"/>
      <c r="X61" s="14"/>
      <c r="Y61" s="12"/>
      <c r="Z61" s="14"/>
      <c r="AA61" s="12"/>
      <c r="AB61" s="14"/>
      <c r="AC61" s="12"/>
      <c r="AD61" s="17"/>
      <c r="AE61" s="18"/>
      <c r="AF61" s="17"/>
      <c r="AG61" s="14"/>
      <c r="AH61" s="12"/>
      <c r="AI61" s="17"/>
      <c r="AJ61" s="18"/>
      <c r="AK61" s="17"/>
      <c r="AL61" s="18"/>
    </row>
    <row r="62" ht="16.5" customHeight="1">
      <c r="A62" s="13" t="s">
        <v>119</v>
      </c>
      <c r="B62" s="14"/>
      <c r="C62" s="12"/>
      <c r="D62" s="14"/>
      <c r="E62" s="12"/>
      <c r="F62" s="14"/>
      <c r="G62" s="12"/>
      <c r="H62" s="14"/>
      <c r="I62" s="12"/>
      <c r="J62" s="14"/>
      <c r="K62" s="12"/>
      <c r="L62" s="14"/>
      <c r="M62" s="12"/>
      <c r="N62" s="14"/>
      <c r="O62" s="12"/>
      <c r="P62" s="14"/>
      <c r="Q62" s="12"/>
      <c r="R62" s="14"/>
      <c r="S62" s="12"/>
      <c r="T62" s="14"/>
      <c r="U62" s="12"/>
      <c r="V62" s="14"/>
      <c r="W62" s="12"/>
      <c r="X62" s="14"/>
      <c r="Y62" s="12"/>
      <c r="Z62" s="14"/>
      <c r="AA62" s="12"/>
      <c r="AB62" s="14"/>
      <c r="AC62" s="12"/>
      <c r="AD62" s="17"/>
      <c r="AE62" s="18"/>
      <c r="AF62" s="17"/>
      <c r="AG62" s="14"/>
      <c r="AH62" s="12"/>
      <c r="AI62" s="17"/>
      <c r="AJ62" s="18"/>
      <c r="AK62" s="17"/>
      <c r="AL62" s="18"/>
    </row>
    <row r="63" ht="16.5" hidden="1" customHeight="1">
      <c r="A63" s="19" t="s">
        <v>120</v>
      </c>
      <c r="B63" s="21">
        <v>0.0</v>
      </c>
      <c r="C63" s="23">
        <f>IFERROR(B63/B148, "NA")</f>
        <v>0</v>
      </c>
      <c r="D63" s="21">
        <v>0.0</v>
      </c>
      <c r="E63" s="23">
        <f>IFERROR(D63/D148, "NA")</f>
        <v>0</v>
      </c>
      <c r="F63" s="21">
        <v>0.0</v>
      </c>
      <c r="G63" s="23">
        <f>IFERROR(F63/F148, "NA")</f>
        <v>0</v>
      </c>
      <c r="H63" s="21">
        <v>0.0</v>
      </c>
      <c r="I63" s="23">
        <f>IFERROR(H63/H148, "NA")</f>
        <v>0</v>
      </c>
      <c r="J63" s="21">
        <v>0.0</v>
      </c>
      <c r="K63" s="23">
        <f>IFERROR(J63/J148, "NA")</f>
        <v>0</v>
      </c>
      <c r="L63" s="21">
        <v>0.0</v>
      </c>
      <c r="M63" s="23">
        <f>IFERROR(L63/L148, "NA")</f>
        <v>0</v>
      </c>
      <c r="N63" s="21">
        <v>0.0</v>
      </c>
      <c r="O63" s="23">
        <f>IFERROR(N63/N148, "NA")</f>
        <v>0</v>
      </c>
      <c r="P63" s="21">
        <v>0.0</v>
      </c>
      <c r="Q63" s="23">
        <f>IFERROR(P63/P148, "NA")</f>
        <v>0</v>
      </c>
      <c r="R63" s="21">
        <v>0.0</v>
      </c>
      <c r="S63" s="23">
        <f>IFERROR(R63/R148, "NA")</f>
        <v>0</v>
      </c>
      <c r="T63" s="21">
        <v>0.0</v>
      </c>
      <c r="U63" s="23">
        <f>IFERROR(T63/T148, "NA")</f>
        <v>0</v>
      </c>
      <c r="V63" s="21">
        <v>0.0</v>
      </c>
      <c r="W63" s="23">
        <f>IFERROR(V63/V148, "NA")</f>
        <v>0</v>
      </c>
      <c r="X63" s="21">
        <v>0.0</v>
      </c>
      <c r="Y63" s="23">
        <f>IFERROR(X63/X148, "NA")</f>
        <v>0</v>
      </c>
      <c r="Z63" s="21">
        <v>0.0</v>
      </c>
      <c r="AA63" s="23">
        <f>IFERROR(Z63/Z148, "NA")</f>
        <v>0</v>
      </c>
      <c r="AB63" s="28">
        <f>IFERROR((R63+T63+V63+X63)/4, "NA")</f>
        <v>0</v>
      </c>
      <c r="AC63" s="23">
        <f>IFERROR(AB63/AB148, "NA")</f>
        <v>0</v>
      </c>
      <c r="AD63" s="29">
        <f>IFERROR(X63-AB63, "NA")</f>
        <v>0</v>
      </c>
      <c r="AE63" s="30">
        <f>IFERROR(AD63/AD148, "NA")</f>
        <v>0</v>
      </c>
      <c r="AF63" s="29" t="str">
        <f>IFERROR((X63-AB63)/AB63, "NA")</f>
        <v>NA</v>
      </c>
      <c r="AG63" s="28">
        <f>IFERROR((J63+L63+N63+P63+R63+T63+V63+X63)/8, "NA")</f>
        <v>0</v>
      </c>
      <c r="AH63" s="23">
        <f>IFERROR(AG63/AG148, "NA")</f>
        <v>0</v>
      </c>
      <c r="AI63" s="29">
        <f>IFERROR(X63-AG63, "NA")</f>
        <v>0</v>
      </c>
      <c r="AJ63" s="30">
        <f>IFERROR(AI63/AI148, "NA")</f>
        <v>0</v>
      </c>
      <c r="AK63" s="29" t="str">
        <f>IFERROR((X63-AG63)/AG63, "NA")</f>
        <v>NA</v>
      </c>
      <c r="AL63" s="30" t="str">
        <f>IFERROR(AK63/AK148, "NA")</f>
        <v>NA</v>
      </c>
    </row>
    <row r="64" ht="16.5" customHeight="1">
      <c r="A64" s="13" t="s">
        <v>121</v>
      </c>
      <c r="B64" s="14"/>
      <c r="C64" s="12"/>
      <c r="D64" s="14"/>
      <c r="E64" s="12"/>
      <c r="F64" s="14"/>
      <c r="G64" s="12"/>
      <c r="H64" s="14"/>
      <c r="I64" s="12"/>
      <c r="J64" s="14"/>
      <c r="K64" s="12"/>
      <c r="L64" s="14"/>
      <c r="M64" s="12"/>
      <c r="N64" s="14"/>
      <c r="O64" s="12"/>
      <c r="P64" s="14"/>
      <c r="Q64" s="12"/>
      <c r="R64" s="14"/>
      <c r="S64" s="12"/>
      <c r="T64" s="14"/>
      <c r="U64" s="12"/>
      <c r="V64" s="14"/>
      <c r="W64" s="12"/>
      <c r="X64" s="14"/>
      <c r="Y64" s="12"/>
      <c r="Z64" s="14"/>
      <c r="AA64" s="12"/>
      <c r="AB64" s="14"/>
      <c r="AC64" s="12"/>
      <c r="AD64" s="17"/>
      <c r="AE64" s="18"/>
      <c r="AF64" s="17"/>
      <c r="AG64" s="14"/>
      <c r="AH64" s="12"/>
      <c r="AI64" s="17"/>
      <c r="AJ64" s="18"/>
      <c r="AK64" s="17"/>
      <c r="AL64" s="18"/>
    </row>
    <row r="65" ht="16.5" hidden="1" customHeight="1">
      <c r="A65" s="19" t="s">
        <v>122</v>
      </c>
      <c r="B65" s="21">
        <v>0.0</v>
      </c>
      <c r="C65" s="23">
        <f>IFERROR(B65/B148, "NA")</f>
        <v>0</v>
      </c>
      <c r="D65" s="21">
        <v>0.0</v>
      </c>
      <c r="E65" s="23">
        <f>IFERROR(D65/D148, "NA")</f>
        <v>0</v>
      </c>
      <c r="F65" s="21">
        <v>0.0</v>
      </c>
      <c r="G65" s="23">
        <f>IFERROR(F65/F148, "NA")</f>
        <v>0</v>
      </c>
      <c r="H65" s="21">
        <v>0.0</v>
      </c>
      <c r="I65" s="23">
        <f>IFERROR(H65/H148, "NA")</f>
        <v>0</v>
      </c>
      <c r="J65" s="21">
        <v>0.0</v>
      </c>
      <c r="K65" s="23">
        <f>IFERROR(J65/J148, "NA")</f>
        <v>0</v>
      </c>
      <c r="L65" s="21">
        <v>0.0</v>
      </c>
      <c r="M65" s="23">
        <f>IFERROR(L65/L148, "NA")</f>
        <v>0</v>
      </c>
      <c r="N65" s="21">
        <v>0.0</v>
      </c>
      <c r="O65" s="23">
        <f>IFERROR(N65/N148, "NA")</f>
        <v>0</v>
      </c>
      <c r="P65" s="21">
        <v>0.0</v>
      </c>
      <c r="Q65" s="23">
        <f>IFERROR(P65/P148, "NA")</f>
        <v>0</v>
      </c>
      <c r="R65" s="21">
        <v>0.0</v>
      </c>
      <c r="S65" s="23">
        <f>IFERROR(R65/R148, "NA")</f>
        <v>0</v>
      </c>
      <c r="T65" s="21">
        <v>0.0</v>
      </c>
      <c r="U65" s="23">
        <f>IFERROR(T65/T148, "NA")</f>
        <v>0</v>
      </c>
      <c r="V65" s="21">
        <v>0.0</v>
      </c>
      <c r="W65" s="23">
        <f>IFERROR(V65/V148, "NA")</f>
        <v>0</v>
      </c>
      <c r="X65" s="21">
        <v>0.0</v>
      </c>
      <c r="Y65" s="23">
        <f>IFERROR(X65/X148, "NA")</f>
        <v>0</v>
      </c>
      <c r="Z65" s="21">
        <v>0.0</v>
      </c>
      <c r="AA65" s="23">
        <f>IFERROR(Z65/Z148, "NA")</f>
        <v>0</v>
      </c>
      <c r="AB65" s="28">
        <f t="shared" ref="AB65:AB72" si="31">IFERROR((R65+T65+V65+X65)/4, "NA")</f>
        <v>0</v>
      </c>
      <c r="AC65" s="23">
        <f>IFERROR(AB65/AB148, "NA")</f>
        <v>0</v>
      </c>
      <c r="AD65" s="29">
        <f t="shared" ref="AD65:AD72" si="32">IFERROR(X65-AB65, "NA")</f>
        <v>0</v>
      </c>
      <c r="AE65" s="30">
        <f>IFERROR(AD65/AD148, "NA")</f>
        <v>0</v>
      </c>
      <c r="AF65" s="29" t="str">
        <f t="shared" ref="AF65:AF72" si="33">IFERROR((X65-AB65)/AB65, "NA")</f>
        <v>NA</v>
      </c>
      <c r="AG65" s="28">
        <f t="shared" ref="AG65:AG72" si="34">IFERROR((J65+L65+N65+P65+R65+T65+V65+X65)/8, "NA")</f>
        <v>0</v>
      </c>
      <c r="AH65" s="23">
        <f>IFERROR(AG65/AG148, "NA")</f>
        <v>0</v>
      </c>
      <c r="AI65" s="29">
        <f t="shared" ref="AI65:AI72" si="35">IFERROR(X65-AG65, "NA")</f>
        <v>0</v>
      </c>
      <c r="AJ65" s="30">
        <f>IFERROR(AI65/AI148, "NA")</f>
        <v>0</v>
      </c>
      <c r="AK65" s="29" t="str">
        <f t="shared" ref="AK65:AK72" si="36">IFERROR((X65-AG65)/AG65, "NA")</f>
        <v>NA</v>
      </c>
      <c r="AL65" s="30" t="str">
        <f>IFERROR(AK65/AK148, "NA")</f>
        <v>NA</v>
      </c>
    </row>
    <row r="66" ht="16.5" customHeight="1">
      <c r="A66" s="19" t="s">
        <v>125</v>
      </c>
      <c r="B66" s="21">
        <v>2519.23</v>
      </c>
      <c r="C66" s="23">
        <f>IFERROR(B66/B148, "NA")</f>
        <v>0.04101751267</v>
      </c>
      <c r="D66" s="21">
        <v>2519.23</v>
      </c>
      <c r="E66" s="23">
        <f>IFERROR(D66/D148, "NA")</f>
        <v>0.04402434941</v>
      </c>
      <c r="F66" s="21">
        <v>2519.23</v>
      </c>
      <c r="G66" s="23">
        <f>IFERROR(F66/F148, "NA")</f>
        <v>0.0610293813</v>
      </c>
      <c r="H66" s="21">
        <v>2519.23</v>
      </c>
      <c r="I66" s="23">
        <f>IFERROR(H66/H148, "NA")</f>
        <v>0.144590048</v>
      </c>
      <c r="J66" s="21">
        <v>2519.23</v>
      </c>
      <c r="K66" s="23">
        <f>IFERROR(J66/J148, "NA")</f>
        <v>0.05226980459</v>
      </c>
      <c r="L66" s="21">
        <v>2519.23</v>
      </c>
      <c r="M66" s="23">
        <f>IFERROR(L66/L148, "NA")</f>
        <v>0.06488218738</v>
      </c>
      <c r="N66" s="21">
        <v>2519.23</v>
      </c>
      <c r="O66" s="23">
        <f>IFERROR(N66/N148, "NA")</f>
        <v>0.06691578279</v>
      </c>
      <c r="P66" s="21">
        <v>2519.23</v>
      </c>
      <c r="Q66" s="23">
        <f>IFERROR(P66/P148, "NA")</f>
        <v>0.2420028204</v>
      </c>
      <c r="R66" s="21">
        <v>2519.23</v>
      </c>
      <c r="S66" s="23">
        <f>IFERROR(R66/R148, "NA")</f>
        <v>0.1404158359</v>
      </c>
      <c r="T66" s="21">
        <v>2519.23</v>
      </c>
      <c r="U66" s="23">
        <f>IFERROR(T66/T148, "NA")</f>
        <v>0.07645800202</v>
      </c>
      <c r="V66" s="21">
        <v>2519.23</v>
      </c>
      <c r="W66" s="23">
        <f>IFERROR(V66/V148, "NA")</f>
        <v>0.06327367548</v>
      </c>
      <c r="X66" s="21">
        <v>2519.23</v>
      </c>
      <c r="Y66" s="23">
        <f>IFERROR(X66/X148, "NA")</f>
        <v>0.06345761814</v>
      </c>
      <c r="Z66" s="21">
        <v>10076.92</v>
      </c>
      <c r="AA66" s="23">
        <f>IFERROR(Z66/Z148, "NA")</f>
        <v>0.07727424423</v>
      </c>
      <c r="AB66" s="28">
        <f t="shared" si="31"/>
        <v>2519.23</v>
      </c>
      <c r="AC66" s="23">
        <f>IFERROR(AB66/AB148, "NA")</f>
        <v>0.07727424423</v>
      </c>
      <c r="AD66" s="29">
        <f t="shared" si="32"/>
        <v>0</v>
      </c>
      <c r="AE66" s="30">
        <f>IFERROR(AD66/AD148, "NA")</f>
        <v>0</v>
      </c>
      <c r="AF66" s="29">
        <f t="shared" si="33"/>
        <v>0</v>
      </c>
      <c r="AG66" s="28">
        <f t="shared" si="34"/>
        <v>2519.23</v>
      </c>
      <c r="AH66" s="23">
        <f>IFERROR(AG66/AG148, "NA")</f>
        <v>0.07591279037</v>
      </c>
      <c r="AI66" s="29">
        <f t="shared" si="35"/>
        <v>0</v>
      </c>
      <c r="AJ66" s="30">
        <f>IFERROR(AI66/AI148, "NA")</f>
        <v>0</v>
      </c>
      <c r="AK66" s="29">
        <f t="shared" si="36"/>
        <v>0</v>
      </c>
      <c r="AL66" s="30">
        <f>IFERROR(AK66/AK148, "NA")</f>
        <v>0</v>
      </c>
    </row>
    <row r="67" ht="16.5" hidden="1" customHeight="1">
      <c r="A67" s="19" t="s">
        <v>126</v>
      </c>
      <c r="B67" s="21">
        <v>0.0</v>
      </c>
      <c r="C67" s="23">
        <f>IFERROR(B67/B148, "NA")</f>
        <v>0</v>
      </c>
      <c r="D67" s="21">
        <v>0.0</v>
      </c>
      <c r="E67" s="23">
        <f>IFERROR(D67/D148, "NA")</f>
        <v>0</v>
      </c>
      <c r="F67" s="21">
        <v>0.0</v>
      </c>
      <c r="G67" s="23">
        <f>IFERROR(F67/F148, "NA")</f>
        <v>0</v>
      </c>
      <c r="H67" s="21">
        <v>0.0</v>
      </c>
      <c r="I67" s="23">
        <f>IFERROR(H67/H148, "NA")</f>
        <v>0</v>
      </c>
      <c r="J67" s="21">
        <v>0.0</v>
      </c>
      <c r="K67" s="23">
        <f>IFERROR(J67/J148, "NA")</f>
        <v>0</v>
      </c>
      <c r="L67" s="21">
        <v>0.0</v>
      </c>
      <c r="M67" s="23">
        <f>IFERROR(L67/L148, "NA")</f>
        <v>0</v>
      </c>
      <c r="N67" s="21">
        <v>0.0</v>
      </c>
      <c r="O67" s="23">
        <f>IFERROR(N67/N148, "NA")</f>
        <v>0</v>
      </c>
      <c r="P67" s="21">
        <v>0.0</v>
      </c>
      <c r="Q67" s="23">
        <f>IFERROR(P67/P148, "NA")</f>
        <v>0</v>
      </c>
      <c r="R67" s="21">
        <v>0.0</v>
      </c>
      <c r="S67" s="23">
        <f>IFERROR(R67/R148, "NA")</f>
        <v>0</v>
      </c>
      <c r="T67" s="21">
        <v>0.0</v>
      </c>
      <c r="U67" s="23">
        <f>IFERROR(T67/T148, "NA")</f>
        <v>0</v>
      </c>
      <c r="V67" s="21">
        <v>0.0</v>
      </c>
      <c r="W67" s="23">
        <f>IFERROR(V67/V148, "NA")</f>
        <v>0</v>
      </c>
      <c r="X67" s="21">
        <v>0.0</v>
      </c>
      <c r="Y67" s="23">
        <f>IFERROR(X67/X148, "NA")</f>
        <v>0</v>
      </c>
      <c r="Z67" s="21">
        <v>0.0</v>
      </c>
      <c r="AA67" s="23">
        <f>IFERROR(Z67/Z148, "NA")</f>
        <v>0</v>
      </c>
      <c r="AB67" s="28">
        <f t="shared" si="31"/>
        <v>0</v>
      </c>
      <c r="AC67" s="23">
        <f>IFERROR(AB67/AB148, "NA")</f>
        <v>0</v>
      </c>
      <c r="AD67" s="29">
        <f t="shared" si="32"/>
        <v>0</v>
      </c>
      <c r="AE67" s="30">
        <f>IFERROR(AD67/AD148, "NA")</f>
        <v>0</v>
      </c>
      <c r="AF67" s="29" t="str">
        <f t="shared" si="33"/>
        <v>NA</v>
      </c>
      <c r="AG67" s="28">
        <f t="shared" si="34"/>
        <v>0</v>
      </c>
      <c r="AH67" s="23">
        <f>IFERROR(AG67/AG148, "NA")</f>
        <v>0</v>
      </c>
      <c r="AI67" s="29">
        <f t="shared" si="35"/>
        <v>0</v>
      </c>
      <c r="AJ67" s="30">
        <f>IFERROR(AI67/AI148, "NA")</f>
        <v>0</v>
      </c>
      <c r="AK67" s="29" t="str">
        <f t="shared" si="36"/>
        <v>NA</v>
      </c>
      <c r="AL67" s="30" t="str">
        <f>IFERROR(AK67/AK148, "NA")</f>
        <v>NA</v>
      </c>
    </row>
    <row r="68" ht="16.5" customHeight="1">
      <c r="A68" s="19" t="s">
        <v>127</v>
      </c>
      <c r="B68" s="21">
        <v>7738.67</v>
      </c>
      <c r="C68" s="23">
        <f>IFERROR(B68/B148, "NA")</f>
        <v>0.125999212</v>
      </c>
      <c r="D68" s="21">
        <v>7035.36</v>
      </c>
      <c r="E68" s="23">
        <f>IFERROR(D68/D148, "NA")</f>
        <v>0.1229451645</v>
      </c>
      <c r="F68" s="21">
        <v>6693.85</v>
      </c>
      <c r="G68" s="23">
        <f>IFERROR(F68/F148, "NA")</f>
        <v>0.1621612652</v>
      </c>
      <c r="H68" s="21">
        <v>3442.74</v>
      </c>
      <c r="I68" s="23">
        <f>IFERROR(H68/H148, "NA")</f>
        <v>0.19759448</v>
      </c>
      <c r="J68" s="21">
        <v>7323.64</v>
      </c>
      <c r="K68" s="23">
        <f>IFERROR(J68/J148, "NA")</f>
        <v>0.1519532681</v>
      </c>
      <c r="L68" s="21">
        <v>6064.21</v>
      </c>
      <c r="M68" s="23">
        <f>IFERROR(L68/L148, "NA")</f>
        <v>0.1561823293</v>
      </c>
      <c r="N68" s="21">
        <v>6084.59</v>
      </c>
      <c r="O68" s="23">
        <f>IFERROR(N68/N148, "NA")</f>
        <v>0.1616188688</v>
      </c>
      <c r="P68" s="21">
        <v>2093.43</v>
      </c>
      <c r="Q68" s="23">
        <f>IFERROR(P68/P148, "NA")</f>
        <v>0.2010995281</v>
      </c>
      <c r="R68" s="21">
        <v>3364.69</v>
      </c>
      <c r="S68" s="23">
        <f>IFERROR(R68/R148, "NA")</f>
        <v>0.1875397479</v>
      </c>
      <c r="T68" s="21">
        <v>5898.01</v>
      </c>
      <c r="U68" s="23">
        <f>IFERROR(T68/T148, "NA")</f>
        <v>0.1790031321</v>
      </c>
      <c r="V68" s="21">
        <v>6219.22</v>
      </c>
      <c r="W68" s="23">
        <f>IFERROR(V68/V148, "NA")</f>
        <v>0.1562036448</v>
      </c>
      <c r="X68" s="21">
        <v>6057.23</v>
      </c>
      <c r="Y68" s="23">
        <f>IFERROR(X68/X148, "NA")</f>
        <v>0.1525773305</v>
      </c>
      <c r="Z68" s="21">
        <v>21539.15</v>
      </c>
      <c r="AA68" s="23">
        <f>IFERROR(Z68/Z148, "NA")</f>
        <v>0.1651716534</v>
      </c>
      <c r="AB68" s="28">
        <f t="shared" si="31"/>
        <v>5384.7875</v>
      </c>
      <c r="AC68" s="23">
        <f>IFERROR(AB68/AB148, "NA")</f>
        <v>0.1651716534</v>
      </c>
      <c r="AD68" s="29">
        <f t="shared" si="32"/>
        <v>672.4425</v>
      </c>
      <c r="AE68" s="30">
        <f>IFERROR(AD68/AD148, "NA")</f>
        <v>0.09473356109</v>
      </c>
      <c r="AF68" s="29">
        <f t="shared" si="33"/>
        <v>0.1248781869</v>
      </c>
      <c r="AG68" s="28">
        <f t="shared" si="34"/>
        <v>5388.1275</v>
      </c>
      <c r="AH68" s="23">
        <f>IFERROR(AG68/AG148, "NA")</f>
        <v>0.1623622271</v>
      </c>
      <c r="AI68" s="29">
        <f t="shared" si="35"/>
        <v>669.1025</v>
      </c>
      <c r="AJ68" s="30">
        <f>IFERROR(AI68/AI148, "NA")</f>
        <v>0.1027244484</v>
      </c>
      <c r="AK68" s="29">
        <f t="shared" si="36"/>
        <v>0.1241808959</v>
      </c>
      <c r="AL68" s="30">
        <f>IFERROR(AK68/AK148, "NA")</f>
        <v>0.6326868644</v>
      </c>
    </row>
    <row r="69" ht="16.5" customHeight="1">
      <c r="A69" s="19" t="s">
        <v>128</v>
      </c>
      <c r="B69" s="21">
        <v>1443.97</v>
      </c>
      <c r="C69" s="23">
        <f>IFERROR(B69/B148, "NA")</f>
        <v>0.02351038125</v>
      </c>
      <c r="D69" s="21">
        <v>1506.46</v>
      </c>
      <c r="E69" s="23">
        <f>IFERROR(D69/D148, "NA")</f>
        <v>0.02632586997</v>
      </c>
      <c r="F69" s="21">
        <v>237.21</v>
      </c>
      <c r="G69" s="23">
        <f>IFERROR(F69/F148, "NA")</f>
        <v>0.005746509663</v>
      </c>
      <c r="H69" s="21">
        <v>0.0</v>
      </c>
      <c r="I69" s="23">
        <f>IFERROR(H69/H148, "NA")</f>
        <v>0</v>
      </c>
      <c r="J69" s="21">
        <v>406.78</v>
      </c>
      <c r="K69" s="23">
        <f>IFERROR(J69/J148, "NA")</f>
        <v>0.008440003934</v>
      </c>
      <c r="L69" s="21">
        <v>0.0</v>
      </c>
      <c r="M69" s="23">
        <f>IFERROR(L69/L148, "NA")</f>
        <v>0</v>
      </c>
      <c r="N69" s="21">
        <v>0.0</v>
      </c>
      <c r="O69" s="23">
        <f>IFERROR(N69/N148, "NA")</f>
        <v>0</v>
      </c>
      <c r="P69" s="21">
        <v>0.0</v>
      </c>
      <c r="Q69" s="23">
        <f>IFERROR(P69/P148, "NA")</f>
        <v>0</v>
      </c>
      <c r="R69" s="21">
        <v>0.0</v>
      </c>
      <c r="S69" s="23">
        <f>IFERROR(R69/R148, "NA")</f>
        <v>0</v>
      </c>
      <c r="T69" s="21">
        <v>0.0</v>
      </c>
      <c r="U69" s="23">
        <f>IFERROR(T69/T148, "NA")</f>
        <v>0</v>
      </c>
      <c r="V69" s="21">
        <v>0.0</v>
      </c>
      <c r="W69" s="23">
        <f>IFERROR(V69/V148, "NA")</f>
        <v>0</v>
      </c>
      <c r="X69" s="21">
        <v>4.73</v>
      </c>
      <c r="Y69" s="23">
        <f>IFERROR(X69/X148, "NA")</f>
        <v>0.0001191453475</v>
      </c>
      <c r="Z69" s="21">
        <v>4.73</v>
      </c>
      <c r="AA69" s="23">
        <f>IFERROR(Z69/Z148, "NA")</f>
        <v>0.00003627171548</v>
      </c>
      <c r="AB69" s="28">
        <f t="shared" si="31"/>
        <v>1.1825</v>
      </c>
      <c r="AC69" s="23">
        <f>IFERROR(AB69/AB148, "NA")</f>
        <v>0.00003627171548</v>
      </c>
      <c r="AD69" s="29">
        <f t="shared" si="32"/>
        <v>3.5475</v>
      </c>
      <c r="AE69" s="30">
        <f>IFERROR(AD69/AD148, "NA")</f>
        <v>0.0004997710703</v>
      </c>
      <c r="AF69" s="29">
        <f t="shared" si="33"/>
        <v>3</v>
      </c>
      <c r="AG69" s="28">
        <f t="shared" si="34"/>
        <v>51.43875</v>
      </c>
      <c r="AH69" s="23">
        <f>IFERROR(AG69/AG148, "NA")</f>
        <v>0.001550020858</v>
      </c>
      <c r="AI69" s="29">
        <f t="shared" si="35"/>
        <v>-46.70875</v>
      </c>
      <c r="AJ69" s="30">
        <f>IFERROR(AI69/AI148, "NA")</f>
        <v>-0.007170994845</v>
      </c>
      <c r="AK69" s="29">
        <f t="shared" si="36"/>
        <v>-0.908045977</v>
      </c>
      <c r="AL69" s="30">
        <f>IFERROR(AK69/AK148, "NA")</f>
        <v>-4.626386031</v>
      </c>
    </row>
    <row r="70" ht="16.5" customHeight="1">
      <c r="A70" s="65" t="s">
        <v>129</v>
      </c>
      <c r="B70" s="66">
        <f>IFERROR(B65+B66+B67+B68+B69, "NA")</f>
        <v>11701.87</v>
      </c>
      <c r="C70" s="67">
        <f>IFERROR(B70/B148, "NA")</f>
        <v>0.1905271059</v>
      </c>
      <c r="D70" s="66">
        <f>IFERROR(D65+D66+D67+D68+D69, "NA")</f>
        <v>11061.05</v>
      </c>
      <c r="E70" s="67">
        <f>IFERROR(D70/D148, "NA")</f>
        <v>0.1932953839</v>
      </c>
      <c r="F70" s="66">
        <f>IFERROR(F65+F66+F67+F68+F69, "NA")</f>
        <v>9450.29</v>
      </c>
      <c r="G70" s="67">
        <f>IFERROR(F70/F148, "NA")</f>
        <v>0.2289371561</v>
      </c>
      <c r="H70" s="66">
        <f>IFERROR(H65+H66+H67+H68+H69, "NA")</f>
        <v>5961.97</v>
      </c>
      <c r="I70" s="67">
        <f>IFERROR(H70/H148, "NA")</f>
        <v>0.342184528</v>
      </c>
      <c r="J70" s="66">
        <f>IFERROR(J65+J66+J67+J68+J69, "NA")</f>
        <v>10249.65</v>
      </c>
      <c r="K70" s="67">
        <f>IFERROR(J70/J148, "NA")</f>
        <v>0.2126630767</v>
      </c>
      <c r="L70" s="66">
        <f>IFERROR(L65+L66+L67+L68+L69, "NA")</f>
        <v>8583.44</v>
      </c>
      <c r="M70" s="67">
        <f>IFERROR(L70/L148, "NA")</f>
        <v>0.2210645167</v>
      </c>
      <c r="N70" s="66">
        <f>IFERROR(N65+N66+N67+N68+N69, "NA")</f>
        <v>8603.82</v>
      </c>
      <c r="O70" s="67">
        <f>IFERROR(N70/N148, "NA")</f>
        <v>0.2285346516</v>
      </c>
      <c r="P70" s="66">
        <f>IFERROR(P65+P66+P67+P68+P69, "NA")</f>
        <v>4612.66</v>
      </c>
      <c r="Q70" s="67">
        <f>IFERROR(P70/P148, "NA")</f>
        <v>0.4431023485</v>
      </c>
      <c r="R70" s="66">
        <f>IFERROR(R65+R66+R67+R68+R69, "NA")</f>
        <v>5883.92</v>
      </c>
      <c r="S70" s="67">
        <f>IFERROR(R70/R148, "NA")</f>
        <v>0.3279555838</v>
      </c>
      <c r="T70" s="66">
        <f>IFERROR(T65+T66+T67+T68+T69, "NA")</f>
        <v>8417.24</v>
      </c>
      <c r="U70" s="67">
        <f>IFERROR(T70/T148, "NA")</f>
        <v>0.2554611341</v>
      </c>
      <c r="V70" s="66">
        <f>IFERROR(V65+V66+V67+V68+V69, "NA")</f>
        <v>8738.45</v>
      </c>
      <c r="W70" s="67">
        <f>IFERROR(V70/V148, "NA")</f>
        <v>0.2194773203</v>
      </c>
      <c r="X70" s="66">
        <f>IFERROR(X65+X66+X67+X68+X69, "NA")</f>
        <v>8581.19</v>
      </c>
      <c r="Y70" s="67">
        <f>IFERROR(X70/X148, "NA")</f>
        <v>0.216154094</v>
      </c>
      <c r="Z70" s="66">
        <f>IFERROR(Z65+Z66+Z67+Z68+Z69, "NA")</f>
        <v>31620.8</v>
      </c>
      <c r="AA70" s="67">
        <f>IFERROR(Z70/Z148, "NA")</f>
        <v>0.2424821693</v>
      </c>
      <c r="AB70" s="66">
        <f t="shared" si="31"/>
        <v>7905.2</v>
      </c>
      <c r="AC70" s="67">
        <f>IFERROR(AB70/AB148, "NA")</f>
        <v>0.2424821693</v>
      </c>
      <c r="AD70" s="75">
        <f t="shared" si="32"/>
        <v>675.99</v>
      </c>
      <c r="AE70" s="76">
        <f>IFERROR(AD70/AD148, "NA")</f>
        <v>0.09523333216</v>
      </c>
      <c r="AF70" s="75">
        <f t="shared" si="33"/>
        <v>0.08551206801</v>
      </c>
      <c r="AG70" s="66">
        <f t="shared" si="34"/>
        <v>7958.79625</v>
      </c>
      <c r="AH70" s="67">
        <f>IFERROR(AG70/AG148, "NA")</f>
        <v>0.2398250383</v>
      </c>
      <c r="AI70" s="75">
        <f t="shared" si="35"/>
        <v>622.39375</v>
      </c>
      <c r="AJ70" s="76">
        <f>IFERROR(AI70/AI148, "NA")</f>
        <v>0.09555345353</v>
      </c>
      <c r="AK70" s="75">
        <f t="shared" si="36"/>
        <v>0.07820199568</v>
      </c>
      <c r="AL70" s="76">
        <f>IFERROR(AK70/AK148, "NA")</f>
        <v>0.3984298478</v>
      </c>
    </row>
    <row r="71" ht="16.5" hidden="1" customHeight="1">
      <c r="A71" s="19" t="s">
        <v>130</v>
      </c>
      <c r="B71" s="21">
        <v>0.0</v>
      </c>
      <c r="C71" s="23">
        <f>IFERROR(B71/B148, "NA")</f>
        <v>0</v>
      </c>
      <c r="D71" s="21">
        <v>0.0</v>
      </c>
      <c r="E71" s="23">
        <f>IFERROR(D71/D148, "NA")</f>
        <v>0</v>
      </c>
      <c r="F71" s="21">
        <v>0.0</v>
      </c>
      <c r="G71" s="23">
        <f>IFERROR(F71/F148, "NA")</f>
        <v>0</v>
      </c>
      <c r="H71" s="21">
        <v>0.0</v>
      </c>
      <c r="I71" s="23">
        <f>IFERROR(H71/H148, "NA")</f>
        <v>0</v>
      </c>
      <c r="J71" s="21">
        <v>0.0</v>
      </c>
      <c r="K71" s="23">
        <f>IFERROR(J71/J148, "NA")</f>
        <v>0</v>
      </c>
      <c r="L71" s="21">
        <v>0.0</v>
      </c>
      <c r="M71" s="23">
        <f>IFERROR(L71/L148, "NA")</f>
        <v>0</v>
      </c>
      <c r="N71" s="21">
        <v>0.0</v>
      </c>
      <c r="O71" s="23">
        <f>IFERROR(N71/N148, "NA")</f>
        <v>0</v>
      </c>
      <c r="P71" s="21">
        <v>0.0</v>
      </c>
      <c r="Q71" s="23">
        <f>IFERROR(P71/P148, "NA")</f>
        <v>0</v>
      </c>
      <c r="R71" s="21">
        <v>0.0</v>
      </c>
      <c r="S71" s="23">
        <f>IFERROR(R71/R148, "NA")</f>
        <v>0</v>
      </c>
      <c r="T71" s="21">
        <v>0.0</v>
      </c>
      <c r="U71" s="23">
        <f>IFERROR(T71/T148, "NA")</f>
        <v>0</v>
      </c>
      <c r="V71" s="21">
        <v>0.0</v>
      </c>
      <c r="W71" s="23">
        <f>IFERROR(V71/V148, "NA")</f>
        <v>0</v>
      </c>
      <c r="X71" s="21">
        <v>0.0</v>
      </c>
      <c r="Y71" s="23">
        <f>IFERROR(X71/X148, "NA")</f>
        <v>0</v>
      </c>
      <c r="Z71" s="21">
        <v>0.0</v>
      </c>
      <c r="AA71" s="23">
        <f>IFERROR(Z71/Z148, "NA")</f>
        <v>0</v>
      </c>
      <c r="AB71" s="28">
        <f t="shared" si="31"/>
        <v>0</v>
      </c>
      <c r="AC71" s="23">
        <f>IFERROR(AB71/AB148, "NA")</f>
        <v>0</v>
      </c>
      <c r="AD71" s="29">
        <f t="shared" si="32"/>
        <v>0</v>
      </c>
      <c r="AE71" s="30">
        <f>IFERROR(AD71/AD148, "NA")</f>
        <v>0</v>
      </c>
      <c r="AF71" s="29" t="str">
        <f t="shared" si="33"/>
        <v>NA</v>
      </c>
      <c r="AG71" s="28">
        <f t="shared" si="34"/>
        <v>0</v>
      </c>
      <c r="AH71" s="23">
        <f>IFERROR(AG71/AG148, "NA")</f>
        <v>0</v>
      </c>
      <c r="AI71" s="29">
        <f t="shared" si="35"/>
        <v>0</v>
      </c>
      <c r="AJ71" s="30">
        <f>IFERROR(AI71/AI148, "NA")</f>
        <v>0</v>
      </c>
      <c r="AK71" s="29" t="str">
        <f t="shared" si="36"/>
        <v>NA</v>
      </c>
      <c r="AL71" s="30" t="str">
        <f>IFERROR(AK71/AK148, "NA")</f>
        <v>NA</v>
      </c>
    </row>
    <row r="72" ht="16.5" customHeight="1">
      <c r="A72" s="19" t="s">
        <v>131</v>
      </c>
      <c r="B72" s="21">
        <v>0.0</v>
      </c>
      <c r="C72" s="23">
        <f>IFERROR(B72/B148, "NA")</f>
        <v>0</v>
      </c>
      <c r="D72" s="21">
        <v>0.0</v>
      </c>
      <c r="E72" s="23">
        <f>IFERROR(D72/D148, "NA")</f>
        <v>0</v>
      </c>
      <c r="F72" s="21">
        <v>-1300.0</v>
      </c>
      <c r="G72" s="23">
        <f>IFERROR(F72/F148, "NA")</f>
        <v>-0.03149303386</v>
      </c>
      <c r="H72" s="21">
        <v>0.0</v>
      </c>
      <c r="I72" s="23">
        <f>IFERROR(H72/H148, "NA")</f>
        <v>0</v>
      </c>
      <c r="J72" s="21">
        <v>0.0</v>
      </c>
      <c r="K72" s="23">
        <f>IFERROR(J72/J148, "NA")</f>
        <v>0</v>
      </c>
      <c r="L72" s="21">
        <v>0.0</v>
      </c>
      <c r="M72" s="23">
        <f>IFERROR(L72/L148, "NA")</f>
        <v>0</v>
      </c>
      <c r="N72" s="21">
        <v>0.0</v>
      </c>
      <c r="O72" s="23">
        <f>IFERROR(N72/N148, "NA")</f>
        <v>0</v>
      </c>
      <c r="P72" s="21">
        <v>1150.0</v>
      </c>
      <c r="Q72" s="23">
        <f>IFERROR(P72/P148, "NA")</f>
        <v>0.1104715502</v>
      </c>
      <c r="R72" s="21">
        <v>0.0</v>
      </c>
      <c r="S72" s="23">
        <f>IFERROR(R72/R148, "NA")</f>
        <v>0</v>
      </c>
      <c r="T72" s="21">
        <v>0.0</v>
      </c>
      <c r="U72" s="23">
        <f>IFERROR(T72/T148, "NA")</f>
        <v>0</v>
      </c>
      <c r="V72" s="21">
        <v>0.0</v>
      </c>
      <c r="W72" s="23">
        <f>IFERROR(V72/V148, "NA")</f>
        <v>0</v>
      </c>
      <c r="X72" s="21">
        <v>1150.0</v>
      </c>
      <c r="Y72" s="23">
        <f>IFERROR(X72/X148, "NA")</f>
        <v>0.02896768491</v>
      </c>
      <c r="Z72" s="21">
        <v>1150.0</v>
      </c>
      <c r="AA72" s="23">
        <f>IFERROR(Z72/Z148, "NA")</f>
        <v>0.008818704611</v>
      </c>
      <c r="AB72" s="28">
        <f t="shared" si="31"/>
        <v>287.5</v>
      </c>
      <c r="AC72" s="23">
        <f>IFERROR(AB72/AB148, "NA")</f>
        <v>0.008818704611</v>
      </c>
      <c r="AD72" s="29">
        <f t="shared" si="32"/>
        <v>862.5</v>
      </c>
      <c r="AE72" s="30">
        <f>IFERROR(AD72/AD148, "NA")</f>
        <v>0.1215088226</v>
      </c>
      <c r="AF72" s="29">
        <f t="shared" si="33"/>
        <v>3</v>
      </c>
      <c r="AG72" s="28">
        <f t="shared" si="34"/>
        <v>287.5</v>
      </c>
      <c r="AH72" s="23">
        <f>IFERROR(AG72/AG148, "NA")</f>
        <v>0.008663332539</v>
      </c>
      <c r="AI72" s="29">
        <f t="shared" si="35"/>
        <v>862.5</v>
      </c>
      <c r="AJ72" s="30">
        <f>IFERROR(AI72/AI148, "NA")</f>
        <v>0.1324159403</v>
      </c>
      <c r="AK72" s="29">
        <f t="shared" si="36"/>
        <v>3</v>
      </c>
      <c r="AL72" s="30">
        <f>IFERROR(AK72/AK148, "NA")</f>
        <v>15.28464246</v>
      </c>
    </row>
    <row r="73" ht="16.5" customHeight="1">
      <c r="A73" s="13" t="s">
        <v>132</v>
      </c>
      <c r="B73" s="14"/>
      <c r="C73" s="12"/>
      <c r="D73" s="14"/>
      <c r="E73" s="12"/>
      <c r="F73" s="14"/>
      <c r="G73" s="12"/>
      <c r="H73" s="14"/>
      <c r="I73" s="12"/>
      <c r="J73" s="14"/>
      <c r="K73" s="12"/>
      <c r="L73" s="14"/>
      <c r="M73" s="12"/>
      <c r="N73" s="14"/>
      <c r="O73" s="12"/>
      <c r="P73" s="14"/>
      <c r="Q73" s="12"/>
      <c r="R73" s="14"/>
      <c r="S73" s="12"/>
      <c r="T73" s="14"/>
      <c r="U73" s="12"/>
      <c r="V73" s="14"/>
      <c r="W73" s="12"/>
      <c r="X73" s="14"/>
      <c r="Y73" s="12"/>
      <c r="Z73" s="14"/>
      <c r="AA73" s="12"/>
      <c r="AB73" s="14"/>
      <c r="AC73" s="12"/>
      <c r="AD73" s="17"/>
      <c r="AE73" s="18"/>
      <c r="AF73" s="17"/>
      <c r="AG73" s="14"/>
      <c r="AH73" s="12"/>
      <c r="AI73" s="17"/>
      <c r="AJ73" s="18"/>
      <c r="AK73" s="17"/>
      <c r="AL73" s="18"/>
    </row>
    <row r="74" ht="16.5" customHeight="1">
      <c r="A74" s="19" t="s">
        <v>133</v>
      </c>
      <c r="B74" s="21">
        <v>1136.55</v>
      </c>
      <c r="C74" s="23">
        <f>IFERROR(B74/B148, "NA")</f>
        <v>0.01850504083</v>
      </c>
      <c r="D74" s="21">
        <v>1010.73</v>
      </c>
      <c r="E74" s="23">
        <f>IFERROR(D74/D148, "NA")</f>
        <v>0.01766282979</v>
      </c>
      <c r="F74" s="21">
        <v>1009.6</v>
      </c>
      <c r="G74" s="23">
        <f>IFERROR(F74/F148, "NA")</f>
        <v>0.02445797461</v>
      </c>
      <c r="H74" s="21">
        <v>549.67</v>
      </c>
      <c r="I74" s="23">
        <f>IFERROR(H74/H148, "NA")</f>
        <v>0.03154805702</v>
      </c>
      <c r="J74" s="21">
        <v>923.32</v>
      </c>
      <c r="K74" s="23">
        <f>IFERROR(J74/J148, "NA")</f>
        <v>0.0191573441</v>
      </c>
      <c r="L74" s="21">
        <v>820.9</v>
      </c>
      <c r="M74" s="23">
        <f>IFERROR(L74/L148, "NA")</f>
        <v>0.02114209009</v>
      </c>
      <c r="N74" s="21">
        <v>785.59</v>
      </c>
      <c r="O74" s="23">
        <f>IFERROR(N74/N148, "NA")</f>
        <v>0.02086684019</v>
      </c>
      <c r="P74" s="21">
        <v>588.54</v>
      </c>
      <c r="Q74" s="23">
        <f>IFERROR(P74/P148, "NA")</f>
        <v>0.05653645753</v>
      </c>
      <c r="R74" s="21">
        <v>686.15</v>
      </c>
      <c r="S74" s="23">
        <f>IFERROR(R74/R148, "NA")</f>
        <v>0.03824435476</v>
      </c>
      <c r="T74" s="21">
        <v>1022.98</v>
      </c>
      <c r="U74" s="23">
        <f>IFERROR(T74/T148, "NA")</f>
        <v>0.03104718779</v>
      </c>
      <c r="V74" s="21">
        <v>1094.22</v>
      </c>
      <c r="W74" s="23">
        <f>IFERROR(V74/V148, "NA")</f>
        <v>0.0274827313</v>
      </c>
      <c r="X74" s="21">
        <v>1025.61</v>
      </c>
      <c r="Y74" s="23">
        <f>IFERROR(X74/X148, "NA")</f>
        <v>0.02583438897</v>
      </c>
      <c r="Z74" s="21">
        <v>3828.96</v>
      </c>
      <c r="AA74" s="23">
        <f>IFERROR(Z74/Z148, "NA")</f>
        <v>0.0293621454</v>
      </c>
      <c r="AB74" s="28">
        <f t="shared" ref="AB74:AB85" si="37">IFERROR((R74+T74+V74+X74)/4, "NA")</f>
        <v>957.24</v>
      </c>
      <c r="AC74" s="23">
        <f>IFERROR(AB74/AB148, "NA")</f>
        <v>0.0293621454</v>
      </c>
      <c r="AD74" s="29">
        <f t="shared" ref="AD74:AD85" si="38">IFERROR(X74-AB74, "NA")</f>
        <v>68.37</v>
      </c>
      <c r="AE74" s="30">
        <f>IFERROR(AD74/AD148, "NA")</f>
        <v>0.009631951537</v>
      </c>
      <c r="AF74" s="29">
        <f t="shared" ref="AF74:AF85" si="39">IFERROR((X74-AB74)/AB74, "NA")</f>
        <v>0.07142409427</v>
      </c>
      <c r="AG74" s="28">
        <f t="shared" ref="AG74:AG85" si="40">IFERROR((J74+L74+N74+P74+R74+T74+V74+X74)/8, "NA")</f>
        <v>868.41375</v>
      </c>
      <c r="AH74" s="23">
        <f>IFERROR(AG74/AG148, "NA")</f>
        <v>0.0261681986</v>
      </c>
      <c r="AI74" s="29">
        <f t="shared" ref="AI74:AI85" si="41">IFERROR(X74-AG74, "NA")</f>
        <v>157.19625</v>
      </c>
      <c r="AJ74" s="30">
        <f>IFERROR(AI74/AI148, "NA")</f>
        <v>0.02413366871</v>
      </c>
      <c r="AK74" s="29">
        <f t="shared" ref="AK74:AK85" si="42">IFERROR((X74-AG74)/AG74, "NA")</f>
        <v>0.1810153858</v>
      </c>
      <c r="AL74" s="30">
        <f>IFERROR(AK74/AK148, "NA")</f>
        <v>0.9222518171</v>
      </c>
    </row>
    <row r="75" ht="16.5" hidden="1" customHeight="1">
      <c r="A75" s="19" t="s">
        <v>134</v>
      </c>
      <c r="B75" s="21">
        <v>0.0</v>
      </c>
      <c r="C75" s="23">
        <f>IFERROR(B75/B148, "NA")</f>
        <v>0</v>
      </c>
      <c r="D75" s="21">
        <v>0.0</v>
      </c>
      <c r="E75" s="23">
        <f>IFERROR(D75/D148, "NA")</f>
        <v>0</v>
      </c>
      <c r="F75" s="21">
        <v>0.0</v>
      </c>
      <c r="G75" s="23">
        <f>IFERROR(F75/F148, "NA")</f>
        <v>0</v>
      </c>
      <c r="H75" s="21">
        <v>0.0</v>
      </c>
      <c r="I75" s="23">
        <f>IFERROR(H75/H148, "NA")</f>
        <v>0</v>
      </c>
      <c r="J75" s="21">
        <v>0.0</v>
      </c>
      <c r="K75" s="23">
        <f>IFERROR(J75/J148, "NA")</f>
        <v>0</v>
      </c>
      <c r="L75" s="21">
        <v>0.0</v>
      </c>
      <c r="M75" s="23">
        <f>IFERROR(L75/L148, "NA")</f>
        <v>0</v>
      </c>
      <c r="N75" s="21">
        <v>0.0</v>
      </c>
      <c r="O75" s="23">
        <f>IFERROR(N75/N148, "NA")</f>
        <v>0</v>
      </c>
      <c r="P75" s="21">
        <v>0.0</v>
      </c>
      <c r="Q75" s="23">
        <f>IFERROR(P75/P148, "NA")</f>
        <v>0</v>
      </c>
      <c r="R75" s="21">
        <v>0.0</v>
      </c>
      <c r="S75" s="23">
        <f>IFERROR(R75/R148, "NA")</f>
        <v>0</v>
      </c>
      <c r="T75" s="21">
        <v>0.0</v>
      </c>
      <c r="U75" s="23">
        <f>IFERROR(T75/T148, "NA")</f>
        <v>0</v>
      </c>
      <c r="V75" s="21">
        <v>0.0</v>
      </c>
      <c r="W75" s="23">
        <f>IFERROR(V75/V148, "NA")</f>
        <v>0</v>
      </c>
      <c r="X75" s="21">
        <v>0.0</v>
      </c>
      <c r="Y75" s="23">
        <f>IFERROR(X75/X148, "NA")</f>
        <v>0</v>
      </c>
      <c r="Z75" s="21">
        <v>0.0</v>
      </c>
      <c r="AA75" s="23">
        <f>IFERROR(Z75/Z148, "NA")</f>
        <v>0</v>
      </c>
      <c r="AB75" s="28">
        <f t="shared" si="37"/>
        <v>0</v>
      </c>
      <c r="AC75" s="23">
        <f>IFERROR(AB75/AB148, "NA")</f>
        <v>0</v>
      </c>
      <c r="AD75" s="29">
        <f t="shared" si="38"/>
        <v>0</v>
      </c>
      <c r="AE75" s="30">
        <f>IFERROR(AD75/AD148, "NA")</f>
        <v>0</v>
      </c>
      <c r="AF75" s="29" t="str">
        <f t="shared" si="39"/>
        <v>NA</v>
      </c>
      <c r="AG75" s="28">
        <f t="shared" si="40"/>
        <v>0</v>
      </c>
      <c r="AH75" s="23">
        <f>IFERROR(AG75/AG148, "NA")</f>
        <v>0</v>
      </c>
      <c r="AI75" s="29">
        <f t="shared" si="41"/>
        <v>0</v>
      </c>
      <c r="AJ75" s="30">
        <f>IFERROR(AI75/AI148, "NA")</f>
        <v>0</v>
      </c>
      <c r="AK75" s="29" t="str">
        <f t="shared" si="42"/>
        <v>NA</v>
      </c>
      <c r="AL75" s="30" t="str">
        <f>IFERROR(AK75/AK148, "NA")</f>
        <v>NA</v>
      </c>
    </row>
    <row r="76" ht="16.5" hidden="1" customHeight="1">
      <c r="A76" s="19" t="s">
        <v>135</v>
      </c>
      <c r="B76" s="21">
        <v>0.0</v>
      </c>
      <c r="C76" s="23">
        <f>IFERROR(B76/B148, "NA")</f>
        <v>0</v>
      </c>
      <c r="D76" s="21">
        <v>0.0</v>
      </c>
      <c r="E76" s="23">
        <f>IFERROR(D76/D148, "NA")</f>
        <v>0</v>
      </c>
      <c r="F76" s="21">
        <v>0.0</v>
      </c>
      <c r="G76" s="23">
        <f>IFERROR(F76/F148, "NA")</f>
        <v>0</v>
      </c>
      <c r="H76" s="21">
        <v>0.0</v>
      </c>
      <c r="I76" s="23">
        <f>IFERROR(H76/H148, "NA")</f>
        <v>0</v>
      </c>
      <c r="J76" s="21">
        <v>0.0</v>
      </c>
      <c r="K76" s="23">
        <f>IFERROR(J76/J148, "NA")</f>
        <v>0</v>
      </c>
      <c r="L76" s="21">
        <v>0.0</v>
      </c>
      <c r="M76" s="23">
        <f>IFERROR(L76/L148, "NA")</f>
        <v>0</v>
      </c>
      <c r="N76" s="21">
        <v>0.0</v>
      </c>
      <c r="O76" s="23">
        <f>IFERROR(N76/N148, "NA")</f>
        <v>0</v>
      </c>
      <c r="P76" s="21">
        <v>0.0</v>
      </c>
      <c r="Q76" s="23">
        <f>IFERROR(P76/P148, "NA")</f>
        <v>0</v>
      </c>
      <c r="R76" s="21">
        <v>0.0</v>
      </c>
      <c r="S76" s="23">
        <f>IFERROR(R76/R148, "NA")</f>
        <v>0</v>
      </c>
      <c r="T76" s="21">
        <v>0.0</v>
      </c>
      <c r="U76" s="23">
        <f>IFERROR(T76/T148, "NA")</f>
        <v>0</v>
      </c>
      <c r="V76" s="21">
        <v>0.0</v>
      </c>
      <c r="W76" s="23">
        <f>IFERROR(V76/V148, "NA")</f>
        <v>0</v>
      </c>
      <c r="X76" s="21">
        <v>0.0</v>
      </c>
      <c r="Y76" s="23">
        <f>IFERROR(X76/X148, "NA")</f>
        <v>0</v>
      </c>
      <c r="Z76" s="21">
        <v>0.0</v>
      </c>
      <c r="AA76" s="23">
        <f>IFERROR(Z76/Z148, "NA")</f>
        <v>0</v>
      </c>
      <c r="AB76" s="28">
        <f t="shared" si="37"/>
        <v>0</v>
      </c>
      <c r="AC76" s="23">
        <f>IFERROR(AB76/AB148, "NA")</f>
        <v>0</v>
      </c>
      <c r="AD76" s="29">
        <f t="shared" si="38"/>
        <v>0</v>
      </c>
      <c r="AE76" s="30">
        <f>IFERROR(AD76/AD148, "NA")</f>
        <v>0</v>
      </c>
      <c r="AF76" s="29" t="str">
        <f t="shared" si="39"/>
        <v>NA</v>
      </c>
      <c r="AG76" s="28">
        <f t="shared" si="40"/>
        <v>0</v>
      </c>
      <c r="AH76" s="23">
        <f>IFERROR(AG76/AG148, "NA")</f>
        <v>0</v>
      </c>
      <c r="AI76" s="29">
        <f t="shared" si="41"/>
        <v>0</v>
      </c>
      <c r="AJ76" s="30">
        <f>IFERROR(AI76/AI148, "NA")</f>
        <v>0</v>
      </c>
      <c r="AK76" s="29" t="str">
        <f t="shared" si="42"/>
        <v>NA</v>
      </c>
      <c r="AL76" s="30" t="str">
        <f>IFERROR(AK76/AK148, "NA")</f>
        <v>NA</v>
      </c>
    </row>
    <row r="77" ht="16.5" hidden="1" customHeight="1">
      <c r="A77" s="19" t="s">
        <v>136</v>
      </c>
      <c r="B77" s="21">
        <v>0.0</v>
      </c>
      <c r="C77" s="23">
        <f>IFERROR(B77/B148, "NA")</f>
        <v>0</v>
      </c>
      <c r="D77" s="21">
        <v>0.0</v>
      </c>
      <c r="E77" s="23">
        <f>IFERROR(D77/D148, "NA")</f>
        <v>0</v>
      </c>
      <c r="F77" s="21">
        <v>0.0</v>
      </c>
      <c r="G77" s="23">
        <f>IFERROR(F77/F148, "NA")</f>
        <v>0</v>
      </c>
      <c r="H77" s="21">
        <v>0.0</v>
      </c>
      <c r="I77" s="23">
        <f>IFERROR(H77/H148, "NA")</f>
        <v>0</v>
      </c>
      <c r="J77" s="21">
        <v>0.0</v>
      </c>
      <c r="K77" s="23">
        <f>IFERROR(J77/J148, "NA")</f>
        <v>0</v>
      </c>
      <c r="L77" s="21">
        <v>0.0</v>
      </c>
      <c r="M77" s="23">
        <f>IFERROR(L77/L148, "NA")</f>
        <v>0</v>
      </c>
      <c r="N77" s="21">
        <v>0.0</v>
      </c>
      <c r="O77" s="23">
        <f>IFERROR(N77/N148, "NA")</f>
        <v>0</v>
      </c>
      <c r="P77" s="21">
        <v>0.0</v>
      </c>
      <c r="Q77" s="23">
        <f>IFERROR(P77/P148, "NA")</f>
        <v>0</v>
      </c>
      <c r="R77" s="21">
        <v>0.0</v>
      </c>
      <c r="S77" s="23">
        <f>IFERROR(R77/R148, "NA")</f>
        <v>0</v>
      </c>
      <c r="T77" s="21">
        <v>0.0</v>
      </c>
      <c r="U77" s="23">
        <f>IFERROR(T77/T148, "NA")</f>
        <v>0</v>
      </c>
      <c r="V77" s="21">
        <v>0.0</v>
      </c>
      <c r="W77" s="23">
        <f>IFERROR(V77/V148, "NA")</f>
        <v>0</v>
      </c>
      <c r="X77" s="21">
        <v>0.0</v>
      </c>
      <c r="Y77" s="23">
        <f>IFERROR(X77/X148, "NA")</f>
        <v>0</v>
      </c>
      <c r="Z77" s="21">
        <v>0.0</v>
      </c>
      <c r="AA77" s="23">
        <f>IFERROR(Z77/Z148, "NA")</f>
        <v>0</v>
      </c>
      <c r="AB77" s="28">
        <f t="shared" si="37"/>
        <v>0</v>
      </c>
      <c r="AC77" s="23">
        <f>IFERROR(AB77/AB148, "NA")</f>
        <v>0</v>
      </c>
      <c r="AD77" s="29">
        <f t="shared" si="38"/>
        <v>0</v>
      </c>
      <c r="AE77" s="30">
        <f>IFERROR(AD77/AD148, "NA")</f>
        <v>0</v>
      </c>
      <c r="AF77" s="29" t="str">
        <f t="shared" si="39"/>
        <v>NA</v>
      </c>
      <c r="AG77" s="28">
        <f t="shared" si="40"/>
        <v>0</v>
      </c>
      <c r="AH77" s="23">
        <f>IFERROR(AG77/AG148, "NA")</f>
        <v>0</v>
      </c>
      <c r="AI77" s="29">
        <f t="shared" si="41"/>
        <v>0</v>
      </c>
      <c r="AJ77" s="30">
        <f>IFERROR(AI77/AI148, "NA")</f>
        <v>0</v>
      </c>
      <c r="AK77" s="29" t="str">
        <f t="shared" si="42"/>
        <v>NA</v>
      </c>
      <c r="AL77" s="30" t="str">
        <f>IFERROR(AK77/AK148, "NA")</f>
        <v>NA</v>
      </c>
    </row>
    <row r="78" ht="16.5" hidden="1" customHeight="1">
      <c r="A78" s="19" t="s">
        <v>137</v>
      </c>
      <c r="B78" s="21">
        <v>0.0</v>
      </c>
      <c r="C78" s="23">
        <f>IFERROR(B78/B148, "NA")</f>
        <v>0</v>
      </c>
      <c r="D78" s="21">
        <v>0.0</v>
      </c>
      <c r="E78" s="23">
        <f>IFERROR(D78/D148, "NA")</f>
        <v>0</v>
      </c>
      <c r="F78" s="21">
        <v>0.0</v>
      </c>
      <c r="G78" s="23">
        <f>IFERROR(F78/F148, "NA")</f>
        <v>0</v>
      </c>
      <c r="H78" s="21">
        <v>0.0</v>
      </c>
      <c r="I78" s="23">
        <f>IFERROR(H78/H148, "NA")</f>
        <v>0</v>
      </c>
      <c r="J78" s="21">
        <v>0.0</v>
      </c>
      <c r="K78" s="23">
        <f>IFERROR(J78/J148, "NA")</f>
        <v>0</v>
      </c>
      <c r="L78" s="21">
        <v>0.0</v>
      </c>
      <c r="M78" s="23">
        <f>IFERROR(L78/L148, "NA")</f>
        <v>0</v>
      </c>
      <c r="N78" s="21">
        <v>0.0</v>
      </c>
      <c r="O78" s="23">
        <f>IFERROR(N78/N148, "NA")</f>
        <v>0</v>
      </c>
      <c r="P78" s="21">
        <v>0.0</v>
      </c>
      <c r="Q78" s="23">
        <f>IFERROR(P78/P148, "NA")</f>
        <v>0</v>
      </c>
      <c r="R78" s="21">
        <v>0.0</v>
      </c>
      <c r="S78" s="23">
        <f>IFERROR(R78/R148, "NA")</f>
        <v>0</v>
      </c>
      <c r="T78" s="21">
        <v>0.0</v>
      </c>
      <c r="U78" s="23">
        <f>IFERROR(T78/T148, "NA")</f>
        <v>0</v>
      </c>
      <c r="V78" s="21">
        <v>0.0</v>
      </c>
      <c r="W78" s="23">
        <f>IFERROR(V78/V148, "NA")</f>
        <v>0</v>
      </c>
      <c r="X78" s="21">
        <v>0.0</v>
      </c>
      <c r="Y78" s="23">
        <f>IFERROR(X78/X148, "NA")</f>
        <v>0</v>
      </c>
      <c r="Z78" s="21">
        <v>0.0</v>
      </c>
      <c r="AA78" s="23">
        <f>IFERROR(Z78/Z148, "NA")</f>
        <v>0</v>
      </c>
      <c r="AB78" s="28">
        <f t="shared" si="37"/>
        <v>0</v>
      </c>
      <c r="AC78" s="23">
        <f>IFERROR(AB78/AB148, "NA")</f>
        <v>0</v>
      </c>
      <c r="AD78" s="29">
        <f t="shared" si="38"/>
        <v>0</v>
      </c>
      <c r="AE78" s="30">
        <f>IFERROR(AD78/AD148, "NA")</f>
        <v>0</v>
      </c>
      <c r="AF78" s="29" t="str">
        <f t="shared" si="39"/>
        <v>NA</v>
      </c>
      <c r="AG78" s="28">
        <f t="shared" si="40"/>
        <v>0</v>
      </c>
      <c r="AH78" s="23">
        <f>IFERROR(AG78/AG148, "NA")</f>
        <v>0</v>
      </c>
      <c r="AI78" s="29">
        <f t="shared" si="41"/>
        <v>0</v>
      </c>
      <c r="AJ78" s="30">
        <f>IFERROR(AI78/AI148, "NA")</f>
        <v>0</v>
      </c>
      <c r="AK78" s="29" t="str">
        <f t="shared" si="42"/>
        <v>NA</v>
      </c>
      <c r="AL78" s="30" t="str">
        <f>IFERROR(AK78/AK148, "NA")</f>
        <v>NA</v>
      </c>
    </row>
    <row r="79" ht="16.5" hidden="1" customHeight="1">
      <c r="A79" s="19" t="s">
        <v>139</v>
      </c>
      <c r="B79" s="21">
        <v>0.0</v>
      </c>
      <c r="C79" s="23">
        <f>IFERROR(B79/B148, "NA")</f>
        <v>0</v>
      </c>
      <c r="D79" s="21">
        <v>0.0</v>
      </c>
      <c r="E79" s="23">
        <f>IFERROR(D79/D148, "NA")</f>
        <v>0</v>
      </c>
      <c r="F79" s="21">
        <v>0.0</v>
      </c>
      <c r="G79" s="23">
        <f>IFERROR(F79/F148, "NA")</f>
        <v>0</v>
      </c>
      <c r="H79" s="21">
        <v>0.0</v>
      </c>
      <c r="I79" s="23">
        <f>IFERROR(H79/H148, "NA")</f>
        <v>0</v>
      </c>
      <c r="J79" s="21">
        <v>0.0</v>
      </c>
      <c r="K79" s="23">
        <f>IFERROR(J79/J148, "NA")</f>
        <v>0</v>
      </c>
      <c r="L79" s="21">
        <v>0.0</v>
      </c>
      <c r="M79" s="23">
        <f>IFERROR(L79/L148, "NA")</f>
        <v>0</v>
      </c>
      <c r="N79" s="21">
        <v>0.0</v>
      </c>
      <c r="O79" s="23">
        <f>IFERROR(N79/N148, "NA")</f>
        <v>0</v>
      </c>
      <c r="P79" s="21">
        <v>0.0</v>
      </c>
      <c r="Q79" s="23">
        <f>IFERROR(P79/P148, "NA")</f>
        <v>0</v>
      </c>
      <c r="R79" s="21">
        <v>0.0</v>
      </c>
      <c r="S79" s="23">
        <f>IFERROR(R79/R148, "NA")</f>
        <v>0</v>
      </c>
      <c r="T79" s="21">
        <v>0.0</v>
      </c>
      <c r="U79" s="23">
        <f>IFERROR(T79/T148, "NA")</f>
        <v>0</v>
      </c>
      <c r="V79" s="21">
        <v>0.0</v>
      </c>
      <c r="W79" s="23">
        <f>IFERROR(V79/V148, "NA")</f>
        <v>0</v>
      </c>
      <c r="X79" s="21">
        <v>0.0</v>
      </c>
      <c r="Y79" s="23">
        <f>IFERROR(X79/X148, "NA")</f>
        <v>0</v>
      </c>
      <c r="Z79" s="21">
        <v>0.0</v>
      </c>
      <c r="AA79" s="23">
        <f>IFERROR(Z79/Z148, "NA")</f>
        <v>0</v>
      </c>
      <c r="AB79" s="28">
        <f t="shared" si="37"/>
        <v>0</v>
      </c>
      <c r="AC79" s="23">
        <f>IFERROR(AB79/AB148, "NA")</f>
        <v>0</v>
      </c>
      <c r="AD79" s="29">
        <f t="shared" si="38"/>
        <v>0</v>
      </c>
      <c r="AE79" s="30">
        <f>IFERROR(AD79/AD148, "NA")</f>
        <v>0</v>
      </c>
      <c r="AF79" s="29" t="str">
        <f t="shared" si="39"/>
        <v>NA</v>
      </c>
      <c r="AG79" s="28">
        <f t="shared" si="40"/>
        <v>0</v>
      </c>
      <c r="AH79" s="23">
        <f>IFERROR(AG79/AG148, "NA")</f>
        <v>0</v>
      </c>
      <c r="AI79" s="29">
        <f t="shared" si="41"/>
        <v>0</v>
      </c>
      <c r="AJ79" s="30">
        <f>IFERROR(AI79/AI148, "NA")</f>
        <v>0</v>
      </c>
      <c r="AK79" s="29" t="str">
        <f t="shared" si="42"/>
        <v>NA</v>
      </c>
      <c r="AL79" s="30" t="str">
        <f>IFERROR(AK79/AK148, "NA")</f>
        <v>NA</v>
      </c>
    </row>
    <row r="80" ht="16.5" hidden="1" customHeight="1">
      <c r="A80" s="19" t="s">
        <v>141</v>
      </c>
      <c r="B80" s="21">
        <v>0.0</v>
      </c>
      <c r="C80" s="23">
        <f>IFERROR(B80/B148, "NA")</f>
        <v>0</v>
      </c>
      <c r="D80" s="21">
        <v>0.0</v>
      </c>
      <c r="E80" s="23">
        <f>IFERROR(D80/D148, "NA")</f>
        <v>0</v>
      </c>
      <c r="F80" s="21">
        <v>0.0</v>
      </c>
      <c r="G80" s="23">
        <f>IFERROR(F80/F148, "NA")</f>
        <v>0</v>
      </c>
      <c r="H80" s="21">
        <v>0.0</v>
      </c>
      <c r="I80" s="23">
        <f>IFERROR(H80/H148, "NA")</f>
        <v>0</v>
      </c>
      <c r="J80" s="21">
        <v>0.0</v>
      </c>
      <c r="K80" s="23">
        <f>IFERROR(J80/J148, "NA")</f>
        <v>0</v>
      </c>
      <c r="L80" s="21">
        <v>0.0</v>
      </c>
      <c r="M80" s="23">
        <f>IFERROR(L80/L148, "NA")</f>
        <v>0</v>
      </c>
      <c r="N80" s="21">
        <v>0.0</v>
      </c>
      <c r="O80" s="23">
        <f>IFERROR(N80/N148, "NA")</f>
        <v>0</v>
      </c>
      <c r="P80" s="21">
        <v>0.0</v>
      </c>
      <c r="Q80" s="23">
        <f>IFERROR(P80/P148, "NA")</f>
        <v>0</v>
      </c>
      <c r="R80" s="21">
        <v>0.0</v>
      </c>
      <c r="S80" s="23">
        <f>IFERROR(R80/R148, "NA")</f>
        <v>0</v>
      </c>
      <c r="T80" s="21">
        <v>0.0</v>
      </c>
      <c r="U80" s="23">
        <f>IFERROR(T80/T148, "NA")</f>
        <v>0</v>
      </c>
      <c r="V80" s="21">
        <v>0.0</v>
      </c>
      <c r="W80" s="23">
        <f>IFERROR(V80/V148, "NA")</f>
        <v>0</v>
      </c>
      <c r="X80" s="21">
        <v>0.0</v>
      </c>
      <c r="Y80" s="23">
        <f>IFERROR(X80/X148, "NA")</f>
        <v>0</v>
      </c>
      <c r="Z80" s="21">
        <v>0.0</v>
      </c>
      <c r="AA80" s="23">
        <f>IFERROR(Z80/Z148, "NA")</f>
        <v>0</v>
      </c>
      <c r="AB80" s="28">
        <f t="shared" si="37"/>
        <v>0</v>
      </c>
      <c r="AC80" s="23">
        <f>IFERROR(AB80/AB148, "NA")</f>
        <v>0</v>
      </c>
      <c r="AD80" s="29">
        <f t="shared" si="38"/>
        <v>0</v>
      </c>
      <c r="AE80" s="30">
        <f>IFERROR(AD80/AD148, "NA")</f>
        <v>0</v>
      </c>
      <c r="AF80" s="29" t="str">
        <f t="shared" si="39"/>
        <v>NA</v>
      </c>
      <c r="AG80" s="28">
        <f t="shared" si="40"/>
        <v>0</v>
      </c>
      <c r="AH80" s="23">
        <f>IFERROR(AG80/AG148, "NA")</f>
        <v>0</v>
      </c>
      <c r="AI80" s="29">
        <f t="shared" si="41"/>
        <v>0</v>
      </c>
      <c r="AJ80" s="30">
        <f>IFERROR(AI80/AI148, "NA")</f>
        <v>0</v>
      </c>
      <c r="AK80" s="29" t="str">
        <f t="shared" si="42"/>
        <v>NA</v>
      </c>
      <c r="AL80" s="30" t="str">
        <f>IFERROR(AK80/AK148, "NA")</f>
        <v>NA</v>
      </c>
    </row>
    <row r="81" ht="16.5" customHeight="1">
      <c r="A81" s="65" t="s">
        <v>142</v>
      </c>
      <c r="B81" s="66">
        <f>IFERROR(B74+B75+B76+B77+B78+B79+B80, "NA")</f>
        <v>1136.55</v>
      </c>
      <c r="C81" s="67">
        <f>IFERROR(B81/B148, "NA")</f>
        <v>0.01850504083</v>
      </c>
      <c r="D81" s="66">
        <f>IFERROR(D74+D75+D76+D77+D78+D79+D80, "NA")</f>
        <v>1010.73</v>
      </c>
      <c r="E81" s="67">
        <f>IFERROR(D81/D148, "NA")</f>
        <v>0.01766282979</v>
      </c>
      <c r="F81" s="66">
        <f>IFERROR(F74+F75+F76+F77+F78+F79+F80, "NA")</f>
        <v>1009.6</v>
      </c>
      <c r="G81" s="67">
        <f>IFERROR(F81/F148, "NA")</f>
        <v>0.02445797461</v>
      </c>
      <c r="H81" s="66">
        <f>IFERROR(H74+H75+H76+H77+H78+H79+H80, "NA")</f>
        <v>549.67</v>
      </c>
      <c r="I81" s="67">
        <f>IFERROR(H81/H148, "NA")</f>
        <v>0.03154805702</v>
      </c>
      <c r="J81" s="66">
        <f>IFERROR(J74+J75+J76+J77+J78+J79+J80, "NA")</f>
        <v>923.32</v>
      </c>
      <c r="K81" s="67">
        <f>IFERROR(J81/J148, "NA")</f>
        <v>0.0191573441</v>
      </c>
      <c r="L81" s="66">
        <f>IFERROR(L74+L75+L76+L77+L78+L79+L80, "NA")</f>
        <v>820.9</v>
      </c>
      <c r="M81" s="67">
        <f>IFERROR(L81/L148, "NA")</f>
        <v>0.02114209009</v>
      </c>
      <c r="N81" s="66">
        <f>IFERROR(N74+N75+N76+N77+N78+N79+N80, "NA")</f>
        <v>785.59</v>
      </c>
      <c r="O81" s="67">
        <f>IFERROR(N81/N148, "NA")</f>
        <v>0.02086684019</v>
      </c>
      <c r="P81" s="66">
        <f>IFERROR(P74+P75+P76+P77+P78+P79+P80, "NA")</f>
        <v>588.54</v>
      </c>
      <c r="Q81" s="67">
        <f>IFERROR(P81/P148, "NA")</f>
        <v>0.05653645753</v>
      </c>
      <c r="R81" s="66">
        <f>IFERROR(R74+R75+R76+R77+R78+R79+R80, "NA")</f>
        <v>686.15</v>
      </c>
      <c r="S81" s="67">
        <f>IFERROR(R81/R148, "NA")</f>
        <v>0.03824435476</v>
      </c>
      <c r="T81" s="66">
        <f>IFERROR(T74+T75+T76+T77+T78+T79+T80, "NA")</f>
        <v>1022.98</v>
      </c>
      <c r="U81" s="67">
        <f>IFERROR(T81/T148, "NA")</f>
        <v>0.03104718779</v>
      </c>
      <c r="V81" s="66">
        <f>IFERROR(V74+V75+V76+V77+V78+V79+V80, "NA")</f>
        <v>1094.22</v>
      </c>
      <c r="W81" s="67">
        <f>IFERROR(V81/V148, "NA")</f>
        <v>0.0274827313</v>
      </c>
      <c r="X81" s="66">
        <f>IFERROR(X74+X75+X76+X77+X78+X79+X80, "NA")</f>
        <v>1025.61</v>
      </c>
      <c r="Y81" s="67">
        <f>IFERROR(X81/X148, "NA")</f>
        <v>0.02583438897</v>
      </c>
      <c r="Z81" s="66">
        <f>IFERROR(Z74+Z75+Z76+Z77+Z78+Z79+Z80, "NA")</f>
        <v>3828.96</v>
      </c>
      <c r="AA81" s="67">
        <f>IFERROR(Z81/Z148, "NA")</f>
        <v>0.0293621454</v>
      </c>
      <c r="AB81" s="66">
        <f t="shared" si="37"/>
        <v>957.24</v>
      </c>
      <c r="AC81" s="67">
        <f>IFERROR(AB81/AB148, "NA")</f>
        <v>0.0293621454</v>
      </c>
      <c r="AD81" s="75">
        <f t="shared" si="38"/>
        <v>68.37</v>
      </c>
      <c r="AE81" s="76">
        <f>IFERROR(AD81/AD148, "NA")</f>
        <v>0.009631951537</v>
      </c>
      <c r="AF81" s="75">
        <f t="shared" si="39"/>
        <v>0.07142409427</v>
      </c>
      <c r="AG81" s="66">
        <f t="shared" si="40"/>
        <v>868.41375</v>
      </c>
      <c r="AH81" s="67">
        <f>IFERROR(AG81/AG148, "NA")</f>
        <v>0.0261681986</v>
      </c>
      <c r="AI81" s="75">
        <f t="shared" si="41"/>
        <v>157.19625</v>
      </c>
      <c r="AJ81" s="76">
        <f>IFERROR(AI81/AI148, "NA")</f>
        <v>0.02413366871</v>
      </c>
      <c r="AK81" s="75">
        <f t="shared" si="42"/>
        <v>0.1810153858</v>
      </c>
      <c r="AL81" s="76">
        <f>IFERROR(AK81/AK148, "NA")</f>
        <v>0.9222518171</v>
      </c>
    </row>
    <row r="82" ht="16.5" customHeight="1">
      <c r="A82" s="19" t="s">
        <v>145</v>
      </c>
      <c r="B82" s="21">
        <v>0.0</v>
      </c>
      <c r="C82" s="23">
        <f>IFERROR(B82/B148, "NA")</f>
        <v>0</v>
      </c>
      <c r="D82" s="21">
        <v>0.0</v>
      </c>
      <c r="E82" s="23">
        <f>IFERROR(D82/D148, "NA")</f>
        <v>0</v>
      </c>
      <c r="F82" s="21">
        <v>0.0</v>
      </c>
      <c r="G82" s="23">
        <f>IFERROR(F82/F148, "NA")</f>
        <v>0</v>
      </c>
      <c r="H82" s="21">
        <v>250.16</v>
      </c>
      <c r="I82" s="23">
        <f>IFERROR(H82/H148, "NA")</f>
        <v>0.01435781823</v>
      </c>
      <c r="J82" s="21">
        <v>0.0</v>
      </c>
      <c r="K82" s="23">
        <f>IFERROR(J82/J148, "NA")</f>
        <v>0</v>
      </c>
      <c r="L82" s="21">
        <v>0.0</v>
      </c>
      <c r="M82" s="23">
        <f>IFERROR(L82/L148, "NA")</f>
        <v>0</v>
      </c>
      <c r="N82" s="21">
        <v>0.0</v>
      </c>
      <c r="O82" s="23">
        <f>IFERROR(N82/N148, "NA")</f>
        <v>0</v>
      </c>
      <c r="P82" s="21">
        <v>0.0</v>
      </c>
      <c r="Q82" s="23">
        <f>IFERROR(P82/P148, "NA")</f>
        <v>0</v>
      </c>
      <c r="R82" s="21">
        <v>250.16</v>
      </c>
      <c r="S82" s="23">
        <f>IFERROR(R82/R148, "NA")</f>
        <v>0.0139433182</v>
      </c>
      <c r="T82" s="21">
        <v>0.0</v>
      </c>
      <c r="U82" s="23">
        <f>IFERROR(T82/T148, "NA")</f>
        <v>0</v>
      </c>
      <c r="V82" s="21">
        <v>0.0</v>
      </c>
      <c r="W82" s="23">
        <f>IFERROR(V82/V148, "NA")</f>
        <v>0</v>
      </c>
      <c r="X82" s="21">
        <v>0.0</v>
      </c>
      <c r="Y82" s="23">
        <f>IFERROR(X82/X148, "NA")</f>
        <v>0</v>
      </c>
      <c r="Z82" s="21">
        <v>250.16</v>
      </c>
      <c r="AA82" s="23">
        <f>IFERROR(Z82/Z148, "NA")</f>
        <v>0.001918336648</v>
      </c>
      <c r="AB82" s="28">
        <f t="shared" si="37"/>
        <v>62.54</v>
      </c>
      <c r="AC82" s="23">
        <f>IFERROR(AB82/AB148, "NA")</f>
        <v>0.001918336648</v>
      </c>
      <c r="AD82" s="29">
        <f t="shared" si="38"/>
        <v>-62.54</v>
      </c>
      <c r="AE82" s="30">
        <f>IFERROR(AD82/AD148, "NA")</f>
        <v>-0.008810622336</v>
      </c>
      <c r="AF82" s="29">
        <f t="shared" si="39"/>
        <v>-1</v>
      </c>
      <c r="AG82" s="28">
        <f t="shared" si="40"/>
        <v>31.27</v>
      </c>
      <c r="AH82" s="23">
        <f>IFERROR(AG82/AG148, "NA")</f>
        <v>0.000942269247</v>
      </c>
      <c r="AI82" s="29">
        <f t="shared" si="41"/>
        <v>-31.27</v>
      </c>
      <c r="AJ82" s="30">
        <f>IFERROR(AI82/AI148, "NA")</f>
        <v>-0.004800749513</v>
      </c>
      <c r="AK82" s="29">
        <f t="shared" si="42"/>
        <v>-1</v>
      </c>
      <c r="AL82" s="30">
        <f>IFERROR(AK82/AK148, "NA")</f>
        <v>-5.094880819</v>
      </c>
    </row>
    <row r="83" ht="16.5" customHeight="1">
      <c r="A83" s="19" t="s">
        <v>147</v>
      </c>
      <c r="B83" s="21">
        <v>-54.42</v>
      </c>
      <c r="C83" s="23">
        <f>IFERROR(B83/B148, "NA")</f>
        <v>-0.0008860536908</v>
      </c>
      <c r="D83" s="21">
        <v>372.33</v>
      </c>
      <c r="E83" s="23">
        <f>IFERROR(D83/D148, "NA")</f>
        <v>0.006506585749</v>
      </c>
      <c r="F83" s="21">
        <v>-54.42</v>
      </c>
      <c r="G83" s="23">
        <f>IFERROR(F83/F148, "NA")</f>
        <v>-0.001318346848</v>
      </c>
      <c r="H83" s="21">
        <v>-54.42</v>
      </c>
      <c r="I83" s="23">
        <f>IFERROR(H83/H148, "NA")</f>
        <v>-0.003123410889</v>
      </c>
      <c r="J83" s="21">
        <v>-61.25</v>
      </c>
      <c r="K83" s="23">
        <f>IFERROR(J83/J148, "NA")</f>
        <v>-0.00127083495</v>
      </c>
      <c r="L83" s="21">
        <v>-61.25</v>
      </c>
      <c r="M83" s="23">
        <f>IFERROR(L83/L148, "NA")</f>
        <v>-0.001577479618</v>
      </c>
      <c r="N83" s="21">
        <v>423.12</v>
      </c>
      <c r="O83" s="23">
        <f>IFERROR(N83/N148, "NA")</f>
        <v>0.01123891269</v>
      </c>
      <c r="P83" s="21">
        <v>-61.25</v>
      </c>
      <c r="Q83" s="23">
        <f>IFERROR(P83/P148, "NA")</f>
        <v>-0.005883810827</v>
      </c>
      <c r="R83" s="21">
        <v>-61.25</v>
      </c>
      <c r="S83" s="23">
        <f>IFERROR(R83/R148, "NA")</f>
        <v>-0.003413928046</v>
      </c>
      <c r="T83" s="21">
        <v>-61.25</v>
      </c>
      <c r="U83" s="23">
        <f>IFERROR(T83/T148, "NA")</f>
        <v>-0.00185892222</v>
      </c>
      <c r="V83" s="21">
        <v>423.12</v>
      </c>
      <c r="W83" s="23">
        <f>IFERROR(V83/V148, "NA")</f>
        <v>0.01062719862</v>
      </c>
      <c r="X83" s="21">
        <v>-61.25</v>
      </c>
      <c r="Y83" s="23">
        <f>IFERROR(X83/X148, "NA")</f>
        <v>-0.001542844088</v>
      </c>
      <c r="Z83" s="21">
        <v>239.37</v>
      </c>
      <c r="AA83" s="23">
        <f>IFERROR(Z83/Z148, "NA")</f>
        <v>0.001835594194</v>
      </c>
      <c r="AB83" s="28">
        <f t="shared" si="37"/>
        <v>59.8425</v>
      </c>
      <c r="AC83" s="23">
        <f>IFERROR(AB83/AB148, "NA")</f>
        <v>0.001835594194</v>
      </c>
      <c r="AD83" s="29">
        <f t="shared" si="38"/>
        <v>-121.0925</v>
      </c>
      <c r="AE83" s="30">
        <f>IFERROR(AD83/AD148, "NA")</f>
        <v>-0.01705948649</v>
      </c>
      <c r="AF83" s="29">
        <f t="shared" si="39"/>
        <v>-2.023520074</v>
      </c>
      <c r="AG83" s="28">
        <f t="shared" si="40"/>
        <v>59.8425</v>
      </c>
      <c r="AH83" s="23">
        <f>IFERROR(AG83/AG148, "NA")</f>
        <v>0.001803253835</v>
      </c>
      <c r="AI83" s="29">
        <f t="shared" si="41"/>
        <v>-121.0925</v>
      </c>
      <c r="AJ83" s="30">
        <f>IFERROR(AI83/AI148, "NA")</f>
        <v>-0.01859081421</v>
      </c>
      <c r="AK83" s="29">
        <f t="shared" si="42"/>
        <v>-2.023520074</v>
      </c>
      <c r="AL83" s="30">
        <f>IFERROR(AK83/AK148, "NA")</f>
        <v>-10.30959361</v>
      </c>
    </row>
    <row r="84" ht="16.5" customHeight="1">
      <c r="A84" s="65" t="s">
        <v>56</v>
      </c>
      <c r="B84" s="66">
        <f>IFERROR(B63+B65+B66+B67+B68+B69+B71+B72+B74+B75+B76+B77+B78+B79+B80+B82+B83, "NA")</f>
        <v>12784</v>
      </c>
      <c r="C84" s="67">
        <f>IFERROR(B84/B148, "NA")</f>
        <v>0.208146093</v>
      </c>
      <c r="D84" s="66">
        <f>IFERROR(D63+D65+D66+D67+D68+D69+D71+D72+D74+D75+D76+D77+D78+D79+D80+D82+D83, "NA")</f>
        <v>12444.11</v>
      </c>
      <c r="E84" s="67">
        <f>IFERROR(D84/D148, "NA")</f>
        <v>0.2174647995</v>
      </c>
      <c r="F84" s="66">
        <f>IFERROR(F63+F65+F66+F67+F68+F69+F71+F72+F74+F75+F76+F77+F78+F79+F80+F82+F83, "NA")</f>
        <v>9105.47</v>
      </c>
      <c r="G84" s="67">
        <f>IFERROR(F84/F148, "NA")</f>
        <v>0.22058375</v>
      </c>
      <c r="H84" s="66">
        <f>IFERROR(H63+H65+H66+H67+H68+H69+H71+H72+H74+H75+H76+H77+H78+H79+H80+H82+H83, "NA")</f>
        <v>6707.38</v>
      </c>
      <c r="I84" s="67">
        <f>IFERROR(H84/H148, "NA")</f>
        <v>0.3849669924</v>
      </c>
      <c r="J84" s="66">
        <f>IFERROR(J63+J65+J66+J67+J68+J69+J71+J72+J74+J75+J76+J77+J78+J79+J80+J82+J83, "NA")</f>
        <v>11111.72</v>
      </c>
      <c r="K84" s="67">
        <f>IFERROR(J84/J148, "NA")</f>
        <v>0.2305495858</v>
      </c>
      <c r="L84" s="66">
        <f>IFERROR(L63+L65+L66+L67+L68+L69+L71+L72+L74+L75+L76+L77+L78+L79+L80+L82+L83, "NA")</f>
        <v>9343.09</v>
      </c>
      <c r="M84" s="67">
        <f>IFERROR(L84/L148, "NA")</f>
        <v>0.2406291272</v>
      </c>
      <c r="N84" s="66">
        <f>IFERROR(N63+N65+N66+N67+N68+N69+N71+N72+N74+N75+N76+N77+N78+N79+N80+N82+N83, "NA")</f>
        <v>9812.53</v>
      </c>
      <c r="O84" s="67">
        <f>IFERROR(N84/N148, "NA")</f>
        <v>0.2606404045</v>
      </c>
      <c r="P84" s="66">
        <f>IFERROR(P63+P65+P66+P67+P68+P69+P71+P72+P74+P75+P76+P77+P78+P79+P80+P82+P83, "NA")</f>
        <v>6289.95</v>
      </c>
      <c r="Q84" s="67">
        <f>IFERROR(P84/P148, "NA")</f>
        <v>0.6042265454</v>
      </c>
      <c r="R84" s="66">
        <f>IFERROR(R63+R65+R66+R67+R68+R69+R71+R72+R74+R75+R76+R77+R78+R79+R80+R82+R83, "NA")</f>
        <v>6758.98</v>
      </c>
      <c r="S84" s="67">
        <f>IFERROR(R84/R148, "NA")</f>
        <v>0.3767293287</v>
      </c>
      <c r="T84" s="66">
        <f>IFERROR(T63+T65+T66+T67+T68+T69+T71+T72+T74+T75+T76+T77+T78+T79+T80+T82+T83, "NA")</f>
        <v>9378.97</v>
      </c>
      <c r="U84" s="67">
        <f>IFERROR(T84/T148, "NA")</f>
        <v>0.2846493997</v>
      </c>
      <c r="V84" s="66">
        <f>IFERROR(V63+V65+V66+V67+V68+V69+V71+V72+V74+V75+V76+V77+V78+V79+V80+V82+V83, "NA")</f>
        <v>10255.79</v>
      </c>
      <c r="W84" s="67">
        <f>IFERROR(V84/V148, "NA")</f>
        <v>0.2575872502</v>
      </c>
      <c r="X84" s="66">
        <f>IFERROR(X63+X65+X66+X67+X68+X69+X71+X72+X74+X75+X76+X77+X78+X79+X80+X82+X83, "NA")</f>
        <v>10695.55</v>
      </c>
      <c r="Y84" s="67">
        <f>IFERROR(X84/X148, "NA")</f>
        <v>0.2694133238</v>
      </c>
      <c r="Z84" s="66">
        <f>IFERROR(Z63+Z65+Z66+Z67+Z68+Z69+Z71+Z72+Z74+Z75+Z76+Z77+Z78+Z79+Z80+Z82+Z83, "NA")</f>
        <v>37089.29</v>
      </c>
      <c r="AA84" s="67">
        <f>IFERROR(Z84/Z148, "NA")</f>
        <v>0.2844169502</v>
      </c>
      <c r="AB84" s="66">
        <f t="shared" si="37"/>
        <v>9272.3225</v>
      </c>
      <c r="AC84" s="67">
        <f>IFERROR(AB84/AB148, "NA")</f>
        <v>0.2844169502</v>
      </c>
      <c r="AD84" s="75">
        <f t="shared" si="38"/>
        <v>1423.2275</v>
      </c>
      <c r="AE84" s="76">
        <f>IFERROR(AD84/AD148, "NA")</f>
        <v>0.2005039975</v>
      </c>
      <c r="AF84" s="75">
        <f t="shared" si="39"/>
        <v>0.1534920189</v>
      </c>
      <c r="AG84" s="66">
        <f t="shared" si="40"/>
        <v>9205.8225</v>
      </c>
      <c r="AH84" s="67">
        <f>IFERROR(AG84/AG148, "NA")</f>
        <v>0.2774020926</v>
      </c>
      <c r="AI84" s="75">
        <f t="shared" si="41"/>
        <v>1489.7275</v>
      </c>
      <c r="AJ84" s="76">
        <f>IFERROR(AI84/AI148, "NA")</f>
        <v>0.2287114989</v>
      </c>
      <c r="AK84" s="75">
        <f t="shared" si="42"/>
        <v>0.1618244866</v>
      </c>
      <c r="AL84" s="76">
        <f>IFERROR(AK84/AK148, "NA")</f>
        <v>0.8244764729</v>
      </c>
    </row>
    <row r="85" ht="16.5" customHeight="1">
      <c r="A85" s="65" t="s">
        <v>56</v>
      </c>
      <c r="B85" s="118">
        <f>IFERROR(B63+B65+B66+B67+B68+B69+B71+B72+B74+B75+B76+B77+B78+B79+B80+B82+B83, "NA")</f>
        <v>12784</v>
      </c>
      <c r="C85" s="92">
        <f>IFERROR(B85/B148, "NA")</f>
        <v>0.208146093</v>
      </c>
      <c r="D85" s="118">
        <f>IFERROR(D63+D65+D66+D67+D68+D69+D71+D72+D74+D75+D76+D77+D78+D79+D80+D82+D83, "NA")</f>
        <v>12444.11</v>
      </c>
      <c r="E85" s="92">
        <f>IFERROR(D85/D148, "NA")</f>
        <v>0.2174647995</v>
      </c>
      <c r="F85" s="118">
        <f>IFERROR(F63+F65+F66+F67+F68+F69+F71+F72+F74+F75+F76+F77+F78+F79+F80+F82+F83, "NA")</f>
        <v>9105.47</v>
      </c>
      <c r="G85" s="92">
        <f>IFERROR(F85/F148, "NA")</f>
        <v>0.22058375</v>
      </c>
      <c r="H85" s="118">
        <f>IFERROR(H63+H65+H66+H67+H68+H69+H71+H72+H74+H75+H76+H77+H78+H79+H80+H82+H83, "NA")</f>
        <v>6707.38</v>
      </c>
      <c r="I85" s="92">
        <f>IFERROR(H85/H148, "NA")</f>
        <v>0.3849669924</v>
      </c>
      <c r="J85" s="118">
        <f>IFERROR(J63+J65+J66+J67+J68+J69+J71+J72+J74+J75+J76+J77+J78+J79+J80+J82+J83, "NA")</f>
        <v>11111.72</v>
      </c>
      <c r="K85" s="92">
        <f>IFERROR(J85/J148, "NA")</f>
        <v>0.2305495858</v>
      </c>
      <c r="L85" s="118">
        <f>IFERROR(L63+L65+L66+L67+L68+L69+L71+L72+L74+L75+L76+L77+L78+L79+L80+L82+L83, "NA")</f>
        <v>9343.09</v>
      </c>
      <c r="M85" s="92">
        <f>IFERROR(L85/L148, "NA")</f>
        <v>0.2406291272</v>
      </c>
      <c r="N85" s="118">
        <f>IFERROR(N63+N65+N66+N67+N68+N69+N71+N72+N74+N75+N76+N77+N78+N79+N80+N82+N83, "NA")</f>
        <v>9812.53</v>
      </c>
      <c r="O85" s="92">
        <f>IFERROR(N85/N148, "NA")</f>
        <v>0.2606404045</v>
      </c>
      <c r="P85" s="118">
        <f>IFERROR(P63+P65+P66+P67+P68+P69+P71+P72+P74+P75+P76+P77+P78+P79+P80+P82+P83, "NA")</f>
        <v>6289.95</v>
      </c>
      <c r="Q85" s="92">
        <f>IFERROR(P85/P148, "NA")</f>
        <v>0.6042265454</v>
      </c>
      <c r="R85" s="118">
        <f>IFERROR(R63+R65+R66+R67+R68+R69+R71+R72+R74+R75+R76+R77+R78+R79+R80+R82+R83, "NA")</f>
        <v>6758.98</v>
      </c>
      <c r="S85" s="92">
        <f>IFERROR(R85/R148, "NA")</f>
        <v>0.3767293287</v>
      </c>
      <c r="T85" s="118">
        <f>IFERROR(T63+T65+T66+T67+T68+T69+T71+T72+T74+T75+T76+T77+T78+T79+T80+T82+T83, "NA")</f>
        <v>9378.97</v>
      </c>
      <c r="U85" s="92">
        <f>IFERROR(T85/T148, "NA")</f>
        <v>0.2846493997</v>
      </c>
      <c r="V85" s="118">
        <f>IFERROR(V63+V65+V66+V67+V68+V69+V71+V72+V74+V75+V76+V77+V78+V79+V80+V82+V83, "NA")</f>
        <v>10255.79</v>
      </c>
      <c r="W85" s="92">
        <f>IFERROR(V85/V148, "NA")</f>
        <v>0.2575872502</v>
      </c>
      <c r="X85" s="118">
        <f>IFERROR(X63+X65+X66+X67+X68+X69+X71+X72+X74+X75+X76+X77+X78+X79+X80+X82+X83, "NA")</f>
        <v>10695.55</v>
      </c>
      <c r="Y85" s="92">
        <f>IFERROR(X85/X148, "NA")</f>
        <v>0.2694133238</v>
      </c>
      <c r="Z85" s="118">
        <f>IFERROR(Z63+Z65+Z66+Z67+Z68+Z69+Z71+Z72+Z74+Z75+Z76+Z77+Z78+Z79+Z80+Z82+Z83, "NA")</f>
        <v>37089.29</v>
      </c>
      <c r="AA85" s="92">
        <f>IFERROR(Z85/Z148, "NA")</f>
        <v>0.2844169502</v>
      </c>
      <c r="AB85" s="118">
        <f t="shared" si="37"/>
        <v>9272.3225</v>
      </c>
      <c r="AC85" s="92">
        <f>IFERROR(AB85/AB148, "NA")</f>
        <v>0.2844169502</v>
      </c>
      <c r="AD85" s="119">
        <f t="shared" si="38"/>
        <v>1423.2275</v>
      </c>
      <c r="AE85" s="120">
        <f>IFERROR(AD85/AD148, "NA")</f>
        <v>0.2005039975</v>
      </c>
      <c r="AF85" s="119">
        <f t="shared" si="39"/>
        <v>0.1534920189</v>
      </c>
      <c r="AG85" s="118">
        <f t="shared" si="40"/>
        <v>9205.8225</v>
      </c>
      <c r="AH85" s="92">
        <f>IFERROR(AG85/AG148, "NA")</f>
        <v>0.2774020926</v>
      </c>
      <c r="AI85" s="119">
        <f t="shared" si="41"/>
        <v>1489.7275</v>
      </c>
      <c r="AJ85" s="120">
        <f>IFERROR(AI85/AI148, "NA")</f>
        <v>0.2287114989</v>
      </c>
      <c r="AK85" s="119">
        <f t="shared" si="42"/>
        <v>0.1618244866</v>
      </c>
      <c r="AL85" s="120">
        <f>IFERROR(AK85/AK148, "NA")</f>
        <v>0.8244764729</v>
      </c>
    </row>
    <row r="86" ht="3.75" customHeight="1">
      <c r="A86" s="123"/>
      <c r="B86" s="124"/>
      <c r="C86" s="74"/>
      <c r="D86" s="124"/>
      <c r="E86" s="74"/>
      <c r="F86" s="124"/>
      <c r="G86" s="74"/>
      <c r="H86" s="124"/>
      <c r="I86" s="74"/>
      <c r="J86" s="124"/>
      <c r="K86" s="74"/>
      <c r="L86" s="124"/>
      <c r="M86" s="74"/>
      <c r="N86" s="124"/>
      <c r="O86" s="74"/>
      <c r="P86" s="124"/>
      <c r="Q86" s="74"/>
      <c r="R86" s="124"/>
      <c r="S86" s="74"/>
      <c r="T86" s="124"/>
      <c r="U86" s="74"/>
      <c r="V86" s="124"/>
      <c r="W86" s="74"/>
      <c r="X86" s="124"/>
      <c r="Y86" s="74"/>
      <c r="Z86" s="124"/>
      <c r="AA86" s="74"/>
      <c r="AB86" s="124"/>
      <c r="AC86" s="74"/>
      <c r="AD86" s="125"/>
      <c r="AE86" s="80"/>
      <c r="AF86" s="125"/>
      <c r="AG86" s="124"/>
      <c r="AH86" s="74"/>
      <c r="AI86" s="125"/>
      <c r="AJ86" s="80"/>
      <c r="AK86" s="125"/>
      <c r="AL86" s="80"/>
    </row>
    <row r="87" ht="16.5" customHeight="1">
      <c r="A87" s="121" t="s">
        <v>57</v>
      </c>
      <c r="B87" s="122">
        <f>IFERROR(B59-B85, "NA")</f>
        <v>33274.58</v>
      </c>
      <c r="C87" s="94">
        <f>IFERROR(B87/B148, "NA")</f>
        <v>0.5417689162</v>
      </c>
      <c r="D87" s="122">
        <f>IFERROR(D59-D85, "NA")</f>
        <v>29862.68</v>
      </c>
      <c r="E87" s="94">
        <f>IFERROR(D87/D148, "NA")</f>
        <v>0.5218598773</v>
      </c>
      <c r="F87" s="122">
        <f>IFERROR(F59-F85, "NA")</f>
        <v>22487.43</v>
      </c>
      <c r="G87" s="94">
        <f>IFERROR(F87/F148, "NA")</f>
        <v>0.5447672265</v>
      </c>
      <c r="H87" s="122">
        <f>IFERROR(H59-H85, "NA")</f>
        <v>4305.16</v>
      </c>
      <c r="I87" s="94">
        <f>IFERROR(H87/H148, "NA")</f>
        <v>0.2470926796</v>
      </c>
      <c r="J87" s="122">
        <f>IFERROR(J59-J85, "NA")</f>
        <v>25682.88</v>
      </c>
      <c r="K87" s="94">
        <f>IFERROR(J87/J148, "NA")</f>
        <v>0.5328767595</v>
      </c>
      <c r="L87" s="122">
        <f>IFERROR(L59-L85, "NA")</f>
        <v>17434.3</v>
      </c>
      <c r="M87" s="94">
        <f>IFERROR(L87/L148, "NA")</f>
        <v>0.4490163739</v>
      </c>
      <c r="N87" s="122">
        <f>IFERROR(N59-N85, "NA")</f>
        <v>17102.71</v>
      </c>
      <c r="O87" s="94">
        <f>IFERROR(N87/N148, "NA")</f>
        <v>0.4542821527</v>
      </c>
      <c r="P87" s="122">
        <f>IFERROR(P59-P85, "NA")</f>
        <v>987.96</v>
      </c>
      <c r="Q87" s="94">
        <f>IFERROR(P87/P148, "NA")</f>
        <v>0.09490562848</v>
      </c>
      <c r="R87" s="122">
        <f>IFERROR(R59-R85, "NA")</f>
        <v>5379.58</v>
      </c>
      <c r="S87" s="94">
        <f>IFERROR(R87/R148, "NA")</f>
        <v>0.2998448823</v>
      </c>
      <c r="T87" s="122">
        <f>IFERROR(T59-T85, "NA")</f>
        <v>14676.87</v>
      </c>
      <c r="U87" s="94">
        <f>IFERROR(T87/T148, "NA")</f>
        <v>0.445439343</v>
      </c>
      <c r="V87" s="122">
        <f>IFERROR(V59-V85, "NA")</f>
        <v>17999.81</v>
      </c>
      <c r="W87" s="94">
        <f>IFERROR(V87/V148, "NA")</f>
        <v>0.4520881923</v>
      </c>
      <c r="X87" s="122">
        <f>IFERROR(X59-X85, "NA")</f>
        <v>19228.83</v>
      </c>
      <c r="Y87" s="94">
        <f>IFERROR(X87/X148, "NA")</f>
        <v>0.4843605988</v>
      </c>
      <c r="Z87" s="122">
        <f>IFERROR(Z59-Z85, "NA")</f>
        <v>57285.09</v>
      </c>
      <c r="AA87" s="94">
        <f>IFERROR(Z87/Z148, "NA")</f>
        <v>0.4392872063</v>
      </c>
      <c r="AB87" s="122">
        <f>IFERROR((R87+T87+V87+X87)/4, "NA")</f>
        <v>14321.2725</v>
      </c>
      <c r="AC87" s="94">
        <f>IFERROR(AB87/AB148, "NA")</f>
        <v>0.4392872063</v>
      </c>
      <c r="AD87" s="75">
        <f>IFERROR(X87-AB87, "NA")</f>
        <v>4907.5575</v>
      </c>
      <c r="AE87" s="76">
        <f>IFERROR(AD87/AD148, "NA")</f>
        <v>0.6913756912</v>
      </c>
      <c r="AF87" s="75">
        <f>IFERROR((X87-AB87)/AB87, "NA")</f>
        <v>0.3426760785</v>
      </c>
      <c r="AG87" s="122">
        <f>IFERROR((J87+L87+N87+P87+R87+T87+V87+X87)/8, "NA")</f>
        <v>14811.6175</v>
      </c>
      <c r="AH87" s="94">
        <f>IFERROR(AG87/AG148, "NA")</f>
        <v>0.4463233664</v>
      </c>
      <c r="AI87" s="75">
        <f>IFERROR(X87-AG87, "NA")</f>
        <v>4417.2125</v>
      </c>
      <c r="AJ87" s="76">
        <f>IFERROR(AI87/AI148, "NA")</f>
        <v>0.6781557645</v>
      </c>
      <c r="AK87" s="75">
        <f>IFERROR((X87-AG87)/AG87, "NA")</f>
        <v>0.2982262066</v>
      </c>
      <c r="AL87" s="76">
        <f>IFERROR(AK87/AK148, "NA")</f>
        <v>1.519426979</v>
      </c>
    </row>
    <row r="88" ht="3.75" customHeight="1">
      <c r="A88" s="123"/>
      <c r="B88" s="124"/>
      <c r="C88" s="74"/>
      <c r="D88" s="124"/>
      <c r="E88" s="74"/>
      <c r="F88" s="124"/>
      <c r="G88" s="74"/>
      <c r="H88" s="124"/>
      <c r="I88" s="74"/>
      <c r="J88" s="124"/>
      <c r="K88" s="74"/>
      <c r="L88" s="124"/>
      <c r="M88" s="74"/>
      <c r="N88" s="124"/>
      <c r="O88" s="74"/>
      <c r="P88" s="124"/>
      <c r="Q88" s="74"/>
      <c r="R88" s="124"/>
      <c r="S88" s="74"/>
      <c r="T88" s="124"/>
      <c r="U88" s="74"/>
      <c r="V88" s="124"/>
      <c r="W88" s="74"/>
      <c r="X88" s="124"/>
      <c r="Y88" s="74"/>
      <c r="Z88" s="124"/>
      <c r="AA88" s="74"/>
      <c r="AB88" s="124"/>
      <c r="AC88" s="74"/>
      <c r="AD88" s="125"/>
      <c r="AE88" s="80"/>
      <c r="AF88" s="125"/>
      <c r="AG88" s="124"/>
      <c r="AH88" s="74"/>
      <c r="AI88" s="125"/>
      <c r="AJ88" s="80"/>
      <c r="AK88" s="125"/>
      <c r="AL88" s="80"/>
    </row>
    <row r="89" ht="16.5" hidden="1" customHeight="1">
      <c r="A89" s="13" t="s">
        <v>203</v>
      </c>
      <c r="B89" s="14"/>
      <c r="C89" s="12"/>
      <c r="D89" s="14"/>
      <c r="E89" s="12"/>
      <c r="F89" s="14"/>
      <c r="G89" s="12"/>
      <c r="H89" s="14"/>
      <c r="I89" s="12"/>
      <c r="J89" s="14"/>
      <c r="K89" s="12"/>
      <c r="L89" s="14"/>
      <c r="M89" s="12"/>
      <c r="N89" s="14"/>
      <c r="O89" s="12"/>
      <c r="P89" s="14"/>
      <c r="Q89" s="12"/>
      <c r="R89" s="14"/>
      <c r="S89" s="12"/>
      <c r="T89" s="14"/>
      <c r="U89" s="12"/>
      <c r="V89" s="14"/>
      <c r="W89" s="12"/>
      <c r="X89" s="14"/>
      <c r="Y89" s="12"/>
      <c r="Z89" s="14"/>
      <c r="AA89" s="12"/>
      <c r="AB89" s="14"/>
      <c r="AC89" s="12"/>
      <c r="AD89" s="17"/>
      <c r="AE89" s="18"/>
      <c r="AF89" s="17"/>
      <c r="AG89" s="14"/>
      <c r="AH89" s="12"/>
      <c r="AI89" s="17"/>
      <c r="AJ89" s="18"/>
      <c r="AK89" s="17"/>
      <c r="AL89" s="18"/>
    </row>
    <row r="90" ht="16.5" hidden="1" customHeight="1">
      <c r="A90" s="19" t="s">
        <v>204</v>
      </c>
      <c r="B90" s="21">
        <v>1436.31</v>
      </c>
      <c r="C90" s="23">
        <f>IFERROR(B90/B148, "NA")</f>
        <v>0.02338566293</v>
      </c>
      <c r="D90" s="21">
        <v>1464.0</v>
      </c>
      <c r="E90" s="23">
        <f>IFERROR(D90/D148, "NA")</f>
        <v>0.0255838679</v>
      </c>
      <c r="F90" s="21">
        <v>100.51</v>
      </c>
      <c r="G90" s="23">
        <f>IFERROR(F90/F148, "NA")</f>
        <v>0.002434896026</v>
      </c>
      <c r="H90" s="21">
        <v>744.06</v>
      </c>
      <c r="I90" s="23">
        <f>IFERROR(H90/H148, "NA")</f>
        <v>0.04270498173</v>
      </c>
      <c r="J90" s="21">
        <v>2967.22</v>
      </c>
      <c r="K90" s="23">
        <f>IFERROR(J90/J148, "NA")</f>
        <v>0.06156484702</v>
      </c>
      <c r="L90" s="21">
        <v>1327.82</v>
      </c>
      <c r="M90" s="23">
        <f>IFERROR(L90/L148, "NA")</f>
        <v>0.03419769773</v>
      </c>
      <c r="N90" s="21">
        <v>651.77</v>
      </c>
      <c r="O90" s="23">
        <f>IFERROR(N90/N148, "NA")</f>
        <v>0.01731231358</v>
      </c>
      <c r="P90" s="21">
        <v>444.52</v>
      </c>
      <c r="Q90" s="23">
        <f>IFERROR(P90/P148, "NA")</f>
        <v>0.04270157696</v>
      </c>
      <c r="R90" s="21">
        <v>597.4</v>
      </c>
      <c r="S90" s="23">
        <f>IFERROR(R90/R148, "NA")</f>
        <v>0.03329764269</v>
      </c>
      <c r="T90" s="21">
        <v>689.37</v>
      </c>
      <c r="U90" s="23">
        <f>IFERROR(T90/T148, "NA")</f>
        <v>0.02092220752</v>
      </c>
      <c r="V90" s="21">
        <v>1401.8</v>
      </c>
      <c r="W90" s="23">
        <f>IFERROR(V90/V148, "NA")</f>
        <v>0.03520799541</v>
      </c>
      <c r="X90" s="21">
        <v>387.92</v>
      </c>
      <c r="Y90" s="23">
        <f>IFERROR(X90/X148, "NA")</f>
        <v>0.009771429852</v>
      </c>
      <c r="Z90" s="21">
        <v>3076.49</v>
      </c>
      <c r="AA90" s="23">
        <f>IFERROR(Z90/Z148, "NA")</f>
        <v>0.02359187526</v>
      </c>
      <c r="AB90" s="28">
        <f t="shared" ref="AB90:AB99" si="43">IFERROR((R90+T90+V90+X90)/4, "NA")</f>
        <v>769.1225</v>
      </c>
      <c r="AC90" s="23">
        <f>IFERROR(AB90/AB148, "NA")</f>
        <v>0.02359187526</v>
      </c>
      <c r="AD90" s="29">
        <f t="shared" ref="AD90:AD99" si="44">IFERROR(X90-AB90, "NA")</f>
        <v>-381.2025</v>
      </c>
      <c r="AE90" s="30">
        <f>IFERROR(AD90/AD148, "NA")</f>
        <v>-0.05370372979</v>
      </c>
      <c r="AF90" s="29">
        <f t="shared" ref="AF90:AF99" si="45">IFERROR((X90-AB90)/AB90, "NA")</f>
        <v>-0.4956330103</v>
      </c>
      <c r="AG90" s="28">
        <f t="shared" ref="AG90:AG99" si="46">IFERROR((J90+L90+N90+P90+R90+T90+V90+X90)/8, "NA")</f>
        <v>1058.4775</v>
      </c>
      <c r="AH90" s="23">
        <f>IFERROR(AG90/AG148, "NA")</f>
        <v>0.03189545241</v>
      </c>
      <c r="AI90" s="29">
        <f t="shared" ref="AI90:AI99" si="47">IFERROR(X90-AG90, "NA")</f>
        <v>-670.5575</v>
      </c>
      <c r="AJ90" s="30">
        <f>IFERROR(AI90/AI148, "NA")</f>
        <v>-0.1029478283</v>
      </c>
      <c r="AK90" s="29">
        <f t="shared" ref="AK90:AK99" si="48">IFERROR((X90-AG90)/AG90, "NA")</f>
        <v>-0.6335113406</v>
      </c>
      <c r="AL90" s="30">
        <f>IFERROR(AK90/AK148, "NA")</f>
        <v>-3.227664778</v>
      </c>
    </row>
    <row r="91" ht="16.5" hidden="1" customHeight="1">
      <c r="A91" s="19" t="s">
        <v>205</v>
      </c>
      <c r="B91" s="21">
        <v>2079.93</v>
      </c>
      <c r="C91" s="23">
        <f>IFERROR(B91/B148, "NA")</f>
        <v>0.03386493298</v>
      </c>
      <c r="D91" s="21">
        <v>1696.65</v>
      </c>
      <c r="E91" s="23">
        <f>IFERROR(D91/D148, "NA")</f>
        <v>0.02964950101</v>
      </c>
      <c r="F91" s="21">
        <v>2036.58</v>
      </c>
      <c r="G91" s="23">
        <f>IFERROR(F91/F148, "NA")</f>
        <v>0.04933698685</v>
      </c>
      <c r="H91" s="21">
        <v>1351.74</v>
      </c>
      <c r="I91" s="23">
        <f>IFERROR(H91/H148, "NA")</f>
        <v>0.07758249604</v>
      </c>
      <c r="J91" s="21">
        <v>2440.47</v>
      </c>
      <c r="K91" s="23">
        <f>IFERROR(J91/J148, "NA")</f>
        <v>0.05063566645</v>
      </c>
      <c r="L91" s="21">
        <v>2058.97</v>
      </c>
      <c r="M91" s="23">
        <f>IFERROR(L91/L148, "NA")</f>
        <v>0.05302829728</v>
      </c>
      <c r="N91" s="21">
        <v>1400.82</v>
      </c>
      <c r="O91" s="23">
        <f>IFERROR(N91/N148, "NA")</f>
        <v>0.03720857836</v>
      </c>
      <c r="P91" s="21">
        <v>446.71</v>
      </c>
      <c r="Q91" s="23">
        <f>IFERROR(P91/P148, "NA")</f>
        <v>0.04291195321</v>
      </c>
      <c r="R91" s="21">
        <v>672.23</v>
      </c>
      <c r="S91" s="23">
        <f>IFERROR(R91/R148, "NA")</f>
        <v>0.03746848735</v>
      </c>
      <c r="T91" s="21">
        <v>835.87</v>
      </c>
      <c r="U91" s="23">
        <f>IFERROR(T91/T148, "NA")</f>
        <v>0.02536844597</v>
      </c>
      <c r="V91" s="21">
        <v>2058.24</v>
      </c>
      <c r="W91" s="23">
        <f>IFERROR(V91/V148, "NA")</f>
        <v>0.0516953235</v>
      </c>
      <c r="X91" s="21">
        <v>1785.9</v>
      </c>
      <c r="Y91" s="23">
        <f>IFERROR(X91/X148, "NA")</f>
        <v>0.0449855552</v>
      </c>
      <c r="Z91" s="21">
        <v>5352.24</v>
      </c>
      <c r="AA91" s="23">
        <f>IFERROR(Z91/Z148, "NA")</f>
        <v>0.04104332484</v>
      </c>
      <c r="AB91" s="28">
        <f t="shared" si="43"/>
        <v>1338.06</v>
      </c>
      <c r="AC91" s="23">
        <f>IFERROR(AB91/AB148, "NA")</f>
        <v>0.04104332484</v>
      </c>
      <c r="AD91" s="29">
        <f t="shared" si="44"/>
        <v>447.84</v>
      </c>
      <c r="AE91" s="30">
        <f>IFERROR(AD91/AD148, "NA")</f>
        <v>0.06309160709</v>
      </c>
      <c r="AF91" s="29">
        <f t="shared" si="45"/>
        <v>0.3346935115</v>
      </c>
      <c r="AG91" s="28">
        <f t="shared" si="46"/>
        <v>1462.40125</v>
      </c>
      <c r="AH91" s="23">
        <f>IFERROR(AG91/AG148, "NA")</f>
        <v>0.04406702029</v>
      </c>
      <c r="AI91" s="29">
        <f t="shared" si="47"/>
        <v>323.49875</v>
      </c>
      <c r="AJ91" s="30">
        <f>IFERROR(AI91/AI148, "NA")</f>
        <v>0.04966538108</v>
      </c>
      <c r="AK91" s="29">
        <f t="shared" si="48"/>
        <v>0.2212106629</v>
      </c>
      <c r="AL91" s="30">
        <f>IFERROR(AK91/AK148, "NA")</f>
        <v>1.127041964</v>
      </c>
    </row>
    <row r="92" ht="16.5" hidden="1" customHeight="1">
      <c r="A92" s="19" t="s">
        <v>206</v>
      </c>
      <c r="B92" s="21">
        <v>997.46</v>
      </c>
      <c r="C92" s="23">
        <f>IFERROR(B92/B148, "NA")</f>
        <v>0.01624041004</v>
      </c>
      <c r="D92" s="21">
        <v>1205.61</v>
      </c>
      <c r="E92" s="23">
        <f>IFERROR(D92/D148, "NA")</f>
        <v>0.02106842007</v>
      </c>
      <c r="F92" s="21">
        <v>1066.08</v>
      </c>
      <c r="G92" s="23">
        <f>IFERROR(F92/F148, "NA")</f>
        <v>0.0258262258</v>
      </c>
      <c r="H92" s="21">
        <v>321.06</v>
      </c>
      <c r="I92" s="23">
        <f>IFERROR(H92/H148, "NA")</f>
        <v>0.01842709114</v>
      </c>
      <c r="J92" s="21">
        <v>1028.89</v>
      </c>
      <c r="K92" s="23">
        <f>IFERROR(J92/J148, "NA")</f>
        <v>0.02134774484</v>
      </c>
      <c r="L92" s="21">
        <v>964.38</v>
      </c>
      <c r="M92" s="23">
        <f>IFERROR(L92/L148, "NA")</f>
        <v>0.02483738439</v>
      </c>
      <c r="N92" s="21">
        <v>1412.71</v>
      </c>
      <c r="O92" s="23">
        <f>IFERROR(N92/N148, "NA")</f>
        <v>0.03752440052</v>
      </c>
      <c r="P92" s="21">
        <v>35.11</v>
      </c>
      <c r="Q92" s="23">
        <f>IFERROR(P92/P148, "NA")</f>
        <v>0.003372744459</v>
      </c>
      <c r="R92" s="21">
        <v>261.05</v>
      </c>
      <c r="S92" s="23">
        <f>IFERROR(R92/R148, "NA")</f>
        <v>0.01455030068</v>
      </c>
      <c r="T92" s="21">
        <v>771.68</v>
      </c>
      <c r="U92" s="23">
        <f>IFERROR(T92/T148, "NA")</f>
        <v>0.02342029549</v>
      </c>
      <c r="V92" s="21">
        <v>957.45</v>
      </c>
      <c r="W92" s="23">
        <f>IFERROR(V92/V148, "NA")</f>
        <v>0.02404757826</v>
      </c>
      <c r="X92" s="21">
        <v>883.38</v>
      </c>
      <c r="Y92" s="23">
        <f>IFERROR(X92/X148, "NA")</f>
        <v>0.02225171608</v>
      </c>
      <c r="Z92" s="21">
        <v>2873.56</v>
      </c>
      <c r="AA92" s="23">
        <f>IFERROR(Z92/Z148, "NA")</f>
        <v>0.02203571897</v>
      </c>
      <c r="AB92" s="28">
        <f t="shared" si="43"/>
        <v>718.39</v>
      </c>
      <c r="AC92" s="23">
        <f>IFERROR(AB92/AB148, "NA")</f>
        <v>0.02203571897</v>
      </c>
      <c r="AD92" s="29">
        <f t="shared" si="44"/>
        <v>164.99</v>
      </c>
      <c r="AE92" s="30">
        <f>IFERROR(AD92/AD148, "NA")</f>
        <v>0.02324375726</v>
      </c>
      <c r="AF92" s="29">
        <f t="shared" si="45"/>
        <v>0.2296663372</v>
      </c>
      <c r="AG92" s="28">
        <f t="shared" si="46"/>
        <v>789.33125</v>
      </c>
      <c r="AH92" s="23">
        <f>IFERROR(AG92/AG148, "NA")</f>
        <v>0.02378517949</v>
      </c>
      <c r="AI92" s="29">
        <f t="shared" si="47"/>
        <v>94.04875</v>
      </c>
      <c r="AJ92" s="30">
        <f>IFERROR(AI92/AI148, "NA")</f>
        <v>0.01443890281</v>
      </c>
      <c r="AK92" s="29">
        <f t="shared" si="48"/>
        <v>0.1191499133</v>
      </c>
      <c r="AL92" s="30">
        <f>IFERROR(AK92/AK148, "NA")</f>
        <v>0.6070546078</v>
      </c>
    </row>
    <row r="93" ht="16.5" hidden="1" customHeight="1">
      <c r="A93" s="19" t="s">
        <v>207</v>
      </c>
      <c r="B93" s="21">
        <v>3392.59</v>
      </c>
      <c r="C93" s="23">
        <f>IFERROR(B93/B148, "NA")</f>
        <v>0.05523735558</v>
      </c>
      <c r="D93" s="21">
        <v>3809.92</v>
      </c>
      <c r="E93" s="23">
        <f>IFERROR(D93/D148, "NA")</f>
        <v>0.06657956967</v>
      </c>
      <c r="F93" s="21">
        <v>3947.54</v>
      </c>
      <c r="G93" s="23">
        <f>IFERROR(F93/F148, "NA")</f>
        <v>0.09563077761</v>
      </c>
      <c r="H93" s="21">
        <v>1320.92</v>
      </c>
      <c r="I93" s="23">
        <f>IFERROR(H93/H148, "NA")</f>
        <v>0.07581359631</v>
      </c>
      <c r="J93" s="21">
        <v>5676.72</v>
      </c>
      <c r="K93" s="23">
        <f>IFERROR(J93/J148, "NA")</f>
        <v>0.1177824355</v>
      </c>
      <c r="L93" s="21">
        <v>3763.58</v>
      </c>
      <c r="M93" s="23">
        <f>IFERROR(L93/L148, "NA")</f>
        <v>0.09693013452</v>
      </c>
      <c r="N93" s="21">
        <v>3555.32</v>
      </c>
      <c r="O93" s="23">
        <f>IFERROR(N93/N148, "NA")</f>
        <v>0.09443640354</v>
      </c>
      <c r="P93" s="21">
        <v>801.21</v>
      </c>
      <c r="Q93" s="23">
        <f>IFERROR(P93/P148, "NA")</f>
        <v>0.07696600934</v>
      </c>
      <c r="R93" s="21">
        <v>1129.28</v>
      </c>
      <c r="S93" s="23">
        <f>IFERROR(R93/R148, "NA")</f>
        <v>0.06294335778</v>
      </c>
      <c r="T93" s="21">
        <v>2724.14</v>
      </c>
      <c r="U93" s="23">
        <f>IFERROR(T93/T148, "NA")</f>
        <v>0.0826769694</v>
      </c>
      <c r="V93" s="21">
        <v>3678.98</v>
      </c>
      <c r="W93" s="23">
        <f>IFERROR(V93/V148, "NA")</f>
        <v>0.09240227634</v>
      </c>
      <c r="X93" s="21">
        <v>3167.53</v>
      </c>
      <c r="Y93" s="23">
        <f>IFERROR(X93/X148, "NA")</f>
        <v>0.07978783564</v>
      </c>
      <c r="Z93" s="21">
        <v>10699.93</v>
      </c>
      <c r="AA93" s="23">
        <f>IFERROR(Z93/Z148, "NA")</f>
        <v>0.08205175828</v>
      </c>
      <c r="AB93" s="28">
        <f t="shared" si="43"/>
        <v>2674.9825</v>
      </c>
      <c r="AC93" s="23">
        <f>IFERROR(AB93/AB148, "NA")</f>
        <v>0.08205175828</v>
      </c>
      <c r="AD93" s="29">
        <f t="shared" si="44"/>
        <v>492.5475</v>
      </c>
      <c r="AE93" s="30">
        <f>IFERROR(AD93/AD148, "NA")</f>
        <v>0.06938999049</v>
      </c>
      <c r="AF93" s="29">
        <f t="shared" si="45"/>
        <v>0.1841311111</v>
      </c>
      <c r="AG93" s="28">
        <f t="shared" si="46"/>
        <v>3062.095</v>
      </c>
      <c r="AH93" s="23">
        <f>IFERROR(AG93/AG148, "NA")</f>
        <v>0.09227112088</v>
      </c>
      <c r="AI93" s="29">
        <f t="shared" si="47"/>
        <v>105.435</v>
      </c>
      <c r="AJ93" s="30">
        <f>IFERROR(AI93/AI148, "NA")</f>
        <v>0.01618698513</v>
      </c>
      <c r="AK93" s="29">
        <f t="shared" si="48"/>
        <v>0.0344323086</v>
      </c>
      <c r="AL93" s="30">
        <f>IFERROR(AK93/AK148, "NA")</f>
        <v>0.1754285086</v>
      </c>
    </row>
    <row r="94" ht="16.5" hidden="1" customHeight="1">
      <c r="A94" s="19" t="s">
        <v>208</v>
      </c>
      <c r="B94" s="21">
        <v>1004.81</v>
      </c>
      <c r="C94" s="23">
        <f>IFERROR(B94/B148, "NA")</f>
        <v>0.01636008102</v>
      </c>
      <c r="D94" s="21">
        <v>922.42</v>
      </c>
      <c r="E94" s="23">
        <f>IFERROR(D94/D148, "NA")</f>
        <v>0.01611958431</v>
      </c>
      <c r="F94" s="21">
        <v>958.71</v>
      </c>
      <c r="G94" s="23">
        <f>IFERROR(F94/F148, "NA")</f>
        <v>0.02322514346</v>
      </c>
      <c r="H94" s="21">
        <v>368.11</v>
      </c>
      <c r="I94" s="23">
        <f>IFERROR(H94/H148, "NA")</f>
        <v>0.02112750427</v>
      </c>
      <c r="J94" s="21">
        <v>1260.69</v>
      </c>
      <c r="K94" s="23">
        <f>IFERROR(J94/J148, "NA")</f>
        <v>0.02615720674</v>
      </c>
      <c r="L94" s="21">
        <v>799.13</v>
      </c>
      <c r="M94" s="23">
        <f>IFERROR(L94/L148, "NA")</f>
        <v>0.02058140877</v>
      </c>
      <c r="N94" s="21">
        <v>922.19</v>
      </c>
      <c r="O94" s="23">
        <f>IFERROR(N94/N148, "NA")</f>
        <v>0.02449520915</v>
      </c>
      <c r="P94" s="21">
        <v>209.7</v>
      </c>
      <c r="Q94" s="23">
        <f>IFERROR(P94/P148, "NA")</f>
        <v>0.02014424703</v>
      </c>
      <c r="R94" s="21">
        <v>390.21</v>
      </c>
      <c r="S94" s="23">
        <f>IFERROR(R94/R148, "NA")</f>
        <v>0.02174936919</v>
      </c>
      <c r="T94" s="21">
        <v>850.27</v>
      </c>
      <c r="U94" s="23">
        <f>IFERROR(T94/T148, "NA")</f>
        <v>0.02580548238</v>
      </c>
      <c r="V94" s="21">
        <v>866.42</v>
      </c>
      <c r="W94" s="23">
        <f>IFERROR(V94/V148, "NA")</f>
        <v>0.02176124368</v>
      </c>
      <c r="X94" s="21">
        <v>734.3</v>
      </c>
      <c r="Y94" s="23">
        <f>IFERROR(X94/X148, "NA")</f>
        <v>0.01849649655</v>
      </c>
      <c r="Z94" s="21">
        <v>2841.2</v>
      </c>
      <c r="AA94" s="23">
        <f>IFERROR(Z94/Z148, "NA")</f>
        <v>0.0217875683</v>
      </c>
      <c r="AB94" s="28">
        <f t="shared" si="43"/>
        <v>710.3</v>
      </c>
      <c r="AC94" s="23">
        <f>IFERROR(AB94/AB148, "NA")</f>
        <v>0.0217875683</v>
      </c>
      <c r="AD94" s="29">
        <f t="shared" si="44"/>
        <v>24</v>
      </c>
      <c r="AE94" s="30">
        <f>IFERROR(AD94/AD148, "NA")</f>
        <v>0.003381115064</v>
      </c>
      <c r="AF94" s="29">
        <f t="shared" si="45"/>
        <v>0.03378854005</v>
      </c>
      <c r="AG94" s="28">
        <f t="shared" si="46"/>
        <v>754.11375</v>
      </c>
      <c r="AH94" s="23">
        <f>IFERROR(AG94/AG148, "NA")</f>
        <v>0.02272395892</v>
      </c>
      <c r="AI94" s="29">
        <f t="shared" si="47"/>
        <v>-19.81375</v>
      </c>
      <c r="AJ94" s="30">
        <f>IFERROR(AI94/AI148, "NA")</f>
        <v>-0.003041920392</v>
      </c>
      <c r="AK94" s="29">
        <f t="shared" si="48"/>
        <v>-0.02627421924</v>
      </c>
      <c r="AL94" s="30">
        <f>IFERROR(AK94/AK148, "NA")</f>
        <v>-0.1338640156</v>
      </c>
    </row>
    <row r="95" ht="16.5" hidden="1" customHeight="1">
      <c r="A95" s="19" t="s">
        <v>209</v>
      </c>
      <c r="B95" s="21">
        <v>0.0</v>
      </c>
      <c r="C95" s="23">
        <f>IFERROR(B95/B148, "NA")</f>
        <v>0</v>
      </c>
      <c r="D95" s="21">
        <v>0.0</v>
      </c>
      <c r="E95" s="23">
        <f>IFERROR(D95/D148, "NA")</f>
        <v>0</v>
      </c>
      <c r="F95" s="21">
        <v>1309.8</v>
      </c>
      <c r="G95" s="23">
        <f>IFERROR(F95/F148, "NA")</f>
        <v>0.03173044289</v>
      </c>
      <c r="H95" s="21">
        <v>0.0</v>
      </c>
      <c r="I95" s="23">
        <f>IFERROR(H95/H148, "NA")</f>
        <v>0</v>
      </c>
      <c r="J95" s="21">
        <v>0.0</v>
      </c>
      <c r="K95" s="23">
        <f>IFERROR(J95/J148, "NA")</f>
        <v>0</v>
      </c>
      <c r="L95" s="21">
        <v>0.0</v>
      </c>
      <c r="M95" s="23">
        <f>IFERROR(L95/L148, "NA")</f>
        <v>0</v>
      </c>
      <c r="N95" s="21">
        <v>0.0</v>
      </c>
      <c r="O95" s="23">
        <f>IFERROR(N95/N148, "NA")</f>
        <v>0</v>
      </c>
      <c r="P95" s="21">
        <v>1309.8</v>
      </c>
      <c r="Q95" s="23">
        <f>IFERROR(P95/P148, "NA")</f>
        <v>0.1258222926</v>
      </c>
      <c r="R95" s="21">
        <v>0.0</v>
      </c>
      <c r="S95" s="23">
        <f>IFERROR(R95/R148, "NA")</f>
        <v>0</v>
      </c>
      <c r="T95" s="21">
        <v>0.0</v>
      </c>
      <c r="U95" s="23">
        <f>IFERROR(T95/T148, "NA")</f>
        <v>0</v>
      </c>
      <c r="V95" s="21">
        <v>0.0</v>
      </c>
      <c r="W95" s="23">
        <f>IFERROR(V95/V148, "NA")</f>
        <v>0</v>
      </c>
      <c r="X95" s="21">
        <v>0.0</v>
      </c>
      <c r="Y95" s="23">
        <f>IFERROR(X95/X148, "NA")</f>
        <v>0</v>
      </c>
      <c r="Z95" s="21">
        <v>0.0</v>
      </c>
      <c r="AA95" s="23">
        <f>IFERROR(Z95/Z148, "NA")</f>
        <v>0</v>
      </c>
      <c r="AB95" s="28">
        <f t="shared" si="43"/>
        <v>0</v>
      </c>
      <c r="AC95" s="23">
        <f>IFERROR(AB95/AB148, "NA")</f>
        <v>0</v>
      </c>
      <c r="AD95" s="29">
        <f t="shared" si="44"/>
        <v>0</v>
      </c>
      <c r="AE95" s="30">
        <f>IFERROR(AD95/AD148, "NA")</f>
        <v>0</v>
      </c>
      <c r="AF95" s="29" t="str">
        <f t="shared" si="45"/>
        <v>NA</v>
      </c>
      <c r="AG95" s="28">
        <f t="shared" si="46"/>
        <v>163.725</v>
      </c>
      <c r="AH95" s="23">
        <f>IFERROR(AG95/AG148, "NA")</f>
        <v>0.004933579548</v>
      </c>
      <c r="AI95" s="29">
        <f t="shared" si="47"/>
        <v>-163.725</v>
      </c>
      <c r="AJ95" s="30">
        <f>IFERROR(AI95/AI148, "NA")</f>
        <v>-0.02513599981</v>
      </c>
      <c r="AK95" s="29">
        <f t="shared" si="48"/>
        <v>-1</v>
      </c>
      <c r="AL95" s="30">
        <f>IFERROR(AK95/AK148, "NA")</f>
        <v>-5.094880819</v>
      </c>
    </row>
    <row r="96" ht="16.5" hidden="1" customHeight="1">
      <c r="A96" s="19" t="s">
        <v>210</v>
      </c>
      <c r="B96" s="21">
        <v>0.0</v>
      </c>
      <c r="C96" s="23">
        <f>IFERROR(B96/B148, "NA")</f>
        <v>0</v>
      </c>
      <c r="D96" s="21">
        <v>0.0</v>
      </c>
      <c r="E96" s="23">
        <f>IFERROR(D96/D148, "NA")</f>
        <v>0</v>
      </c>
      <c r="F96" s="21">
        <v>0.0</v>
      </c>
      <c r="G96" s="23">
        <f>IFERROR(F96/F148, "NA")</f>
        <v>0</v>
      </c>
      <c r="H96" s="21">
        <v>0.0</v>
      </c>
      <c r="I96" s="23">
        <f>IFERROR(H96/H148, "NA")</f>
        <v>0</v>
      </c>
      <c r="J96" s="21">
        <v>0.0</v>
      </c>
      <c r="K96" s="23">
        <f>IFERROR(J96/J148, "NA")</f>
        <v>0</v>
      </c>
      <c r="L96" s="21">
        <v>0.0</v>
      </c>
      <c r="M96" s="23">
        <f>IFERROR(L96/L148, "NA")</f>
        <v>0</v>
      </c>
      <c r="N96" s="21">
        <v>0.0</v>
      </c>
      <c r="O96" s="23">
        <f>IFERROR(N96/N148, "NA")</f>
        <v>0</v>
      </c>
      <c r="P96" s="21">
        <v>0.0</v>
      </c>
      <c r="Q96" s="23">
        <f>IFERROR(P96/P148, "NA")</f>
        <v>0</v>
      </c>
      <c r="R96" s="21">
        <v>0.0</v>
      </c>
      <c r="S96" s="23">
        <f>IFERROR(R96/R148, "NA")</f>
        <v>0</v>
      </c>
      <c r="T96" s="21">
        <v>0.0</v>
      </c>
      <c r="U96" s="23">
        <f>IFERROR(T96/T148, "NA")</f>
        <v>0</v>
      </c>
      <c r="V96" s="21">
        <v>0.0</v>
      </c>
      <c r="W96" s="23">
        <f>IFERROR(V96/V148, "NA")</f>
        <v>0</v>
      </c>
      <c r="X96" s="21">
        <v>0.0</v>
      </c>
      <c r="Y96" s="23">
        <f>IFERROR(X96/X148, "NA")</f>
        <v>0</v>
      </c>
      <c r="Z96" s="21">
        <v>0.0</v>
      </c>
      <c r="AA96" s="23">
        <f>IFERROR(Z96/Z148, "NA")</f>
        <v>0</v>
      </c>
      <c r="AB96" s="28">
        <f t="shared" si="43"/>
        <v>0</v>
      </c>
      <c r="AC96" s="23">
        <f>IFERROR(AB96/AB148, "NA")</f>
        <v>0</v>
      </c>
      <c r="AD96" s="29">
        <f t="shared" si="44"/>
        <v>0</v>
      </c>
      <c r="AE96" s="30">
        <f>IFERROR(AD96/AD148, "NA")</f>
        <v>0</v>
      </c>
      <c r="AF96" s="29" t="str">
        <f t="shared" si="45"/>
        <v>NA</v>
      </c>
      <c r="AG96" s="28">
        <f t="shared" si="46"/>
        <v>0</v>
      </c>
      <c r="AH96" s="23">
        <f>IFERROR(AG96/AG148, "NA")</f>
        <v>0</v>
      </c>
      <c r="AI96" s="29">
        <f t="shared" si="47"/>
        <v>0</v>
      </c>
      <c r="AJ96" s="30">
        <f>IFERROR(AI96/AI148, "NA")</f>
        <v>0</v>
      </c>
      <c r="AK96" s="29" t="str">
        <f t="shared" si="48"/>
        <v>NA</v>
      </c>
      <c r="AL96" s="30" t="str">
        <f>IFERROR(AK96/AK148, "NA")</f>
        <v>NA</v>
      </c>
    </row>
    <row r="97" ht="16.5" hidden="1" customHeight="1">
      <c r="A97" s="19" t="s">
        <v>211</v>
      </c>
      <c r="B97" s="21">
        <v>441.32</v>
      </c>
      <c r="C97" s="23">
        <f>IFERROR(B97/B148, "NA")</f>
        <v>0.00718546885</v>
      </c>
      <c r="D97" s="21">
        <v>1610.98</v>
      </c>
      <c r="E97" s="23">
        <f>IFERROR(D97/D148, "NA")</f>
        <v>0.02815239038</v>
      </c>
      <c r="F97" s="21">
        <v>1706.73</v>
      </c>
      <c r="G97" s="23">
        <f>IFERROR(F97/F148, "NA")</f>
        <v>0.04134623514</v>
      </c>
      <c r="H97" s="21">
        <v>528.81</v>
      </c>
      <c r="I97" s="23">
        <f>IFERROR(H97/H148, "NA")</f>
        <v>0.03035080691</v>
      </c>
      <c r="J97" s="21">
        <v>0.0</v>
      </c>
      <c r="K97" s="23">
        <f>IFERROR(J97/J148, "NA")</f>
        <v>0</v>
      </c>
      <c r="L97" s="21">
        <v>0.0</v>
      </c>
      <c r="M97" s="23">
        <f>IFERROR(L97/L148, "NA")</f>
        <v>0</v>
      </c>
      <c r="N97" s="21">
        <v>3972.54</v>
      </c>
      <c r="O97" s="23">
        <f>IFERROR(N97/N148, "NA")</f>
        <v>0.1055186004</v>
      </c>
      <c r="P97" s="21">
        <v>471.84</v>
      </c>
      <c r="Q97" s="23">
        <f>IFERROR(P97/P148, "NA")</f>
        <v>0.04532599674</v>
      </c>
      <c r="R97" s="21">
        <v>1700.63</v>
      </c>
      <c r="S97" s="23">
        <f>IFERROR(R97/R148, "NA")</f>
        <v>0.09478903597</v>
      </c>
      <c r="T97" s="21">
        <v>1923.76</v>
      </c>
      <c r="U97" s="23">
        <f>IFERROR(T97/T148, "NA")</f>
        <v>0.05838563607</v>
      </c>
      <c r="V97" s="21">
        <v>247.3</v>
      </c>
      <c r="W97" s="23">
        <f>IFERROR(V97/V148, "NA")</f>
        <v>0.006211255005</v>
      </c>
      <c r="X97" s="21">
        <v>0.0</v>
      </c>
      <c r="Y97" s="23">
        <f>IFERROR(X97/X148, "NA")</f>
        <v>0</v>
      </c>
      <c r="Z97" s="21">
        <v>3871.69</v>
      </c>
      <c r="AA97" s="23">
        <f>IFERROR(Z97/Z148, "NA")</f>
        <v>0.02968981779</v>
      </c>
      <c r="AB97" s="28">
        <f t="shared" si="43"/>
        <v>967.9225</v>
      </c>
      <c r="AC97" s="23">
        <f>IFERROR(AB97/AB148, "NA")</f>
        <v>0.02968981779</v>
      </c>
      <c r="AD97" s="29">
        <f t="shared" si="44"/>
        <v>-967.9225</v>
      </c>
      <c r="AE97" s="30">
        <f>IFERROR(AD97/AD148, "NA")</f>
        <v>-0.1363607227</v>
      </c>
      <c r="AF97" s="29">
        <f t="shared" si="45"/>
        <v>-1</v>
      </c>
      <c r="AG97" s="28">
        <f t="shared" si="46"/>
        <v>1039.50875</v>
      </c>
      <c r="AH97" s="23">
        <f>IFERROR(AG97/AG148, "NA")</f>
        <v>0.0313238608</v>
      </c>
      <c r="AI97" s="29">
        <f t="shared" si="47"/>
        <v>-1039.50875</v>
      </c>
      <c r="AJ97" s="30">
        <f>IFERROR(AI97/AI148, "NA")</f>
        <v>-0.1595913375</v>
      </c>
      <c r="AK97" s="29">
        <f t="shared" si="48"/>
        <v>-1</v>
      </c>
      <c r="AL97" s="30">
        <f>IFERROR(AK97/AK148, "NA")</f>
        <v>-5.094880819</v>
      </c>
    </row>
    <row r="98" ht="16.5" hidden="1" customHeight="1">
      <c r="A98" s="19" t="s">
        <v>212</v>
      </c>
      <c r="B98" s="21">
        <v>444.31</v>
      </c>
      <c r="C98" s="23">
        <f>IFERROR(B98/B148, "NA")</f>
        <v>0.007234151329</v>
      </c>
      <c r="D98" s="21">
        <v>2660.98</v>
      </c>
      <c r="E98" s="23">
        <f>IFERROR(D98/D148, "NA")</f>
        <v>0.04650147597</v>
      </c>
      <c r="F98" s="21">
        <v>473.41</v>
      </c>
      <c r="G98" s="23">
        <f>IFERROR(F98/F148, "NA")</f>
        <v>0.01146855166</v>
      </c>
      <c r="H98" s="21">
        <v>143.18</v>
      </c>
      <c r="I98" s="23">
        <f>IFERROR(H98/H148, "NA")</f>
        <v>0.008217750295</v>
      </c>
      <c r="J98" s="21">
        <v>618.33</v>
      </c>
      <c r="K98" s="23">
        <f>IFERROR(J98/J148, "NA")</f>
        <v>0.01282931224</v>
      </c>
      <c r="L98" s="21">
        <v>667.18</v>
      </c>
      <c r="M98" s="23">
        <f>IFERROR(L98/L148, "NA")</f>
        <v>0.01718306696</v>
      </c>
      <c r="N98" s="21">
        <v>2315.46</v>
      </c>
      <c r="O98" s="23">
        <f>IFERROR(N98/N148, "NA")</f>
        <v>0.06150324442</v>
      </c>
      <c r="P98" s="21">
        <v>455.01</v>
      </c>
      <c r="Q98" s="23">
        <f>IFERROR(P98/P148, "NA")</f>
        <v>0.04370926962</v>
      </c>
      <c r="R98" s="21">
        <v>272.44</v>
      </c>
      <c r="S98" s="23">
        <f>IFERROR(R98/R148, "NA")</f>
        <v>0.01518515195</v>
      </c>
      <c r="T98" s="21">
        <v>367.66</v>
      </c>
      <c r="U98" s="23">
        <f>IFERROR(T98/T148, "NA")</f>
        <v>0.01115838928</v>
      </c>
      <c r="V98" s="21">
        <v>2476.45</v>
      </c>
      <c r="W98" s="23">
        <f>IFERROR(V98/V148, "NA")</f>
        <v>0.0621992012</v>
      </c>
      <c r="X98" s="21">
        <v>334.48</v>
      </c>
      <c r="Y98" s="23">
        <f>IFERROR(X98/X148, "NA")</f>
        <v>0.008425314129</v>
      </c>
      <c r="Z98" s="21">
        <v>3451.03</v>
      </c>
      <c r="AA98" s="23">
        <f>IFERROR(Z98/Z148, "NA")</f>
        <v>0.02646401232</v>
      </c>
      <c r="AB98" s="28">
        <f t="shared" si="43"/>
        <v>862.7575</v>
      </c>
      <c r="AC98" s="23">
        <f>IFERROR(AB98/AB148, "NA")</f>
        <v>0.02646401232</v>
      </c>
      <c r="AD98" s="29">
        <f t="shared" si="44"/>
        <v>-528.2775</v>
      </c>
      <c r="AE98" s="30">
        <f>IFERROR(AD98/AD148, "NA")</f>
        <v>-0.07442362554</v>
      </c>
      <c r="AF98" s="29">
        <f t="shared" si="45"/>
        <v>-0.6123128457</v>
      </c>
      <c r="AG98" s="28">
        <f t="shared" si="46"/>
        <v>938.37625</v>
      </c>
      <c r="AH98" s="23">
        <f>IFERROR(AG98/AG148, "NA")</f>
        <v>0.02827640174</v>
      </c>
      <c r="AI98" s="29">
        <f t="shared" si="47"/>
        <v>-603.89625</v>
      </c>
      <c r="AJ98" s="30">
        <f>IFERROR(AI98/AI148, "NA")</f>
        <v>-0.09271361138</v>
      </c>
      <c r="AK98" s="29">
        <f t="shared" si="48"/>
        <v>-0.6435544911</v>
      </c>
      <c r="AL98" s="30">
        <f>IFERROR(AK98/AK148, "NA")</f>
        <v>-3.278833432</v>
      </c>
    </row>
    <row r="99" ht="16.5" hidden="1" customHeight="1">
      <c r="A99" s="65" t="s">
        <v>213</v>
      </c>
      <c r="B99" s="66">
        <f>IFERROR(B90+B91+B92+B93+B94+B95+B96+B97+B98, "NA")</f>
        <v>9796.73</v>
      </c>
      <c r="C99" s="67">
        <f>IFERROR(B99/B148, "NA")</f>
        <v>0.1595080627</v>
      </c>
      <c r="D99" s="66">
        <f>IFERROR(D90+D91+D92+D93+D94+D95+D96+D97+D98, "NA")</f>
        <v>13370.56</v>
      </c>
      <c r="E99" s="67">
        <f>IFERROR(D99/D148, "NA")</f>
        <v>0.2336548093</v>
      </c>
      <c r="F99" s="66">
        <f>IFERROR(F90+F91+F92+F93+F94+F95+F96+F97+F98, "NA")</f>
        <v>11599.36</v>
      </c>
      <c r="G99" s="67">
        <f>IFERROR(F99/F148, "NA")</f>
        <v>0.2809992594</v>
      </c>
      <c r="H99" s="66">
        <f>IFERROR(H90+H91+H92+H93+H94+H95+H96+H97+H98, "NA")</f>
        <v>4777.88</v>
      </c>
      <c r="I99" s="67">
        <f>IFERROR(H99/H148, "NA")</f>
        <v>0.2742242267</v>
      </c>
      <c r="J99" s="66">
        <f>IFERROR(J90+J91+J92+J93+J94+J95+J96+J97+J98, "NA")</f>
        <v>13992.32</v>
      </c>
      <c r="K99" s="67">
        <f>IFERROR(J99/J148, "NA")</f>
        <v>0.2903172129</v>
      </c>
      <c r="L99" s="66">
        <f>IFERROR(L90+L91+L92+L93+L94+L95+L96+L97+L98, "NA")</f>
        <v>9581.06</v>
      </c>
      <c r="M99" s="67">
        <f>IFERROR(L99/L148, "NA")</f>
        <v>0.2467579896</v>
      </c>
      <c r="N99" s="66">
        <f>IFERROR(N90+N91+N92+N93+N94+N95+N96+N97+N98, "NA")</f>
        <v>14230.81</v>
      </c>
      <c r="O99" s="67">
        <f>IFERROR(N99/N148, "NA")</f>
        <v>0.37799875</v>
      </c>
      <c r="P99" s="66">
        <f>IFERROR(P90+P91+P92+P93+P94+P95+P96+P97+P98, "NA")</f>
        <v>4173.9</v>
      </c>
      <c r="Q99" s="67">
        <f>IFERROR(P99/P148, "NA")</f>
        <v>0.4009540899</v>
      </c>
      <c r="R99" s="66">
        <f>IFERROR(R90+R91+R92+R93+R94+R95+R96+R97+R98, "NA")</f>
        <v>5023.24</v>
      </c>
      <c r="S99" s="67">
        <f>IFERROR(R99/R148, "NA")</f>
        <v>0.2799833456</v>
      </c>
      <c r="T99" s="66">
        <f>IFERROR(T90+T91+T92+T93+T94+T95+T96+T97+T98, "NA")</f>
        <v>8162.75</v>
      </c>
      <c r="U99" s="67">
        <f>IFERROR(T99/T148, "NA")</f>
        <v>0.2477374261</v>
      </c>
      <c r="V99" s="66">
        <f>IFERROR(V90+V91+V92+V93+V94+V95+V96+V97+V98, "NA")</f>
        <v>11686.64</v>
      </c>
      <c r="W99" s="67">
        <f>IFERROR(V99/V148, "NA")</f>
        <v>0.2935248734</v>
      </c>
      <c r="X99" s="66">
        <f>IFERROR(X90+X91+X92+X93+X94+X95+X96+X97+X98, "NA")</f>
        <v>7293.51</v>
      </c>
      <c r="Y99" s="67">
        <f>IFERROR(X99/X148, "NA")</f>
        <v>0.1837183475</v>
      </c>
      <c r="Z99" s="66">
        <f>IFERROR(Z90+Z91+Z92+Z93+Z94+Z95+Z96+Z97+Z98, "NA")</f>
        <v>32166.14</v>
      </c>
      <c r="AA99" s="67">
        <f>IFERROR(Z99/Z148, "NA")</f>
        <v>0.2466640758</v>
      </c>
      <c r="AB99" s="66">
        <f t="shared" si="43"/>
        <v>8041.535</v>
      </c>
      <c r="AC99" s="67">
        <f>IFERROR(AB99/AB148, "NA")</f>
        <v>0.2466640758</v>
      </c>
      <c r="AD99" s="75">
        <f t="shared" si="44"/>
        <v>-748.025</v>
      </c>
      <c r="AE99" s="76">
        <f>IFERROR(AD99/AD148, "NA")</f>
        <v>-0.1053816081</v>
      </c>
      <c r="AF99" s="75">
        <f t="shared" si="45"/>
        <v>-0.09302017587</v>
      </c>
      <c r="AG99" s="66">
        <f t="shared" si="46"/>
        <v>9268.02875</v>
      </c>
      <c r="AH99" s="67">
        <f>IFERROR(AG99/AG148, "NA")</f>
        <v>0.2792765741</v>
      </c>
      <c r="AI99" s="75">
        <f t="shared" si="47"/>
        <v>-1974.51875</v>
      </c>
      <c r="AJ99" s="76">
        <f>IFERROR(AI99/AI148, "NA")</f>
        <v>-0.3031394284</v>
      </c>
      <c r="AK99" s="75">
        <f t="shared" si="48"/>
        <v>-0.2130462478</v>
      </c>
      <c r="AL99" s="76">
        <f>IFERROR(AK99/AK148, "NA")</f>
        <v>-1.085445242</v>
      </c>
    </row>
    <row r="100" ht="16.5" hidden="1" customHeight="1">
      <c r="A100" s="123"/>
      <c r="B100" s="124"/>
      <c r="C100" s="74"/>
      <c r="D100" s="124"/>
      <c r="E100" s="74"/>
      <c r="F100" s="124"/>
      <c r="G100" s="74"/>
      <c r="H100" s="124"/>
      <c r="I100" s="74"/>
      <c r="J100" s="124"/>
      <c r="K100" s="74"/>
      <c r="L100" s="124"/>
      <c r="M100" s="74"/>
      <c r="N100" s="124"/>
      <c r="O100" s="74"/>
      <c r="P100" s="124"/>
      <c r="Q100" s="74"/>
      <c r="R100" s="124"/>
      <c r="S100" s="74"/>
      <c r="T100" s="124"/>
      <c r="U100" s="74"/>
      <c r="V100" s="124"/>
      <c r="W100" s="74"/>
      <c r="X100" s="124"/>
      <c r="Y100" s="74"/>
      <c r="Z100" s="124"/>
      <c r="AA100" s="74"/>
      <c r="AB100" s="124"/>
      <c r="AC100" s="74"/>
      <c r="AD100" s="125"/>
      <c r="AE100" s="80"/>
      <c r="AF100" s="125"/>
      <c r="AG100" s="124"/>
      <c r="AH100" s="74"/>
      <c r="AI100" s="125"/>
      <c r="AJ100" s="80"/>
      <c r="AK100" s="125"/>
      <c r="AL100" s="80"/>
    </row>
    <row r="101" ht="16.5" hidden="1" customHeight="1">
      <c r="A101" s="121" t="s">
        <v>214</v>
      </c>
      <c r="B101" s="122">
        <f>IFERROR(B87-B99, "NA")</f>
        <v>23477.85</v>
      </c>
      <c r="C101" s="94">
        <f>IFERROR(B101/B148, "NA")</f>
        <v>0.3822608534</v>
      </c>
      <c r="D101" s="122">
        <f>IFERROR(D87-D99, "NA")</f>
        <v>16492.12</v>
      </c>
      <c r="E101" s="94">
        <f>IFERROR(D101/D148, "NA")</f>
        <v>0.288205068</v>
      </c>
      <c r="F101" s="122">
        <f>IFERROR(F87-F99, "NA")</f>
        <v>10888.07</v>
      </c>
      <c r="G101" s="94">
        <f>IFERROR(F101/F148, "NA")</f>
        <v>0.2637679671</v>
      </c>
      <c r="H101" s="122">
        <f>IFERROR(H87-H99, "NA")</f>
        <v>-472.72</v>
      </c>
      <c r="I101" s="94">
        <f>IFERROR(H101/H148, "NA")</f>
        <v>-0.02713154714</v>
      </c>
      <c r="J101" s="122">
        <f>IFERROR(J87-J99, "NA")</f>
        <v>11690.56</v>
      </c>
      <c r="K101" s="94">
        <f>IFERROR(J101/J148, "NA")</f>
        <v>0.2425595467</v>
      </c>
      <c r="L101" s="122">
        <f>IFERROR(L87-L99, "NA")</f>
        <v>7853.24</v>
      </c>
      <c r="M101" s="94">
        <f>IFERROR(L101/L148, "NA")</f>
        <v>0.2022583842</v>
      </c>
      <c r="N101" s="122">
        <f>IFERROR(N87-N99, "NA")</f>
        <v>2871.9</v>
      </c>
      <c r="O101" s="94">
        <f>IFERROR(N101/N148, "NA")</f>
        <v>0.07628340271</v>
      </c>
      <c r="P101" s="122">
        <f>IFERROR(P87-P99, "NA")</f>
        <v>-3185.94</v>
      </c>
      <c r="Q101" s="94">
        <f>IFERROR(P101/P148, "NA")</f>
        <v>-0.3060484615</v>
      </c>
      <c r="R101" s="122">
        <f>IFERROR(R87-R99, "NA")</f>
        <v>356.34</v>
      </c>
      <c r="S101" s="94">
        <f>IFERROR(R101/R148, "NA")</f>
        <v>0.01986153665</v>
      </c>
      <c r="T101" s="122">
        <f>IFERROR(T87-T99, "NA")</f>
        <v>6514.12</v>
      </c>
      <c r="U101" s="94">
        <f>IFERROR(T101/T148, "NA")</f>
        <v>0.1977019169</v>
      </c>
      <c r="V101" s="122">
        <f>IFERROR(V87-V99, "NA")</f>
        <v>6313.17</v>
      </c>
      <c r="W101" s="94">
        <f>IFERROR(V101/V148, "NA")</f>
        <v>0.1585633189</v>
      </c>
      <c r="X101" s="122">
        <f>IFERROR(X87-X99, "NA")</f>
        <v>11935.32</v>
      </c>
      <c r="Y101" s="94">
        <f>IFERROR(X101/X148, "NA")</f>
        <v>0.3006422514</v>
      </c>
      <c r="Z101" s="122">
        <f>IFERROR(Z87-Z99, "NA")</f>
        <v>25118.95</v>
      </c>
      <c r="AA101" s="94">
        <f>IFERROR(Z101/Z148, "NA")</f>
        <v>0.1926231306</v>
      </c>
      <c r="AB101" s="122">
        <f>IFERROR((R101+T101+V101+X101)/4, "NA")</f>
        <v>6279.7375</v>
      </c>
      <c r="AC101" s="94">
        <f>IFERROR(AB101/AB148, "NA")</f>
        <v>0.1926231306</v>
      </c>
      <c r="AD101" s="75">
        <f>IFERROR(X101-AB101, "NA")</f>
        <v>5655.5825</v>
      </c>
      <c r="AE101" s="76">
        <f>IFERROR(AD101/AD148, "NA")</f>
        <v>0.7967572993</v>
      </c>
      <c r="AF101" s="75">
        <f>IFERROR((X101-AB101)/AB101, "NA")</f>
        <v>0.9006081066</v>
      </c>
      <c r="AG101" s="122">
        <f>IFERROR((J101+L101+N101+P101+R101+T101+V101+X101)/8, "NA")</f>
        <v>5543.58875</v>
      </c>
      <c r="AH101" s="94">
        <f>IFERROR(AG101/AG148, "NA")</f>
        <v>0.1670467924</v>
      </c>
      <c r="AI101" s="75">
        <f>IFERROR(X101-AG101, "NA")</f>
        <v>6391.73125</v>
      </c>
      <c r="AJ101" s="76">
        <f>IFERROR(AI101/AI148, "NA")</f>
        <v>0.9812951929</v>
      </c>
      <c r="AK101" s="75">
        <f>IFERROR((X101-AG101)/AG101, "NA")</f>
        <v>1.152995205</v>
      </c>
      <c r="AL101" s="76">
        <f>IFERROR(AK101/AK148, "NA")</f>
        <v>5.874373157</v>
      </c>
    </row>
    <row r="102" ht="3.75" hidden="1" customHeight="1">
      <c r="A102" s="123"/>
      <c r="B102" s="124"/>
      <c r="C102" s="74"/>
      <c r="D102" s="124"/>
      <c r="E102" s="74"/>
      <c r="F102" s="124"/>
      <c r="G102" s="74"/>
      <c r="H102" s="124"/>
      <c r="I102" s="74"/>
      <c r="J102" s="124"/>
      <c r="K102" s="74"/>
      <c r="L102" s="124"/>
      <c r="M102" s="74"/>
      <c r="N102" s="124"/>
      <c r="O102" s="74"/>
      <c r="P102" s="124"/>
      <c r="Q102" s="74"/>
      <c r="R102" s="124"/>
      <c r="S102" s="74"/>
      <c r="T102" s="124"/>
      <c r="U102" s="74"/>
      <c r="V102" s="124"/>
      <c r="W102" s="74"/>
      <c r="X102" s="124"/>
      <c r="Y102" s="74"/>
      <c r="Z102" s="124"/>
      <c r="AA102" s="74"/>
      <c r="AB102" s="124"/>
      <c r="AC102" s="74"/>
      <c r="AD102" s="125"/>
      <c r="AE102" s="80"/>
      <c r="AF102" s="125"/>
      <c r="AG102" s="124"/>
      <c r="AH102" s="74"/>
      <c r="AI102" s="125"/>
      <c r="AJ102" s="80"/>
      <c r="AK102" s="125"/>
      <c r="AL102" s="80"/>
    </row>
    <row r="103" ht="16.5" hidden="1" customHeight="1">
      <c r="A103" s="13" t="s">
        <v>215</v>
      </c>
      <c r="B103" s="14"/>
      <c r="C103" s="12"/>
      <c r="D103" s="14"/>
      <c r="E103" s="12"/>
      <c r="F103" s="14"/>
      <c r="G103" s="12"/>
      <c r="H103" s="14"/>
      <c r="I103" s="12"/>
      <c r="J103" s="14"/>
      <c r="K103" s="12"/>
      <c r="L103" s="14"/>
      <c r="M103" s="12"/>
      <c r="N103" s="14"/>
      <c r="O103" s="12"/>
      <c r="P103" s="14"/>
      <c r="Q103" s="12"/>
      <c r="R103" s="14"/>
      <c r="S103" s="12"/>
      <c r="T103" s="14"/>
      <c r="U103" s="12"/>
      <c r="V103" s="14"/>
      <c r="W103" s="12"/>
      <c r="X103" s="14"/>
      <c r="Y103" s="12"/>
      <c r="Z103" s="14"/>
      <c r="AA103" s="12"/>
      <c r="AB103" s="14"/>
      <c r="AC103" s="12"/>
      <c r="AD103" s="17"/>
      <c r="AE103" s="18"/>
      <c r="AF103" s="17"/>
      <c r="AG103" s="14"/>
      <c r="AH103" s="12"/>
      <c r="AI103" s="17"/>
      <c r="AJ103" s="18"/>
      <c r="AK103" s="17"/>
      <c r="AL103" s="18"/>
    </row>
    <row r="104" ht="16.5" hidden="1" customHeight="1">
      <c r="A104" s="126" t="s">
        <v>216</v>
      </c>
      <c r="B104" s="127">
        <v>0.0</v>
      </c>
      <c r="C104" s="94">
        <f>IFERROR(B104/B148, "NA")</f>
        <v>0</v>
      </c>
      <c r="D104" s="127">
        <v>3804.39</v>
      </c>
      <c r="E104" s="94">
        <f>IFERROR(D104/D148, "NA")</f>
        <v>0.06648293116</v>
      </c>
      <c r="F104" s="127">
        <v>13322.22</v>
      </c>
      <c r="G104" s="94">
        <f>IFERROR(F104/F148, "NA")</f>
        <v>0.3227362504</v>
      </c>
      <c r="H104" s="127">
        <v>564.62</v>
      </c>
      <c r="I104" s="94">
        <f>IFERROR(H104/H148, "NA")</f>
        <v>0.0324061054</v>
      </c>
      <c r="J104" s="127">
        <v>0.0</v>
      </c>
      <c r="K104" s="94">
        <f>IFERROR(J104/J148, "NA")</f>
        <v>0</v>
      </c>
      <c r="L104" s="127">
        <v>0.0</v>
      </c>
      <c r="M104" s="94">
        <f>IFERROR(L104/L148, "NA")</f>
        <v>0</v>
      </c>
      <c r="N104" s="127">
        <v>3683.23</v>
      </c>
      <c r="O104" s="94">
        <f>IFERROR(N104/N148, "NA")</f>
        <v>0.09783394873</v>
      </c>
      <c r="P104" s="127">
        <v>14009.96</v>
      </c>
      <c r="Q104" s="94">
        <f>IFERROR(P104/P148, "NA")</f>
        <v>1.345827826</v>
      </c>
      <c r="R104" s="127">
        <v>-292.86</v>
      </c>
      <c r="S104" s="94">
        <f>IFERROR(R104/R148, "NA")</f>
        <v>-0.01632331376</v>
      </c>
      <c r="T104" s="127">
        <v>0.0</v>
      </c>
      <c r="U104" s="94">
        <f>IFERROR(T104/T148, "NA")</f>
        <v>0</v>
      </c>
      <c r="V104" s="127">
        <v>4636.96</v>
      </c>
      <c r="W104" s="94">
        <f>IFERROR(V104/V148, "NA")</f>
        <v>0.1164631662</v>
      </c>
      <c r="X104" s="127">
        <v>11344.52</v>
      </c>
      <c r="Y104" s="94">
        <f>IFERROR(X104/X148, "NA")</f>
        <v>0.2857604181</v>
      </c>
      <c r="Z104" s="127">
        <v>15688.62</v>
      </c>
      <c r="AA104" s="94">
        <f>IFERROR(Z104/Z148, "NA")</f>
        <v>0.1203072222</v>
      </c>
      <c r="AB104" s="122">
        <f t="shared" ref="AB104:AB105" si="49">IFERROR((R104+T104+V104+X104)/4, "NA")</f>
        <v>3922.155</v>
      </c>
      <c r="AC104" s="94">
        <f>IFERROR(AB104/AB148, "NA")</f>
        <v>0.1203072222</v>
      </c>
      <c r="AD104" s="75">
        <f t="shared" ref="AD104:AD105" si="50">IFERROR(X104-AB104, "NA")</f>
        <v>7422.365</v>
      </c>
      <c r="AE104" s="76">
        <f>IFERROR(AD104/AD148, "NA")</f>
        <v>1.045661255</v>
      </c>
      <c r="AF104" s="75">
        <f t="shared" ref="AF104:AF105" si="51">IFERROR((X104-AB104)/AB104, "NA")</f>
        <v>1.892420111</v>
      </c>
      <c r="AG104" s="122">
        <f t="shared" ref="AG104:AG105" si="52">IFERROR((J104+L104+N104+P104+R104+T104+V104+X104)/8, "NA")</f>
        <v>4172.72625</v>
      </c>
      <c r="AH104" s="94">
        <f>IFERROR(AG104/AG148, "NA")</f>
        <v>0.1257381395</v>
      </c>
      <c r="AI104" s="75">
        <f t="shared" ref="AI104:AI105" si="53">IFERROR(X104-AG104, "NA")</f>
        <v>7171.79375</v>
      </c>
      <c r="AJ104" s="76">
        <f>IFERROR(AI104/AI148, "NA")</f>
        <v>1.101054856</v>
      </c>
      <c r="AK104" s="75">
        <f t="shared" ref="AK104:AK105" si="54">IFERROR((X104-AG104)/AG104, "NA")</f>
        <v>1.71873095</v>
      </c>
      <c r="AL104" s="76">
        <f>IFERROR(AK104/AK148, "NA")</f>
        <v>8.756729348</v>
      </c>
    </row>
    <row r="105" ht="16.5" hidden="1" customHeight="1">
      <c r="A105" s="65" t="s">
        <v>217</v>
      </c>
      <c r="B105" s="66">
        <f>IFERROR(B104, "NA")</f>
        <v>0</v>
      </c>
      <c r="C105" s="67">
        <f>IFERROR(B105/B148, "NA")</f>
        <v>0</v>
      </c>
      <c r="D105" s="66">
        <f>IFERROR(D104, "NA")</f>
        <v>3804.39</v>
      </c>
      <c r="E105" s="67">
        <f>IFERROR(D105/D148, "NA")</f>
        <v>0.06648293116</v>
      </c>
      <c r="F105" s="66">
        <f>IFERROR(F104, "NA")</f>
        <v>13322.22</v>
      </c>
      <c r="G105" s="67">
        <f>IFERROR(F105/F148, "NA")</f>
        <v>0.3227362504</v>
      </c>
      <c r="H105" s="66">
        <f>IFERROR(H104, "NA")</f>
        <v>564.62</v>
      </c>
      <c r="I105" s="67">
        <f>IFERROR(H105/H148, "NA")</f>
        <v>0.0324061054</v>
      </c>
      <c r="J105" s="66">
        <f>IFERROR(J104, "NA")</f>
        <v>0</v>
      </c>
      <c r="K105" s="67">
        <f>IFERROR(J105/J148, "NA")</f>
        <v>0</v>
      </c>
      <c r="L105" s="66">
        <f>IFERROR(L104, "NA")</f>
        <v>0</v>
      </c>
      <c r="M105" s="67">
        <f>IFERROR(L105/L148, "NA")</f>
        <v>0</v>
      </c>
      <c r="N105" s="66">
        <f>IFERROR(N104, "NA")</f>
        <v>3683.23</v>
      </c>
      <c r="O105" s="67">
        <f>IFERROR(N105/N148, "NA")</f>
        <v>0.09783394873</v>
      </c>
      <c r="P105" s="66">
        <f>IFERROR(P104, "NA")</f>
        <v>14009.96</v>
      </c>
      <c r="Q105" s="67">
        <f>IFERROR(P105/P148, "NA")</f>
        <v>1.345827826</v>
      </c>
      <c r="R105" s="66">
        <f>IFERROR(R104, "NA")</f>
        <v>-292.86</v>
      </c>
      <c r="S105" s="67">
        <f>IFERROR(R105/R148, "NA")</f>
        <v>-0.01632331376</v>
      </c>
      <c r="T105" s="66">
        <f>IFERROR(T104, "NA")</f>
        <v>0</v>
      </c>
      <c r="U105" s="67">
        <f>IFERROR(T105/T148, "NA")</f>
        <v>0</v>
      </c>
      <c r="V105" s="66">
        <f>IFERROR(V104, "NA")</f>
        <v>4636.96</v>
      </c>
      <c r="W105" s="67">
        <f>IFERROR(V105/V148, "NA")</f>
        <v>0.1164631662</v>
      </c>
      <c r="X105" s="66">
        <f>IFERROR(X104, "NA")</f>
        <v>11344.52</v>
      </c>
      <c r="Y105" s="67">
        <f>IFERROR(X105/X148, "NA")</f>
        <v>0.2857604181</v>
      </c>
      <c r="Z105" s="66">
        <f>IFERROR(Z104, "NA")</f>
        <v>15688.62</v>
      </c>
      <c r="AA105" s="67">
        <f>IFERROR(Z105/Z148, "NA")</f>
        <v>0.1203072222</v>
      </c>
      <c r="AB105" s="66">
        <f t="shared" si="49"/>
        <v>3922.155</v>
      </c>
      <c r="AC105" s="67">
        <f>IFERROR(AB105/AB148, "NA")</f>
        <v>0.1203072222</v>
      </c>
      <c r="AD105" s="75">
        <f t="shared" si="50"/>
        <v>7422.365</v>
      </c>
      <c r="AE105" s="76">
        <f>IFERROR(AD105/AD148, "NA")</f>
        <v>1.045661255</v>
      </c>
      <c r="AF105" s="75">
        <f t="shared" si="51"/>
        <v>1.892420111</v>
      </c>
      <c r="AG105" s="66">
        <f t="shared" si="52"/>
        <v>4172.72625</v>
      </c>
      <c r="AH105" s="67">
        <f>IFERROR(AG105/AG148, "NA")</f>
        <v>0.1257381395</v>
      </c>
      <c r="AI105" s="75">
        <f t="shared" si="53"/>
        <v>7171.79375</v>
      </c>
      <c r="AJ105" s="76">
        <f>IFERROR(AI105/AI148, "NA")</f>
        <v>1.101054856</v>
      </c>
      <c r="AK105" s="75">
        <f t="shared" si="54"/>
        <v>1.71873095</v>
      </c>
      <c r="AL105" s="76">
        <f>IFERROR(AK105/AK148, "NA")</f>
        <v>8.756729348</v>
      </c>
    </row>
    <row r="106" ht="16.5" hidden="1" customHeight="1">
      <c r="A106" s="123"/>
      <c r="B106" s="124"/>
      <c r="C106" s="74"/>
      <c r="D106" s="124"/>
      <c r="E106" s="74"/>
      <c r="F106" s="124"/>
      <c r="G106" s="74"/>
      <c r="H106" s="124"/>
      <c r="I106" s="74"/>
      <c r="J106" s="124"/>
      <c r="K106" s="74"/>
      <c r="L106" s="124"/>
      <c r="M106" s="74"/>
      <c r="N106" s="124"/>
      <c r="O106" s="74"/>
      <c r="P106" s="124"/>
      <c r="Q106" s="74"/>
      <c r="R106" s="124"/>
      <c r="S106" s="74"/>
      <c r="T106" s="124"/>
      <c r="U106" s="74"/>
      <c r="V106" s="124"/>
      <c r="W106" s="74"/>
      <c r="X106" s="124"/>
      <c r="Y106" s="74"/>
      <c r="Z106" s="124"/>
      <c r="AA106" s="74"/>
      <c r="AB106" s="124"/>
      <c r="AC106" s="74"/>
      <c r="AD106" s="125"/>
      <c r="AE106" s="80"/>
      <c r="AF106" s="125"/>
      <c r="AG106" s="124"/>
      <c r="AH106" s="74"/>
      <c r="AI106" s="125"/>
      <c r="AJ106" s="80"/>
      <c r="AK106" s="125"/>
      <c r="AL106" s="80"/>
    </row>
    <row r="107" ht="16.5" hidden="1" customHeight="1">
      <c r="A107" s="121" t="s">
        <v>218</v>
      </c>
      <c r="B107" s="122">
        <f>IFERROR(B87-B99-B105, "NA")</f>
        <v>23477.85</v>
      </c>
      <c r="C107" s="94">
        <f>IFERROR(B107/B148, "NA")</f>
        <v>0.3822608534</v>
      </c>
      <c r="D107" s="122">
        <f>IFERROR(D87-D99-D105, "NA")</f>
        <v>12687.73</v>
      </c>
      <c r="E107" s="94">
        <f>IFERROR(D107/D148, "NA")</f>
        <v>0.2217221368</v>
      </c>
      <c r="F107" s="122">
        <f>IFERROR(F87-F99-F105, "NA")</f>
        <v>-2434.15</v>
      </c>
      <c r="G107" s="94">
        <f>IFERROR(F107/F148, "NA")</f>
        <v>-0.05896828337</v>
      </c>
      <c r="H107" s="122">
        <f>IFERROR(H87-H99-H105, "NA")</f>
        <v>-1037.34</v>
      </c>
      <c r="I107" s="94">
        <f>IFERROR(H107/H148, "NA")</f>
        <v>-0.05953765254</v>
      </c>
      <c r="J107" s="122">
        <f>IFERROR(J87-J99-J105, "NA")</f>
        <v>11690.56</v>
      </c>
      <c r="K107" s="94">
        <f>IFERROR(J107/J148, "NA")</f>
        <v>0.2425595467</v>
      </c>
      <c r="L107" s="122">
        <f>IFERROR(L87-L99-L105, "NA")</f>
        <v>7853.24</v>
      </c>
      <c r="M107" s="94">
        <f>IFERROR(L107/L148, "NA")</f>
        <v>0.2022583842</v>
      </c>
      <c r="N107" s="122">
        <f>IFERROR(N87-N99-N105, "NA")</f>
        <v>-811.33</v>
      </c>
      <c r="O107" s="94">
        <f>IFERROR(N107/N148, "NA")</f>
        <v>-0.02155054602</v>
      </c>
      <c r="P107" s="122">
        <f>IFERROR(P87-P99-P105, "NA")</f>
        <v>-17195.9</v>
      </c>
      <c r="Q107" s="94">
        <f>IFERROR(P107/P148, "NA")</f>
        <v>-1.651876287</v>
      </c>
      <c r="R107" s="122">
        <f>IFERROR(R87-R99-R105, "NA")</f>
        <v>649.2</v>
      </c>
      <c r="S107" s="94">
        <f>IFERROR(R107/R148, "NA")</f>
        <v>0.03618485041</v>
      </c>
      <c r="T107" s="122">
        <f>IFERROR(T87-T99-T105, "NA")</f>
        <v>6514.12</v>
      </c>
      <c r="U107" s="94">
        <f>IFERROR(T107/T148, "NA")</f>
        <v>0.1977019169</v>
      </c>
      <c r="V107" s="122">
        <f>IFERROR(V87-V99-V105, "NA")</f>
        <v>1676.21</v>
      </c>
      <c r="W107" s="94">
        <f>IFERROR(V107/V148, "NA")</f>
        <v>0.04210015266</v>
      </c>
      <c r="X107" s="122">
        <f>IFERROR(X87-X99-X105, "NA")</f>
        <v>590.8</v>
      </c>
      <c r="Y107" s="94">
        <f>IFERROR(X107/X148, "NA")</f>
        <v>0.01488183326</v>
      </c>
      <c r="Z107" s="122">
        <f>IFERROR(Z87-Z99-Z105, "NA")</f>
        <v>9430.33</v>
      </c>
      <c r="AA107" s="94">
        <f>IFERROR(Z107/Z148, "NA")</f>
        <v>0.07231590839</v>
      </c>
      <c r="AB107" s="122">
        <f>IFERROR((R107+T107+V107+X107)/4, "NA")</f>
        <v>2357.5825</v>
      </c>
      <c r="AC107" s="94">
        <f>IFERROR(AB107/AB148, "NA")</f>
        <v>0.07231590839</v>
      </c>
      <c r="AD107" s="75">
        <f>IFERROR(X107-AB107, "NA")</f>
        <v>-1766.7825</v>
      </c>
      <c r="AE107" s="76">
        <f>IFERROR(AD107/AD148, "NA")</f>
        <v>-0.2489039552</v>
      </c>
      <c r="AF107" s="75">
        <f>IFERROR((X107-AB107)/AB107, "NA")</f>
        <v>-0.7494043156</v>
      </c>
      <c r="AG107" s="122">
        <f>IFERROR((J107+L107+N107+P107+R107+T107+V107+X107)/8, "NA")</f>
        <v>1370.8625</v>
      </c>
      <c r="AH107" s="94">
        <f>IFERROR(AG107/AG148, "NA")</f>
        <v>0.04130865288</v>
      </c>
      <c r="AI107" s="75">
        <f>IFERROR(X107-AG107, "NA")</f>
        <v>-780.0625</v>
      </c>
      <c r="AJ107" s="76">
        <f>IFERROR(AI107/AI148, "NA")</f>
        <v>-0.1197596631</v>
      </c>
      <c r="AK107" s="75">
        <f>IFERROR((X107-AG107)/AG107, "NA")</f>
        <v>-0.5690304462</v>
      </c>
      <c r="AL107" s="76">
        <f>IFERROR(AK107/AK148, "NA")</f>
        <v>-2.899142306</v>
      </c>
    </row>
    <row r="108" ht="3.75" hidden="1" customHeight="1">
      <c r="A108" s="123"/>
      <c r="B108" s="124"/>
      <c r="C108" s="74"/>
      <c r="D108" s="124"/>
      <c r="E108" s="74"/>
      <c r="F108" s="124"/>
      <c r="G108" s="74"/>
      <c r="H108" s="124"/>
      <c r="I108" s="74"/>
      <c r="J108" s="124"/>
      <c r="K108" s="74"/>
      <c r="L108" s="124"/>
      <c r="M108" s="74"/>
      <c r="N108" s="124"/>
      <c r="O108" s="74"/>
      <c r="P108" s="124"/>
      <c r="Q108" s="74"/>
      <c r="R108" s="124"/>
      <c r="S108" s="74"/>
      <c r="T108" s="124"/>
      <c r="U108" s="74"/>
      <c r="V108" s="124"/>
      <c r="W108" s="74"/>
      <c r="X108" s="124"/>
      <c r="Y108" s="74"/>
      <c r="Z108" s="124"/>
      <c r="AA108" s="74"/>
      <c r="AB108" s="124"/>
      <c r="AC108" s="74"/>
      <c r="AD108" s="125"/>
      <c r="AE108" s="80"/>
      <c r="AF108" s="125"/>
      <c r="AG108" s="124"/>
      <c r="AH108" s="74"/>
      <c r="AI108" s="125"/>
      <c r="AJ108" s="80"/>
      <c r="AK108" s="125"/>
      <c r="AL108" s="80"/>
    </row>
    <row r="109" ht="16.5" hidden="1" customHeight="1">
      <c r="A109" s="13" t="s">
        <v>219</v>
      </c>
      <c r="B109" s="14"/>
      <c r="C109" s="12"/>
      <c r="D109" s="14"/>
      <c r="E109" s="12"/>
      <c r="F109" s="14"/>
      <c r="G109" s="12"/>
      <c r="H109" s="14"/>
      <c r="I109" s="12"/>
      <c r="J109" s="14"/>
      <c r="K109" s="12"/>
      <c r="L109" s="14"/>
      <c r="M109" s="12"/>
      <c r="N109" s="14"/>
      <c r="O109" s="12"/>
      <c r="P109" s="14"/>
      <c r="Q109" s="12"/>
      <c r="R109" s="14"/>
      <c r="S109" s="12"/>
      <c r="T109" s="14"/>
      <c r="U109" s="12"/>
      <c r="V109" s="14"/>
      <c r="W109" s="12"/>
      <c r="X109" s="14"/>
      <c r="Y109" s="12"/>
      <c r="Z109" s="14"/>
      <c r="AA109" s="12"/>
      <c r="AB109" s="14"/>
      <c r="AC109" s="12"/>
      <c r="AD109" s="17"/>
      <c r="AE109" s="18"/>
      <c r="AF109" s="17"/>
      <c r="AG109" s="14"/>
      <c r="AH109" s="12"/>
      <c r="AI109" s="17"/>
      <c r="AJ109" s="18"/>
      <c r="AK109" s="17"/>
      <c r="AL109" s="18"/>
    </row>
    <row r="110" ht="16.5" hidden="1" customHeight="1">
      <c r="A110" s="19" t="s">
        <v>220</v>
      </c>
      <c r="B110" s="21">
        <v>0.0</v>
      </c>
      <c r="C110" s="23">
        <f>IFERROR(B110/B148, "NA")</f>
        <v>0</v>
      </c>
      <c r="D110" s="21">
        <v>0.0</v>
      </c>
      <c r="E110" s="23">
        <f>IFERROR(D110/D148, "NA")</f>
        <v>0</v>
      </c>
      <c r="F110" s="21">
        <v>0.0</v>
      </c>
      <c r="G110" s="23">
        <f>IFERROR(F110/F148, "NA")</f>
        <v>0</v>
      </c>
      <c r="H110" s="21">
        <v>0.0</v>
      </c>
      <c r="I110" s="23">
        <f>IFERROR(H110/H148, "NA")</f>
        <v>0</v>
      </c>
      <c r="J110" s="21">
        <v>0.0</v>
      </c>
      <c r="K110" s="23">
        <f>IFERROR(J110/J148, "NA")</f>
        <v>0</v>
      </c>
      <c r="L110" s="21">
        <v>0.0</v>
      </c>
      <c r="M110" s="23">
        <f>IFERROR(L110/L148, "NA")</f>
        <v>0</v>
      </c>
      <c r="N110" s="21">
        <v>0.0</v>
      </c>
      <c r="O110" s="23">
        <f>IFERROR(N110/N148, "NA")</f>
        <v>0</v>
      </c>
      <c r="P110" s="21">
        <v>0.0</v>
      </c>
      <c r="Q110" s="23">
        <f>IFERROR(P110/P148, "NA")</f>
        <v>0</v>
      </c>
      <c r="R110" s="21">
        <v>0.0</v>
      </c>
      <c r="S110" s="23">
        <f>IFERROR(R110/R148, "NA")</f>
        <v>0</v>
      </c>
      <c r="T110" s="21">
        <v>0.0</v>
      </c>
      <c r="U110" s="23">
        <f>IFERROR(T110/T148, "NA")</f>
        <v>0</v>
      </c>
      <c r="V110" s="21">
        <v>0.0</v>
      </c>
      <c r="W110" s="23">
        <f>IFERROR(V110/V148, "NA")</f>
        <v>0</v>
      </c>
      <c r="X110" s="21">
        <v>0.0</v>
      </c>
      <c r="Y110" s="23">
        <f>IFERROR(X110/X148, "NA")</f>
        <v>0</v>
      </c>
      <c r="Z110" s="21">
        <v>0.0</v>
      </c>
      <c r="AA110" s="23">
        <f>IFERROR(Z110/Z148, "NA")</f>
        <v>0</v>
      </c>
      <c r="AB110" s="28">
        <f t="shared" ref="AB110:AB135" si="55">IFERROR((R110+T110+V110+X110)/4, "NA")</f>
        <v>0</v>
      </c>
      <c r="AC110" s="23">
        <f>IFERROR(AB110/AB148, "NA")</f>
        <v>0</v>
      </c>
      <c r="AD110" s="29">
        <f t="shared" ref="AD110:AD135" si="56">IFERROR(X110-AB110, "NA")</f>
        <v>0</v>
      </c>
      <c r="AE110" s="30">
        <f>IFERROR(AD110/AD148, "NA")</f>
        <v>0</v>
      </c>
      <c r="AF110" s="29" t="str">
        <f t="shared" ref="AF110:AF135" si="57">IFERROR((X110-AB110)/AB110, "NA")</f>
        <v>NA</v>
      </c>
      <c r="AG110" s="28">
        <f t="shared" ref="AG110:AG135" si="58">IFERROR((J110+L110+N110+P110+R110+T110+V110+X110)/8, "NA")</f>
        <v>0</v>
      </c>
      <c r="AH110" s="23">
        <f>IFERROR(AG110/AG148, "NA")</f>
        <v>0</v>
      </c>
      <c r="AI110" s="29">
        <f t="shared" ref="AI110:AI135" si="59">IFERROR(X110-AG110, "NA")</f>
        <v>0</v>
      </c>
      <c r="AJ110" s="30">
        <f>IFERROR(AI110/AI148, "NA")</f>
        <v>0</v>
      </c>
      <c r="AK110" s="29" t="str">
        <f t="shared" ref="AK110:AK135" si="60">IFERROR((X110-AG110)/AG110, "NA")</f>
        <v>NA</v>
      </c>
      <c r="AL110" s="30" t="str">
        <f>IFERROR(AK110/AK148, "NA")</f>
        <v>NA</v>
      </c>
    </row>
    <row r="111" ht="16.5" hidden="1" customHeight="1">
      <c r="A111" s="19" t="s">
        <v>221</v>
      </c>
      <c r="B111" s="21">
        <v>0.0</v>
      </c>
      <c r="C111" s="23">
        <f>IFERROR(B111/B148, "NA")</f>
        <v>0</v>
      </c>
      <c r="D111" s="21">
        <v>0.0</v>
      </c>
      <c r="E111" s="23">
        <f>IFERROR(D111/D148, "NA")</f>
        <v>0</v>
      </c>
      <c r="F111" s="21">
        <v>0.0</v>
      </c>
      <c r="G111" s="23">
        <f>IFERROR(F111/F148, "NA")</f>
        <v>0</v>
      </c>
      <c r="H111" s="21">
        <v>0.0</v>
      </c>
      <c r="I111" s="23">
        <f>IFERROR(H111/H148, "NA")</f>
        <v>0</v>
      </c>
      <c r="J111" s="21">
        <v>0.0</v>
      </c>
      <c r="K111" s="23">
        <f>IFERROR(J111/J148, "NA")</f>
        <v>0</v>
      </c>
      <c r="L111" s="21">
        <v>0.0</v>
      </c>
      <c r="M111" s="23">
        <f>IFERROR(L111/L148, "NA")</f>
        <v>0</v>
      </c>
      <c r="N111" s="21">
        <v>0.0</v>
      </c>
      <c r="O111" s="23">
        <f>IFERROR(N111/N148, "NA")</f>
        <v>0</v>
      </c>
      <c r="P111" s="21">
        <v>0.0</v>
      </c>
      <c r="Q111" s="23">
        <f>IFERROR(P111/P148, "NA")</f>
        <v>0</v>
      </c>
      <c r="R111" s="21">
        <v>0.0</v>
      </c>
      <c r="S111" s="23">
        <f>IFERROR(R111/R148, "NA")</f>
        <v>0</v>
      </c>
      <c r="T111" s="21">
        <v>0.0</v>
      </c>
      <c r="U111" s="23">
        <f>IFERROR(T111/T148, "NA")</f>
        <v>0</v>
      </c>
      <c r="V111" s="21">
        <v>0.0</v>
      </c>
      <c r="W111" s="23">
        <f>IFERROR(V111/V148, "NA")</f>
        <v>0</v>
      </c>
      <c r="X111" s="21">
        <v>0.0</v>
      </c>
      <c r="Y111" s="23">
        <f>IFERROR(X111/X148, "NA")</f>
        <v>0</v>
      </c>
      <c r="Z111" s="21">
        <v>0.0</v>
      </c>
      <c r="AA111" s="23">
        <f>IFERROR(Z111/Z148, "NA")</f>
        <v>0</v>
      </c>
      <c r="AB111" s="28">
        <f t="shared" si="55"/>
        <v>0</v>
      </c>
      <c r="AC111" s="23">
        <f>IFERROR(AB111/AB148, "NA")</f>
        <v>0</v>
      </c>
      <c r="AD111" s="29">
        <f t="shared" si="56"/>
        <v>0</v>
      </c>
      <c r="AE111" s="30">
        <f>IFERROR(AD111/AD148, "NA")</f>
        <v>0</v>
      </c>
      <c r="AF111" s="29" t="str">
        <f t="shared" si="57"/>
        <v>NA</v>
      </c>
      <c r="AG111" s="28">
        <f t="shared" si="58"/>
        <v>0</v>
      </c>
      <c r="AH111" s="23">
        <f>IFERROR(AG111/AG148, "NA")</f>
        <v>0</v>
      </c>
      <c r="AI111" s="29">
        <f t="shared" si="59"/>
        <v>0</v>
      </c>
      <c r="AJ111" s="30">
        <f>IFERROR(AI111/AI148, "NA")</f>
        <v>0</v>
      </c>
      <c r="AK111" s="29" t="str">
        <f t="shared" si="60"/>
        <v>NA</v>
      </c>
      <c r="AL111" s="30" t="str">
        <f>IFERROR(AK111/AK148, "NA")</f>
        <v>NA</v>
      </c>
    </row>
    <row r="112" ht="16.5" hidden="1" customHeight="1">
      <c r="A112" s="19" t="s">
        <v>222</v>
      </c>
      <c r="B112" s="21">
        <v>0.0</v>
      </c>
      <c r="C112" s="23">
        <f>IFERROR(B112/B148, "NA")</f>
        <v>0</v>
      </c>
      <c r="D112" s="21">
        <v>0.0</v>
      </c>
      <c r="E112" s="23">
        <f>IFERROR(D112/D148, "NA")</f>
        <v>0</v>
      </c>
      <c r="F112" s="21">
        <v>0.0</v>
      </c>
      <c r="G112" s="23">
        <f>IFERROR(F112/F148, "NA")</f>
        <v>0</v>
      </c>
      <c r="H112" s="21">
        <v>0.0</v>
      </c>
      <c r="I112" s="23">
        <f>IFERROR(H112/H148, "NA")</f>
        <v>0</v>
      </c>
      <c r="J112" s="21">
        <v>0.0</v>
      </c>
      <c r="K112" s="23">
        <f>IFERROR(J112/J148, "NA")</f>
        <v>0</v>
      </c>
      <c r="L112" s="21">
        <v>0.0</v>
      </c>
      <c r="M112" s="23">
        <f>IFERROR(L112/L148, "NA")</f>
        <v>0</v>
      </c>
      <c r="N112" s="21">
        <v>0.0</v>
      </c>
      <c r="O112" s="23">
        <f>IFERROR(N112/N148, "NA")</f>
        <v>0</v>
      </c>
      <c r="P112" s="21">
        <v>0.0</v>
      </c>
      <c r="Q112" s="23">
        <f>IFERROR(P112/P148, "NA")</f>
        <v>0</v>
      </c>
      <c r="R112" s="21">
        <v>0.0</v>
      </c>
      <c r="S112" s="23">
        <f>IFERROR(R112/R148, "NA")</f>
        <v>0</v>
      </c>
      <c r="T112" s="21">
        <v>0.0</v>
      </c>
      <c r="U112" s="23">
        <f>IFERROR(T112/T148, "NA")</f>
        <v>0</v>
      </c>
      <c r="V112" s="21">
        <v>0.0</v>
      </c>
      <c r="W112" s="23">
        <f>IFERROR(V112/V148, "NA")</f>
        <v>0</v>
      </c>
      <c r="X112" s="21">
        <v>0.0</v>
      </c>
      <c r="Y112" s="23">
        <f>IFERROR(X112/X148, "NA")</f>
        <v>0</v>
      </c>
      <c r="Z112" s="21">
        <v>0.0</v>
      </c>
      <c r="AA112" s="23">
        <f>IFERROR(Z112/Z148, "NA")</f>
        <v>0</v>
      </c>
      <c r="AB112" s="28">
        <f t="shared" si="55"/>
        <v>0</v>
      </c>
      <c r="AC112" s="23">
        <f>IFERROR(AB112/AB148, "NA")</f>
        <v>0</v>
      </c>
      <c r="AD112" s="29">
        <f t="shared" si="56"/>
        <v>0</v>
      </c>
      <c r="AE112" s="30">
        <f>IFERROR(AD112/AD148, "NA")</f>
        <v>0</v>
      </c>
      <c r="AF112" s="29" t="str">
        <f t="shared" si="57"/>
        <v>NA</v>
      </c>
      <c r="AG112" s="28">
        <f t="shared" si="58"/>
        <v>0</v>
      </c>
      <c r="AH112" s="23">
        <f>IFERROR(AG112/AG148, "NA")</f>
        <v>0</v>
      </c>
      <c r="AI112" s="29">
        <f t="shared" si="59"/>
        <v>0</v>
      </c>
      <c r="AJ112" s="30">
        <f>IFERROR(AI112/AI148, "NA")</f>
        <v>0</v>
      </c>
      <c r="AK112" s="29" t="str">
        <f t="shared" si="60"/>
        <v>NA</v>
      </c>
      <c r="AL112" s="30" t="str">
        <f>IFERROR(AK112/AK148, "NA")</f>
        <v>NA</v>
      </c>
    </row>
    <row r="113" ht="16.5" hidden="1" customHeight="1">
      <c r="A113" s="19" t="s">
        <v>223</v>
      </c>
      <c r="B113" s="21">
        <v>0.0</v>
      </c>
      <c r="C113" s="23">
        <f>IFERROR(B113/B148, "NA")</f>
        <v>0</v>
      </c>
      <c r="D113" s="21">
        <v>0.0</v>
      </c>
      <c r="E113" s="23">
        <f>IFERROR(D113/D148, "NA")</f>
        <v>0</v>
      </c>
      <c r="F113" s="21">
        <v>0.0</v>
      </c>
      <c r="G113" s="23">
        <f>IFERROR(F113/F148, "NA")</f>
        <v>0</v>
      </c>
      <c r="H113" s="21">
        <v>0.0</v>
      </c>
      <c r="I113" s="23">
        <f>IFERROR(H113/H148, "NA")</f>
        <v>0</v>
      </c>
      <c r="J113" s="21">
        <v>0.0</v>
      </c>
      <c r="K113" s="23">
        <f>IFERROR(J113/J148, "NA")</f>
        <v>0</v>
      </c>
      <c r="L113" s="21">
        <v>0.0</v>
      </c>
      <c r="M113" s="23">
        <f>IFERROR(L113/L148, "NA")</f>
        <v>0</v>
      </c>
      <c r="N113" s="21">
        <v>0.0</v>
      </c>
      <c r="O113" s="23">
        <f>IFERROR(N113/N148, "NA")</f>
        <v>0</v>
      </c>
      <c r="P113" s="21">
        <v>0.0</v>
      </c>
      <c r="Q113" s="23">
        <f>IFERROR(P113/P148, "NA")</f>
        <v>0</v>
      </c>
      <c r="R113" s="21">
        <v>0.0</v>
      </c>
      <c r="S113" s="23">
        <f>IFERROR(R113/R148, "NA")</f>
        <v>0</v>
      </c>
      <c r="T113" s="21">
        <v>0.0</v>
      </c>
      <c r="U113" s="23">
        <f>IFERROR(T113/T148, "NA")</f>
        <v>0</v>
      </c>
      <c r="V113" s="21">
        <v>0.0</v>
      </c>
      <c r="W113" s="23">
        <f>IFERROR(V113/V148, "NA")</f>
        <v>0</v>
      </c>
      <c r="X113" s="21">
        <v>0.0</v>
      </c>
      <c r="Y113" s="23">
        <f>IFERROR(X113/X148, "NA")</f>
        <v>0</v>
      </c>
      <c r="Z113" s="21">
        <v>0.0</v>
      </c>
      <c r="AA113" s="23">
        <f>IFERROR(Z113/Z148, "NA")</f>
        <v>0</v>
      </c>
      <c r="AB113" s="28">
        <f t="shared" si="55"/>
        <v>0</v>
      </c>
      <c r="AC113" s="23">
        <f>IFERROR(AB113/AB148, "NA")</f>
        <v>0</v>
      </c>
      <c r="AD113" s="29">
        <f t="shared" si="56"/>
        <v>0</v>
      </c>
      <c r="AE113" s="30">
        <f>IFERROR(AD113/AD148, "NA")</f>
        <v>0</v>
      </c>
      <c r="AF113" s="29" t="str">
        <f t="shared" si="57"/>
        <v>NA</v>
      </c>
      <c r="AG113" s="28">
        <f t="shared" si="58"/>
        <v>0</v>
      </c>
      <c r="AH113" s="23">
        <f>IFERROR(AG113/AG148, "NA")</f>
        <v>0</v>
      </c>
      <c r="AI113" s="29">
        <f t="shared" si="59"/>
        <v>0</v>
      </c>
      <c r="AJ113" s="30">
        <f>IFERROR(AI113/AI148, "NA")</f>
        <v>0</v>
      </c>
      <c r="AK113" s="29" t="str">
        <f t="shared" si="60"/>
        <v>NA</v>
      </c>
      <c r="AL113" s="30" t="str">
        <f>IFERROR(AK113/AK148, "NA")</f>
        <v>NA</v>
      </c>
    </row>
    <row r="114" ht="16.5" hidden="1" customHeight="1">
      <c r="A114" s="19" t="s">
        <v>224</v>
      </c>
      <c r="B114" s="21">
        <v>0.0</v>
      </c>
      <c r="C114" s="23">
        <f>IFERROR(B114/B148, "NA")</f>
        <v>0</v>
      </c>
      <c r="D114" s="21">
        <v>0.0</v>
      </c>
      <c r="E114" s="23">
        <f>IFERROR(D114/D148, "NA")</f>
        <v>0</v>
      </c>
      <c r="F114" s="21">
        <v>0.0</v>
      </c>
      <c r="G114" s="23">
        <f>IFERROR(F114/F148, "NA")</f>
        <v>0</v>
      </c>
      <c r="H114" s="21">
        <v>0.0</v>
      </c>
      <c r="I114" s="23">
        <f>IFERROR(H114/H148, "NA")</f>
        <v>0</v>
      </c>
      <c r="J114" s="21">
        <v>0.0</v>
      </c>
      <c r="K114" s="23">
        <f>IFERROR(J114/J148, "NA")</f>
        <v>0</v>
      </c>
      <c r="L114" s="21">
        <v>0.0</v>
      </c>
      <c r="M114" s="23">
        <f>IFERROR(L114/L148, "NA")</f>
        <v>0</v>
      </c>
      <c r="N114" s="21">
        <v>0.0</v>
      </c>
      <c r="O114" s="23">
        <f>IFERROR(N114/N148, "NA")</f>
        <v>0</v>
      </c>
      <c r="P114" s="21">
        <v>0.0</v>
      </c>
      <c r="Q114" s="23">
        <f>IFERROR(P114/P148, "NA")</f>
        <v>0</v>
      </c>
      <c r="R114" s="21">
        <v>0.0</v>
      </c>
      <c r="S114" s="23">
        <f>IFERROR(R114/R148, "NA")</f>
        <v>0</v>
      </c>
      <c r="T114" s="21">
        <v>0.0</v>
      </c>
      <c r="U114" s="23">
        <f>IFERROR(T114/T148, "NA")</f>
        <v>0</v>
      </c>
      <c r="V114" s="21">
        <v>0.0</v>
      </c>
      <c r="W114" s="23">
        <f>IFERROR(V114/V148, "NA")</f>
        <v>0</v>
      </c>
      <c r="X114" s="21">
        <v>0.0</v>
      </c>
      <c r="Y114" s="23">
        <f>IFERROR(X114/X148, "NA")</f>
        <v>0</v>
      </c>
      <c r="Z114" s="21">
        <v>0.0</v>
      </c>
      <c r="AA114" s="23">
        <f>IFERROR(Z114/Z148, "NA")</f>
        <v>0</v>
      </c>
      <c r="AB114" s="28">
        <f t="shared" si="55"/>
        <v>0</v>
      </c>
      <c r="AC114" s="23">
        <f>IFERROR(AB114/AB148, "NA")</f>
        <v>0</v>
      </c>
      <c r="AD114" s="29">
        <f t="shared" si="56"/>
        <v>0</v>
      </c>
      <c r="AE114" s="30">
        <f>IFERROR(AD114/AD148, "NA")</f>
        <v>0</v>
      </c>
      <c r="AF114" s="29" t="str">
        <f t="shared" si="57"/>
        <v>NA</v>
      </c>
      <c r="AG114" s="28">
        <f t="shared" si="58"/>
        <v>0</v>
      </c>
      <c r="AH114" s="23">
        <f>IFERROR(AG114/AG148, "NA")</f>
        <v>0</v>
      </c>
      <c r="AI114" s="29">
        <f t="shared" si="59"/>
        <v>0</v>
      </c>
      <c r="AJ114" s="30">
        <f>IFERROR(AI114/AI148, "NA")</f>
        <v>0</v>
      </c>
      <c r="AK114" s="29" t="str">
        <f t="shared" si="60"/>
        <v>NA</v>
      </c>
      <c r="AL114" s="30" t="str">
        <f>IFERROR(AK114/AK148, "NA")</f>
        <v>NA</v>
      </c>
    </row>
    <row r="115" ht="16.5" hidden="1" customHeight="1">
      <c r="A115" s="19" t="s">
        <v>225</v>
      </c>
      <c r="B115" s="21">
        <v>0.0</v>
      </c>
      <c r="C115" s="23">
        <f>IFERROR(B115/B148, "NA")</f>
        <v>0</v>
      </c>
      <c r="D115" s="21">
        <v>0.0</v>
      </c>
      <c r="E115" s="23">
        <f>IFERROR(D115/D148, "NA")</f>
        <v>0</v>
      </c>
      <c r="F115" s="21">
        <v>0.0</v>
      </c>
      <c r="G115" s="23">
        <f>IFERROR(F115/F148, "NA")</f>
        <v>0</v>
      </c>
      <c r="H115" s="21">
        <v>0.0</v>
      </c>
      <c r="I115" s="23">
        <f>IFERROR(H115/H148, "NA")</f>
        <v>0</v>
      </c>
      <c r="J115" s="21">
        <v>0.0</v>
      </c>
      <c r="K115" s="23">
        <f>IFERROR(J115/J148, "NA")</f>
        <v>0</v>
      </c>
      <c r="L115" s="21">
        <v>0.0</v>
      </c>
      <c r="M115" s="23">
        <f>IFERROR(L115/L148, "NA")</f>
        <v>0</v>
      </c>
      <c r="N115" s="21">
        <v>0.0</v>
      </c>
      <c r="O115" s="23">
        <f>IFERROR(N115/N148, "NA")</f>
        <v>0</v>
      </c>
      <c r="P115" s="21">
        <v>0.0</v>
      </c>
      <c r="Q115" s="23">
        <f>IFERROR(P115/P148, "NA")</f>
        <v>0</v>
      </c>
      <c r="R115" s="21">
        <v>0.0</v>
      </c>
      <c r="S115" s="23">
        <f>IFERROR(R115/R148, "NA")</f>
        <v>0</v>
      </c>
      <c r="T115" s="21">
        <v>0.0</v>
      </c>
      <c r="U115" s="23">
        <f>IFERROR(T115/T148, "NA")</f>
        <v>0</v>
      </c>
      <c r="V115" s="21">
        <v>0.0</v>
      </c>
      <c r="W115" s="23">
        <f>IFERROR(V115/V148, "NA")</f>
        <v>0</v>
      </c>
      <c r="X115" s="21">
        <v>0.0</v>
      </c>
      <c r="Y115" s="23">
        <f>IFERROR(X115/X148, "NA")</f>
        <v>0</v>
      </c>
      <c r="Z115" s="21">
        <v>0.0</v>
      </c>
      <c r="AA115" s="23">
        <f>IFERROR(Z115/Z148, "NA")</f>
        <v>0</v>
      </c>
      <c r="AB115" s="28">
        <f t="shared" si="55"/>
        <v>0</v>
      </c>
      <c r="AC115" s="23">
        <f>IFERROR(AB115/AB148, "NA")</f>
        <v>0</v>
      </c>
      <c r="AD115" s="29">
        <f t="shared" si="56"/>
        <v>0</v>
      </c>
      <c r="AE115" s="30">
        <f>IFERROR(AD115/AD148, "NA")</f>
        <v>0</v>
      </c>
      <c r="AF115" s="29" t="str">
        <f t="shared" si="57"/>
        <v>NA</v>
      </c>
      <c r="AG115" s="28">
        <f t="shared" si="58"/>
        <v>0</v>
      </c>
      <c r="AH115" s="23">
        <f>IFERROR(AG115/AG148, "NA")</f>
        <v>0</v>
      </c>
      <c r="AI115" s="29">
        <f t="shared" si="59"/>
        <v>0</v>
      </c>
      <c r="AJ115" s="30">
        <f>IFERROR(AI115/AI148, "NA")</f>
        <v>0</v>
      </c>
      <c r="AK115" s="29" t="str">
        <f t="shared" si="60"/>
        <v>NA</v>
      </c>
      <c r="AL115" s="30" t="str">
        <f>IFERROR(AK115/AK148, "NA")</f>
        <v>NA</v>
      </c>
    </row>
    <row r="116" ht="16.5" hidden="1" customHeight="1">
      <c r="A116" s="19" t="s">
        <v>226</v>
      </c>
      <c r="B116" s="21">
        <v>0.0</v>
      </c>
      <c r="C116" s="23">
        <f>IFERROR(B116/B148, "NA")</f>
        <v>0</v>
      </c>
      <c r="D116" s="21">
        <v>0.0</v>
      </c>
      <c r="E116" s="23">
        <f>IFERROR(D116/D148, "NA")</f>
        <v>0</v>
      </c>
      <c r="F116" s="21">
        <v>0.0</v>
      </c>
      <c r="G116" s="23">
        <f>IFERROR(F116/F148, "NA")</f>
        <v>0</v>
      </c>
      <c r="H116" s="21">
        <v>0.0</v>
      </c>
      <c r="I116" s="23">
        <f>IFERROR(H116/H148, "NA")</f>
        <v>0</v>
      </c>
      <c r="J116" s="21">
        <v>0.0</v>
      </c>
      <c r="K116" s="23">
        <f>IFERROR(J116/J148, "NA")</f>
        <v>0</v>
      </c>
      <c r="L116" s="21">
        <v>0.0</v>
      </c>
      <c r="M116" s="23">
        <f>IFERROR(L116/L148, "NA")</f>
        <v>0</v>
      </c>
      <c r="N116" s="21">
        <v>0.0</v>
      </c>
      <c r="O116" s="23">
        <f>IFERROR(N116/N148, "NA")</f>
        <v>0</v>
      </c>
      <c r="P116" s="21">
        <v>0.0</v>
      </c>
      <c r="Q116" s="23">
        <f>IFERROR(P116/P148, "NA")</f>
        <v>0</v>
      </c>
      <c r="R116" s="21">
        <v>0.0</v>
      </c>
      <c r="S116" s="23">
        <f>IFERROR(R116/R148, "NA")</f>
        <v>0</v>
      </c>
      <c r="T116" s="21">
        <v>0.0</v>
      </c>
      <c r="U116" s="23">
        <f>IFERROR(T116/T148, "NA")</f>
        <v>0</v>
      </c>
      <c r="V116" s="21">
        <v>0.0</v>
      </c>
      <c r="W116" s="23">
        <f>IFERROR(V116/V148, "NA")</f>
        <v>0</v>
      </c>
      <c r="X116" s="21">
        <v>0.0</v>
      </c>
      <c r="Y116" s="23">
        <f>IFERROR(X116/X148, "NA")</f>
        <v>0</v>
      </c>
      <c r="Z116" s="21">
        <v>0.0</v>
      </c>
      <c r="AA116" s="23">
        <f>IFERROR(Z116/Z148, "NA")</f>
        <v>0</v>
      </c>
      <c r="AB116" s="28">
        <f t="shared" si="55"/>
        <v>0</v>
      </c>
      <c r="AC116" s="23">
        <f>IFERROR(AB116/AB148, "NA")</f>
        <v>0</v>
      </c>
      <c r="AD116" s="29">
        <f t="shared" si="56"/>
        <v>0</v>
      </c>
      <c r="AE116" s="30">
        <f>IFERROR(AD116/AD148, "NA")</f>
        <v>0</v>
      </c>
      <c r="AF116" s="29" t="str">
        <f t="shared" si="57"/>
        <v>NA</v>
      </c>
      <c r="AG116" s="28">
        <f t="shared" si="58"/>
        <v>0</v>
      </c>
      <c r="AH116" s="23">
        <f>IFERROR(AG116/AG148, "NA")</f>
        <v>0</v>
      </c>
      <c r="AI116" s="29">
        <f t="shared" si="59"/>
        <v>0</v>
      </c>
      <c r="AJ116" s="30">
        <f>IFERROR(AI116/AI148, "NA")</f>
        <v>0</v>
      </c>
      <c r="AK116" s="29" t="str">
        <f t="shared" si="60"/>
        <v>NA</v>
      </c>
      <c r="AL116" s="30" t="str">
        <f>IFERROR(AK116/AK148, "NA")</f>
        <v>NA</v>
      </c>
    </row>
    <row r="117" ht="16.5" hidden="1" customHeight="1">
      <c r="A117" s="19" t="s">
        <v>227</v>
      </c>
      <c r="B117" s="21">
        <v>0.0</v>
      </c>
      <c r="C117" s="23">
        <f>IFERROR(B117/B148, "NA")</f>
        <v>0</v>
      </c>
      <c r="D117" s="21">
        <v>0.0</v>
      </c>
      <c r="E117" s="23">
        <f>IFERROR(D117/D148, "NA")</f>
        <v>0</v>
      </c>
      <c r="F117" s="21">
        <v>0.0</v>
      </c>
      <c r="G117" s="23">
        <f>IFERROR(F117/F148, "NA")</f>
        <v>0</v>
      </c>
      <c r="H117" s="21">
        <v>0.0</v>
      </c>
      <c r="I117" s="23">
        <f>IFERROR(H117/H148, "NA")</f>
        <v>0</v>
      </c>
      <c r="J117" s="21">
        <v>0.0</v>
      </c>
      <c r="K117" s="23">
        <f>IFERROR(J117/J148, "NA")</f>
        <v>0</v>
      </c>
      <c r="L117" s="21">
        <v>0.0</v>
      </c>
      <c r="M117" s="23">
        <f>IFERROR(L117/L148, "NA")</f>
        <v>0</v>
      </c>
      <c r="N117" s="21">
        <v>0.0</v>
      </c>
      <c r="O117" s="23">
        <f>IFERROR(N117/N148, "NA")</f>
        <v>0</v>
      </c>
      <c r="P117" s="21">
        <v>0.0</v>
      </c>
      <c r="Q117" s="23">
        <f>IFERROR(P117/P148, "NA")</f>
        <v>0</v>
      </c>
      <c r="R117" s="21">
        <v>0.0</v>
      </c>
      <c r="S117" s="23">
        <f>IFERROR(R117/R148, "NA")</f>
        <v>0</v>
      </c>
      <c r="T117" s="21">
        <v>0.0</v>
      </c>
      <c r="U117" s="23">
        <f>IFERROR(T117/T148, "NA")</f>
        <v>0</v>
      </c>
      <c r="V117" s="21">
        <v>0.0</v>
      </c>
      <c r="W117" s="23">
        <f>IFERROR(V117/V148, "NA")</f>
        <v>0</v>
      </c>
      <c r="X117" s="21">
        <v>0.0</v>
      </c>
      <c r="Y117" s="23">
        <f>IFERROR(X117/X148, "NA")</f>
        <v>0</v>
      </c>
      <c r="Z117" s="21">
        <v>0.0</v>
      </c>
      <c r="AA117" s="23">
        <f>IFERROR(Z117/Z148, "NA")</f>
        <v>0</v>
      </c>
      <c r="AB117" s="28">
        <f t="shared" si="55"/>
        <v>0</v>
      </c>
      <c r="AC117" s="23">
        <f>IFERROR(AB117/AB148, "NA")</f>
        <v>0</v>
      </c>
      <c r="AD117" s="29">
        <f t="shared" si="56"/>
        <v>0</v>
      </c>
      <c r="AE117" s="30">
        <f>IFERROR(AD117/AD148, "NA")</f>
        <v>0</v>
      </c>
      <c r="AF117" s="29" t="str">
        <f t="shared" si="57"/>
        <v>NA</v>
      </c>
      <c r="AG117" s="28">
        <f t="shared" si="58"/>
        <v>0</v>
      </c>
      <c r="AH117" s="23">
        <f>IFERROR(AG117/AG148, "NA")</f>
        <v>0</v>
      </c>
      <c r="AI117" s="29">
        <f t="shared" si="59"/>
        <v>0</v>
      </c>
      <c r="AJ117" s="30">
        <f>IFERROR(AI117/AI148, "NA")</f>
        <v>0</v>
      </c>
      <c r="AK117" s="29" t="str">
        <f t="shared" si="60"/>
        <v>NA</v>
      </c>
      <c r="AL117" s="30" t="str">
        <f>IFERROR(AK117/AK148, "NA")</f>
        <v>NA</v>
      </c>
    </row>
    <row r="118" ht="16.5" hidden="1" customHeight="1">
      <c r="A118" s="19" t="s">
        <v>228</v>
      </c>
      <c r="B118" s="21">
        <v>0.0</v>
      </c>
      <c r="C118" s="23">
        <f>IFERROR(B118/B148, "NA")</f>
        <v>0</v>
      </c>
      <c r="D118" s="21">
        <v>0.0</v>
      </c>
      <c r="E118" s="23">
        <f>IFERROR(D118/D148, "NA")</f>
        <v>0</v>
      </c>
      <c r="F118" s="21">
        <v>0.0</v>
      </c>
      <c r="G118" s="23">
        <f>IFERROR(F118/F148, "NA")</f>
        <v>0</v>
      </c>
      <c r="H118" s="21">
        <v>0.0</v>
      </c>
      <c r="I118" s="23">
        <f>IFERROR(H118/H148, "NA")</f>
        <v>0</v>
      </c>
      <c r="J118" s="21">
        <v>0.0</v>
      </c>
      <c r="K118" s="23">
        <f>IFERROR(J118/J148, "NA")</f>
        <v>0</v>
      </c>
      <c r="L118" s="21">
        <v>0.0</v>
      </c>
      <c r="M118" s="23">
        <f>IFERROR(L118/L148, "NA")</f>
        <v>0</v>
      </c>
      <c r="N118" s="21">
        <v>0.0</v>
      </c>
      <c r="O118" s="23">
        <f>IFERROR(N118/N148, "NA")</f>
        <v>0</v>
      </c>
      <c r="P118" s="21">
        <v>0.0</v>
      </c>
      <c r="Q118" s="23">
        <f>IFERROR(P118/P148, "NA")</f>
        <v>0</v>
      </c>
      <c r="R118" s="21">
        <v>0.0</v>
      </c>
      <c r="S118" s="23">
        <f>IFERROR(R118/R148, "NA")</f>
        <v>0</v>
      </c>
      <c r="T118" s="21">
        <v>0.0</v>
      </c>
      <c r="U118" s="23">
        <f>IFERROR(T118/T148, "NA")</f>
        <v>0</v>
      </c>
      <c r="V118" s="21">
        <v>0.0</v>
      </c>
      <c r="W118" s="23">
        <f>IFERROR(V118/V148, "NA")</f>
        <v>0</v>
      </c>
      <c r="X118" s="21">
        <v>0.0</v>
      </c>
      <c r="Y118" s="23">
        <f>IFERROR(X118/X148, "NA")</f>
        <v>0</v>
      </c>
      <c r="Z118" s="21">
        <v>0.0</v>
      </c>
      <c r="AA118" s="23">
        <f>IFERROR(Z118/Z148, "NA")</f>
        <v>0</v>
      </c>
      <c r="AB118" s="28">
        <f t="shared" si="55"/>
        <v>0</v>
      </c>
      <c r="AC118" s="23">
        <f>IFERROR(AB118/AB148, "NA")</f>
        <v>0</v>
      </c>
      <c r="AD118" s="29">
        <f t="shared" si="56"/>
        <v>0</v>
      </c>
      <c r="AE118" s="30">
        <f>IFERROR(AD118/AD148, "NA")</f>
        <v>0</v>
      </c>
      <c r="AF118" s="29" t="str">
        <f t="shared" si="57"/>
        <v>NA</v>
      </c>
      <c r="AG118" s="28">
        <f t="shared" si="58"/>
        <v>0</v>
      </c>
      <c r="AH118" s="23">
        <f>IFERROR(AG118/AG148, "NA")</f>
        <v>0</v>
      </c>
      <c r="AI118" s="29">
        <f t="shared" si="59"/>
        <v>0</v>
      </c>
      <c r="AJ118" s="30">
        <f>IFERROR(AI118/AI148, "NA")</f>
        <v>0</v>
      </c>
      <c r="AK118" s="29" t="str">
        <f t="shared" si="60"/>
        <v>NA</v>
      </c>
      <c r="AL118" s="30" t="str">
        <f>IFERROR(AK118/AK148, "NA")</f>
        <v>NA</v>
      </c>
    </row>
    <row r="119" ht="16.5" hidden="1" customHeight="1">
      <c r="A119" s="19" t="s">
        <v>229</v>
      </c>
      <c r="B119" s="21">
        <v>0.0</v>
      </c>
      <c r="C119" s="23">
        <f>IFERROR(B119/B148, "NA")</f>
        <v>0</v>
      </c>
      <c r="D119" s="21">
        <v>0.0</v>
      </c>
      <c r="E119" s="23">
        <f>IFERROR(D119/D148, "NA")</f>
        <v>0</v>
      </c>
      <c r="F119" s="21">
        <v>0.0</v>
      </c>
      <c r="G119" s="23">
        <f>IFERROR(F119/F148, "NA")</f>
        <v>0</v>
      </c>
      <c r="H119" s="21">
        <v>0.0</v>
      </c>
      <c r="I119" s="23">
        <f>IFERROR(H119/H148, "NA")</f>
        <v>0</v>
      </c>
      <c r="J119" s="21">
        <v>0.0</v>
      </c>
      <c r="K119" s="23">
        <f>IFERROR(J119/J148, "NA")</f>
        <v>0</v>
      </c>
      <c r="L119" s="21">
        <v>0.0</v>
      </c>
      <c r="M119" s="23">
        <f>IFERROR(L119/L148, "NA")</f>
        <v>0</v>
      </c>
      <c r="N119" s="21">
        <v>0.0</v>
      </c>
      <c r="O119" s="23">
        <f>IFERROR(N119/N148, "NA")</f>
        <v>0</v>
      </c>
      <c r="P119" s="21">
        <v>0.0</v>
      </c>
      <c r="Q119" s="23">
        <f>IFERROR(P119/P148, "NA")</f>
        <v>0</v>
      </c>
      <c r="R119" s="21">
        <v>0.0</v>
      </c>
      <c r="S119" s="23">
        <f>IFERROR(R119/R148, "NA")</f>
        <v>0</v>
      </c>
      <c r="T119" s="21">
        <v>0.0</v>
      </c>
      <c r="U119" s="23">
        <f>IFERROR(T119/T148, "NA")</f>
        <v>0</v>
      </c>
      <c r="V119" s="21">
        <v>0.0</v>
      </c>
      <c r="W119" s="23">
        <f>IFERROR(V119/V148, "NA")</f>
        <v>0</v>
      </c>
      <c r="X119" s="21">
        <v>0.0</v>
      </c>
      <c r="Y119" s="23">
        <f>IFERROR(X119/X148, "NA")</f>
        <v>0</v>
      </c>
      <c r="Z119" s="21">
        <v>0.0</v>
      </c>
      <c r="AA119" s="23">
        <f>IFERROR(Z119/Z148, "NA")</f>
        <v>0</v>
      </c>
      <c r="AB119" s="28">
        <f t="shared" si="55"/>
        <v>0</v>
      </c>
      <c r="AC119" s="23">
        <f>IFERROR(AB119/AB148, "NA")</f>
        <v>0</v>
      </c>
      <c r="AD119" s="29">
        <f t="shared" si="56"/>
        <v>0</v>
      </c>
      <c r="AE119" s="30">
        <f>IFERROR(AD119/AD148, "NA")</f>
        <v>0</v>
      </c>
      <c r="AF119" s="29" t="str">
        <f t="shared" si="57"/>
        <v>NA</v>
      </c>
      <c r="AG119" s="28">
        <f t="shared" si="58"/>
        <v>0</v>
      </c>
      <c r="AH119" s="23">
        <f>IFERROR(AG119/AG148, "NA")</f>
        <v>0</v>
      </c>
      <c r="AI119" s="29">
        <f t="shared" si="59"/>
        <v>0</v>
      </c>
      <c r="AJ119" s="30">
        <f>IFERROR(AI119/AI148, "NA")</f>
        <v>0</v>
      </c>
      <c r="AK119" s="29" t="str">
        <f t="shared" si="60"/>
        <v>NA</v>
      </c>
      <c r="AL119" s="30" t="str">
        <f>IFERROR(AK119/AK148, "NA")</f>
        <v>NA</v>
      </c>
    </row>
    <row r="120" ht="16.5" hidden="1" customHeight="1">
      <c r="A120" s="19" t="s">
        <v>230</v>
      </c>
      <c r="B120" s="21">
        <v>0.0</v>
      </c>
      <c r="C120" s="23">
        <f>IFERROR(B120/B148, "NA")</f>
        <v>0</v>
      </c>
      <c r="D120" s="21">
        <v>0.0</v>
      </c>
      <c r="E120" s="23">
        <f>IFERROR(D120/D148, "NA")</f>
        <v>0</v>
      </c>
      <c r="F120" s="21">
        <v>0.0</v>
      </c>
      <c r="G120" s="23">
        <f>IFERROR(F120/F148, "NA")</f>
        <v>0</v>
      </c>
      <c r="H120" s="21">
        <v>0.0</v>
      </c>
      <c r="I120" s="23">
        <f>IFERROR(H120/H148, "NA")</f>
        <v>0</v>
      </c>
      <c r="J120" s="21">
        <v>0.0</v>
      </c>
      <c r="K120" s="23">
        <f>IFERROR(J120/J148, "NA")</f>
        <v>0</v>
      </c>
      <c r="L120" s="21">
        <v>0.0</v>
      </c>
      <c r="M120" s="23">
        <f>IFERROR(L120/L148, "NA")</f>
        <v>0</v>
      </c>
      <c r="N120" s="21">
        <v>0.0</v>
      </c>
      <c r="O120" s="23">
        <f>IFERROR(N120/N148, "NA")</f>
        <v>0</v>
      </c>
      <c r="P120" s="21">
        <v>0.0</v>
      </c>
      <c r="Q120" s="23">
        <f>IFERROR(P120/P148, "NA")</f>
        <v>0</v>
      </c>
      <c r="R120" s="21">
        <v>0.0</v>
      </c>
      <c r="S120" s="23">
        <f>IFERROR(R120/R148, "NA")</f>
        <v>0</v>
      </c>
      <c r="T120" s="21">
        <v>0.0</v>
      </c>
      <c r="U120" s="23">
        <f>IFERROR(T120/T148, "NA")</f>
        <v>0</v>
      </c>
      <c r="V120" s="21">
        <v>0.0</v>
      </c>
      <c r="W120" s="23">
        <f>IFERROR(V120/V148, "NA")</f>
        <v>0</v>
      </c>
      <c r="X120" s="21">
        <v>0.0</v>
      </c>
      <c r="Y120" s="23">
        <f>IFERROR(X120/X148, "NA")</f>
        <v>0</v>
      </c>
      <c r="Z120" s="21">
        <v>0.0</v>
      </c>
      <c r="AA120" s="23">
        <f>IFERROR(Z120/Z148, "NA")</f>
        <v>0</v>
      </c>
      <c r="AB120" s="28">
        <f t="shared" si="55"/>
        <v>0</v>
      </c>
      <c r="AC120" s="23">
        <f>IFERROR(AB120/AB148, "NA")</f>
        <v>0</v>
      </c>
      <c r="AD120" s="29">
        <f t="shared" si="56"/>
        <v>0</v>
      </c>
      <c r="AE120" s="30">
        <f>IFERROR(AD120/AD148, "NA")</f>
        <v>0</v>
      </c>
      <c r="AF120" s="29" t="str">
        <f t="shared" si="57"/>
        <v>NA</v>
      </c>
      <c r="AG120" s="28">
        <f t="shared" si="58"/>
        <v>0</v>
      </c>
      <c r="AH120" s="23">
        <f>IFERROR(AG120/AG148, "NA")</f>
        <v>0</v>
      </c>
      <c r="AI120" s="29">
        <f t="shared" si="59"/>
        <v>0</v>
      </c>
      <c r="AJ120" s="30">
        <f>IFERROR(AI120/AI148, "NA")</f>
        <v>0</v>
      </c>
      <c r="AK120" s="29" t="str">
        <f t="shared" si="60"/>
        <v>NA</v>
      </c>
      <c r="AL120" s="30" t="str">
        <f>IFERROR(AK120/AK148, "NA")</f>
        <v>NA</v>
      </c>
    </row>
    <row r="121" ht="16.5" hidden="1" customHeight="1">
      <c r="A121" s="19" t="s">
        <v>231</v>
      </c>
      <c r="B121" s="21">
        <v>0.0</v>
      </c>
      <c r="C121" s="23">
        <f>IFERROR(B121/B148, "NA")</f>
        <v>0</v>
      </c>
      <c r="D121" s="21">
        <v>0.0</v>
      </c>
      <c r="E121" s="23">
        <f>IFERROR(D121/D148, "NA")</f>
        <v>0</v>
      </c>
      <c r="F121" s="21">
        <v>0.0</v>
      </c>
      <c r="G121" s="23">
        <f>IFERROR(F121/F148, "NA")</f>
        <v>0</v>
      </c>
      <c r="H121" s="21">
        <v>0.0</v>
      </c>
      <c r="I121" s="23">
        <f>IFERROR(H121/H148, "NA")</f>
        <v>0</v>
      </c>
      <c r="J121" s="21">
        <v>0.0</v>
      </c>
      <c r="K121" s="23">
        <f>IFERROR(J121/J148, "NA")</f>
        <v>0</v>
      </c>
      <c r="L121" s="21">
        <v>0.0</v>
      </c>
      <c r="M121" s="23">
        <f>IFERROR(L121/L148, "NA")</f>
        <v>0</v>
      </c>
      <c r="N121" s="21">
        <v>0.0</v>
      </c>
      <c r="O121" s="23">
        <f>IFERROR(N121/N148, "NA")</f>
        <v>0</v>
      </c>
      <c r="P121" s="21">
        <v>0.0</v>
      </c>
      <c r="Q121" s="23">
        <f>IFERROR(P121/P148, "NA")</f>
        <v>0</v>
      </c>
      <c r="R121" s="21">
        <v>0.0</v>
      </c>
      <c r="S121" s="23">
        <f>IFERROR(R121/R148, "NA")</f>
        <v>0</v>
      </c>
      <c r="T121" s="21">
        <v>0.0</v>
      </c>
      <c r="U121" s="23">
        <f>IFERROR(T121/T148, "NA")</f>
        <v>0</v>
      </c>
      <c r="V121" s="21">
        <v>0.0</v>
      </c>
      <c r="W121" s="23">
        <f>IFERROR(V121/V148, "NA")</f>
        <v>0</v>
      </c>
      <c r="X121" s="21">
        <v>0.0</v>
      </c>
      <c r="Y121" s="23">
        <f>IFERROR(X121/X148, "NA")</f>
        <v>0</v>
      </c>
      <c r="Z121" s="21">
        <v>0.0</v>
      </c>
      <c r="AA121" s="23">
        <f>IFERROR(Z121/Z148, "NA")</f>
        <v>0</v>
      </c>
      <c r="AB121" s="28">
        <f t="shared" si="55"/>
        <v>0</v>
      </c>
      <c r="AC121" s="23">
        <f>IFERROR(AB121/AB148, "NA")</f>
        <v>0</v>
      </c>
      <c r="AD121" s="29">
        <f t="shared" si="56"/>
        <v>0</v>
      </c>
      <c r="AE121" s="30">
        <f>IFERROR(AD121/AD148, "NA")</f>
        <v>0</v>
      </c>
      <c r="AF121" s="29" t="str">
        <f t="shared" si="57"/>
        <v>NA</v>
      </c>
      <c r="AG121" s="28">
        <f t="shared" si="58"/>
        <v>0</v>
      </c>
      <c r="AH121" s="23">
        <f>IFERROR(AG121/AG148, "NA")</f>
        <v>0</v>
      </c>
      <c r="AI121" s="29">
        <f t="shared" si="59"/>
        <v>0</v>
      </c>
      <c r="AJ121" s="30">
        <f>IFERROR(AI121/AI148, "NA")</f>
        <v>0</v>
      </c>
      <c r="AK121" s="29" t="str">
        <f t="shared" si="60"/>
        <v>NA</v>
      </c>
      <c r="AL121" s="30" t="str">
        <f>IFERROR(AK121/AK148, "NA")</f>
        <v>NA</v>
      </c>
    </row>
    <row r="122" ht="16.5" hidden="1" customHeight="1">
      <c r="A122" s="19" t="s">
        <v>232</v>
      </c>
      <c r="B122" s="21">
        <v>0.0</v>
      </c>
      <c r="C122" s="23">
        <f>IFERROR(B122/B148, "NA")</f>
        <v>0</v>
      </c>
      <c r="D122" s="21">
        <v>0.0</v>
      </c>
      <c r="E122" s="23">
        <f>IFERROR(D122/D148, "NA")</f>
        <v>0</v>
      </c>
      <c r="F122" s="21">
        <v>0.0</v>
      </c>
      <c r="G122" s="23">
        <f>IFERROR(F122/F148, "NA")</f>
        <v>0</v>
      </c>
      <c r="H122" s="21">
        <v>0.0</v>
      </c>
      <c r="I122" s="23">
        <f>IFERROR(H122/H148, "NA")</f>
        <v>0</v>
      </c>
      <c r="J122" s="21">
        <v>0.0</v>
      </c>
      <c r="K122" s="23">
        <f>IFERROR(J122/J148, "NA")</f>
        <v>0</v>
      </c>
      <c r="L122" s="21">
        <v>0.0</v>
      </c>
      <c r="M122" s="23">
        <f>IFERROR(L122/L148, "NA")</f>
        <v>0</v>
      </c>
      <c r="N122" s="21">
        <v>0.0</v>
      </c>
      <c r="O122" s="23">
        <f>IFERROR(N122/N148, "NA")</f>
        <v>0</v>
      </c>
      <c r="P122" s="21">
        <v>0.0</v>
      </c>
      <c r="Q122" s="23">
        <f>IFERROR(P122/P148, "NA")</f>
        <v>0</v>
      </c>
      <c r="R122" s="21">
        <v>0.0</v>
      </c>
      <c r="S122" s="23">
        <f>IFERROR(R122/R148, "NA")</f>
        <v>0</v>
      </c>
      <c r="T122" s="21">
        <v>0.0</v>
      </c>
      <c r="U122" s="23">
        <f>IFERROR(T122/T148, "NA")</f>
        <v>0</v>
      </c>
      <c r="V122" s="21">
        <v>0.0</v>
      </c>
      <c r="W122" s="23">
        <f>IFERROR(V122/V148, "NA")</f>
        <v>0</v>
      </c>
      <c r="X122" s="21">
        <v>0.0</v>
      </c>
      <c r="Y122" s="23">
        <f>IFERROR(X122/X148, "NA")</f>
        <v>0</v>
      </c>
      <c r="Z122" s="21">
        <v>0.0</v>
      </c>
      <c r="AA122" s="23">
        <f>IFERROR(Z122/Z148, "NA")</f>
        <v>0</v>
      </c>
      <c r="AB122" s="28">
        <f t="shared" si="55"/>
        <v>0</v>
      </c>
      <c r="AC122" s="23">
        <f>IFERROR(AB122/AB148, "NA")</f>
        <v>0</v>
      </c>
      <c r="AD122" s="29">
        <f t="shared" si="56"/>
        <v>0</v>
      </c>
      <c r="AE122" s="30">
        <f>IFERROR(AD122/AD148, "NA")</f>
        <v>0</v>
      </c>
      <c r="AF122" s="29" t="str">
        <f t="shared" si="57"/>
        <v>NA</v>
      </c>
      <c r="AG122" s="28">
        <f t="shared" si="58"/>
        <v>0</v>
      </c>
      <c r="AH122" s="23">
        <f>IFERROR(AG122/AG148, "NA")</f>
        <v>0</v>
      </c>
      <c r="AI122" s="29">
        <f t="shared" si="59"/>
        <v>0</v>
      </c>
      <c r="AJ122" s="30">
        <f>IFERROR(AI122/AI148, "NA")</f>
        <v>0</v>
      </c>
      <c r="AK122" s="29" t="str">
        <f t="shared" si="60"/>
        <v>NA</v>
      </c>
      <c r="AL122" s="30" t="str">
        <f>IFERROR(AK122/AK148, "NA")</f>
        <v>NA</v>
      </c>
    </row>
    <row r="123" ht="16.5" hidden="1" customHeight="1">
      <c r="A123" s="19" t="s">
        <v>233</v>
      </c>
      <c r="B123" s="21">
        <v>0.0</v>
      </c>
      <c r="C123" s="23">
        <f>IFERROR(B123/B148, "NA")</f>
        <v>0</v>
      </c>
      <c r="D123" s="21">
        <v>0.0</v>
      </c>
      <c r="E123" s="23">
        <f>IFERROR(D123/D148, "NA")</f>
        <v>0</v>
      </c>
      <c r="F123" s="21">
        <v>0.0</v>
      </c>
      <c r="G123" s="23">
        <f>IFERROR(F123/F148, "NA")</f>
        <v>0</v>
      </c>
      <c r="H123" s="21">
        <v>0.0</v>
      </c>
      <c r="I123" s="23">
        <f>IFERROR(H123/H148, "NA")</f>
        <v>0</v>
      </c>
      <c r="J123" s="21">
        <v>0.0</v>
      </c>
      <c r="K123" s="23">
        <f>IFERROR(J123/J148, "NA")</f>
        <v>0</v>
      </c>
      <c r="L123" s="21">
        <v>0.0</v>
      </c>
      <c r="M123" s="23">
        <f>IFERROR(L123/L148, "NA")</f>
        <v>0</v>
      </c>
      <c r="N123" s="21">
        <v>0.0</v>
      </c>
      <c r="O123" s="23">
        <f>IFERROR(N123/N148, "NA")</f>
        <v>0</v>
      </c>
      <c r="P123" s="21">
        <v>0.0</v>
      </c>
      <c r="Q123" s="23">
        <f>IFERROR(P123/P148, "NA")</f>
        <v>0</v>
      </c>
      <c r="R123" s="21">
        <v>0.0</v>
      </c>
      <c r="S123" s="23">
        <f>IFERROR(R123/R148, "NA")</f>
        <v>0</v>
      </c>
      <c r="T123" s="21">
        <v>0.0</v>
      </c>
      <c r="U123" s="23">
        <f>IFERROR(T123/T148, "NA")</f>
        <v>0</v>
      </c>
      <c r="V123" s="21">
        <v>0.0</v>
      </c>
      <c r="W123" s="23">
        <f>IFERROR(V123/V148, "NA")</f>
        <v>0</v>
      </c>
      <c r="X123" s="21">
        <v>0.0</v>
      </c>
      <c r="Y123" s="23">
        <f>IFERROR(X123/X148, "NA")</f>
        <v>0</v>
      </c>
      <c r="Z123" s="21">
        <v>0.0</v>
      </c>
      <c r="AA123" s="23">
        <f>IFERROR(Z123/Z148, "NA")</f>
        <v>0</v>
      </c>
      <c r="AB123" s="28">
        <f t="shared" si="55"/>
        <v>0</v>
      </c>
      <c r="AC123" s="23">
        <f>IFERROR(AB123/AB148, "NA")</f>
        <v>0</v>
      </c>
      <c r="AD123" s="29">
        <f t="shared" si="56"/>
        <v>0</v>
      </c>
      <c r="AE123" s="30">
        <f>IFERROR(AD123/AD148, "NA")</f>
        <v>0</v>
      </c>
      <c r="AF123" s="29" t="str">
        <f t="shared" si="57"/>
        <v>NA</v>
      </c>
      <c r="AG123" s="28">
        <f t="shared" si="58"/>
        <v>0</v>
      </c>
      <c r="AH123" s="23">
        <f>IFERROR(AG123/AG148, "NA")</f>
        <v>0</v>
      </c>
      <c r="AI123" s="29">
        <f t="shared" si="59"/>
        <v>0</v>
      </c>
      <c r="AJ123" s="30">
        <f>IFERROR(AI123/AI148, "NA")</f>
        <v>0</v>
      </c>
      <c r="AK123" s="29" t="str">
        <f t="shared" si="60"/>
        <v>NA</v>
      </c>
      <c r="AL123" s="30" t="str">
        <f>IFERROR(AK123/AK148, "NA")</f>
        <v>NA</v>
      </c>
    </row>
    <row r="124" ht="16.5" hidden="1" customHeight="1">
      <c r="A124" s="19" t="s">
        <v>234</v>
      </c>
      <c r="B124" s="21">
        <v>0.0</v>
      </c>
      <c r="C124" s="23">
        <f>IFERROR(B124/B148, "NA")</f>
        <v>0</v>
      </c>
      <c r="D124" s="21">
        <v>0.0</v>
      </c>
      <c r="E124" s="23">
        <f>IFERROR(D124/D148, "NA")</f>
        <v>0</v>
      </c>
      <c r="F124" s="21">
        <v>0.0</v>
      </c>
      <c r="G124" s="23">
        <f>IFERROR(F124/F148, "NA")</f>
        <v>0</v>
      </c>
      <c r="H124" s="21">
        <v>0.0</v>
      </c>
      <c r="I124" s="23">
        <f>IFERROR(H124/H148, "NA")</f>
        <v>0</v>
      </c>
      <c r="J124" s="21">
        <v>0.0</v>
      </c>
      <c r="K124" s="23">
        <f>IFERROR(J124/J148, "NA")</f>
        <v>0</v>
      </c>
      <c r="L124" s="21">
        <v>0.0</v>
      </c>
      <c r="M124" s="23">
        <f>IFERROR(L124/L148, "NA")</f>
        <v>0</v>
      </c>
      <c r="N124" s="21">
        <v>0.0</v>
      </c>
      <c r="O124" s="23">
        <f>IFERROR(N124/N148, "NA")</f>
        <v>0</v>
      </c>
      <c r="P124" s="21">
        <v>0.0</v>
      </c>
      <c r="Q124" s="23">
        <f>IFERROR(P124/P148, "NA")</f>
        <v>0</v>
      </c>
      <c r="R124" s="21">
        <v>0.0</v>
      </c>
      <c r="S124" s="23">
        <f>IFERROR(R124/R148, "NA")</f>
        <v>0</v>
      </c>
      <c r="T124" s="21">
        <v>0.0</v>
      </c>
      <c r="U124" s="23">
        <f>IFERROR(T124/T148, "NA")</f>
        <v>0</v>
      </c>
      <c r="V124" s="21">
        <v>0.0</v>
      </c>
      <c r="W124" s="23">
        <f>IFERROR(V124/V148, "NA")</f>
        <v>0</v>
      </c>
      <c r="X124" s="21">
        <v>0.0</v>
      </c>
      <c r="Y124" s="23">
        <f>IFERROR(X124/X148, "NA")</f>
        <v>0</v>
      </c>
      <c r="Z124" s="21">
        <v>0.0</v>
      </c>
      <c r="AA124" s="23">
        <f>IFERROR(Z124/Z148, "NA")</f>
        <v>0</v>
      </c>
      <c r="AB124" s="28">
        <f t="shared" si="55"/>
        <v>0</v>
      </c>
      <c r="AC124" s="23">
        <f>IFERROR(AB124/AB148, "NA")</f>
        <v>0</v>
      </c>
      <c r="AD124" s="29">
        <f t="shared" si="56"/>
        <v>0</v>
      </c>
      <c r="AE124" s="30">
        <f>IFERROR(AD124/AD148, "NA")</f>
        <v>0</v>
      </c>
      <c r="AF124" s="29" t="str">
        <f t="shared" si="57"/>
        <v>NA</v>
      </c>
      <c r="AG124" s="28">
        <f t="shared" si="58"/>
        <v>0</v>
      </c>
      <c r="AH124" s="23">
        <f>IFERROR(AG124/AG148, "NA")</f>
        <v>0</v>
      </c>
      <c r="AI124" s="29">
        <f t="shared" si="59"/>
        <v>0</v>
      </c>
      <c r="AJ124" s="30">
        <f>IFERROR(AI124/AI148, "NA")</f>
        <v>0</v>
      </c>
      <c r="AK124" s="29" t="str">
        <f t="shared" si="60"/>
        <v>NA</v>
      </c>
      <c r="AL124" s="30" t="str">
        <f>IFERROR(AK124/AK148, "NA")</f>
        <v>NA</v>
      </c>
    </row>
    <row r="125" ht="16.5" hidden="1" customHeight="1">
      <c r="A125" s="19" t="s">
        <v>235</v>
      </c>
      <c r="B125" s="21">
        <v>0.0</v>
      </c>
      <c r="C125" s="23">
        <f>IFERROR(B125/B148, "NA")</f>
        <v>0</v>
      </c>
      <c r="D125" s="21">
        <v>0.0</v>
      </c>
      <c r="E125" s="23">
        <f>IFERROR(D125/D148, "NA")</f>
        <v>0</v>
      </c>
      <c r="F125" s="21">
        <v>0.0</v>
      </c>
      <c r="G125" s="23">
        <f>IFERROR(F125/F148, "NA")</f>
        <v>0</v>
      </c>
      <c r="H125" s="21">
        <v>0.0</v>
      </c>
      <c r="I125" s="23">
        <f>IFERROR(H125/H148, "NA")</f>
        <v>0</v>
      </c>
      <c r="J125" s="21">
        <v>0.0</v>
      </c>
      <c r="K125" s="23">
        <f>IFERROR(J125/J148, "NA")</f>
        <v>0</v>
      </c>
      <c r="L125" s="21">
        <v>0.0</v>
      </c>
      <c r="M125" s="23">
        <f>IFERROR(L125/L148, "NA")</f>
        <v>0</v>
      </c>
      <c r="N125" s="21">
        <v>0.0</v>
      </c>
      <c r="O125" s="23">
        <f>IFERROR(N125/N148, "NA")</f>
        <v>0</v>
      </c>
      <c r="P125" s="21">
        <v>0.0</v>
      </c>
      <c r="Q125" s="23">
        <f>IFERROR(P125/P148, "NA")</f>
        <v>0</v>
      </c>
      <c r="R125" s="21">
        <v>0.0</v>
      </c>
      <c r="S125" s="23">
        <f>IFERROR(R125/R148, "NA")</f>
        <v>0</v>
      </c>
      <c r="T125" s="21">
        <v>0.0</v>
      </c>
      <c r="U125" s="23">
        <f>IFERROR(T125/T148, "NA")</f>
        <v>0</v>
      </c>
      <c r="V125" s="21">
        <v>0.0</v>
      </c>
      <c r="W125" s="23">
        <f>IFERROR(V125/V148, "NA")</f>
        <v>0</v>
      </c>
      <c r="X125" s="21">
        <v>0.0</v>
      </c>
      <c r="Y125" s="23">
        <f>IFERROR(X125/X148, "NA")</f>
        <v>0</v>
      </c>
      <c r="Z125" s="21">
        <v>0.0</v>
      </c>
      <c r="AA125" s="23">
        <f>IFERROR(Z125/Z148, "NA")</f>
        <v>0</v>
      </c>
      <c r="AB125" s="28">
        <f t="shared" si="55"/>
        <v>0</v>
      </c>
      <c r="AC125" s="23">
        <f>IFERROR(AB125/AB148, "NA")</f>
        <v>0</v>
      </c>
      <c r="AD125" s="29">
        <f t="shared" si="56"/>
        <v>0</v>
      </c>
      <c r="AE125" s="30">
        <f>IFERROR(AD125/AD148, "NA")</f>
        <v>0</v>
      </c>
      <c r="AF125" s="29" t="str">
        <f t="shared" si="57"/>
        <v>NA</v>
      </c>
      <c r="AG125" s="28">
        <f t="shared" si="58"/>
        <v>0</v>
      </c>
      <c r="AH125" s="23">
        <f>IFERROR(AG125/AG148, "NA")</f>
        <v>0</v>
      </c>
      <c r="AI125" s="29">
        <f t="shared" si="59"/>
        <v>0</v>
      </c>
      <c r="AJ125" s="30">
        <f>IFERROR(AI125/AI148, "NA")</f>
        <v>0</v>
      </c>
      <c r="AK125" s="29" t="str">
        <f t="shared" si="60"/>
        <v>NA</v>
      </c>
      <c r="AL125" s="30" t="str">
        <f>IFERROR(AK125/AK148, "NA")</f>
        <v>NA</v>
      </c>
    </row>
    <row r="126" ht="16.5" hidden="1" customHeight="1">
      <c r="A126" s="19" t="s">
        <v>236</v>
      </c>
      <c r="B126" s="21">
        <v>0.0</v>
      </c>
      <c r="C126" s="23">
        <f>IFERROR(B126/B148, "NA")</f>
        <v>0</v>
      </c>
      <c r="D126" s="21">
        <v>0.0</v>
      </c>
      <c r="E126" s="23">
        <f>IFERROR(D126/D148, "NA")</f>
        <v>0</v>
      </c>
      <c r="F126" s="21">
        <v>0.0</v>
      </c>
      <c r="G126" s="23">
        <f>IFERROR(F126/F148, "NA")</f>
        <v>0</v>
      </c>
      <c r="H126" s="21">
        <v>0.0</v>
      </c>
      <c r="I126" s="23">
        <f>IFERROR(H126/H148, "NA")</f>
        <v>0</v>
      </c>
      <c r="J126" s="21">
        <v>0.0</v>
      </c>
      <c r="K126" s="23">
        <f>IFERROR(J126/J148, "NA")</f>
        <v>0</v>
      </c>
      <c r="L126" s="21">
        <v>0.0</v>
      </c>
      <c r="M126" s="23">
        <f>IFERROR(L126/L148, "NA")</f>
        <v>0</v>
      </c>
      <c r="N126" s="21">
        <v>0.0</v>
      </c>
      <c r="O126" s="23">
        <f>IFERROR(N126/N148, "NA")</f>
        <v>0</v>
      </c>
      <c r="P126" s="21">
        <v>0.0</v>
      </c>
      <c r="Q126" s="23">
        <f>IFERROR(P126/P148, "NA")</f>
        <v>0</v>
      </c>
      <c r="R126" s="21">
        <v>0.0</v>
      </c>
      <c r="S126" s="23">
        <f>IFERROR(R126/R148, "NA")</f>
        <v>0</v>
      </c>
      <c r="T126" s="21">
        <v>0.0</v>
      </c>
      <c r="U126" s="23">
        <f>IFERROR(T126/T148, "NA")</f>
        <v>0</v>
      </c>
      <c r="V126" s="21">
        <v>0.0</v>
      </c>
      <c r="W126" s="23">
        <f>IFERROR(V126/V148, "NA")</f>
        <v>0</v>
      </c>
      <c r="X126" s="21">
        <v>0.0</v>
      </c>
      <c r="Y126" s="23">
        <f>IFERROR(X126/X148, "NA")</f>
        <v>0</v>
      </c>
      <c r="Z126" s="21">
        <v>0.0</v>
      </c>
      <c r="AA126" s="23">
        <f>IFERROR(Z126/Z148, "NA")</f>
        <v>0</v>
      </c>
      <c r="AB126" s="28">
        <f t="shared" si="55"/>
        <v>0</v>
      </c>
      <c r="AC126" s="23">
        <f>IFERROR(AB126/AB148, "NA")</f>
        <v>0</v>
      </c>
      <c r="AD126" s="29">
        <f t="shared" si="56"/>
        <v>0</v>
      </c>
      <c r="AE126" s="30">
        <f>IFERROR(AD126/AD148, "NA")</f>
        <v>0</v>
      </c>
      <c r="AF126" s="29" t="str">
        <f t="shared" si="57"/>
        <v>NA</v>
      </c>
      <c r="AG126" s="28">
        <f t="shared" si="58"/>
        <v>0</v>
      </c>
      <c r="AH126" s="23">
        <f>IFERROR(AG126/AG148, "NA")</f>
        <v>0</v>
      </c>
      <c r="AI126" s="29">
        <f t="shared" si="59"/>
        <v>0</v>
      </c>
      <c r="AJ126" s="30">
        <f>IFERROR(AI126/AI148, "NA")</f>
        <v>0</v>
      </c>
      <c r="AK126" s="29" t="str">
        <f t="shared" si="60"/>
        <v>NA</v>
      </c>
      <c r="AL126" s="30" t="str">
        <f>IFERROR(AK126/AK148, "NA")</f>
        <v>NA</v>
      </c>
    </row>
    <row r="127" ht="16.5" hidden="1" customHeight="1">
      <c r="A127" s="19" t="s">
        <v>237</v>
      </c>
      <c r="B127" s="21">
        <v>0.0</v>
      </c>
      <c r="C127" s="23">
        <f>IFERROR(B127/B148, "NA")</f>
        <v>0</v>
      </c>
      <c r="D127" s="21">
        <v>0.0</v>
      </c>
      <c r="E127" s="23">
        <f>IFERROR(D127/D148, "NA")</f>
        <v>0</v>
      </c>
      <c r="F127" s="21">
        <v>0.0</v>
      </c>
      <c r="G127" s="23">
        <f>IFERROR(F127/F148, "NA")</f>
        <v>0</v>
      </c>
      <c r="H127" s="21">
        <v>0.0</v>
      </c>
      <c r="I127" s="23">
        <f>IFERROR(H127/H148, "NA")</f>
        <v>0</v>
      </c>
      <c r="J127" s="21">
        <v>0.0</v>
      </c>
      <c r="K127" s="23">
        <f>IFERROR(J127/J148, "NA")</f>
        <v>0</v>
      </c>
      <c r="L127" s="21">
        <v>0.0</v>
      </c>
      <c r="M127" s="23">
        <f>IFERROR(L127/L148, "NA")</f>
        <v>0</v>
      </c>
      <c r="N127" s="21">
        <v>0.0</v>
      </c>
      <c r="O127" s="23">
        <f>IFERROR(N127/N148, "NA")</f>
        <v>0</v>
      </c>
      <c r="P127" s="21">
        <v>0.0</v>
      </c>
      <c r="Q127" s="23">
        <f>IFERROR(P127/P148, "NA")</f>
        <v>0</v>
      </c>
      <c r="R127" s="21">
        <v>0.0</v>
      </c>
      <c r="S127" s="23">
        <f>IFERROR(R127/R148, "NA")</f>
        <v>0</v>
      </c>
      <c r="T127" s="21">
        <v>0.0</v>
      </c>
      <c r="U127" s="23">
        <f>IFERROR(T127/T148, "NA")</f>
        <v>0</v>
      </c>
      <c r="V127" s="21">
        <v>0.0</v>
      </c>
      <c r="W127" s="23">
        <f>IFERROR(V127/V148, "NA")</f>
        <v>0</v>
      </c>
      <c r="X127" s="21">
        <v>0.0</v>
      </c>
      <c r="Y127" s="23">
        <f>IFERROR(X127/X148, "NA")</f>
        <v>0</v>
      </c>
      <c r="Z127" s="21">
        <v>0.0</v>
      </c>
      <c r="AA127" s="23">
        <f>IFERROR(Z127/Z148, "NA")</f>
        <v>0</v>
      </c>
      <c r="AB127" s="28">
        <f t="shared" si="55"/>
        <v>0</v>
      </c>
      <c r="AC127" s="23">
        <f>IFERROR(AB127/AB148, "NA")</f>
        <v>0</v>
      </c>
      <c r="AD127" s="29">
        <f t="shared" si="56"/>
        <v>0</v>
      </c>
      <c r="AE127" s="30">
        <f>IFERROR(AD127/AD148, "NA")</f>
        <v>0</v>
      </c>
      <c r="AF127" s="29" t="str">
        <f t="shared" si="57"/>
        <v>NA</v>
      </c>
      <c r="AG127" s="28">
        <f t="shared" si="58"/>
        <v>0</v>
      </c>
      <c r="AH127" s="23">
        <f>IFERROR(AG127/AG148, "NA")</f>
        <v>0</v>
      </c>
      <c r="AI127" s="29">
        <f t="shared" si="59"/>
        <v>0</v>
      </c>
      <c r="AJ127" s="30">
        <f>IFERROR(AI127/AI148, "NA")</f>
        <v>0</v>
      </c>
      <c r="AK127" s="29" t="str">
        <f t="shared" si="60"/>
        <v>NA</v>
      </c>
      <c r="AL127" s="30" t="str">
        <f>IFERROR(AK127/AK148, "NA")</f>
        <v>NA</v>
      </c>
    </row>
    <row r="128" ht="16.5" hidden="1" customHeight="1">
      <c r="A128" s="19" t="s">
        <v>238</v>
      </c>
      <c r="B128" s="21">
        <v>1186.53</v>
      </c>
      <c r="C128" s="23">
        <f>IFERROR(B128/B148, "NA")</f>
        <v>0.01931880349</v>
      </c>
      <c r="D128" s="21">
        <v>1185.1</v>
      </c>
      <c r="E128" s="23">
        <f>IFERROR(D128/D148, "NA")</f>
        <v>0.02071000127</v>
      </c>
      <c r="F128" s="21">
        <v>-3831.6</v>
      </c>
      <c r="G128" s="23">
        <f>IFERROR(F128/F148, "NA")</f>
        <v>-0.0928220835</v>
      </c>
      <c r="H128" s="21">
        <v>874.75</v>
      </c>
      <c r="I128" s="23">
        <f>IFERROR(H128/H148, "NA")</f>
        <v>0.05020587422</v>
      </c>
      <c r="J128" s="21">
        <v>1229.54</v>
      </c>
      <c r="K128" s="23">
        <f>IFERROR(J128/J148, "NA")</f>
        <v>0.0255108964</v>
      </c>
      <c r="L128" s="21">
        <v>1301.83</v>
      </c>
      <c r="M128" s="23">
        <f>IFERROR(L128/L148, "NA")</f>
        <v>0.03352833128</v>
      </c>
      <c r="N128" s="21">
        <v>1150.29</v>
      </c>
      <c r="O128" s="23">
        <f>IFERROR(N128/N148, "NA")</f>
        <v>0.03055400094</v>
      </c>
      <c r="P128" s="21">
        <v>-4556.41</v>
      </c>
      <c r="Q128" s="23">
        <f>IFERROR(P128/P148, "NA")</f>
        <v>-0.4376988488</v>
      </c>
      <c r="R128" s="21">
        <v>1209.72</v>
      </c>
      <c r="S128" s="23">
        <f>IFERROR(R128/R148, "NA")</f>
        <v>0.06742689038</v>
      </c>
      <c r="T128" s="21">
        <v>943.22</v>
      </c>
      <c r="U128" s="23">
        <f>IFERROR(T128/T148, "NA")</f>
        <v>0.02862649169</v>
      </c>
      <c r="V128" s="21">
        <v>1158.57</v>
      </c>
      <c r="W128" s="23">
        <f>IFERROR(V128/V148, "NA")</f>
        <v>0.02909896365</v>
      </c>
      <c r="X128" s="21">
        <v>937.84</v>
      </c>
      <c r="Y128" s="23">
        <f>IFERROR(X128/X148, "NA")</f>
        <v>0.02362352488</v>
      </c>
      <c r="Z128" s="21">
        <v>4249.35</v>
      </c>
      <c r="AA128" s="23">
        <f>IFERROR(Z128/Z148, "NA")</f>
        <v>0.03258588038</v>
      </c>
      <c r="AB128" s="28">
        <f t="shared" si="55"/>
        <v>1062.3375</v>
      </c>
      <c r="AC128" s="23">
        <f>IFERROR(AB128/AB148, "NA")</f>
        <v>0.03258588038</v>
      </c>
      <c r="AD128" s="29">
        <f t="shared" si="56"/>
        <v>-124.4975</v>
      </c>
      <c r="AE128" s="30">
        <f>IFERROR(AD128/AD148, "NA")</f>
        <v>-0.01753918219</v>
      </c>
      <c r="AF128" s="29">
        <f t="shared" si="57"/>
        <v>-0.1171920411</v>
      </c>
      <c r="AG128" s="28">
        <f t="shared" si="58"/>
        <v>421.825</v>
      </c>
      <c r="AH128" s="23">
        <f>IFERROR(AG128/AG148, "NA")</f>
        <v>0.01271099217</v>
      </c>
      <c r="AI128" s="29">
        <f t="shared" si="59"/>
        <v>516.015</v>
      </c>
      <c r="AJ128" s="30">
        <f>IFERROR(AI128/AI148, "NA")</f>
        <v>0.0792215785</v>
      </c>
      <c r="AK128" s="29">
        <f t="shared" si="60"/>
        <v>1.223291649</v>
      </c>
      <c r="AL128" s="30">
        <f>IFERROR(AK128/AK148, "NA")</f>
        <v>6.23252516</v>
      </c>
    </row>
    <row r="129" ht="16.5" hidden="1" customHeight="1">
      <c r="A129" s="19" t="s">
        <v>239</v>
      </c>
      <c r="B129" s="21">
        <v>0.0</v>
      </c>
      <c r="C129" s="23">
        <f>IFERROR(B129/B148, "NA")</f>
        <v>0</v>
      </c>
      <c r="D129" s="21">
        <v>0.0</v>
      </c>
      <c r="E129" s="23">
        <f>IFERROR(D129/D148, "NA")</f>
        <v>0</v>
      </c>
      <c r="F129" s="21">
        <v>0.0</v>
      </c>
      <c r="G129" s="23">
        <f>IFERROR(F129/F148, "NA")</f>
        <v>0</v>
      </c>
      <c r="H129" s="21">
        <v>0.0</v>
      </c>
      <c r="I129" s="23">
        <f>IFERROR(H129/H148, "NA")</f>
        <v>0</v>
      </c>
      <c r="J129" s="21">
        <v>0.0</v>
      </c>
      <c r="K129" s="23">
        <f>IFERROR(J129/J148, "NA")</f>
        <v>0</v>
      </c>
      <c r="L129" s="21">
        <v>0.0</v>
      </c>
      <c r="M129" s="23">
        <f>IFERROR(L129/L148, "NA")</f>
        <v>0</v>
      </c>
      <c r="N129" s="21">
        <v>0.0</v>
      </c>
      <c r="O129" s="23">
        <f>IFERROR(N129/N148, "NA")</f>
        <v>0</v>
      </c>
      <c r="P129" s="21">
        <v>0.0</v>
      </c>
      <c r="Q129" s="23">
        <f>IFERROR(P129/P148, "NA")</f>
        <v>0</v>
      </c>
      <c r="R129" s="21">
        <v>0.0</v>
      </c>
      <c r="S129" s="23">
        <f>IFERROR(R129/R148, "NA")</f>
        <v>0</v>
      </c>
      <c r="T129" s="21">
        <v>0.0</v>
      </c>
      <c r="U129" s="23">
        <f>IFERROR(T129/T148, "NA")</f>
        <v>0</v>
      </c>
      <c r="V129" s="21">
        <v>0.0</v>
      </c>
      <c r="W129" s="23">
        <f>IFERROR(V129/V148, "NA")</f>
        <v>0</v>
      </c>
      <c r="X129" s="21">
        <v>0.0</v>
      </c>
      <c r="Y129" s="23">
        <f>IFERROR(X129/X148, "NA")</f>
        <v>0</v>
      </c>
      <c r="Z129" s="21">
        <v>0.0</v>
      </c>
      <c r="AA129" s="23">
        <f>IFERROR(Z129/Z148, "NA")</f>
        <v>0</v>
      </c>
      <c r="AB129" s="28">
        <f t="shared" si="55"/>
        <v>0</v>
      </c>
      <c r="AC129" s="23">
        <f>IFERROR(AB129/AB148, "NA")</f>
        <v>0</v>
      </c>
      <c r="AD129" s="29">
        <f t="shared" si="56"/>
        <v>0</v>
      </c>
      <c r="AE129" s="30">
        <f>IFERROR(AD129/AD148, "NA")</f>
        <v>0</v>
      </c>
      <c r="AF129" s="29" t="str">
        <f t="shared" si="57"/>
        <v>NA</v>
      </c>
      <c r="AG129" s="28">
        <f t="shared" si="58"/>
        <v>0</v>
      </c>
      <c r="AH129" s="23">
        <f>IFERROR(AG129/AG148, "NA")</f>
        <v>0</v>
      </c>
      <c r="AI129" s="29">
        <f t="shared" si="59"/>
        <v>0</v>
      </c>
      <c r="AJ129" s="30">
        <f>IFERROR(AI129/AI148, "NA")</f>
        <v>0</v>
      </c>
      <c r="AK129" s="29" t="str">
        <f t="shared" si="60"/>
        <v>NA</v>
      </c>
      <c r="AL129" s="30" t="str">
        <f>IFERROR(AK129/AK148, "NA")</f>
        <v>NA</v>
      </c>
    </row>
    <row r="130" ht="16.5" hidden="1" customHeight="1">
      <c r="A130" s="19" t="s">
        <v>240</v>
      </c>
      <c r="B130" s="21">
        <v>0.0</v>
      </c>
      <c r="C130" s="23">
        <f>IFERROR(B130/B148, "NA")</f>
        <v>0</v>
      </c>
      <c r="D130" s="21">
        <v>0.0</v>
      </c>
      <c r="E130" s="23">
        <f>IFERROR(D130/D148, "NA")</f>
        <v>0</v>
      </c>
      <c r="F130" s="21">
        <v>0.0</v>
      </c>
      <c r="G130" s="23">
        <f>IFERROR(F130/F148, "NA")</f>
        <v>0</v>
      </c>
      <c r="H130" s="21">
        <v>0.0</v>
      </c>
      <c r="I130" s="23">
        <f>IFERROR(H130/H148, "NA")</f>
        <v>0</v>
      </c>
      <c r="J130" s="21">
        <v>0.0</v>
      </c>
      <c r="K130" s="23">
        <f>IFERROR(J130/J148, "NA")</f>
        <v>0</v>
      </c>
      <c r="L130" s="21">
        <v>0.0</v>
      </c>
      <c r="M130" s="23">
        <f>IFERROR(L130/L148, "NA")</f>
        <v>0</v>
      </c>
      <c r="N130" s="21">
        <v>0.0</v>
      </c>
      <c r="O130" s="23">
        <f>IFERROR(N130/N148, "NA")</f>
        <v>0</v>
      </c>
      <c r="P130" s="21">
        <v>0.0</v>
      </c>
      <c r="Q130" s="23">
        <f>IFERROR(P130/P148, "NA")</f>
        <v>0</v>
      </c>
      <c r="R130" s="21">
        <v>0.0</v>
      </c>
      <c r="S130" s="23">
        <f>IFERROR(R130/R148, "NA")</f>
        <v>0</v>
      </c>
      <c r="T130" s="21">
        <v>0.0</v>
      </c>
      <c r="U130" s="23">
        <f>IFERROR(T130/T148, "NA")</f>
        <v>0</v>
      </c>
      <c r="V130" s="21">
        <v>0.0</v>
      </c>
      <c r="W130" s="23">
        <f>IFERROR(V130/V148, "NA")</f>
        <v>0</v>
      </c>
      <c r="X130" s="21">
        <v>0.0</v>
      </c>
      <c r="Y130" s="23">
        <f>IFERROR(X130/X148, "NA")</f>
        <v>0</v>
      </c>
      <c r="Z130" s="21">
        <v>0.0</v>
      </c>
      <c r="AA130" s="23">
        <f>IFERROR(Z130/Z148, "NA")</f>
        <v>0</v>
      </c>
      <c r="AB130" s="28">
        <f t="shared" si="55"/>
        <v>0</v>
      </c>
      <c r="AC130" s="23">
        <f>IFERROR(AB130/AB148, "NA")</f>
        <v>0</v>
      </c>
      <c r="AD130" s="29">
        <f t="shared" si="56"/>
        <v>0</v>
      </c>
      <c r="AE130" s="30">
        <f>IFERROR(AD130/AD148, "NA")</f>
        <v>0</v>
      </c>
      <c r="AF130" s="29" t="str">
        <f t="shared" si="57"/>
        <v>NA</v>
      </c>
      <c r="AG130" s="28">
        <f t="shared" si="58"/>
        <v>0</v>
      </c>
      <c r="AH130" s="23">
        <f>IFERROR(AG130/AG148, "NA")</f>
        <v>0</v>
      </c>
      <c r="AI130" s="29">
        <f t="shared" si="59"/>
        <v>0</v>
      </c>
      <c r="AJ130" s="30">
        <f>IFERROR(AI130/AI148, "NA")</f>
        <v>0</v>
      </c>
      <c r="AK130" s="29" t="str">
        <f t="shared" si="60"/>
        <v>NA</v>
      </c>
      <c r="AL130" s="30" t="str">
        <f>IFERROR(AK130/AK148, "NA")</f>
        <v>NA</v>
      </c>
    </row>
    <row r="131" ht="16.5" hidden="1" customHeight="1">
      <c r="A131" s="19" t="s">
        <v>241</v>
      </c>
      <c r="B131" s="21">
        <v>0.0</v>
      </c>
      <c r="C131" s="23">
        <f>IFERROR(B131/B148, "NA")</f>
        <v>0</v>
      </c>
      <c r="D131" s="21">
        <v>0.0</v>
      </c>
      <c r="E131" s="23">
        <f>IFERROR(D131/D148, "NA")</f>
        <v>0</v>
      </c>
      <c r="F131" s="21">
        <v>0.0</v>
      </c>
      <c r="G131" s="23">
        <f>IFERROR(F131/F148, "NA")</f>
        <v>0</v>
      </c>
      <c r="H131" s="21">
        <v>0.0</v>
      </c>
      <c r="I131" s="23">
        <f>IFERROR(H131/H148, "NA")</f>
        <v>0</v>
      </c>
      <c r="J131" s="21">
        <v>0.0</v>
      </c>
      <c r="K131" s="23">
        <f>IFERROR(J131/J148, "NA")</f>
        <v>0</v>
      </c>
      <c r="L131" s="21">
        <v>0.0</v>
      </c>
      <c r="M131" s="23">
        <f>IFERROR(L131/L148, "NA")</f>
        <v>0</v>
      </c>
      <c r="N131" s="21">
        <v>0.0</v>
      </c>
      <c r="O131" s="23">
        <f>IFERROR(N131/N148, "NA")</f>
        <v>0</v>
      </c>
      <c r="P131" s="21">
        <v>0.0</v>
      </c>
      <c r="Q131" s="23">
        <f>IFERROR(P131/P148, "NA")</f>
        <v>0</v>
      </c>
      <c r="R131" s="21">
        <v>0.0</v>
      </c>
      <c r="S131" s="23">
        <f>IFERROR(R131/R148, "NA")</f>
        <v>0</v>
      </c>
      <c r="T131" s="21">
        <v>0.0</v>
      </c>
      <c r="U131" s="23">
        <f>IFERROR(T131/T148, "NA")</f>
        <v>0</v>
      </c>
      <c r="V131" s="21">
        <v>0.0</v>
      </c>
      <c r="W131" s="23">
        <f>IFERROR(V131/V148, "NA")</f>
        <v>0</v>
      </c>
      <c r="X131" s="21">
        <v>0.0</v>
      </c>
      <c r="Y131" s="23">
        <f>IFERROR(X131/X148, "NA")</f>
        <v>0</v>
      </c>
      <c r="Z131" s="21">
        <v>0.0</v>
      </c>
      <c r="AA131" s="23">
        <f>IFERROR(Z131/Z148, "NA")</f>
        <v>0</v>
      </c>
      <c r="AB131" s="28">
        <f t="shared" si="55"/>
        <v>0</v>
      </c>
      <c r="AC131" s="23">
        <f>IFERROR(AB131/AB148, "NA")</f>
        <v>0</v>
      </c>
      <c r="AD131" s="29">
        <f t="shared" si="56"/>
        <v>0</v>
      </c>
      <c r="AE131" s="30">
        <f>IFERROR(AD131/AD148, "NA")</f>
        <v>0</v>
      </c>
      <c r="AF131" s="29" t="str">
        <f t="shared" si="57"/>
        <v>NA</v>
      </c>
      <c r="AG131" s="28">
        <f t="shared" si="58"/>
        <v>0</v>
      </c>
      <c r="AH131" s="23">
        <f>IFERROR(AG131/AG148, "NA")</f>
        <v>0</v>
      </c>
      <c r="AI131" s="29">
        <f t="shared" si="59"/>
        <v>0</v>
      </c>
      <c r="AJ131" s="30">
        <f>IFERROR(AI131/AI148, "NA")</f>
        <v>0</v>
      </c>
      <c r="AK131" s="29" t="str">
        <f t="shared" si="60"/>
        <v>NA</v>
      </c>
      <c r="AL131" s="30" t="str">
        <f>IFERROR(AK131/AK148, "NA")</f>
        <v>NA</v>
      </c>
    </row>
    <row r="132" ht="16.5" hidden="1" customHeight="1">
      <c r="A132" s="19" t="s">
        <v>242</v>
      </c>
      <c r="B132" s="21">
        <v>0.0</v>
      </c>
      <c r="C132" s="23">
        <f>IFERROR(B132/B148, "NA")</f>
        <v>0</v>
      </c>
      <c r="D132" s="21">
        <v>0.0</v>
      </c>
      <c r="E132" s="23">
        <f>IFERROR(D132/D148, "NA")</f>
        <v>0</v>
      </c>
      <c r="F132" s="21">
        <v>0.0</v>
      </c>
      <c r="G132" s="23">
        <f>IFERROR(F132/F148, "NA")</f>
        <v>0</v>
      </c>
      <c r="H132" s="21">
        <v>0.0</v>
      </c>
      <c r="I132" s="23">
        <f>IFERROR(H132/H148, "NA")</f>
        <v>0</v>
      </c>
      <c r="J132" s="21">
        <v>0.0</v>
      </c>
      <c r="K132" s="23">
        <f>IFERROR(J132/J148, "NA")</f>
        <v>0</v>
      </c>
      <c r="L132" s="21">
        <v>0.0</v>
      </c>
      <c r="M132" s="23">
        <f>IFERROR(L132/L148, "NA")</f>
        <v>0</v>
      </c>
      <c r="N132" s="21">
        <v>0.0</v>
      </c>
      <c r="O132" s="23">
        <f>IFERROR(N132/N148, "NA")</f>
        <v>0</v>
      </c>
      <c r="P132" s="21">
        <v>0.0</v>
      </c>
      <c r="Q132" s="23">
        <f>IFERROR(P132/P148, "NA")</f>
        <v>0</v>
      </c>
      <c r="R132" s="21">
        <v>0.0</v>
      </c>
      <c r="S132" s="23">
        <f>IFERROR(R132/R148, "NA")</f>
        <v>0</v>
      </c>
      <c r="T132" s="21">
        <v>0.0</v>
      </c>
      <c r="U132" s="23">
        <f>IFERROR(T132/T148, "NA")</f>
        <v>0</v>
      </c>
      <c r="V132" s="21">
        <v>0.0</v>
      </c>
      <c r="W132" s="23">
        <f>IFERROR(V132/V148, "NA")</f>
        <v>0</v>
      </c>
      <c r="X132" s="21">
        <v>0.0</v>
      </c>
      <c r="Y132" s="23">
        <f>IFERROR(X132/X148, "NA")</f>
        <v>0</v>
      </c>
      <c r="Z132" s="21">
        <v>0.0</v>
      </c>
      <c r="AA132" s="23">
        <f>IFERROR(Z132/Z148, "NA")</f>
        <v>0</v>
      </c>
      <c r="AB132" s="28">
        <f t="shared" si="55"/>
        <v>0</v>
      </c>
      <c r="AC132" s="23">
        <f>IFERROR(AB132/AB148, "NA")</f>
        <v>0</v>
      </c>
      <c r="AD132" s="29">
        <f t="shared" si="56"/>
        <v>0</v>
      </c>
      <c r="AE132" s="30">
        <f>IFERROR(AD132/AD148, "NA")</f>
        <v>0</v>
      </c>
      <c r="AF132" s="29" t="str">
        <f t="shared" si="57"/>
        <v>NA</v>
      </c>
      <c r="AG132" s="28">
        <f t="shared" si="58"/>
        <v>0</v>
      </c>
      <c r="AH132" s="23">
        <f>IFERROR(AG132/AG148, "NA")</f>
        <v>0</v>
      </c>
      <c r="AI132" s="29">
        <f t="shared" si="59"/>
        <v>0</v>
      </c>
      <c r="AJ132" s="30">
        <f>IFERROR(AI132/AI148, "NA")</f>
        <v>0</v>
      </c>
      <c r="AK132" s="29" t="str">
        <f t="shared" si="60"/>
        <v>NA</v>
      </c>
      <c r="AL132" s="30" t="str">
        <f>IFERROR(AK132/AK148, "NA")</f>
        <v>NA</v>
      </c>
    </row>
    <row r="133" ht="16.5" hidden="1" customHeight="1">
      <c r="A133" s="19" t="s">
        <v>243</v>
      </c>
      <c r="B133" s="21">
        <v>0.0</v>
      </c>
      <c r="C133" s="23">
        <f>IFERROR(B133/B148, "NA")</f>
        <v>0</v>
      </c>
      <c r="D133" s="21">
        <v>0.0</v>
      </c>
      <c r="E133" s="23">
        <f>IFERROR(D133/D148, "NA")</f>
        <v>0</v>
      </c>
      <c r="F133" s="21">
        <v>0.0</v>
      </c>
      <c r="G133" s="23">
        <f>IFERROR(F133/F148, "NA")</f>
        <v>0</v>
      </c>
      <c r="H133" s="21">
        <v>0.0</v>
      </c>
      <c r="I133" s="23">
        <f>IFERROR(H133/H148, "NA")</f>
        <v>0</v>
      </c>
      <c r="J133" s="21">
        <v>0.0</v>
      </c>
      <c r="K133" s="23">
        <f>IFERROR(J133/J148, "NA")</f>
        <v>0</v>
      </c>
      <c r="L133" s="21">
        <v>0.0</v>
      </c>
      <c r="M133" s="23">
        <f>IFERROR(L133/L148, "NA")</f>
        <v>0</v>
      </c>
      <c r="N133" s="21">
        <v>0.0</v>
      </c>
      <c r="O133" s="23">
        <f>IFERROR(N133/N148, "NA")</f>
        <v>0</v>
      </c>
      <c r="P133" s="21">
        <v>0.0</v>
      </c>
      <c r="Q133" s="23">
        <f>IFERROR(P133/P148, "NA")</f>
        <v>0</v>
      </c>
      <c r="R133" s="21">
        <v>0.0</v>
      </c>
      <c r="S133" s="23">
        <f>IFERROR(R133/R148, "NA")</f>
        <v>0</v>
      </c>
      <c r="T133" s="21">
        <v>0.0</v>
      </c>
      <c r="U133" s="23">
        <f>IFERROR(T133/T148, "NA")</f>
        <v>0</v>
      </c>
      <c r="V133" s="21">
        <v>0.0</v>
      </c>
      <c r="W133" s="23">
        <f>IFERROR(V133/V148, "NA")</f>
        <v>0</v>
      </c>
      <c r="X133" s="21">
        <v>0.0</v>
      </c>
      <c r="Y133" s="23">
        <f>IFERROR(X133/X148, "NA")</f>
        <v>0</v>
      </c>
      <c r="Z133" s="21">
        <v>0.0</v>
      </c>
      <c r="AA133" s="23">
        <f>IFERROR(Z133/Z148, "NA")</f>
        <v>0</v>
      </c>
      <c r="AB133" s="28">
        <f t="shared" si="55"/>
        <v>0</v>
      </c>
      <c r="AC133" s="23">
        <f>IFERROR(AB133/AB148, "NA")</f>
        <v>0</v>
      </c>
      <c r="AD133" s="29">
        <f t="shared" si="56"/>
        <v>0</v>
      </c>
      <c r="AE133" s="30">
        <f>IFERROR(AD133/AD148, "NA")</f>
        <v>0</v>
      </c>
      <c r="AF133" s="29" t="str">
        <f t="shared" si="57"/>
        <v>NA</v>
      </c>
      <c r="AG133" s="28">
        <f t="shared" si="58"/>
        <v>0</v>
      </c>
      <c r="AH133" s="23">
        <f>IFERROR(AG133/AG148, "NA")</f>
        <v>0</v>
      </c>
      <c r="AI133" s="29">
        <f t="shared" si="59"/>
        <v>0</v>
      </c>
      <c r="AJ133" s="30">
        <f>IFERROR(AI133/AI148, "NA")</f>
        <v>0</v>
      </c>
      <c r="AK133" s="29" t="str">
        <f t="shared" si="60"/>
        <v>NA</v>
      </c>
      <c r="AL133" s="30" t="str">
        <f>IFERROR(AK133/AK148, "NA")</f>
        <v>NA</v>
      </c>
    </row>
    <row r="134" ht="16.5" hidden="1" customHeight="1">
      <c r="A134" s="19" t="s">
        <v>244</v>
      </c>
      <c r="B134" s="21">
        <v>0.0</v>
      </c>
      <c r="C134" s="23">
        <f>IFERROR(B134/B148, "NA")</f>
        <v>0</v>
      </c>
      <c r="D134" s="21">
        <v>0.0</v>
      </c>
      <c r="E134" s="23">
        <f>IFERROR(D134/D148, "NA")</f>
        <v>0</v>
      </c>
      <c r="F134" s="21">
        <v>0.0</v>
      </c>
      <c r="G134" s="23">
        <f>IFERROR(F134/F148, "NA")</f>
        <v>0</v>
      </c>
      <c r="H134" s="21">
        <v>0.0</v>
      </c>
      <c r="I134" s="23">
        <f>IFERROR(H134/H148, "NA")</f>
        <v>0</v>
      </c>
      <c r="J134" s="21">
        <v>0.0</v>
      </c>
      <c r="K134" s="23">
        <f>IFERROR(J134/J148, "NA")</f>
        <v>0</v>
      </c>
      <c r="L134" s="21">
        <v>0.0</v>
      </c>
      <c r="M134" s="23">
        <f>IFERROR(L134/L148, "NA")</f>
        <v>0</v>
      </c>
      <c r="N134" s="21">
        <v>0.0</v>
      </c>
      <c r="O134" s="23">
        <f>IFERROR(N134/N148, "NA")</f>
        <v>0</v>
      </c>
      <c r="P134" s="21">
        <v>0.0</v>
      </c>
      <c r="Q134" s="23">
        <f>IFERROR(P134/P148, "NA")</f>
        <v>0</v>
      </c>
      <c r="R134" s="21">
        <v>0.0</v>
      </c>
      <c r="S134" s="23">
        <f>IFERROR(R134/R148, "NA")</f>
        <v>0</v>
      </c>
      <c r="T134" s="21">
        <v>0.0</v>
      </c>
      <c r="U134" s="23">
        <f>IFERROR(T134/T148, "NA")</f>
        <v>0</v>
      </c>
      <c r="V134" s="21">
        <v>0.0</v>
      </c>
      <c r="W134" s="23">
        <f>IFERROR(V134/V148, "NA")</f>
        <v>0</v>
      </c>
      <c r="X134" s="21">
        <v>0.0</v>
      </c>
      <c r="Y134" s="23">
        <f>IFERROR(X134/X148, "NA")</f>
        <v>0</v>
      </c>
      <c r="Z134" s="21">
        <v>0.0</v>
      </c>
      <c r="AA134" s="23">
        <f>IFERROR(Z134/Z148, "NA")</f>
        <v>0</v>
      </c>
      <c r="AB134" s="28">
        <f t="shared" si="55"/>
        <v>0</v>
      </c>
      <c r="AC134" s="23">
        <f>IFERROR(AB134/AB148, "NA")</f>
        <v>0</v>
      </c>
      <c r="AD134" s="29">
        <f t="shared" si="56"/>
        <v>0</v>
      </c>
      <c r="AE134" s="30">
        <f>IFERROR(AD134/AD148, "NA")</f>
        <v>0</v>
      </c>
      <c r="AF134" s="29" t="str">
        <f t="shared" si="57"/>
        <v>NA</v>
      </c>
      <c r="AG134" s="28">
        <f t="shared" si="58"/>
        <v>0</v>
      </c>
      <c r="AH134" s="23">
        <f>IFERROR(AG134/AG148, "NA")</f>
        <v>0</v>
      </c>
      <c r="AI134" s="29">
        <f t="shared" si="59"/>
        <v>0</v>
      </c>
      <c r="AJ134" s="30">
        <f>IFERROR(AI134/AI148, "NA")</f>
        <v>0</v>
      </c>
      <c r="AK134" s="29" t="str">
        <f t="shared" si="60"/>
        <v>NA</v>
      </c>
      <c r="AL134" s="30" t="str">
        <f>IFERROR(AK134/AK148, "NA")</f>
        <v>NA</v>
      </c>
    </row>
    <row r="135" ht="16.5" hidden="1" customHeight="1">
      <c r="A135" s="65" t="s">
        <v>245</v>
      </c>
      <c r="B135" s="66">
        <f>IFERROR(B110+B111+B112+B113+B114+B115+B116+B117+B118+B119+B120+B121+B122+B123+B124+B125+B126+B127+B128+B129+B130+B131+B132+B133+B134, "NA")</f>
        <v>1186.53</v>
      </c>
      <c r="C135" s="67">
        <f>IFERROR(B135/B148, "NA")</f>
        <v>0.01931880349</v>
      </c>
      <c r="D135" s="66">
        <f>IFERROR(D110+D111+D112+D113+D114+D115+D116+D117+D118+D119+D120+D121+D122+D123+D124+D125+D126+D127+D128+D129+D130+D131+D132+D133+D134, "NA")</f>
        <v>1185.1</v>
      </c>
      <c r="E135" s="67">
        <f>IFERROR(D135/D148, "NA")</f>
        <v>0.02071000127</v>
      </c>
      <c r="F135" s="66">
        <f>IFERROR(F110+F111+F112+F113+F114+F115+F116+F117+F118+F119+F120+F121+F122+F123+F124+F125+F126+F127+F128+F129+F130+F131+F132+F133+F134, "NA")</f>
        <v>-3831.6</v>
      </c>
      <c r="G135" s="67">
        <f>IFERROR(F135/F148, "NA")</f>
        <v>-0.0928220835</v>
      </c>
      <c r="H135" s="66">
        <f>IFERROR(H110+H111+H112+H113+H114+H115+H116+H117+H118+H119+H120+H121+H122+H123+H124+H125+H126+H127+H128+H129+H130+H131+H132+H133+H134, "NA")</f>
        <v>874.75</v>
      </c>
      <c r="I135" s="67">
        <f>IFERROR(H135/H148, "NA")</f>
        <v>0.05020587422</v>
      </c>
      <c r="J135" s="66">
        <f>IFERROR(J110+J111+J112+J113+J114+J115+J116+J117+J118+J119+J120+J121+J122+J123+J124+J125+J126+J127+J128+J129+J130+J131+J132+J133+J134, "NA")</f>
        <v>1229.54</v>
      </c>
      <c r="K135" s="67">
        <f>IFERROR(J135/J148, "NA")</f>
        <v>0.0255108964</v>
      </c>
      <c r="L135" s="66">
        <f>IFERROR(L110+L111+L112+L113+L114+L115+L116+L117+L118+L119+L120+L121+L122+L123+L124+L125+L126+L127+L128+L129+L130+L131+L132+L133+L134, "NA")</f>
        <v>1301.83</v>
      </c>
      <c r="M135" s="67">
        <f>IFERROR(L135/L148, "NA")</f>
        <v>0.03352833128</v>
      </c>
      <c r="N135" s="66">
        <f>IFERROR(N110+N111+N112+N113+N114+N115+N116+N117+N118+N119+N120+N121+N122+N123+N124+N125+N126+N127+N128+N129+N130+N131+N132+N133+N134, "NA")</f>
        <v>1150.29</v>
      </c>
      <c r="O135" s="67">
        <f>IFERROR(N135/N148, "NA")</f>
        <v>0.03055400094</v>
      </c>
      <c r="P135" s="66">
        <f>IFERROR(P110+P111+P112+P113+P114+P115+P116+P117+P118+P119+P120+P121+P122+P123+P124+P125+P126+P127+P128+P129+P130+P131+P132+P133+P134, "NA")</f>
        <v>-4556.41</v>
      </c>
      <c r="Q135" s="67">
        <f>IFERROR(P135/P148, "NA")</f>
        <v>-0.4376988488</v>
      </c>
      <c r="R135" s="66">
        <f>IFERROR(R110+R111+R112+R113+R114+R115+R116+R117+R118+R119+R120+R121+R122+R123+R124+R125+R126+R127+R128+R129+R130+R131+R132+R133+R134, "NA")</f>
        <v>1209.72</v>
      </c>
      <c r="S135" s="67">
        <f>IFERROR(R135/R148, "NA")</f>
        <v>0.06742689038</v>
      </c>
      <c r="T135" s="66">
        <f>IFERROR(T110+T111+T112+T113+T114+T115+T116+T117+T118+T119+T120+T121+T122+T123+T124+T125+T126+T127+T128+T129+T130+T131+T132+T133+T134, "NA")</f>
        <v>943.22</v>
      </c>
      <c r="U135" s="67">
        <f>IFERROR(T135/T148, "NA")</f>
        <v>0.02862649169</v>
      </c>
      <c r="V135" s="66">
        <f>IFERROR(V110+V111+V112+V113+V114+V115+V116+V117+V118+V119+V120+V121+V122+V123+V124+V125+V126+V127+V128+V129+V130+V131+V132+V133+V134, "NA")</f>
        <v>1158.57</v>
      </c>
      <c r="W135" s="67">
        <f>IFERROR(V135/V148, "NA")</f>
        <v>0.02909896365</v>
      </c>
      <c r="X135" s="66">
        <f>IFERROR(X110+X111+X112+X113+X114+X115+X116+X117+X118+X119+X120+X121+X122+X123+X124+X125+X126+X127+X128+X129+X130+X131+X132+X133+X134, "NA")</f>
        <v>937.84</v>
      </c>
      <c r="Y135" s="67">
        <f>IFERROR(X135/X148, "NA")</f>
        <v>0.02362352488</v>
      </c>
      <c r="Z135" s="66">
        <f>IFERROR(Z110+Z111+Z112+Z113+Z114+Z115+Z116+Z117+Z118+Z119+Z120+Z121+Z122+Z123+Z124+Z125+Z126+Z127+Z128+Z129+Z130+Z131+Z132+Z133+Z134, "NA")</f>
        <v>4249.35</v>
      </c>
      <c r="AA135" s="67">
        <f>IFERROR(Z135/Z148, "NA")</f>
        <v>0.03258588038</v>
      </c>
      <c r="AB135" s="66">
        <f t="shared" si="55"/>
        <v>1062.3375</v>
      </c>
      <c r="AC135" s="67">
        <f>IFERROR(AB135/AB148, "NA")</f>
        <v>0.03258588038</v>
      </c>
      <c r="AD135" s="75">
        <f t="shared" si="56"/>
        <v>-124.4975</v>
      </c>
      <c r="AE135" s="76">
        <f>IFERROR(AD135/AD148, "NA")</f>
        <v>-0.01753918219</v>
      </c>
      <c r="AF135" s="75">
        <f t="shared" si="57"/>
        <v>-0.1171920411</v>
      </c>
      <c r="AG135" s="66">
        <f t="shared" si="58"/>
        <v>421.825</v>
      </c>
      <c r="AH135" s="67">
        <f>IFERROR(AG135/AG148, "NA")</f>
        <v>0.01271099217</v>
      </c>
      <c r="AI135" s="75">
        <f t="shared" si="59"/>
        <v>516.015</v>
      </c>
      <c r="AJ135" s="76">
        <f>IFERROR(AI135/AI148, "NA")</f>
        <v>0.0792215785</v>
      </c>
      <c r="AK135" s="75">
        <f t="shared" si="60"/>
        <v>1.223291649</v>
      </c>
      <c r="AL135" s="76">
        <f>IFERROR(AK135/AK148, "NA")</f>
        <v>6.23252516</v>
      </c>
    </row>
    <row r="136" ht="16.5" hidden="1" customHeight="1">
      <c r="A136" s="123"/>
      <c r="B136" s="124"/>
      <c r="C136" s="74"/>
      <c r="D136" s="124"/>
      <c r="E136" s="74"/>
      <c r="F136" s="124"/>
      <c r="G136" s="74"/>
      <c r="H136" s="124"/>
      <c r="I136" s="74"/>
      <c r="J136" s="124"/>
      <c r="K136" s="74"/>
      <c r="L136" s="124"/>
      <c r="M136" s="74"/>
      <c r="N136" s="124"/>
      <c r="O136" s="74"/>
      <c r="P136" s="124"/>
      <c r="Q136" s="74"/>
      <c r="R136" s="124"/>
      <c r="S136" s="74"/>
      <c r="T136" s="124"/>
      <c r="U136" s="74"/>
      <c r="V136" s="124"/>
      <c r="W136" s="74"/>
      <c r="X136" s="124"/>
      <c r="Y136" s="74"/>
      <c r="Z136" s="124"/>
      <c r="AA136" s="74"/>
      <c r="AB136" s="124"/>
      <c r="AC136" s="74"/>
      <c r="AD136" s="125"/>
      <c r="AE136" s="80"/>
      <c r="AF136" s="125"/>
      <c r="AG136" s="124"/>
      <c r="AH136" s="74"/>
      <c r="AI136" s="125"/>
      <c r="AJ136" s="80"/>
      <c r="AK136" s="125"/>
      <c r="AL136" s="80"/>
    </row>
    <row r="137" ht="16.5" hidden="1" customHeight="1">
      <c r="A137" s="121" t="s">
        <v>246</v>
      </c>
      <c r="B137" s="122">
        <f>IFERROR(B107-B135, "NA")</f>
        <v>22291.32</v>
      </c>
      <c r="C137" s="94">
        <f>IFERROR(B137/B148, "NA")</f>
        <v>0.3629420499</v>
      </c>
      <c r="D137" s="122">
        <f>IFERROR(D107-D135, "NA")</f>
        <v>11502.63</v>
      </c>
      <c r="E137" s="94">
        <f>IFERROR(D137/D148, "NA")</f>
        <v>0.2010121356</v>
      </c>
      <c r="F137" s="122">
        <f>IFERROR(F107-F135, "NA")</f>
        <v>1397.45</v>
      </c>
      <c r="G137" s="94">
        <f>IFERROR(F137/F148, "NA")</f>
        <v>0.03385380013</v>
      </c>
      <c r="H137" s="122">
        <f>IFERROR(H107-H135, "NA")</f>
        <v>-1912.09</v>
      </c>
      <c r="I137" s="94">
        <f>IFERROR(H137/H148, "NA")</f>
        <v>-0.1097435268</v>
      </c>
      <c r="J137" s="122">
        <f>IFERROR(J107-J135, "NA")</f>
        <v>10461.02</v>
      </c>
      <c r="K137" s="94">
        <f>IFERROR(J137/J148, "NA")</f>
        <v>0.2170486503</v>
      </c>
      <c r="L137" s="122">
        <f>IFERROR(L107-L135, "NA")</f>
        <v>6551.41</v>
      </c>
      <c r="M137" s="94">
        <f>IFERROR(L137/L148, "NA")</f>
        <v>0.1687300529</v>
      </c>
      <c r="N137" s="122">
        <f>IFERROR(N107-N135, "NA")</f>
        <v>-1961.62</v>
      </c>
      <c r="O137" s="94">
        <f>IFERROR(N137/N148, "NA")</f>
        <v>-0.05210454696</v>
      </c>
      <c r="P137" s="122">
        <f>IFERROR(P107-P135, "NA")</f>
        <v>-12639.49</v>
      </c>
      <c r="Q137" s="94">
        <f>IFERROR(P137/P148, "NA")</f>
        <v>-1.214177438</v>
      </c>
      <c r="R137" s="122">
        <f>IFERROR(R107-R135, "NA")</f>
        <v>-560.52</v>
      </c>
      <c r="S137" s="94">
        <f>IFERROR(R137/R148, "NA")</f>
        <v>-0.03124203997</v>
      </c>
      <c r="T137" s="122">
        <f>IFERROR(T107-T135, "NA")</f>
        <v>5570.9</v>
      </c>
      <c r="U137" s="94">
        <f>IFERROR(T137/T148, "NA")</f>
        <v>0.1690754252</v>
      </c>
      <c r="V137" s="122">
        <f>IFERROR(V107-V135, "NA")</f>
        <v>517.64</v>
      </c>
      <c r="W137" s="94">
        <f>IFERROR(V137/V148, "NA")</f>
        <v>0.013001189</v>
      </c>
      <c r="X137" s="122">
        <f>IFERROR(X107-X135, "NA")</f>
        <v>-347.04</v>
      </c>
      <c r="Y137" s="94">
        <f>IFERROR(X137/X148, "NA")</f>
        <v>-0.008741691627</v>
      </c>
      <c r="Z137" s="122">
        <f>IFERROR(Z107-Z135, "NA")</f>
        <v>5180.98</v>
      </c>
      <c r="AA137" s="94">
        <f>IFERROR(Z137/Z148, "NA")</f>
        <v>0.03973002801</v>
      </c>
      <c r="AB137" s="122">
        <f>IFERROR((R137+T137+V137+X137)/4, "NA")</f>
        <v>1295.245</v>
      </c>
      <c r="AC137" s="94">
        <f>IFERROR(AB137/AB148, "NA")</f>
        <v>0.03973002801</v>
      </c>
      <c r="AD137" s="75">
        <f>IFERROR(X137-AB137, "NA")</f>
        <v>-1642.285</v>
      </c>
      <c r="AE137" s="76">
        <f>IFERROR(AD137/AD148, "NA")</f>
        <v>-0.231364773</v>
      </c>
      <c r="AF137" s="75">
        <f>IFERROR((X137-AB137)/AB137, "NA")</f>
        <v>-1.267933866</v>
      </c>
      <c r="AG137" s="122">
        <f>IFERROR((J137+L137+N137+P137+R137+T137+V137+X137)/8, "NA")</f>
        <v>949.0375</v>
      </c>
      <c r="AH137" s="94">
        <f>IFERROR(AG137/AG148, "NA")</f>
        <v>0.02859766071</v>
      </c>
      <c r="AI137" s="75">
        <f>IFERROR(X137-AG137, "NA")</f>
        <v>-1296.0775</v>
      </c>
      <c r="AJ137" s="76">
        <f>IFERROR(AI137/AI148, "NA")</f>
        <v>-0.1989812417</v>
      </c>
      <c r="AK137" s="75">
        <f>IFERROR((X137-AG137)/AG137, "NA")</f>
        <v>-1.36567575</v>
      </c>
      <c r="AL137" s="76">
        <f>IFERROR(AK137/AK148, "NA")</f>
        <v>-6.957955186</v>
      </c>
    </row>
    <row r="138" ht="3.75" hidden="1" customHeight="1">
      <c r="A138" s="123"/>
      <c r="B138" s="124"/>
      <c r="C138" s="74"/>
      <c r="D138" s="124"/>
      <c r="E138" s="74"/>
      <c r="F138" s="124"/>
      <c r="G138" s="74"/>
      <c r="H138" s="124"/>
      <c r="I138" s="74"/>
      <c r="J138" s="124"/>
      <c r="K138" s="74"/>
      <c r="L138" s="124"/>
      <c r="M138" s="74"/>
      <c r="N138" s="124"/>
      <c r="O138" s="74"/>
      <c r="P138" s="124"/>
      <c r="Q138" s="74"/>
      <c r="R138" s="124"/>
      <c r="S138" s="74"/>
      <c r="T138" s="124"/>
      <c r="U138" s="74"/>
      <c r="V138" s="124"/>
      <c r="W138" s="74"/>
      <c r="X138" s="124"/>
      <c r="Y138" s="74"/>
      <c r="Z138" s="124"/>
      <c r="AA138" s="74"/>
      <c r="AB138" s="124"/>
      <c r="AC138" s="74"/>
      <c r="AD138" s="125"/>
      <c r="AE138" s="80"/>
      <c r="AF138" s="125"/>
      <c r="AG138" s="124"/>
      <c r="AH138" s="74"/>
      <c r="AI138" s="125"/>
      <c r="AJ138" s="80"/>
      <c r="AK138" s="125"/>
      <c r="AL138" s="80"/>
    </row>
    <row r="139" ht="16.5" hidden="1" customHeight="1">
      <c r="A139" s="13" t="s">
        <v>247</v>
      </c>
      <c r="B139" s="14"/>
      <c r="C139" s="12"/>
      <c r="D139" s="14"/>
      <c r="E139" s="12"/>
      <c r="F139" s="14"/>
      <c r="G139" s="12"/>
      <c r="H139" s="14"/>
      <c r="I139" s="12"/>
      <c r="J139" s="14"/>
      <c r="K139" s="12"/>
      <c r="L139" s="14"/>
      <c r="M139" s="12"/>
      <c r="N139" s="14"/>
      <c r="O139" s="12"/>
      <c r="P139" s="14"/>
      <c r="Q139" s="12"/>
      <c r="R139" s="14"/>
      <c r="S139" s="12"/>
      <c r="T139" s="14"/>
      <c r="U139" s="12"/>
      <c r="V139" s="14"/>
      <c r="W139" s="12"/>
      <c r="X139" s="14"/>
      <c r="Y139" s="12"/>
      <c r="Z139" s="14"/>
      <c r="AA139" s="12"/>
      <c r="AB139" s="14"/>
      <c r="AC139" s="12"/>
      <c r="AD139" s="17"/>
      <c r="AE139" s="18"/>
      <c r="AF139" s="17"/>
      <c r="AG139" s="14"/>
      <c r="AH139" s="12"/>
      <c r="AI139" s="17"/>
      <c r="AJ139" s="18"/>
      <c r="AK139" s="17"/>
      <c r="AL139" s="18"/>
    </row>
    <row r="140" ht="16.5" hidden="1" customHeight="1">
      <c r="A140" s="19" t="s">
        <v>248</v>
      </c>
      <c r="B140" s="21">
        <v>0.0</v>
      </c>
      <c r="C140" s="23">
        <f>IFERROR(B140/B148, "NA")</f>
        <v>0</v>
      </c>
      <c r="D140" s="21">
        <v>0.0</v>
      </c>
      <c r="E140" s="23">
        <f>IFERROR(D140/D148, "NA")</f>
        <v>0</v>
      </c>
      <c r="F140" s="21">
        <v>4119.52</v>
      </c>
      <c r="G140" s="23">
        <f>IFERROR(F140/F148, "NA")</f>
        <v>0.09979706373</v>
      </c>
      <c r="H140" s="21">
        <v>-0.48</v>
      </c>
      <c r="I140" s="23">
        <f>IFERROR(H140/H148, "NA")</f>
        <v>-0.00002754937939</v>
      </c>
      <c r="J140" s="21">
        <v>-3.2</v>
      </c>
      <c r="K140" s="23">
        <f>IFERROR(J140/J148, "NA")</f>
        <v>-0.00006639464228</v>
      </c>
      <c r="L140" s="21">
        <v>0.0</v>
      </c>
      <c r="M140" s="23">
        <f>IFERROR(L140/L148, "NA")</f>
        <v>0</v>
      </c>
      <c r="N140" s="21">
        <v>0.0</v>
      </c>
      <c r="O140" s="23">
        <f>IFERROR(N140/N148, "NA")</f>
        <v>0</v>
      </c>
      <c r="P140" s="21">
        <v>4009.52</v>
      </c>
      <c r="Q140" s="23">
        <f>IFERROR(P140/P148, "NA")</f>
        <v>0.3851633826</v>
      </c>
      <c r="R140" s="21">
        <v>-21.72</v>
      </c>
      <c r="S140" s="23">
        <f>IFERROR(R140/R148, "NA")</f>
        <v>-0.001210620688</v>
      </c>
      <c r="T140" s="21">
        <v>0.0</v>
      </c>
      <c r="U140" s="23">
        <f>IFERROR(T140/T148, "NA")</f>
        <v>0</v>
      </c>
      <c r="V140" s="21">
        <v>0.0</v>
      </c>
      <c r="W140" s="23">
        <f>IFERROR(V140/V148, "NA")</f>
        <v>0</v>
      </c>
      <c r="X140" s="21">
        <v>0.0</v>
      </c>
      <c r="Y140" s="23">
        <f>IFERROR(X140/X148, "NA")</f>
        <v>0</v>
      </c>
      <c r="Z140" s="21">
        <v>-21.72</v>
      </c>
      <c r="AA140" s="23">
        <f>IFERROR(Z140/Z148, "NA")</f>
        <v>-0.0001665584906</v>
      </c>
      <c r="AB140" s="28">
        <f t="shared" ref="AB140:AB141" si="61">IFERROR((R140+T140+V140+X140)/4, "NA")</f>
        <v>-5.43</v>
      </c>
      <c r="AC140" s="23">
        <f>IFERROR(AB140/AB148, "NA")</f>
        <v>-0.0001665584906</v>
      </c>
      <c r="AD140" s="29">
        <f t="shared" ref="AD140:AD141" si="62">IFERROR(X140-AB140, "NA")</f>
        <v>5.43</v>
      </c>
      <c r="AE140" s="30">
        <f>IFERROR(AD140/AD148, "NA")</f>
        <v>0.0007649772831</v>
      </c>
      <c r="AF140" s="29">
        <f t="shared" ref="AF140:AF141" si="63">IFERROR((X140-AB140)/AB140, "NA")</f>
        <v>-1</v>
      </c>
      <c r="AG140" s="28">
        <f t="shared" ref="AG140:AG141" si="64">IFERROR((J140+L140+N140+P140+R140+T140+V140+X140)/8, "NA")</f>
        <v>498.075</v>
      </c>
      <c r="AH140" s="23">
        <f>IFERROR(AG140/AG148, "NA")</f>
        <v>0.01500865862</v>
      </c>
      <c r="AI140" s="29">
        <f t="shared" ref="AI140:AI141" si="65">IFERROR(X140-AG140, "NA")</f>
        <v>-498.075</v>
      </c>
      <c r="AJ140" s="30">
        <f>IFERROR(AI140/AI148, "NA")</f>
        <v>-0.07646732694</v>
      </c>
      <c r="AK140" s="29">
        <f t="shared" ref="AK140:AK141" si="66">IFERROR((X140-AG140)/AG140, "NA")</f>
        <v>-1</v>
      </c>
      <c r="AL140" s="30">
        <f>IFERROR(AK140/AK148, "NA")</f>
        <v>-5.094880819</v>
      </c>
    </row>
    <row r="141" ht="16.5" hidden="1" customHeight="1">
      <c r="A141" s="65" t="s">
        <v>249</v>
      </c>
      <c r="B141" s="66">
        <f>IFERROR(B140, "NA")</f>
        <v>0</v>
      </c>
      <c r="C141" s="67">
        <f>IFERROR(B141/B148, "NA")</f>
        <v>0</v>
      </c>
      <c r="D141" s="66">
        <f>IFERROR(D140, "NA")</f>
        <v>0</v>
      </c>
      <c r="E141" s="67">
        <f>IFERROR(D141/D148, "NA")</f>
        <v>0</v>
      </c>
      <c r="F141" s="66">
        <f>IFERROR(F140, "NA")</f>
        <v>4119.52</v>
      </c>
      <c r="G141" s="67">
        <f>IFERROR(F141/F148, "NA")</f>
        <v>0.09979706373</v>
      </c>
      <c r="H141" s="66">
        <f>IFERROR(H140, "NA")</f>
        <v>-0.48</v>
      </c>
      <c r="I141" s="67">
        <f>IFERROR(H141/H148, "NA")</f>
        <v>-0.00002754937939</v>
      </c>
      <c r="J141" s="66">
        <f>IFERROR(J140, "NA")</f>
        <v>-3.2</v>
      </c>
      <c r="K141" s="67">
        <f>IFERROR(J141/J148, "NA")</f>
        <v>-0.00006639464228</v>
      </c>
      <c r="L141" s="66">
        <f>IFERROR(L140, "NA")</f>
        <v>0</v>
      </c>
      <c r="M141" s="67">
        <f>IFERROR(L141/L148, "NA")</f>
        <v>0</v>
      </c>
      <c r="N141" s="66">
        <f>IFERROR(N140, "NA")</f>
        <v>0</v>
      </c>
      <c r="O141" s="67">
        <f>IFERROR(N141/N148, "NA")</f>
        <v>0</v>
      </c>
      <c r="P141" s="66">
        <f>IFERROR(P140, "NA")</f>
        <v>4009.52</v>
      </c>
      <c r="Q141" s="67">
        <f>IFERROR(P141/P148, "NA")</f>
        <v>0.3851633826</v>
      </c>
      <c r="R141" s="66">
        <f>IFERROR(R140, "NA")</f>
        <v>-21.72</v>
      </c>
      <c r="S141" s="67">
        <f>IFERROR(R141/R148, "NA")</f>
        <v>-0.001210620688</v>
      </c>
      <c r="T141" s="66">
        <f>IFERROR(T140, "NA")</f>
        <v>0</v>
      </c>
      <c r="U141" s="67">
        <f>IFERROR(T141/T148, "NA")</f>
        <v>0</v>
      </c>
      <c r="V141" s="66">
        <f>IFERROR(V140, "NA")</f>
        <v>0</v>
      </c>
      <c r="W141" s="67">
        <f>IFERROR(V141/V148, "NA")</f>
        <v>0</v>
      </c>
      <c r="X141" s="66">
        <f>IFERROR(X140, "NA")</f>
        <v>0</v>
      </c>
      <c r="Y141" s="67">
        <f>IFERROR(X141/X148, "NA")</f>
        <v>0</v>
      </c>
      <c r="Z141" s="66">
        <f>IFERROR(Z140, "NA")</f>
        <v>-21.72</v>
      </c>
      <c r="AA141" s="67">
        <f>IFERROR(Z141/Z148, "NA")</f>
        <v>-0.0001665584906</v>
      </c>
      <c r="AB141" s="66">
        <f t="shared" si="61"/>
        <v>-5.43</v>
      </c>
      <c r="AC141" s="67">
        <f>IFERROR(AB141/AB148, "NA")</f>
        <v>-0.0001665584906</v>
      </c>
      <c r="AD141" s="75">
        <f t="shared" si="62"/>
        <v>5.43</v>
      </c>
      <c r="AE141" s="76">
        <f>IFERROR(AD141/AD148, "NA")</f>
        <v>0.0007649772831</v>
      </c>
      <c r="AF141" s="75">
        <f t="shared" si="63"/>
        <v>-1</v>
      </c>
      <c r="AG141" s="66">
        <f t="shared" si="64"/>
        <v>498.075</v>
      </c>
      <c r="AH141" s="67">
        <f>IFERROR(AG141/AG148, "NA")</f>
        <v>0.01500865862</v>
      </c>
      <c r="AI141" s="75">
        <f t="shared" si="65"/>
        <v>-498.075</v>
      </c>
      <c r="AJ141" s="76">
        <f>IFERROR(AI141/AI148, "NA")</f>
        <v>-0.07646732694</v>
      </c>
      <c r="AK141" s="75">
        <f t="shared" si="66"/>
        <v>-1</v>
      </c>
      <c r="AL141" s="76">
        <f>IFERROR(AK141/AK148, "NA")</f>
        <v>-5.094880819</v>
      </c>
    </row>
    <row r="142" ht="3.75" hidden="1" customHeight="1">
      <c r="A142" s="123"/>
      <c r="B142" s="124"/>
      <c r="C142" s="74"/>
      <c r="D142" s="124"/>
      <c r="E142" s="74"/>
      <c r="F142" s="124"/>
      <c r="G142" s="74"/>
      <c r="H142" s="124"/>
      <c r="I142" s="74"/>
      <c r="J142" s="124"/>
      <c r="K142" s="74"/>
      <c r="L142" s="124"/>
      <c r="M142" s="74"/>
      <c r="N142" s="124"/>
      <c r="O142" s="74"/>
      <c r="P142" s="124"/>
      <c r="Q142" s="74"/>
      <c r="R142" s="124"/>
      <c r="S142" s="74"/>
      <c r="T142" s="124"/>
      <c r="U142" s="74"/>
      <c r="V142" s="124"/>
      <c r="W142" s="74"/>
      <c r="X142" s="124"/>
      <c r="Y142" s="74"/>
      <c r="Z142" s="124"/>
      <c r="AA142" s="74"/>
      <c r="AB142" s="124"/>
      <c r="AC142" s="74"/>
      <c r="AD142" s="125"/>
      <c r="AE142" s="80"/>
      <c r="AF142" s="125"/>
      <c r="AG142" s="124"/>
      <c r="AH142" s="74"/>
      <c r="AI142" s="125"/>
      <c r="AJ142" s="80"/>
      <c r="AK142" s="125"/>
      <c r="AL142" s="80"/>
    </row>
    <row r="143" ht="16.5" hidden="1" customHeight="1">
      <c r="A143" s="13" t="s">
        <v>250</v>
      </c>
      <c r="B143" s="14"/>
      <c r="C143" s="12"/>
      <c r="D143" s="14"/>
      <c r="E143" s="12"/>
      <c r="F143" s="14"/>
      <c r="G143" s="12"/>
      <c r="H143" s="14"/>
      <c r="I143" s="12"/>
      <c r="J143" s="14"/>
      <c r="K143" s="12"/>
      <c r="L143" s="14"/>
      <c r="M143" s="12"/>
      <c r="N143" s="14"/>
      <c r="O143" s="12"/>
      <c r="P143" s="14"/>
      <c r="Q143" s="12"/>
      <c r="R143" s="14"/>
      <c r="S143" s="12"/>
      <c r="T143" s="14"/>
      <c r="U143" s="12"/>
      <c r="V143" s="14"/>
      <c r="W143" s="12"/>
      <c r="X143" s="14"/>
      <c r="Y143" s="12"/>
      <c r="Z143" s="14"/>
      <c r="AA143" s="12"/>
      <c r="AB143" s="14"/>
      <c r="AC143" s="12"/>
      <c r="AD143" s="17"/>
      <c r="AE143" s="18"/>
      <c r="AF143" s="17"/>
      <c r="AG143" s="14"/>
      <c r="AH143" s="12"/>
      <c r="AI143" s="17"/>
      <c r="AJ143" s="18"/>
      <c r="AK143" s="17"/>
      <c r="AL143" s="18"/>
    </row>
    <row r="144" ht="16.5" hidden="1" customHeight="1">
      <c r="A144" s="19" t="s">
        <v>251</v>
      </c>
      <c r="B144" s="21">
        <v>0.0</v>
      </c>
      <c r="C144" s="23">
        <f>IFERROR(B144/B148, "NA")</f>
        <v>0</v>
      </c>
      <c r="D144" s="21">
        <v>0.0</v>
      </c>
      <c r="E144" s="23">
        <f>IFERROR(D144/D148, "NA")</f>
        <v>0</v>
      </c>
      <c r="F144" s="21">
        <v>0.0</v>
      </c>
      <c r="G144" s="23">
        <f>IFERROR(F144/F148, "NA")</f>
        <v>0</v>
      </c>
      <c r="H144" s="21">
        <v>0.0</v>
      </c>
      <c r="I144" s="23">
        <f>IFERROR(H144/H148, "NA")</f>
        <v>0</v>
      </c>
      <c r="J144" s="21">
        <v>0.0</v>
      </c>
      <c r="K144" s="23">
        <f>IFERROR(J144/J148, "NA")</f>
        <v>0</v>
      </c>
      <c r="L144" s="21">
        <v>0.0</v>
      </c>
      <c r="M144" s="23">
        <f>IFERROR(L144/L148, "NA")</f>
        <v>0</v>
      </c>
      <c r="N144" s="21">
        <v>0.0</v>
      </c>
      <c r="O144" s="23">
        <f>IFERROR(N144/N148, "NA")</f>
        <v>0</v>
      </c>
      <c r="P144" s="21">
        <v>0.0</v>
      </c>
      <c r="Q144" s="23">
        <f>IFERROR(P144/P148, "NA")</f>
        <v>0</v>
      </c>
      <c r="R144" s="21">
        <v>0.0</v>
      </c>
      <c r="S144" s="23">
        <f>IFERROR(R144/R148, "NA")</f>
        <v>0</v>
      </c>
      <c r="T144" s="21">
        <v>0.0</v>
      </c>
      <c r="U144" s="23">
        <f>IFERROR(T144/T148, "NA")</f>
        <v>0</v>
      </c>
      <c r="V144" s="21">
        <v>0.0</v>
      </c>
      <c r="W144" s="23">
        <f>IFERROR(V144/V148, "NA")</f>
        <v>0</v>
      </c>
      <c r="X144" s="21">
        <v>0.0</v>
      </c>
      <c r="Y144" s="23">
        <f>IFERROR(X144/X148, "NA")</f>
        <v>0</v>
      </c>
      <c r="Z144" s="21">
        <v>0.0</v>
      </c>
      <c r="AA144" s="23">
        <f>IFERROR(Z144/Z148, "NA")</f>
        <v>0</v>
      </c>
      <c r="AB144" s="28">
        <f t="shared" ref="AB144:AB145" si="67">IFERROR((R144+T144+V144+X144)/4, "NA")</f>
        <v>0</v>
      </c>
      <c r="AC144" s="23">
        <f>IFERROR(AB144/AB148, "NA")</f>
        <v>0</v>
      </c>
      <c r="AD144" s="29">
        <f t="shared" ref="AD144:AD145" si="68">IFERROR(X144-AB144, "NA")</f>
        <v>0</v>
      </c>
      <c r="AE144" s="30">
        <f>IFERROR(AD144/AD148, "NA")</f>
        <v>0</v>
      </c>
      <c r="AF144" s="29" t="str">
        <f t="shared" ref="AF144:AF145" si="69">IFERROR((X144-AB144)/AB144, "NA")</f>
        <v>NA</v>
      </c>
      <c r="AG144" s="28">
        <f t="shared" ref="AG144:AG145" si="70">IFERROR((J144+L144+N144+P144+R144+T144+V144+X144)/8, "NA")</f>
        <v>0</v>
      </c>
      <c r="AH144" s="23">
        <f>IFERROR(AG144/AG148, "NA")</f>
        <v>0</v>
      </c>
      <c r="AI144" s="29">
        <f t="shared" ref="AI144:AI145" si="71">IFERROR(X144-AG144, "NA")</f>
        <v>0</v>
      </c>
      <c r="AJ144" s="30">
        <f>IFERROR(AI144/AI148, "NA")</f>
        <v>0</v>
      </c>
      <c r="AK144" s="29" t="str">
        <f t="shared" ref="AK144:AK145" si="72">IFERROR((X144-AG144)/AG144, "NA")</f>
        <v>NA</v>
      </c>
      <c r="AL144" s="30" t="str">
        <f>IFERROR(AK144/AK148, "NA")</f>
        <v>NA</v>
      </c>
    </row>
    <row r="145" ht="16.5" hidden="1" customHeight="1">
      <c r="A145" s="65" t="s">
        <v>252</v>
      </c>
      <c r="B145" s="66">
        <f>IFERROR(B144, "NA")</f>
        <v>0</v>
      </c>
      <c r="C145" s="67">
        <f>IFERROR(B145/B148, "NA")</f>
        <v>0</v>
      </c>
      <c r="D145" s="66">
        <f>IFERROR(D144, "NA")</f>
        <v>0</v>
      </c>
      <c r="E145" s="67">
        <f>IFERROR(D145/D148, "NA")</f>
        <v>0</v>
      </c>
      <c r="F145" s="66">
        <f>IFERROR(F144, "NA")</f>
        <v>0</v>
      </c>
      <c r="G145" s="67">
        <f>IFERROR(F145/F148, "NA")</f>
        <v>0</v>
      </c>
      <c r="H145" s="66">
        <f>IFERROR(H144, "NA")</f>
        <v>0</v>
      </c>
      <c r="I145" s="67">
        <f>IFERROR(H145/H148, "NA")</f>
        <v>0</v>
      </c>
      <c r="J145" s="66">
        <f>IFERROR(J144, "NA")</f>
        <v>0</v>
      </c>
      <c r="K145" s="67">
        <f>IFERROR(J145/J148, "NA")</f>
        <v>0</v>
      </c>
      <c r="L145" s="66">
        <f>IFERROR(L144, "NA")</f>
        <v>0</v>
      </c>
      <c r="M145" s="67">
        <f>IFERROR(L145/L148, "NA")</f>
        <v>0</v>
      </c>
      <c r="N145" s="66">
        <f>IFERROR(N144, "NA")</f>
        <v>0</v>
      </c>
      <c r="O145" s="67">
        <f>IFERROR(N145/N148, "NA")</f>
        <v>0</v>
      </c>
      <c r="P145" s="66">
        <f>IFERROR(P144, "NA")</f>
        <v>0</v>
      </c>
      <c r="Q145" s="67">
        <f>IFERROR(P145/P148, "NA")</f>
        <v>0</v>
      </c>
      <c r="R145" s="66">
        <f>IFERROR(R144, "NA")</f>
        <v>0</v>
      </c>
      <c r="S145" s="67">
        <f>IFERROR(R145/R148, "NA")</f>
        <v>0</v>
      </c>
      <c r="T145" s="66">
        <f>IFERROR(T144, "NA")</f>
        <v>0</v>
      </c>
      <c r="U145" s="67">
        <f>IFERROR(T145/T148, "NA")</f>
        <v>0</v>
      </c>
      <c r="V145" s="66">
        <f>IFERROR(V144, "NA")</f>
        <v>0</v>
      </c>
      <c r="W145" s="67">
        <f>IFERROR(V145/V148, "NA")</f>
        <v>0</v>
      </c>
      <c r="X145" s="66">
        <f>IFERROR(X144, "NA")</f>
        <v>0</v>
      </c>
      <c r="Y145" s="67">
        <f>IFERROR(X145/X148, "NA")</f>
        <v>0</v>
      </c>
      <c r="Z145" s="66">
        <f>IFERROR(Z144, "NA")</f>
        <v>0</v>
      </c>
      <c r="AA145" s="67">
        <f>IFERROR(Z145/Z148, "NA")</f>
        <v>0</v>
      </c>
      <c r="AB145" s="66">
        <f t="shared" si="67"/>
        <v>0</v>
      </c>
      <c r="AC145" s="67">
        <f>IFERROR(AB145/AB148, "NA")</f>
        <v>0</v>
      </c>
      <c r="AD145" s="75">
        <f t="shared" si="68"/>
        <v>0</v>
      </c>
      <c r="AE145" s="76">
        <f>IFERROR(AD145/AD148, "NA")</f>
        <v>0</v>
      </c>
      <c r="AF145" s="75" t="str">
        <f t="shared" si="69"/>
        <v>NA</v>
      </c>
      <c r="AG145" s="66">
        <f t="shared" si="70"/>
        <v>0</v>
      </c>
      <c r="AH145" s="67">
        <f>IFERROR(AG145/AG148, "NA")</f>
        <v>0</v>
      </c>
      <c r="AI145" s="75">
        <f t="shared" si="71"/>
        <v>0</v>
      </c>
      <c r="AJ145" s="76">
        <f>IFERROR(AI145/AI148, "NA")</f>
        <v>0</v>
      </c>
      <c r="AK145" s="75" t="str">
        <f t="shared" si="72"/>
        <v>NA</v>
      </c>
      <c r="AL145" s="76" t="str">
        <f>IFERROR(AK145/AK148, "NA")</f>
        <v>NA</v>
      </c>
    </row>
    <row r="146" ht="3.75" hidden="1" customHeight="1">
      <c r="A146" s="123"/>
      <c r="B146" s="124"/>
      <c r="C146" s="74"/>
      <c r="D146" s="124"/>
      <c r="E146" s="74"/>
      <c r="F146" s="124"/>
      <c r="G146" s="74"/>
      <c r="H146" s="124"/>
      <c r="I146" s="74"/>
      <c r="J146" s="124"/>
      <c r="K146" s="74"/>
      <c r="L146" s="124"/>
      <c r="M146" s="74"/>
      <c r="N146" s="124"/>
      <c r="O146" s="74"/>
      <c r="P146" s="124"/>
      <c r="Q146" s="74"/>
      <c r="R146" s="124"/>
      <c r="S146" s="74"/>
      <c r="T146" s="124"/>
      <c r="U146" s="74"/>
      <c r="V146" s="124"/>
      <c r="W146" s="74"/>
      <c r="X146" s="124"/>
      <c r="Y146" s="74"/>
      <c r="Z146" s="124"/>
      <c r="AA146" s="74"/>
      <c r="AB146" s="124"/>
      <c r="AC146" s="74"/>
      <c r="AD146" s="125"/>
      <c r="AE146" s="80"/>
      <c r="AF146" s="125"/>
      <c r="AG146" s="124"/>
      <c r="AH146" s="74"/>
      <c r="AI146" s="125"/>
      <c r="AJ146" s="80"/>
      <c r="AK146" s="125"/>
      <c r="AL146" s="80"/>
    </row>
    <row r="147" ht="16.5" hidden="1" customHeight="1">
      <c r="A147" s="121" t="s">
        <v>253</v>
      </c>
      <c r="B147" s="122">
        <f>IFERROR(B137-B141-B145, "NA")</f>
        <v>22291.32</v>
      </c>
      <c r="C147" s="94">
        <f>IFERROR(B147/B148, "NA")</f>
        <v>0.3629420499</v>
      </c>
      <c r="D147" s="122">
        <f>IFERROR(D137-D141-D145, "NA")</f>
        <v>11502.63</v>
      </c>
      <c r="E147" s="94">
        <f>IFERROR(D147/D148, "NA")</f>
        <v>0.2010121356</v>
      </c>
      <c r="F147" s="122">
        <f>IFERROR(F137-F141-F145, "NA")</f>
        <v>-2722.07</v>
      </c>
      <c r="G147" s="94">
        <f>IFERROR(F147/F148, "NA")</f>
        <v>-0.0659432636</v>
      </c>
      <c r="H147" s="122">
        <f>IFERROR(H137-H141-H145, "NA")</f>
        <v>-1911.61</v>
      </c>
      <c r="I147" s="94">
        <f>IFERROR(H147/H148, "NA")</f>
        <v>-0.1097159774</v>
      </c>
      <c r="J147" s="122">
        <f>IFERROR(J137-J141-J145, "NA")</f>
        <v>10464.22</v>
      </c>
      <c r="K147" s="94">
        <f>IFERROR(J147/J148, "NA")</f>
        <v>0.2171150449</v>
      </c>
      <c r="L147" s="122">
        <f>IFERROR(L137-L141-L145, "NA")</f>
        <v>6551.41</v>
      </c>
      <c r="M147" s="94">
        <f>IFERROR(L147/L148, "NA")</f>
        <v>0.1687300529</v>
      </c>
      <c r="N147" s="122">
        <f>IFERROR(N137-N141-N145, "NA")</f>
        <v>-1961.62</v>
      </c>
      <c r="O147" s="94">
        <f>IFERROR(N147/N148, "NA")</f>
        <v>-0.05210454696</v>
      </c>
      <c r="P147" s="122">
        <f>IFERROR(P137-P141-P145, "NA")</f>
        <v>-16649.01</v>
      </c>
      <c r="Q147" s="94">
        <f>IFERROR(P147/P148, "NA")</f>
        <v>-1.599340821</v>
      </c>
      <c r="R147" s="122">
        <f>IFERROR(R137-R141-R145, "NA")</f>
        <v>-538.8</v>
      </c>
      <c r="S147" s="94">
        <f>IFERROR(R147/R148, "NA")</f>
        <v>-0.03003141929</v>
      </c>
      <c r="T147" s="122">
        <f>IFERROR(T137-T141-T145, "NA")</f>
        <v>5570.9</v>
      </c>
      <c r="U147" s="94">
        <f>IFERROR(T147/T148, "NA")</f>
        <v>0.1690754252</v>
      </c>
      <c r="V147" s="122">
        <f>IFERROR(V137-V141-V145, "NA")</f>
        <v>517.64</v>
      </c>
      <c r="W147" s="94">
        <f>IFERROR(V147/V148, "NA")</f>
        <v>0.013001189</v>
      </c>
      <c r="X147" s="122">
        <f>IFERROR(X137-X141-X145, "NA")</f>
        <v>-347.04</v>
      </c>
      <c r="Y147" s="94">
        <f>IFERROR(X147/X148, "NA")</f>
        <v>-0.008741691627</v>
      </c>
      <c r="Z147" s="122">
        <f>IFERROR(Z137-Z141-Z145, "NA")</f>
        <v>5202.7</v>
      </c>
      <c r="AA147" s="94">
        <f>IFERROR(Z147/Z148, "NA")</f>
        <v>0.0398965865</v>
      </c>
      <c r="AB147" s="122">
        <f t="shared" ref="AB147:AB148" si="73">IFERROR((R147+T147+V147+X147)/4, "NA")</f>
        <v>1300.675</v>
      </c>
      <c r="AC147" s="94">
        <f>IFERROR(AB147/AB148, "NA")</f>
        <v>0.0398965865</v>
      </c>
      <c r="AD147" s="75">
        <f t="shared" ref="AD147:AD148" si="74">IFERROR(X147-AB147, "NA")</f>
        <v>-1647.715</v>
      </c>
      <c r="AE147" s="76">
        <f>IFERROR(AD147/AD148, "NA")</f>
        <v>-0.2321297503</v>
      </c>
      <c r="AF147" s="75">
        <f t="shared" ref="AF147:AF148" si="75">IFERROR((X147-AB147)/AB147, "NA")</f>
        <v>-1.266815307</v>
      </c>
      <c r="AG147" s="122">
        <f t="shared" ref="AG147:AG148" si="76">IFERROR((J147+L147+N147+P147+R147+T147+V147+X147)/8, "NA")</f>
        <v>450.9625</v>
      </c>
      <c r="AH147" s="94">
        <f>IFERROR(AG147/AG148, "NA")</f>
        <v>0.01358900209</v>
      </c>
      <c r="AI147" s="75">
        <f t="shared" ref="AI147:AI148" si="77">IFERROR(X147-AG147, "NA")</f>
        <v>-798.0025</v>
      </c>
      <c r="AJ147" s="76">
        <f>IFERROR(AI147/AI148, "NA")</f>
        <v>-0.1225139147</v>
      </c>
      <c r="AK147" s="75">
        <f t="shared" ref="AK147:AK148" si="78">IFERROR((X147-AG147)/AG147, "NA")</f>
        <v>-1.769554009</v>
      </c>
      <c r="AL147" s="76">
        <f>IFERROR(AK147/AK148, "NA")</f>
        <v>-9.015666781</v>
      </c>
    </row>
    <row r="148" ht="14.25" hidden="1" customHeight="1">
      <c r="A148" s="19" t="s">
        <v>54</v>
      </c>
      <c r="B148" s="21">
        <v>61418.4</v>
      </c>
      <c r="C148" s="128"/>
      <c r="D148" s="21">
        <v>57223.56</v>
      </c>
      <c r="E148" s="128"/>
      <c r="F148" s="21">
        <v>41278.97</v>
      </c>
      <c r="G148" s="128"/>
      <c r="H148" s="21">
        <v>17423.26</v>
      </c>
      <c r="I148" s="128"/>
      <c r="J148" s="21">
        <v>48196.66</v>
      </c>
      <c r="K148" s="128"/>
      <c r="L148" s="21">
        <v>38827.76</v>
      </c>
      <c r="M148" s="128"/>
      <c r="N148" s="21">
        <v>37647.77</v>
      </c>
      <c r="O148" s="128"/>
      <c r="P148" s="21">
        <v>10409.92</v>
      </c>
      <c r="Q148" s="128"/>
      <c r="R148" s="21">
        <v>17941.21</v>
      </c>
      <c r="S148" s="128"/>
      <c r="T148" s="21">
        <v>32949.2</v>
      </c>
      <c r="U148" s="128"/>
      <c r="V148" s="21">
        <v>39814.82</v>
      </c>
      <c r="W148" s="128"/>
      <c r="X148" s="21">
        <v>39699.41</v>
      </c>
      <c r="Y148" s="128"/>
      <c r="Z148" s="21">
        <v>130404.64</v>
      </c>
      <c r="AA148" s="128"/>
      <c r="AB148" s="28">
        <f t="shared" si="73"/>
        <v>32601.16</v>
      </c>
      <c r="AC148" s="128"/>
      <c r="AD148" s="29">
        <f t="shared" si="74"/>
        <v>7098.25</v>
      </c>
      <c r="AE148" s="129"/>
      <c r="AF148" s="29">
        <f t="shared" si="75"/>
        <v>0.2177299826</v>
      </c>
      <c r="AG148" s="28">
        <f t="shared" si="76"/>
        <v>33185.84375</v>
      </c>
      <c r="AH148" s="128"/>
      <c r="AI148" s="29">
        <f t="shared" si="77"/>
        <v>6513.56625</v>
      </c>
      <c r="AJ148" s="129"/>
      <c r="AK148" s="29">
        <f t="shared" si="78"/>
        <v>0.196275445</v>
      </c>
      <c r="AL148" s="129"/>
    </row>
    <row r="149" ht="14.25" customHeight="1"/>
    <row r="150" ht="14.25" customHeight="1"/>
    <row r="151" ht="14.25" customHeight="1">
      <c r="A151" s="130" t="s">
        <v>254</v>
      </c>
    </row>
    <row r="152" ht="14.25" customHeight="1">
      <c r="A152" s="130" t="s">
        <v>255</v>
      </c>
    </row>
    <row r="153" ht="14.25" customHeight="1">
      <c r="A153" s="130" t="s">
        <v>256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2" t="s">
        <v>0</v>
      </c>
    </row>
    <row r="2" ht="14.25" customHeight="1">
      <c r="A2" s="4" t="s">
        <v>1</v>
      </c>
    </row>
    <row r="3" ht="14.25" customHeight="1">
      <c r="A3" s="5" t="s">
        <v>257</v>
      </c>
    </row>
    <row r="4" ht="14.25" customHeight="1"/>
    <row r="5" ht="13.5" customHeight="1">
      <c r="A5" s="7"/>
      <c r="B5" s="1" t="s">
        <v>3</v>
      </c>
      <c r="D5" s="1" t="s">
        <v>4</v>
      </c>
      <c r="F5" s="1" t="s">
        <v>5</v>
      </c>
      <c r="H5" s="1" t="s">
        <v>7</v>
      </c>
      <c r="J5" s="1" t="s">
        <v>8</v>
      </c>
      <c r="L5" s="1" t="s">
        <v>10</v>
      </c>
      <c r="N5" s="1" t="s">
        <v>11</v>
      </c>
      <c r="P5" s="1" t="s">
        <v>13</v>
      </c>
      <c r="R5" s="1" t="s">
        <v>15</v>
      </c>
      <c r="T5" s="1" t="s">
        <v>17</v>
      </c>
      <c r="V5" s="1" t="s">
        <v>19</v>
      </c>
      <c r="X5" s="1" t="s">
        <v>21</v>
      </c>
      <c r="Z5" s="1" t="s">
        <v>22</v>
      </c>
      <c r="AB5" s="1" t="s">
        <v>24</v>
      </c>
      <c r="AD5" s="10" t="s">
        <v>26</v>
      </c>
      <c r="AF5" s="10" t="s">
        <v>27</v>
      </c>
      <c r="AG5" s="1" t="s">
        <v>29</v>
      </c>
      <c r="AI5" s="10" t="s">
        <v>30</v>
      </c>
      <c r="AK5" s="10" t="s">
        <v>31</v>
      </c>
    </row>
    <row r="6" ht="16.5" customHeight="1">
      <c r="A6" s="13" t="s">
        <v>25</v>
      </c>
      <c r="B6" s="14"/>
      <c r="C6" s="12"/>
      <c r="D6" s="14"/>
      <c r="E6" s="12"/>
      <c r="F6" s="14"/>
      <c r="G6" s="12"/>
      <c r="H6" s="14"/>
      <c r="I6" s="12"/>
      <c r="J6" s="14"/>
      <c r="K6" s="12"/>
      <c r="L6" s="14"/>
      <c r="M6" s="12"/>
      <c r="N6" s="14"/>
      <c r="O6" s="12"/>
      <c r="P6" s="14"/>
      <c r="Q6" s="12"/>
      <c r="R6" s="14"/>
      <c r="S6" s="12"/>
      <c r="T6" s="14"/>
      <c r="U6" s="12"/>
      <c r="V6" s="14"/>
      <c r="W6" s="12"/>
      <c r="X6" s="14"/>
      <c r="Y6" s="12"/>
      <c r="Z6" s="14"/>
      <c r="AA6" s="12"/>
      <c r="AB6" s="14"/>
      <c r="AC6" s="12"/>
      <c r="AD6" s="17"/>
      <c r="AE6" s="18"/>
      <c r="AF6" s="17"/>
      <c r="AG6" s="14"/>
      <c r="AH6" s="12"/>
      <c r="AI6" s="17"/>
      <c r="AJ6" s="18"/>
      <c r="AK6" s="17"/>
      <c r="AL6" s="18"/>
    </row>
    <row r="7" ht="16.5" customHeight="1">
      <c r="A7" s="19" t="s">
        <v>25</v>
      </c>
      <c r="B7" s="21">
        <v>46691.01</v>
      </c>
      <c r="C7" s="23">
        <f>IFERROR(B7/B148, "NA")</f>
        <v>1</v>
      </c>
      <c r="D7" s="21">
        <v>44723.22</v>
      </c>
      <c r="E7" s="23">
        <f>IFERROR(D7/D148, "NA")</f>
        <v>1</v>
      </c>
      <c r="F7" s="21">
        <v>24218.81</v>
      </c>
      <c r="G7" s="23">
        <f>IFERROR(F7/F148, "NA")</f>
        <v>1</v>
      </c>
      <c r="H7" s="21">
        <v>12668.92</v>
      </c>
      <c r="I7" s="23">
        <f>IFERROR(H7/H148, "NA")</f>
        <v>1</v>
      </c>
      <c r="J7" s="21">
        <v>23007.39</v>
      </c>
      <c r="K7" s="23">
        <f>IFERROR(J7/J148, "NA")</f>
        <v>1</v>
      </c>
      <c r="L7" s="21">
        <v>19527.46</v>
      </c>
      <c r="M7" s="23">
        <f>IFERROR(L7/L148, "NA")</f>
        <v>1</v>
      </c>
      <c r="N7" s="21">
        <v>21789.86</v>
      </c>
      <c r="O7" s="23">
        <f>IFERROR(N7/N148, "NA")</f>
        <v>1</v>
      </c>
      <c r="P7" s="21">
        <v>8795.63</v>
      </c>
      <c r="Q7" s="23">
        <f>IFERROR(P7/P148, "NA")</f>
        <v>1</v>
      </c>
      <c r="R7" s="21">
        <v>10797.25</v>
      </c>
      <c r="S7" s="23">
        <f>IFERROR(R7/R148, "NA")</f>
        <v>1</v>
      </c>
      <c r="T7" s="21">
        <v>21606.35</v>
      </c>
      <c r="U7" s="23">
        <f>IFERROR(T7/T148, "NA")</f>
        <v>1</v>
      </c>
      <c r="V7" s="21">
        <v>23018.75</v>
      </c>
      <c r="W7" s="23">
        <f>IFERROR(V7/V148, "NA")</f>
        <v>1</v>
      </c>
      <c r="X7" s="21">
        <v>16370.43</v>
      </c>
      <c r="Y7" s="23">
        <f>IFERROR(X7/X148, "NA")</f>
        <v>1</v>
      </c>
      <c r="Z7" s="21">
        <v>71792.78</v>
      </c>
      <c r="AA7" s="23">
        <f>IFERROR(Z7/Z148, "NA")</f>
        <v>1</v>
      </c>
      <c r="AB7" s="28">
        <f t="shared" ref="AB7:AB9" si="1">IFERROR((R7+T7+V7+X7)/4, "NA")</f>
        <v>17948.195</v>
      </c>
      <c r="AC7" s="23">
        <f>IFERROR(AB7/AB148, "NA")</f>
        <v>1</v>
      </c>
      <c r="AD7" s="29">
        <f t="shared" ref="AD7:AD9" si="2">IFERROR(X7-AB7, "NA")</f>
        <v>-1577.765</v>
      </c>
      <c r="AE7" s="30">
        <f>IFERROR(AD7/AD148, "NA")</f>
        <v>1</v>
      </c>
      <c r="AF7" s="29">
        <f t="shared" ref="AF7:AF9" si="3">IFERROR((X7-AB7)/AB7, "NA")</f>
        <v>-0.08790661122</v>
      </c>
      <c r="AG7" s="28">
        <f t="shared" ref="AG7:AG9" si="4">IFERROR((J7+L7+N7+P7+R7+T7+V7+X7)/8, "NA")</f>
        <v>18114.14</v>
      </c>
      <c r="AH7" s="23">
        <f>IFERROR(AG7/AG148, "NA")</f>
        <v>1</v>
      </c>
      <c r="AI7" s="29">
        <f t="shared" ref="AI7:AI9" si="5">IFERROR(X7-AG7, "NA")</f>
        <v>-1743.71</v>
      </c>
      <c r="AJ7" s="30">
        <f>IFERROR(AI7/AI148, "NA")</f>
        <v>1</v>
      </c>
      <c r="AK7" s="29">
        <f t="shared" ref="AK7:AK9" si="6">IFERROR((X7-AG7)/AG7, "NA")</f>
        <v>-0.09626236741</v>
      </c>
      <c r="AL7" s="30">
        <f>IFERROR(AK7/AK148, "NA")</f>
        <v>1</v>
      </c>
    </row>
    <row r="8" ht="30.75" hidden="1" customHeight="1">
      <c r="A8" s="19" t="s">
        <v>46</v>
      </c>
      <c r="B8" s="21">
        <v>0.0</v>
      </c>
      <c r="C8" s="23">
        <f>IFERROR(B8/B148, "NA")</f>
        <v>0</v>
      </c>
      <c r="D8" s="21">
        <v>0.0</v>
      </c>
      <c r="E8" s="23">
        <f>IFERROR(D8/D148, "NA")</f>
        <v>0</v>
      </c>
      <c r="F8" s="21">
        <v>0.0</v>
      </c>
      <c r="G8" s="23">
        <f>IFERROR(F8/F148, "NA")</f>
        <v>0</v>
      </c>
      <c r="H8" s="21">
        <v>0.0</v>
      </c>
      <c r="I8" s="23">
        <f>IFERROR(H8/H148, "NA")</f>
        <v>0</v>
      </c>
      <c r="J8" s="21">
        <v>0.0</v>
      </c>
      <c r="K8" s="23">
        <f>IFERROR(J8/J148, "NA")</f>
        <v>0</v>
      </c>
      <c r="L8" s="21">
        <v>0.0</v>
      </c>
      <c r="M8" s="23">
        <f>IFERROR(L8/L148, "NA")</f>
        <v>0</v>
      </c>
      <c r="N8" s="21">
        <v>0.0</v>
      </c>
      <c r="O8" s="23">
        <f>IFERROR(N8/N148, "NA")</f>
        <v>0</v>
      </c>
      <c r="P8" s="21">
        <v>0.0</v>
      </c>
      <c r="Q8" s="23">
        <f>IFERROR(P8/P148, "NA")</f>
        <v>0</v>
      </c>
      <c r="R8" s="21">
        <v>0.0</v>
      </c>
      <c r="S8" s="23">
        <f>IFERROR(R8/R148, "NA")</f>
        <v>0</v>
      </c>
      <c r="T8" s="21">
        <v>0.0</v>
      </c>
      <c r="U8" s="23">
        <f>IFERROR(T8/T148, "NA")</f>
        <v>0</v>
      </c>
      <c r="V8" s="21">
        <v>0.0</v>
      </c>
      <c r="W8" s="23">
        <f>IFERROR(V8/V148, "NA")</f>
        <v>0</v>
      </c>
      <c r="X8" s="21">
        <v>0.0</v>
      </c>
      <c r="Y8" s="23">
        <f>IFERROR(X8/X148, "NA")</f>
        <v>0</v>
      </c>
      <c r="Z8" s="21">
        <v>0.0</v>
      </c>
      <c r="AA8" s="23">
        <f>IFERROR(Z8/Z148, "NA")</f>
        <v>0</v>
      </c>
      <c r="AB8" s="28">
        <f t="shared" si="1"/>
        <v>0</v>
      </c>
      <c r="AC8" s="23">
        <f>IFERROR(AB8/AB148, "NA")</f>
        <v>0</v>
      </c>
      <c r="AD8" s="29">
        <f t="shared" si="2"/>
        <v>0</v>
      </c>
      <c r="AE8" s="30">
        <f>IFERROR(AD8/AD148, "NA")</f>
        <v>0</v>
      </c>
      <c r="AF8" s="29" t="str">
        <f t="shared" si="3"/>
        <v>NA</v>
      </c>
      <c r="AG8" s="28">
        <f t="shared" si="4"/>
        <v>0</v>
      </c>
      <c r="AH8" s="23">
        <f>IFERROR(AG8/AG148, "NA")</f>
        <v>0</v>
      </c>
      <c r="AI8" s="29">
        <f t="shared" si="5"/>
        <v>0</v>
      </c>
      <c r="AJ8" s="30">
        <f>IFERROR(AI8/AI148, "NA")</f>
        <v>0</v>
      </c>
      <c r="AK8" s="29" t="str">
        <f t="shared" si="6"/>
        <v>NA</v>
      </c>
      <c r="AL8" s="30" t="str">
        <f>IFERROR(AK8/AK148, "NA")</f>
        <v>NA</v>
      </c>
    </row>
    <row r="9" ht="16.5" customHeight="1">
      <c r="A9" s="65" t="s">
        <v>54</v>
      </c>
      <c r="B9" s="66">
        <f>IFERROR(B7+B8, "NA")</f>
        <v>46691.01</v>
      </c>
      <c r="C9" s="67">
        <f>IFERROR(B9/B148, "NA")</f>
        <v>1</v>
      </c>
      <c r="D9" s="66">
        <f>IFERROR(D7+D8, "NA")</f>
        <v>44723.22</v>
      </c>
      <c r="E9" s="67">
        <f>IFERROR(D9/D148, "NA")</f>
        <v>1</v>
      </c>
      <c r="F9" s="66">
        <f>IFERROR(F7+F8, "NA")</f>
        <v>24218.81</v>
      </c>
      <c r="G9" s="67">
        <f>IFERROR(F9/F148, "NA")</f>
        <v>1</v>
      </c>
      <c r="H9" s="66">
        <f>IFERROR(H7+H8, "NA")</f>
        <v>12668.92</v>
      </c>
      <c r="I9" s="67">
        <f>IFERROR(H9/H148, "NA")</f>
        <v>1</v>
      </c>
      <c r="J9" s="66">
        <f>IFERROR(J7+J8, "NA")</f>
        <v>23007.39</v>
      </c>
      <c r="K9" s="67">
        <f>IFERROR(J9/J148, "NA")</f>
        <v>1</v>
      </c>
      <c r="L9" s="66">
        <f>IFERROR(L7+L8, "NA")</f>
        <v>19527.46</v>
      </c>
      <c r="M9" s="67">
        <f>IFERROR(L9/L148, "NA")</f>
        <v>1</v>
      </c>
      <c r="N9" s="66">
        <f>IFERROR(N7+N8, "NA")</f>
        <v>21789.86</v>
      </c>
      <c r="O9" s="67">
        <f>IFERROR(N9/N148, "NA")</f>
        <v>1</v>
      </c>
      <c r="P9" s="66">
        <f>IFERROR(P7+P8, "NA")</f>
        <v>8795.63</v>
      </c>
      <c r="Q9" s="67">
        <f>IFERROR(P9/P148, "NA")</f>
        <v>1</v>
      </c>
      <c r="R9" s="66">
        <f>IFERROR(R7+R8, "NA")</f>
        <v>10797.25</v>
      </c>
      <c r="S9" s="67">
        <f>IFERROR(R9/R148, "NA")</f>
        <v>1</v>
      </c>
      <c r="T9" s="66">
        <f>IFERROR(T7+T8, "NA")</f>
        <v>21606.35</v>
      </c>
      <c r="U9" s="67">
        <f>IFERROR(T9/T148, "NA")</f>
        <v>1</v>
      </c>
      <c r="V9" s="66">
        <f>IFERROR(V7+V8, "NA")</f>
        <v>23018.75</v>
      </c>
      <c r="W9" s="67">
        <f>IFERROR(V9/V148, "NA")</f>
        <v>1</v>
      </c>
      <c r="X9" s="66">
        <f>IFERROR(X7+X8, "NA")</f>
        <v>16370.43</v>
      </c>
      <c r="Y9" s="67">
        <f>IFERROR(X9/X148, "NA")</f>
        <v>1</v>
      </c>
      <c r="Z9" s="66">
        <f>IFERROR(Z7+Z8, "NA")</f>
        <v>71792.78</v>
      </c>
      <c r="AA9" s="67">
        <f>IFERROR(Z9/Z148, "NA")</f>
        <v>1</v>
      </c>
      <c r="AB9" s="66">
        <f t="shared" si="1"/>
        <v>17948.195</v>
      </c>
      <c r="AC9" s="67">
        <f>IFERROR(AB9/AB148, "NA")</f>
        <v>1</v>
      </c>
      <c r="AD9" s="75">
        <f t="shared" si="2"/>
        <v>-1577.765</v>
      </c>
      <c r="AE9" s="76">
        <f>IFERROR(AD9/AD148, "NA")</f>
        <v>1</v>
      </c>
      <c r="AF9" s="75">
        <f t="shared" si="3"/>
        <v>-0.08790661122</v>
      </c>
      <c r="AG9" s="66">
        <f t="shared" si="4"/>
        <v>18114.14</v>
      </c>
      <c r="AH9" s="67">
        <f>IFERROR(AG9/AG148, "NA")</f>
        <v>1</v>
      </c>
      <c r="AI9" s="75">
        <f t="shared" si="5"/>
        <v>-1743.71</v>
      </c>
      <c r="AJ9" s="76">
        <f>IFERROR(AI9/AI148, "NA")</f>
        <v>1</v>
      </c>
      <c r="AK9" s="75">
        <f t="shared" si="6"/>
        <v>-0.09626236741</v>
      </c>
      <c r="AL9" s="76">
        <f>IFERROR(AK9/AK148, "NA")</f>
        <v>1</v>
      </c>
    </row>
    <row r="10" ht="3.75" customHeight="1">
      <c r="A10" s="77"/>
      <c r="B10" s="78"/>
      <c r="C10" s="74"/>
      <c r="D10" s="78"/>
      <c r="E10" s="74"/>
      <c r="F10" s="78"/>
      <c r="G10" s="74"/>
      <c r="H10" s="78"/>
      <c r="I10" s="74"/>
      <c r="J10" s="78"/>
      <c r="K10" s="74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4"/>
      <c r="AB10" s="78"/>
      <c r="AC10" s="74"/>
      <c r="AD10" s="79"/>
      <c r="AE10" s="80"/>
      <c r="AF10" s="79"/>
      <c r="AG10" s="78"/>
      <c r="AH10" s="74"/>
      <c r="AI10" s="79"/>
      <c r="AJ10" s="80"/>
      <c r="AK10" s="79"/>
      <c r="AL10" s="80"/>
    </row>
    <row r="11" ht="16.5" customHeight="1">
      <c r="A11" s="13" t="s">
        <v>65</v>
      </c>
      <c r="B11" s="14"/>
      <c r="C11" s="12"/>
      <c r="D11" s="14"/>
      <c r="E11" s="12"/>
      <c r="F11" s="14"/>
      <c r="G11" s="12"/>
      <c r="H11" s="14"/>
      <c r="I11" s="12"/>
      <c r="J11" s="14"/>
      <c r="K11" s="12"/>
      <c r="L11" s="14"/>
      <c r="M11" s="12"/>
      <c r="N11" s="14"/>
      <c r="O11" s="12"/>
      <c r="P11" s="14"/>
      <c r="Q11" s="12"/>
      <c r="R11" s="14"/>
      <c r="S11" s="12"/>
      <c r="T11" s="14"/>
      <c r="U11" s="12"/>
      <c r="V11" s="14"/>
      <c r="W11" s="12"/>
      <c r="X11" s="14"/>
      <c r="Y11" s="12"/>
      <c r="Z11" s="14"/>
      <c r="AA11" s="12"/>
      <c r="AB11" s="14"/>
      <c r="AC11" s="12"/>
      <c r="AD11" s="17"/>
      <c r="AE11" s="18"/>
      <c r="AF11" s="17"/>
      <c r="AG11" s="14"/>
      <c r="AH11" s="12"/>
      <c r="AI11" s="17"/>
      <c r="AJ11" s="18"/>
      <c r="AK11" s="17"/>
      <c r="AL11" s="18"/>
    </row>
    <row r="12" ht="16.5" customHeight="1">
      <c r="A12" s="13" t="s">
        <v>66</v>
      </c>
      <c r="B12" s="14"/>
      <c r="C12" s="12"/>
      <c r="D12" s="14"/>
      <c r="E12" s="12"/>
      <c r="F12" s="14"/>
      <c r="G12" s="12"/>
      <c r="H12" s="14"/>
      <c r="I12" s="12"/>
      <c r="J12" s="14"/>
      <c r="K12" s="12"/>
      <c r="L12" s="14"/>
      <c r="M12" s="12"/>
      <c r="N12" s="14"/>
      <c r="O12" s="12"/>
      <c r="P12" s="14"/>
      <c r="Q12" s="12"/>
      <c r="R12" s="14"/>
      <c r="S12" s="12"/>
      <c r="T12" s="14"/>
      <c r="U12" s="12"/>
      <c r="V12" s="14"/>
      <c r="W12" s="12"/>
      <c r="X12" s="14"/>
      <c r="Y12" s="12"/>
      <c r="Z12" s="14"/>
      <c r="AA12" s="12"/>
      <c r="AB12" s="14"/>
      <c r="AC12" s="12"/>
      <c r="AD12" s="17"/>
      <c r="AE12" s="18"/>
      <c r="AF12" s="17"/>
      <c r="AG12" s="14"/>
      <c r="AH12" s="12"/>
      <c r="AI12" s="17"/>
      <c r="AJ12" s="18"/>
      <c r="AK12" s="17"/>
      <c r="AL12" s="18"/>
    </row>
    <row r="13" ht="16.5" hidden="1" customHeight="1">
      <c r="A13" s="19" t="s">
        <v>67</v>
      </c>
      <c r="B13" s="21">
        <v>0.0</v>
      </c>
      <c r="C13" s="23">
        <f>IFERROR(B13/B148, "NA")</f>
        <v>0</v>
      </c>
      <c r="D13" s="21">
        <v>0.0</v>
      </c>
      <c r="E13" s="23">
        <f>IFERROR(D13/D148, "NA")</f>
        <v>0</v>
      </c>
      <c r="F13" s="21">
        <v>0.0</v>
      </c>
      <c r="G13" s="23">
        <f>IFERROR(F13/F148, "NA")</f>
        <v>0</v>
      </c>
      <c r="H13" s="21">
        <v>0.0</v>
      </c>
      <c r="I13" s="23">
        <f>IFERROR(H13/H148, "NA")</f>
        <v>0</v>
      </c>
      <c r="J13" s="21">
        <v>0.0</v>
      </c>
      <c r="K13" s="23">
        <f>IFERROR(J13/J148, "NA")</f>
        <v>0</v>
      </c>
      <c r="L13" s="21">
        <v>0.0</v>
      </c>
      <c r="M13" s="23">
        <f>IFERROR(L13/L148, "NA")</f>
        <v>0</v>
      </c>
      <c r="N13" s="21">
        <v>0.0</v>
      </c>
      <c r="O13" s="23">
        <f>IFERROR(N13/N148, "NA")</f>
        <v>0</v>
      </c>
      <c r="P13" s="21">
        <v>0.0</v>
      </c>
      <c r="Q13" s="23">
        <f>IFERROR(P13/P148, "NA")</f>
        <v>0</v>
      </c>
      <c r="R13" s="21">
        <v>0.0</v>
      </c>
      <c r="S13" s="23">
        <f>IFERROR(R13/R148, "NA")</f>
        <v>0</v>
      </c>
      <c r="T13" s="21">
        <v>0.0</v>
      </c>
      <c r="U13" s="23">
        <f>IFERROR(T13/T148, "NA")</f>
        <v>0</v>
      </c>
      <c r="V13" s="21">
        <v>0.0</v>
      </c>
      <c r="W13" s="23">
        <f>IFERROR(V13/V148, "NA")</f>
        <v>0</v>
      </c>
      <c r="X13" s="21">
        <v>0.0</v>
      </c>
      <c r="Y13" s="23">
        <f>IFERROR(X13/X148, "NA")</f>
        <v>0</v>
      </c>
      <c r="Z13" s="21">
        <v>0.0</v>
      </c>
      <c r="AA13" s="23">
        <f>IFERROR(Z13/Z148, "NA")</f>
        <v>0</v>
      </c>
      <c r="AB13" s="28">
        <f>IFERROR((R13+T13+V13+X13)/4, "NA")</f>
        <v>0</v>
      </c>
      <c r="AC13" s="23">
        <f>IFERROR(AB13/AB148, "NA")</f>
        <v>0</v>
      </c>
      <c r="AD13" s="29">
        <f>IFERROR(X13-AB13, "NA")</f>
        <v>0</v>
      </c>
      <c r="AE13" s="30">
        <f>IFERROR(AD13/AD148, "NA")</f>
        <v>0</v>
      </c>
      <c r="AF13" s="29" t="str">
        <f>IFERROR((X13-AB13)/AB13, "NA")</f>
        <v>NA</v>
      </c>
      <c r="AG13" s="28">
        <f>IFERROR((J13+L13+N13+P13+R13+T13+V13+X13)/8, "NA")</f>
        <v>0</v>
      </c>
      <c r="AH13" s="23">
        <f>IFERROR(AG13/AG148, "NA")</f>
        <v>0</v>
      </c>
      <c r="AI13" s="29">
        <f>IFERROR(X13-AG13, "NA")</f>
        <v>0</v>
      </c>
      <c r="AJ13" s="30">
        <f>IFERROR(AI13/AI148, "NA")</f>
        <v>0</v>
      </c>
      <c r="AK13" s="29" t="str">
        <f>IFERROR((X13-AG13)/AG13, "NA")</f>
        <v>NA</v>
      </c>
      <c r="AL13" s="30" t="str">
        <f>IFERROR(AK13/AK148, "NA")</f>
        <v>NA</v>
      </c>
    </row>
    <row r="14" ht="16.5" customHeight="1">
      <c r="A14" s="13" t="s">
        <v>68</v>
      </c>
      <c r="B14" s="14"/>
      <c r="C14" s="12"/>
      <c r="D14" s="14"/>
      <c r="E14" s="12"/>
      <c r="F14" s="14"/>
      <c r="G14" s="12"/>
      <c r="H14" s="14"/>
      <c r="I14" s="12"/>
      <c r="J14" s="14"/>
      <c r="K14" s="12"/>
      <c r="L14" s="14"/>
      <c r="M14" s="12"/>
      <c r="N14" s="14"/>
      <c r="O14" s="12"/>
      <c r="P14" s="14"/>
      <c r="Q14" s="12"/>
      <c r="R14" s="14"/>
      <c r="S14" s="12"/>
      <c r="T14" s="14"/>
      <c r="U14" s="12"/>
      <c r="V14" s="14"/>
      <c r="W14" s="12"/>
      <c r="X14" s="14"/>
      <c r="Y14" s="12"/>
      <c r="Z14" s="14"/>
      <c r="AA14" s="12"/>
      <c r="AB14" s="14"/>
      <c r="AC14" s="12"/>
      <c r="AD14" s="17"/>
      <c r="AE14" s="18"/>
      <c r="AF14" s="17"/>
      <c r="AG14" s="14"/>
      <c r="AH14" s="12"/>
      <c r="AI14" s="17"/>
      <c r="AJ14" s="18"/>
      <c r="AK14" s="17"/>
      <c r="AL14" s="18"/>
    </row>
    <row r="15" ht="16.5" hidden="1" customHeight="1">
      <c r="A15" s="19" t="s">
        <v>69</v>
      </c>
      <c r="B15" s="21">
        <v>0.0</v>
      </c>
      <c r="C15" s="23">
        <f>IFERROR(B15/B148, "NA")</f>
        <v>0</v>
      </c>
      <c r="D15" s="21">
        <v>0.0</v>
      </c>
      <c r="E15" s="23">
        <f>IFERROR(D15/D148, "NA")</f>
        <v>0</v>
      </c>
      <c r="F15" s="21">
        <v>0.0</v>
      </c>
      <c r="G15" s="23">
        <f>IFERROR(F15/F148, "NA")</f>
        <v>0</v>
      </c>
      <c r="H15" s="21">
        <v>0.0</v>
      </c>
      <c r="I15" s="23">
        <f>IFERROR(H15/H148, "NA")</f>
        <v>0</v>
      </c>
      <c r="J15" s="21">
        <v>0.0</v>
      </c>
      <c r="K15" s="23">
        <f>IFERROR(J15/J148, "NA")</f>
        <v>0</v>
      </c>
      <c r="L15" s="21">
        <v>0.0</v>
      </c>
      <c r="M15" s="23">
        <f>IFERROR(L15/L148, "NA")</f>
        <v>0</v>
      </c>
      <c r="N15" s="21">
        <v>0.0</v>
      </c>
      <c r="O15" s="23">
        <f>IFERROR(N15/N148, "NA")</f>
        <v>0</v>
      </c>
      <c r="P15" s="21">
        <v>0.0</v>
      </c>
      <c r="Q15" s="23">
        <f>IFERROR(P15/P148, "NA")</f>
        <v>0</v>
      </c>
      <c r="R15" s="21">
        <v>0.0</v>
      </c>
      <c r="S15" s="23">
        <f>IFERROR(R15/R148, "NA")</f>
        <v>0</v>
      </c>
      <c r="T15" s="21">
        <v>0.0</v>
      </c>
      <c r="U15" s="23">
        <f>IFERROR(T15/T148, "NA")</f>
        <v>0</v>
      </c>
      <c r="V15" s="21">
        <v>0.0</v>
      </c>
      <c r="W15" s="23">
        <f>IFERROR(V15/V148, "NA")</f>
        <v>0</v>
      </c>
      <c r="X15" s="21">
        <v>0.0</v>
      </c>
      <c r="Y15" s="23">
        <f>IFERROR(X15/X148, "NA")</f>
        <v>0</v>
      </c>
      <c r="Z15" s="21">
        <v>0.0</v>
      </c>
      <c r="AA15" s="23">
        <f>IFERROR(Z15/Z148, "NA")</f>
        <v>0</v>
      </c>
      <c r="AB15" s="28">
        <f t="shared" ref="AB15:AB27" si="7">IFERROR((R15+T15+V15+X15)/4, "NA")</f>
        <v>0</v>
      </c>
      <c r="AC15" s="23">
        <f>IFERROR(AB15/AB148, "NA")</f>
        <v>0</v>
      </c>
      <c r="AD15" s="29">
        <f t="shared" ref="AD15:AD27" si="8">IFERROR(X15-AB15, "NA")</f>
        <v>0</v>
      </c>
      <c r="AE15" s="30">
        <f>IFERROR(AD15/AD148, "NA")</f>
        <v>0</v>
      </c>
      <c r="AF15" s="29" t="str">
        <f t="shared" ref="AF15:AF27" si="9">IFERROR((X15-AB15)/AB15, "NA")</f>
        <v>NA</v>
      </c>
      <c r="AG15" s="28">
        <f t="shared" ref="AG15:AG27" si="10">IFERROR((J15+L15+N15+P15+R15+T15+V15+X15)/8, "NA")</f>
        <v>0</v>
      </c>
      <c r="AH15" s="23">
        <f>IFERROR(AG15/AG148, "NA")</f>
        <v>0</v>
      </c>
      <c r="AI15" s="29">
        <f t="shared" ref="AI15:AI27" si="11">IFERROR(X15-AG15, "NA")</f>
        <v>0</v>
      </c>
      <c r="AJ15" s="30">
        <f>IFERROR(AI15/AI148, "NA")</f>
        <v>0</v>
      </c>
      <c r="AK15" s="29" t="str">
        <f t="shared" ref="AK15:AK27" si="12">IFERROR((X15-AG15)/AG15, "NA")</f>
        <v>NA</v>
      </c>
      <c r="AL15" s="30" t="str">
        <f>IFERROR(AK15/AK148, "NA")</f>
        <v>NA</v>
      </c>
    </row>
    <row r="16" ht="16.5" customHeight="1">
      <c r="A16" s="19" t="s">
        <v>70</v>
      </c>
      <c r="B16" s="21">
        <v>1735.26</v>
      </c>
      <c r="C16" s="23">
        <f>IFERROR(B16/B148, "NA")</f>
        <v>0.03716475613</v>
      </c>
      <c r="D16" s="21">
        <v>1769.69</v>
      </c>
      <c r="E16" s="23">
        <f>IFERROR(D16/D148, "NA")</f>
        <v>0.03956982525</v>
      </c>
      <c r="F16" s="21">
        <v>955.49</v>
      </c>
      <c r="G16" s="23">
        <f>IFERROR(F16/F148, "NA")</f>
        <v>0.03945239258</v>
      </c>
      <c r="H16" s="21">
        <v>598.15</v>
      </c>
      <c r="I16" s="23">
        <f>IFERROR(H16/H148, "NA")</f>
        <v>0.0472139693</v>
      </c>
      <c r="J16" s="21">
        <v>1303.96</v>
      </c>
      <c r="K16" s="23">
        <f>IFERROR(J16/J148, "NA")</f>
        <v>0.05667570289</v>
      </c>
      <c r="L16" s="21">
        <v>1053.06</v>
      </c>
      <c r="M16" s="23">
        <f>IFERROR(L16/L148, "NA")</f>
        <v>0.05392713645</v>
      </c>
      <c r="N16" s="21">
        <v>957.19</v>
      </c>
      <c r="O16" s="23">
        <f>IFERROR(N16/N148, "NA")</f>
        <v>0.04392823084</v>
      </c>
      <c r="P16" s="21">
        <v>491.18</v>
      </c>
      <c r="Q16" s="23">
        <f>IFERROR(P16/P148, "NA")</f>
        <v>0.05584364054</v>
      </c>
      <c r="R16" s="21">
        <v>374.27</v>
      </c>
      <c r="S16" s="23">
        <f>IFERROR(R16/R148, "NA")</f>
        <v>0.03466345597</v>
      </c>
      <c r="T16" s="21">
        <v>1072.52</v>
      </c>
      <c r="U16" s="23">
        <f>IFERROR(T16/T148, "NA")</f>
        <v>0.04963911072</v>
      </c>
      <c r="V16" s="21">
        <v>864.7</v>
      </c>
      <c r="W16" s="23">
        <f>IFERROR(V16/V148, "NA")</f>
        <v>0.03756502851</v>
      </c>
      <c r="X16" s="21">
        <v>816.91</v>
      </c>
      <c r="Y16" s="23">
        <f>IFERROR(X16/X148, "NA")</f>
        <v>0.04990156031</v>
      </c>
      <c r="Z16" s="21">
        <v>3128.4</v>
      </c>
      <c r="AA16" s="23">
        <f>IFERROR(Z16/Z148, "NA")</f>
        <v>0.04357541246</v>
      </c>
      <c r="AB16" s="28">
        <f t="shared" si="7"/>
        <v>782.1</v>
      </c>
      <c r="AC16" s="23">
        <f>IFERROR(AB16/AB148, "NA")</f>
        <v>0.04357541246</v>
      </c>
      <c r="AD16" s="29">
        <f t="shared" si="8"/>
        <v>34.81</v>
      </c>
      <c r="AE16" s="30">
        <f>IFERROR(AD16/AD148, "NA")</f>
        <v>-0.02206285473</v>
      </c>
      <c r="AF16" s="29">
        <f t="shared" si="9"/>
        <v>0.04450837489</v>
      </c>
      <c r="AG16" s="28">
        <f t="shared" si="10"/>
        <v>866.72375</v>
      </c>
      <c r="AH16" s="23">
        <f>IFERROR(AG16/AG148, "NA")</f>
        <v>0.04784791053</v>
      </c>
      <c r="AI16" s="29">
        <f t="shared" si="11"/>
        <v>-49.81375</v>
      </c>
      <c r="AJ16" s="30">
        <f>IFERROR(AI16/AI148, "NA")</f>
        <v>0.02856768041</v>
      </c>
      <c r="AK16" s="29">
        <f t="shared" si="12"/>
        <v>-0.05747361832</v>
      </c>
      <c r="AL16" s="30">
        <f>IFERROR(AK16/AK148, "NA")</f>
        <v>0.5970517853</v>
      </c>
    </row>
    <row r="17" ht="16.5" customHeight="1">
      <c r="A17" s="19" t="s">
        <v>71</v>
      </c>
      <c r="B17" s="21">
        <v>1264.16</v>
      </c>
      <c r="C17" s="23">
        <f>IFERROR(B17/B148, "NA")</f>
        <v>0.02707501937</v>
      </c>
      <c r="D17" s="21">
        <v>1163.59</v>
      </c>
      <c r="E17" s="23">
        <f>IFERROR(D17/D148, "NA")</f>
        <v>0.02601758102</v>
      </c>
      <c r="F17" s="21">
        <v>570.67</v>
      </c>
      <c r="G17" s="23">
        <f>IFERROR(F17/F148, "NA")</f>
        <v>0.02356309001</v>
      </c>
      <c r="H17" s="21">
        <v>389.03</v>
      </c>
      <c r="I17" s="23">
        <f>IFERROR(H17/H148, "NA")</f>
        <v>0.03070743205</v>
      </c>
      <c r="J17" s="21">
        <v>607.9</v>
      </c>
      <c r="K17" s="23">
        <f>IFERROR(J17/J148, "NA")</f>
        <v>0.0264219453</v>
      </c>
      <c r="L17" s="21">
        <v>565.86</v>
      </c>
      <c r="M17" s="23">
        <f>IFERROR(L17/L148, "NA")</f>
        <v>0.02897765506</v>
      </c>
      <c r="N17" s="21">
        <v>448.94</v>
      </c>
      <c r="O17" s="23">
        <f>IFERROR(N17/N148, "NA")</f>
        <v>0.02060316129</v>
      </c>
      <c r="P17" s="21">
        <v>332.18</v>
      </c>
      <c r="Q17" s="23">
        <f>IFERROR(P17/P148, "NA")</f>
        <v>0.03776648176</v>
      </c>
      <c r="R17" s="21">
        <v>355.76</v>
      </c>
      <c r="S17" s="23">
        <f>IFERROR(R17/R148, "NA")</f>
        <v>0.03294913057</v>
      </c>
      <c r="T17" s="21">
        <v>558.61</v>
      </c>
      <c r="U17" s="23">
        <f>IFERROR(T17/T148, "NA")</f>
        <v>0.02585397348</v>
      </c>
      <c r="V17" s="21">
        <v>666.87</v>
      </c>
      <c r="W17" s="23">
        <f>IFERROR(V17/V148, "NA")</f>
        <v>0.02897073038</v>
      </c>
      <c r="X17" s="21">
        <v>377.75</v>
      </c>
      <c r="Y17" s="23">
        <f>IFERROR(X17/X148, "NA")</f>
        <v>0.02307514219</v>
      </c>
      <c r="Z17" s="21">
        <v>1958.99</v>
      </c>
      <c r="AA17" s="23">
        <f>IFERROR(Z17/Z148, "NA")</f>
        <v>0.02728672716</v>
      </c>
      <c r="AB17" s="28">
        <f t="shared" si="7"/>
        <v>489.7475</v>
      </c>
      <c r="AC17" s="23">
        <f>IFERROR(AB17/AB148, "NA")</f>
        <v>0.02728672716</v>
      </c>
      <c r="AD17" s="29">
        <f t="shared" si="8"/>
        <v>-111.9975</v>
      </c>
      <c r="AE17" s="30">
        <f>IFERROR(AD17/AD148, "NA")</f>
        <v>0.07098490586</v>
      </c>
      <c r="AF17" s="29">
        <f t="shared" si="9"/>
        <v>-0.2286841689</v>
      </c>
      <c r="AG17" s="28">
        <f t="shared" si="10"/>
        <v>489.23375</v>
      </c>
      <c r="AH17" s="23">
        <f>IFERROR(AG17/AG148, "NA")</f>
        <v>0.02700838958</v>
      </c>
      <c r="AI17" s="29">
        <f t="shared" si="11"/>
        <v>-111.48375</v>
      </c>
      <c r="AJ17" s="30">
        <f>IFERROR(AI17/AI148, "NA")</f>
        <v>0.06393479994</v>
      </c>
      <c r="AK17" s="29">
        <f t="shared" si="12"/>
        <v>-0.2278742012</v>
      </c>
      <c r="AL17" s="30">
        <f>IFERROR(AK17/AK148, "NA")</f>
        <v>2.367219999</v>
      </c>
    </row>
    <row r="18" ht="16.5" customHeight="1">
      <c r="A18" s="19" t="s">
        <v>74</v>
      </c>
      <c r="B18" s="21">
        <v>1307.46</v>
      </c>
      <c r="C18" s="23">
        <f>IFERROR(B18/B148, "NA")</f>
        <v>0.02800239275</v>
      </c>
      <c r="D18" s="21">
        <v>1331.64</v>
      </c>
      <c r="E18" s="23">
        <f>IFERROR(D18/D148, "NA")</f>
        <v>0.02977513694</v>
      </c>
      <c r="F18" s="21">
        <v>632.5</v>
      </c>
      <c r="G18" s="23">
        <f>IFERROR(F18/F148, "NA")</f>
        <v>0.02611606433</v>
      </c>
      <c r="H18" s="21">
        <v>265.21</v>
      </c>
      <c r="I18" s="23">
        <f>IFERROR(H18/H148, "NA")</f>
        <v>0.02093390755</v>
      </c>
      <c r="J18" s="21">
        <v>679.52</v>
      </c>
      <c r="K18" s="23">
        <f>IFERROR(J18/J148, "NA")</f>
        <v>0.02953485815</v>
      </c>
      <c r="L18" s="21">
        <v>442.43</v>
      </c>
      <c r="M18" s="23">
        <f>IFERROR(L18/L148, "NA")</f>
        <v>0.02265681251</v>
      </c>
      <c r="N18" s="21">
        <v>550.36</v>
      </c>
      <c r="O18" s="23">
        <f>IFERROR(N18/N148, "NA")</f>
        <v>0.02525761983</v>
      </c>
      <c r="P18" s="21">
        <v>197.43</v>
      </c>
      <c r="Q18" s="23">
        <f>IFERROR(P18/P148, "NA")</f>
        <v>0.02244637394</v>
      </c>
      <c r="R18" s="21">
        <v>384.55</v>
      </c>
      <c r="S18" s="23">
        <f>IFERROR(R18/R148, "NA")</f>
        <v>0.03561555026</v>
      </c>
      <c r="T18" s="21">
        <v>541.95</v>
      </c>
      <c r="U18" s="23">
        <f>IFERROR(T18/T148, "NA")</f>
        <v>0.02508290387</v>
      </c>
      <c r="V18" s="21">
        <v>653.02</v>
      </c>
      <c r="W18" s="23">
        <f>IFERROR(V18/V148, "NA")</f>
        <v>0.02836904697</v>
      </c>
      <c r="X18" s="21">
        <v>358.18</v>
      </c>
      <c r="Y18" s="23">
        <f>IFERROR(X18/X148, "NA")</f>
        <v>0.02187969406</v>
      </c>
      <c r="Z18" s="21">
        <v>1937.7</v>
      </c>
      <c r="AA18" s="23">
        <f>IFERROR(Z18/Z148, "NA")</f>
        <v>0.02699017924</v>
      </c>
      <c r="AB18" s="28">
        <f t="shared" si="7"/>
        <v>484.425</v>
      </c>
      <c r="AC18" s="23">
        <f>IFERROR(AB18/AB148, "NA")</f>
        <v>0.02699017924</v>
      </c>
      <c r="AD18" s="29">
        <f t="shared" si="8"/>
        <v>-126.245</v>
      </c>
      <c r="AE18" s="30">
        <f>IFERROR(AD18/AD148, "NA")</f>
        <v>0.08001508463</v>
      </c>
      <c r="AF18" s="29">
        <f t="shared" si="9"/>
        <v>-0.2606079372</v>
      </c>
      <c r="AG18" s="28">
        <f t="shared" si="10"/>
        <v>475.93</v>
      </c>
      <c r="AH18" s="23">
        <f>IFERROR(AG18/AG148, "NA")</f>
        <v>0.02627394952</v>
      </c>
      <c r="AI18" s="29">
        <f t="shared" si="11"/>
        <v>-117.75</v>
      </c>
      <c r="AJ18" s="30">
        <f>IFERROR(AI18/AI148, "NA")</f>
        <v>0.06752843076</v>
      </c>
      <c r="AK18" s="29">
        <f t="shared" si="12"/>
        <v>-0.2474103335</v>
      </c>
      <c r="AL18" s="30">
        <f>IFERROR(AK18/AK148, "NA")</f>
        <v>2.570166724</v>
      </c>
    </row>
    <row r="19" ht="16.5" customHeight="1">
      <c r="A19" s="19" t="s">
        <v>75</v>
      </c>
      <c r="B19" s="21">
        <v>722.92</v>
      </c>
      <c r="C19" s="23">
        <f>IFERROR(B19/B148, "NA")</f>
        <v>0.01548306623</v>
      </c>
      <c r="D19" s="21">
        <v>590.15</v>
      </c>
      <c r="E19" s="23">
        <f>IFERROR(D19/D148, "NA")</f>
        <v>0.01319560622</v>
      </c>
      <c r="F19" s="21">
        <v>513.84</v>
      </c>
      <c r="G19" s="23">
        <f>IFERROR(F19/F148, "NA")</f>
        <v>0.02121656679</v>
      </c>
      <c r="H19" s="21">
        <v>301.61</v>
      </c>
      <c r="I19" s="23">
        <f>IFERROR(H19/H148, "NA")</f>
        <v>0.02380708064</v>
      </c>
      <c r="J19" s="21">
        <v>631.74</v>
      </c>
      <c r="K19" s="23">
        <f>IFERROR(J19/J148, "NA")</f>
        <v>0.0274581341</v>
      </c>
      <c r="L19" s="21">
        <v>257.35</v>
      </c>
      <c r="M19" s="23">
        <f>IFERROR(L19/L148, "NA")</f>
        <v>0.01317887733</v>
      </c>
      <c r="N19" s="21">
        <v>526.96</v>
      </c>
      <c r="O19" s="23">
        <f>IFERROR(N19/N148, "NA")</f>
        <v>0.02418372582</v>
      </c>
      <c r="P19" s="21">
        <v>236.82</v>
      </c>
      <c r="Q19" s="23">
        <f>IFERROR(P19/P148, "NA")</f>
        <v>0.02692473421</v>
      </c>
      <c r="R19" s="21">
        <v>282.45</v>
      </c>
      <c r="S19" s="23">
        <f>IFERROR(R19/R148, "NA")</f>
        <v>0.02615943875</v>
      </c>
      <c r="T19" s="21">
        <v>482.08</v>
      </c>
      <c r="U19" s="23">
        <f>IFERROR(T19/T148, "NA")</f>
        <v>0.02231195922</v>
      </c>
      <c r="V19" s="21">
        <v>524.0</v>
      </c>
      <c r="W19" s="23">
        <f>IFERROR(V19/V148, "NA")</f>
        <v>0.02276405105</v>
      </c>
      <c r="X19" s="21">
        <v>387.48</v>
      </c>
      <c r="Y19" s="23">
        <f>IFERROR(X19/X148, "NA")</f>
        <v>0.02366950654</v>
      </c>
      <c r="Z19" s="21">
        <v>1676.01</v>
      </c>
      <c r="AA19" s="23">
        <f>IFERROR(Z19/Z148, "NA")</f>
        <v>0.02334510518</v>
      </c>
      <c r="AB19" s="28">
        <f t="shared" si="7"/>
        <v>419.0025</v>
      </c>
      <c r="AC19" s="23">
        <f>IFERROR(AB19/AB148, "NA")</f>
        <v>0.02334510518</v>
      </c>
      <c r="AD19" s="29">
        <f t="shared" si="8"/>
        <v>-31.5225</v>
      </c>
      <c r="AE19" s="30">
        <f>IFERROR(AD19/AD148, "NA")</f>
        <v>0.0199792111</v>
      </c>
      <c r="AF19" s="29">
        <f t="shared" si="9"/>
        <v>-0.07523224802</v>
      </c>
      <c r="AG19" s="28">
        <f t="shared" si="10"/>
        <v>416.11</v>
      </c>
      <c r="AH19" s="23">
        <f>IFERROR(AG19/AG148, "NA")</f>
        <v>0.02297155703</v>
      </c>
      <c r="AI19" s="29">
        <f t="shared" si="11"/>
        <v>-28.63</v>
      </c>
      <c r="AJ19" s="30">
        <f>IFERROR(AI19/AI148, "NA")</f>
        <v>0.01641901463</v>
      </c>
      <c r="AK19" s="29">
        <f t="shared" si="12"/>
        <v>-0.06880392204</v>
      </c>
      <c r="AL19" s="30">
        <f>IFERROR(AK19/AK148, "NA")</f>
        <v>0.7147541027</v>
      </c>
    </row>
    <row r="20" ht="16.5" customHeight="1">
      <c r="A20" s="19" t="s">
        <v>76</v>
      </c>
      <c r="B20" s="21">
        <v>292.89</v>
      </c>
      <c r="C20" s="23">
        <f>IFERROR(B20/B148, "NA")</f>
        <v>0.00627294205</v>
      </c>
      <c r="D20" s="21">
        <v>248.7</v>
      </c>
      <c r="E20" s="23">
        <f>IFERROR(D20/D148, "NA")</f>
        <v>0.005560869723</v>
      </c>
      <c r="F20" s="21">
        <v>235.54</v>
      </c>
      <c r="G20" s="23">
        <f>IFERROR(F20/F148, "NA")</f>
        <v>0.009725498487</v>
      </c>
      <c r="H20" s="21">
        <v>123.76</v>
      </c>
      <c r="I20" s="23">
        <f>IFERROR(H20/H148, "NA")</f>
        <v>0.0097687885</v>
      </c>
      <c r="J20" s="21">
        <v>239.71</v>
      </c>
      <c r="K20" s="23">
        <f>IFERROR(J20/J148, "NA")</f>
        <v>0.0104188263</v>
      </c>
      <c r="L20" s="21">
        <v>230.71</v>
      </c>
      <c r="M20" s="23">
        <f>IFERROR(L20/L148, "NA")</f>
        <v>0.01181464461</v>
      </c>
      <c r="N20" s="21">
        <v>231.85</v>
      </c>
      <c r="O20" s="23">
        <f>IFERROR(N20/N148, "NA")</f>
        <v>0.01064027029</v>
      </c>
      <c r="P20" s="21">
        <v>107.97</v>
      </c>
      <c r="Q20" s="23">
        <f>IFERROR(P20/P148, "NA")</f>
        <v>0.01227541404</v>
      </c>
      <c r="R20" s="21">
        <v>126.48</v>
      </c>
      <c r="S20" s="23">
        <f>IFERROR(R20/R148, "NA")</f>
        <v>0.01171409387</v>
      </c>
      <c r="T20" s="21">
        <v>237.34</v>
      </c>
      <c r="U20" s="23">
        <f>IFERROR(T20/T148, "NA")</f>
        <v>0.01098473365</v>
      </c>
      <c r="V20" s="21">
        <v>242.4</v>
      </c>
      <c r="W20" s="23">
        <f>IFERROR(V20/V148, "NA")</f>
        <v>0.01053054575</v>
      </c>
      <c r="X20" s="21">
        <v>228.25</v>
      </c>
      <c r="Y20" s="23">
        <f>IFERROR(X20/X148, "NA")</f>
        <v>0.01394282252</v>
      </c>
      <c r="Z20" s="21">
        <v>834.47</v>
      </c>
      <c r="AA20" s="23">
        <f>IFERROR(Z20/Z148, "NA")</f>
        <v>0.01162331365</v>
      </c>
      <c r="AB20" s="28">
        <f t="shared" si="7"/>
        <v>208.6175</v>
      </c>
      <c r="AC20" s="23">
        <f>IFERROR(AB20/AB148, "NA")</f>
        <v>0.01162331365</v>
      </c>
      <c r="AD20" s="29">
        <f t="shared" si="8"/>
        <v>19.6325</v>
      </c>
      <c r="AE20" s="30">
        <f>IFERROR(AD20/AD148, "NA")</f>
        <v>-0.01244323458</v>
      </c>
      <c r="AF20" s="29">
        <f t="shared" si="9"/>
        <v>0.09410763718</v>
      </c>
      <c r="AG20" s="28">
        <f t="shared" si="10"/>
        <v>205.58875</v>
      </c>
      <c r="AH20" s="23">
        <f>IFERROR(AG20/AG148, "NA")</f>
        <v>0.01134962797</v>
      </c>
      <c r="AI20" s="29">
        <f t="shared" si="11"/>
        <v>22.66125</v>
      </c>
      <c r="AJ20" s="30">
        <f>IFERROR(AI20/AI148, "NA")</f>
        <v>-0.01299599704</v>
      </c>
      <c r="AK20" s="29">
        <f t="shared" si="12"/>
        <v>0.1102261189</v>
      </c>
      <c r="AL20" s="30">
        <f>IFERROR(AK20/AK148, "NA")</f>
        <v>-1.145059298</v>
      </c>
    </row>
    <row r="21" ht="16.5" customHeight="1">
      <c r="A21" s="19" t="s">
        <v>77</v>
      </c>
      <c r="B21" s="21">
        <v>161.87</v>
      </c>
      <c r="C21" s="23">
        <f>IFERROR(B21/B148, "NA")</f>
        <v>0.003466834408</v>
      </c>
      <c r="D21" s="21">
        <v>242.24</v>
      </c>
      <c r="E21" s="23">
        <f>IFERROR(D21/D148, "NA")</f>
        <v>0.00541642574</v>
      </c>
      <c r="F21" s="21">
        <v>105.69</v>
      </c>
      <c r="G21" s="23">
        <f>IFERROR(F21/F148, "NA")</f>
        <v>0.004363963382</v>
      </c>
      <c r="H21" s="21">
        <v>182.67</v>
      </c>
      <c r="I21" s="23">
        <f>IFERROR(H21/H148, "NA")</f>
        <v>0.01441875077</v>
      </c>
      <c r="J21" s="21">
        <v>38.63</v>
      </c>
      <c r="K21" s="23">
        <f>IFERROR(J21/J148, "NA")</f>
        <v>0.001679025739</v>
      </c>
      <c r="L21" s="21">
        <v>159.27</v>
      </c>
      <c r="M21" s="23">
        <f>IFERROR(L21/L148, "NA")</f>
        <v>0.008156206696</v>
      </c>
      <c r="N21" s="21">
        <v>134.05</v>
      </c>
      <c r="O21" s="23">
        <f>IFERROR(N21/N148, "NA")</f>
        <v>0.006151944069</v>
      </c>
      <c r="P21" s="21">
        <v>38.21</v>
      </c>
      <c r="Q21" s="23">
        <f>IFERROR(P21/P148, "NA")</f>
        <v>0.004344202746</v>
      </c>
      <c r="R21" s="21">
        <v>85.91</v>
      </c>
      <c r="S21" s="23">
        <f>IFERROR(R21/R148, "NA")</f>
        <v>0.00795665563</v>
      </c>
      <c r="T21" s="21">
        <v>155.36</v>
      </c>
      <c r="U21" s="23">
        <f>IFERROR(T21/T148, "NA")</f>
        <v>0.007190478725</v>
      </c>
      <c r="V21" s="21">
        <v>193.25</v>
      </c>
      <c r="W21" s="23">
        <f>IFERROR(V21/V148, "NA")</f>
        <v>0.008395329894</v>
      </c>
      <c r="X21" s="21">
        <v>130.39</v>
      </c>
      <c r="Y21" s="23">
        <f>IFERROR(X21/X148, "NA")</f>
        <v>0.007964970987</v>
      </c>
      <c r="Z21" s="21">
        <v>564.91</v>
      </c>
      <c r="AA21" s="23">
        <f>IFERROR(Z21/Z148, "NA")</f>
        <v>0.007868618544</v>
      </c>
      <c r="AB21" s="28">
        <f t="shared" si="7"/>
        <v>141.2275</v>
      </c>
      <c r="AC21" s="23">
        <f>IFERROR(AB21/AB148, "NA")</f>
        <v>0.007868618544</v>
      </c>
      <c r="AD21" s="29">
        <f t="shared" si="8"/>
        <v>-10.8375</v>
      </c>
      <c r="AE21" s="30">
        <f>IFERROR(AD21/AD148, "NA")</f>
        <v>0.006868893657</v>
      </c>
      <c r="AF21" s="29">
        <f t="shared" si="9"/>
        <v>-0.07673788745</v>
      </c>
      <c r="AG21" s="28">
        <f t="shared" si="10"/>
        <v>116.88375</v>
      </c>
      <c r="AH21" s="23">
        <f>IFERROR(AG21/AG148, "NA")</f>
        <v>0.006452624855</v>
      </c>
      <c r="AI21" s="29">
        <f t="shared" si="11"/>
        <v>13.50625</v>
      </c>
      <c r="AJ21" s="30">
        <f>IFERROR(AI21/AI148, "NA")</f>
        <v>-0.007745697392</v>
      </c>
      <c r="AK21" s="29">
        <f t="shared" si="12"/>
        <v>0.1155528463</v>
      </c>
      <c r="AL21" s="30">
        <f>IFERROR(AK21/AK148, "NA")</f>
        <v>-1.200394811</v>
      </c>
    </row>
    <row r="22" ht="16.5" hidden="1" customHeight="1">
      <c r="A22" s="19" t="s">
        <v>78</v>
      </c>
      <c r="B22" s="21">
        <v>0.0</v>
      </c>
      <c r="C22" s="23">
        <f>IFERROR(B22/B148, "NA")</f>
        <v>0</v>
      </c>
      <c r="D22" s="21">
        <v>0.0</v>
      </c>
      <c r="E22" s="23">
        <f>IFERROR(D22/D148, "NA")</f>
        <v>0</v>
      </c>
      <c r="F22" s="21">
        <v>0.0</v>
      </c>
      <c r="G22" s="23">
        <f>IFERROR(F22/F148, "NA")</f>
        <v>0</v>
      </c>
      <c r="H22" s="21">
        <v>0.0</v>
      </c>
      <c r="I22" s="23">
        <f>IFERROR(H22/H148, "NA")</f>
        <v>0</v>
      </c>
      <c r="J22" s="21">
        <v>0.0</v>
      </c>
      <c r="K22" s="23">
        <f>IFERROR(J22/J148, "NA")</f>
        <v>0</v>
      </c>
      <c r="L22" s="21">
        <v>0.0</v>
      </c>
      <c r="M22" s="23">
        <f>IFERROR(L22/L148, "NA")</f>
        <v>0</v>
      </c>
      <c r="N22" s="21">
        <v>0.0</v>
      </c>
      <c r="O22" s="23">
        <f>IFERROR(N22/N148, "NA")</f>
        <v>0</v>
      </c>
      <c r="P22" s="21">
        <v>0.0</v>
      </c>
      <c r="Q22" s="23">
        <f>IFERROR(P22/P148, "NA")</f>
        <v>0</v>
      </c>
      <c r="R22" s="21">
        <v>0.0</v>
      </c>
      <c r="S22" s="23">
        <f>IFERROR(R22/R148, "NA")</f>
        <v>0</v>
      </c>
      <c r="T22" s="21">
        <v>0.0</v>
      </c>
      <c r="U22" s="23">
        <f>IFERROR(T22/T148, "NA")</f>
        <v>0</v>
      </c>
      <c r="V22" s="21">
        <v>0.0</v>
      </c>
      <c r="W22" s="23">
        <f>IFERROR(V22/V148, "NA")</f>
        <v>0</v>
      </c>
      <c r="X22" s="21">
        <v>0.0</v>
      </c>
      <c r="Y22" s="23">
        <f>IFERROR(X22/X148, "NA")</f>
        <v>0</v>
      </c>
      <c r="Z22" s="21">
        <v>0.0</v>
      </c>
      <c r="AA22" s="23">
        <f>IFERROR(Z22/Z148, "NA")</f>
        <v>0</v>
      </c>
      <c r="AB22" s="28">
        <f t="shared" si="7"/>
        <v>0</v>
      </c>
      <c r="AC22" s="23">
        <f>IFERROR(AB22/AB148, "NA")</f>
        <v>0</v>
      </c>
      <c r="AD22" s="29">
        <f t="shared" si="8"/>
        <v>0</v>
      </c>
      <c r="AE22" s="30">
        <f>IFERROR(AD22/AD148, "NA")</f>
        <v>0</v>
      </c>
      <c r="AF22" s="29" t="str">
        <f t="shared" si="9"/>
        <v>NA</v>
      </c>
      <c r="AG22" s="28">
        <f t="shared" si="10"/>
        <v>0</v>
      </c>
      <c r="AH22" s="23">
        <f>IFERROR(AG22/AG148, "NA")</f>
        <v>0</v>
      </c>
      <c r="AI22" s="29">
        <f t="shared" si="11"/>
        <v>0</v>
      </c>
      <c r="AJ22" s="30">
        <f>IFERROR(AI22/AI148, "NA")</f>
        <v>0</v>
      </c>
      <c r="AK22" s="29" t="str">
        <f t="shared" si="12"/>
        <v>NA</v>
      </c>
      <c r="AL22" s="30" t="str">
        <f>IFERROR(AK22/AK148, "NA")</f>
        <v>NA</v>
      </c>
    </row>
    <row r="23" ht="16.5" customHeight="1">
      <c r="A23" s="19" t="s">
        <v>79</v>
      </c>
      <c r="B23" s="21">
        <v>108.06</v>
      </c>
      <c r="C23" s="23">
        <f>IFERROR(B23/B148, "NA")</f>
        <v>0.002314364157</v>
      </c>
      <c r="D23" s="21">
        <v>157.88</v>
      </c>
      <c r="E23" s="23">
        <f>IFERROR(D23/D148, "NA")</f>
        <v>0.003530157265</v>
      </c>
      <c r="F23" s="21">
        <v>125.92</v>
      </c>
      <c r="G23" s="23">
        <f>IFERROR(F23/F148, "NA")</f>
        <v>0.005199264539</v>
      </c>
      <c r="H23" s="21">
        <v>91.35</v>
      </c>
      <c r="I23" s="23">
        <f>IFERROR(H23/H148, "NA")</f>
        <v>0.007210559385</v>
      </c>
      <c r="J23" s="21">
        <v>176.84</v>
      </c>
      <c r="K23" s="23">
        <f>IFERROR(J23/J148, "NA")</f>
        <v>0.007686226034</v>
      </c>
      <c r="L23" s="21">
        <v>54.83</v>
      </c>
      <c r="M23" s="23">
        <f>IFERROR(L23/L148, "NA")</f>
        <v>0.002807840856</v>
      </c>
      <c r="N23" s="21">
        <v>82.66</v>
      </c>
      <c r="O23" s="23">
        <f>IFERROR(N23/N148, "NA")</f>
        <v>0.003793507622</v>
      </c>
      <c r="P23" s="21">
        <v>2.3</v>
      </c>
      <c r="Q23" s="23">
        <f>IFERROR(P23/P148, "NA")</f>
        <v>0.0002614934917</v>
      </c>
      <c r="R23" s="21">
        <v>239.12</v>
      </c>
      <c r="S23" s="23">
        <f>IFERROR(R23/R148, "NA")</f>
        <v>0.02214637987</v>
      </c>
      <c r="T23" s="21">
        <v>64.63</v>
      </c>
      <c r="U23" s="23">
        <f>IFERROR(T23/T148, "NA")</f>
        <v>0.002991250257</v>
      </c>
      <c r="V23" s="21">
        <v>177.03</v>
      </c>
      <c r="W23" s="23">
        <f>IFERROR(V23/V148, "NA")</f>
        <v>0.00769068694</v>
      </c>
      <c r="X23" s="21">
        <v>110.85</v>
      </c>
      <c r="Y23" s="23">
        <f>IFERROR(X23/X148, "NA")</f>
        <v>0.006771355426</v>
      </c>
      <c r="Z23" s="21">
        <v>591.63</v>
      </c>
      <c r="AA23" s="23">
        <f>IFERROR(Z23/Z148, "NA")</f>
        <v>0.008240800816</v>
      </c>
      <c r="AB23" s="28">
        <f t="shared" si="7"/>
        <v>147.9075</v>
      </c>
      <c r="AC23" s="23">
        <f>IFERROR(AB23/AB148, "NA")</f>
        <v>0.008240800816</v>
      </c>
      <c r="AD23" s="29">
        <f t="shared" si="8"/>
        <v>-37.0575</v>
      </c>
      <c r="AE23" s="30">
        <f>IFERROR(AD23/AD148, "NA")</f>
        <v>0.0234873381</v>
      </c>
      <c r="AF23" s="29">
        <f t="shared" si="9"/>
        <v>-0.2505451042</v>
      </c>
      <c r="AG23" s="28">
        <f t="shared" si="10"/>
        <v>113.5325</v>
      </c>
      <c r="AH23" s="23">
        <f>IFERROR(AG23/AG148, "NA")</f>
        <v>0.006267617452</v>
      </c>
      <c r="AI23" s="29">
        <f t="shared" si="11"/>
        <v>-2.6825</v>
      </c>
      <c r="AJ23" s="30">
        <f>IFERROR(AI23/AI148, "NA")</f>
        <v>0.001538386544</v>
      </c>
      <c r="AK23" s="29">
        <f t="shared" si="12"/>
        <v>-0.02362759562</v>
      </c>
      <c r="AL23" s="30">
        <f>IFERROR(AK23/AK148, "NA")</f>
        <v>0.2454499745</v>
      </c>
    </row>
    <row r="24" ht="16.5" customHeight="1">
      <c r="A24" s="19" t="s">
        <v>80</v>
      </c>
      <c r="B24" s="21">
        <v>3456.16</v>
      </c>
      <c r="C24" s="23">
        <f>IFERROR(B24/B148, "NA")</f>
        <v>0.0740219584</v>
      </c>
      <c r="D24" s="21">
        <v>3392.79</v>
      </c>
      <c r="E24" s="23">
        <f>IFERROR(D24/D148, "NA")</f>
        <v>0.07586193481</v>
      </c>
      <c r="F24" s="21">
        <v>1823.1</v>
      </c>
      <c r="G24" s="23">
        <f>IFERROR(F24/F148, "NA")</f>
        <v>0.07527620061</v>
      </c>
      <c r="H24" s="21">
        <v>1076.86</v>
      </c>
      <c r="I24" s="23">
        <f>IFERROR(H24/H148, "NA")</f>
        <v>0.08500014208</v>
      </c>
      <c r="J24" s="21">
        <v>1699.88</v>
      </c>
      <c r="K24" s="23">
        <f>IFERROR(J24/J148, "NA")</f>
        <v>0.07388408681</v>
      </c>
      <c r="L24" s="21">
        <v>1442.2</v>
      </c>
      <c r="M24" s="23">
        <f>IFERROR(L24/L148, "NA")</f>
        <v>0.07385497141</v>
      </c>
      <c r="N24" s="21">
        <v>1674.45</v>
      </c>
      <c r="O24" s="23">
        <f>IFERROR(N24/N148, "NA")</f>
        <v>0.0768453767</v>
      </c>
      <c r="P24" s="21">
        <v>757.93</v>
      </c>
      <c r="Q24" s="23">
        <f>IFERROR(P24/P148, "NA")</f>
        <v>0.08617120093</v>
      </c>
      <c r="R24" s="21">
        <v>960.25</v>
      </c>
      <c r="S24" s="23">
        <f>IFERROR(R24/R148, "NA")</f>
        <v>0.08893468244</v>
      </c>
      <c r="T24" s="21">
        <v>948.08</v>
      </c>
      <c r="U24" s="23">
        <f>IFERROR(T24/T148, "NA")</f>
        <v>0.04387969278</v>
      </c>
      <c r="V24" s="21">
        <v>2003.46</v>
      </c>
      <c r="W24" s="23">
        <f>IFERROR(V24/V148, "NA")</f>
        <v>0.08703600326</v>
      </c>
      <c r="X24" s="21">
        <v>1048.29</v>
      </c>
      <c r="Y24" s="23">
        <f>IFERROR(X24/X148, "NA")</f>
        <v>0.06403558123</v>
      </c>
      <c r="Z24" s="21">
        <v>4960.08</v>
      </c>
      <c r="AA24" s="23">
        <f>IFERROR(Z24/Z148, "NA")</f>
        <v>0.06908884152</v>
      </c>
      <c r="AB24" s="28">
        <f t="shared" si="7"/>
        <v>1240.02</v>
      </c>
      <c r="AC24" s="23">
        <f>IFERROR(AB24/AB148, "NA")</f>
        <v>0.06908884152</v>
      </c>
      <c r="AD24" s="29">
        <f t="shared" si="8"/>
        <v>-191.73</v>
      </c>
      <c r="AE24" s="30">
        <f>IFERROR(AD24/AD148, "NA")</f>
        <v>0.1215199982</v>
      </c>
      <c r="AF24" s="29">
        <f t="shared" si="9"/>
        <v>-0.1546184739</v>
      </c>
      <c r="AG24" s="28">
        <f t="shared" si="10"/>
        <v>1316.8175</v>
      </c>
      <c r="AH24" s="23">
        <f>IFERROR(AG24/AG148, "NA")</f>
        <v>0.07269555717</v>
      </c>
      <c r="AI24" s="29">
        <f t="shared" si="11"/>
        <v>-268.5275</v>
      </c>
      <c r="AJ24" s="30">
        <f>IFERROR(AI24/AI148, "NA")</f>
        <v>0.1539977978</v>
      </c>
      <c r="AK24" s="29">
        <f t="shared" si="12"/>
        <v>-0.2039215761</v>
      </c>
      <c r="AL24" s="30">
        <f>IFERROR(AK24/AK148, "NA")</f>
        <v>2.118393528</v>
      </c>
    </row>
    <row r="25" ht="16.5" hidden="1" customHeight="1">
      <c r="A25" s="19" t="s">
        <v>81</v>
      </c>
      <c r="B25" s="21">
        <v>0.0</v>
      </c>
      <c r="C25" s="23">
        <f>IFERROR(B25/B148, "NA")</f>
        <v>0</v>
      </c>
      <c r="D25" s="21">
        <v>0.0</v>
      </c>
      <c r="E25" s="23">
        <f>IFERROR(D25/D148, "NA")</f>
        <v>0</v>
      </c>
      <c r="F25" s="21">
        <v>0.0</v>
      </c>
      <c r="G25" s="23">
        <f>IFERROR(F25/F148, "NA")</f>
        <v>0</v>
      </c>
      <c r="H25" s="21">
        <v>0.0</v>
      </c>
      <c r="I25" s="23">
        <f>IFERROR(H25/H148, "NA")</f>
        <v>0</v>
      </c>
      <c r="J25" s="21">
        <v>0.0</v>
      </c>
      <c r="K25" s="23">
        <f>IFERROR(J25/J148, "NA")</f>
        <v>0</v>
      </c>
      <c r="L25" s="21">
        <v>0.0</v>
      </c>
      <c r="M25" s="23">
        <f>IFERROR(L25/L148, "NA")</f>
        <v>0</v>
      </c>
      <c r="N25" s="21">
        <v>0.0</v>
      </c>
      <c r="O25" s="23">
        <f>IFERROR(N25/N148, "NA")</f>
        <v>0</v>
      </c>
      <c r="P25" s="21">
        <v>0.0</v>
      </c>
      <c r="Q25" s="23">
        <f>IFERROR(P25/P148, "NA")</f>
        <v>0</v>
      </c>
      <c r="R25" s="21">
        <v>0.0</v>
      </c>
      <c r="S25" s="23">
        <f>IFERROR(R25/R148, "NA")</f>
        <v>0</v>
      </c>
      <c r="T25" s="21">
        <v>0.0</v>
      </c>
      <c r="U25" s="23">
        <f>IFERROR(T25/T148, "NA")</f>
        <v>0</v>
      </c>
      <c r="V25" s="21">
        <v>0.0</v>
      </c>
      <c r="W25" s="23">
        <f>IFERROR(V25/V148, "NA")</f>
        <v>0</v>
      </c>
      <c r="X25" s="21">
        <v>0.0</v>
      </c>
      <c r="Y25" s="23">
        <f>IFERROR(X25/X148, "NA")</f>
        <v>0</v>
      </c>
      <c r="Z25" s="21">
        <v>0.0</v>
      </c>
      <c r="AA25" s="23">
        <f>IFERROR(Z25/Z148, "NA")</f>
        <v>0</v>
      </c>
      <c r="AB25" s="28">
        <f t="shared" si="7"/>
        <v>0</v>
      </c>
      <c r="AC25" s="23">
        <f>IFERROR(AB25/AB148, "NA")</f>
        <v>0</v>
      </c>
      <c r="AD25" s="29">
        <f t="shared" si="8"/>
        <v>0</v>
      </c>
      <c r="AE25" s="30">
        <f>IFERROR(AD25/AD148, "NA")</f>
        <v>0</v>
      </c>
      <c r="AF25" s="29" t="str">
        <f t="shared" si="9"/>
        <v>NA</v>
      </c>
      <c r="AG25" s="28">
        <f t="shared" si="10"/>
        <v>0</v>
      </c>
      <c r="AH25" s="23">
        <f>IFERROR(AG25/AG148, "NA")</f>
        <v>0</v>
      </c>
      <c r="AI25" s="29">
        <f t="shared" si="11"/>
        <v>0</v>
      </c>
      <c r="AJ25" s="30">
        <f>IFERROR(AI25/AI148, "NA")</f>
        <v>0</v>
      </c>
      <c r="AK25" s="29" t="str">
        <f t="shared" si="12"/>
        <v>NA</v>
      </c>
      <c r="AL25" s="30" t="str">
        <f>IFERROR(AK25/AK148, "NA")</f>
        <v>NA</v>
      </c>
    </row>
    <row r="26" ht="16.5" hidden="1" customHeight="1">
      <c r="A26" s="19" t="s">
        <v>84</v>
      </c>
      <c r="B26" s="21">
        <v>0.0</v>
      </c>
      <c r="C26" s="23">
        <f>IFERROR(B26/B148, "NA")</f>
        <v>0</v>
      </c>
      <c r="D26" s="21">
        <v>0.0</v>
      </c>
      <c r="E26" s="23">
        <f>IFERROR(D26/D148, "NA")</f>
        <v>0</v>
      </c>
      <c r="F26" s="21">
        <v>0.0</v>
      </c>
      <c r="G26" s="23">
        <f>IFERROR(F26/F148, "NA")</f>
        <v>0</v>
      </c>
      <c r="H26" s="21">
        <v>0.0</v>
      </c>
      <c r="I26" s="23">
        <f>IFERROR(H26/H148, "NA")</f>
        <v>0</v>
      </c>
      <c r="J26" s="21">
        <v>0.0</v>
      </c>
      <c r="K26" s="23">
        <f>IFERROR(J26/J148, "NA")</f>
        <v>0</v>
      </c>
      <c r="L26" s="21">
        <v>0.0</v>
      </c>
      <c r="M26" s="23">
        <f>IFERROR(L26/L148, "NA")</f>
        <v>0</v>
      </c>
      <c r="N26" s="21">
        <v>0.0</v>
      </c>
      <c r="O26" s="23">
        <f>IFERROR(N26/N148, "NA")</f>
        <v>0</v>
      </c>
      <c r="P26" s="21">
        <v>0.0</v>
      </c>
      <c r="Q26" s="23">
        <f>IFERROR(P26/P148, "NA")</f>
        <v>0</v>
      </c>
      <c r="R26" s="21">
        <v>0.0</v>
      </c>
      <c r="S26" s="23">
        <f>IFERROR(R26/R148, "NA")</f>
        <v>0</v>
      </c>
      <c r="T26" s="21">
        <v>0.0</v>
      </c>
      <c r="U26" s="23">
        <f>IFERROR(T26/T148, "NA")</f>
        <v>0</v>
      </c>
      <c r="V26" s="21">
        <v>0.0</v>
      </c>
      <c r="W26" s="23">
        <f>IFERROR(V26/V148, "NA")</f>
        <v>0</v>
      </c>
      <c r="X26" s="21">
        <v>0.0</v>
      </c>
      <c r="Y26" s="23">
        <f>IFERROR(X26/X148, "NA")</f>
        <v>0</v>
      </c>
      <c r="Z26" s="21">
        <v>0.0</v>
      </c>
      <c r="AA26" s="23">
        <f>IFERROR(Z26/Z148, "NA")</f>
        <v>0</v>
      </c>
      <c r="AB26" s="28">
        <f t="shared" si="7"/>
        <v>0</v>
      </c>
      <c r="AC26" s="23">
        <f>IFERROR(AB26/AB148, "NA")</f>
        <v>0</v>
      </c>
      <c r="AD26" s="29">
        <f t="shared" si="8"/>
        <v>0</v>
      </c>
      <c r="AE26" s="30">
        <f>IFERROR(AD26/AD148, "NA")</f>
        <v>0</v>
      </c>
      <c r="AF26" s="29" t="str">
        <f t="shared" si="9"/>
        <v>NA</v>
      </c>
      <c r="AG26" s="28">
        <f t="shared" si="10"/>
        <v>0</v>
      </c>
      <c r="AH26" s="23">
        <f>IFERROR(AG26/AG148, "NA")</f>
        <v>0</v>
      </c>
      <c r="AI26" s="29">
        <f t="shared" si="11"/>
        <v>0</v>
      </c>
      <c r="AJ26" s="30">
        <f>IFERROR(AI26/AI148, "NA")</f>
        <v>0</v>
      </c>
      <c r="AK26" s="29" t="str">
        <f t="shared" si="12"/>
        <v>NA</v>
      </c>
      <c r="AL26" s="30" t="str">
        <f>IFERROR(AK26/AK148, "NA")</f>
        <v>NA</v>
      </c>
    </row>
    <row r="27" ht="16.5" customHeight="1">
      <c r="A27" s="65" t="s">
        <v>85</v>
      </c>
      <c r="B27" s="66">
        <f>IFERROR(B15+B16+B17+B18+B19+B20+B21+B22+B23+B24+B25+B26, "NA")</f>
        <v>9048.78</v>
      </c>
      <c r="C27" s="67">
        <f>IFERROR(B27/B148, "NA")</f>
        <v>0.1938013335</v>
      </c>
      <c r="D27" s="66">
        <f>IFERROR(D15+D16+D17+D18+D19+D20+D21+D22+D23+D24+D25+D26, "NA")</f>
        <v>8896.68</v>
      </c>
      <c r="E27" s="67">
        <f>IFERROR(D27/D148, "NA")</f>
        <v>0.198927537</v>
      </c>
      <c r="F27" s="66">
        <f>IFERROR(F15+F16+F17+F18+F19+F20+F21+F22+F23+F24+F25+F26, "NA")</f>
        <v>4962.75</v>
      </c>
      <c r="G27" s="67">
        <f>IFERROR(F27/F148, "NA")</f>
        <v>0.2049130407</v>
      </c>
      <c r="H27" s="66">
        <f>IFERROR(H15+H16+H17+H18+H19+H20+H21+H22+H23+H24+H25+H26, "NA")</f>
        <v>3028.64</v>
      </c>
      <c r="I27" s="67">
        <f>IFERROR(H27/H148, "NA")</f>
        <v>0.2390606303</v>
      </c>
      <c r="J27" s="66">
        <f>IFERROR(J15+J16+J17+J18+J19+J20+J21+J22+J23+J24+J25+J26, "NA")</f>
        <v>5378.18</v>
      </c>
      <c r="K27" s="67">
        <f>IFERROR(J27/J148, "NA")</f>
        <v>0.2337588053</v>
      </c>
      <c r="L27" s="66">
        <f>IFERROR(L15+L16+L17+L18+L19+L20+L21+L22+L23+L24+L25+L26, "NA")</f>
        <v>4205.71</v>
      </c>
      <c r="M27" s="67">
        <f>IFERROR(L27/L148, "NA")</f>
        <v>0.2153741449</v>
      </c>
      <c r="N27" s="66">
        <f>IFERROR(N15+N16+N17+N18+N19+N20+N21+N22+N23+N24+N25+N26, "NA")</f>
        <v>4606.46</v>
      </c>
      <c r="O27" s="67">
        <f>IFERROR(N27/N148, "NA")</f>
        <v>0.2114038365</v>
      </c>
      <c r="P27" s="66">
        <f>IFERROR(P15+P16+P17+P18+P19+P20+P21+P22+P23+P24+P25+P26, "NA")</f>
        <v>2164.02</v>
      </c>
      <c r="Q27" s="67">
        <f>IFERROR(P27/P148, "NA")</f>
        <v>0.2460335417</v>
      </c>
      <c r="R27" s="66">
        <f>IFERROR(R15+R16+R17+R18+R19+R20+R21+R22+R23+R24+R25+R26, "NA")</f>
        <v>2808.79</v>
      </c>
      <c r="S27" s="67">
        <f>IFERROR(R27/R148, "NA")</f>
        <v>0.2601393873</v>
      </c>
      <c r="T27" s="66">
        <f>IFERROR(T15+T16+T17+T18+T19+T20+T21+T22+T23+T24+T25+T26, "NA")</f>
        <v>4060.57</v>
      </c>
      <c r="U27" s="67">
        <f>IFERROR(T27/T148, "NA")</f>
        <v>0.1879341027</v>
      </c>
      <c r="V27" s="66">
        <f>IFERROR(V15+V16+V17+V18+V19+V20+V21+V22+V23+V24+V25+V26, "NA")</f>
        <v>5324.73</v>
      </c>
      <c r="W27" s="67">
        <f>IFERROR(V27/V148, "NA")</f>
        <v>0.2313214228</v>
      </c>
      <c r="X27" s="66">
        <f>IFERROR(X15+X16+X17+X18+X19+X20+X21+X22+X23+X24+X25+X26, "NA")</f>
        <v>3458.1</v>
      </c>
      <c r="Y27" s="67">
        <f>IFERROR(X27/X148, "NA")</f>
        <v>0.2112406333</v>
      </c>
      <c r="Z27" s="66">
        <f>IFERROR(Z15+Z16+Z17+Z18+Z19+Z20+Z21+Z22+Z23+Z24+Z25+Z26, "NA")</f>
        <v>15652.19</v>
      </c>
      <c r="AA27" s="67">
        <f>IFERROR(Z27/Z148, "NA")</f>
        <v>0.2180189986</v>
      </c>
      <c r="AB27" s="66">
        <f t="shared" si="7"/>
        <v>3913.0475</v>
      </c>
      <c r="AC27" s="67">
        <f>IFERROR(AB27/AB148, "NA")</f>
        <v>0.2180189986</v>
      </c>
      <c r="AD27" s="75">
        <f t="shared" si="8"/>
        <v>-454.9475</v>
      </c>
      <c r="AE27" s="76">
        <f>IFERROR(AD27/AD148, "NA")</f>
        <v>0.2883493423</v>
      </c>
      <c r="AF27" s="75">
        <f t="shared" si="9"/>
        <v>-0.1162642416</v>
      </c>
      <c r="AG27" s="66">
        <f t="shared" si="10"/>
        <v>4000.82</v>
      </c>
      <c r="AH27" s="67">
        <f>IFERROR(AG27/AG148, "NA")</f>
        <v>0.2208672341</v>
      </c>
      <c r="AI27" s="75">
        <f t="shared" si="11"/>
        <v>-542.72</v>
      </c>
      <c r="AJ27" s="76">
        <f>IFERROR(AI27/AI148, "NA")</f>
        <v>0.3112444156</v>
      </c>
      <c r="AK27" s="75">
        <f t="shared" si="12"/>
        <v>-0.1356521913</v>
      </c>
      <c r="AL27" s="76">
        <f>IFERROR(AK27/AK148, "NA")</f>
        <v>1.409192345</v>
      </c>
    </row>
    <row r="28" ht="16.5" customHeight="1">
      <c r="A28" s="13" t="s">
        <v>86</v>
      </c>
      <c r="B28" s="14"/>
      <c r="C28" s="12"/>
      <c r="D28" s="14"/>
      <c r="E28" s="12"/>
      <c r="F28" s="14"/>
      <c r="G28" s="12"/>
      <c r="H28" s="14"/>
      <c r="I28" s="12"/>
      <c r="J28" s="14"/>
      <c r="K28" s="12"/>
      <c r="L28" s="14"/>
      <c r="M28" s="12"/>
      <c r="N28" s="14"/>
      <c r="O28" s="12"/>
      <c r="P28" s="14"/>
      <c r="Q28" s="12"/>
      <c r="R28" s="14"/>
      <c r="S28" s="12"/>
      <c r="T28" s="14"/>
      <c r="U28" s="12"/>
      <c r="V28" s="14"/>
      <c r="W28" s="12"/>
      <c r="X28" s="14"/>
      <c r="Y28" s="12"/>
      <c r="Z28" s="14"/>
      <c r="AA28" s="12"/>
      <c r="AB28" s="14"/>
      <c r="AC28" s="12"/>
      <c r="AD28" s="17"/>
      <c r="AE28" s="18"/>
      <c r="AF28" s="17"/>
      <c r="AG28" s="14"/>
      <c r="AH28" s="12"/>
      <c r="AI28" s="17"/>
      <c r="AJ28" s="18"/>
      <c r="AK28" s="17"/>
      <c r="AL28" s="18"/>
    </row>
    <row r="29" ht="16.5" hidden="1" customHeight="1">
      <c r="A29" s="19" t="s">
        <v>87</v>
      </c>
      <c r="B29" s="21">
        <v>0.0</v>
      </c>
      <c r="C29" s="23">
        <f>IFERROR(B29/B148, "NA")</f>
        <v>0</v>
      </c>
      <c r="D29" s="21">
        <v>0.0</v>
      </c>
      <c r="E29" s="23">
        <f>IFERROR(D29/D148, "NA")</f>
        <v>0</v>
      </c>
      <c r="F29" s="21">
        <v>0.0</v>
      </c>
      <c r="G29" s="23">
        <f>IFERROR(F29/F148, "NA")</f>
        <v>0</v>
      </c>
      <c r="H29" s="21">
        <v>0.0</v>
      </c>
      <c r="I29" s="23">
        <f>IFERROR(H29/H148, "NA")</f>
        <v>0</v>
      </c>
      <c r="J29" s="21">
        <v>0.0</v>
      </c>
      <c r="K29" s="23">
        <f>IFERROR(J29/J148, "NA")</f>
        <v>0</v>
      </c>
      <c r="L29" s="21">
        <v>0.0</v>
      </c>
      <c r="M29" s="23">
        <f>IFERROR(L29/L148, "NA")</f>
        <v>0</v>
      </c>
      <c r="N29" s="21">
        <v>0.0</v>
      </c>
      <c r="O29" s="23">
        <f>IFERROR(N29/N148, "NA")</f>
        <v>0</v>
      </c>
      <c r="P29" s="21">
        <v>0.0</v>
      </c>
      <c r="Q29" s="23">
        <f>IFERROR(P29/P148, "NA")</f>
        <v>0</v>
      </c>
      <c r="R29" s="21">
        <v>0.0</v>
      </c>
      <c r="S29" s="23">
        <f>IFERROR(R29/R148, "NA")</f>
        <v>0</v>
      </c>
      <c r="T29" s="21">
        <v>0.0</v>
      </c>
      <c r="U29" s="23">
        <f>IFERROR(T29/T148, "NA")</f>
        <v>0</v>
      </c>
      <c r="V29" s="21">
        <v>0.0</v>
      </c>
      <c r="W29" s="23">
        <f>IFERROR(V29/V148, "NA")</f>
        <v>0</v>
      </c>
      <c r="X29" s="21">
        <v>0.0</v>
      </c>
      <c r="Y29" s="23">
        <f>IFERROR(X29/X148, "NA")</f>
        <v>0</v>
      </c>
      <c r="Z29" s="21">
        <v>0.0</v>
      </c>
      <c r="AA29" s="23">
        <f>IFERROR(Z29/Z148, "NA")</f>
        <v>0</v>
      </c>
      <c r="AB29" s="28">
        <f t="shared" ref="AB29:AB35" si="13">IFERROR((R29+T29+V29+X29)/4, "NA")</f>
        <v>0</v>
      </c>
      <c r="AC29" s="23">
        <f>IFERROR(AB29/AB148, "NA")</f>
        <v>0</v>
      </c>
      <c r="AD29" s="29">
        <f t="shared" ref="AD29:AD35" si="14">IFERROR(X29-AB29, "NA")</f>
        <v>0</v>
      </c>
      <c r="AE29" s="30">
        <f>IFERROR(AD29/AD148, "NA")</f>
        <v>0</v>
      </c>
      <c r="AF29" s="29" t="str">
        <f t="shared" ref="AF29:AF35" si="15">IFERROR((X29-AB29)/AB29, "NA")</f>
        <v>NA</v>
      </c>
      <c r="AG29" s="28">
        <f t="shared" ref="AG29:AG35" si="16">IFERROR((J29+L29+N29+P29+R29+T29+V29+X29)/8, "NA")</f>
        <v>0</v>
      </c>
      <c r="AH29" s="23">
        <f>IFERROR(AG29/AG148, "NA")</f>
        <v>0</v>
      </c>
      <c r="AI29" s="29">
        <f t="shared" ref="AI29:AI35" si="17">IFERROR(X29-AG29, "NA")</f>
        <v>0</v>
      </c>
      <c r="AJ29" s="30">
        <f>IFERROR(AI29/AI148, "NA")</f>
        <v>0</v>
      </c>
      <c r="AK29" s="29" t="str">
        <f t="shared" ref="AK29:AK35" si="18">IFERROR((X29-AG29)/AG29, "NA")</f>
        <v>NA</v>
      </c>
      <c r="AL29" s="30" t="str">
        <f>IFERROR(AK29/AK148, "NA")</f>
        <v>NA</v>
      </c>
    </row>
    <row r="30" ht="16.5" customHeight="1">
      <c r="A30" s="19" t="s">
        <v>88</v>
      </c>
      <c r="B30" s="21">
        <v>335.97</v>
      </c>
      <c r="C30" s="23">
        <f>IFERROR(B30/B148, "NA")</f>
        <v>0.007195603608</v>
      </c>
      <c r="D30" s="21">
        <v>403.49</v>
      </c>
      <c r="E30" s="23">
        <f>IFERROR(D30/D148, "NA")</f>
        <v>0.009021935362</v>
      </c>
      <c r="F30" s="21">
        <v>271.14</v>
      </c>
      <c r="G30" s="23">
        <f>IFERROR(F30/F148, "NA")</f>
        <v>0.01119543033</v>
      </c>
      <c r="H30" s="21">
        <v>138.94</v>
      </c>
      <c r="I30" s="23">
        <f>IFERROR(H30/H148, "NA")</f>
        <v>0.0109669964</v>
      </c>
      <c r="J30" s="21">
        <v>-158.42</v>
      </c>
      <c r="K30" s="23">
        <f>IFERROR(J30/J148, "NA")</f>
        <v>-0.006885613709</v>
      </c>
      <c r="L30" s="21">
        <v>901.77</v>
      </c>
      <c r="M30" s="23">
        <f>IFERROR(L30/L148, "NA")</f>
        <v>0.04617958506</v>
      </c>
      <c r="N30" s="21">
        <v>147.0</v>
      </c>
      <c r="O30" s="23">
        <f>IFERROR(N30/N148, "NA")</f>
        <v>0.006746257204</v>
      </c>
      <c r="P30" s="21">
        <v>42.83</v>
      </c>
      <c r="Q30" s="23">
        <f>IFERROR(P30/P148, "NA")</f>
        <v>0.004869463586</v>
      </c>
      <c r="R30" s="21">
        <v>118.63</v>
      </c>
      <c r="S30" s="23">
        <f>IFERROR(R30/R148, "NA")</f>
        <v>0.01098705689</v>
      </c>
      <c r="T30" s="21">
        <v>237.06</v>
      </c>
      <c r="U30" s="23">
        <f>IFERROR(T30/T148, "NA")</f>
        <v>0.0109717745</v>
      </c>
      <c r="V30" s="21">
        <v>514.83</v>
      </c>
      <c r="W30" s="23">
        <f>IFERROR(V30/V148, "NA")</f>
        <v>0.02236568015</v>
      </c>
      <c r="X30" s="21">
        <v>58.22</v>
      </c>
      <c r="Y30" s="23">
        <f>IFERROR(X30/X148, "NA")</f>
        <v>0.003556412385</v>
      </c>
      <c r="Z30" s="21">
        <v>928.74</v>
      </c>
      <c r="AA30" s="23">
        <f>IFERROR(Z30/Z148, "NA")</f>
        <v>0.01293639834</v>
      </c>
      <c r="AB30" s="28">
        <f t="shared" si="13"/>
        <v>232.185</v>
      </c>
      <c r="AC30" s="23">
        <f>IFERROR(AB30/AB148, "NA")</f>
        <v>0.01293639834</v>
      </c>
      <c r="AD30" s="29">
        <f t="shared" si="14"/>
        <v>-173.965</v>
      </c>
      <c r="AE30" s="30">
        <f>IFERROR(AD30/AD148, "NA")</f>
        <v>0.1102604</v>
      </c>
      <c r="AF30" s="29">
        <f t="shared" si="15"/>
        <v>-0.7492516743</v>
      </c>
      <c r="AG30" s="28">
        <f t="shared" si="16"/>
        <v>232.74</v>
      </c>
      <c r="AH30" s="23">
        <f>IFERROR(AG30/AG148, "NA")</f>
        <v>0.01284852607</v>
      </c>
      <c r="AI30" s="29">
        <f t="shared" si="17"/>
        <v>-174.52</v>
      </c>
      <c r="AJ30" s="30">
        <f>IFERROR(AI30/AI148, "NA")</f>
        <v>0.10008545</v>
      </c>
      <c r="AK30" s="29">
        <f t="shared" si="18"/>
        <v>-0.7498496176</v>
      </c>
      <c r="AL30" s="30">
        <f>IFERROR(AK30/AK148, "NA")</f>
        <v>7.789644466</v>
      </c>
    </row>
    <row r="31" ht="16.5" customHeight="1">
      <c r="A31" s="19" t="s">
        <v>89</v>
      </c>
      <c r="B31" s="21">
        <v>14.61</v>
      </c>
      <c r="C31" s="23">
        <f>IFERROR(B31/B148, "NA")</f>
        <v>0.0003129082022</v>
      </c>
      <c r="D31" s="21">
        <v>8.91</v>
      </c>
      <c r="E31" s="23">
        <f>IFERROR(D31/D148, "NA")</f>
        <v>0.0001992253688</v>
      </c>
      <c r="F31" s="21">
        <v>4.87</v>
      </c>
      <c r="G31" s="23">
        <f>IFERROR(F31/F148, "NA")</f>
        <v>0.0002010833728</v>
      </c>
      <c r="H31" s="21">
        <v>4.04</v>
      </c>
      <c r="I31" s="23">
        <f>IFERROR(H31/H148, "NA")</f>
        <v>0.0003188906395</v>
      </c>
      <c r="J31" s="21">
        <v>3.19</v>
      </c>
      <c r="K31" s="23">
        <f>IFERROR(J31/J148, "NA")</f>
        <v>0.000138651103</v>
      </c>
      <c r="L31" s="21">
        <v>15.37</v>
      </c>
      <c r="M31" s="23">
        <f>IFERROR(L31/L148, "NA")</f>
        <v>0.0007870967345</v>
      </c>
      <c r="N31" s="21">
        <v>0.0</v>
      </c>
      <c r="O31" s="23">
        <f>IFERROR(N31/N148, "NA")</f>
        <v>0</v>
      </c>
      <c r="P31" s="21">
        <v>2.44</v>
      </c>
      <c r="Q31" s="23">
        <f>IFERROR(P31/P148, "NA")</f>
        <v>0.0002774104868</v>
      </c>
      <c r="R31" s="21">
        <v>2.43</v>
      </c>
      <c r="S31" s="23">
        <f>IFERROR(R31/R148, "NA")</f>
        <v>0.0002250573063</v>
      </c>
      <c r="T31" s="21">
        <v>7.31</v>
      </c>
      <c r="U31" s="23">
        <f>IFERROR(T31/T148, "NA")</f>
        <v>0.0003383264642</v>
      </c>
      <c r="V31" s="21">
        <v>4.03</v>
      </c>
      <c r="W31" s="23">
        <f>IFERROR(V31/V148, "NA")</f>
        <v>0.0001750746674</v>
      </c>
      <c r="X31" s="21">
        <v>5.64</v>
      </c>
      <c r="Y31" s="23">
        <f>IFERROR(X31/X148, "NA")</f>
        <v>0.0003445236319</v>
      </c>
      <c r="Z31" s="21">
        <v>19.41</v>
      </c>
      <c r="AA31" s="23">
        <f>IFERROR(Z31/Z148, "NA")</f>
        <v>0.0002703614486</v>
      </c>
      <c r="AB31" s="28">
        <f t="shared" si="13"/>
        <v>4.8525</v>
      </c>
      <c r="AC31" s="23">
        <f>IFERROR(AB31/AB148, "NA")</f>
        <v>0.0002703614486</v>
      </c>
      <c r="AD31" s="29">
        <f t="shared" si="14"/>
        <v>0.7875</v>
      </c>
      <c r="AE31" s="30">
        <f>IFERROR(AD31/AD148, "NA")</f>
        <v>-0.0004991237605</v>
      </c>
      <c r="AF31" s="29">
        <f t="shared" si="15"/>
        <v>0.1622874807</v>
      </c>
      <c r="AG31" s="28">
        <f t="shared" si="16"/>
        <v>5.05125</v>
      </c>
      <c r="AH31" s="23">
        <f>IFERROR(AG31/AG148, "NA")</f>
        <v>0.0002788567384</v>
      </c>
      <c r="AI31" s="29">
        <f t="shared" si="17"/>
        <v>0.58875</v>
      </c>
      <c r="AJ31" s="30">
        <f>IFERROR(AI31/AI148, "NA")</f>
        <v>-0.0003376421538</v>
      </c>
      <c r="AK31" s="29">
        <f t="shared" si="18"/>
        <v>0.1165553081</v>
      </c>
      <c r="AL31" s="30">
        <f>IFERROR(AK31/AK148, "NA")</f>
        <v>-1.21080866</v>
      </c>
    </row>
    <row r="32" ht="16.5" customHeight="1">
      <c r="A32" s="19" t="s">
        <v>90</v>
      </c>
      <c r="B32" s="21">
        <v>-39.35</v>
      </c>
      <c r="C32" s="23">
        <f>IFERROR(B32/B148, "NA")</f>
        <v>-0.0008427746583</v>
      </c>
      <c r="D32" s="21">
        <v>0.0</v>
      </c>
      <c r="E32" s="23">
        <f>IFERROR(D32/D148, "NA")</f>
        <v>0</v>
      </c>
      <c r="F32" s="21">
        <v>64.34</v>
      </c>
      <c r="G32" s="23">
        <f>IFERROR(F32/F148, "NA")</f>
        <v>0.002656612773</v>
      </c>
      <c r="H32" s="21">
        <v>-259.62</v>
      </c>
      <c r="I32" s="23">
        <f>IFERROR(H32/H148, "NA")</f>
        <v>-0.02049267025</v>
      </c>
      <c r="J32" s="21">
        <v>417.01</v>
      </c>
      <c r="K32" s="23">
        <f>IFERROR(J32/J148, "NA")</f>
        <v>0.01812504591</v>
      </c>
      <c r="L32" s="21">
        <v>131.17</v>
      </c>
      <c r="M32" s="23">
        <f>IFERROR(L32/L148, "NA")</f>
        <v>0.006717207461</v>
      </c>
      <c r="N32" s="21">
        <v>-74.74</v>
      </c>
      <c r="O32" s="23">
        <f>IFERROR(N32/N148, "NA")</f>
        <v>-0.003430035806</v>
      </c>
      <c r="P32" s="21">
        <v>-43.31</v>
      </c>
      <c r="Q32" s="23">
        <f>IFERROR(P32/P148, "NA")</f>
        <v>-0.004924036141</v>
      </c>
      <c r="R32" s="21">
        <v>43.31</v>
      </c>
      <c r="S32" s="23">
        <f>IFERROR(R32/R148, "NA")</f>
        <v>0.004011206557</v>
      </c>
      <c r="T32" s="21">
        <v>0.0</v>
      </c>
      <c r="U32" s="23">
        <f>IFERROR(T32/T148, "NA")</f>
        <v>0</v>
      </c>
      <c r="V32" s="21">
        <v>22.07</v>
      </c>
      <c r="W32" s="23">
        <f>IFERROR(V32/V148, "NA")</f>
        <v>0.0009587836003</v>
      </c>
      <c r="X32" s="21">
        <v>0.0</v>
      </c>
      <c r="Y32" s="23">
        <f>IFERROR(X32/X148, "NA")</f>
        <v>0</v>
      </c>
      <c r="Z32" s="21">
        <v>65.38</v>
      </c>
      <c r="AA32" s="23">
        <f>IFERROR(Z32/Z148, "NA")</f>
        <v>0.0009106765332</v>
      </c>
      <c r="AB32" s="28">
        <f t="shared" si="13"/>
        <v>16.345</v>
      </c>
      <c r="AC32" s="23">
        <f>IFERROR(AB32/AB148, "NA")</f>
        <v>0.0009106765332</v>
      </c>
      <c r="AD32" s="29">
        <f t="shared" si="14"/>
        <v>-16.345</v>
      </c>
      <c r="AE32" s="30">
        <f>IFERROR(AD32/AD148, "NA")</f>
        <v>0.01035959094</v>
      </c>
      <c r="AF32" s="29">
        <f t="shared" si="15"/>
        <v>-1</v>
      </c>
      <c r="AG32" s="28">
        <f t="shared" si="16"/>
        <v>61.93875</v>
      </c>
      <c r="AH32" s="23">
        <f>IFERROR(AG32/AG148, "NA")</f>
        <v>0.00341935913</v>
      </c>
      <c r="AI32" s="29">
        <f t="shared" si="17"/>
        <v>-61.93875</v>
      </c>
      <c r="AJ32" s="30">
        <f>IFERROR(AI32/AI148, "NA")</f>
        <v>0.03552124493</v>
      </c>
      <c r="AK32" s="29">
        <f t="shared" si="18"/>
        <v>-1</v>
      </c>
      <c r="AL32" s="30">
        <f>IFERROR(AK32/AK148, "NA")</f>
        <v>10.38827557</v>
      </c>
    </row>
    <row r="33" ht="16.5" customHeight="1">
      <c r="A33" s="19" t="s">
        <v>91</v>
      </c>
      <c r="B33" s="21">
        <v>0.0</v>
      </c>
      <c r="C33" s="23">
        <f>IFERROR(B33/B148, "NA")</f>
        <v>0</v>
      </c>
      <c r="D33" s="21">
        <v>0.0</v>
      </c>
      <c r="E33" s="23">
        <f>IFERROR(D33/D148, "NA")</f>
        <v>0</v>
      </c>
      <c r="F33" s="21">
        <v>7.01</v>
      </c>
      <c r="G33" s="23">
        <f>IFERROR(F33/F148, "NA")</f>
        <v>0.0002894444442</v>
      </c>
      <c r="H33" s="21">
        <v>0.0</v>
      </c>
      <c r="I33" s="23">
        <f>IFERROR(H33/H148, "NA")</f>
        <v>0</v>
      </c>
      <c r="J33" s="21">
        <v>-6.99</v>
      </c>
      <c r="K33" s="23">
        <f>IFERROR(J33/J148, "NA")</f>
        <v>-0.0003038154263</v>
      </c>
      <c r="L33" s="21">
        <v>0.0</v>
      </c>
      <c r="M33" s="23">
        <f>IFERROR(L33/L148, "NA")</f>
        <v>0</v>
      </c>
      <c r="N33" s="21">
        <v>0.0</v>
      </c>
      <c r="O33" s="23">
        <f>IFERROR(N33/N148, "NA")</f>
        <v>0</v>
      </c>
      <c r="P33" s="21">
        <v>0.0</v>
      </c>
      <c r="Q33" s="23">
        <f>IFERROR(P33/P148, "NA")</f>
        <v>0</v>
      </c>
      <c r="R33" s="21">
        <v>0.0</v>
      </c>
      <c r="S33" s="23">
        <f>IFERROR(R33/R148, "NA")</f>
        <v>0</v>
      </c>
      <c r="T33" s="21">
        <v>12.23</v>
      </c>
      <c r="U33" s="23">
        <f>IFERROR(T33/T148, "NA")</f>
        <v>0.0005660372992</v>
      </c>
      <c r="V33" s="21">
        <v>-5.26</v>
      </c>
      <c r="W33" s="23">
        <f>IFERROR(V33/V148, "NA")</f>
        <v>-0.0002285093674</v>
      </c>
      <c r="X33" s="21">
        <v>6.99</v>
      </c>
      <c r="Y33" s="23">
        <f>IFERROR(X33/X148, "NA")</f>
        <v>0.0004269893949</v>
      </c>
      <c r="Z33" s="21">
        <v>13.96</v>
      </c>
      <c r="AA33" s="23">
        <f>IFERROR(Z33/Z148, "NA")</f>
        <v>0.0001944485225</v>
      </c>
      <c r="AB33" s="28">
        <f t="shared" si="13"/>
        <v>3.49</v>
      </c>
      <c r="AC33" s="23">
        <f>IFERROR(AB33/AB148, "NA")</f>
        <v>0.0001944485225</v>
      </c>
      <c r="AD33" s="29">
        <f t="shared" si="14"/>
        <v>3.5</v>
      </c>
      <c r="AE33" s="30">
        <f>IFERROR(AD33/AD148, "NA")</f>
        <v>-0.002218327824</v>
      </c>
      <c r="AF33" s="29">
        <f t="shared" si="15"/>
        <v>1.00286533</v>
      </c>
      <c r="AG33" s="28">
        <f t="shared" si="16"/>
        <v>0.87125</v>
      </c>
      <c r="AH33" s="23">
        <f>IFERROR(AG33/AG148, "NA")</f>
        <v>0.00004809778438</v>
      </c>
      <c r="AI33" s="29">
        <f t="shared" si="17"/>
        <v>6.11875</v>
      </c>
      <c r="AJ33" s="30">
        <f>IFERROR(AI33/AI148, "NA")</f>
        <v>-0.003509041068</v>
      </c>
      <c r="AK33" s="29">
        <f t="shared" si="18"/>
        <v>7.022955524</v>
      </c>
      <c r="AL33" s="30">
        <f>IFERROR(AK33/AK148, "NA")</f>
        <v>-72.95639732</v>
      </c>
    </row>
    <row r="34" ht="16.5" customHeight="1">
      <c r="A34" s="65" t="s">
        <v>94</v>
      </c>
      <c r="B34" s="66">
        <f>IFERROR(B29+B30+B31+B32+B33, "NA")</f>
        <v>311.23</v>
      </c>
      <c r="C34" s="67">
        <f>IFERROR(B34/B148, "NA")</f>
        <v>0.006665737152</v>
      </c>
      <c r="D34" s="66">
        <f>IFERROR(D29+D30+D31+D32+D33, "NA")</f>
        <v>412.4</v>
      </c>
      <c r="E34" s="67">
        <f>IFERROR(D34/D148, "NA")</f>
        <v>0.00922116073</v>
      </c>
      <c r="F34" s="66">
        <f>IFERROR(F29+F30+F31+F32+F33, "NA")</f>
        <v>347.36</v>
      </c>
      <c r="G34" s="67">
        <f>IFERROR(F34/F148, "NA")</f>
        <v>0.01434257092</v>
      </c>
      <c r="H34" s="66">
        <f>IFERROR(H29+H30+H31+H32+H33, "NA")</f>
        <v>-116.64</v>
      </c>
      <c r="I34" s="67">
        <f>IFERROR(H34/H148, "NA")</f>
        <v>-0.009206783214</v>
      </c>
      <c r="J34" s="66">
        <f>IFERROR(J29+J30+J31+J32+J33, "NA")</f>
        <v>254.79</v>
      </c>
      <c r="K34" s="67">
        <f>IFERROR(J34/J148, "NA")</f>
        <v>0.01107426788</v>
      </c>
      <c r="L34" s="66">
        <f>IFERROR(L29+L30+L31+L32+L33, "NA")</f>
        <v>1048.31</v>
      </c>
      <c r="M34" s="67">
        <f>IFERROR(L34/L148, "NA")</f>
        <v>0.05368388925</v>
      </c>
      <c r="N34" s="66">
        <f>IFERROR(N29+N30+N31+N32+N33, "NA")</f>
        <v>72.26</v>
      </c>
      <c r="O34" s="67">
        <f>IFERROR(N34/N148, "NA")</f>
        <v>0.003316221398</v>
      </c>
      <c r="P34" s="66">
        <f>IFERROR(P29+P30+P31+P32+P33, "NA")</f>
        <v>1.96</v>
      </c>
      <c r="Q34" s="67">
        <f>IFERROR(P34/P148, "NA")</f>
        <v>0.000222837932</v>
      </c>
      <c r="R34" s="66">
        <f>IFERROR(R29+R30+R31+R32+R33, "NA")</f>
        <v>164.37</v>
      </c>
      <c r="S34" s="67">
        <f>IFERROR(R34/R148, "NA")</f>
        <v>0.01522332075</v>
      </c>
      <c r="T34" s="66">
        <f>IFERROR(T29+T30+T31+T32+T33, "NA")</f>
        <v>256.6</v>
      </c>
      <c r="U34" s="67">
        <f>IFERROR(T34/T148, "NA")</f>
        <v>0.01187613826</v>
      </c>
      <c r="V34" s="66">
        <f>IFERROR(V29+V30+V31+V32+V33, "NA")</f>
        <v>535.67</v>
      </c>
      <c r="W34" s="67">
        <f>IFERROR(V34/V148, "NA")</f>
        <v>0.02327102905</v>
      </c>
      <c r="X34" s="66">
        <f>IFERROR(X29+X30+X31+X32+X33, "NA")</f>
        <v>70.85</v>
      </c>
      <c r="Y34" s="67">
        <f>IFERROR(X34/X148, "NA")</f>
        <v>0.004327925412</v>
      </c>
      <c r="Z34" s="66">
        <f>IFERROR(Z29+Z30+Z31+Z32+Z33, "NA")</f>
        <v>1027.49</v>
      </c>
      <c r="AA34" s="67">
        <f>IFERROR(Z34/Z148, "NA")</f>
        <v>0.01431188484</v>
      </c>
      <c r="AB34" s="66">
        <f t="shared" si="13"/>
        <v>256.8725</v>
      </c>
      <c r="AC34" s="67">
        <f>IFERROR(AB34/AB148, "NA")</f>
        <v>0.01431188484</v>
      </c>
      <c r="AD34" s="75">
        <f t="shared" si="14"/>
        <v>-186.0225</v>
      </c>
      <c r="AE34" s="76">
        <f>IFERROR(AD34/AD148, "NA")</f>
        <v>0.1179025394</v>
      </c>
      <c r="AF34" s="75">
        <f t="shared" si="15"/>
        <v>-0.7241822305</v>
      </c>
      <c r="AG34" s="66">
        <f t="shared" si="16"/>
        <v>300.60125</v>
      </c>
      <c r="AH34" s="67">
        <f>IFERROR(AG34/AG148, "NA")</f>
        <v>0.01659483972</v>
      </c>
      <c r="AI34" s="75">
        <f t="shared" si="17"/>
        <v>-229.75125</v>
      </c>
      <c r="AJ34" s="76">
        <f>IFERROR(AI34/AI148, "NA")</f>
        <v>0.1317600117</v>
      </c>
      <c r="AK34" s="75">
        <f t="shared" si="18"/>
        <v>-0.764305704</v>
      </c>
      <c r="AL34" s="76">
        <f>IFERROR(AK34/AK148, "NA")</f>
        <v>7.939818275</v>
      </c>
    </row>
    <row r="35" ht="16.5" customHeight="1">
      <c r="A35" s="65" t="s">
        <v>95</v>
      </c>
      <c r="B35" s="66">
        <f>IFERROR(B13+B15+B16+B17+B18+B19+B20+B21+B22+B23+B24+B25+B26+B29+B30+B31+B32+B33, "NA")</f>
        <v>9360.01</v>
      </c>
      <c r="C35" s="67">
        <f>IFERROR(B35/B148, "NA")</f>
        <v>0.2004670706</v>
      </c>
      <c r="D35" s="66">
        <f>IFERROR(D13+D15+D16+D17+D18+D19+D20+D21+D22+D23+D24+D25+D26+D29+D30+D31+D32+D33, "NA")</f>
        <v>9309.08</v>
      </c>
      <c r="E35" s="67">
        <f>IFERROR(D35/D148, "NA")</f>
        <v>0.2081486977</v>
      </c>
      <c r="F35" s="66">
        <f>IFERROR(F13+F15+F16+F17+F18+F19+F20+F21+F22+F23+F24+F25+F26+F29+F30+F31+F32+F33, "NA")</f>
        <v>5310.11</v>
      </c>
      <c r="G35" s="67">
        <f>IFERROR(F35/F148, "NA")</f>
        <v>0.2192556117</v>
      </c>
      <c r="H35" s="66">
        <f>IFERROR(H13+H15+H16+H17+H18+H19+H20+H21+H22+H23+H24+H25+H26+H29+H30+H31+H32+H33, "NA")</f>
        <v>2912</v>
      </c>
      <c r="I35" s="67">
        <f>IFERROR(H35/H148, "NA")</f>
        <v>0.2298538471</v>
      </c>
      <c r="J35" s="66">
        <f>IFERROR(J13+J15+J16+J17+J18+J19+J20+J21+J22+J23+J24+J25+J26+J29+J30+J31+J32+J33, "NA")</f>
        <v>5632.97</v>
      </c>
      <c r="K35" s="67">
        <f>IFERROR(J35/J148, "NA")</f>
        <v>0.2448330732</v>
      </c>
      <c r="L35" s="66">
        <f>IFERROR(L13+L15+L16+L17+L18+L19+L20+L21+L22+L23+L24+L25+L26+L29+L30+L31+L32+L33, "NA")</f>
        <v>5254.02</v>
      </c>
      <c r="M35" s="67">
        <f>IFERROR(L35/L148, "NA")</f>
        <v>0.2690580342</v>
      </c>
      <c r="N35" s="66">
        <f>IFERROR(N13+N15+N16+N17+N18+N19+N20+N21+N22+N23+N24+N25+N26+N29+N30+N31+N32+N33, "NA")</f>
        <v>4678.72</v>
      </c>
      <c r="O35" s="67">
        <f>IFERROR(N35/N148, "NA")</f>
        <v>0.2147200579</v>
      </c>
      <c r="P35" s="66">
        <f>IFERROR(P13+P15+P16+P17+P18+P19+P20+P21+P22+P23+P24+P25+P26+P29+P30+P31+P32+P33, "NA")</f>
        <v>2165.98</v>
      </c>
      <c r="Q35" s="67">
        <f>IFERROR(P35/P148, "NA")</f>
        <v>0.2462563796</v>
      </c>
      <c r="R35" s="66">
        <f>IFERROR(R13+R15+R16+R17+R18+R19+R20+R21+R22+R23+R24+R25+R26+R29+R30+R31+R32+R33, "NA")</f>
        <v>2973.16</v>
      </c>
      <c r="S35" s="67">
        <f>IFERROR(R35/R148, "NA")</f>
        <v>0.2753627081</v>
      </c>
      <c r="T35" s="66">
        <f>IFERROR(T13+T15+T16+T17+T18+T19+T20+T21+T22+T23+T24+T25+T26+T29+T30+T31+T32+T33, "NA")</f>
        <v>4317.17</v>
      </c>
      <c r="U35" s="67">
        <f>IFERROR(T35/T148, "NA")</f>
        <v>0.199810241</v>
      </c>
      <c r="V35" s="66">
        <f>IFERROR(V13+V15+V16+V17+V18+V19+V20+V21+V22+V23+V24+V25+V26+V29+V30+V31+V32+V33, "NA")</f>
        <v>5860.4</v>
      </c>
      <c r="W35" s="67">
        <f>IFERROR(V35/V148, "NA")</f>
        <v>0.2545924518</v>
      </c>
      <c r="X35" s="66">
        <f>IFERROR(X13+X15+X16+X17+X18+X19+X20+X21+X22+X23+X24+X25+X26+X29+X30+X31+X32+X33, "NA")</f>
        <v>3528.95</v>
      </c>
      <c r="Y35" s="67">
        <f>IFERROR(X35/X148, "NA")</f>
        <v>0.2155685587</v>
      </c>
      <c r="Z35" s="66">
        <f>IFERROR(Z13+Z15+Z16+Z17+Z18+Z19+Z20+Z21+Z22+Z23+Z24+Z25+Z26+Z29+Z30+Z31+Z32+Z33, "NA")</f>
        <v>16679.68</v>
      </c>
      <c r="AA35" s="67">
        <f>IFERROR(Z35/Z148, "NA")</f>
        <v>0.2323308834</v>
      </c>
      <c r="AB35" s="66">
        <f t="shared" si="13"/>
        <v>4169.92</v>
      </c>
      <c r="AC35" s="67">
        <f>IFERROR(AB35/AB148, "NA")</f>
        <v>0.2323308834</v>
      </c>
      <c r="AD35" s="75">
        <f t="shared" si="14"/>
        <v>-640.97</v>
      </c>
      <c r="AE35" s="76">
        <f>IFERROR(AD35/AD148, "NA")</f>
        <v>0.4062518816</v>
      </c>
      <c r="AF35" s="75">
        <f t="shared" si="15"/>
        <v>-0.1537127811</v>
      </c>
      <c r="AG35" s="66">
        <f t="shared" si="16"/>
        <v>4301.42125</v>
      </c>
      <c r="AH35" s="67">
        <f>IFERROR(AG35/AG148, "NA")</f>
        <v>0.2374620738</v>
      </c>
      <c r="AI35" s="75">
        <f t="shared" si="17"/>
        <v>-772.47125</v>
      </c>
      <c r="AJ35" s="76">
        <f>IFERROR(AI35/AI148, "NA")</f>
        <v>0.4430044273</v>
      </c>
      <c r="AK35" s="75">
        <f t="shared" si="18"/>
        <v>-0.1795851197</v>
      </c>
      <c r="AL35" s="76">
        <f>IFERROR(AK35/AK148, "NA")</f>
        <v>1.865579712</v>
      </c>
    </row>
    <row r="36" ht="16.5" customHeight="1">
      <c r="A36" s="13" t="s">
        <v>96</v>
      </c>
      <c r="B36" s="14"/>
      <c r="C36" s="12"/>
      <c r="D36" s="14"/>
      <c r="E36" s="12"/>
      <c r="F36" s="14"/>
      <c r="G36" s="12"/>
      <c r="H36" s="14"/>
      <c r="I36" s="12"/>
      <c r="J36" s="14"/>
      <c r="K36" s="12"/>
      <c r="L36" s="14"/>
      <c r="M36" s="12"/>
      <c r="N36" s="14"/>
      <c r="O36" s="12"/>
      <c r="P36" s="14"/>
      <c r="Q36" s="12"/>
      <c r="R36" s="14"/>
      <c r="S36" s="12"/>
      <c r="T36" s="14"/>
      <c r="U36" s="12"/>
      <c r="V36" s="14"/>
      <c r="W36" s="12"/>
      <c r="X36" s="14"/>
      <c r="Y36" s="12"/>
      <c r="Z36" s="14"/>
      <c r="AA36" s="12"/>
      <c r="AB36" s="14"/>
      <c r="AC36" s="12"/>
      <c r="AD36" s="17"/>
      <c r="AE36" s="18"/>
      <c r="AF36" s="17"/>
      <c r="AG36" s="14"/>
      <c r="AH36" s="12"/>
      <c r="AI36" s="17"/>
      <c r="AJ36" s="18"/>
      <c r="AK36" s="17"/>
      <c r="AL36" s="18"/>
    </row>
    <row r="37" ht="16.5" hidden="1" customHeight="1">
      <c r="A37" s="19" t="s">
        <v>97</v>
      </c>
      <c r="B37" s="21">
        <v>0.0</v>
      </c>
      <c r="C37" s="23">
        <f>IFERROR(B37/B148, "NA")</f>
        <v>0</v>
      </c>
      <c r="D37" s="21">
        <v>0.0</v>
      </c>
      <c r="E37" s="23">
        <f>IFERROR(D37/D148, "NA")</f>
        <v>0</v>
      </c>
      <c r="F37" s="21">
        <v>0.0</v>
      </c>
      <c r="G37" s="23">
        <f>IFERROR(F37/F148, "NA")</f>
        <v>0</v>
      </c>
      <c r="H37" s="21">
        <v>0.0</v>
      </c>
      <c r="I37" s="23">
        <f>IFERROR(H37/H148, "NA")</f>
        <v>0</v>
      </c>
      <c r="J37" s="21">
        <v>0.0</v>
      </c>
      <c r="K37" s="23">
        <f>IFERROR(J37/J148, "NA")</f>
        <v>0</v>
      </c>
      <c r="L37" s="21">
        <v>0.0</v>
      </c>
      <c r="M37" s="23">
        <f>IFERROR(L37/L148, "NA")</f>
        <v>0</v>
      </c>
      <c r="N37" s="21">
        <v>0.0</v>
      </c>
      <c r="O37" s="23">
        <f>IFERROR(N37/N148, "NA")</f>
        <v>0</v>
      </c>
      <c r="P37" s="21">
        <v>0.0</v>
      </c>
      <c r="Q37" s="23">
        <f>IFERROR(P37/P148, "NA")</f>
        <v>0</v>
      </c>
      <c r="R37" s="21">
        <v>0.0</v>
      </c>
      <c r="S37" s="23">
        <f>IFERROR(R37/R148, "NA")</f>
        <v>0</v>
      </c>
      <c r="T37" s="21">
        <v>0.0</v>
      </c>
      <c r="U37" s="23">
        <f>IFERROR(T37/T148, "NA")</f>
        <v>0</v>
      </c>
      <c r="V37" s="21">
        <v>0.0</v>
      </c>
      <c r="W37" s="23">
        <f>IFERROR(V37/V148, "NA")</f>
        <v>0</v>
      </c>
      <c r="X37" s="21">
        <v>0.0</v>
      </c>
      <c r="Y37" s="23">
        <f>IFERROR(X37/X148, "NA")</f>
        <v>0</v>
      </c>
      <c r="Z37" s="21">
        <v>0.0</v>
      </c>
      <c r="AA37" s="23">
        <f>IFERROR(Z37/Z148, "NA")</f>
        <v>0</v>
      </c>
      <c r="AB37" s="28">
        <f>IFERROR((R37+T37+V37+X37)/4, "NA")</f>
        <v>0</v>
      </c>
      <c r="AC37" s="23">
        <f>IFERROR(AB37/AB148, "NA")</f>
        <v>0</v>
      </c>
      <c r="AD37" s="29">
        <f>IFERROR(X37-AB37, "NA")</f>
        <v>0</v>
      </c>
      <c r="AE37" s="30">
        <f>IFERROR(AD37/AD148, "NA")</f>
        <v>0</v>
      </c>
      <c r="AF37" s="29" t="str">
        <f>IFERROR((X37-AB37)/AB37, "NA")</f>
        <v>NA</v>
      </c>
      <c r="AG37" s="28">
        <f>IFERROR((J37+L37+N37+P37+R37+T37+V37+X37)/8, "NA")</f>
        <v>0</v>
      </c>
      <c r="AH37" s="23">
        <f>IFERROR(AG37/AG148, "NA")</f>
        <v>0</v>
      </c>
      <c r="AI37" s="29">
        <f>IFERROR(X37-AG37, "NA")</f>
        <v>0</v>
      </c>
      <c r="AJ37" s="30">
        <f>IFERROR(AI37/AI148, "NA")</f>
        <v>0</v>
      </c>
      <c r="AK37" s="29" t="str">
        <f>IFERROR((X37-AG37)/AG37, "NA")</f>
        <v>NA</v>
      </c>
      <c r="AL37" s="30" t="str">
        <f>IFERROR(AK37/AK148, "NA")</f>
        <v>NA</v>
      </c>
    </row>
    <row r="38" ht="16.5" customHeight="1">
      <c r="A38" s="13" t="s">
        <v>98</v>
      </c>
      <c r="B38" s="14"/>
      <c r="C38" s="12"/>
      <c r="D38" s="14"/>
      <c r="E38" s="12"/>
      <c r="F38" s="14"/>
      <c r="G38" s="12"/>
      <c r="H38" s="14"/>
      <c r="I38" s="12"/>
      <c r="J38" s="14"/>
      <c r="K38" s="12"/>
      <c r="L38" s="14"/>
      <c r="M38" s="12"/>
      <c r="N38" s="14"/>
      <c r="O38" s="12"/>
      <c r="P38" s="14"/>
      <c r="Q38" s="12"/>
      <c r="R38" s="14"/>
      <c r="S38" s="12"/>
      <c r="T38" s="14"/>
      <c r="U38" s="12"/>
      <c r="V38" s="14"/>
      <c r="W38" s="12"/>
      <c r="X38" s="14"/>
      <c r="Y38" s="12"/>
      <c r="Z38" s="14"/>
      <c r="AA38" s="12"/>
      <c r="AB38" s="14"/>
      <c r="AC38" s="12"/>
      <c r="AD38" s="17"/>
      <c r="AE38" s="18"/>
      <c r="AF38" s="17"/>
      <c r="AG38" s="14"/>
      <c r="AH38" s="12"/>
      <c r="AI38" s="17"/>
      <c r="AJ38" s="18"/>
      <c r="AK38" s="17"/>
      <c r="AL38" s="18"/>
    </row>
    <row r="39" ht="16.5" hidden="1" customHeight="1">
      <c r="A39" s="19" t="s">
        <v>99</v>
      </c>
      <c r="B39" s="21">
        <v>0.0</v>
      </c>
      <c r="C39" s="23">
        <f>IFERROR(B39/B148, "NA")</f>
        <v>0</v>
      </c>
      <c r="D39" s="21">
        <v>0.0</v>
      </c>
      <c r="E39" s="23">
        <f>IFERROR(D39/D148, "NA")</f>
        <v>0</v>
      </c>
      <c r="F39" s="21">
        <v>0.0</v>
      </c>
      <c r="G39" s="23">
        <f>IFERROR(F39/F148, "NA")</f>
        <v>0</v>
      </c>
      <c r="H39" s="21">
        <v>0.0</v>
      </c>
      <c r="I39" s="23">
        <f>IFERROR(H39/H148, "NA")</f>
        <v>0</v>
      </c>
      <c r="J39" s="21">
        <v>0.0</v>
      </c>
      <c r="K39" s="23">
        <f>IFERROR(J39/J148, "NA")</f>
        <v>0</v>
      </c>
      <c r="L39" s="21">
        <v>0.0</v>
      </c>
      <c r="M39" s="23">
        <f>IFERROR(L39/L148, "NA")</f>
        <v>0</v>
      </c>
      <c r="N39" s="21">
        <v>0.0</v>
      </c>
      <c r="O39" s="23">
        <f>IFERROR(N39/N148, "NA")</f>
        <v>0</v>
      </c>
      <c r="P39" s="21">
        <v>0.0</v>
      </c>
      <c r="Q39" s="23">
        <f>IFERROR(P39/P148, "NA")</f>
        <v>0</v>
      </c>
      <c r="R39" s="21">
        <v>0.0</v>
      </c>
      <c r="S39" s="23">
        <f>IFERROR(R39/R148, "NA")</f>
        <v>0</v>
      </c>
      <c r="T39" s="21">
        <v>0.0</v>
      </c>
      <c r="U39" s="23">
        <f>IFERROR(T39/T148, "NA")</f>
        <v>0</v>
      </c>
      <c r="V39" s="21">
        <v>0.0</v>
      </c>
      <c r="W39" s="23">
        <f>IFERROR(V39/V148, "NA")</f>
        <v>0</v>
      </c>
      <c r="X39" s="21">
        <v>0.0</v>
      </c>
      <c r="Y39" s="23">
        <f>IFERROR(X39/X148, "NA")</f>
        <v>0</v>
      </c>
      <c r="Z39" s="21">
        <v>0.0</v>
      </c>
      <c r="AA39" s="23">
        <f>IFERROR(Z39/Z148, "NA")</f>
        <v>0</v>
      </c>
      <c r="AB39" s="28">
        <f t="shared" ref="AB39:AB44" si="19">IFERROR((R39+T39+V39+X39)/4, "NA")</f>
        <v>0</v>
      </c>
      <c r="AC39" s="23">
        <f>IFERROR(AB39/AB148, "NA")</f>
        <v>0</v>
      </c>
      <c r="AD39" s="29">
        <f t="shared" ref="AD39:AD44" si="20">IFERROR(X39-AB39, "NA")</f>
        <v>0</v>
      </c>
      <c r="AE39" s="30">
        <f>IFERROR(AD39/AD148, "NA")</f>
        <v>0</v>
      </c>
      <c r="AF39" s="29" t="str">
        <f t="shared" ref="AF39:AF44" si="21">IFERROR((X39-AB39)/AB39, "NA")</f>
        <v>NA</v>
      </c>
      <c r="AG39" s="28">
        <f t="shared" ref="AG39:AG44" si="22">IFERROR((J39+L39+N39+P39+R39+T39+V39+X39)/8, "NA")</f>
        <v>0</v>
      </c>
      <c r="AH39" s="23">
        <f>IFERROR(AG39/AG148, "NA")</f>
        <v>0</v>
      </c>
      <c r="AI39" s="29">
        <f t="shared" ref="AI39:AI44" si="23">IFERROR(X39-AG39, "NA")</f>
        <v>0</v>
      </c>
      <c r="AJ39" s="30">
        <f>IFERROR(AI39/AI148, "NA")</f>
        <v>0</v>
      </c>
      <c r="AK39" s="29" t="str">
        <f t="shared" ref="AK39:AK44" si="24">IFERROR((X39-AG39)/AG39, "NA")</f>
        <v>NA</v>
      </c>
      <c r="AL39" s="30" t="str">
        <f>IFERROR(AK39/AK148, "NA")</f>
        <v>NA</v>
      </c>
    </row>
    <row r="40" ht="16.5" customHeight="1">
      <c r="A40" s="19" t="s">
        <v>100</v>
      </c>
      <c r="B40" s="21">
        <v>989.86</v>
      </c>
      <c r="C40" s="23">
        <f>IFERROR(B40/B148, "NA")</f>
        <v>0.02120022677</v>
      </c>
      <c r="D40" s="21">
        <v>379.04</v>
      </c>
      <c r="E40" s="23">
        <f>IFERROR(D40/D148, "NA")</f>
        <v>0.008475239484</v>
      </c>
      <c r="F40" s="21">
        <v>809.33</v>
      </c>
      <c r="G40" s="23">
        <f>IFERROR(F40/F148, "NA")</f>
        <v>0.03341741399</v>
      </c>
      <c r="H40" s="21">
        <v>459.48</v>
      </c>
      <c r="I40" s="23">
        <f>IFERROR(H40/H148, "NA")</f>
        <v>0.03626828491</v>
      </c>
      <c r="J40" s="21">
        <v>615.99</v>
      </c>
      <c r="K40" s="23">
        <f>IFERROR(J40/J148, "NA")</f>
        <v>0.02677357145</v>
      </c>
      <c r="L40" s="21">
        <v>631.09</v>
      </c>
      <c r="M40" s="23">
        <f>IFERROR(L40/L148, "NA")</f>
        <v>0.03231807926</v>
      </c>
      <c r="N40" s="21">
        <v>771.82</v>
      </c>
      <c r="O40" s="23">
        <f>IFERROR(N40/N148, "NA")</f>
        <v>0.03542106282</v>
      </c>
      <c r="P40" s="21">
        <v>128.6</v>
      </c>
      <c r="Q40" s="23">
        <f>IFERROR(P40/P148, "NA")</f>
        <v>0.01462089697</v>
      </c>
      <c r="R40" s="21">
        <v>457.19</v>
      </c>
      <c r="S40" s="23">
        <f>IFERROR(R40/R148, "NA")</f>
        <v>0.04234318924</v>
      </c>
      <c r="T40" s="21">
        <v>419.93</v>
      </c>
      <c r="U40" s="23">
        <f>IFERROR(T40/T148, "NA")</f>
        <v>0.01943549003</v>
      </c>
      <c r="V40" s="21">
        <v>824.52</v>
      </c>
      <c r="W40" s="23">
        <f>IFERROR(V40/V148, "NA")</f>
        <v>0.03581949498</v>
      </c>
      <c r="X40" s="21">
        <v>563.77</v>
      </c>
      <c r="Y40" s="23">
        <f>IFERROR(X40/X148, "NA")</f>
        <v>0.03443831347</v>
      </c>
      <c r="Z40" s="21">
        <v>2265.41</v>
      </c>
      <c r="AA40" s="23">
        <f>IFERROR(Z40/Z148, "NA")</f>
        <v>0.03155484437</v>
      </c>
      <c r="AB40" s="28">
        <f t="shared" si="19"/>
        <v>566.3525</v>
      </c>
      <c r="AC40" s="23">
        <f>IFERROR(AB40/AB148, "NA")</f>
        <v>0.03155484437</v>
      </c>
      <c r="AD40" s="29">
        <f t="shared" si="20"/>
        <v>-2.5825</v>
      </c>
      <c r="AE40" s="30">
        <f>IFERROR(AD40/AD148, "NA")</f>
        <v>0.00163680903</v>
      </c>
      <c r="AF40" s="29">
        <f t="shared" si="21"/>
        <v>-0.004559880993</v>
      </c>
      <c r="AG40" s="28">
        <f t="shared" si="22"/>
        <v>551.61375</v>
      </c>
      <c r="AH40" s="23">
        <f>IFERROR(AG40/AG148, "NA")</f>
        <v>0.03045210813</v>
      </c>
      <c r="AI40" s="29">
        <f t="shared" si="23"/>
        <v>12.15625</v>
      </c>
      <c r="AJ40" s="30">
        <f>IFERROR(AI40/AI148, "NA")</f>
        <v>-0.006971486084</v>
      </c>
      <c r="AK40" s="29">
        <f t="shared" si="24"/>
        <v>0.02203761237</v>
      </c>
      <c r="AL40" s="30">
        <f>IFERROR(AK40/AK148, "NA")</f>
        <v>-0.2289327903</v>
      </c>
    </row>
    <row r="41" ht="16.5" customHeight="1">
      <c r="A41" s="19" t="s">
        <v>101</v>
      </c>
      <c r="B41" s="21">
        <v>1000.59</v>
      </c>
      <c r="C41" s="23">
        <f>IFERROR(B41/B148, "NA")</f>
        <v>0.02143003546</v>
      </c>
      <c r="D41" s="21">
        <v>657.02</v>
      </c>
      <c r="E41" s="23">
        <f>IFERROR(D41/D148, "NA")</f>
        <v>0.01469080267</v>
      </c>
      <c r="F41" s="21">
        <v>333.4</v>
      </c>
      <c r="G41" s="23">
        <f>IFERROR(F41/F148, "NA")</f>
        <v>0.01376615944</v>
      </c>
      <c r="H41" s="21">
        <v>37.24</v>
      </c>
      <c r="I41" s="23">
        <f>IFERROR(H41/H148, "NA")</f>
        <v>0.002939477082</v>
      </c>
      <c r="J41" s="21">
        <v>244.62</v>
      </c>
      <c r="K41" s="23">
        <f>IFERROR(J41/J148, "NA")</f>
        <v>0.01063223599</v>
      </c>
      <c r="L41" s="21">
        <v>336.64</v>
      </c>
      <c r="M41" s="23">
        <f>IFERROR(L41/L148, "NA")</f>
        <v>0.01723931325</v>
      </c>
      <c r="N41" s="21">
        <v>461.13</v>
      </c>
      <c r="O41" s="23">
        <f>IFERROR(N41/N148, "NA")</f>
        <v>0.02116259581</v>
      </c>
      <c r="P41" s="21">
        <v>2.56</v>
      </c>
      <c r="Q41" s="23">
        <f>IFERROR(P41/P148, "NA")</f>
        <v>0.0002910536255</v>
      </c>
      <c r="R41" s="21">
        <v>73.35</v>
      </c>
      <c r="S41" s="23">
        <f>IFERROR(R41/R148, "NA")</f>
        <v>0.006793396467</v>
      </c>
      <c r="T41" s="21">
        <v>145.76</v>
      </c>
      <c r="U41" s="23">
        <f>IFERROR(T41/T148, "NA")</f>
        <v>0.006746164901</v>
      </c>
      <c r="V41" s="21">
        <v>244.37</v>
      </c>
      <c r="W41" s="23">
        <f>IFERROR(V41/V148, "NA")</f>
        <v>0.01061612816</v>
      </c>
      <c r="X41" s="21">
        <v>180.11</v>
      </c>
      <c r="Y41" s="23">
        <f>IFERROR(X41/X148, "NA")</f>
        <v>0.01100215449</v>
      </c>
      <c r="Z41" s="21">
        <v>643.59</v>
      </c>
      <c r="AA41" s="23">
        <f>IFERROR(Z41/Z148, "NA")</f>
        <v>0.008964550474</v>
      </c>
      <c r="AB41" s="28">
        <f t="shared" si="19"/>
        <v>160.8975</v>
      </c>
      <c r="AC41" s="23">
        <f>IFERROR(AB41/AB148, "NA")</f>
        <v>0.008964550474</v>
      </c>
      <c r="AD41" s="29">
        <f t="shared" si="20"/>
        <v>19.2125</v>
      </c>
      <c r="AE41" s="30">
        <f>IFERROR(AD41/AD148, "NA")</f>
        <v>-0.01217703524</v>
      </c>
      <c r="AF41" s="29">
        <f t="shared" si="21"/>
        <v>0.119408319</v>
      </c>
      <c r="AG41" s="28">
        <f t="shared" si="22"/>
        <v>211.0675</v>
      </c>
      <c r="AH41" s="23">
        <f>IFERROR(AG41/AG148, "NA")</f>
        <v>0.01165208506</v>
      </c>
      <c r="AI41" s="29">
        <f t="shared" si="23"/>
        <v>-30.9575</v>
      </c>
      <c r="AJ41" s="30">
        <f>IFERROR(AI41/AI148, "NA")</f>
        <v>0.01775381227</v>
      </c>
      <c r="AK41" s="29">
        <f t="shared" si="24"/>
        <v>-0.1466710886</v>
      </c>
      <c r="AL41" s="30">
        <f>IFERROR(AK41/AK148, "NA")</f>
        <v>1.523659687</v>
      </c>
    </row>
    <row r="42" ht="16.5" hidden="1" customHeight="1">
      <c r="A42" s="19" t="s">
        <v>102</v>
      </c>
      <c r="B42" s="21">
        <v>0.0</v>
      </c>
      <c r="C42" s="23">
        <f>IFERROR(B42/B148, "NA")</f>
        <v>0</v>
      </c>
      <c r="D42" s="21">
        <v>0.0</v>
      </c>
      <c r="E42" s="23">
        <f>IFERROR(D42/D148, "NA")</f>
        <v>0</v>
      </c>
      <c r="F42" s="21">
        <v>0.0</v>
      </c>
      <c r="G42" s="23">
        <f>IFERROR(F42/F148, "NA")</f>
        <v>0</v>
      </c>
      <c r="H42" s="21">
        <v>0.0</v>
      </c>
      <c r="I42" s="23">
        <f>IFERROR(H42/H148, "NA")</f>
        <v>0</v>
      </c>
      <c r="J42" s="21">
        <v>0.0</v>
      </c>
      <c r="K42" s="23">
        <f>IFERROR(J42/J148, "NA")</f>
        <v>0</v>
      </c>
      <c r="L42" s="21">
        <v>0.0</v>
      </c>
      <c r="M42" s="23">
        <f>IFERROR(L42/L148, "NA")</f>
        <v>0</v>
      </c>
      <c r="N42" s="21">
        <v>0.0</v>
      </c>
      <c r="O42" s="23">
        <f>IFERROR(N42/N148, "NA")</f>
        <v>0</v>
      </c>
      <c r="P42" s="21">
        <v>0.0</v>
      </c>
      <c r="Q42" s="23">
        <f>IFERROR(P42/P148, "NA")</f>
        <v>0</v>
      </c>
      <c r="R42" s="21">
        <v>0.0</v>
      </c>
      <c r="S42" s="23">
        <f>IFERROR(R42/R148, "NA")</f>
        <v>0</v>
      </c>
      <c r="T42" s="21">
        <v>0.0</v>
      </c>
      <c r="U42" s="23">
        <f>IFERROR(T42/T148, "NA")</f>
        <v>0</v>
      </c>
      <c r="V42" s="21">
        <v>0.0</v>
      </c>
      <c r="W42" s="23">
        <f>IFERROR(V42/V148, "NA")</f>
        <v>0</v>
      </c>
      <c r="X42" s="21">
        <v>0.0</v>
      </c>
      <c r="Y42" s="23">
        <f>IFERROR(X42/X148, "NA")</f>
        <v>0</v>
      </c>
      <c r="Z42" s="21">
        <v>0.0</v>
      </c>
      <c r="AA42" s="23">
        <f>IFERROR(Z42/Z148, "NA")</f>
        <v>0</v>
      </c>
      <c r="AB42" s="28">
        <f t="shared" si="19"/>
        <v>0</v>
      </c>
      <c r="AC42" s="23">
        <f>IFERROR(AB42/AB148, "NA")</f>
        <v>0</v>
      </c>
      <c r="AD42" s="29">
        <f t="shared" si="20"/>
        <v>0</v>
      </c>
      <c r="AE42" s="30">
        <f>IFERROR(AD42/AD148, "NA")</f>
        <v>0</v>
      </c>
      <c r="AF42" s="29" t="str">
        <f t="shared" si="21"/>
        <v>NA</v>
      </c>
      <c r="AG42" s="28">
        <f t="shared" si="22"/>
        <v>0</v>
      </c>
      <c r="AH42" s="23">
        <f>IFERROR(AG42/AG148, "NA")</f>
        <v>0</v>
      </c>
      <c r="AI42" s="29">
        <f t="shared" si="23"/>
        <v>0</v>
      </c>
      <c r="AJ42" s="30">
        <f>IFERROR(AI42/AI148, "NA")</f>
        <v>0</v>
      </c>
      <c r="AK42" s="29" t="str">
        <f t="shared" si="24"/>
        <v>NA</v>
      </c>
      <c r="AL42" s="30" t="str">
        <f>IFERROR(AK42/AK148, "NA")</f>
        <v>NA</v>
      </c>
    </row>
    <row r="43" ht="16.5" hidden="1" customHeight="1">
      <c r="A43" s="19" t="s">
        <v>103</v>
      </c>
      <c r="B43" s="21">
        <v>0.0</v>
      </c>
      <c r="C43" s="23">
        <f>IFERROR(B43/B148, "NA")</f>
        <v>0</v>
      </c>
      <c r="D43" s="21">
        <v>0.0</v>
      </c>
      <c r="E43" s="23">
        <f>IFERROR(D43/D148, "NA")</f>
        <v>0</v>
      </c>
      <c r="F43" s="21">
        <v>0.0</v>
      </c>
      <c r="G43" s="23">
        <f>IFERROR(F43/F148, "NA")</f>
        <v>0</v>
      </c>
      <c r="H43" s="21">
        <v>0.0</v>
      </c>
      <c r="I43" s="23">
        <f>IFERROR(H43/H148, "NA")</f>
        <v>0</v>
      </c>
      <c r="J43" s="21">
        <v>0.0</v>
      </c>
      <c r="K43" s="23">
        <f>IFERROR(J43/J148, "NA")</f>
        <v>0</v>
      </c>
      <c r="L43" s="21">
        <v>0.0</v>
      </c>
      <c r="M43" s="23">
        <f>IFERROR(L43/L148, "NA")</f>
        <v>0</v>
      </c>
      <c r="N43" s="21">
        <v>0.0</v>
      </c>
      <c r="O43" s="23">
        <f>IFERROR(N43/N148, "NA")</f>
        <v>0</v>
      </c>
      <c r="P43" s="21">
        <v>0.0</v>
      </c>
      <c r="Q43" s="23">
        <f>IFERROR(P43/P148, "NA")</f>
        <v>0</v>
      </c>
      <c r="R43" s="21">
        <v>0.0</v>
      </c>
      <c r="S43" s="23">
        <f>IFERROR(R43/R148, "NA")</f>
        <v>0</v>
      </c>
      <c r="T43" s="21">
        <v>0.0</v>
      </c>
      <c r="U43" s="23">
        <f>IFERROR(T43/T148, "NA")</f>
        <v>0</v>
      </c>
      <c r="V43" s="21">
        <v>0.0</v>
      </c>
      <c r="W43" s="23">
        <f>IFERROR(V43/V148, "NA")</f>
        <v>0</v>
      </c>
      <c r="X43" s="21">
        <v>0.0</v>
      </c>
      <c r="Y43" s="23">
        <f>IFERROR(X43/X148, "NA")</f>
        <v>0</v>
      </c>
      <c r="Z43" s="21">
        <v>0.0</v>
      </c>
      <c r="AA43" s="23">
        <f>IFERROR(Z43/Z148, "NA")</f>
        <v>0</v>
      </c>
      <c r="AB43" s="28">
        <f t="shared" si="19"/>
        <v>0</v>
      </c>
      <c r="AC43" s="23">
        <f>IFERROR(AB43/AB148, "NA")</f>
        <v>0</v>
      </c>
      <c r="AD43" s="29">
        <f t="shared" si="20"/>
        <v>0</v>
      </c>
      <c r="AE43" s="30">
        <f>IFERROR(AD43/AD148, "NA")</f>
        <v>0</v>
      </c>
      <c r="AF43" s="29" t="str">
        <f t="shared" si="21"/>
        <v>NA</v>
      </c>
      <c r="AG43" s="28">
        <f t="shared" si="22"/>
        <v>0</v>
      </c>
      <c r="AH43" s="23">
        <f>IFERROR(AG43/AG148, "NA")</f>
        <v>0</v>
      </c>
      <c r="AI43" s="29">
        <f t="shared" si="23"/>
        <v>0</v>
      </c>
      <c r="AJ43" s="30">
        <f>IFERROR(AI43/AI148, "NA")</f>
        <v>0</v>
      </c>
      <c r="AK43" s="29" t="str">
        <f t="shared" si="24"/>
        <v>NA</v>
      </c>
      <c r="AL43" s="30" t="str">
        <f>IFERROR(AK43/AK148, "NA")</f>
        <v>NA</v>
      </c>
    </row>
    <row r="44" ht="16.5" customHeight="1">
      <c r="A44" s="65" t="s">
        <v>105</v>
      </c>
      <c r="B44" s="66">
        <f>IFERROR(B39+B40+B41+B42+B43, "NA")</f>
        <v>1990.45</v>
      </c>
      <c r="C44" s="67">
        <f>IFERROR(B44/B148, "NA")</f>
        <v>0.04263026223</v>
      </c>
      <c r="D44" s="66">
        <f>IFERROR(D39+D40+D41+D42+D43, "NA")</f>
        <v>1036.06</v>
      </c>
      <c r="E44" s="67">
        <f>IFERROR(D44/D148, "NA")</f>
        <v>0.02316604216</v>
      </c>
      <c r="F44" s="66">
        <f>IFERROR(F39+F40+F41+F42+F43, "NA")</f>
        <v>1142.73</v>
      </c>
      <c r="G44" s="67">
        <f>IFERROR(F44/F148, "NA")</f>
        <v>0.04718357343</v>
      </c>
      <c r="H44" s="66">
        <f>IFERROR(H39+H40+H41+H42+H43, "NA")</f>
        <v>496.72</v>
      </c>
      <c r="I44" s="67">
        <f>IFERROR(H44/H148, "NA")</f>
        <v>0.03920776199</v>
      </c>
      <c r="J44" s="66">
        <f>IFERROR(J39+J40+J41+J42+J43, "NA")</f>
        <v>860.61</v>
      </c>
      <c r="K44" s="67">
        <f>IFERROR(J44/J148, "NA")</f>
        <v>0.03740580744</v>
      </c>
      <c r="L44" s="66">
        <f>IFERROR(L39+L40+L41+L42+L43, "NA")</f>
        <v>967.73</v>
      </c>
      <c r="M44" s="67">
        <f>IFERROR(L44/L148, "NA")</f>
        <v>0.04955739251</v>
      </c>
      <c r="N44" s="66">
        <f>IFERROR(N39+N40+N41+N42+N43, "NA")</f>
        <v>1232.95</v>
      </c>
      <c r="O44" s="67">
        <f>IFERROR(N44/N148, "NA")</f>
        <v>0.05658365864</v>
      </c>
      <c r="P44" s="66">
        <f>IFERROR(P39+P40+P41+P42+P43, "NA")</f>
        <v>131.16</v>
      </c>
      <c r="Q44" s="67">
        <f>IFERROR(P44/P148, "NA")</f>
        <v>0.01491195059</v>
      </c>
      <c r="R44" s="66">
        <f>IFERROR(R39+R40+R41+R42+R43, "NA")</f>
        <v>530.54</v>
      </c>
      <c r="S44" s="67">
        <f>IFERROR(R44/R148, "NA")</f>
        <v>0.0491365857</v>
      </c>
      <c r="T44" s="66">
        <f>IFERROR(T39+T40+T41+T42+T43, "NA")</f>
        <v>565.69</v>
      </c>
      <c r="U44" s="67">
        <f>IFERROR(T44/T148, "NA")</f>
        <v>0.02618165493</v>
      </c>
      <c r="V44" s="66">
        <f>IFERROR(V39+V40+V41+V42+V43, "NA")</f>
        <v>1068.89</v>
      </c>
      <c r="W44" s="67">
        <f>IFERROR(V44/V148, "NA")</f>
        <v>0.04643562313</v>
      </c>
      <c r="X44" s="66">
        <f>IFERROR(X39+X40+X41+X42+X43, "NA")</f>
        <v>743.88</v>
      </c>
      <c r="Y44" s="67">
        <f>IFERROR(X44/X148, "NA")</f>
        <v>0.04544046797</v>
      </c>
      <c r="Z44" s="66">
        <f>IFERROR(Z39+Z40+Z41+Z42+Z43, "NA")</f>
        <v>2909</v>
      </c>
      <c r="AA44" s="67">
        <f>IFERROR(Z44/Z148, "NA")</f>
        <v>0.04051939485</v>
      </c>
      <c r="AB44" s="66">
        <f t="shared" si="19"/>
        <v>727.25</v>
      </c>
      <c r="AC44" s="67">
        <f>IFERROR(AB44/AB148, "NA")</f>
        <v>0.04051939485</v>
      </c>
      <c r="AD44" s="75">
        <f t="shared" si="20"/>
        <v>16.63</v>
      </c>
      <c r="AE44" s="76">
        <f>IFERROR(AD44/AD148, "NA")</f>
        <v>-0.01054022621</v>
      </c>
      <c r="AF44" s="75">
        <f t="shared" si="21"/>
        <v>0.02286696459</v>
      </c>
      <c r="AG44" s="66">
        <f t="shared" si="22"/>
        <v>762.68125</v>
      </c>
      <c r="AH44" s="67">
        <f>IFERROR(AG44/AG148, "NA")</f>
        <v>0.04210419319</v>
      </c>
      <c r="AI44" s="75">
        <f t="shared" si="23"/>
        <v>-18.80125</v>
      </c>
      <c r="AJ44" s="76">
        <f>IFERROR(AI44/AI148, "NA")</f>
        <v>0.01078232619</v>
      </c>
      <c r="AK44" s="75">
        <f t="shared" si="24"/>
        <v>-0.02465151726</v>
      </c>
      <c r="AL44" s="76">
        <f>IFERROR(AK44/AK148, "NA")</f>
        <v>0.2560867546</v>
      </c>
    </row>
    <row r="45" ht="16.5" customHeight="1">
      <c r="A45" s="13" t="s">
        <v>106</v>
      </c>
      <c r="B45" s="14"/>
      <c r="C45" s="12"/>
      <c r="D45" s="14"/>
      <c r="E45" s="12"/>
      <c r="F45" s="14"/>
      <c r="G45" s="12"/>
      <c r="H45" s="14"/>
      <c r="I45" s="12"/>
      <c r="J45" s="14"/>
      <c r="K45" s="12"/>
      <c r="L45" s="14"/>
      <c r="M45" s="12"/>
      <c r="N45" s="14"/>
      <c r="O45" s="12"/>
      <c r="P45" s="14"/>
      <c r="Q45" s="12"/>
      <c r="R45" s="14"/>
      <c r="S45" s="12"/>
      <c r="T45" s="14"/>
      <c r="U45" s="12"/>
      <c r="V45" s="14"/>
      <c r="W45" s="12"/>
      <c r="X45" s="14"/>
      <c r="Y45" s="12"/>
      <c r="Z45" s="14"/>
      <c r="AA45" s="12"/>
      <c r="AB45" s="14"/>
      <c r="AC45" s="12"/>
      <c r="AD45" s="17"/>
      <c r="AE45" s="18"/>
      <c r="AF45" s="17"/>
      <c r="AG45" s="14"/>
      <c r="AH45" s="12"/>
      <c r="AI45" s="17"/>
      <c r="AJ45" s="18"/>
      <c r="AK45" s="17"/>
      <c r="AL45" s="18"/>
    </row>
    <row r="46" ht="16.5" hidden="1" customHeight="1">
      <c r="A46" s="19" t="s">
        <v>107</v>
      </c>
      <c r="B46" s="21">
        <v>0.0</v>
      </c>
      <c r="C46" s="23">
        <f>IFERROR(B46/B148, "NA")</f>
        <v>0</v>
      </c>
      <c r="D46" s="21">
        <v>0.0</v>
      </c>
      <c r="E46" s="23">
        <f>IFERROR(D46/D148, "NA")</f>
        <v>0</v>
      </c>
      <c r="F46" s="21">
        <v>0.0</v>
      </c>
      <c r="G46" s="23">
        <f>IFERROR(F46/F148, "NA")</f>
        <v>0</v>
      </c>
      <c r="H46" s="21">
        <v>0.0</v>
      </c>
      <c r="I46" s="23">
        <f>IFERROR(H46/H148, "NA")</f>
        <v>0</v>
      </c>
      <c r="J46" s="21">
        <v>0.0</v>
      </c>
      <c r="K46" s="23">
        <f>IFERROR(J46/J148, "NA")</f>
        <v>0</v>
      </c>
      <c r="L46" s="21">
        <v>0.0</v>
      </c>
      <c r="M46" s="23">
        <f>IFERROR(L46/L148, "NA")</f>
        <v>0</v>
      </c>
      <c r="N46" s="21">
        <v>0.0</v>
      </c>
      <c r="O46" s="23">
        <f>IFERROR(N46/N148, "NA")</f>
        <v>0</v>
      </c>
      <c r="P46" s="21">
        <v>0.0</v>
      </c>
      <c r="Q46" s="23">
        <f>IFERROR(P46/P148, "NA")</f>
        <v>0</v>
      </c>
      <c r="R46" s="21">
        <v>0.0</v>
      </c>
      <c r="S46" s="23">
        <f>IFERROR(R46/R148, "NA")</f>
        <v>0</v>
      </c>
      <c r="T46" s="21">
        <v>0.0</v>
      </c>
      <c r="U46" s="23">
        <f>IFERROR(T46/T148, "NA")</f>
        <v>0</v>
      </c>
      <c r="V46" s="21">
        <v>0.0</v>
      </c>
      <c r="W46" s="23">
        <f>IFERROR(V46/V148, "NA")</f>
        <v>0</v>
      </c>
      <c r="X46" s="21">
        <v>0.0</v>
      </c>
      <c r="Y46" s="23">
        <f>IFERROR(X46/X148, "NA")</f>
        <v>0</v>
      </c>
      <c r="Z46" s="21">
        <v>0.0</v>
      </c>
      <c r="AA46" s="23">
        <f>IFERROR(Z46/Z148, "NA")</f>
        <v>0</v>
      </c>
      <c r="AB46" s="28">
        <f t="shared" ref="AB46:AB57" si="25">IFERROR((R46+T46+V46+X46)/4, "NA")</f>
        <v>0</v>
      </c>
      <c r="AC46" s="23">
        <f>IFERROR(AB46/AB148, "NA")</f>
        <v>0</v>
      </c>
      <c r="AD46" s="29">
        <f t="shared" ref="AD46:AD57" si="26">IFERROR(X46-AB46, "NA")</f>
        <v>0</v>
      </c>
      <c r="AE46" s="30">
        <f>IFERROR(AD46/AD148, "NA")</f>
        <v>0</v>
      </c>
      <c r="AF46" s="29" t="str">
        <f t="shared" ref="AF46:AF57" si="27">IFERROR((X46-AB46)/AB46, "NA")</f>
        <v>NA</v>
      </c>
      <c r="AG46" s="28">
        <f t="shared" ref="AG46:AG57" si="28">IFERROR((J46+L46+N46+P46+R46+T46+V46+X46)/8, "NA")</f>
        <v>0</v>
      </c>
      <c r="AH46" s="23">
        <f>IFERROR(AG46/AG148, "NA")</f>
        <v>0</v>
      </c>
      <c r="AI46" s="29">
        <f t="shared" ref="AI46:AI57" si="29">IFERROR(X46-AG46, "NA")</f>
        <v>0</v>
      </c>
      <c r="AJ46" s="30">
        <f>IFERROR(AI46/AI148, "NA")</f>
        <v>0</v>
      </c>
      <c r="AK46" s="29" t="str">
        <f t="shared" ref="AK46:AK57" si="30">IFERROR((X46-AG46)/AG46, "NA")</f>
        <v>NA</v>
      </c>
      <c r="AL46" s="30" t="str">
        <f>IFERROR(AK46/AK148, "NA")</f>
        <v>NA</v>
      </c>
    </row>
    <row r="47" ht="16.5" customHeight="1">
      <c r="A47" s="19" t="s">
        <v>108</v>
      </c>
      <c r="B47" s="21">
        <v>105.81</v>
      </c>
      <c r="C47" s="23">
        <f>IFERROR(B47/B148, "NA")</f>
        <v>0.002266175009</v>
      </c>
      <c r="D47" s="21">
        <v>153.42</v>
      </c>
      <c r="E47" s="23">
        <f>IFERROR(D47/D148, "NA")</f>
        <v>0.003430432782</v>
      </c>
      <c r="F47" s="21">
        <v>142.74</v>
      </c>
      <c r="G47" s="23">
        <f>IFERROR(F47/F148, "NA")</f>
        <v>0.005893766044</v>
      </c>
      <c r="H47" s="21">
        <v>84.7</v>
      </c>
      <c r="I47" s="23">
        <f>IFERROR(H47/H148, "NA")</f>
        <v>0.006685652763</v>
      </c>
      <c r="J47" s="21">
        <v>82.41</v>
      </c>
      <c r="K47" s="23">
        <f>IFERROR(J47/J148, "NA")</f>
        <v>0.003581892601</v>
      </c>
      <c r="L47" s="21">
        <v>82.22</v>
      </c>
      <c r="M47" s="23">
        <f>IFERROR(L47/L148, "NA")</f>
        <v>0.004210481035</v>
      </c>
      <c r="N47" s="21">
        <v>73.24</v>
      </c>
      <c r="O47" s="23">
        <f>IFERROR(N47/N148, "NA")</f>
        <v>0.003361196446</v>
      </c>
      <c r="P47" s="21">
        <v>44.11</v>
      </c>
      <c r="Q47" s="23">
        <f>IFERROR(P47/P148, "NA")</f>
        <v>0.005014990399</v>
      </c>
      <c r="R47" s="21">
        <v>21.54</v>
      </c>
      <c r="S47" s="23">
        <f>IFERROR(R47/R148, "NA")</f>
        <v>0.001994952418</v>
      </c>
      <c r="T47" s="21">
        <v>112.22</v>
      </c>
      <c r="U47" s="23">
        <f>IFERROR(T47/T148, "NA")</f>
        <v>0.005193843477</v>
      </c>
      <c r="V47" s="21">
        <v>23.95</v>
      </c>
      <c r="W47" s="23">
        <f>IFERROR(V47/V148, "NA")</f>
        <v>0.00104045615</v>
      </c>
      <c r="X47" s="21">
        <v>37.2</v>
      </c>
      <c r="Y47" s="23">
        <f>IFERROR(X47/X148, "NA")</f>
        <v>0.002272389913</v>
      </c>
      <c r="Z47" s="21">
        <v>194.91</v>
      </c>
      <c r="AA47" s="23">
        <f>IFERROR(Z47/Z148, "NA")</f>
        <v>0.002714896958</v>
      </c>
      <c r="AB47" s="28">
        <f t="shared" si="25"/>
        <v>48.7275</v>
      </c>
      <c r="AC47" s="23">
        <f>IFERROR(AB47/AB148, "NA")</f>
        <v>0.002714896958</v>
      </c>
      <c r="AD47" s="29">
        <f t="shared" si="26"/>
        <v>-11.5275</v>
      </c>
      <c r="AE47" s="30">
        <f>IFERROR(AD47/AD148, "NA")</f>
        <v>0.007306221142</v>
      </c>
      <c r="AF47" s="29">
        <f t="shared" si="27"/>
        <v>-0.2365707249</v>
      </c>
      <c r="AG47" s="28">
        <f t="shared" si="28"/>
        <v>59.61125</v>
      </c>
      <c r="AH47" s="23">
        <f>IFERROR(AG47/AG148, "NA")</f>
        <v>0.003290868349</v>
      </c>
      <c r="AI47" s="29">
        <f t="shared" si="29"/>
        <v>-22.41125</v>
      </c>
      <c r="AJ47" s="30">
        <f>IFERROR(AI47/AI148, "NA")</f>
        <v>0.01285262458</v>
      </c>
      <c r="AK47" s="29">
        <f t="shared" si="30"/>
        <v>-0.3759567196</v>
      </c>
      <c r="AL47" s="30">
        <f>IFERROR(AK47/AK148, "NA")</f>
        <v>3.905542007</v>
      </c>
    </row>
    <row r="48" ht="16.5" hidden="1" customHeight="1">
      <c r="A48" s="19" t="s">
        <v>109</v>
      </c>
      <c r="B48" s="21">
        <v>0.0</v>
      </c>
      <c r="C48" s="23">
        <f>IFERROR(B48/B148, "NA")</f>
        <v>0</v>
      </c>
      <c r="D48" s="21">
        <v>0.0</v>
      </c>
      <c r="E48" s="23">
        <f>IFERROR(D48/D148, "NA")</f>
        <v>0</v>
      </c>
      <c r="F48" s="21">
        <v>0.0</v>
      </c>
      <c r="G48" s="23">
        <f>IFERROR(F48/F148, "NA")</f>
        <v>0</v>
      </c>
      <c r="H48" s="21">
        <v>0.0</v>
      </c>
      <c r="I48" s="23">
        <f>IFERROR(H48/H148, "NA")</f>
        <v>0</v>
      </c>
      <c r="J48" s="21">
        <v>0.0</v>
      </c>
      <c r="K48" s="23">
        <f>IFERROR(J48/J148, "NA")</f>
        <v>0</v>
      </c>
      <c r="L48" s="21">
        <v>0.0</v>
      </c>
      <c r="M48" s="23">
        <f>IFERROR(L48/L148, "NA")</f>
        <v>0</v>
      </c>
      <c r="N48" s="21">
        <v>0.0</v>
      </c>
      <c r="O48" s="23">
        <f>IFERROR(N48/N148, "NA")</f>
        <v>0</v>
      </c>
      <c r="P48" s="21">
        <v>0.0</v>
      </c>
      <c r="Q48" s="23">
        <f>IFERROR(P48/P148, "NA")</f>
        <v>0</v>
      </c>
      <c r="R48" s="21">
        <v>0.0</v>
      </c>
      <c r="S48" s="23">
        <f>IFERROR(R48/R148, "NA")</f>
        <v>0</v>
      </c>
      <c r="T48" s="21">
        <v>0.0</v>
      </c>
      <c r="U48" s="23">
        <f>IFERROR(T48/T148, "NA")</f>
        <v>0</v>
      </c>
      <c r="V48" s="21">
        <v>0.0</v>
      </c>
      <c r="W48" s="23">
        <f>IFERROR(V48/V148, "NA")</f>
        <v>0</v>
      </c>
      <c r="X48" s="21">
        <v>0.0</v>
      </c>
      <c r="Y48" s="23">
        <f>IFERROR(X48/X148, "NA")</f>
        <v>0</v>
      </c>
      <c r="Z48" s="21">
        <v>0.0</v>
      </c>
      <c r="AA48" s="23">
        <f>IFERROR(Z48/Z148, "NA")</f>
        <v>0</v>
      </c>
      <c r="AB48" s="28">
        <f t="shared" si="25"/>
        <v>0</v>
      </c>
      <c r="AC48" s="23">
        <f>IFERROR(AB48/AB148, "NA")</f>
        <v>0</v>
      </c>
      <c r="AD48" s="29">
        <f t="shared" si="26"/>
        <v>0</v>
      </c>
      <c r="AE48" s="30">
        <f>IFERROR(AD48/AD148, "NA")</f>
        <v>0</v>
      </c>
      <c r="AF48" s="29" t="str">
        <f t="shared" si="27"/>
        <v>NA</v>
      </c>
      <c r="AG48" s="28">
        <f t="shared" si="28"/>
        <v>0</v>
      </c>
      <c r="AH48" s="23">
        <f>IFERROR(AG48/AG148, "NA")</f>
        <v>0</v>
      </c>
      <c r="AI48" s="29">
        <f t="shared" si="29"/>
        <v>0</v>
      </c>
      <c r="AJ48" s="30">
        <f>IFERROR(AI48/AI148, "NA")</f>
        <v>0</v>
      </c>
      <c r="AK48" s="29" t="str">
        <f t="shared" si="30"/>
        <v>NA</v>
      </c>
      <c r="AL48" s="30" t="str">
        <f>IFERROR(AK48/AK148, "NA")</f>
        <v>NA</v>
      </c>
    </row>
    <row r="49" ht="16.5" hidden="1" customHeight="1">
      <c r="A49" s="19" t="s">
        <v>110</v>
      </c>
      <c r="B49" s="21">
        <v>0.0</v>
      </c>
      <c r="C49" s="23">
        <f>IFERROR(B49/B148, "NA")</f>
        <v>0</v>
      </c>
      <c r="D49" s="21">
        <v>0.0</v>
      </c>
      <c r="E49" s="23">
        <f>IFERROR(D49/D148, "NA")</f>
        <v>0</v>
      </c>
      <c r="F49" s="21">
        <v>0.0</v>
      </c>
      <c r="G49" s="23">
        <f>IFERROR(F49/F148, "NA")</f>
        <v>0</v>
      </c>
      <c r="H49" s="21">
        <v>0.0</v>
      </c>
      <c r="I49" s="23">
        <f>IFERROR(H49/H148, "NA")</f>
        <v>0</v>
      </c>
      <c r="J49" s="21">
        <v>0.0</v>
      </c>
      <c r="K49" s="23">
        <f>IFERROR(J49/J148, "NA")</f>
        <v>0</v>
      </c>
      <c r="L49" s="21">
        <v>0.0</v>
      </c>
      <c r="M49" s="23">
        <f>IFERROR(L49/L148, "NA")</f>
        <v>0</v>
      </c>
      <c r="N49" s="21">
        <v>0.0</v>
      </c>
      <c r="O49" s="23">
        <f>IFERROR(N49/N148, "NA")</f>
        <v>0</v>
      </c>
      <c r="P49" s="21">
        <v>0.0</v>
      </c>
      <c r="Q49" s="23">
        <f>IFERROR(P49/P148, "NA")</f>
        <v>0</v>
      </c>
      <c r="R49" s="21">
        <v>0.0</v>
      </c>
      <c r="S49" s="23">
        <f>IFERROR(R49/R148, "NA")</f>
        <v>0</v>
      </c>
      <c r="T49" s="21">
        <v>0.0</v>
      </c>
      <c r="U49" s="23">
        <f>IFERROR(T49/T148, "NA")</f>
        <v>0</v>
      </c>
      <c r="V49" s="21">
        <v>0.0</v>
      </c>
      <c r="W49" s="23">
        <f>IFERROR(V49/V148, "NA")</f>
        <v>0</v>
      </c>
      <c r="X49" s="21">
        <v>0.0</v>
      </c>
      <c r="Y49" s="23">
        <f>IFERROR(X49/X148, "NA")</f>
        <v>0</v>
      </c>
      <c r="Z49" s="21">
        <v>0.0</v>
      </c>
      <c r="AA49" s="23">
        <f>IFERROR(Z49/Z148, "NA")</f>
        <v>0</v>
      </c>
      <c r="AB49" s="28">
        <f t="shared" si="25"/>
        <v>0</v>
      </c>
      <c r="AC49" s="23">
        <f>IFERROR(AB49/AB148, "NA")</f>
        <v>0</v>
      </c>
      <c r="AD49" s="29">
        <f t="shared" si="26"/>
        <v>0</v>
      </c>
      <c r="AE49" s="30">
        <f>IFERROR(AD49/AD148, "NA")</f>
        <v>0</v>
      </c>
      <c r="AF49" s="29" t="str">
        <f t="shared" si="27"/>
        <v>NA</v>
      </c>
      <c r="AG49" s="28">
        <f t="shared" si="28"/>
        <v>0</v>
      </c>
      <c r="AH49" s="23">
        <f>IFERROR(AG49/AG148, "NA")</f>
        <v>0</v>
      </c>
      <c r="AI49" s="29">
        <f t="shared" si="29"/>
        <v>0</v>
      </c>
      <c r="AJ49" s="30">
        <f>IFERROR(AI49/AI148, "NA")</f>
        <v>0</v>
      </c>
      <c r="AK49" s="29" t="str">
        <f t="shared" si="30"/>
        <v>NA</v>
      </c>
      <c r="AL49" s="30" t="str">
        <f>IFERROR(AK49/AK148, "NA")</f>
        <v>NA</v>
      </c>
    </row>
    <row r="50" ht="16.5" hidden="1" customHeight="1">
      <c r="A50" s="19" t="s">
        <v>111</v>
      </c>
      <c r="B50" s="21">
        <v>0.0</v>
      </c>
      <c r="C50" s="23">
        <f>IFERROR(B50/B148, "NA")</f>
        <v>0</v>
      </c>
      <c r="D50" s="21">
        <v>0.0</v>
      </c>
      <c r="E50" s="23">
        <f>IFERROR(D50/D148, "NA")</f>
        <v>0</v>
      </c>
      <c r="F50" s="21">
        <v>0.0</v>
      </c>
      <c r="G50" s="23">
        <f>IFERROR(F50/F148, "NA")</f>
        <v>0</v>
      </c>
      <c r="H50" s="21">
        <v>0.0</v>
      </c>
      <c r="I50" s="23">
        <f>IFERROR(H50/H148, "NA")</f>
        <v>0</v>
      </c>
      <c r="J50" s="21">
        <v>0.0</v>
      </c>
      <c r="K50" s="23">
        <f>IFERROR(J50/J148, "NA")</f>
        <v>0</v>
      </c>
      <c r="L50" s="21">
        <v>0.0</v>
      </c>
      <c r="M50" s="23">
        <f>IFERROR(L50/L148, "NA")</f>
        <v>0</v>
      </c>
      <c r="N50" s="21">
        <v>0.0</v>
      </c>
      <c r="O50" s="23">
        <f>IFERROR(N50/N148, "NA")</f>
        <v>0</v>
      </c>
      <c r="P50" s="21">
        <v>0.0</v>
      </c>
      <c r="Q50" s="23">
        <f>IFERROR(P50/P148, "NA")</f>
        <v>0</v>
      </c>
      <c r="R50" s="21">
        <v>0.0</v>
      </c>
      <c r="S50" s="23">
        <f>IFERROR(R50/R148, "NA")</f>
        <v>0</v>
      </c>
      <c r="T50" s="21">
        <v>0.0</v>
      </c>
      <c r="U50" s="23">
        <f>IFERROR(T50/T148, "NA")</f>
        <v>0</v>
      </c>
      <c r="V50" s="21">
        <v>0.0</v>
      </c>
      <c r="W50" s="23">
        <f>IFERROR(V50/V148, "NA")</f>
        <v>0</v>
      </c>
      <c r="X50" s="21">
        <v>0.0</v>
      </c>
      <c r="Y50" s="23">
        <f>IFERROR(X50/X148, "NA")</f>
        <v>0</v>
      </c>
      <c r="Z50" s="21">
        <v>0.0</v>
      </c>
      <c r="AA50" s="23">
        <f>IFERROR(Z50/Z148, "NA")</f>
        <v>0</v>
      </c>
      <c r="AB50" s="28">
        <f t="shared" si="25"/>
        <v>0</v>
      </c>
      <c r="AC50" s="23">
        <f>IFERROR(AB50/AB148, "NA")</f>
        <v>0</v>
      </c>
      <c r="AD50" s="29">
        <f t="shared" si="26"/>
        <v>0</v>
      </c>
      <c r="AE50" s="30">
        <f>IFERROR(AD50/AD148, "NA")</f>
        <v>0</v>
      </c>
      <c r="AF50" s="29" t="str">
        <f t="shared" si="27"/>
        <v>NA</v>
      </c>
      <c r="AG50" s="28">
        <f t="shared" si="28"/>
        <v>0</v>
      </c>
      <c r="AH50" s="23">
        <f>IFERROR(AG50/AG148, "NA")</f>
        <v>0</v>
      </c>
      <c r="AI50" s="29">
        <f t="shared" si="29"/>
        <v>0</v>
      </c>
      <c r="AJ50" s="30">
        <f>IFERROR(AI50/AI148, "NA")</f>
        <v>0</v>
      </c>
      <c r="AK50" s="29" t="str">
        <f t="shared" si="30"/>
        <v>NA</v>
      </c>
      <c r="AL50" s="30" t="str">
        <f>IFERROR(AK50/AK148, "NA")</f>
        <v>NA</v>
      </c>
    </row>
    <row r="51" ht="16.5" hidden="1" customHeight="1">
      <c r="A51" s="19" t="s">
        <v>112</v>
      </c>
      <c r="B51" s="21">
        <v>0.0</v>
      </c>
      <c r="C51" s="23">
        <f>IFERROR(B51/B148, "NA")</f>
        <v>0</v>
      </c>
      <c r="D51" s="21">
        <v>0.0</v>
      </c>
      <c r="E51" s="23">
        <f>IFERROR(D51/D148, "NA")</f>
        <v>0</v>
      </c>
      <c r="F51" s="21">
        <v>0.0</v>
      </c>
      <c r="G51" s="23">
        <f>IFERROR(F51/F148, "NA")</f>
        <v>0</v>
      </c>
      <c r="H51" s="21">
        <v>0.0</v>
      </c>
      <c r="I51" s="23">
        <f>IFERROR(H51/H148, "NA")</f>
        <v>0</v>
      </c>
      <c r="J51" s="21">
        <v>0.0</v>
      </c>
      <c r="K51" s="23">
        <f>IFERROR(J51/J148, "NA")</f>
        <v>0</v>
      </c>
      <c r="L51" s="21">
        <v>0.0</v>
      </c>
      <c r="M51" s="23">
        <f>IFERROR(L51/L148, "NA")</f>
        <v>0</v>
      </c>
      <c r="N51" s="21">
        <v>0.0</v>
      </c>
      <c r="O51" s="23">
        <f>IFERROR(N51/N148, "NA")</f>
        <v>0</v>
      </c>
      <c r="P51" s="21">
        <v>0.0</v>
      </c>
      <c r="Q51" s="23">
        <f>IFERROR(P51/P148, "NA")</f>
        <v>0</v>
      </c>
      <c r="R51" s="21">
        <v>0.0</v>
      </c>
      <c r="S51" s="23">
        <f>IFERROR(R51/R148, "NA")</f>
        <v>0</v>
      </c>
      <c r="T51" s="21">
        <v>0.0</v>
      </c>
      <c r="U51" s="23">
        <f>IFERROR(T51/T148, "NA")</f>
        <v>0</v>
      </c>
      <c r="V51" s="21">
        <v>0.0</v>
      </c>
      <c r="W51" s="23">
        <f>IFERROR(V51/V148, "NA")</f>
        <v>0</v>
      </c>
      <c r="X51" s="21">
        <v>0.0</v>
      </c>
      <c r="Y51" s="23">
        <f>IFERROR(X51/X148, "NA")</f>
        <v>0</v>
      </c>
      <c r="Z51" s="21">
        <v>0.0</v>
      </c>
      <c r="AA51" s="23">
        <f>IFERROR(Z51/Z148, "NA")</f>
        <v>0</v>
      </c>
      <c r="AB51" s="28">
        <f t="shared" si="25"/>
        <v>0</v>
      </c>
      <c r="AC51" s="23">
        <f>IFERROR(AB51/AB148, "NA")</f>
        <v>0</v>
      </c>
      <c r="AD51" s="29">
        <f t="shared" si="26"/>
        <v>0</v>
      </c>
      <c r="AE51" s="30">
        <f>IFERROR(AD51/AD148, "NA")</f>
        <v>0</v>
      </c>
      <c r="AF51" s="29" t="str">
        <f t="shared" si="27"/>
        <v>NA</v>
      </c>
      <c r="AG51" s="28">
        <f t="shared" si="28"/>
        <v>0</v>
      </c>
      <c r="AH51" s="23">
        <f>IFERROR(AG51/AG148, "NA")</f>
        <v>0</v>
      </c>
      <c r="AI51" s="29">
        <f t="shared" si="29"/>
        <v>0</v>
      </c>
      <c r="AJ51" s="30">
        <f>IFERROR(AI51/AI148, "NA")</f>
        <v>0</v>
      </c>
      <c r="AK51" s="29" t="str">
        <f t="shared" si="30"/>
        <v>NA</v>
      </c>
      <c r="AL51" s="30" t="str">
        <f>IFERROR(AK51/AK148, "NA")</f>
        <v>NA</v>
      </c>
    </row>
    <row r="52" ht="16.5" customHeight="1">
      <c r="A52" s="65" t="s">
        <v>113</v>
      </c>
      <c r="B52" s="66">
        <f>IFERROR(B46+B47+B48+B49+B50+B51, "NA")</f>
        <v>105.81</v>
      </c>
      <c r="C52" s="67">
        <f>IFERROR(B52/B148, "NA")</f>
        <v>0.002266175009</v>
      </c>
      <c r="D52" s="66">
        <f>IFERROR(D46+D47+D48+D49+D50+D51, "NA")</f>
        <v>153.42</v>
      </c>
      <c r="E52" s="67">
        <f>IFERROR(D52/D148, "NA")</f>
        <v>0.003430432782</v>
      </c>
      <c r="F52" s="66">
        <f>IFERROR(F46+F47+F48+F49+F50+F51, "NA")</f>
        <v>142.74</v>
      </c>
      <c r="G52" s="67">
        <f>IFERROR(F52/F148, "NA")</f>
        <v>0.005893766044</v>
      </c>
      <c r="H52" s="66">
        <f>IFERROR(H46+H47+H48+H49+H50+H51, "NA")</f>
        <v>84.7</v>
      </c>
      <c r="I52" s="67">
        <f>IFERROR(H52/H148, "NA")</f>
        <v>0.006685652763</v>
      </c>
      <c r="J52" s="66">
        <f>IFERROR(J46+J47+J48+J49+J50+J51, "NA")</f>
        <v>82.41</v>
      </c>
      <c r="K52" s="67">
        <f>IFERROR(J52/J148, "NA")</f>
        <v>0.003581892601</v>
      </c>
      <c r="L52" s="66">
        <f>IFERROR(L46+L47+L48+L49+L50+L51, "NA")</f>
        <v>82.22</v>
      </c>
      <c r="M52" s="67">
        <f>IFERROR(L52/L148, "NA")</f>
        <v>0.004210481035</v>
      </c>
      <c r="N52" s="66">
        <f>IFERROR(N46+N47+N48+N49+N50+N51, "NA")</f>
        <v>73.24</v>
      </c>
      <c r="O52" s="67">
        <f>IFERROR(N52/N148, "NA")</f>
        <v>0.003361196446</v>
      </c>
      <c r="P52" s="66">
        <f>IFERROR(P46+P47+P48+P49+P50+P51, "NA")</f>
        <v>44.11</v>
      </c>
      <c r="Q52" s="67">
        <f>IFERROR(P52/P148, "NA")</f>
        <v>0.005014990399</v>
      </c>
      <c r="R52" s="66">
        <f>IFERROR(R46+R47+R48+R49+R50+R51, "NA")</f>
        <v>21.54</v>
      </c>
      <c r="S52" s="67">
        <f>IFERROR(R52/R148, "NA")</f>
        <v>0.001994952418</v>
      </c>
      <c r="T52" s="66">
        <f>IFERROR(T46+T47+T48+T49+T50+T51, "NA")</f>
        <v>112.22</v>
      </c>
      <c r="U52" s="67">
        <f>IFERROR(T52/T148, "NA")</f>
        <v>0.005193843477</v>
      </c>
      <c r="V52" s="66">
        <f>IFERROR(V46+V47+V48+V49+V50+V51, "NA")</f>
        <v>23.95</v>
      </c>
      <c r="W52" s="67">
        <f>IFERROR(V52/V148, "NA")</f>
        <v>0.00104045615</v>
      </c>
      <c r="X52" s="66">
        <f>IFERROR(X46+X47+X48+X49+X50+X51, "NA")</f>
        <v>37.2</v>
      </c>
      <c r="Y52" s="67">
        <f>IFERROR(X52/X148, "NA")</f>
        <v>0.002272389913</v>
      </c>
      <c r="Z52" s="66">
        <f>IFERROR(Z46+Z47+Z48+Z49+Z50+Z51, "NA")</f>
        <v>194.91</v>
      </c>
      <c r="AA52" s="67">
        <f>IFERROR(Z52/Z148, "NA")</f>
        <v>0.002714896958</v>
      </c>
      <c r="AB52" s="66">
        <f t="shared" si="25"/>
        <v>48.7275</v>
      </c>
      <c r="AC52" s="67">
        <f>IFERROR(AB52/AB148, "NA")</f>
        <v>0.002714896958</v>
      </c>
      <c r="AD52" s="75">
        <f t="shared" si="26"/>
        <v>-11.5275</v>
      </c>
      <c r="AE52" s="76">
        <f>IFERROR(AD52/AD148, "NA")</f>
        <v>0.007306221142</v>
      </c>
      <c r="AF52" s="75">
        <f t="shared" si="27"/>
        <v>-0.2365707249</v>
      </c>
      <c r="AG52" s="66">
        <f t="shared" si="28"/>
        <v>59.61125</v>
      </c>
      <c r="AH52" s="67">
        <f>IFERROR(AG52/AG148, "NA")</f>
        <v>0.003290868349</v>
      </c>
      <c r="AI52" s="75">
        <f t="shared" si="29"/>
        <v>-22.41125</v>
      </c>
      <c r="AJ52" s="76">
        <f>IFERROR(AI52/AI148, "NA")</f>
        <v>0.01285262458</v>
      </c>
      <c r="AK52" s="75">
        <f t="shared" si="30"/>
        <v>-0.3759567196</v>
      </c>
      <c r="AL52" s="76">
        <f>IFERROR(AK52/AK148, "NA")</f>
        <v>3.905542007</v>
      </c>
    </row>
    <row r="53" ht="16.5" customHeight="1">
      <c r="A53" s="19" t="s">
        <v>114</v>
      </c>
      <c r="B53" s="21">
        <v>148.52</v>
      </c>
      <c r="C53" s="23">
        <f>IFERROR(B53/B148, "NA")</f>
        <v>0.003180912128</v>
      </c>
      <c r="D53" s="21">
        <v>64.15</v>
      </c>
      <c r="E53" s="23">
        <f>IFERROR(D53/D148, "NA")</f>
        <v>0.001434377936</v>
      </c>
      <c r="F53" s="21">
        <v>81.03</v>
      </c>
      <c r="G53" s="23">
        <f>IFERROR(F53/F148, "NA")</f>
        <v>0.00334574655</v>
      </c>
      <c r="H53" s="21">
        <v>56.99</v>
      </c>
      <c r="I53" s="23">
        <f>IFERROR(H53/H148, "NA")</f>
        <v>0.004498410283</v>
      </c>
      <c r="J53" s="21">
        <v>57.16</v>
      </c>
      <c r="K53" s="23">
        <f>IFERROR(J53/J148, "NA")</f>
        <v>0.002484419137</v>
      </c>
      <c r="L53" s="21">
        <v>79.48</v>
      </c>
      <c r="M53" s="23">
        <f>IFERROR(L53/L148, "NA")</f>
        <v>0.004070165808</v>
      </c>
      <c r="N53" s="21">
        <v>122.36</v>
      </c>
      <c r="O53" s="23">
        <f>IFERROR(N53/N148, "NA")</f>
        <v>0.005615455997</v>
      </c>
      <c r="P53" s="21">
        <v>0.0</v>
      </c>
      <c r="Q53" s="23">
        <f>IFERROR(P53/P148, "NA")</f>
        <v>0</v>
      </c>
      <c r="R53" s="21">
        <v>59.28</v>
      </c>
      <c r="S53" s="23">
        <f>IFERROR(R53/R148, "NA")</f>
        <v>0.005490286879</v>
      </c>
      <c r="T53" s="21">
        <v>52.66</v>
      </c>
      <c r="U53" s="23">
        <f>IFERROR(T53/T148, "NA")</f>
        <v>0.002437246458</v>
      </c>
      <c r="V53" s="21">
        <v>96.9</v>
      </c>
      <c r="W53" s="23">
        <f>IFERROR(V53/V148, "NA")</f>
        <v>0.00420961173</v>
      </c>
      <c r="X53" s="21">
        <v>43.74</v>
      </c>
      <c r="Y53" s="23">
        <f>IFERROR(X53/X148, "NA")</f>
        <v>0.00267189072</v>
      </c>
      <c r="Z53" s="21">
        <v>252.58</v>
      </c>
      <c r="AA53" s="23">
        <f>IFERROR(Z53/Z148, "NA")</f>
        <v>0.003518181076</v>
      </c>
      <c r="AB53" s="28">
        <f t="shared" si="25"/>
        <v>63.145</v>
      </c>
      <c r="AC53" s="23">
        <f>IFERROR(AB53/AB148, "NA")</f>
        <v>0.003518181076</v>
      </c>
      <c r="AD53" s="29">
        <f t="shared" si="26"/>
        <v>-19.405</v>
      </c>
      <c r="AE53" s="30">
        <f>IFERROR(AD53/AD148, "NA")</f>
        <v>0.01229904327</v>
      </c>
      <c r="AF53" s="29">
        <f t="shared" si="27"/>
        <v>-0.3073085755</v>
      </c>
      <c r="AG53" s="28">
        <f t="shared" si="28"/>
        <v>63.9475</v>
      </c>
      <c r="AH53" s="23">
        <f>IFERROR(AG53/AG148, "NA")</f>
        <v>0.003530253161</v>
      </c>
      <c r="AI53" s="29">
        <f t="shared" si="29"/>
        <v>-20.2075</v>
      </c>
      <c r="AJ53" s="30">
        <f>IFERROR(AI53/AI148, "NA")</f>
        <v>0.0115887963</v>
      </c>
      <c r="AK53" s="29">
        <f t="shared" si="30"/>
        <v>-0.3160014074</v>
      </c>
      <c r="AL53" s="30">
        <f>IFERROR(AK53/AK148, "NA")</f>
        <v>3.282709702</v>
      </c>
    </row>
    <row r="54" ht="16.5" customHeight="1">
      <c r="A54" s="19" t="s">
        <v>115</v>
      </c>
      <c r="B54" s="21">
        <v>9.0</v>
      </c>
      <c r="C54" s="23">
        <f>IFERROR(B54/B148, "NA")</f>
        <v>0.0001927565928</v>
      </c>
      <c r="D54" s="21">
        <v>9.0</v>
      </c>
      <c r="E54" s="23">
        <f>IFERROR(D54/D148, "NA")</f>
        <v>0.0002012377463</v>
      </c>
      <c r="F54" s="21">
        <v>3.0</v>
      </c>
      <c r="G54" s="23">
        <f>IFERROR(F54/F148, "NA")</f>
        <v>0.0001238706609</v>
      </c>
      <c r="H54" s="21">
        <v>9.0</v>
      </c>
      <c r="I54" s="23">
        <f>IFERROR(H54/H148, "NA")</f>
        <v>0.0007103999394</v>
      </c>
      <c r="J54" s="21">
        <v>9.31</v>
      </c>
      <c r="K54" s="23">
        <f>IFERROR(J54/J148, "NA")</f>
        <v>0.0004046525921</v>
      </c>
      <c r="L54" s="21">
        <v>3.0</v>
      </c>
      <c r="M54" s="23">
        <f>IFERROR(L54/L148, "NA")</f>
        <v>0.0001536298116</v>
      </c>
      <c r="N54" s="21">
        <v>6.0</v>
      </c>
      <c r="O54" s="23">
        <f>IFERROR(N54/N148, "NA")</f>
        <v>0.0002753574369</v>
      </c>
      <c r="P54" s="21">
        <v>3.0</v>
      </c>
      <c r="Q54" s="23">
        <f>IFERROR(P54/P148, "NA")</f>
        <v>0.0003410784674</v>
      </c>
      <c r="R54" s="21">
        <v>3.0</v>
      </c>
      <c r="S54" s="23">
        <f>IFERROR(R54/R148, "NA")</f>
        <v>0.0002778485262</v>
      </c>
      <c r="T54" s="21">
        <v>6.0</v>
      </c>
      <c r="U54" s="23">
        <f>IFERROR(T54/T148, "NA")</f>
        <v>0.0002776961403</v>
      </c>
      <c r="V54" s="21">
        <v>9.0</v>
      </c>
      <c r="W54" s="23">
        <f>IFERROR(V54/V148, "NA")</f>
        <v>0.0003909856096</v>
      </c>
      <c r="X54" s="21">
        <v>12.31</v>
      </c>
      <c r="Y54" s="23">
        <f>IFERROR(X54/X148, "NA")</f>
        <v>0.0007519655867</v>
      </c>
      <c r="Z54" s="21">
        <v>30.31</v>
      </c>
      <c r="AA54" s="23">
        <f>IFERROR(Z54/Z148, "NA")</f>
        <v>0.0004221873007</v>
      </c>
      <c r="AB54" s="28">
        <f t="shared" si="25"/>
        <v>7.5775</v>
      </c>
      <c r="AC54" s="23">
        <f>IFERROR(AB54/AB148, "NA")</f>
        <v>0.0004221873007</v>
      </c>
      <c r="AD54" s="29">
        <f t="shared" si="26"/>
        <v>4.7325</v>
      </c>
      <c r="AE54" s="30">
        <f>IFERROR(AD54/AD148, "NA")</f>
        <v>-0.002999496123</v>
      </c>
      <c r="AF54" s="29">
        <f t="shared" si="27"/>
        <v>0.6245463543</v>
      </c>
      <c r="AG54" s="28">
        <f t="shared" si="28"/>
        <v>6.4525</v>
      </c>
      <c r="AH54" s="23">
        <f>IFERROR(AG54/AG148, "NA")</f>
        <v>0.0003562134333</v>
      </c>
      <c r="AI54" s="29">
        <f t="shared" si="29"/>
        <v>5.8575</v>
      </c>
      <c r="AJ54" s="30">
        <f>IFERROR(AI54/AI148, "NA")</f>
        <v>-0.003359216842</v>
      </c>
      <c r="AK54" s="29">
        <f t="shared" si="30"/>
        <v>0.9077876792</v>
      </c>
      <c r="AL54" s="30">
        <f>IFERROR(AK54/AK148, "NA")</f>
        <v>-9.430348574</v>
      </c>
    </row>
    <row r="55" ht="16.5" customHeight="1">
      <c r="A55" s="19" t="s">
        <v>116</v>
      </c>
      <c r="B55" s="21">
        <v>-256.52</v>
      </c>
      <c r="C55" s="23">
        <f>IFERROR(B55/B148, "NA")</f>
        <v>-0.005493991242</v>
      </c>
      <c r="D55" s="21">
        <v>-277.32</v>
      </c>
      <c r="E55" s="23">
        <f>IFERROR(D55/D148, "NA")</f>
        <v>-0.006200805756</v>
      </c>
      <c r="F55" s="21">
        <v>-292.61</v>
      </c>
      <c r="G55" s="23">
        <f>IFERROR(F55/F148, "NA")</f>
        <v>-0.01208193136</v>
      </c>
      <c r="H55" s="21">
        <v>-147.51</v>
      </c>
      <c r="I55" s="23">
        <f>IFERROR(H55/H148, "NA")</f>
        <v>-0.01164345501</v>
      </c>
      <c r="J55" s="21">
        <v>-416.27</v>
      </c>
      <c r="K55" s="23">
        <f>IFERROR(J55/J148, "NA")</f>
        <v>-0.01809288233</v>
      </c>
      <c r="L55" s="21">
        <v>-405.74</v>
      </c>
      <c r="M55" s="23">
        <f>IFERROR(L55/L148, "NA")</f>
        <v>-0.02077791991</v>
      </c>
      <c r="N55" s="21">
        <v>-323.42</v>
      </c>
      <c r="O55" s="23">
        <f>IFERROR(N55/N148, "NA")</f>
        <v>-0.01484268371</v>
      </c>
      <c r="P55" s="21">
        <v>-157.01</v>
      </c>
      <c r="Q55" s="23">
        <f>IFERROR(P55/P148, "NA")</f>
        <v>-0.01785091005</v>
      </c>
      <c r="R55" s="21">
        <v>-224.54</v>
      </c>
      <c r="S55" s="23">
        <f>IFERROR(R55/R148, "NA")</f>
        <v>-0.02079603603</v>
      </c>
      <c r="T55" s="21">
        <v>-336.21</v>
      </c>
      <c r="U55" s="23">
        <f>IFERROR(T55/T148, "NA")</f>
        <v>-0.01556070322</v>
      </c>
      <c r="V55" s="21">
        <v>-256.17</v>
      </c>
      <c r="W55" s="23">
        <f>IFERROR(V55/V148, "NA")</f>
        <v>-0.01112875373</v>
      </c>
      <c r="X55" s="21">
        <v>-211.32</v>
      </c>
      <c r="Y55" s="23">
        <f>IFERROR(X55/X148, "NA")</f>
        <v>-0.01290864076</v>
      </c>
      <c r="Z55" s="21">
        <v>-1028.24</v>
      </c>
      <c r="AA55" s="23">
        <f>IFERROR(Z55/Z148, "NA")</f>
        <v>-0.01432233158</v>
      </c>
      <c r="AB55" s="28">
        <f t="shared" si="25"/>
        <v>-257.06</v>
      </c>
      <c r="AC55" s="23">
        <f>IFERROR(AB55/AB148, "NA")</f>
        <v>-0.01432233158</v>
      </c>
      <c r="AD55" s="29">
        <f t="shared" si="26"/>
        <v>45.74</v>
      </c>
      <c r="AE55" s="30">
        <f>IFERROR(AD55/AD148, "NA")</f>
        <v>-0.02899037563</v>
      </c>
      <c r="AF55" s="29">
        <f t="shared" si="27"/>
        <v>-0.1779351124</v>
      </c>
      <c r="AG55" s="28">
        <f t="shared" si="28"/>
        <v>-291.335</v>
      </c>
      <c r="AH55" s="23">
        <f>IFERROR(AG55/AG148, "NA")</f>
        <v>-0.01608329184</v>
      </c>
      <c r="AI55" s="29">
        <f t="shared" si="29"/>
        <v>80.015</v>
      </c>
      <c r="AJ55" s="30">
        <f>IFERROR(AI55/AI148, "NA")</f>
        <v>-0.04588779097</v>
      </c>
      <c r="AK55" s="29">
        <f t="shared" si="30"/>
        <v>-0.2746494585</v>
      </c>
      <c r="AL55" s="30">
        <f>IFERROR(AK55/AK148, "NA")</f>
        <v>2.853134261</v>
      </c>
    </row>
    <row r="56" ht="16.5" customHeight="1">
      <c r="A56" s="65" t="s">
        <v>117</v>
      </c>
      <c r="B56" s="66">
        <f>IFERROR(B37+B39+B40+B41+B42+B43+B46+B47+B48+B49+B50+B51+B53+B54+B55, "NA")</f>
        <v>1997.26</v>
      </c>
      <c r="C56" s="67">
        <f>IFERROR(B56/B148, "NA")</f>
        <v>0.04277611472</v>
      </c>
      <c r="D56" s="66">
        <f>IFERROR(D37+D39+D40+D41+D42+D43+D46+D47+D48+D49+D50+D51+D53+D54+D55, "NA")</f>
        <v>985.31</v>
      </c>
      <c r="E56" s="67">
        <f>IFERROR(D56/D148, "NA")</f>
        <v>0.02203128487</v>
      </c>
      <c r="F56" s="66">
        <f>IFERROR(F37+F39+F40+F41+F42+F43+F46+F47+F48+F49+F50+F51+F53+F54+F55, "NA")</f>
        <v>1076.89</v>
      </c>
      <c r="G56" s="67">
        <f>IFERROR(F56/F148, "NA")</f>
        <v>0.04446502533</v>
      </c>
      <c r="H56" s="66">
        <f>IFERROR(H37+H39+H40+H41+H42+H43+H46+H47+H48+H49+H50+H51+H53+H54+H55, "NA")</f>
        <v>499.9</v>
      </c>
      <c r="I56" s="67">
        <f>IFERROR(H56/H148, "NA")</f>
        <v>0.03945876997</v>
      </c>
      <c r="J56" s="66">
        <f>IFERROR(J37+J39+J40+J41+J42+J43+J46+J47+J48+J49+J50+J51+J53+J54+J55, "NA")</f>
        <v>593.22</v>
      </c>
      <c r="K56" s="67">
        <f>IFERROR(J56/J148, "NA")</f>
        <v>0.02578388944</v>
      </c>
      <c r="L56" s="66">
        <f>IFERROR(L37+L39+L40+L41+L42+L43+L46+L47+L48+L49+L50+L51+L53+L54+L55, "NA")</f>
        <v>726.69</v>
      </c>
      <c r="M56" s="67">
        <f>IFERROR(L56/L148, "NA")</f>
        <v>0.03721374925</v>
      </c>
      <c r="N56" s="66">
        <f>IFERROR(N37+N39+N40+N41+N42+N43+N46+N47+N48+N49+N50+N51+N53+N54+N55, "NA")</f>
        <v>1111.13</v>
      </c>
      <c r="O56" s="67">
        <f>IFERROR(N56/N148, "NA")</f>
        <v>0.05099298481</v>
      </c>
      <c r="P56" s="66">
        <f>IFERROR(P37+P39+P40+P41+P42+P43+P46+P47+P48+P49+P50+P51+P53+P54+P55, "NA")</f>
        <v>21.26</v>
      </c>
      <c r="Q56" s="67">
        <f>IFERROR(P56/P148, "NA")</f>
        <v>0.002417109405</v>
      </c>
      <c r="R56" s="66">
        <f>IFERROR(R37+R39+R40+R41+R42+R43+R46+R47+R48+R49+R50+R51+R53+R54+R55, "NA")</f>
        <v>389.82</v>
      </c>
      <c r="S56" s="67">
        <f>IFERROR(R56/R148, "NA")</f>
        <v>0.0361036375</v>
      </c>
      <c r="T56" s="66">
        <f>IFERROR(T37+T39+T40+T41+T42+T43+T46+T47+T48+T49+T50+T51+T53+T54+T55, "NA")</f>
        <v>400.36</v>
      </c>
      <c r="U56" s="67">
        <f>IFERROR(T56/T148, "NA")</f>
        <v>0.01852973779</v>
      </c>
      <c r="V56" s="66">
        <f>IFERROR(V37+V39+V40+V41+V42+V43+V46+V47+V48+V49+V50+V51+V53+V54+V55, "NA")</f>
        <v>942.57</v>
      </c>
      <c r="W56" s="67">
        <f>IFERROR(V56/V148, "NA")</f>
        <v>0.04094792289</v>
      </c>
      <c r="X56" s="66">
        <f>IFERROR(X37+X39+X40+X41+X42+X43+X46+X47+X48+X49+X50+X51+X53+X54+X55, "NA")</f>
        <v>625.81</v>
      </c>
      <c r="Y56" s="67">
        <f>IFERROR(X56/X148, "NA")</f>
        <v>0.03822807342</v>
      </c>
      <c r="Z56" s="66">
        <f>IFERROR(Z37+Z39+Z40+Z41+Z42+Z43+Z46+Z47+Z48+Z49+Z50+Z51+Z53+Z54+Z55, "NA")</f>
        <v>2358.56</v>
      </c>
      <c r="AA56" s="67">
        <f>IFERROR(Z56/Z148, "NA")</f>
        <v>0.0328523286</v>
      </c>
      <c r="AB56" s="66">
        <f t="shared" si="25"/>
        <v>589.64</v>
      </c>
      <c r="AC56" s="67">
        <f>IFERROR(AB56/AB148, "NA")</f>
        <v>0.0328523286</v>
      </c>
      <c r="AD56" s="75">
        <f t="shared" si="26"/>
        <v>36.17</v>
      </c>
      <c r="AE56" s="76">
        <f>IFERROR(AD56/AD148, "NA")</f>
        <v>-0.02292483355</v>
      </c>
      <c r="AF56" s="75">
        <f t="shared" si="27"/>
        <v>0.06134251408</v>
      </c>
      <c r="AG56" s="66">
        <f t="shared" si="28"/>
        <v>601.3575</v>
      </c>
      <c r="AH56" s="67">
        <f>IFERROR(AG56/AG148, "NA")</f>
        <v>0.03319823629</v>
      </c>
      <c r="AI56" s="75">
        <f t="shared" si="29"/>
        <v>24.4525</v>
      </c>
      <c r="AJ56" s="76">
        <f>IFERROR(AI56/AI148, "NA")</f>
        <v>-0.01402326075</v>
      </c>
      <c r="AK56" s="75">
        <f t="shared" si="30"/>
        <v>0.04066216851</v>
      </c>
      <c r="AL56" s="76">
        <f>IFERROR(AK56/AK148, "NA")</f>
        <v>-0.4224098119</v>
      </c>
    </row>
    <row r="57" ht="16.5" customHeight="1">
      <c r="A57" s="65" t="s">
        <v>55</v>
      </c>
      <c r="B57" s="118">
        <f>IFERROR(B13+B15+B16+B17+B18+B19+B20+B21+B22+B23+B24+B25+B26+B29+B30+B31+B32+B33+B37+B39+B40+B41+B42+B43+B46+B47+B48+B49+B50+B51+B53+B54+B55, "NA")</f>
        <v>11357.27</v>
      </c>
      <c r="C57" s="92">
        <f>IFERROR(B57/B148, "NA")</f>
        <v>0.2432431854</v>
      </c>
      <c r="D57" s="118">
        <f>IFERROR(D13+D15+D16+D17+D18+D19+D20+D21+D22+D23+D24+D25+D26+D29+D30+D31+D32+D33+D37+D39+D40+D41+D42+D43+D46+D47+D48+D49+D50+D51+D53+D54+D55, "NA")</f>
        <v>10294.39</v>
      </c>
      <c r="E57" s="92">
        <f>IFERROR(D57/D148, "NA")</f>
        <v>0.2301799826</v>
      </c>
      <c r="F57" s="118">
        <f>IFERROR(F13+F15+F16+F17+F18+F19+F20+F21+F22+F23+F24+F25+F26+F29+F30+F31+F32+F33+F37+F39+F40+F41+F42+F43+F46+F47+F48+F49+F50+F51+F53+F54+F55, "NA")</f>
        <v>6387</v>
      </c>
      <c r="G57" s="92">
        <f>IFERROR(F57/F148, "NA")</f>
        <v>0.263720637</v>
      </c>
      <c r="H57" s="118">
        <f>IFERROR(H13+H15+H16+H17+H18+H19+H20+H21+H22+H23+H24+H25+H26+H29+H30+H31+H32+H33+H37+H39+H40+H41+H42+H43+H46+H47+H48+H49+H50+H51+H53+H54+H55, "NA")</f>
        <v>3411.9</v>
      </c>
      <c r="I57" s="92">
        <f>IFERROR(H57/H148, "NA")</f>
        <v>0.269312617</v>
      </c>
      <c r="J57" s="118">
        <f>IFERROR(J13+J15+J16+J17+J18+J19+J20+J21+J22+J23+J24+J25+J26+J29+J30+J31+J32+J33+J37+J39+J40+J41+J42+J43+J46+J47+J48+J49+J50+J51+J53+J54+J55, "NA")</f>
        <v>6226.19</v>
      </c>
      <c r="K57" s="92">
        <f>IFERROR(J57/J148, "NA")</f>
        <v>0.2706169626</v>
      </c>
      <c r="L57" s="118">
        <f>IFERROR(L13+L15+L16+L17+L18+L19+L20+L21+L22+L23+L24+L25+L26+L29+L30+L31+L32+L33+L37+L39+L40+L41+L42+L43+L46+L47+L48+L49+L50+L51+L53+L54+L55, "NA")</f>
        <v>5980.71</v>
      </c>
      <c r="M57" s="92">
        <f>IFERROR(L57/L148, "NA")</f>
        <v>0.3062717834</v>
      </c>
      <c r="N57" s="118">
        <f>IFERROR(N13+N15+N16+N17+N18+N19+N20+N21+N22+N23+N24+N25+N26+N29+N30+N31+N32+N33+N37+N39+N40+N41+N42+N43+N46+N47+N48+N49+N50+N51+N53+N54+N55, "NA")</f>
        <v>5789.85</v>
      </c>
      <c r="O57" s="92">
        <f>IFERROR(N57/N148, "NA")</f>
        <v>0.2657130427</v>
      </c>
      <c r="P57" s="118">
        <f>IFERROR(P13+P15+P16+P17+P18+P19+P20+P21+P22+P23+P24+P25+P26+P29+P30+P31+P32+P33+P37+P39+P40+P41+P42+P43+P46+P47+P48+P49+P50+P51+P53+P54+P55, "NA")</f>
        <v>2187.24</v>
      </c>
      <c r="Q57" s="92">
        <f>IFERROR(P57/P148, "NA")</f>
        <v>0.248673489</v>
      </c>
      <c r="R57" s="118">
        <f>IFERROR(R13+R15+R16+R17+R18+R19+R20+R21+R22+R23+R24+R25+R26+R29+R30+R31+R32+R33+R37+R39+R40+R41+R42+R43+R46+R47+R48+R49+R50+R51+R53+R54+R55, "NA")</f>
        <v>3362.98</v>
      </c>
      <c r="S57" s="92">
        <f>IFERROR(R57/R148, "NA")</f>
        <v>0.3114663456</v>
      </c>
      <c r="T57" s="118">
        <f>IFERROR(T13+T15+T16+T17+T18+T19+T20+T21+T22+T23+T24+T25+T26+T29+T30+T31+T32+T33+T37+T39+T40+T41+T42+T43+T46+T47+T48+T49+T50+T51+T53+T54+T55, "NA")</f>
        <v>4717.53</v>
      </c>
      <c r="U57" s="92">
        <f>IFERROR(T57/T148, "NA")</f>
        <v>0.2183399788</v>
      </c>
      <c r="V57" s="118">
        <f>IFERROR(V13+V15+V16+V17+V18+V19+V20+V21+V22+V23+V24+V25+V26+V29+V30+V31+V32+V33+V37+V39+V40+V41+V42+V43+V46+V47+V48+V49+V50+V51+V53+V54+V55, "NA")</f>
        <v>6802.97</v>
      </c>
      <c r="W57" s="92">
        <f>IFERROR(V57/V148, "NA")</f>
        <v>0.2955403747</v>
      </c>
      <c r="X57" s="118">
        <f>IFERROR(X13+X15+X16+X17+X18+X19+X20+X21+X22+X23+X24+X25+X26+X29+X30+X31+X32+X33+X37+X39+X40+X41+X42+X43+X46+X47+X48+X49+X50+X51+X53+X54+X55, "NA")</f>
        <v>4154.76</v>
      </c>
      <c r="Y57" s="92">
        <f>IFERROR(X57/X148, "NA")</f>
        <v>0.2537966321</v>
      </c>
      <c r="Z57" s="118">
        <f>IFERROR(Z13+Z15+Z16+Z17+Z18+Z19+Z20+Z21+Z22+Z23+Z24+Z25+Z26+Z29+Z30+Z31+Z32+Z33+Z37+Z39+Z40+Z41+Z42+Z43+Z46+Z47+Z48+Z49+Z50+Z51+Z53+Z54+Z55, "NA")</f>
        <v>19038.24</v>
      </c>
      <c r="AA57" s="92">
        <f>IFERROR(Z57/Z148, "NA")</f>
        <v>0.265183212</v>
      </c>
      <c r="AB57" s="118">
        <f t="shared" si="25"/>
        <v>4759.56</v>
      </c>
      <c r="AC57" s="92">
        <f>IFERROR(AB57/AB148, "NA")</f>
        <v>0.265183212</v>
      </c>
      <c r="AD57" s="119">
        <f t="shared" si="26"/>
        <v>-604.8</v>
      </c>
      <c r="AE57" s="120">
        <f>IFERROR(AD57/AD148, "NA")</f>
        <v>0.3833270481</v>
      </c>
      <c r="AF57" s="119">
        <f t="shared" si="27"/>
        <v>-0.1270705695</v>
      </c>
      <c r="AG57" s="118">
        <f t="shared" si="28"/>
        <v>4902.77875</v>
      </c>
      <c r="AH57" s="92">
        <f>IFERROR(AG57/AG148, "NA")</f>
        <v>0.2706603101</v>
      </c>
      <c r="AI57" s="119">
        <f t="shared" si="29"/>
        <v>-748.01875</v>
      </c>
      <c r="AJ57" s="120">
        <f>IFERROR(AI57/AI148, "NA")</f>
        <v>0.4289811666</v>
      </c>
      <c r="AK57" s="119">
        <f t="shared" si="30"/>
        <v>-0.1525703663</v>
      </c>
      <c r="AL57" s="120">
        <f>IFERROR(AK57/AK148, "NA")</f>
        <v>1.58494301</v>
      </c>
    </row>
    <row r="58" ht="3.75" customHeight="1">
      <c r="A58" s="77"/>
      <c r="B58" s="78"/>
      <c r="C58" s="74"/>
      <c r="D58" s="78"/>
      <c r="E58" s="74"/>
      <c r="F58" s="78"/>
      <c r="G58" s="74"/>
      <c r="H58" s="78"/>
      <c r="I58" s="74"/>
      <c r="J58" s="78"/>
      <c r="K58" s="74"/>
      <c r="L58" s="78"/>
      <c r="M58" s="74"/>
      <c r="N58" s="78"/>
      <c r="O58" s="74"/>
      <c r="P58" s="78"/>
      <c r="Q58" s="74"/>
      <c r="R58" s="78"/>
      <c r="S58" s="74"/>
      <c r="T58" s="78"/>
      <c r="U58" s="74"/>
      <c r="V58" s="78"/>
      <c r="W58" s="74"/>
      <c r="X58" s="78"/>
      <c r="Y58" s="74"/>
      <c r="Z58" s="78"/>
      <c r="AA58" s="74"/>
      <c r="AB58" s="78"/>
      <c r="AC58" s="74"/>
      <c r="AD58" s="79"/>
      <c r="AE58" s="80"/>
      <c r="AF58" s="79"/>
      <c r="AG58" s="78"/>
      <c r="AH58" s="74"/>
      <c r="AI58" s="79"/>
      <c r="AJ58" s="80"/>
      <c r="AK58" s="79"/>
      <c r="AL58" s="80"/>
    </row>
    <row r="59" ht="16.5" customHeight="1">
      <c r="A59" s="121" t="s">
        <v>118</v>
      </c>
      <c r="B59" s="122">
        <f>IFERROR(B9-B57, "NA")</f>
        <v>35333.74</v>
      </c>
      <c r="C59" s="94">
        <f>IFERROR(B59/B148, "NA")</f>
        <v>0.7567568146</v>
      </c>
      <c r="D59" s="122">
        <f>IFERROR(D9-D57, "NA")</f>
        <v>34428.83</v>
      </c>
      <c r="E59" s="94">
        <f>IFERROR(D59/D148, "NA")</f>
        <v>0.7698200174</v>
      </c>
      <c r="F59" s="122">
        <f>IFERROR(F9-F57, "NA")</f>
        <v>17831.81</v>
      </c>
      <c r="G59" s="94">
        <f>IFERROR(F59/F148, "NA")</f>
        <v>0.736279363</v>
      </c>
      <c r="H59" s="122">
        <f>IFERROR(H9-H57, "NA")</f>
        <v>9257.02</v>
      </c>
      <c r="I59" s="94">
        <f>IFERROR(H59/H148, "NA")</f>
        <v>0.730687383</v>
      </c>
      <c r="J59" s="122">
        <f>IFERROR(J9-J57, "NA")</f>
        <v>16781.2</v>
      </c>
      <c r="K59" s="94">
        <f>IFERROR(J59/J148, "NA")</f>
        <v>0.7293830374</v>
      </c>
      <c r="L59" s="122">
        <f>IFERROR(L9-L57, "NA")</f>
        <v>13546.75</v>
      </c>
      <c r="M59" s="94">
        <f>IFERROR(L59/L148, "NA")</f>
        <v>0.6937282166</v>
      </c>
      <c r="N59" s="122">
        <f>IFERROR(N9-N57, "NA")</f>
        <v>16000.01</v>
      </c>
      <c r="O59" s="94">
        <f>IFERROR(N59/N148, "NA")</f>
        <v>0.7342869573</v>
      </c>
      <c r="P59" s="122">
        <f>IFERROR(P9-P57, "NA")</f>
        <v>6608.39</v>
      </c>
      <c r="Q59" s="94">
        <f>IFERROR(P59/P148, "NA")</f>
        <v>0.751326511</v>
      </c>
      <c r="R59" s="122">
        <f>IFERROR(R9-R57, "NA")</f>
        <v>7434.27</v>
      </c>
      <c r="S59" s="94">
        <f>IFERROR(R59/R148, "NA")</f>
        <v>0.6885336544</v>
      </c>
      <c r="T59" s="122">
        <f>IFERROR(T9-T57, "NA")</f>
        <v>16888.82</v>
      </c>
      <c r="U59" s="94">
        <f>IFERROR(T59/T148, "NA")</f>
        <v>0.7816600212</v>
      </c>
      <c r="V59" s="122">
        <f>IFERROR(V9-V57, "NA")</f>
        <v>16215.78</v>
      </c>
      <c r="W59" s="94">
        <f>IFERROR(V59/V148, "NA")</f>
        <v>0.7044596253</v>
      </c>
      <c r="X59" s="122">
        <f>IFERROR(X9-X57, "NA")</f>
        <v>12215.67</v>
      </c>
      <c r="Y59" s="94">
        <f>IFERROR(X59/X148, "NA")</f>
        <v>0.7462033679</v>
      </c>
      <c r="Z59" s="122">
        <f>IFERROR(Z9-Z57, "NA")</f>
        <v>52754.54</v>
      </c>
      <c r="AA59" s="94">
        <f>IFERROR(Z59/Z148, "NA")</f>
        <v>0.734816788</v>
      </c>
      <c r="AB59" s="122">
        <f>IFERROR((R59+T59+V59+X59)/4, "NA")</f>
        <v>13188.635</v>
      </c>
      <c r="AC59" s="94">
        <f>IFERROR(AB59/AB148, "NA")</f>
        <v>0.734816788</v>
      </c>
      <c r="AD59" s="75">
        <f>IFERROR(X59-AB59, "NA")</f>
        <v>-972.965</v>
      </c>
      <c r="AE59" s="76">
        <f>IFERROR(AD59/AD148, "NA")</f>
        <v>0.6166729519</v>
      </c>
      <c r="AF59" s="75">
        <f>IFERROR((X59-AB59)/AB59, "NA")</f>
        <v>-0.07377298712</v>
      </c>
      <c r="AG59" s="122">
        <f>IFERROR((J59+L59+N59+P59+R59+T59+V59+X59)/8, "NA")</f>
        <v>13211.36125</v>
      </c>
      <c r="AH59" s="94">
        <f>IFERROR(AG59/AG148, "NA")</f>
        <v>0.7293396899</v>
      </c>
      <c r="AI59" s="75">
        <f>IFERROR(X59-AG59, "NA")</f>
        <v>-995.69125</v>
      </c>
      <c r="AJ59" s="76">
        <f>IFERROR(AI59/AI148, "NA")</f>
        <v>0.5710188334</v>
      </c>
      <c r="AK59" s="75">
        <f>IFERROR((X59-AG59)/AG59, "NA")</f>
        <v>-0.07536628748</v>
      </c>
      <c r="AL59" s="76">
        <f>IFERROR(AK59/AK148, "NA")</f>
        <v>0.7829257633</v>
      </c>
    </row>
    <row r="60" ht="3.75" customHeight="1">
      <c r="A60" s="123"/>
      <c r="B60" s="124"/>
      <c r="C60" s="74"/>
      <c r="D60" s="124"/>
      <c r="E60" s="74"/>
      <c r="F60" s="124"/>
      <c r="G60" s="74"/>
      <c r="H60" s="124"/>
      <c r="I60" s="74"/>
      <c r="J60" s="124"/>
      <c r="K60" s="74"/>
      <c r="L60" s="124"/>
      <c r="M60" s="74"/>
      <c r="N60" s="124"/>
      <c r="O60" s="74"/>
      <c r="P60" s="124"/>
      <c r="Q60" s="74"/>
      <c r="R60" s="124"/>
      <c r="S60" s="74"/>
      <c r="T60" s="124"/>
      <c r="U60" s="74"/>
      <c r="V60" s="124"/>
      <c r="W60" s="74"/>
      <c r="X60" s="124"/>
      <c r="Y60" s="74"/>
      <c r="Z60" s="124"/>
      <c r="AA60" s="74"/>
      <c r="AB60" s="124"/>
      <c r="AC60" s="74"/>
      <c r="AD60" s="125"/>
      <c r="AE60" s="80"/>
      <c r="AF60" s="125"/>
      <c r="AG60" s="124"/>
      <c r="AH60" s="74"/>
      <c r="AI60" s="125"/>
      <c r="AJ60" s="80"/>
      <c r="AK60" s="125"/>
      <c r="AL60" s="80"/>
    </row>
    <row r="61" ht="16.5" customHeight="1">
      <c r="A61" s="13" t="s">
        <v>119</v>
      </c>
      <c r="B61" s="14"/>
      <c r="C61" s="12"/>
      <c r="D61" s="14"/>
      <c r="E61" s="12"/>
      <c r="F61" s="14"/>
      <c r="G61" s="12"/>
      <c r="H61" s="14"/>
      <c r="I61" s="12"/>
      <c r="J61" s="14"/>
      <c r="K61" s="12"/>
      <c r="L61" s="14"/>
      <c r="M61" s="12"/>
      <c r="N61" s="14"/>
      <c r="O61" s="12"/>
      <c r="P61" s="14"/>
      <c r="Q61" s="12"/>
      <c r="R61" s="14"/>
      <c r="S61" s="12"/>
      <c r="T61" s="14"/>
      <c r="U61" s="12"/>
      <c r="V61" s="14"/>
      <c r="W61" s="12"/>
      <c r="X61" s="14"/>
      <c r="Y61" s="12"/>
      <c r="Z61" s="14"/>
      <c r="AA61" s="12"/>
      <c r="AB61" s="14"/>
      <c r="AC61" s="12"/>
      <c r="AD61" s="17"/>
      <c r="AE61" s="18"/>
      <c r="AF61" s="17"/>
      <c r="AG61" s="14"/>
      <c r="AH61" s="12"/>
      <c r="AI61" s="17"/>
      <c r="AJ61" s="18"/>
      <c r="AK61" s="17"/>
      <c r="AL61" s="18"/>
    </row>
    <row r="62" ht="16.5" customHeight="1">
      <c r="A62" s="13" t="s">
        <v>119</v>
      </c>
      <c r="B62" s="14"/>
      <c r="C62" s="12"/>
      <c r="D62" s="14"/>
      <c r="E62" s="12"/>
      <c r="F62" s="14"/>
      <c r="G62" s="12"/>
      <c r="H62" s="14"/>
      <c r="I62" s="12"/>
      <c r="J62" s="14"/>
      <c r="K62" s="12"/>
      <c r="L62" s="14"/>
      <c r="M62" s="12"/>
      <c r="N62" s="14"/>
      <c r="O62" s="12"/>
      <c r="P62" s="14"/>
      <c r="Q62" s="12"/>
      <c r="R62" s="14"/>
      <c r="S62" s="12"/>
      <c r="T62" s="14"/>
      <c r="U62" s="12"/>
      <c r="V62" s="14"/>
      <c r="W62" s="12"/>
      <c r="X62" s="14"/>
      <c r="Y62" s="12"/>
      <c r="Z62" s="14"/>
      <c r="AA62" s="12"/>
      <c r="AB62" s="14"/>
      <c r="AC62" s="12"/>
      <c r="AD62" s="17"/>
      <c r="AE62" s="18"/>
      <c r="AF62" s="17"/>
      <c r="AG62" s="14"/>
      <c r="AH62" s="12"/>
      <c r="AI62" s="17"/>
      <c r="AJ62" s="18"/>
      <c r="AK62" s="17"/>
      <c r="AL62" s="18"/>
    </row>
    <row r="63" ht="16.5" hidden="1" customHeight="1">
      <c r="A63" s="19" t="s">
        <v>120</v>
      </c>
      <c r="B63" s="21">
        <v>0.0</v>
      </c>
      <c r="C63" s="23">
        <f>IFERROR(B63/B148, "NA")</f>
        <v>0</v>
      </c>
      <c r="D63" s="21">
        <v>0.0</v>
      </c>
      <c r="E63" s="23">
        <f>IFERROR(D63/D148, "NA")</f>
        <v>0</v>
      </c>
      <c r="F63" s="21">
        <v>0.0</v>
      </c>
      <c r="G63" s="23">
        <f>IFERROR(F63/F148, "NA")</f>
        <v>0</v>
      </c>
      <c r="H63" s="21">
        <v>0.0</v>
      </c>
      <c r="I63" s="23">
        <f>IFERROR(H63/H148, "NA")</f>
        <v>0</v>
      </c>
      <c r="J63" s="21">
        <v>0.0</v>
      </c>
      <c r="K63" s="23">
        <f>IFERROR(J63/J148, "NA")</f>
        <v>0</v>
      </c>
      <c r="L63" s="21">
        <v>0.0</v>
      </c>
      <c r="M63" s="23">
        <f>IFERROR(L63/L148, "NA")</f>
        <v>0</v>
      </c>
      <c r="N63" s="21">
        <v>0.0</v>
      </c>
      <c r="O63" s="23">
        <f>IFERROR(N63/N148, "NA")</f>
        <v>0</v>
      </c>
      <c r="P63" s="21">
        <v>0.0</v>
      </c>
      <c r="Q63" s="23">
        <f>IFERROR(P63/P148, "NA")</f>
        <v>0</v>
      </c>
      <c r="R63" s="21">
        <v>0.0</v>
      </c>
      <c r="S63" s="23">
        <f>IFERROR(R63/R148, "NA")</f>
        <v>0</v>
      </c>
      <c r="T63" s="21">
        <v>0.0</v>
      </c>
      <c r="U63" s="23">
        <f>IFERROR(T63/T148, "NA")</f>
        <v>0</v>
      </c>
      <c r="V63" s="21">
        <v>0.0</v>
      </c>
      <c r="W63" s="23">
        <f>IFERROR(V63/V148, "NA")</f>
        <v>0</v>
      </c>
      <c r="X63" s="21">
        <v>0.0</v>
      </c>
      <c r="Y63" s="23">
        <f>IFERROR(X63/X148, "NA")</f>
        <v>0</v>
      </c>
      <c r="Z63" s="21">
        <v>0.0</v>
      </c>
      <c r="AA63" s="23">
        <f>IFERROR(Z63/Z148, "NA")</f>
        <v>0</v>
      </c>
      <c r="AB63" s="28">
        <f>IFERROR((R63+T63+V63+X63)/4, "NA")</f>
        <v>0</v>
      </c>
      <c r="AC63" s="23">
        <f>IFERROR(AB63/AB148, "NA")</f>
        <v>0</v>
      </c>
      <c r="AD63" s="29">
        <f>IFERROR(X63-AB63, "NA")</f>
        <v>0</v>
      </c>
      <c r="AE63" s="30">
        <f>IFERROR(AD63/AD148, "NA")</f>
        <v>0</v>
      </c>
      <c r="AF63" s="29" t="str">
        <f>IFERROR((X63-AB63)/AB63, "NA")</f>
        <v>NA</v>
      </c>
      <c r="AG63" s="28">
        <f>IFERROR((J63+L63+N63+P63+R63+T63+V63+X63)/8, "NA")</f>
        <v>0</v>
      </c>
      <c r="AH63" s="23">
        <f>IFERROR(AG63/AG148, "NA")</f>
        <v>0</v>
      </c>
      <c r="AI63" s="29">
        <f>IFERROR(X63-AG63, "NA")</f>
        <v>0</v>
      </c>
      <c r="AJ63" s="30">
        <f>IFERROR(AI63/AI148, "NA")</f>
        <v>0</v>
      </c>
      <c r="AK63" s="29" t="str">
        <f>IFERROR((X63-AG63)/AG63, "NA")</f>
        <v>NA</v>
      </c>
      <c r="AL63" s="30" t="str">
        <f>IFERROR(AK63/AK148, "NA")</f>
        <v>NA</v>
      </c>
    </row>
    <row r="64" ht="16.5" customHeight="1">
      <c r="A64" s="13" t="s">
        <v>121</v>
      </c>
      <c r="B64" s="14"/>
      <c r="C64" s="12"/>
      <c r="D64" s="14"/>
      <c r="E64" s="12"/>
      <c r="F64" s="14"/>
      <c r="G64" s="12"/>
      <c r="H64" s="14"/>
      <c r="I64" s="12"/>
      <c r="J64" s="14"/>
      <c r="K64" s="12"/>
      <c r="L64" s="14"/>
      <c r="M64" s="12"/>
      <c r="N64" s="14"/>
      <c r="O64" s="12"/>
      <c r="P64" s="14"/>
      <c r="Q64" s="12"/>
      <c r="R64" s="14"/>
      <c r="S64" s="12"/>
      <c r="T64" s="14"/>
      <c r="U64" s="12"/>
      <c r="V64" s="14"/>
      <c r="W64" s="12"/>
      <c r="X64" s="14"/>
      <c r="Y64" s="12"/>
      <c r="Z64" s="14"/>
      <c r="AA64" s="12"/>
      <c r="AB64" s="14"/>
      <c r="AC64" s="12"/>
      <c r="AD64" s="17"/>
      <c r="AE64" s="18"/>
      <c r="AF64" s="17"/>
      <c r="AG64" s="14"/>
      <c r="AH64" s="12"/>
      <c r="AI64" s="17"/>
      <c r="AJ64" s="18"/>
      <c r="AK64" s="17"/>
      <c r="AL64" s="18"/>
    </row>
    <row r="65" ht="16.5" hidden="1" customHeight="1">
      <c r="A65" s="19" t="s">
        <v>122</v>
      </c>
      <c r="B65" s="21">
        <v>0.0</v>
      </c>
      <c r="C65" s="23">
        <f>IFERROR(B65/B148, "NA")</f>
        <v>0</v>
      </c>
      <c r="D65" s="21">
        <v>0.0</v>
      </c>
      <c r="E65" s="23">
        <f>IFERROR(D65/D148, "NA")</f>
        <v>0</v>
      </c>
      <c r="F65" s="21">
        <v>0.0</v>
      </c>
      <c r="G65" s="23">
        <f>IFERROR(F65/F148, "NA")</f>
        <v>0</v>
      </c>
      <c r="H65" s="21">
        <v>0.0</v>
      </c>
      <c r="I65" s="23">
        <f>IFERROR(H65/H148, "NA")</f>
        <v>0</v>
      </c>
      <c r="J65" s="21">
        <v>0.0</v>
      </c>
      <c r="K65" s="23">
        <f>IFERROR(J65/J148, "NA")</f>
        <v>0</v>
      </c>
      <c r="L65" s="21">
        <v>0.0</v>
      </c>
      <c r="M65" s="23">
        <f>IFERROR(L65/L148, "NA")</f>
        <v>0</v>
      </c>
      <c r="N65" s="21">
        <v>0.0</v>
      </c>
      <c r="O65" s="23">
        <f>IFERROR(N65/N148, "NA")</f>
        <v>0</v>
      </c>
      <c r="P65" s="21">
        <v>0.0</v>
      </c>
      <c r="Q65" s="23">
        <f>IFERROR(P65/P148, "NA")</f>
        <v>0</v>
      </c>
      <c r="R65" s="21">
        <v>0.0</v>
      </c>
      <c r="S65" s="23">
        <f>IFERROR(R65/R148, "NA")</f>
        <v>0</v>
      </c>
      <c r="T65" s="21">
        <v>0.0</v>
      </c>
      <c r="U65" s="23">
        <f>IFERROR(T65/T148, "NA")</f>
        <v>0</v>
      </c>
      <c r="V65" s="21">
        <v>0.0</v>
      </c>
      <c r="W65" s="23">
        <f>IFERROR(V65/V148, "NA")</f>
        <v>0</v>
      </c>
      <c r="X65" s="21">
        <v>0.0</v>
      </c>
      <c r="Y65" s="23">
        <f>IFERROR(X65/X148, "NA")</f>
        <v>0</v>
      </c>
      <c r="Z65" s="21">
        <v>0.0</v>
      </c>
      <c r="AA65" s="23">
        <f>IFERROR(Z65/Z148, "NA")</f>
        <v>0</v>
      </c>
      <c r="AB65" s="28">
        <f t="shared" ref="AB65:AB72" si="31">IFERROR((R65+T65+V65+X65)/4, "NA")</f>
        <v>0</v>
      </c>
      <c r="AC65" s="23">
        <f>IFERROR(AB65/AB148, "NA")</f>
        <v>0</v>
      </c>
      <c r="AD65" s="29">
        <f t="shared" ref="AD65:AD72" si="32">IFERROR(X65-AB65, "NA")</f>
        <v>0</v>
      </c>
      <c r="AE65" s="30">
        <f>IFERROR(AD65/AD148, "NA")</f>
        <v>0</v>
      </c>
      <c r="AF65" s="29" t="str">
        <f t="shared" ref="AF65:AF72" si="33">IFERROR((X65-AB65)/AB65, "NA")</f>
        <v>NA</v>
      </c>
      <c r="AG65" s="28">
        <f t="shared" ref="AG65:AG72" si="34">IFERROR((J65+L65+N65+P65+R65+T65+V65+X65)/8, "NA")</f>
        <v>0</v>
      </c>
      <c r="AH65" s="23">
        <f>IFERROR(AG65/AG148, "NA")</f>
        <v>0</v>
      </c>
      <c r="AI65" s="29">
        <f t="shared" ref="AI65:AI72" si="35">IFERROR(X65-AG65, "NA")</f>
        <v>0</v>
      </c>
      <c r="AJ65" s="30">
        <f>IFERROR(AI65/AI148, "NA")</f>
        <v>0</v>
      </c>
      <c r="AK65" s="29" t="str">
        <f t="shared" ref="AK65:AK72" si="36">IFERROR((X65-AG65)/AG65, "NA")</f>
        <v>NA</v>
      </c>
      <c r="AL65" s="30" t="str">
        <f>IFERROR(AK65/AK148, "NA")</f>
        <v>NA</v>
      </c>
    </row>
    <row r="66" ht="16.5" customHeight="1">
      <c r="A66" s="19" t="s">
        <v>125</v>
      </c>
      <c r="B66" s="21">
        <v>1410.0</v>
      </c>
      <c r="C66" s="23">
        <f>IFERROR(B66/B148, "NA")</f>
        <v>0.03019853287</v>
      </c>
      <c r="D66" s="21">
        <v>1410.0</v>
      </c>
      <c r="E66" s="23">
        <f>IFERROR(D66/D148, "NA")</f>
        <v>0.03152724692</v>
      </c>
      <c r="F66" s="21">
        <v>1410.0</v>
      </c>
      <c r="G66" s="23">
        <f>IFERROR(F66/F148, "NA")</f>
        <v>0.05821921061</v>
      </c>
      <c r="H66" s="21">
        <v>1410.0</v>
      </c>
      <c r="I66" s="23">
        <f>IFERROR(H66/H148, "NA")</f>
        <v>0.1112959905</v>
      </c>
      <c r="J66" s="21">
        <v>1410.0</v>
      </c>
      <c r="K66" s="23">
        <f>IFERROR(J66/J148, "NA")</f>
        <v>0.0612846568</v>
      </c>
      <c r="L66" s="21">
        <v>1410.0</v>
      </c>
      <c r="M66" s="23">
        <f>IFERROR(L66/L148, "NA")</f>
        <v>0.07220601143</v>
      </c>
      <c r="N66" s="21">
        <v>1410.0</v>
      </c>
      <c r="O66" s="23">
        <f>IFERROR(N66/N148, "NA")</f>
        <v>0.06470899767</v>
      </c>
      <c r="P66" s="21">
        <v>1410.0</v>
      </c>
      <c r="Q66" s="23">
        <f>IFERROR(P66/P148, "NA")</f>
        <v>0.1603068797</v>
      </c>
      <c r="R66" s="21">
        <v>1410.0</v>
      </c>
      <c r="S66" s="23">
        <f>IFERROR(R66/R148, "NA")</f>
        <v>0.1305888073</v>
      </c>
      <c r="T66" s="21">
        <v>1410.0</v>
      </c>
      <c r="U66" s="23">
        <f>IFERROR(T66/T148, "NA")</f>
        <v>0.06525859296</v>
      </c>
      <c r="V66" s="21">
        <v>1410.0</v>
      </c>
      <c r="W66" s="23">
        <f>IFERROR(V66/V148, "NA")</f>
        <v>0.06125441216</v>
      </c>
      <c r="X66" s="21">
        <v>1410.0</v>
      </c>
      <c r="Y66" s="23">
        <f>IFERROR(X66/X148, "NA")</f>
        <v>0.08613090798</v>
      </c>
      <c r="Z66" s="21">
        <v>5640.0</v>
      </c>
      <c r="AA66" s="23">
        <f>IFERROR(Z66/Z148, "NA")</f>
        <v>0.07855943174</v>
      </c>
      <c r="AB66" s="28">
        <f t="shared" si="31"/>
        <v>1410</v>
      </c>
      <c r="AC66" s="23">
        <f>IFERROR(AB66/AB148, "NA")</f>
        <v>0.07855943174</v>
      </c>
      <c r="AD66" s="29">
        <f t="shared" si="32"/>
        <v>0</v>
      </c>
      <c r="AE66" s="30">
        <f>IFERROR(AD66/AD148, "NA")</f>
        <v>0</v>
      </c>
      <c r="AF66" s="29">
        <f t="shared" si="33"/>
        <v>0</v>
      </c>
      <c r="AG66" s="28">
        <f t="shared" si="34"/>
        <v>1410</v>
      </c>
      <c r="AH66" s="23">
        <f>IFERROR(AG66/AG148, "NA")</f>
        <v>0.07783974287</v>
      </c>
      <c r="AI66" s="29">
        <f t="shared" si="35"/>
        <v>0</v>
      </c>
      <c r="AJ66" s="30">
        <f>IFERROR(AI66/AI148, "NA")</f>
        <v>0</v>
      </c>
      <c r="AK66" s="29">
        <f t="shared" si="36"/>
        <v>0</v>
      </c>
      <c r="AL66" s="30">
        <f>IFERROR(AK66/AK148, "NA")</f>
        <v>0</v>
      </c>
    </row>
    <row r="67" ht="16.5" hidden="1" customHeight="1">
      <c r="A67" s="19" t="s">
        <v>126</v>
      </c>
      <c r="B67" s="21">
        <v>0.0</v>
      </c>
      <c r="C67" s="23">
        <f>IFERROR(B67/B148, "NA")</f>
        <v>0</v>
      </c>
      <c r="D67" s="21">
        <v>0.0</v>
      </c>
      <c r="E67" s="23">
        <f>IFERROR(D67/D148, "NA")</f>
        <v>0</v>
      </c>
      <c r="F67" s="21">
        <v>0.0</v>
      </c>
      <c r="G67" s="23">
        <f>IFERROR(F67/F148, "NA")</f>
        <v>0</v>
      </c>
      <c r="H67" s="21">
        <v>0.0</v>
      </c>
      <c r="I67" s="23">
        <f>IFERROR(H67/H148, "NA")</f>
        <v>0</v>
      </c>
      <c r="J67" s="21">
        <v>0.0</v>
      </c>
      <c r="K67" s="23">
        <f>IFERROR(J67/J148, "NA")</f>
        <v>0</v>
      </c>
      <c r="L67" s="21">
        <v>0.0</v>
      </c>
      <c r="M67" s="23">
        <f>IFERROR(L67/L148, "NA")</f>
        <v>0</v>
      </c>
      <c r="N67" s="21">
        <v>0.0</v>
      </c>
      <c r="O67" s="23">
        <f>IFERROR(N67/N148, "NA")</f>
        <v>0</v>
      </c>
      <c r="P67" s="21">
        <v>0.0</v>
      </c>
      <c r="Q67" s="23">
        <f>IFERROR(P67/P148, "NA")</f>
        <v>0</v>
      </c>
      <c r="R67" s="21">
        <v>0.0</v>
      </c>
      <c r="S67" s="23">
        <f>IFERROR(R67/R148, "NA")</f>
        <v>0</v>
      </c>
      <c r="T67" s="21">
        <v>0.0</v>
      </c>
      <c r="U67" s="23">
        <f>IFERROR(T67/T148, "NA")</f>
        <v>0</v>
      </c>
      <c r="V67" s="21">
        <v>0.0</v>
      </c>
      <c r="W67" s="23">
        <f>IFERROR(V67/V148, "NA")</f>
        <v>0</v>
      </c>
      <c r="X67" s="21">
        <v>0.0</v>
      </c>
      <c r="Y67" s="23">
        <f>IFERROR(X67/X148, "NA")</f>
        <v>0</v>
      </c>
      <c r="Z67" s="21">
        <v>0.0</v>
      </c>
      <c r="AA67" s="23">
        <f>IFERROR(Z67/Z148, "NA")</f>
        <v>0</v>
      </c>
      <c r="AB67" s="28">
        <f t="shared" si="31"/>
        <v>0</v>
      </c>
      <c r="AC67" s="23">
        <f>IFERROR(AB67/AB148, "NA")</f>
        <v>0</v>
      </c>
      <c r="AD67" s="29">
        <f t="shared" si="32"/>
        <v>0</v>
      </c>
      <c r="AE67" s="30">
        <f>IFERROR(AD67/AD148, "NA")</f>
        <v>0</v>
      </c>
      <c r="AF67" s="29" t="str">
        <f t="shared" si="33"/>
        <v>NA</v>
      </c>
      <c r="AG67" s="28">
        <f t="shared" si="34"/>
        <v>0</v>
      </c>
      <c r="AH67" s="23">
        <f>IFERROR(AG67/AG148, "NA")</f>
        <v>0</v>
      </c>
      <c r="AI67" s="29">
        <f t="shared" si="35"/>
        <v>0</v>
      </c>
      <c r="AJ67" s="30">
        <f>IFERROR(AI67/AI148, "NA")</f>
        <v>0</v>
      </c>
      <c r="AK67" s="29" t="str">
        <f t="shared" si="36"/>
        <v>NA</v>
      </c>
      <c r="AL67" s="30" t="str">
        <f>IFERROR(AK67/AK148, "NA")</f>
        <v>NA</v>
      </c>
    </row>
    <row r="68" ht="16.5" customHeight="1">
      <c r="A68" s="19" t="s">
        <v>127</v>
      </c>
      <c r="B68" s="21">
        <v>6026.76</v>
      </c>
      <c r="C68" s="23">
        <f>IFERROR(B68/B148, "NA")</f>
        <v>0.1290775248</v>
      </c>
      <c r="D68" s="21">
        <v>5870.25</v>
      </c>
      <c r="E68" s="23">
        <f>IFERROR(D68/D148, "NA")</f>
        <v>0.13125732</v>
      </c>
      <c r="F68" s="21">
        <v>4808.22</v>
      </c>
      <c r="G68" s="23">
        <f>IFERROR(F68/F148, "NA")</f>
        <v>0.198532463</v>
      </c>
      <c r="H68" s="21">
        <v>2710.12</v>
      </c>
      <c r="I68" s="23">
        <f>IFERROR(H68/H148, "NA")</f>
        <v>0.2139187871</v>
      </c>
      <c r="J68" s="21">
        <v>4873.16</v>
      </c>
      <c r="K68" s="23">
        <f>IFERROR(J68/J148, "NA")</f>
        <v>0.2118084668</v>
      </c>
      <c r="L68" s="21">
        <v>4437.0</v>
      </c>
      <c r="M68" s="23">
        <f>IFERROR(L68/L148, "NA")</f>
        <v>0.2272184913</v>
      </c>
      <c r="N68" s="21">
        <v>4520.37</v>
      </c>
      <c r="O68" s="23">
        <f>IFERROR(N68/N148, "NA")</f>
        <v>0.2074529162</v>
      </c>
      <c r="P68" s="21">
        <v>2014.37</v>
      </c>
      <c r="Q68" s="23">
        <f>IFERROR(P68/P148, "NA")</f>
        <v>0.2290194108</v>
      </c>
      <c r="R68" s="21">
        <v>2886.53</v>
      </c>
      <c r="S68" s="23">
        <f>IFERROR(R68/R148, "NA")</f>
        <v>0.2673393688</v>
      </c>
      <c r="T68" s="21">
        <v>4114.74</v>
      </c>
      <c r="U68" s="23">
        <f>IFERROR(T68/T148, "NA")</f>
        <v>0.190441236</v>
      </c>
      <c r="V68" s="21">
        <v>3314.59</v>
      </c>
      <c r="W68" s="23">
        <f>IFERROR(V68/V148, "NA")</f>
        <v>0.1439952213</v>
      </c>
      <c r="X68" s="21">
        <v>3143.97</v>
      </c>
      <c r="Y68" s="23">
        <f>IFERROR(X68/X148, "NA")</f>
        <v>0.1920517665</v>
      </c>
      <c r="Z68" s="21">
        <v>13459.83</v>
      </c>
      <c r="AA68" s="23">
        <f>IFERROR(Z68/Z148, "NA")</f>
        <v>0.187481666</v>
      </c>
      <c r="AB68" s="28">
        <f t="shared" si="31"/>
        <v>3364.9575</v>
      </c>
      <c r="AC68" s="23">
        <f>IFERROR(AB68/AB148, "NA")</f>
        <v>0.187481666</v>
      </c>
      <c r="AD68" s="29">
        <f t="shared" si="32"/>
        <v>-220.9875</v>
      </c>
      <c r="AE68" s="30">
        <f>IFERROR(AD68/AD148, "NA")</f>
        <v>0.1400636343</v>
      </c>
      <c r="AF68" s="29">
        <f t="shared" si="33"/>
        <v>-0.06567319201</v>
      </c>
      <c r="AG68" s="28">
        <f t="shared" si="34"/>
        <v>3663.09125</v>
      </c>
      <c r="AH68" s="23">
        <f>IFERROR(AG68/AG148, "NA")</f>
        <v>0.2022227525</v>
      </c>
      <c r="AI68" s="29">
        <f t="shared" si="35"/>
        <v>-519.12125</v>
      </c>
      <c r="AJ68" s="30">
        <f>IFERROR(AI68/AI148, "NA")</f>
        <v>0.2977107719</v>
      </c>
      <c r="AK68" s="29">
        <f t="shared" si="36"/>
        <v>-0.1417167126</v>
      </c>
      <c r="AL68" s="30">
        <f>IFERROR(AK68/AK148, "NA")</f>
        <v>1.472192264</v>
      </c>
    </row>
    <row r="69" ht="16.5" customHeight="1">
      <c r="A69" s="19" t="s">
        <v>128</v>
      </c>
      <c r="B69" s="21">
        <v>914.15</v>
      </c>
      <c r="C69" s="23">
        <f>IFERROR(B69/B148, "NA")</f>
        <v>0.01957871547</v>
      </c>
      <c r="D69" s="21">
        <v>694.51</v>
      </c>
      <c r="E69" s="23">
        <f>IFERROR(D69/D148, "NA")</f>
        <v>0.01552906969</v>
      </c>
      <c r="F69" s="21">
        <v>0.0</v>
      </c>
      <c r="G69" s="23">
        <f>IFERROR(F69/F148, "NA")</f>
        <v>0</v>
      </c>
      <c r="H69" s="21">
        <v>0.0</v>
      </c>
      <c r="I69" s="23">
        <f>IFERROR(H69/H148, "NA")</f>
        <v>0</v>
      </c>
      <c r="J69" s="21">
        <v>0.0</v>
      </c>
      <c r="K69" s="23">
        <f>IFERROR(J69/J148, "NA")</f>
        <v>0</v>
      </c>
      <c r="L69" s="21">
        <v>0.0</v>
      </c>
      <c r="M69" s="23">
        <f>IFERROR(L69/L148, "NA")</f>
        <v>0</v>
      </c>
      <c r="N69" s="21">
        <v>0.0</v>
      </c>
      <c r="O69" s="23">
        <f>IFERROR(N69/N148, "NA")</f>
        <v>0</v>
      </c>
      <c r="P69" s="21">
        <v>0.0</v>
      </c>
      <c r="Q69" s="23">
        <f>IFERROR(P69/P148, "NA")</f>
        <v>0</v>
      </c>
      <c r="R69" s="21">
        <v>0.0</v>
      </c>
      <c r="S69" s="23">
        <f>IFERROR(R69/R148, "NA")</f>
        <v>0</v>
      </c>
      <c r="T69" s="21">
        <v>0.0</v>
      </c>
      <c r="U69" s="23">
        <f>IFERROR(T69/T148, "NA")</f>
        <v>0</v>
      </c>
      <c r="V69" s="21">
        <v>0.0</v>
      </c>
      <c r="W69" s="23">
        <f>IFERROR(V69/V148, "NA")</f>
        <v>0</v>
      </c>
      <c r="X69" s="21">
        <v>0.0</v>
      </c>
      <c r="Y69" s="23">
        <f>IFERROR(X69/X148, "NA")</f>
        <v>0</v>
      </c>
      <c r="Z69" s="21">
        <v>0.0</v>
      </c>
      <c r="AA69" s="23">
        <f>IFERROR(Z69/Z148, "NA")</f>
        <v>0</v>
      </c>
      <c r="AB69" s="28">
        <f t="shared" si="31"/>
        <v>0</v>
      </c>
      <c r="AC69" s="23">
        <f>IFERROR(AB69/AB148, "NA")</f>
        <v>0</v>
      </c>
      <c r="AD69" s="29">
        <f t="shared" si="32"/>
        <v>0</v>
      </c>
      <c r="AE69" s="30">
        <f>IFERROR(AD69/AD148, "NA")</f>
        <v>0</v>
      </c>
      <c r="AF69" s="29" t="str">
        <f t="shared" si="33"/>
        <v>NA</v>
      </c>
      <c r="AG69" s="28">
        <f t="shared" si="34"/>
        <v>0</v>
      </c>
      <c r="AH69" s="23">
        <f>IFERROR(AG69/AG148, "NA")</f>
        <v>0</v>
      </c>
      <c r="AI69" s="29">
        <f t="shared" si="35"/>
        <v>0</v>
      </c>
      <c r="AJ69" s="30">
        <f>IFERROR(AI69/AI148, "NA")</f>
        <v>0</v>
      </c>
      <c r="AK69" s="29" t="str">
        <f t="shared" si="36"/>
        <v>NA</v>
      </c>
      <c r="AL69" s="30" t="str">
        <f>IFERROR(AK69/AK148, "NA")</f>
        <v>NA</v>
      </c>
    </row>
    <row r="70" ht="16.5" customHeight="1">
      <c r="A70" s="65" t="s">
        <v>129</v>
      </c>
      <c r="B70" s="66">
        <f>IFERROR(B65+B66+B67+B68+B69, "NA")</f>
        <v>8350.91</v>
      </c>
      <c r="C70" s="67">
        <f>IFERROR(B70/B148, "NA")</f>
        <v>0.1788547731</v>
      </c>
      <c r="D70" s="66">
        <f>IFERROR(D65+D66+D67+D68+D69, "NA")</f>
        <v>7974.76</v>
      </c>
      <c r="E70" s="67">
        <f>IFERROR(D70/D148, "NA")</f>
        <v>0.1783136366</v>
      </c>
      <c r="F70" s="66">
        <f>IFERROR(F65+F66+F67+F68+F69, "NA")</f>
        <v>6218.22</v>
      </c>
      <c r="G70" s="67">
        <f>IFERROR(F70/F148, "NA")</f>
        <v>0.2567516736</v>
      </c>
      <c r="H70" s="66">
        <f>IFERROR(H65+H66+H67+H68+H69, "NA")</f>
        <v>4120.12</v>
      </c>
      <c r="I70" s="67">
        <f>IFERROR(H70/H148, "NA")</f>
        <v>0.3252147776</v>
      </c>
      <c r="J70" s="66">
        <f>IFERROR(J65+J66+J67+J68+J69, "NA")</f>
        <v>6283.16</v>
      </c>
      <c r="K70" s="67">
        <f>IFERROR(J70/J148, "NA")</f>
        <v>0.2730931236</v>
      </c>
      <c r="L70" s="66">
        <f>IFERROR(L65+L66+L67+L68+L69, "NA")</f>
        <v>5847</v>
      </c>
      <c r="M70" s="67">
        <f>IFERROR(L70/L148, "NA")</f>
        <v>0.2994245027</v>
      </c>
      <c r="N70" s="66">
        <f>IFERROR(N65+N66+N67+N68+N69, "NA")</f>
        <v>5930.37</v>
      </c>
      <c r="O70" s="67">
        <f>IFERROR(N70/N148, "NA")</f>
        <v>0.2721619138</v>
      </c>
      <c r="P70" s="66">
        <f>IFERROR(P65+P66+P67+P68+P69, "NA")</f>
        <v>3424.37</v>
      </c>
      <c r="Q70" s="67">
        <f>IFERROR(P70/P148, "NA")</f>
        <v>0.3893262904</v>
      </c>
      <c r="R70" s="66">
        <f>IFERROR(R65+R66+R67+R68+R69, "NA")</f>
        <v>4296.53</v>
      </c>
      <c r="S70" s="67">
        <f>IFERROR(R70/R148, "NA")</f>
        <v>0.3979281762</v>
      </c>
      <c r="T70" s="66">
        <f>IFERROR(T65+T66+T67+T68+T69, "NA")</f>
        <v>5524.74</v>
      </c>
      <c r="U70" s="67">
        <f>IFERROR(T70/T148, "NA")</f>
        <v>0.255699829</v>
      </c>
      <c r="V70" s="66">
        <f>IFERROR(V65+V66+V67+V68+V69, "NA")</f>
        <v>4724.59</v>
      </c>
      <c r="W70" s="67">
        <f>IFERROR(V70/V148, "NA")</f>
        <v>0.2052496335</v>
      </c>
      <c r="X70" s="66">
        <f>IFERROR(X65+X66+X67+X68+X69, "NA")</f>
        <v>4553.97</v>
      </c>
      <c r="Y70" s="67">
        <f>IFERROR(X70/X148, "NA")</f>
        <v>0.2781826745</v>
      </c>
      <c r="Z70" s="66">
        <f>IFERROR(Z65+Z66+Z67+Z68+Z69, "NA")</f>
        <v>19099.83</v>
      </c>
      <c r="AA70" s="67">
        <f>IFERROR(Z70/Z148, "NA")</f>
        <v>0.2660410977</v>
      </c>
      <c r="AB70" s="66">
        <f t="shared" si="31"/>
        <v>4774.9575</v>
      </c>
      <c r="AC70" s="67">
        <f>IFERROR(AB70/AB148, "NA")</f>
        <v>0.2660410977</v>
      </c>
      <c r="AD70" s="75">
        <f t="shared" si="32"/>
        <v>-220.9875</v>
      </c>
      <c r="AE70" s="76">
        <f>IFERROR(AD70/AD148, "NA")</f>
        <v>0.1400636343</v>
      </c>
      <c r="AF70" s="75">
        <f t="shared" si="33"/>
        <v>-0.04628051663</v>
      </c>
      <c r="AG70" s="66">
        <f t="shared" si="34"/>
        <v>5073.09125</v>
      </c>
      <c r="AH70" s="67">
        <f>IFERROR(AG70/AG148, "NA")</f>
        <v>0.2800624954</v>
      </c>
      <c r="AI70" s="75">
        <f t="shared" si="35"/>
        <v>-519.12125</v>
      </c>
      <c r="AJ70" s="76">
        <f>IFERROR(AI70/AI148, "NA")</f>
        <v>0.2977107719</v>
      </c>
      <c r="AK70" s="75">
        <f t="shared" si="36"/>
        <v>-0.102328388</v>
      </c>
      <c r="AL70" s="76">
        <f>IFERROR(AK70/AK148, "NA")</f>
        <v>1.063015494</v>
      </c>
    </row>
    <row r="71" ht="16.5" hidden="1" customHeight="1">
      <c r="A71" s="19" t="s">
        <v>130</v>
      </c>
      <c r="B71" s="21">
        <v>0.0</v>
      </c>
      <c r="C71" s="23">
        <f>IFERROR(B71/B148, "NA")</f>
        <v>0</v>
      </c>
      <c r="D71" s="21">
        <v>0.0</v>
      </c>
      <c r="E71" s="23">
        <f>IFERROR(D71/D148, "NA")</f>
        <v>0</v>
      </c>
      <c r="F71" s="21">
        <v>0.0</v>
      </c>
      <c r="G71" s="23">
        <f>IFERROR(F71/F148, "NA")</f>
        <v>0</v>
      </c>
      <c r="H71" s="21">
        <v>0.0</v>
      </c>
      <c r="I71" s="23">
        <f>IFERROR(H71/H148, "NA")</f>
        <v>0</v>
      </c>
      <c r="J71" s="21">
        <v>0.0</v>
      </c>
      <c r="K71" s="23">
        <f>IFERROR(J71/J148, "NA")</f>
        <v>0</v>
      </c>
      <c r="L71" s="21">
        <v>0.0</v>
      </c>
      <c r="M71" s="23">
        <f>IFERROR(L71/L148, "NA")</f>
        <v>0</v>
      </c>
      <c r="N71" s="21">
        <v>0.0</v>
      </c>
      <c r="O71" s="23">
        <f>IFERROR(N71/N148, "NA")</f>
        <v>0</v>
      </c>
      <c r="P71" s="21">
        <v>0.0</v>
      </c>
      <c r="Q71" s="23">
        <f>IFERROR(P71/P148, "NA")</f>
        <v>0</v>
      </c>
      <c r="R71" s="21">
        <v>0.0</v>
      </c>
      <c r="S71" s="23">
        <f>IFERROR(R71/R148, "NA")</f>
        <v>0</v>
      </c>
      <c r="T71" s="21">
        <v>0.0</v>
      </c>
      <c r="U71" s="23">
        <f>IFERROR(T71/T148, "NA")</f>
        <v>0</v>
      </c>
      <c r="V71" s="21">
        <v>0.0</v>
      </c>
      <c r="W71" s="23">
        <f>IFERROR(V71/V148, "NA")</f>
        <v>0</v>
      </c>
      <c r="X71" s="21">
        <v>0.0</v>
      </c>
      <c r="Y71" s="23">
        <f>IFERROR(X71/X148, "NA")</f>
        <v>0</v>
      </c>
      <c r="Z71" s="21">
        <v>0.0</v>
      </c>
      <c r="AA71" s="23">
        <f>IFERROR(Z71/Z148, "NA")</f>
        <v>0</v>
      </c>
      <c r="AB71" s="28">
        <f t="shared" si="31"/>
        <v>0</v>
      </c>
      <c r="AC71" s="23">
        <f>IFERROR(AB71/AB148, "NA")</f>
        <v>0</v>
      </c>
      <c r="AD71" s="29">
        <f t="shared" si="32"/>
        <v>0</v>
      </c>
      <c r="AE71" s="30">
        <f>IFERROR(AD71/AD148, "NA")</f>
        <v>0</v>
      </c>
      <c r="AF71" s="29" t="str">
        <f t="shared" si="33"/>
        <v>NA</v>
      </c>
      <c r="AG71" s="28">
        <f t="shared" si="34"/>
        <v>0</v>
      </c>
      <c r="AH71" s="23">
        <f>IFERROR(AG71/AG148, "NA")</f>
        <v>0</v>
      </c>
      <c r="AI71" s="29">
        <f t="shared" si="35"/>
        <v>0</v>
      </c>
      <c r="AJ71" s="30">
        <f>IFERROR(AI71/AI148, "NA")</f>
        <v>0</v>
      </c>
      <c r="AK71" s="29" t="str">
        <f t="shared" si="36"/>
        <v>NA</v>
      </c>
      <c r="AL71" s="30" t="str">
        <f>IFERROR(AK71/AK148, "NA")</f>
        <v>NA</v>
      </c>
    </row>
    <row r="72" ht="16.5" customHeight="1">
      <c r="A72" s="19" t="s">
        <v>131</v>
      </c>
      <c r="B72" s="21">
        <v>0.0</v>
      </c>
      <c r="C72" s="23">
        <f>IFERROR(B72/B148, "NA")</f>
        <v>0</v>
      </c>
      <c r="D72" s="21">
        <v>0.0</v>
      </c>
      <c r="E72" s="23">
        <f>IFERROR(D72/D148, "NA")</f>
        <v>0</v>
      </c>
      <c r="F72" s="21">
        <v>-500.0</v>
      </c>
      <c r="G72" s="23">
        <f>IFERROR(F72/F148, "NA")</f>
        <v>-0.02064511014</v>
      </c>
      <c r="H72" s="21">
        <v>0.0</v>
      </c>
      <c r="I72" s="23">
        <f>IFERROR(H72/H148, "NA")</f>
        <v>0</v>
      </c>
      <c r="J72" s="21">
        <v>0.0</v>
      </c>
      <c r="K72" s="23">
        <f>IFERROR(J72/J148, "NA")</f>
        <v>0</v>
      </c>
      <c r="L72" s="21">
        <v>0.0</v>
      </c>
      <c r="M72" s="23">
        <f>IFERROR(L72/L148, "NA")</f>
        <v>0</v>
      </c>
      <c r="N72" s="21">
        <v>0.0</v>
      </c>
      <c r="O72" s="23">
        <f>IFERROR(N72/N148, "NA")</f>
        <v>0</v>
      </c>
      <c r="P72" s="21">
        <v>500.0</v>
      </c>
      <c r="Q72" s="23">
        <f>IFERROR(P72/P148, "NA")</f>
        <v>0.05684641123</v>
      </c>
      <c r="R72" s="21">
        <v>0.0</v>
      </c>
      <c r="S72" s="23">
        <f>IFERROR(R72/R148, "NA")</f>
        <v>0</v>
      </c>
      <c r="T72" s="21">
        <v>0.0</v>
      </c>
      <c r="U72" s="23">
        <f>IFERROR(T72/T148, "NA")</f>
        <v>0</v>
      </c>
      <c r="V72" s="21">
        <v>0.0</v>
      </c>
      <c r="W72" s="23">
        <f>IFERROR(V72/V148, "NA")</f>
        <v>0</v>
      </c>
      <c r="X72" s="21">
        <v>500.0</v>
      </c>
      <c r="Y72" s="23">
        <f>IFERROR(X72/X148, "NA")</f>
        <v>0.03054287517</v>
      </c>
      <c r="Z72" s="21">
        <v>500.0</v>
      </c>
      <c r="AA72" s="23">
        <f>IFERROR(Z72/Z148, "NA")</f>
        <v>0.00696448863</v>
      </c>
      <c r="AB72" s="28">
        <f t="shared" si="31"/>
        <v>125</v>
      </c>
      <c r="AC72" s="23">
        <f>IFERROR(AB72/AB148, "NA")</f>
        <v>0.00696448863</v>
      </c>
      <c r="AD72" s="29">
        <f t="shared" si="32"/>
        <v>375</v>
      </c>
      <c r="AE72" s="30">
        <f>IFERROR(AD72/AD148, "NA")</f>
        <v>-0.2376779812</v>
      </c>
      <c r="AF72" s="29">
        <f t="shared" si="33"/>
        <v>3</v>
      </c>
      <c r="AG72" s="28">
        <f t="shared" si="34"/>
        <v>125</v>
      </c>
      <c r="AH72" s="23">
        <f>IFERROR(AG72/AG148, "NA")</f>
        <v>0.006900686425</v>
      </c>
      <c r="AI72" s="29">
        <f t="shared" si="35"/>
        <v>375</v>
      </c>
      <c r="AJ72" s="30">
        <f>IFERROR(AI72/AI148, "NA")</f>
        <v>-0.2150586967</v>
      </c>
      <c r="AK72" s="29">
        <f t="shared" si="36"/>
        <v>3</v>
      </c>
      <c r="AL72" s="30">
        <f>IFERROR(AK72/AK148, "NA")</f>
        <v>-31.16482672</v>
      </c>
    </row>
    <row r="73" ht="16.5" customHeight="1">
      <c r="A73" s="13" t="s">
        <v>132</v>
      </c>
      <c r="B73" s="14"/>
      <c r="C73" s="12"/>
      <c r="D73" s="14"/>
      <c r="E73" s="12"/>
      <c r="F73" s="14"/>
      <c r="G73" s="12"/>
      <c r="H73" s="14"/>
      <c r="I73" s="12"/>
      <c r="J73" s="14"/>
      <c r="K73" s="12"/>
      <c r="L73" s="14"/>
      <c r="M73" s="12"/>
      <c r="N73" s="14"/>
      <c r="O73" s="12"/>
      <c r="P73" s="14"/>
      <c r="Q73" s="12"/>
      <c r="R73" s="14"/>
      <c r="S73" s="12"/>
      <c r="T73" s="14"/>
      <c r="U73" s="12"/>
      <c r="V73" s="14"/>
      <c r="W73" s="12"/>
      <c r="X73" s="14"/>
      <c r="Y73" s="12"/>
      <c r="Z73" s="14"/>
      <c r="AA73" s="12"/>
      <c r="AB73" s="14"/>
      <c r="AC73" s="12"/>
      <c r="AD73" s="17"/>
      <c r="AE73" s="18"/>
      <c r="AF73" s="17"/>
      <c r="AG73" s="14"/>
      <c r="AH73" s="12"/>
      <c r="AI73" s="17"/>
      <c r="AJ73" s="18"/>
      <c r="AK73" s="17"/>
      <c r="AL73" s="18"/>
    </row>
    <row r="74" ht="16.5" customHeight="1">
      <c r="A74" s="19" t="s">
        <v>133</v>
      </c>
      <c r="B74" s="21">
        <v>718.46</v>
      </c>
      <c r="C74" s="23">
        <f>IFERROR(B74/B148, "NA")</f>
        <v>0.01538754463</v>
      </c>
      <c r="D74" s="21">
        <v>671.66</v>
      </c>
      <c r="E74" s="23">
        <f>IFERROR(D74/D148, "NA")</f>
        <v>0.01501814941</v>
      </c>
      <c r="F74" s="21">
        <v>577.22</v>
      </c>
      <c r="G74" s="23">
        <f>IFERROR(F74/F148, "NA")</f>
        <v>0.02383354095</v>
      </c>
      <c r="H74" s="21">
        <v>355.27</v>
      </c>
      <c r="I74" s="23">
        <f>IFERROR(H74/H148, "NA")</f>
        <v>0.02804264294</v>
      </c>
      <c r="J74" s="21">
        <v>522.51</v>
      </c>
      <c r="K74" s="23">
        <f>IFERROR(J74/J148, "NA")</f>
        <v>0.0227105291</v>
      </c>
      <c r="L74" s="21">
        <v>499.79</v>
      </c>
      <c r="M74" s="23">
        <f>IFERROR(L74/L148, "NA")</f>
        <v>0.02559421451</v>
      </c>
      <c r="N74" s="21">
        <v>506.17</v>
      </c>
      <c r="O74" s="23">
        <f>IFERROR(N74/N148, "NA")</f>
        <v>0.02322961231</v>
      </c>
      <c r="P74" s="21">
        <v>310.54</v>
      </c>
      <c r="Q74" s="23">
        <f>IFERROR(P74/P148, "NA")</f>
        <v>0.03530616909</v>
      </c>
      <c r="R74" s="21">
        <v>391.0</v>
      </c>
      <c r="S74" s="23">
        <f>IFERROR(R74/R148, "NA")</f>
        <v>0.03621292459</v>
      </c>
      <c r="T74" s="21">
        <v>498.65</v>
      </c>
      <c r="U74" s="23">
        <f>IFERROR(T74/T148, "NA")</f>
        <v>0.02307886339</v>
      </c>
      <c r="V74" s="21">
        <v>463.23</v>
      </c>
      <c r="W74" s="23">
        <f>IFERROR(V74/V148, "NA")</f>
        <v>0.02012402932</v>
      </c>
      <c r="X74" s="21">
        <v>430.65</v>
      </c>
      <c r="Y74" s="23">
        <f>IFERROR(X74/X148, "NA")</f>
        <v>0.02630657839</v>
      </c>
      <c r="Z74" s="21">
        <v>1783.53</v>
      </c>
      <c r="AA74" s="23">
        <f>IFERROR(Z74/Z148, "NA")</f>
        <v>0.02484274881</v>
      </c>
      <c r="AB74" s="28">
        <f t="shared" ref="AB74:AB85" si="37">IFERROR((R74+T74+V74+X74)/4, "NA")</f>
        <v>445.8825</v>
      </c>
      <c r="AC74" s="23">
        <f>IFERROR(AB74/AB148, "NA")</f>
        <v>0.02484274881</v>
      </c>
      <c r="AD74" s="29">
        <f t="shared" ref="AD74:AD85" si="38">IFERROR(X74-AB74, "NA")</f>
        <v>-15.2325</v>
      </c>
      <c r="AE74" s="30">
        <f>IFERROR(AD74/AD148, "NA")</f>
        <v>0.009654479596</v>
      </c>
      <c r="AF74" s="29">
        <f t="shared" ref="AF74:AF85" si="39">IFERROR((X74-AB74)/AB74, "NA")</f>
        <v>-0.03416258768</v>
      </c>
      <c r="AG74" s="28">
        <f t="shared" ref="AG74:AG85" si="40">IFERROR((J74+L74+N74+P74+R74+T74+V74+X74)/8, "NA")</f>
        <v>452.8175</v>
      </c>
      <c r="AH74" s="23">
        <f>IFERROR(AG74/AG148, "NA")</f>
        <v>0.0249980126</v>
      </c>
      <c r="AI74" s="29">
        <f t="shared" ref="AI74:AI85" si="41">IFERROR(X74-AG74, "NA")</f>
        <v>-22.1675</v>
      </c>
      <c r="AJ74" s="30">
        <f>IFERROR(AI74/AI148, "NA")</f>
        <v>0.01271283642</v>
      </c>
      <c r="AK74" s="29">
        <f t="shared" ref="AK74:AK85" si="42">IFERROR((X74-AG74)/AG74, "NA")</f>
        <v>-0.04895460092</v>
      </c>
      <c r="AL74" s="30">
        <f>IFERROR(AK74/AK148, "NA")</f>
        <v>0.5085538849</v>
      </c>
    </row>
    <row r="75" ht="16.5" hidden="1" customHeight="1">
      <c r="A75" s="19" t="s">
        <v>134</v>
      </c>
      <c r="B75" s="21">
        <v>0.0</v>
      </c>
      <c r="C75" s="23">
        <f>IFERROR(B75/B148, "NA")</f>
        <v>0</v>
      </c>
      <c r="D75" s="21">
        <v>0.0</v>
      </c>
      <c r="E75" s="23">
        <f>IFERROR(D75/D148, "NA")</f>
        <v>0</v>
      </c>
      <c r="F75" s="21">
        <v>0.0</v>
      </c>
      <c r="G75" s="23">
        <f>IFERROR(F75/F148, "NA")</f>
        <v>0</v>
      </c>
      <c r="H75" s="21">
        <v>0.0</v>
      </c>
      <c r="I75" s="23">
        <f>IFERROR(H75/H148, "NA")</f>
        <v>0</v>
      </c>
      <c r="J75" s="21">
        <v>0.0</v>
      </c>
      <c r="K75" s="23">
        <f>IFERROR(J75/J148, "NA")</f>
        <v>0</v>
      </c>
      <c r="L75" s="21">
        <v>0.0</v>
      </c>
      <c r="M75" s="23">
        <f>IFERROR(L75/L148, "NA")</f>
        <v>0</v>
      </c>
      <c r="N75" s="21">
        <v>0.0</v>
      </c>
      <c r="O75" s="23">
        <f>IFERROR(N75/N148, "NA")</f>
        <v>0</v>
      </c>
      <c r="P75" s="21">
        <v>0.0</v>
      </c>
      <c r="Q75" s="23">
        <f>IFERROR(P75/P148, "NA")</f>
        <v>0</v>
      </c>
      <c r="R75" s="21">
        <v>0.0</v>
      </c>
      <c r="S75" s="23">
        <f>IFERROR(R75/R148, "NA")</f>
        <v>0</v>
      </c>
      <c r="T75" s="21">
        <v>0.0</v>
      </c>
      <c r="U75" s="23">
        <f>IFERROR(T75/T148, "NA")</f>
        <v>0</v>
      </c>
      <c r="V75" s="21">
        <v>0.0</v>
      </c>
      <c r="W75" s="23">
        <f>IFERROR(V75/V148, "NA")</f>
        <v>0</v>
      </c>
      <c r="X75" s="21">
        <v>0.0</v>
      </c>
      <c r="Y75" s="23">
        <f>IFERROR(X75/X148, "NA")</f>
        <v>0</v>
      </c>
      <c r="Z75" s="21">
        <v>0.0</v>
      </c>
      <c r="AA75" s="23">
        <f>IFERROR(Z75/Z148, "NA")</f>
        <v>0</v>
      </c>
      <c r="AB75" s="28">
        <f t="shared" si="37"/>
        <v>0</v>
      </c>
      <c r="AC75" s="23">
        <f>IFERROR(AB75/AB148, "NA")</f>
        <v>0</v>
      </c>
      <c r="AD75" s="29">
        <f t="shared" si="38"/>
        <v>0</v>
      </c>
      <c r="AE75" s="30">
        <f>IFERROR(AD75/AD148, "NA")</f>
        <v>0</v>
      </c>
      <c r="AF75" s="29" t="str">
        <f t="shared" si="39"/>
        <v>NA</v>
      </c>
      <c r="AG75" s="28">
        <f t="shared" si="40"/>
        <v>0</v>
      </c>
      <c r="AH75" s="23">
        <f>IFERROR(AG75/AG148, "NA")</f>
        <v>0</v>
      </c>
      <c r="AI75" s="29">
        <f t="shared" si="41"/>
        <v>0</v>
      </c>
      <c r="AJ75" s="30">
        <f>IFERROR(AI75/AI148, "NA")</f>
        <v>0</v>
      </c>
      <c r="AK75" s="29" t="str">
        <f t="shared" si="42"/>
        <v>NA</v>
      </c>
      <c r="AL75" s="30" t="str">
        <f>IFERROR(AK75/AK148, "NA")</f>
        <v>NA</v>
      </c>
    </row>
    <row r="76" ht="16.5" hidden="1" customHeight="1">
      <c r="A76" s="19" t="s">
        <v>135</v>
      </c>
      <c r="B76" s="21">
        <v>0.0</v>
      </c>
      <c r="C76" s="23">
        <f>IFERROR(B76/B148, "NA")</f>
        <v>0</v>
      </c>
      <c r="D76" s="21">
        <v>0.0</v>
      </c>
      <c r="E76" s="23">
        <f>IFERROR(D76/D148, "NA")</f>
        <v>0</v>
      </c>
      <c r="F76" s="21">
        <v>0.0</v>
      </c>
      <c r="G76" s="23">
        <f>IFERROR(F76/F148, "NA")</f>
        <v>0</v>
      </c>
      <c r="H76" s="21">
        <v>0.0</v>
      </c>
      <c r="I76" s="23">
        <f>IFERROR(H76/H148, "NA")</f>
        <v>0</v>
      </c>
      <c r="J76" s="21">
        <v>0.0</v>
      </c>
      <c r="K76" s="23">
        <f>IFERROR(J76/J148, "NA")</f>
        <v>0</v>
      </c>
      <c r="L76" s="21">
        <v>0.0</v>
      </c>
      <c r="M76" s="23">
        <f>IFERROR(L76/L148, "NA")</f>
        <v>0</v>
      </c>
      <c r="N76" s="21">
        <v>0.0</v>
      </c>
      <c r="O76" s="23">
        <f>IFERROR(N76/N148, "NA")</f>
        <v>0</v>
      </c>
      <c r="P76" s="21">
        <v>0.0</v>
      </c>
      <c r="Q76" s="23">
        <f>IFERROR(P76/P148, "NA")</f>
        <v>0</v>
      </c>
      <c r="R76" s="21">
        <v>0.0</v>
      </c>
      <c r="S76" s="23">
        <f>IFERROR(R76/R148, "NA")</f>
        <v>0</v>
      </c>
      <c r="T76" s="21">
        <v>0.0</v>
      </c>
      <c r="U76" s="23">
        <f>IFERROR(T76/T148, "NA")</f>
        <v>0</v>
      </c>
      <c r="V76" s="21">
        <v>0.0</v>
      </c>
      <c r="W76" s="23">
        <f>IFERROR(V76/V148, "NA")</f>
        <v>0</v>
      </c>
      <c r="X76" s="21">
        <v>0.0</v>
      </c>
      <c r="Y76" s="23">
        <f>IFERROR(X76/X148, "NA")</f>
        <v>0</v>
      </c>
      <c r="Z76" s="21">
        <v>0.0</v>
      </c>
      <c r="AA76" s="23">
        <f>IFERROR(Z76/Z148, "NA")</f>
        <v>0</v>
      </c>
      <c r="AB76" s="28">
        <f t="shared" si="37"/>
        <v>0</v>
      </c>
      <c r="AC76" s="23">
        <f>IFERROR(AB76/AB148, "NA")</f>
        <v>0</v>
      </c>
      <c r="AD76" s="29">
        <f t="shared" si="38"/>
        <v>0</v>
      </c>
      <c r="AE76" s="30">
        <f>IFERROR(AD76/AD148, "NA")</f>
        <v>0</v>
      </c>
      <c r="AF76" s="29" t="str">
        <f t="shared" si="39"/>
        <v>NA</v>
      </c>
      <c r="AG76" s="28">
        <f t="shared" si="40"/>
        <v>0</v>
      </c>
      <c r="AH76" s="23">
        <f>IFERROR(AG76/AG148, "NA")</f>
        <v>0</v>
      </c>
      <c r="AI76" s="29">
        <f t="shared" si="41"/>
        <v>0</v>
      </c>
      <c r="AJ76" s="30">
        <f>IFERROR(AI76/AI148, "NA")</f>
        <v>0</v>
      </c>
      <c r="AK76" s="29" t="str">
        <f t="shared" si="42"/>
        <v>NA</v>
      </c>
      <c r="AL76" s="30" t="str">
        <f>IFERROR(AK76/AK148, "NA")</f>
        <v>NA</v>
      </c>
    </row>
    <row r="77" ht="16.5" hidden="1" customHeight="1">
      <c r="A77" s="19" t="s">
        <v>136</v>
      </c>
      <c r="B77" s="21">
        <v>0.0</v>
      </c>
      <c r="C77" s="23">
        <f>IFERROR(B77/B148, "NA")</f>
        <v>0</v>
      </c>
      <c r="D77" s="21">
        <v>0.0</v>
      </c>
      <c r="E77" s="23">
        <f>IFERROR(D77/D148, "NA")</f>
        <v>0</v>
      </c>
      <c r="F77" s="21">
        <v>0.0</v>
      </c>
      <c r="G77" s="23">
        <f>IFERROR(F77/F148, "NA")</f>
        <v>0</v>
      </c>
      <c r="H77" s="21">
        <v>0.0</v>
      </c>
      <c r="I77" s="23">
        <f>IFERROR(H77/H148, "NA")</f>
        <v>0</v>
      </c>
      <c r="J77" s="21">
        <v>0.0</v>
      </c>
      <c r="K77" s="23">
        <f>IFERROR(J77/J148, "NA")</f>
        <v>0</v>
      </c>
      <c r="L77" s="21">
        <v>0.0</v>
      </c>
      <c r="M77" s="23">
        <f>IFERROR(L77/L148, "NA")</f>
        <v>0</v>
      </c>
      <c r="N77" s="21">
        <v>0.0</v>
      </c>
      <c r="O77" s="23">
        <f>IFERROR(N77/N148, "NA")</f>
        <v>0</v>
      </c>
      <c r="P77" s="21">
        <v>0.0</v>
      </c>
      <c r="Q77" s="23">
        <f>IFERROR(P77/P148, "NA")</f>
        <v>0</v>
      </c>
      <c r="R77" s="21">
        <v>0.0</v>
      </c>
      <c r="S77" s="23">
        <f>IFERROR(R77/R148, "NA")</f>
        <v>0</v>
      </c>
      <c r="T77" s="21">
        <v>0.0</v>
      </c>
      <c r="U77" s="23">
        <f>IFERROR(T77/T148, "NA")</f>
        <v>0</v>
      </c>
      <c r="V77" s="21">
        <v>0.0</v>
      </c>
      <c r="W77" s="23">
        <f>IFERROR(V77/V148, "NA")</f>
        <v>0</v>
      </c>
      <c r="X77" s="21">
        <v>0.0</v>
      </c>
      <c r="Y77" s="23">
        <f>IFERROR(X77/X148, "NA")</f>
        <v>0</v>
      </c>
      <c r="Z77" s="21">
        <v>0.0</v>
      </c>
      <c r="AA77" s="23">
        <f>IFERROR(Z77/Z148, "NA")</f>
        <v>0</v>
      </c>
      <c r="AB77" s="28">
        <f t="shared" si="37"/>
        <v>0</v>
      </c>
      <c r="AC77" s="23">
        <f>IFERROR(AB77/AB148, "NA")</f>
        <v>0</v>
      </c>
      <c r="AD77" s="29">
        <f t="shared" si="38"/>
        <v>0</v>
      </c>
      <c r="AE77" s="30">
        <f>IFERROR(AD77/AD148, "NA")</f>
        <v>0</v>
      </c>
      <c r="AF77" s="29" t="str">
        <f t="shared" si="39"/>
        <v>NA</v>
      </c>
      <c r="AG77" s="28">
        <f t="shared" si="40"/>
        <v>0</v>
      </c>
      <c r="AH77" s="23">
        <f>IFERROR(AG77/AG148, "NA")</f>
        <v>0</v>
      </c>
      <c r="AI77" s="29">
        <f t="shared" si="41"/>
        <v>0</v>
      </c>
      <c r="AJ77" s="30">
        <f>IFERROR(AI77/AI148, "NA")</f>
        <v>0</v>
      </c>
      <c r="AK77" s="29" t="str">
        <f t="shared" si="42"/>
        <v>NA</v>
      </c>
      <c r="AL77" s="30" t="str">
        <f>IFERROR(AK77/AK148, "NA")</f>
        <v>NA</v>
      </c>
    </row>
    <row r="78" ht="16.5" hidden="1" customHeight="1">
      <c r="A78" s="19" t="s">
        <v>137</v>
      </c>
      <c r="B78" s="21">
        <v>0.0</v>
      </c>
      <c r="C78" s="23">
        <f>IFERROR(B78/B148, "NA")</f>
        <v>0</v>
      </c>
      <c r="D78" s="21">
        <v>0.0</v>
      </c>
      <c r="E78" s="23">
        <f>IFERROR(D78/D148, "NA")</f>
        <v>0</v>
      </c>
      <c r="F78" s="21">
        <v>0.0</v>
      </c>
      <c r="G78" s="23">
        <f>IFERROR(F78/F148, "NA")</f>
        <v>0</v>
      </c>
      <c r="H78" s="21">
        <v>0.0</v>
      </c>
      <c r="I78" s="23">
        <f>IFERROR(H78/H148, "NA")</f>
        <v>0</v>
      </c>
      <c r="J78" s="21">
        <v>0.0</v>
      </c>
      <c r="K78" s="23">
        <f>IFERROR(J78/J148, "NA")</f>
        <v>0</v>
      </c>
      <c r="L78" s="21">
        <v>0.0</v>
      </c>
      <c r="M78" s="23">
        <f>IFERROR(L78/L148, "NA")</f>
        <v>0</v>
      </c>
      <c r="N78" s="21">
        <v>0.0</v>
      </c>
      <c r="O78" s="23">
        <f>IFERROR(N78/N148, "NA")</f>
        <v>0</v>
      </c>
      <c r="P78" s="21">
        <v>0.0</v>
      </c>
      <c r="Q78" s="23">
        <f>IFERROR(P78/P148, "NA")</f>
        <v>0</v>
      </c>
      <c r="R78" s="21">
        <v>0.0</v>
      </c>
      <c r="S78" s="23">
        <f>IFERROR(R78/R148, "NA")</f>
        <v>0</v>
      </c>
      <c r="T78" s="21">
        <v>0.0</v>
      </c>
      <c r="U78" s="23">
        <f>IFERROR(T78/T148, "NA")</f>
        <v>0</v>
      </c>
      <c r="V78" s="21">
        <v>0.0</v>
      </c>
      <c r="W78" s="23">
        <f>IFERROR(V78/V148, "NA")</f>
        <v>0</v>
      </c>
      <c r="X78" s="21">
        <v>0.0</v>
      </c>
      <c r="Y78" s="23">
        <f>IFERROR(X78/X148, "NA")</f>
        <v>0</v>
      </c>
      <c r="Z78" s="21">
        <v>0.0</v>
      </c>
      <c r="AA78" s="23">
        <f>IFERROR(Z78/Z148, "NA")</f>
        <v>0</v>
      </c>
      <c r="AB78" s="28">
        <f t="shared" si="37"/>
        <v>0</v>
      </c>
      <c r="AC78" s="23">
        <f>IFERROR(AB78/AB148, "NA")</f>
        <v>0</v>
      </c>
      <c r="AD78" s="29">
        <f t="shared" si="38"/>
        <v>0</v>
      </c>
      <c r="AE78" s="30">
        <f>IFERROR(AD78/AD148, "NA")</f>
        <v>0</v>
      </c>
      <c r="AF78" s="29" t="str">
        <f t="shared" si="39"/>
        <v>NA</v>
      </c>
      <c r="AG78" s="28">
        <f t="shared" si="40"/>
        <v>0</v>
      </c>
      <c r="AH78" s="23">
        <f>IFERROR(AG78/AG148, "NA")</f>
        <v>0</v>
      </c>
      <c r="AI78" s="29">
        <f t="shared" si="41"/>
        <v>0</v>
      </c>
      <c r="AJ78" s="30">
        <f>IFERROR(AI78/AI148, "NA")</f>
        <v>0</v>
      </c>
      <c r="AK78" s="29" t="str">
        <f t="shared" si="42"/>
        <v>NA</v>
      </c>
      <c r="AL78" s="30" t="str">
        <f>IFERROR(AK78/AK148, "NA")</f>
        <v>NA</v>
      </c>
    </row>
    <row r="79" ht="16.5" hidden="1" customHeight="1">
      <c r="A79" s="19" t="s">
        <v>139</v>
      </c>
      <c r="B79" s="21">
        <v>0.0</v>
      </c>
      <c r="C79" s="23">
        <f>IFERROR(B79/B148, "NA")</f>
        <v>0</v>
      </c>
      <c r="D79" s="21">
        <v>0.0</v>
      </c>
      <c r="E79" s="23">
        <f>IFERROR(D79/D148, "NA")</f>
        <v>0</v>
      </c>
      <c r="F79" s="21">
        <v>0.0</v>
      </c>
      <c r="G79" s="23">
        <f>IFERROR(F79/F148, "NA")</f>
        <v>0</v>
      </c>
      <c r="H79" s="21">
        <v>0.0</v>
      </c>
      <c r="I79" s="23">
        <f>IFERROR(H79/H148, "NA")</f>
        <v>0</v>
      </c>
      <c r="J79" s="21">
        <v>0.0</v>
      </c>
      <c r="K79" s="23">
        <f>IFERROR(J79/J148, "NA")</f>
        <v>0</v>
      </c>
      <c r="L79" s="21">
        <v>0.0</v>
      </c>
      <c r="M79" s="23">
        <f>IFERROR(L79/L148, "NA")</f>
        <v>0</v>
      </c>
      <c r="N79" s="21">
        <v>0.0</v>
      </c>
      <c r="O79" s="23">
        <f>IFERROR(N79/N148, "NA")</f>
        <v>0</v>
      </c>
      <c r="P79" s="21">
        <v>0.0</v>
      </c>
      <c r="Q79" s="23">
        <f>IFERROR(P79/P148, "NA")</f>
        <v>0</v>
      </c>
      <c r="R79" s="21">
        <v>0.0</v>
      </c>
      <c r="S79" s="23">
        <f>IFERROR(R79/R148, "NA")</f>
        <v>0</v>
      </c>
      <c r="T79" s="21">
        <v>0.0</v>
      </c>
      <c r="U79" s="23">
        <f>IFERROR(T79/T148, "NA")</f>
        <v>0</v>
      </c>
      <c r="V79" s="21">
        <v>0.0</v>
      </c>
      <c r="W79" s="23">
        <f>IFERROR(V79/V148, "NA")</f>
        <v>0</v>
      </c>
      <c r="X79" s="21">
        <v>0.0</v>
      </c>
      <c r="Y79" s="23">
        <f>IFERROR(X79/X148, "NA")</f>
        <v>0</v>
      </c>
      <c r="Z79" s="21">
        <v>0.0</v>
      </c>
      <c r="AA79" s="23">
        <f>IFERROR(Z79/Z148, "NA")</f>
        <v>0</v>
      </c>
      <c r="AB79" s="28">
        <f t="shared" si="37"/>
        <v>0</v>
      </c>
      <c r="AC79" s="23">
        <f>IFERROR(AB79/AB148, "NA")</f>
        <v>0</v>
      </c>
      <c r="AD79" s="29">
        <f t="shared" si="38"/>
        <v>0</v>
      </c>
      <c r="AE79" s="30">
        <f>IFERROR(AD79/AD148, "NA")</f>
        <v>0</v>
      </c>
      <c r="AF79" s="29" t="str">
        <f t="shared" si="39"/>
        <v>NA</v>
      </c>
      <c r="AG79" s="28">
        <f t="shared" si="40"/>
        <v>0</v>
      </c>
      <c r="AH79" s="23">
        <f>IFERROR(AG79/AG148, "NA")</f>
        <v>0</v>
      </c>
      <c r="AI79" s="29">
        <f t="shared" si="41"/>
        <v>0</v>
      </c>
      <c r="AJ79" s="30">
        <f>IFERROR(AI79/AI148, "NA")</f>
        <v>0</v>
      </c>
      <c r="AK79" s="29" t="str">
        <f t="shared" si="42"/>
        <v>NA</v>
      </c>
      <c r="AL79" s="30" t="str">
        <f>IFERROR(AK79/AK148, "NA")</f>
        <v>NA</v>
      </c>
    </row>
    <row r="80" ht="16.5" hidden="1" customHeight="1">
      <c r="A80" s="19" t="s">
        <v>141</v>
      </c>
      <c r="B80" s="21">
        <v>0.0</v>
      </c>
      <c r="C80" s="23">
        <f>IFERROR(B80/B148, "NA")</f>
        <v>0</v>
      </c>
      <c r="D80" s="21">
        <v>0.0</v>
      </c>
      <c r="E80" s="23">
        <f>IFERROR(D80/D148, "NA")</f>
        <v>0</v>
      </c>
      <c r="F80" s="21">
        <v>0.0</v>
      </c>
      <c r="G80" s="23">
        <f>IFERROR(F80/F148, "NA")</f>
        <v>0</v>
      </c>
      <c r="H80" s="21">
        <v>0.0</v>
      </c>
      <c r="I80" s="23">
        <f>IFERROR(H80/H148, "NA")</f>
        <v>0</v>
      </c>
      <c r="J80" s="21">
        <v>0.0</v>
      </c>
      <c r="K80" s="23">
        <f>IFERROR(J80/J148, "NA")</f>
        <v>0</v>
      </c>
      <c r="L80" s="21">
        <v>0.0</v>
      </c>
      <c r="M80" s="23">
        <f>IFERROR(L80/L148, "NA")</f>
        <v>0</v>
      </c>
      <c r="N80" s="21">
        <v>0.0</v>
      </c>
      <c r="O80" s="23">
        <f>IFERROR(N80/N148, "NA")</f>
        <v>0</v>
      </c>
      <c r="P80" s="21">
        <v>0.0</v>
      </c>
      <c r="Q80" s="23">
        <f>IFERROR(P80/P148, "NA")</f>
        <v>0</v>
      </c>
      <c r="R80" s="21">
        <v>0.0</v>
      </c>
      <c r="S80" s="23">
        <f>IFERROR(R80/R148, "NA")</f>
        <v>0</v>
      </c>
      <c r="T80" s="21">
        <v>0.0</v>
      </c>
      <c r="U80" s="23">
        <f>IFERROR(T80/T148, "NA")</f>
        <v>0</v>
      </c>
      <c r="V80" s="21">
        <v>0.0</v>
      </c>
      <c r="W80" s="23">
        <f>IFERROR(V80/V148, "NA")</f>
        <v>0</v>
      </c>
      <c r="X80" s="21">
        <v>0.0</v>
      </c>
      <c r="Y80" s="23">
        <f>IFERROR(X80/X148, "NA")</f>
        <v>0</v>
      </c>
      <c r="Z80" s="21">
        <v>0.0</v>
      </c>
      <c r="AA80" s="23">
        <f>IFERROR(Z80/Z148, "NA")</f>
        <v>0</v>
      </c>
      <c r="AB80" s="28">
        <f t="shared" si="37"/>
        <v>0</v>
      </c>
      <c r="AC80" s="23">
        <f>IFERROR(AB80/AB148, "NA")</f>
        <v>0</v>
      </c>
      <c r="AD80" s="29">
        <f t="shared" si="38"/>
        <v>0</v>
      </c>
      <c r="AE80" s="30">
        <f>IFERROR(AD80/AD148, "NA")</f>
        <v>0</v>
      </c>
      <c r="AF80" s="29" t="str">
        <f t="shared" si="39"/>
        <v>NA</v>
      </c>
      <c r="AG80" s="28">
        <f t="shared" si="40"/>
        <v>0</v>
      </c>
      <c r="AH80" s="23">
        <f>IFERROR(AG80/AG148, "NA")</f>
        <v>0</v>
      </c>
      <c r="AI80" s="29">
        <f t="shared" si="41"/>
        <v>0</v>
      </c>
      <c r="AJ80" s="30">
        <f>IFERROR(AI80/AI148, "NA")</f>
        <v>0</v>
      </c>
      <c r="AK80" s="29" t="str">
        <f t="shared" si="42"/>
        <v>NA</v>
      </c>
      <c r="AL80" s="30" t="str">
        <f>IFERROR(AK80/AK148, "NA")</f>
        <v>NA</v>
      </c>
    </row>
    <row r="81" ht="16.5" customHeight="1">
      <c r="A81" s="65" t="s">
        <v>142</v>
      </c>
      <c r="B81" s="66">
        <f>IFERROR(B74+B75+B76+B77+B78+B79+B80, "NA")</f>
        <v>718.46</v>
      </c>
      <c r="C81" s="67">
        <f>IFERROR(B81/B148, "NA")</f>
        <v>0.01538754463</v>
      </c>
      <c r="D81" s="66">
        <f>IFERROR(D74+D75+D76+D77+D78+D79+D80, "NA")</f>
        <v>671.66</v>
      </c>
      <c r="E81" s="67">
        <f>IFERROR(D81/D148, "NA")</f>
        <v>0.01501814941</v>
      </c>
      <c r="F81" s="66">
        <f>IFERROR(F74+F75+F76+F77+F78+F79+F80, "NA")</f>
        <v>577.22</v>
      </c>
      <c r="G81" s="67">
        <f>IFERROR(F81/F148, "NA")</f>
        <v>0.02383354095</v>
      </c>
      <c r="H81" s="66">
        <f>IFERROR(H74+H75+H76+H77+H78+H79+H80, "NA")</f>
        <v>355.27</v>
      </c>
      <c r="I81" s="67">
        <f>IFERROR(H81/H148, "NA")</f>
        <v>0.02804264294</v>
      </c>
      <c r="J81" s="66">
        <f>IFERROR(J74+J75+J76+J77+J78+J79+J80, "NA")</f>
        <v>522.51</v>
      </c>
      <c r="K81" s="67">
        <f>IFERROR(J81/J148, "NA")</f>
        <v>0.0227105291</v>
      </c>
      <c r="L81" s="66">
        <f>IFERROR(L74+L75+L76+L77+L78+L79+L80, "NA")</f>
        <v>499.79</v>
      </c>
      <c r="M81" s="67">
        <f>IFERROR(L81/L148, "NA")</f>
        <v>0.02559421451</v>
      </c>
      <c r="N81" s="66">
        <f>IFERROR(N74+N75+N76+N77+N78+N79+N80, "NA")</f>
        <v>506.17</v>
      </c>
      <c r="O81" s="67">
        <f>IFERROR(N81/N148, "NA")</f>
        <v>0.02322961231</v>
      </c>
      <c r="P81" s="66">
        <f>IFERROR(P74+P75+P76+P77+P78+P79+P80, "NA")</f>
        <v>310.54</v>
      </c>
      <c r="Q81" s="67">
        <f>IFERROR(P81/P148, "NA")</f>
        <v>0.03530616909</v>
      </c>
      <c r="R81" s="66">
        <f>IFERROR(R74+R75+R76+R77+R78+R79+R80, "NA")</f>
        <v>391</v>
      </c>
      <c r="S81" s="67">
        <f>IFERROR(R81/R148, "NA")</f>
        <v>0.03621292459</v>
      </c>
      <c r="T81" s="66">
        <f>IFERROR(T74+T75+T76+T77+T78+T79+T80, "NA")</f>
        <v>498.65</v>
      </c>
      <c r="U81" s="67">
        <f>IFERROR(T81/T148, "NA")</f>
        <v>0.02307886339</v>
      </c>
      <c r="V81" s="66">
        <f>IFERROR(V74+V75+V76+V77+V78+V79+V80, "NA")</f>
        <v>463.23</v>
      </c>
      <c r="W81" s="67">
        <f>IFERROR(V81/V148, "NA")</f>
        <v>0.02012402932</v>
      </c>
      <c r="X81" s="66">
        <f>IFERROR(X74+X75+X76+X77+X78+X79+X80, "NA")</f>
        <v>430.65</v>
      </c>
      <c r="Y81" s="67">
        <f>IFERROR(X81/X148, "NA")</f>
        <v>0.02630657839</v>
      </c>
      <c r="Z81" s="66">
        <f>IFERROR(Z74+Z75+Z76+Z77+Z78+Z79+Z80, "NA")</f>
        <v>1783.53</v>
      </c>
      <c r="AA81" s="67">
        <f>IFERROR(Z81/Z148, "NA")</f>
        <v>0.02484274881</v>
      </c>
      <c r="AB81" s="66">
        <f t="shared" si="37"/>
        <v>445.8825</v>
      </c>
      <c r="AC81" s="67">
        <f>IFERROR(AB81/AB148, "NA")</f>
        <v>0.02484274881</v>
      </c>
      <c r="AD81" s="75">
        <f t="shared" si="38"/>
        <v>-15.2325</v>
      </c>
      <c r="AE81" s="76">
        <f>IFERROR(AD81/AD148, "NA")</f>
        <v>0.009654479596</v>
      </c>
      <c r="AF81" s="75">
        <f t="shared" si="39"/>
        <v>-0.03416258768</v>
      </c>
      <c r="AG81" s="66">
        <f t="shared" si="40"/>
        <v>452.8175</v>
      </c>
      <c r="AH81" s="67">
        <f>IFERROR(AG81/AG148, "NA")</f>
        <v>0.0249980126</v>
      </c>
      <c r="AI81" s="75">
        <f t="shared" si="41"/>
        <v>-22.1675</v>
      </c>
      <c r="AJ81" s="76">
        <f>IFERROR(AI81/AI148, "NA")</f>
        <v>0.01271283642</v>
      </c>
      <c r="AK81" s="75">
        <f t="shared" si="42"/>
        <v>-0.04895460092</v>
      </c>
      <c r="AL81" s="76">
        <f>IFERROR(AK81/AK148, "NA")</f>
        <v>0.5085538849</v>
      </c>
    </row>
    <row r="82" ht="16.5" customHeight="1">
      <c r="A82" s="19" t="s">
        <v>145</v>
      </c>
      <c r="B82" s="21">
        <v>0.0</v>
      </c>
      <c r="C82" s="23">
        <f>IFERROR(B82/B148, "NA")</f>
        <v>0</v>
      </c>
      <c r="D82" s="21">
        <v>0.0</v>
      </c>
      <c r="E82" s="23">
        <f>IFERROR(D82/D148, "NA")</f>
        <v>0</v>
      </c>
      <c r="F82" s="21">
        <v>0.0</v>
      </c>
      <c r="G82" s="23">
        <f>IFERROR(F82/F148, "NA")</f>
        <v>0</v>
      </c>
      <c r="H82" s="21">
        <v>248.0</v>
      </c>
      <c r="I82" s="23">
        <f>IFERROR(H82/H148, "NA")</f>
        <v>0.019575465</v>
      </c>
      <c r="J82" s="21">
        <v>0.0</v>
      </c>
      <c r="K82" s="23">
        <f>IFERROR(J82/J148, "NA")</f>
        <v>0</v>
      </c>
      <c r="L82" s="21">
        <v>0.0</v>
      </c>
      <c r="M82" s="23">
        <f>IFERROR(L82/L148, "NA")</f>
        <v>0</v>
      </c>
      <c r="N82" s="21">
        <v>0.0</v>
      </c>
      <c r="O82" s="23">
        <f>IFERROR(N82/N148, "NA")</f>
        <v>0</v>
      </c>
      <c r="P82" s="21">
        <v>0.0</v>
      </c>
      <c r="Q82" s="23">
        <f>IFERROR(P82/P148, "NA")</f>
        <v>0</v>
      </c>
      <c r="R82" s="21">
        <v>248.0</v>
      </c>
      <c r="S82" s="23">
        <f>IFERROR(R82/R148, "NA")</f>
        <v>0.0229688115</v>
      </c>
      <c r="T82" s="21">
        <v>0.0</v>
      </c>
      <c r="U82" s="23">
        <f>IFERROR(T82/T148, "NA")</f>
        <v>0</v>
      </c>
      <c r="V82" s="21">
        <v>0.0</v>
      </c>
      <c r="W82" s="23">
        <f>IFERROR(V82/V148, "NA")</f>
        <v>0</v>
      </c>
      <c r="X82" s="21">
        <v>0.0</v>
      </c>
      <c r="Y82" s="23">
        <f>IFERROR(X82/X148, "NA")</f>
        <v>0</v>
      </c>
      <c r="Z82" s="21">
        <v>248.0</v>
      </c>
      <c r="AA82" s="23">
        <f>IFERROR(Z82/Z148, "NA")</f>
        <v>0.00345438636</v>
      </c>
      <c r="AB82" s="28">
        <f t="shared" si="37"/>
        <v>62</v>
      </c>
      <c r="AC82" s="23">
        <f>IFERROR(AB82/AB148, "NA")</f>
        <v>0.00345438636</v>
      </c>
      <c r="AD82" s="29">
        <f t="shared" si="38"/>
        <v>-62</v>
      </c>
      <c r="AE82" s="30">
        <f>IFERROR(AD82/AD148, "NA")</f>
        <v>0.03929609289</v>
      </c>
      <c r="AF82" s="29">
        <f t="shared" si="39"/>
        <v>-1</v>
      </c>
      <c r="AG82" s="28">
        <f t="shared" si="40"/>
        <v>31</v>
      </c>
      <c r="AH82" s="23">
        <f>IFERROR(AG82/AG148, "NA")</f>
        <v>0.001711370233</v>
      </c>
      <c r="AI82" s="29">
        <f t="shared" si="41"/>
        <v>-31</v>
      </c>
      <c r="AJ82" s="30">
        <f>IFERROR(AI82/AI148, "NA")</f>
        <v>0.01777818559</v>
      </c>
      <c r="AK82" s="29">
        <f t="shared" si="42"/>
        <v>-1</v>
      </c>
      <c r="AL82" s="30">
        <f>IFERROR(AK82/AK148, "NA")</f>
        <v>10.38827557</v>
      </c>
    </row>
    <row r="83" ht="16.5" hidden="1" customHeight="1">
      <c r="A83" s="19" t="s">
        <v>147</v>
      </c>
      <c r="B83" s="21">
        <v>0.0</v>
      </c>
      <c r="C83" s="23">
        <f>IFERROR(B83/B148, "NA")</f>
        <v>0</v>
      </c>
      <c r="D83" s="21">
        <v>0.0</v>
      </c>
      <c r="E83" s="23">
        <f>IFERROR(D83/D148, "NA")</f>
        <v>0</v>
      </c>
      <c r="F83" s="21">
        <v>0.0</v>
      </c>
      <c r="G83" s="23">
        <f>IFERROR(F83/F148, "NA")</f>
        <v>0</v>
      </c>
      <c r="H83" s="21">
        <v>0.0</v>
      </c>
      <c r="I83" s="23">
        <f>IFERROR(H83/H148, "NA")</f>
        <v>0</v>
      </c>
      <c r="J83" s="21">
        <v>0.0</v>
      </c>
      <c r="K83" s="23">
        <f>IFERROR(J83/J148, "NA")</f>
        <v>0</v>
      </c>
      <c r="L83" s="21">
        <v>0.0</v>
      </c>
      <c r="M83" s="23">
        <f>IFERROR(L83/L148, "NA")</f>
        <v>0</v>
      </c>
      <c r="N83" s="21">
        <v>0.0</v>
      </c>
      <c r="O83" s="23">
        <f>IFERROR(N83/N148, "NA")</f>
        <v>0</v>
      </c>
      <c r="P83" s="21">
        <v>0.0</v>
      </c>
      <c r="Q83" s="23">
        <f>IFERROR(P83/P148, "NA")</f>
        <v>0</v>
      </c>
      <c r="R83" s="21">
        <v>0.0</v>
      </c>
      <c r="S83" s="23">
        <f>IFERROR(R83/R148, "NA")</f>
        <v>0</v>
      </c>
      <c r="T83" s="21">
        <v>0.0</v>
      </c>
      <c r="U83" s="23">
        <f>IFERROR(T83/T148, "NA")</f>
        <v>0</v>
      </c>
      <c r="V83" s="21">
        <v>0.0</v>
      </c>
      <c r="W83" s="23">
        <f>IFERROR(V83/V148, "NA")</f>
        <v>0</v>
      </c>
      <c r="X83" s="21">
        <v>0.0</v>
      </c>
      <c r="Y83" s="23">
        <f>IFERROR(X83/X148, "NA")</f>
        <v>0</v>
      </c>
      <c r="Z83" s="21">
        <v>0.0</v>
      </c>
      <c r="AA83" s="23">
        <f>IFERROR(Z83/Z148, "NA")</f>
        <v>0</v>
      </c>
      <c r="AB83" s="28">
        <f t="shared" si="37"/>
        <v>0</v>
      </c>
      <c r="AC83" s="23">
        <f>IFERROR(AB83/AB148, "NA")</f>
        <v>0</v>
      </c>
      <c r="AD83" s="29">
        <f t="shared" si="38"/>
        <v>0</v>
      </c>
      <c r="AE83" s="30">
        <f>IFERROR(AD83/AD148, "NA")</f>
        <v>0</v>
      </c>
      <c r="AF83" s="29" t="str">
        <f t="shared" si="39"/>
        <v>NA</v>
      </c>
      <c r="AG83" s="28">
        <f t="shared" si="40"/>
        <v>0</v>
      </c>
      <c r="AH83" s="23">
        <f>IFERROR(AG83/AG148, "NA")</f>
        <v>0</v>
      </c>
      <c r="AI83" s="29">
        <f t="shared" si="41"/>
        <v>0</v>
      </c>
      <c r="AJ83" s="30">
        <f>IFERROR(AI83/AI148, "NA")</f>
        <v>0</v>
      </c>
      <c r="AK83" s="29" t="str">
        <f t="shared" si="42"/>
        <v>NA</v>
      </c>
      <c r="AL83" s="30" t="str">
        <f>IFERROR(AK83/AK148, "NA")</f>
        <v>NA</v>
      </c>
    </row>
    <row r="84" ht="16.5" customHeight="1">
      <c r="A84" s="65" t="s">
        <v>56</v>
      </c>
      <c r="B84" s="66">
        <f>IFERROR(B63+B65+B66+B67+B68+B69+B71+B72+B74+B75+B76+B77+B78+B79+B80+B82+B83, "NA")</f>
        <v>9069.37</v>
      </c>
      <c r="C84" s="67">
        <f>IFERROR(B84/B148, "NA")</f>
        <v>0.1942423177</v>
      </c>
      <c r="D84" s="66">
        <f>IFERROR(D63+D65+D66+D67+D68+D69+D71+D72+D74+D75+D76+D77+D78+D79+D80+D82+D83, "NA")</f>
        <v>8646.42</v>
      </c>
      <c r="E84" s="67">
        <f>IFERROR(D84/D148, "NA")</f>
        <v>0.193331786</v>
      </c>
      <c r="F84" s="66">
        <f>IFERROR(F63+F65+F66+F67+F68+F69+F71+F72+F74+F75+F76+F77+F78+F79+F80+F82+F83, "NA")</f>
        <v>6295.44</v>
      </c>
      <c r="G84" s="67">
        <f>IFERROR(F84/F148, "NA")</f>
        <v>0.2599401044</v>
      </c>
      <c r="H84" s="66">
        <f>IFERROR(H63+H65+H66+H67+H68+H69+H71+H72+H74+H75+H76+H77+H78+H79+H80+H82+H83, "NA")</f>
        <v>4723.39</v>
      </c>
      <c r="I84" s="67">
        <f>IFERROR(H84/H148, "NA")</f>
        <v>0.3728328855</v>
      </c>
      <c r="J84" s="66">
        <f>IFERROR(J63+J65+J66+J67+J68+J69+J71+J72+J74+J75+J76+J77+J78+J79+J80+J82+J83, "NA")</f>
        <v>6805.67</v>
      </c>
      <c r="K84" s="67">
        <f>IFERROR(J84/J148, "NA")</f>
        <v>0.2958036527</v>
      </c>
      <c r="L84" s="66">
        <f>IFERROR(L63+L65+L66+L67+L68+L69+L71+L72+L74+L75+L76+L77+L78+L79+L80+L82+L83, "NA")</f>
        <v>6346.79</v>
      </c>
      <c r="M84" s="67">
        <f>IFERROR(L84/L148, "NA")</f>
        <v>0.3250187172</v>
      </c>
      <c r="N84" s="66">
        <f>IFERROR(N63+N65+N66+N67+N68+N69+N71+N72+N74+N75+N76+N77+N78+N79+N80+N82+N83, "NA")</f>
        <v>6436.54</v>
      </c>
      <c r="O84" s="67">
        <f>IFERROR(N84/N148, "NA")</f>
        <v>0.2953915262</v>
      </c>
      <c r="P84" s="66">
        <f>IFERROR(P63+P65+P66+P67+P68+P69+P71+P72+P74+P75+P76+P77+P78+P79+P80+P82+P83, "NA")</f>
        <v>4234.91</v>
      </c>
      <c r="Q84" s="67">
        <f>IFERROR(P84/P148, "NA")</f>
        <v>0.4814788708</v>
      </c>
      <c r="R84" s="66">
        <f>IFERROR(R63+R65+R66+R67+R68+R69+R71+R72+R74+R75+R76+R77+R78+R79+R80+R82+R83, "NA")</f>
        <v>4935.53</v>
      </c>
      <c r="S84" s="67">
        <f>IFERROR(R84/R148, "NA")</f>
        <v>0.4571099122</v>
      </c>
      <c r="T84" s="66">
        <f>IFERROR(T63+T65+T66+T67+T68+T69+T71+T72+T74+T75+T76+T77+T78+T79+T80+T82+T83, "NA")</f>
        <v>6023.39</v>
      </c>
      <c r="U84" s="67">
        <f>IFERROR(T84/T148, "NA")</f>
        <v>0.2787786924</v>
      </c>
      <c r="V84" s="66">
        <f>IFERROR(V63+V65+V66+V67+V68+V69+V71+V72+V74+V75+V76+V77+V78+V79+V80+V82+V83, "NA")</f>
        <v>5187.82</v>
      </c>
      <c r="W84" s="67">
        <f>IFERROR(V84/V148, "NA")</f>
        <v>0.2253736628</v>
      </c>
      <c r="X84" s="66">
        <f>IFERROR(X63+X65+X66+X67+X68+X69+X71+X72+X74+X75+X76+X77+X78+X79+X80+X82+X83, "NA")</f>
        <v>5484.62</v>
      </c>
      <c r="Y84" s="67">
        <f>IFERROR(X84/X148, "NA")</f>
        <v>0.3350321281</v>
      </c>
      <c r="Z84" s="66">
        <f>IFERROR(Z63+Z65+Z66+Z67+Z68+Z69+Z71+Z72+Z74+Z75+Z76+Z77+Z78+Z79+Z80+Z82+Z83, "NA")</f>
        <v>21631.36</v>
      </c>
      <c r="AA84" s="67">
        <f>IFERROR(Z84/Z148, "NA")</f>
        <v>0.3013027215</v>
      </c>
      <c r="AB84" s="66">
        <f t="shared" si="37"/>
        <v>5407.84</v>
      </c>
      <c r="AC84" s="67">
        <f>IFERROR(AB84/AB148, "NA")</f>
        <v>0.3013027215</v>
      </c>
      <c r="AD84" s="75">
        <f t="shared" si="38"/>
        <v>76.78</v>
      </c>
      <c r="AE84" s="76">
        <f>IFERROR(AD84/AD148, "NA")</f>
        <v>-0.04866377439</v>
      </c>
      <c r="AF84" s="75">
        <f t="shared" si="39"/>
        <v>0.01419790526</v>
      </c>
      <c r="AG84" s="66">
        <f t="shared" si="40"/>
        <v>5681.90875</v>
      </c>
      <c r="AH84" s="67">
        <f>IFERROR(AG84/AG148, "NA")</f>
        <v>0.3136725646</v>
      </c>
      <c r="AI84" s="75">
        <f t="shared" si="41"/>
        <v>-197.28875</v>
      </c>
      <c r="AJ84" s="76">
        <f>IFERROR(AI84/AI148, "NA")</f>
        <v>0.1131430972</v>
      </c>
      <c r="AK84" s="75">
        <f t="shared" si="42"/>
        <v>-0.03472226653</v>
      </c>
      <c r="AL84" s="76">
        <f>IFERROR(AK84/AK148, "NA")</f>
        <v>0.3607044732</v>
      </c>
    </row>
    <row r="85" ht="16.5" customHeight="1">
      <c r="A85" s="65" t="s">
        <v>56</v>
      </c>
      <c r="B85" s="118">
        <f>IFERROR(B63+B65+B66+B67+B68+B69+B71+B72+B74+B75+B76+B77+B78+B79+B80+B82+B83, "NA")</f>
        <v>9069.37</v>
      </c>
      <c r="C85" s="92">
        <f>IFERROR(B85/B148, "NA")</f>
        <v>0.1942423177</v>
      </c>
      <c r="D85" s="118">
        <f>IFERROR(D63+D65+D66+D67+D68+D69+D71+D72+D74+D75+D76+D77+D78+D79+D80+D82+D83, "NA")</f>
        <v>8646.42</v>
      </c>
      <c r="E85" s="92">
        <f>IFERROR(D85/D148, "NA")</f>
        <v>0.193331786</v>
      </c>
      <c r="F85" s="118">
        <f>IFERROR(F63+F65+F66+F67+F68+F69+F71+F72+F74+F75+F76+F77+F78+F79+F80+F82+F83, "NA")</f>
        <v>6295.44</v>
      </c>
      <c r="G85" s="92">
        <f>IFERROR(F85/F148, "NA")</f>
        <v>0.2599401044</v>
      </c>
      <c r="H85" s="118">
        <f>IFERROR(H63+H65+H66+H67+H68+H69+H71+H72+H74+H75+H76+H77+H78+H79+H80+H82+H83, "NA")</f>
        <v>4723.39</v>
      </c>
      <c r="I85" s="92">
        <f>IFERROR(H85/H148, "NA")</f>
        <v>0.3728328855</v>
      </c>
      <c r="J85" s="118">
        <f>IFERROR(J63+J65+J66+J67+J68+J69+J71+J72+J74+J75+J76+J77+J78+J79+J80+J82+J83, "NA")</f>
        <v>6805.67</v>
      </c>
      <c r="K85" s="92">
        <f>IFERROR(J85/J148, "NA")</f>
        <v>0.2958036527</v>
      </c>
      <c r="L85" s="118">
        <f>IFERROR(L63+L65+L66+L67+L68+L69+L71+L72+L74+L75+L76+L77+L78+L79+L80+L82+L83, "NA")</f>
        <v>6346.79</v>
      </c>
      <c r="M85" s="92">
        <f>IFERROR(L85/L148, "NA")</f>
        <v>0.3250187172</v>
      </c>
      <c r="N85" s="118">
        <f>IFERROR(N63+N65+N66+N67+N68+N69+N71+N72+N74+N75+N76+N77+N78+N79+N80+N82+N83, "NA")</f>
        <v>6436.54</v>
      </c>
      <c r="O85" s="92">
        <f>IFERROR(N85/N148, "NA")</f>
        <v>0.2953915262</v>
      </c>
      <c r="P85" s="118">
        <f>IFERROR(P63+P65+P66+P67+P68+P69+P71+P72+P74+P75+P76+P77+P78+P79+P80+P82+P83, "NA")</f>
        <v>4234.91</v>
      </c>
      <c r="Q85" s="92">
        <f>IFERROR(P85/P148, "NA")</f>
        <v>0.4814788708</v>
      </c>
      <c r="R85" s="118">
        <f>IFERROR(R63+R65+R66+R67+R68+R69+R71+R72+R74+R75+R76+R77+R78+R79+R80+R82+R83, "NA")</f>
        <v>4935.53</v>
      </c>
      <c r="S85" s="92">
        <f>IFERROR(R85/R148, "NA")</f>
        <v>0.4571099122</v>
      </c>
      <c r="T85" s="118">
        <f>IFERROR(T63+T65+T66+T67+T68+T69+T71+T72+T74+T75+T76+T77+T78+T79+T80+T82+T83, "NA")</f>
        <v>6023.39</v>
      </c>
      <c r="U85" s="92">
        <f>IFERROR(T85/T148, "NA")</f>
        <v>0.2787786924</v>
      </c>
      <c r="V85" s="118">
        <f>IFERROR(V63+V65+V66+V67+V68+V69+V71+V72+V74+V75+V76+V77+V78+V79+V80+V82+V83, "NA")</f>
        <v>5187.82</v>
      </c>
      <c r="W85" s="92">
        <f>IFERROR(V85/V148, "NA")</f>
        <v>0.2253736628</v>
      </c>
      <c r="X85" s="118">
        <f>IFERROR(X63+X65+X66+X67+X68+X69+X71+X72+X74+X75+X76+X77+X78+X79+X80+X82+X83, "NA")</f>
        <v>5484.62</v>
      </c>
      <c r="Y85" s="92">
        <f>IFERROR(X85/X148, "NA")</f>
        <v>0.3350321281</v>
      </c>
      <c r="Z85" s="118">
        <f>IFERROR(Z63+Z65+Z66+Z67+Z68+Z69+Z71+Z72+Z74+Z75+Z76+Z77+Z78+Z79+Z80+Z82+Z83, "NA")</f>
        <v>21631.36</v>
      </c>
      <c r="AA85" s="92">
        <f>IFERROR(Z85/Z148, "NA")</f>
        <v>0.3013027215</v>
      </c>
      <c r="AB85" s="118">
        <f t="shared" si="37"/>
        <v>5407.84</v>
      </c>
      <c r="AC85" s="92">
        <f>IFERROR(AB85/AB148, "NA")</f>
        <v>0.3013027215</v>
      </c>
      <c r="AD85" s="119">
        <f t="shared" si="38"/>
        <v>76.78</v>
      </c>
      <c r="AE85" s="120">
        <f>IFERROR(AD85/AD148, "NA")</f>
        <v>-0.04866377439</v>
      </c>
      <c r="AF85" s="119">
        <f t="shared" si="39"/>
        <v>0.01419790526</v>
      </c>
      <c r="AG85" s="118">
        <f t="shared" si="40"/>
        <v>5681.90875</v>
      </c>
      <c r="AH85" s="92">
        <f>IFERROR(AG85/AG148, "NA")</f>
        <v>0.3136725646</v>
      </c>
      <c r="AI85" s="119">
        <f t="shared" si="41"/>
        <v>-197.28875</v>
      </c>
      <c r="AJ85" s="120">
        <f>IFERROR(AI85/AI148, "NA")</f>
        <v>0.1131430972</v>
      </c>
      <c r="AK85" s="119">
        <f t="shared" si="42"/>
        <v>-0.03472226653</v>
      </c>
      <c r="AL85" s="120">
        <f>IFERROR(AK85/AK148, "NA")</f>
        <v>0.3607044732</v>
      </c>
    </row>
    <row r="86" ht="3.75" customHeight="1">
      <c r="A86" s="123"/>
      <c r="B86" s="124"/>
      <c r="C86" s="74"/>
      <c r="D86" s="124"/>
      <c r="E86" s="74"/>
      <c r="F86" s="124"/>
      <c r="G86" s="74"/>
      <c r="H86" s="124"/>
      <c r="I86" s="74"/>
      <c r="J86" s="124"/>
      <c r="K86" s="74"/>
      <c r="L86" s="124"/>
      <c r="M86" s="74"/>
      <c r="N86" s="124"/>
      <c r="O86" s="74"/>
      <c r="P86" s="124"/>
      <c r="Q86" s="74"/>
      <c r="R86" s="124"/>
      <c r="S86" s="74"/>
      <c r="T86" s="124"/>
      <c r="U86" s="74"/>
      <c r="V86" s="124"/>
      <c r="W86" s="74"/>
      <c r="X86" s="124"/>
      <c r="Y86" s="74"/>
      <c r="Z86" s="124"/>
      <c r="AA86" s="74"/>
      <c r="AB86" s="124"/>
      <c r="AC86" s="74"/>
      <c r="AD86" s="125"/>
      <c r="AE86" s="80"/>
      <c r="AF86" s="125"/>
      <c r="AG86" s="124"/>
      <c r="AH86" s="74"/>
      <c r="AI86" s="125"/>
      <c r="AJ86" s="80"/>
      <c r="AK86" s="125"/>
      <c r="AL86" s="80"/>
    </row>
    <row r="87" ht="16.5" customHeight="1">
      <c r="A87" s="121" t="s">
        <v>57</v>
      </c>
      <c r="B87" s="122">
        <f>IFERROR(B59-B85, "NA")</f>
        <v>26264.37</v>
      </c>
      <c r="C87" s="94">
        <f>IFERROR(B87/B148, "NA")</f>
        <v>0.5625144969</v>
      </c>
      <c r="D87" s="122">
        <f>IFERROR(D59-D85, "NA")</f>
        <v>25782.41</v>
      </c>
      <c r="E87" s="94">
        <f>IFERROR(D87/D148, "NA")</f>
        <v>0.5764882314</v>
      </c>
      <c r="F87" s="122">
        <f>IFERROR(F59-F85, "NA")</f>
        <v>11536.37</v>
      </c>
      <c r="G87" s="94">
        <f>IFERROR(F87/F148, "NA")</f>
        <v>0.4763392586</v>
      </c>
      <c r="H87" s="122">
        <f>IFERROR(H59-H85, "NA")</f>
        <v>4533.63</v>
      </c>
      <c r="I87" s="94">
        <f>IFERROR(H87/H148, "NA")</f>
        <v>0.3578544975</v>
      </c>
      <c r="J87" s="122">
        <f>IFERROR(J59-J85, "NA")</f>
        <v>9975.53</v>
      </c>
      <c r="K87" s="94">
        <f>IFERROR(J87/J148, "NA")</f>
        <v>0.4335793847</v>
      </c>
      <c r="L87" s="122">
        <f>IFERROR(L59-L85, "NA")</f>
        <v>7199.96</v>
      </c>
      <c r="M87" s="94">
        <f>IFERROR(L87/L148, "NA")</f>
        <v>0.3687094993</v>
      </c>
      <c r="N87" s="122">
        <f>IFERROR(N59-N85, "NA")</f>
        <v>9563.47</v>
      </c>
      <c r="O87" s="94">
        <f>IFERROR(N87/N148, "NA")</f>
        <v>0.4388954312</v>
      </c>
      <c r="P87" s="122">
        <f>IFERROR(P59-P85, "NA")</f>
        <v>2373.48</v>
      </c>
      <c r="Q87" s="94">
        <f>IFERROR(P87/P148, "NA")</f>
        <v>0.2698476402</v>
      </c>
      <c r="R87" s="122">
        <f>IFERROR(R59-R85, "NA")</f>
        <v>2498.74</v>
      </c>
      <c r="S87" s="94">
        <f>IFERROR(R87/R148, "NA")</f>
        <v>0.2314237422</v>
      </c>
      <c r="T87" s="122">
        <f>IFERROR(T59-T85, "NA")</f>
        <v>10865.43</v>
      </c>
      <c r="U87" s="94">
        <f>IFERROR(T87/T148, "NA")</f>
        <v>0.5028813289</v>
      </c>
      <c r="V87" s="122">
        <f>IFERROR(V59-V85, "NA")</f>
        <v>11027.96</v>
      </c>
      <c r="W87" s="94">
        <f>IFERROR(V87/V148, "NA")</f>
        <v>0.4790859625</v>
      </c>
      <c r="X87" s="122">
        <f>IFERROR(X59-X85, "NA")</f>
        <v>6731.05</v>
      </c>
      <c r="Y87" s="94">
        <f>IFERROR(X87/X148, "NA")</f>
        <v>0.4111712399</v>
      </c>
      <c r="Z87" s="122">
        <f>IFERROR(Z59-Z85, "NA")</f>
        <v>31123.18</v>
      </c>
      <c r="AA87" s="94">
        <f>IFERROR(Z87/Z148, "NA")</f>
        <v>0.4335140665</v>
      </c>
      <c r="AB87" s="122">
        <f>IFERROR((R87+T87+V87+X87)/4, "NA")</f>
        <v>7780.795</v>
      </c>
      <c r="AC87" s="94">
        <f>IFERROR(AB87/AB148, "NA")</f>
        <v>0.4335140665</v>
      </c>
      <c r="AD87" s="75">
        <f>IFERROR(X87-AB87, "NA")</f>
        <v>-1049.745</v>
      </c>
      <c r="AE87" s="76">
        <f>IFERROR(AD87/AD148, "NA")</f>
        <v>0.6653367263</v>
      </c>
      <c r="AF87" s="75">
        <f>IFERROR((X87-AB87)/AB87, "NA")</f>
        <v>-0.134914877</v>
      </c>
      <c r="AG87" s="122">
        <f>IFERROR((J87+L87+N87+P87+R87+T87+V87+X87)/8, "NA")</f>
        <v>7529.4525</v>
      </c>
      <c r="AH87" s="94">
        <f>IFERROR(AG87/AG148, "NA")</f>
        <v>0.4156671252</v>
      </c>
      <c r="AI87" s="75">
        <f>IFERROR(X87-AG87, "NA")</f>
        <v>-798.4025</v>
      </c>
      <c r="AJ87" s="76">
        <f>IFERROR(AI87/AI148, "NA")</f>
        <v>0.4578757362</v>
      </c>
      <c r="AK87" s="75">
        <f>IFERROR((X87-AG87)/AG87, "NA")</f>
        <v>-0.1060372584</v>
      </c>
      <c r="AL87" s="76">
        <f>IFERROR(AK87/AK148, "NA")</f>
        <v>1.101544261</v>
      </c>
    </row>
    <row r="88" ht="3.75" customHeight="1">
      <c r="A88" s="123"/>
      <c r="B88" s="124"/>
      <c r="C88" s="74"/>
      <c r="D88" s="124"/>
      <c r="E88" s="74"/>
      <c r="F88" s="124"/>
      <c r="G88" s="74"/>
      <c r="H88" s="124"/>
      <c r="I88" s="74"/>
      <c r="J88" s="124"/>
      <c r="K88" s="74"/>
      <c r="L88" s="124"/>
      <c r="M88" s="74"/>
      <c r="N88" s="124"/>
      <c r="O88" s="74"/>
      <c r="P88" s="124"/>
      <c r="Q88" s="74"/>
      <c r="R88" s="124"/>
      <c r="S88" s="74"/>
      <c r="T88" s="124"/>
      <c r="U88" s="74"/>
      <c r="V88" s="124"/>
      <c r="W88" s="74"/>
      <c r="X88" s="124"/>
      <c r="Y88" s="74"/>
      <c r="Z88" s="124"/>
      <c r="AA88" s="74"/>
      <c r="AB88" s="124"/>
      <c r="AC88" s="74"/>
      <c r="AD88" s="125"/>
      <c r="AE88" s="80"/>
      <c r="AF88" s="125"/>
      <c r="AG88" s="124"/>
      <c r="AH88" s="74"/>
      <c r="AI88" s="125"/>
      <c r="AJ88" s="80"/>
      <c r="AK88" s="125"/>
      <c r="AL88" s="80"/>
    </row>
    <row r="89" ht="16.5" hidden="1" customHeight="1">
      <c r="A89" s="13" t="s">
        <v>203</v>
      </c>
      <c r="B89" s="14"/>
      <c r="C89" s="12"/>
      <c r="D89" s="14"/>
      <c r="E89" s="12"/>
      <c r="F89" s="14"/>
      <c r="G89" s="12"/>
      <c r="H89" s="14"/>
      <c r="I89" s="12"/>
      <c r="J89" s="14"/>
      <c r="K89" s="12"/>
      <c r="L89" s="14"/>
      <c r="M89" s="12"/>
      <c r="N89" s="14"/>
      <c r="O89" s="12"/>
      <c r="P89" s="14"/>
      <c r="Q89" s="12"/>
      <c r="R89" s="14"/>
      <c r="S89" s="12"/>
      <c r="T89" s="14"/>
      <c r="U89" s="12"/>
      <c r="V89" s="14"/>
      <c r="W89" s="12"/>
      <c r="X89" s="14"/>
      <c r="Y89" s="12"/>
      <c r="Z89" s="14"/>
      <c r="AA89" s="12"/>
      <c r="AB89" s="14"/>
      <c r="AC89" s="12"/>
      <c r="AD89" s="17"/>
      <c r="AE89" s="18"/>
      <c r="AF89" s="17"/>
      <c r="AG89" s="14"/>
      <c r="AH89" s="12"/>
      <c r="AI89" s="17"/>
      <c r="AJ89" s="18"/>
      <c r="AK89" s="17"/>
      <c r="AL89" s="18"/>
    </row>
    <row r="90" ht="16.5" hidden="1" customHeight="1">
      <c r="A90" s="19" t="s">
        <v>204</v>
      </c>
      <c r="B90" s="21">
        <v>717.39</v>
      </c>
      <c r="C90" s="23">
        <f>IFERROR(B90/B148, "NA")</f>
        <v>0.01536462801</v>
      </c>
      <c r="D90" s="21">
        <v>697.96</v>
      </c>
      <c r="E90" s="23">
        <f>IFERROR(D90/D148, "NA")</f>
        <v>0.01560621082</v>
      </c>
      <c r="F90" s="21">
        <v>433.98</v>
      </c>
      <c r="G90" s="23">
        <f>IFERROR(F90/F148, "NA")</f>
        <v>0.0179191298</v>
      </c>
      <c r="H90" s="21">
        <v>487.74</v>
      </c>
      <c r="I90" s="23">
        <f>IFERROR(H90/H148, "NA")</f>
        <v>0.03849894071</v>
      </c>
      <c r="J90" s="21">
        <v>809.88</v>
      </c>
      <c r="K90" s="23">
        <f>IFERROR(J90/J148, "NA")</f>
        <v>0.03520086372</v>
      </c>
      <c r="L90" s="21">
        <v>438.62</v>
      </c>
      <c r="M90" s="23">
        <f>IFERROR(L90/L148, "NA")</f>
        <v>0.02246170265</v>
      </c>
      <c r="N90" s="21">
        <v>389.3</v>
      </c>
      <c r="O90" s="23">
        <f>IFERROR(N90/N148, "NA")</f>
        <v>0.01786610836</v>
      </c>
      <c r="P90" s="21">
        <v>251.22</v>
      </c>
      <c r="Q90" s="23">
        <f>IFERROR(P90/P148, "NA")</f>
        <v>0.02856191086</v>
      </c>
      <c r="R90" s="21">
        <v>280.55</v>
      </c>
      <c r="S90" s="23">
        <f>IFERROR(R90/R148, "NA")</f>
        <v>0.02598346801</v>
      </c>
      <c r="T90" s="21">
        <v>666.0</v>
      </c>
      <c r="U90" s="23">
        <f>IFERROR(T90/T148, "NA")</f>
        <v>0.03082427157</v>
      </c>
      <c r="V90" s="21">
        <v>574.24</v>
      </c>
      <c r="W90" s="23">
        <f>IFERROR(V90/V148, "NA")</f>
        <v>0.0249466196</v>
      </c>
      <c r="X90" s="21">
        <v>365.87</v>
      </c>
      <c r="Y90" s="23">
        <f>IFERROR(X90/X148, "NA")</f>
        <v>0.02234944348</v>
      </c>
      <c r="Z90" s="21">
        <v>1886.66</v>
      </c>
      <c r="AA90" s="23">
        <f>IFERROR(Z90/Z148, "NA")</f>
        <v>0.02627924424</v>
      </c>
      <c r="AB90" s="28">
        <f t="shared" ref="AB90:AB99" si="43">IFERROR((R90+T90+V90+X90)/4, "NA")</f>
        <v>471.665</v>
      </c>
      <c r="AC90" s="23">
        <f>IFERROR(AB90/AB148, "NA")</f>
        <v>0.02627924424</v>
      </c>
      <c r="AD90" s="29">
        <f t="shared" ref="AD90:AD99" si="44">IFERROR(X90-AB90, "NA")</f>
        <v>-105.795</v>
      </c>
      <c r="AE90" s="30">
        <f>IFERROR(AD90/AD148, "NA")</f>
        <v>0.06705371205</v>
      </c>
      <c r="AF90" s="29">
        <f t="shared" ref="AF90:AF99" si="45">IFERROR((X90-AB90)/AB90, "NA")</f>
        <v>-0.2243011459</v>
      </c>
      <c r="AG90" s="28">
        <f t="shared" ref="AG90:AG99" si="46">IFERROR((J90+L90+N90+P90+R90+T90+V90+X90)/8, "NA")</f>
        <v>471.96</v>
      </c>
      <c r="AH90" s="23">
        <f>IFERROR(AG90/AG148, "NA")</f>
        <v>0.02605478372</v>
      </c>
      <c r="AI90" s="29">
        <f t="shared" ref="AI90:AI99" si="47">IFERROR(X90-AG90, "NA")</f>
        <v>-106.09</v>
      </c>
      <c r="AJ90" s="30">
        <f>IFERROR(AI90/AI148, "NA")</f>
        <v>0.06084153902</v>
      </c>
      <c r="AK90" s="29">
        <f t="shared" ref="AK90:AK99" si="48">IFERROR((X90-AG90)/AG90, "NA")</f>
        <v>-0.2247859988</v>
      </c>
      <c r="AL90" s="30">
        <f>IFERROR(AK90/AK148, "NA")</f>
        <v>2.335138901</v>
      </c>
    </row>
    <row r="91" ht="16.5" hidden="1" customHeight="1">
      <c r="A91" s="19" t="s">
        <v>205</v>
      </c>
      <c r="B91" s="21">
        <v>1148.27</v>
      </c>
      <c r="C91" s="23">
        <f>IFERROR(B91/B148, "NA")</f>
        <v>0.02459295697</v>
      </c>
      <c r="D91" s="21">
        <v>1108.63</v>
      </c>
      <c r="E91" s="23">
        <f>IFERROR(D91/D148, "NA")</f>
        <v>0.02478868919</v>
      </c>
      <c r="F91" s="21">
        <v>1299.88</v>
      </c>
      <c r="G91" s="23">
        <f>IFERROR(F91/F148, "NA")</f>
        <v>0.05367233155</v>
      </c>
      <c r="H91" s="21">
        <v>1106.11</v>
      </c>
      <c r="I91" s="23">
        <f>IFERROR(H91/H148, "NA")</f>
        <v>0.08730894188</v>
      </c>
      <c r="J91" s="21">
        <v>1290.2</v>
      </c>
      <c r="K91" s="23">
        <f>IFERROR(J91/J148, "NA")</f>
        <v>0.05607763419</v>
      </c>
      <c r="L91" s="21">
        <v>980.3</v>
      </c>
      <c r="M91" s="23">
        <f>IFERROR(L91/L148, "NA")</f>
        <v>0.05020110142</v>
      </c>
      <c r="N91" s="21">
        <v>840.68</v>
      </c>
      <c r="O91" s="23">
        <f>IFERROR(N91/N148, "NA")</f>
        <v>0.03858124834</v>
      </c>
      <c r="P91" s="21">
        <v>302.18</v>
      </c>
      <c r="Q91" s="23">
        <f>IFERROR(P91/P148, "NA")</f>
        <v>0.03435569709</v>
      </c>
      <c r="R91" s="21">
        <v>346.66</v>
      </c>
      <c r="S91" s="23">
        <f>IFERROR(R91/R148, "NA")</f>
        <v>0.03210632337</v>
      </c>
      <c r="T91" s="21">
        <v>627.32</v>
      </c>
      <c r="U91" s="23">
        <f>IFERROR(T91/T148, "NA")</f>
        <v>0.02903405712</v>
      </c>
      <c r="V91" s="21">
        <v>973.83</v>
      </c>
      <c r="W91" s="23">
        <f>IFERROR(V91/V148, "NA")</f>
        <v>0.04230594624</v>
      </c>
      <c r="X91" s="21">
        <v>968.74</v>
      </c>
      <c r="Y91" s="23">
        <f>IFERROR(X91/X148, "NA")</f>
        <v>0.05917620979</v>
      </c>
      <c r="Z91" s="21">
        <v>2916.55</v>
      </c>
      <c r="AA91" s="23">
        <f>IFERROR(Z91/Z148, "NA")</f>
        <v>0.04062455863</v>
      </c>
      <c r="AB91" s="28">
        <f t="shared" si="43"/>
        <v>729.1375</v>
      </c>
      <c r="AC91" s="23">
        <f>IFERROR(AB91/AB148, "NA")</f>
        <v>0.04062455863</v>
      </c>
      <c r="AD91" s="29">
        <f t="shared" si="44"/>
        <v>239.6025</v>
      </c>
      <c r="AE91" s="30">
        <f>IFERROR(AD91/AD148, "NA")</f>
        <v>-0.1518619693</v>
      </c>
      <c r="AF91" s="29">
        <f t="shared" si="45"/>
        <v>0.3286108587</v>
      </c>
      <c r="AG91" s="28">
        <f t="shared" si="46"/>
        <v>791.23875</v>
      </c>
      <c r="AH91" s="23">
        <f>IFERROR(AG91/AG148, "NA")</f>
        <v>0.04368072401</v>
      </c>
      <c r="AI91" s="29">
        <f t="shared" si="47"/>
        <v>177.50125</v>
      </c>
      <c r="AJ91" s="30">
        <f>IFERROR(AI91/AI148, "NA")</f>
        <v>-0.1017951666</v>
      </c>
      <c r="AK91" s="29">
        <f t="shared" si="48"/>
        <v>0.2243333633</v>
      </c>
      <c r="AL91" s="30">
        <f>IFERROR(AK91/AK148, "NA")</f>
        <v>-2.330436799</v>
      </c>
    </row>
    <row r="92" ht="16.5" hidden="1" customHeight="1">
      <c r="A92" s="19" t="s">
        <v>206</v>
      </c>
      <c r="B92" s="21">
        <v>620.45</v>
      </c>
      <c r="C92" s="23">
        <f>IFERROR(B92/B148, "NA")</f>
        <v>0.01328842533</v>
      </c>
      <c r="D92" s="21">
        <v>645.41</v>
      </c>
      <c r="E92" s="23">
        <f>IFERROR(D92/D148, "NA")</f>
        <v>0.01443120598</v>
      </c>
      <c r="F92" s="21">
        <v>625.31</v>
      </c>
      <c r="G92" s="23">
        <f>IFERROR(F92/F148, "NA")</f>
        <v>0.02581918765</v>
      </c>
      <c r="H92" s="21">
        <v>433.47</v>
      </c>
      <c r="I92" s="23">
        <f>IFERROR(H92/H148, "NA")</f>
        <v>0.03421522908</v>
      </c>
      <c r="J92" s="21">
        <v>342.51</v>
      </c>
      <c r="K92" s="23">
        <f>IFERROR(J92/J148, "NA")</f>
        <v>0.01488695589</v>
      </c>
      <c r="L92" s="21">
        <v>519.79</v>
      </c>
      <c r="M92" s="23">
        <f>IFERROR(L92/L148, "NA")</f>
        <v>0.02661841325</v>
      </c>
      <c r="N92" s="21">
        <v>391.56</v>
      </c>
      <c r="O92" s="23">
        <f>IFERROR(N92/N148, "NA")</f>
        <v>0.01796982633</v>
      </c>
      <c r="P92" s="21">
        <v>60.79</v>
      </c>
      <c r="Q92" s="23">
        <f>IFERROR(P92/P148, "NA")</f>
        <v>0.006911386677</v>
      </c>
      <c r="R92" s="21">
        <v>314.12</v>
      </c>
      <c r="S92" s="23">
        <f>IFERROR(R92/R148, "NA")</f>
        <v>0.02909259302</v>
      </c>
      <c r="T92" s="21">
        <v>551.06</v>
      </c>
      <c r="U92" s="23">
        <f>IFERROR(T92/T148, "NA")</f>
        <v>0.02550453917</v>
      </c>
      <c r="V92" s="21">
        <v>444.35</v>
      </c>
      <c r="W92" s="23">
        <f>IFERROR(V92/V148, "NA")</f>
        <v>0.0193038284</v>
      </c>
      <c r="X92" s="21">
        <v>235.68</v>
      </c>
      <c r="Y92" s="23">
        <f>IFERROR(X92/X148, "NA")</f>
        <v>0.01439668964</v>
      </c>
      <c r="Z92" s="21">
        <v>1545.21</v>
      </c>
      <c r="AA92" s="23">
        <f>IFERROR(Z92/Z148, "NA")</f>
        <v>0.02152319495</v>
      </c>
      <c r="AB92" s="28">
        <f t="shared" si="43"/>
        <v>386.3025</v>
      </c>
      <c r="AC92" s="23">
        <f>IFERROR(AB92/AB148, "NA")</f>
        <v>0.02152319495</v>
      </c>
      <c r="AD92" s="29">
        <f t="shared" si="44"/>
        <v>-150.6225</v>
      </c>
      <c r="AE92" s="30">
        <f>IFERROR(AD92/AD148, "NA")</f>
        <v>0.09546573793</v>
      </c>
      <c r="AF92" s="29">
        <f t="shared" si="45"/>
        <v>-0.3899081678</v>
      </c>
      <c r="AG92" s="28">
        <f t="shared" si="46"/>
        <v>357.4825</v>
      </c>
      <c r="AH92" s="23">
        <f>IFERROR(AG92/AG148, "NA")</f>
        <v>0.01973499708</v>
      </c>
      <c r="AI92" s="29">
        <f t="shared" si="47"/>
        <v>-121.8025</v>
      </c>
      <c r="AJ92" s="30">
        <f>IFERROR(AI92/AI148, "NA")</f>
        <v>0.06985249841</v>
      </c>
      <c r="AK92" s="29">
        <f t="shared" si="48"/>
        <v>-0.3407229725</v>
      </c>
      <c r="AL92" s="30">
        <f>IFERROR(AK92/AK148, "NA")</f>
        <v>3.539524132</v>
      </c>
    </row>
    <row r="93" ht="16.5" hidden="1" customHeight="1">
      <c r="A93" s="19" t="s">
        <v>207</v>
      </c>
      <c r="B93" s="21">
        <v>2101.29</v>
      </c>
      <c r="C93" s="23">
        <f>IFERROR(B93/B148, "NA")</f>
        <v>0.04500416676</v>
      </c>
      <c r="D93" s="21">
        <v>2212.33</v>
      </c>
      <c r="E93" s="23">
        <f>IFERROR(D93/D148, "NA")</f>
        <v>0.04946714481</v>
      </c>
      <c r="F93" s="21">
        <v>2098.11</v>
      </c>
      <c r="G93" s="23">
        <f>IFERROR(F93/F148, "NA")</f>
        <v>0.08663142409</v>
      </c>
      <c r="H93" s="21">
        <v>1126.91</v>
      </c>
      <c r="I93" s="23">
        <f>IFERROR(H93/H148, "NA")</f>
        <v>0.08895075508</v>
      </c>
      <c r="J93" s="21">
        <v>2075.35</v>
      </c>
      <c r="K93" s="23">
        <f>IFERROR(J93/J148, "NA")</f>
        <v>0.09020362588</v>
      </c>
      <c r="L93" s="21">
        <v>1610.26</v>
      </c>
      <c r="M93" s="23">
        <f>IFERROR(L93/L148, "NA")</f>
        <v>0.08246131345</v>
      </c>
      <c r="N93" s="21">
        <v>1925.58</v>
      </c>
      <c r="O93" s="23">
        <f>IFERROR(N93/N148, "NA")</f>
        <v>0.08837046222</v>
      </c>
      <c r="P93" s="21">
        <v>786.38</v>
      </c>
      <c r="Q93" s="23">
        <f>IFERROR(P93/P148, "NA")</f>
        <v>0.08940576172</v>
      </c>
      <c r="R93" s="21">
        <v>639.73</v>
      </c>
      <c r="S93" s="23">
        <f>IFERROR(R93/R148, "NA")</f>
        <v>0.0592493459</v>
      </c>
      <c r="T93" s="21">
        <v>1868.81</v>
      </c>
      <c r="U93" s="23">
        <f>IFERROR(T93/T148, "NA")</f>
        <v>0.08649355398</v>
      </c>
      <c r="V93" s="21">
        <v>1391.6</v>
      </c>
      <c r="W93" s="23">
        <f>IFERROR(V93/V148, "NA")</f>
        <v>0.06045506381</v>
      </c>
      <c r="X93" s="21">
        <v>1393.48</v>
      </c>
      <c r="Y93" s="23">
        <f>IFERROR(X93/X148, "NA")</f>
        <v>0.08512177139</v>
      </c>
      <c r="Z93" s="21">
        <v>5293.62</v>
      </c>
      <c r="AA93" s="23">
        <f>IFERROR(Z93/Z148, "NA")</f>
        <v>0.0737347126</v>
      </c>
      <c r="AB93" s="28">
        <f t="shared" si="43"/>
        <v>1323.405</v>
      </c>
      <c r="AC93" s="23">
        <f>IFERROR(AB93/AB148, "NA")</f>
        <v>0.0737347126</v>
      </c>
      <c r="AD93" s="29">
        <f t="shared" si="44"/>
        <v>70.075</v>
      </c>
      <c r="AE93" s="30">
        <f>IFERROR(AD93/AD148, "NA")</f>
        <v>-0.04441409209</v>
      </c>
      <c r="AF93" s="29">
        <f t="shared" si="45"/>
        <v>0.05295053291</v>
      </c>
      <c r="AG93" s="28">
        <f t="shared" si="46"/>
        <v>1461.39875</v>
      </c>
      <c r="AH93" s="23">
        <f>IFERROR(AG93/AG148, "NA")</f>
        <v>0.08067723613</v>
      </c>
      <c r="AI93" s="29">
        <f t="shared" si="47"/>
        <v>-67.91875</v>
      </c>
      <c r="AJ93" s="30">
        <f>IFERROR(AI93/AI148, "NA")</f>
        <v>0.03895071428</v>
      </c>
      <c r="AK93" s="29">
        <f t="shared" si="48"/>
        <v>-0.04647516634</v>
      </c>
      <c r="AL93" s="30">
        <f>IFERROR(AK93/AK148, "NA")</f>
        <v>0.4827968353</v>
      </c>
    </row>
    <row r="94" ht="16.5" hidden="1" customHeight="1">
      <c r="A94" s="19" t="s">
        <v>208</v>
      </c>
      <c r="B94" s="21">
        <v>697.44</v>
      </c>
      <c r="C94" s="23">
        <f>IFERROR(B94/B148, "NA")</f>
        <v>0.01493735089</v>
      </c>
      <c r="D94" s="21">
        <v>627.48</v>
      </c>
      <c r="E94" s="23">
        <f>IFERROR(D94/D148, "NA")</f>
        <v>0.01403029567</v>
      </c>
      <c r="F94" s="21">
        <v>583.59</v>
      </c>
      <c r="G94" s="23">
        <f>IFERROR(F94/F148, "NA")</f>
        <v>0.02409655966</v>
      </c>
      <c r="H94" s="21">
        <v>276.21</v>
      </c>
      <c r="I94" s="23">
        <f>IFERROR(H94/H148, "NA")</f>
        <v>0.02180217414</v>
      </c>
      <c r="J94" s="21">
        <v>501.56</v>
      </c>
      <c r="K94" s="23">
        <f>IFERROR(J94/J148, "NA")</f>
        <v>0.0217999521</v>
      </c>
      <c r="L94" s="21">
        <v>438.03</v>
      </c>
      <c r="M94" s="23">
        <f>IFERROR(L94/L148, "NA")</f>
        <v>0.02243148879</v>
      </c>
      <c r="N94" s="21">
        <v>510.94</v>
      </c>
      <c r="O94" s="23">
        <f>IFERROR(N94/N148, "NA")</f>
        <v>0.02344852147</v>
      </c>
      <c r="P94" s="21">
        <v>158.43</v>
      </c>
      <c r="Q94" s="23">
        <f>IFERROR(P94/P148, "NA")</f>
        <v>0.01801235386</v>
      </c>
      <c r="R94" s="21">
        <v>223.67</v>
      </c>
      <c r="S94" s="23">
        <f>IFERROR(R94/R148, "NA")</f>
        <v>0.02071545996</v>
      </c>
      <c r="T94" s="21">
        <v>564.53</v>
      </c>
      <c r="U94" s="23">
        <f>IFERROR(T94/T148, "NA")</f>
        <v>0.02612796701</v>
      </c>
      <c r="V94" s="21">
        <v>493.56</v>
      </c>
      <c r="W94" s="23">
        <f>IFERROR(V94/V148, "NA")</f>
        <v>0.02144165083</v>
      </c>
      <c r="X94" s="21">
        <v>349.27</v>
      </c>
      <c r="Y94" s="23">
        <f>IFERROR(X94/X148, "NA")</f>
        <v>0.02133542002</v>
      </c>
      <c r="Z94" s="21">
        <v>1631.03</v>
      </c>
      <c r="AA94" s="23">
        <f>IFERROR(Z94/Z148, "NA")</f>
        <v>0.02271857978</v>
      </c>
      <c r="AB94" s="28">
        <f t="shared" si="43"/>
        <v>407.7575</v>
      </c>
      <c r="AC94" s="23">
        <f>IFERROR(AB94/AB148, "NA")</f>
        <v>0.02271857978</v>
      </c>
      <c r="AD94" s="29">
        <f t="shared" si="44"/>
        <v>-58.4875</v>
      </c>
      <c r="AE94" s="30">
        <f>IFERROR(AD94/AD148, "NA")</f>
        <v>0.03706984247</v>
      </c>
      <c r="AF94" s="29">
        <f t="shared" si="45"/>
        <v>-0.1434369693</v>
      </c>
      <c r="AG94" s="28">
        <f t="shared" si="46"/>
        <v>404.99875</v>
      </c>
      <c r="AH94" s="23">
        <f>IFERROR(AG94/AG148, "NA")</f>
        <v>0.02235815501</v>
      </c>
      <c r="AI94" s="29">
        <f t="shared" si="47"/>
        <v>-55.72875</v>
      </c>
      <c r="AJ94" s="30">
        <f>IFERROR(AI94/AI148, "NA")</f>
        <v>0.03195987291</v>
      </c>
      <c r="AK94" s="29">
        <f t="shared" si="48"/>
        <v>-0.1376022766</v>
      </c>
      <c r="AL94" s="30">
        <f>IFERROR(AK94/AK148, "NA")</f>
        <v>1.429450368</v>
      </c>
    </row>
    <row r="95" ht="16.5" hidden="1" customHeight="1">
      <c r="A95" s="19" t="s">
        <v>209</v>
      </c>
      <c r="B95" s="21">
        <v>0.0</v>
      </c>
      <c r="C95" s="23">
        <f>IFERROR(B95/B148, "NA")</f>
        <v>0</v>
      </c>
      <c r="D95" s="21">
        <v>0.0</v>
      </c>
      <c r="E95" s="23">
        <f>IFERROR(D95/D148, "NA")</f>
        <v>0</v>
      </c>
      <c r="F95" s="21">
        <v>1213.33</v>
      </c>
      <c r="G95" s="23">
        <f>IFERROR(F95/F148, "NA")</f>
        <v>0.05009866298</v>
      </c>
      <c r="H95" s="21">
        <v>0.0</v>
      </c>
      <c r="I95" s="23">
        <f>IFERROR(H95/H148, "NA")</f>
        <v>0</v>
      </c>
      <c r="J95" s="21">
        <v>0.0</v>
      </c>
      <c r="K95" s="23">
        <f>IFERROR(J95/J148, "NA")</f>
        <v>0</v>
      </c>
      <c r="L95" s="21">
        <v>0.0</v>
      </c>
      <c r="M95" s="23">
        <f>IFERROR(L95/L148, "NA")</f>
        <v>0</v>
      </c>
      <c r="N95" s="21">
        <v>0.0</v>
      </c>
      <c r="O95" s="23">
        <f>IFERROR(N95/N148, "NA")</f>
        <v>0</v>
      </c>
      <c r="P95" s="21">
        <v>1103.83</v>
      </c>
      <c r="Q95" s="23">
        <f>IFERROR(P95/P148, "NA")</f>
        <v>0.1254975482</v>
      </c>
      <c r="R95" s="21">
        <v>0.0</v>
      </c>
      <c r="S95" s="23">
        <f>IFERROR(R95/R148, "NA")</f>
        <v>0</v>
      </c>
      <c r="T95" s="21">
        <v>0.0</v>
      </c>
      <c r="U95" s="23">
        <f>IFERROR(T95/T148, "NA")</f>
        <v>0</v>
      </c>
      <c r="V95" s="21">
        <v>0.0</v>
      </c>
      <c r="W95" s="23">
        <f>IFERROR(V95/V148, "NA")</f>
        <v>0</v>
      </c>
      <c r="X95" s="21">
        <v>0.0</v>
      </c>
      <c r="Y95" s="23">
        <f>IFERROR(X95/X148, "NA")</f>
        <v>0</v>
      </c>
      <c r="Z95" s="21">
        <v>0.0</v>
      </c>
      <c r="AA95" s="23">
        <f>IFERROR(Z95/Z148, "NA")</f>
        <v>0</v>
      </c>
      <c r="AB95" s="28">
        <f t="shared" si="43"/>
        <v>0</v>
      </c>
      <c r="AC95" s="23">
        <f>IFERROR(AB95/AB148, "NA")</f>
        <v>0</v>
      </c>
      <c r="AD95" s="29">
        <f t="shared" si="44"/>
        <v>0</v>
      </c>
      <c r="AE95" s="30">
        <f>IFERROR(AD95/AD148, "NA")</f>
        <v>0</v>
      </c>
      <c r="AF95" s="29" t="str">
        <f t="shared" si="45"/>
        <v>NA</v>
      </c>
      <c r="AG95" s="28">
        <f t="shared" si="46"/>
        <v>137.97875</v>
      </c>
      <c r="AH95" s="23">
        <f>IFERROR(AG95/AG148, "NA")</f>
        <v>0.007617184697</v>
      </c>
      <c r="AI95" s="29">
        <f t="shared" si="47"/>
        <v>-137.97875</v>
      </c>
      <c r="AJ95" s="30">
        <f>IFERROR(AI95/AI148, "NA")</f>
        <v>0.07912941372</v>
      </c>
      <c r="AK95" s="29">
        <f t="shared" si="48"/>
        <v>-1</v>
      </c>
      <c r="AL95" s="30">
        <f>IFERROR(AK95/AK148, "NA")</f>
        <v>10.38827557</v>
      </c>
    </row>
    <row r="96" ht="16.5" hidden="1" customHeight="1">
      <c r="A96" s="19" t="s">
        <v>210</v>
      </c>
      <c r="B96" s="21">
        <v>0.0</v>
      </c>
      <c r="C96" s="23">
        <f>IFERROR(B96/B148, "NA")</f>
        <v>0</v>
      </c>
      <c r="D96" s="21">
        <v>0.0</v>
      </c>
      <c r="E96" s="23">
        <f>IFERROR(D96/D148, "NA")</f>
        <v>0</v>
      </c>
      <c r="F96" s="21">
        <v>0.0</v>
      </c>
      <c r="G96" s="23">
        <f>IFERROR(F96/F148, "NA")</f>
        <v>0</v>
      </c>
      <c r="H96" s="21">
        <v>0.0</v>
      </c>
      <c r="I96" s="23">
        <f>IFERROR(H96/H148, "NA")</f>
        <v>0</v>
      </c>
      <c r="J96" s="21">
        <v>0.0</v>
      </c>
      <c r="K96" s="23">
        <f>IFERROR(J96/J148, "NA")</f>
        <v>0</v>
      </c>
      <c r="L96" s="21">
        <v>0.0</v>
      </c>
      <c r="M96" s="23">
        <f>IFERROR(L96/L148, "NA")</f>
        <v>0</v>
      </c>
      <c r="N96" s="21">
        <v>0.0</v>
      </c>
      <c r="O96" s="23">
        <f>IFERROR(N96/N148, "NA")</f>
        <v>0</v>
      </c>
      <c r="P96" s="21">
        <v>0.0</v>
      </c>
      <c r="Q96" s="23">
        <f>IFERROR(P96/P148, "NA")</f>
        <v>0</v>
      </c>
      <c r="R96" s="21">
        <v>0.0</v>
      </c>
      <c r="S96" s="23">
        <f>IFERROR(R96/R148, "NA")</f>
        <v>0</v>
      </c>
      <c r="T96" s="21">
        <v>0.0</v>
      </c>
      <c r="U96" s="23">
        <f>IFERROR(T96/T148, "NA")</f>
        <v>0</v>
      </c>
      <c r="V96" s="21">
        <v>0.0</v>
      </c>
      <c r="W96" s="23">
        <f>IFERROR(V96/V148, "NA")</f>
        <v>0</v>
      </c>
      <c r="X96" s="21">
        <v>0.0</v>
      </c>
      <c r="Y96" s="23">
        <f>IFERROR(X96/X148, "NA")</f>
        <v>0</v>
      </c>
      <c r="Z96" s="21">
        <v>0.0</v>
      </c>
      <c r="AA96" s="23">
        <f>IFERROR(Z96/Z148, "NA")</f>
        <v>0</v>
      </c>
      <c r="AB96" s="28">
        <f t="shared" si="43"/>
        <v>0</v>
      </c>
      <c r="AC96" s="23">
        <f>IFERROR(AB96/AB148, "NA")</f>
        <v>0</v>
      </c>
      <c r="AD96" s="29">
        <f t="shared" si="44"/>
        <v>0</v>
      </c>
      <c r="AE96" s="30">
        <f>IFERROR(AD96/AD148, "NA")</f>
        <v>0</v>
      </c>
      <c r="AF96" s="29" t="str">
        <f t="shared" si="45"/>
        <v>NA</v>
      </c>
      <c r="AG96" s="28">
        <f t="shared" si="46"/>
        <v>0</v>
      </c>
      <c r="AH96" s="23">
        <f>IFERROR(AG96/AG148, "NA")</f>
        <v>0</v>
      </c>
      <c r="AI96" s="29">
        <f t="shared" si="47"/>
        <v>0</v>
      </c>
      <c r="AJ96" s="30">
        <f>IFERROR(AI96/AI148, "NA")</f>
        <v>0</v>
      </c>
      <c r="AK96" s="29" t="str">
        <f t="shared" si="48"/>
        <v>NA</v>
      </c>
      <c r="AL96" s="30" t="str">
        <f>IFERROR(AK96/AK148, "NA")</f>
        <v>NA</v>
      </c>
    </row>
    <row r="97" ht="16.5" hidden="1" customHeight="1">
      <c r="A97" s="19" t="s">
        <v>211</v>
      </c>
      <c r="B97" s="21">
        <v>1383.69</v>
      </c>
      <c r="C97" s="23">
        <f>IFERROR(B97/B148, "NA")</f>
        <v>0.02963504109</v>
      </c>
      <c r="D97" s="21">
        <v>233.81</v>
      </c>
      <c r="E97" s="23">
        <f>IFERROR(D97/D148, "NA")</f>
        <v>0.005227933051</v>
      </c>
      <c r="F97" s="21">
        <v>450.0</v>
      </c>
      <c r="G97" s="23">
        <f>IFERROR(F97/F148, "NA")</f>
        <v>0.01858059913</v>
      </c>
      <c r="H97" s="21">
        <v>0.0</v>
      </c>
      <c r="I97" s="23">
        <f>IFERROR(H97/H148, "NA")</f>
        <v>0</v>
      </c>
      <c r="J97" s="21">
        <v>0.0</v>
      </c>
      <c r="K97" s="23">
        <f>IFERROR(J97/J148, "NA")</f>
        <v>0</v>
      </c>
      <c r="L97" s="21">
        <v>395.0</v>
      </c>
      <c r="M97" s="23">
        <f>IFERROR(L97/L148, "NA")</f>
        <v>0.02022792519</v>
      </c>
      <c r="N97" s="21">
        <v>233.81</v>
      </c>
      <c r="O97" s="23">
        <f>IFERROR(N97/N148, "NA")</f>
        <v>0.01073022039</v>
      </c>
      <c r="P97" s="21">
        <v>517.98</v>
      </c>
      <c r="Q97" s="23">
        <f>IFERROR(P97/P148, "NA")</f>
        <v>0.05889060818</v>
      </c>
      <c r="R97" s="21">
        <v>1326.66</v>
      </c>
      <c r="S97" s="23">
        <f>IFERROR(R97/R148, "NA")</f>
        <v>0.1228701753</v>
      </c>
      <c r="T97" s="21">
        <v>1279.16</v>
      </c>
      <c r="U97" s="23">
        <f>IFERROR(T97/T148, "NA")</f>
        <v>0.05920296579</v>
      </c>
      <c r="V97" s="21">
        <v>247.84</v>
      </c>
      <c r="W97" s="23">
        <f>IFERROR(V97/V148, "NA")</f>
        <v>0.01076687483</v>
      </c>
      <c r="X97" s="21">
        <v>0.0</v>
      </c>
      <c r="Y97" s="23">
        <f>IFERROR(X97/X148, "NA")</f>
        <v>0</v>
      </c>
      <c r="Z97" s="21">
        <v>2853.66</v>
      </c>
      <c r="AA97" s="23">
        <f>IFERROR(Z97/Z148, "NA")</f>
        <v>0.03974856525</v>
      </c>
      <c r="AB97" s="28">
        <f t="shared" si="43"/>
        <v>713.415</v>
      </c>
      <c r="AC97" s="23">
        <f>IFERROR(AB97/AB148, "NA")</f>
        <v>0.03974856525</v>
      </c>
      <c r="AD97" s="29">
        <f t="shared" si="44"/>
        <v>-713.415</v>
      </c>
      <c r="AE97" s="30">
        <f>IFERROR(AD97/AD148, "NA")</f>
        <v>0.4521680985</v>
      </c>
      <c r="AF97" s="29">
        <f t="shared" si="45"/>
        <v>-1</v>
      </c>
      <c r="AG97" s="28">
        <f t="shared" si="46"/>
        <v>500.05625</v>
      </c>
      <c r="AH97" s="23">
        <f>IFERROR(AG97/AG148, "NA")</f>
        <v>0.02760585101</v>
      </c>
      <c r="AI97" s="29">
        <f t="shared" si="47"/>
        <v>-500.05625</v>
      </c>
      <c r="AJ97" s="30">
        <f>IFERROR(AI97/AI148, "NA")</f>
        <v>0.2867771877</v>
      </c>
      <c r="AK97" s="29">
        <f t="shared" si="48"/>
        <v>-1</v>
      </c>
      <c r="AL97" s="30">
        <f>IFERROR(AK97/AK148, "NA")</f>
        <v>10.38827557</v>
      </c>
    </row>
    <row r="98" ht="16.5" hidden="1" customHeight="1">
      <c r="A98" s="19" t="s">
        <v>212</v>
      </c>
      <c r="B98" s="21">
        <v>394.99</v>
      </c>
      <c r="C98" s="23">
        <f>IFERROR(B98/B148, "NA")</f>
        <v>0.008459658508</v>
      </c>
      <c r="D98" s="21">
        <v>2267.91</v>
      </c>
      <c r="E98" s="23">
        <f>IFERROR(D98/D148, "NA")</f>
        <v>0.05070989969</v>
      </c>
      <c r="F98" s="21">
        <v>1002.84</v>
      </c>
      <c r="G98" s="23">
        <f>IFERROR(F98/F148, "NA")</f>
        <v>0.04140748451</v>
      </c>
      <c r="H98" s="21">
        <v>147.51</v>
      </c>
      <c r="I98" s="23">
        <f>IFERROR(H98/H148, "NA")</f>
        <v>0.01164345501</v>
      </c>
      <c r="J98" s="21">
        <v>575.27</v>
      </c>
      <c r="K98" s="23">
        <f>IFERROR(J98/J148, "NA")</f>
        <v>0.02500370533</v>
      </c>
      <c r="L98" s="21">
        <v>418.45</v>
      </c>
      <c r="M98" s="23">
        <f>IFERROR(L98/L148, "NA")</f>
        <v>0.02142879822</v>
      </c>
      <c r="N98" s="21">
        <v>2207.35</v>
      </c>
      <c r="O98" s="23">
        <f>IFERROR(N98/N148, "NA")</f>
        <v>0.1013017064</v>
      </c>
      <c r="P98" s="21">
        <v>867.26</v>
      </c>
      <c r="Q98" s="23">
        <f>IFERROR(P98/P148, "NA")</f>
        <v>0.09860123721</v>
      </c>
      <c r="R98" s="21">
        <v>512.48</v>
      </c>
      <c r="S98" s="23">
        <f>IFERROR(R98/R148, "NA")</f>
        <v>0.04746393758</v>
      </c>
      <c r="T98" s="21">
        <v>369.92</v>
      </c>
      <c r="U98" s="23">
        <f>IFERROR(T98/T148, "NA")</f>
        <v>0.0171208927</v>
      </c>
      <c r="V98" s="21">
        <v>2109.87</v>
      </c>
      <c r="W98" s="23">
        <f>IFERROR(V98/V148, "NA")</f>
        <v>0.09165875645</v>
      </c>
      <c r="X98" s="21">
        <v>298.82</v>
      </c>
      <c r="Y98" s="23">
        <f>IFERROR(X98/X148, "NA")</f>
        <v>0.01825364392</v>
      </c>
      <c r="Z98" s="21">
        <v>3291.09</v>
      </c>
      <c r="AA98" s="23">
        <f>IFERROR(Z98/Z148, "NA")</f>
        <v>0.04584151777</v>
      </c>
      <c r="AB98" s="28">
        <f t="shared" si="43"/>
        <v>822.7725</v>
      </c>
      <c r="AC98" s="23">
        <f>IFERROR(AB98/AB148, "NA")</f>
        <v>0.04584151777</v>
      </c>
      <c r="AD98" s="29">
        <f t="shared" si="44"/>
        <v>-523.9525</v>
      </c>
      <c r="AE98" s="30">
        <f>IFERROR(AD98/AD148, "NA")</f>
        <v>0.3320852598</v>
      </c>
      <c r="AF98" s="29">
        <f t="shared" si="45"/>
        <v>-0.6368133354</v>
      </c>
      <c r="AG98" s="28">
        <f t="shared" si="46"/>
        <v>919.9275</v>
      </c>
      <c r="AH98" s="23">
        <f>IFERROR(AG98/AG148, "NA")</f>
        <v>0.05078504969</v>
      </c>
      <c r="AI98" s="29">
        <f t="shared" si="47"/>
        <v>-621.1075</v>
      </c>
      <c r="AJ98" s="30">
        <f>IFERROR(AI98/AI148, "NA")</f>
        <v>0.3561988519</v>
      </c>
      <c r="AK98" s="29">
        <f t="shared" si="48"/>
        <v>-0.6751700542</v>
      </c>
      <c r="AL98" s="30">
        <f>IFERROR(AK98/AK148, "NA")</f>
        <v>7.013852582</v>
      </c>
    </row>
    <row r="99" ht="16.5" hidden="1" customHeight="1">
      <c r="A99" s="65" t="s">
        <v>213</v>
      </c>
      <c r="B99" s="66">
        <f>IFERROR(B90+B91+B92+B93+B94+B95+B96+B97+B98, "NA")</f>
        <v>7063.52</v>
      </c>
      <c r="C99" s="67">
        <f>IFERROR(B99/B148, "NA")</f>
        <v>0.1512822276</v>
      </c>
      <c r="D99" s="66">
        <f>IFERROR(D90+D91+D92+D93+D94+D95+D96+D97+D98, "NA")</f>
        <v>7793.53</v>
      </c>
      <c r="E99" s="67">
        <f>IFERROR(D99/D148, "NA")</f>
        <v>0.1742613792</v>
      </c>
      <c r="F99" s="66">
        <f>IFERROR(F90+F91+F92+F93+F94+F95+F96+F97+F98, "NA")</f>
        <v>7707.04</v>
      </c>
      <c r="G99" s="67">
        <f>IFERROR(F99/F148, "NA")</f>
        <v>0.3182253794</v>
      </c>
      <c r="H99" s="66">
        <f>IFERROR(H90+H91+H92+H93+H94+H95+H96+H97+H98, "NA")</f>
        <v>3577.95</v>
      </c>
      <c r="I99" s="67">
        <f>IFERROR(H99/H148, "NA")</f>
        <v>0.2824194959</v>
      </c>
      <c r="J99" s="66">
        <f>IFERROR(J90+J91+J92+J93+J94+J95+J96+J97+J98, "NA")</f>
        <v>5594.77</v>
      </c>
      <c r="K99" s="67">
        <f>IFERROR(J99/J148, "NA")</f>
        <v>0.2431727371</v>
      </c>
      <c r="L99" s="66">
        <f>IFERROR(L90+L91+L92+L93+L94+L95+L96+L97+L98, "NA")</f>
        <v>4800.45</v>
      </c>
      <c r="M99" s="67">
        <f>IFERROR(L99/L148, "NA")</f>
        <v>0.245830743</v>
      </c>
      <c r="N99" s="66">
        <f>IFERROR(N90+N91+N92+N93+N94+N95+N96+N97+N98, "NA")</f>
        <v>6499.22</v>
      </c>
      <c r="O99" s="67">
        <f>IFERROR(N99/N148, "NA")</f>
        <v>0.2982680935</v>
      </c>
      <c r="P99" s="66">
        <f>IFERROR(P90+P91+P92+P93+P94+P95+P96+P97+P98, "NA")</f>
        <v>4048.07</v>
      </c>
      <c r="Q99" s="67">
        <f>IFERROR(P99/P148, "NA")</f>
        <v>0.4602365038</v>
      </c>
      <c r="R99" s="66">
        <f>IFERROR(R90+R91+R92+R93+R94+R95+R96+R97+R98, "NA")</f>
        <v>3643.87</v>
      </c>
      <c r="S99" s="67">
        <f>IFERROR(R99/R148, "NA")</f>
        <v>0.3374813031</v>
      </c>
      <c r="T99" s="66">
        <f>IFERROR(T90+T91+T92+T93+T94+T95+T96+T97+T98, "NA")</f>
        <v>5926.8</v>
      </c>
      <c r="U99" s="67">
        <f>IFERROR(T99/T148, "NA")</f>
        <v>0.2743082473</v>
      </c>
      <c r="V99" s="66">
        <f>IFERROR(V90+V91+V92+V93+V94+V95+V96+V97+V98, "NA")</f>
        <v>6235.29</v>
      </c>
      <c r="W99" s="67">
        <f>IFERROR(V99/V148, "NA")</f>
        <v>0.2708787402</v>
      </c>
      <c r="X99" s="66">
        <f>IFERROR(X90+X91+X92+X93+X94+X95+X96+X97+X98, "NA")</f>
        <v>3611.86</v>
      </c>
      <c r="Y99" s="67">
        <f>IFERROR(X99/X148, "NA")</f>
        <v>0.2206331782</v>
      </c>
      <c r="Z99" s="66">
        <f>IFERROR(Z90+Z91+Z92+Z93+Z94+Z95+Z96+Z97+Z98, "NA")</f>
        <v>19417.82</v>
      </c>
      <c r="AA99" s="67">
        <f>IFERROR(Z99/Z148, "NA")</f>
        <v>0.2704703732</v>
      </c>
      <c r="AB99" s="66">
        <f t="shared" si="43"/>
        <v>4854.455</v>
      </c>
      <c r="AC99" s="67">
        <f>IFERROR(AB99/AB148, "NA")</f>
        <v>0.2704703732</v>
      </c>
      <c r="AD99" s="75">
        <f t="shared" si="44"/>
        <v>-1242.595</v>
      </c>
      <c r="AE99" s="76">
        <f>IFERROR(AD99/AD148, "NA")</f>
        <v>0.7875665894</v>
      </c>
      <c r="AF99" s="75">
        <f t="shared" si="45"/>
        <v>-0.2559700317</v>
      </c>
      <c r="AG99" s="66">
        <f t="shared" si="46"/>
        <v>5045.04125</v>
      </c>
      <c r="AH99" s="67">
        <f>IFERROR(AG99/AG148, "NA")</f>
        <v>0.2785139813</v>
      </c>
      <c r="AI99" s="75">
        <f t="shared" si="47"/>
        <v>-1433.18125</v>
      </c>
      <c r="AJ99" s="76">
        <f>IFERROR(AI99/AI148, "NA")</f>
        <v>0.8219149113</v>
      </c>
      <c r="AK99" s="75">
        <f t="shared" si="48"/>
        <v>-0.2840772115</v>
      </c>
      <c r="AL99" s="76">
        <f>IFERROR(AK99/AK148, "NA")</f>
        <v>2.951072357</v>
      </c>
    </row>
    <row r="100" ht="16.5" hidden="1" customHeight="1">
      <c r="A100" s="123"/>
      <c r="B100" s="124"/>
      <c r="C100" s="74"/>
      <c r="D100" s="124"/>
      <c r="E100" s="74"/>
      <c r="F100" s="124"/>
      <c r="G100" s="74"/>
      <c r="H100" s="124"/>
      <c r="I100" s="74"/>
      <c r="J100" s="124"/>
      <c r="K100" s="74"/>
      <c r="L100" s="124"/>
      <c r="M100" s="74"/>
      <c r="N100" s="124"/>
      <c r="O100" s="74"/>
      <c r="P100" s="124"/>
      <c r="Q100" s="74"/>
      <c r="R100" s="124"/>
      <c r="S100" s="74"/>
      <c r="T100" s="124"/>
      <c r="U100" s="74"/>
      <c r="V100" s="124"/>
      <c r="W100" s="74"/>
      <c r="X100" s="124"/>
      <c r="Y100" s="74"/>
      <c r="Z100" s="124"/>
      <c r="AA100" s="74"/>
      <c r="AB100" s="124"/>
      <c r="AC100" s="74"/>
      <c r="AD100" s="125"/>
      <c r="AE100" s="80"/>
      <c r="AF100" s="125"/>
      <c r="AG100" s="124"/>
      <c r="AH100" s="74"/>
      <c r="AI100" s="125"/>
      <c r="AJ100" s="80"/>
      <c r="AK100" s="125"/>
      <c r="AL100" s="80"/>
    </row>
    <row r="101" ht="16.5" hidden="1" customHeight="1">
      <c r="A101" s="121" t="s">
        <v>214</v>
      </c>
      <c r="B101" s="122">
        <f>IFERROR(B87-B99, "NA")</f>
        <v>19200.85</v>
      </c>
      <c r="C101" s="94">
        <f>IFERROR(B101/B148, "NA")</f>
        <v>0.4112322693</v>
      </c>
      <c r="D101" s="122">
        <f>IFERROR(D87-D99, "NA")</f>
        <v>17988.88</v>
      </c>
      <c r="E101" s="94">
        <f>IFERROR(D101/D148, "NA")</f>
        <v>0.4022268522</v>
      </c>
      <c r="F101" s="122">
        <f>IFERROR(F87-F99, "NA")</f>
        <v>3829.33</v>
      </c>
      <c r="G101" s="94">
        <f>IFERROR(F101/F148, "NA")</f>
        <v>0.1581138793</v>
      </c>
      <c r="H101" s="122">
        <f>IFERROR(H87-H99, "NA")</f>
        <v>955.68</v>
      </c>
      <c r="I101" s="94">
        <f>IFERROR(H101/H148, "NA")</f>
        <v>0.07543500156</v>
      </c>
      <c r="J101" s="122">
        <f>IFERROR(J87-J99, "NA")</f>
        <v>4380.76</v>
      </c>
      <c r="K101" s="94">
        <f>IFERROR(J101/J148, "NA")</f>
        <v>0.1904066476</v>
      </c>
      <c r="L101" s="122">
        <f>IFERROR(L87-L99, "NA")</f>
        <v>2399.51</v>
      </c>
      <c r="M101" s="94">
        <f>IFERROR(L101/L148, "NA")</f>
        <v>0.1228787564</v>
      </c>
      <c r="N101" s="122">
        <f>IFERROR(N87-N99, "NA")</f>
        <v>3064.25</v>
      </c>
      <c r="O101" s="94">
        <f>IFERROR(N101/N148, "NA")</f>
        <v>0.1406273377</v>
      </c>
      <c r="P101" s="122">
        <f>IFERROR(P87-P99, "NA")</f>
        <v>-1674.59</v>
      </c>
      <c r="Q101" s="94">
        <f>IFERROR(P101/P148, "NA")</f>
        <v>-0.1903888636</v>
      </c>
      <c r="R101" s="122">
        <f>IFERROR(R87-R99, "NA")</f>
        <v>-1145.13</v>
      </c>
      <c r="S101" s="94">
        <f>IFERROR(R101/R148, "NA")</f>
        <v>-0.106057561</v>
      </c>
      <c r="T101" s="122">
        <f>IFERROR(T87-T99, "NA")</f>
        <v>4938.63</v>
      </c>
      <c r="U101" s="94">
        <f>IFERROR(T101/T148, "NA")</f>
        <v>0.2285730815</v>
      </c>
      <c r="V101" s="122">
        <f>IFERROR(V87-V99, "NA")</f>
        <v>4792.67</v>
      </c>
      <c r="W101" s="94">
        <f>IFERROR(V101/V148, "NA")</f>
        <v>0.2082072224</v>
      </c>
      <c r="X101" s="122">
        <f>IFERROR(X87-X99, "NA")</f>
        <v>3119.19</v>
      </c>
      <c r="Y101" s="94">
        <f>IFERROR(X101/X148, "NA")</f>
        <v>0.1905380616</v>
      </c>
      <c r="Z101" s="122">
        <f>IFERROR(Z87-Z99, "NA")</f>
        <v>11705.36</v>
      </c>
      <c r="AA101" s="94">
        <f>IFERROR(Z101/Z148, "NA")</f>
        <v>0.1630436933</v>
      </c>
      <c r="AB101" s="122">
        <f>IFERROR((R101+T101+V101+X101)/4, "NA")</f>
        <v>2926.34</v>
      </c>
      <c r="AC101" s="94">
        <f>IFERROR(AB101/AB148, "NA")</f>
        <v>0.1630436933</v>
      </c>
      <c r="AD101" s="75">
        <f>IFERROR(X101-AB101, "NA")</f>
        <v>192.85</v>
      </c>
      <c r="AE101" s="76">
        <f>IFERROR(AD101/AD148, "NA")</f>
        <v>-0.1222298631</v>
      </c>
      <c r="AF101" s="75">
        <f>IFERROR((X101-AB101)/AB101, "NA")</f>
        <v>0.06590143319</v>
      </c>
      <c r="AG101" s="122">
        <f>IFERROR((J101+L101+N101+P101+R101+T101+V101+X101)/8, "NA")</f>
        <v>2484.41125</v>
      </c>
      <c r="AH101" s="94">
        <f>IFERROR(AG101/AG148, "NA")</f>
        <v>0.1371531439</v>
      </c>
      <c r="AI101" s="75">
        <f>IFERROR(X101-AG101, "NA")</f>
        <v>634.77875</v>
      </c>
      <c r="AJ101" s="76">
        <f>IFERROR(AI101/AI148, "NA")</f>
        <v>-0.3640391751</v>
      </c>
      <c r="AK101" s="75">
        <f>IFERROR((X101-AG101)/AG101, "NA")</f>
        <v>0.2555046996</v>
      </c>
      <c r="AL101" s="76">
        <f>IFERROR(AK101/AK148, "NA")</f>
        <v>-2.654253229</v>
      </c>
    </row>
    <row r="102" ht="3.75" hidden="1" customHeight="1">
      <c r="A102" s="123"/>
      <c r="B102" s="124"/>
      <c r="C102" s="74"/>
      <c r="D102" s="124"/>
      <c r="E102" s="74"/>
      <c r="F102" s="124"/>
      <c r="G102" s="74"/>
      <c r="H102" s="124"/>
      <c r="I102" s="74"/>
      <c r="J102" s="124"/>
      <c r="K102" s="74"/>
      <c r="L102" s="124"/>
      <c r="M102" s="74"/>
      <c r="N102" s="124"/>
      <c r="O102" s="74"/>
      <c r="P102" s="124"/>
      <c r="Q102" s="74"/>
      <c r="R102" s="124"/>
      <c r="S102" s="74"/>
      <c r="T102" s="124"/>
      <c r="U102" s="74"/>
      <c r="V102" s="124"/>
      <c r="W102" s="74"/>
      <c r="X102" s="124"/>
      <c r="Y102" s="74"/>
      <c r="Z102" s="124"/>
      <c r="AA102" s="74"/>
      <c r="AB102" s="124"/>
      <c r="AC102" s="74"/>
      <c r="AD102" s="125"/>
      <c r="AE102" s="80"/>
      <c r="AF102" s="125"/>
      <c r="AG102" s="124"/>
      <c r="AH102" s="74"/>
      <c r="AI102" s="125"/>
      <c r="AJ102" s="80"/>
      <c r="AK102" s="125"/>
      <c r="AL102" s="80"/>
    </row>
    <row r="103" ht="16.5" hidden="1" customHeight="1">
      <c r="A103" s="13" t="s">
        <v>215</v>
      </c>
      <c r="B103" s="14"/>
      <c r="C103" s="12"/>
      <c r="D103" s="14"/>
      <c r="E103" s="12"/>
      <c r="F103" s="14"/>
      <c r="G103" s="12"/>
      <c r="H103" s="14"/>
      <c r="I103" s="12"/>
      <c r="J103" s="14"/>
      <c r="K103" s="12"/>
      <c r="L103" s="14"/>
      <c r="M103" s="12"/>
      <c r="N103" s="14"/>
      <c r="O103" s="12"/>
      <c r="P103" s="14"/>
      <c r="Q103" s="12"/>
      <c r="R103" s="14"/>
      <c r="S103" s="12"/>
      <c r="T103" s="14"/>
      <c r="U103" s="12"/>
      <c r="V103" s="14"/>
      <c r="W103" s="12"/>
      <c r="X103" s="14"/>
      <c r="Y103" s="12"/>
      <c r="Z103" s="14"/>
      <c r="AA103" s="12"/>
      <c r="AB103" s="14"/>
      <c r="AC103" s="12"/>
      <c r="AD103" s="17"/>
      <c r="AE103" s="18"/>
      <c r="AF103" s="17"/>
      <c r="AG103" s="14"/>
      <c r="AH103" s="12"/>
      <c r="AI103" s="17"/>
      <c r="AJ103" s="18"/>
      <c r="AK103" s="17"/>
      <c r="AL103" s="18"/>
    </row>
    <row r="104" ht="16.5" hidden="1" customHeight="1">
      <c r="A104" s="126" t="s">
        <v>216</v>
      </c>
      <c r="B104" s="127">
        <v>0.0</v>
      </c>
      <c r="C104" s="94">
        <f>IFERROR(B104/B148, "NA")</f>
        <v>0</v>
      </c>
      <c r="D104" s="127">
        <v>1345.72</v>
      </c>
      <c r="E104" s="94">
        <f>IFERROR(D104/D148, "NA")</f>
        <v>0.03008996222</v>
      </c>
      <c r="F104" s="127">
        <v>12447.48</v>
      </c>
      <c r="G104" s="94">
        <f>IFERROR(F104/F148, "NA")</f>
        <v>0.5139591912</v>
      </c>
      <c r="H104" s="127">
        <v>135.71</v>
      </c>
      <c r="I104" s="94">
        <f>IFERROR(H104/H148, "NA")</f>
        <v>0.01071204175</v>
      </c>
      <c r="J104" s="127">
        <v>0.0</v>
      </c>
      <c r="K104" s="94">
        <f>IFERROR(J104/J148, "NA")</f>
        <v>0</v>
      </c>
      <c r="L104" s="127">
        <v>0.0</v>
      </c>
      <c r="M104" s="94">
        <f>IFERROR(L104/L148, "NA")</f>
        <v>0</v>
      </c>
      <c r="N104" s="127">
        <v>1539.65</v>
      </c>
      <c r="O104" s="94">
        <f>IFERROR(N104/N148, "NA")</f>
        <v>0.07065901295</v>
      </c>
      <c r="P104" s="127">
        <v>15090.57</v>
      </c>
      <c r="Q104" s="94">
        <f>IFERROR(P104/P148, "NA")</f>
        <v>1.715689496</v>
      </c>
      <c r="R104" s="127">
        <v>0.0</v>
      </c>
      <c r="S104" s="94">
        <f>IFERROR(R104/R148, "NA")</f>
        <v>0</v>
      </c>
      <c r="T104" s="127">
        <v>0.0</v>
      </c>
      <c r="U104" s="94">
        <f>IFERROR(T104/T148, "NA")</f>
        <v>0</v>
      </c>
      <c r="V104" s="127">
        <v>1001.16</v>
      </c>
      <c r="W104" s="94">
        <f>IFERROR(V104/V148, "NA")</f>
        <v>0.04349323921</v>
      </c>
      <c r="X104" s="127">
        <v>12526.02</v>
      </c>
      <c r="Y104" s="94">
        <f>IFERROR(X104/X148, "NA")</f>
        <v>0.7651613305</v>
      </c>
      <c r="Z104" s="127">
        <v>13527.18</v>
      </c>
      <c r="AA104" s="94">
        <f>IFERROR(Z104/Z148, "NA")</f>
        <v>0.1884197826</v>
      </c>
      <c r="AB104" s="122">
        <f t="shared" ref="AB104:AB105" si="49">IFERROR((R104+T104+V104+X104)/4, "NA")</f>
        <v>3381.795</v>
      </c>
      <c r="AC104" s="94">
        <f>IFERROR(AB104/AB148, "NA")</f>
        <v>0.1884197826</v>
      </c>
      <c r="AD104" s="75">
        <f t="shared" ref="AD104:AD105" si="50">IFERROR(X104-AB104, "NA")</f>
        <v>9144.225</v>
      </c>
      <c r="AE104" s="76">
        <f>IFERROR(AD104/AD148, "NA")</f>
        <v>-5.7956825</v>
      </c>
      <c r="AF104" s="75">
        <f t="shared" ref="AF104:AF105" si="51">IFERROR((X104-AB104)/AB104, "NA")</f>
        <v>2.703956035</v>
      </c>
      <c r="AG104" s="122">
        <f t="shared" ref="AG104:AG105" si="52">IFERROR((J104+L104+N104+P104+R104+T104+V104+X104)/8, "NA")</f>
        <v>3769.675</v>
      </c>
      <c r="AH104" s="94">
        <f>IFERROR(AG104/AG148, "NA")</f>
        <v>0.2081067608</v>
      </c>
      <c r="AI104" s="75">
        <f t="shared" ref="AI104:AI105" si="53">IFERROR(X104-AG104, "NA")</f>
        <v>8756.345</v>
      </c>
      <c r="AJ104" s="76">
        <f>IFERROR(AI104/AI148, "NA")</f>
        <v>-5.021675049</v>
      </c>
      <c r="AK104" s="75">
        <f t="shared" ref="AK104:AK105" si="54">IFERROR((X104-AG104)/AG104, "NA")</f>
        <v>2.322838176</v>
      </c>
      <c r="AL104" s="76">
        <f>IFERROR(AK104/AK148, "NA")</f>
        <v>-24.13028308</v>
      </c>
    </row>
    <row r="105" ht="16.5" hidden="1" customHeight="1">
      <c r="A105" s="65" t="s">
        <v>217</v>
      </c>
      <c r="B105" s="66">
        <f>IFERROR(B104, "NA")</f>
        <v>0</v>
      </c>
      <c r="C105" s="67">
        <f>IFERROR(B105/B148, "NA")</f>
        <v>0</v>
      </c>
      <c r="D105" s="66">
        <f>IFERROR(D104, "NA")</f>
        <v>1345.72</v>
      </c>
      <c r="E105" s="67">
        <f>IFERROR(D105/D148, "NA")</f>
        <v>0.03008996222</v>
      </c>
      <c r="F105" s="66">
        <f>IFERROR(F104, "NA")</f>
        <v>12447.48</v>
      </c>
      <c r="G105" s="67">
        <f>IFERROR(F105/F148, "NA")</f>
        <v>0.5139591912</v>
      </c>
      <c r="H105" s="66">
        <f>IFERROR(H104, "NA")</f>
        <v>135.71</v>
      </c>
      <c r="I105" s="67">
        <f>IFERROR(H105/H148, "NA")</f>
        <v>0.01071204175</v>
      </c>
      <c r="J105" s="66">
        <f>IFERROR(J104, "NA")</f>
        <v>0</v>
      </c>
      <c r="K105" s="67">
        <f>IFERROR(J105/J148, "NA")</f>
        <v>0</v>
      </c>
      <c r="L105" s="66">
        <f>IFERROR(L104, "NA")</f>
        <v>0</v>
      </c>
      <c r="M105" s="67">
        <f>IFERROR(L105/L148, "NA")</f>
        <v>0</v>
      </c>
      <c r="N105" s="66">
        <f>IFERROR(N104, "NA")</f>
        <v>1539.65</v>
      </c>
      <c r="O105" s="67">
        <f>IFERROR(N105/N148, "NA")</f>
        <v>0.07065901295</v>
      </c>
      <c r="P105" s="66">
        <f>IFERROR(P104, "NA")</f>
        <v>15090.57</v>
      </c>
      <c r="Q105" s="67">
        <f>IFERROR(P105/P148, "NA")</f>
        <v>1.715689496</v>
      </c>
      <c r="R105" s="66">
        <f>IFERROR(R104, "NA")</f>
        <v>0</v>
      </c>
      <c r="S105" s="67">
        <f>IFERROR(R105/R148, "NA")</f>
        <v>0</v>
      </c>
      <c r="T105" s="66">
        <f>IFERROR(T104, "NA")</f>
        <v>0</v>
      </c>
      <c r="U105" s="67">
        <f>IFERROR(T105/T148, "NA")</f>
        <v>0</v>
      </c>
      <c r="V105" s="66">
        <f>IFERROR(V104, "NA")</f>
        <v>1001.16</v>
      </c>
      <c r="W105" s="67">
        <f>IFERROR(V105/V148, "NA")</f>
        <v>0.04349323921</v>
      </c>
      <c r="X105" s="66">
        <f>IFERROR(X104, "NA")</f>
        <v>12526.02</v>
      </c>
      <c r="Y105" s="67">
        <f>IFERROR(X105/X148, "NA")</f>
        <v>0.7651613305</v>
      </c>
      <c r="Z105" s="66">
        <f>IFERROR(Z104, "NA")</f>
        <v>13527.18</v>
      </c>
      <c r="AA105" s="67">
        <f>IFERROR(Z105/Z148, "NA")</f>
        <v>0.1884197826</v>
      </c>
      <c r="AB105" s="66">
        <f t="shared" si="49"/>
        <v>3381.795</v>
      </c>
      <c r="AC105" s="67">
        <f>IFERROR(AB105/AB148, "NA")</f>
        <v>0.1884197826</v>
      </c>
      <c r="AD105" s="75">
        <f t="shared" si="50"/>
        <v>9144.225</v>
      </c>
      <c r="AE105" s="76">
        <f>IFERROR(AD105/AD148, "NA")</f>
        <v>-5.7956825</v>
      </c>
      <c r="AF105" s="75">
        <f t="shared" si="51"/>
        <v>2.703956035</v>
      </c>
      <c r="AG105" s="66">
        <f t="shared" si="52"/>
        <v>3769.675</v>
      </c>
      <c r="AH105" s="67">
        <f>IFERROR(AG105/AG148, "NA")</f>
        <v>0.2081067608</v>
      </c>
      <c r="AI105" s="75">
        <f t="shared" si="53"/>
        <v>8756.345</v>
      </c>
      <c r="AJ105" s="76">
        <f>IFERROR(AI105/AI148, "NA")</f>
        <v>-5.021675049</v>
      </c>
      <c r="AK105" s="75">
        <f t="shared" si="54"/>
        <v>2.322838176</v>
      </c>
      <c r="AL105" s="76">
        <f>IFERROR(AK105/AK148, "NA")</f>
        <v>-24.13028308</v>
      </c>
    </row>
    <row r="106" ht="16.5" hidden="1" customHeight="1">
      <c r="A106" s="123"/>
      <c r="B106" s="124"/>
      <c r="C106" s="74"/>
      <c r="D106" s="124"/>
      <c r="E106" s="74"/>
      <c r="F106" s="124"/>
      <c r="G106" s="74"/>
      <c r="H106" s="124"/>
      <c r="I106" s="74"/>
      <c r="J106" s="124"/>
      <c r="K106" s="74"/>
      <c r="L106" s="124"/>
      <c r="M106" s="74"/>
      <c r="N106" s="124"/>
      <c r="O106" s="74"/>
      <c r="P106" s="124"/>
      <c r="Q106" s="74"/>
      <c r="R106" s="124"/>
      <c r="S106" s="74"/>
      <c r="T106" s="124"/>
      <c r="U106" s="74"/>
      <c r="V106" s="124"/>
      <c r="W106" s="74"/>
      <c r="X106" s="124"/>
      <c r="Y106" s="74"/>
      <c r="Z106" s="124"/>
      <c r="AA106" s="74"/>
      <c r="AB106" s="124"/>
      <c r="AC106" s="74"/>
      <c r="AD106" s="125"/>
      <c r="AE106" s="80"/>
      <c r="AF106" s="125"/>
      <c r="AG106" s="124"/>
      <c r="AH106" s="74"/>
      <c r="AI106" s="125"/>
      <c r="AJ106" s="80"/>
      <c r="AK106" s="125"/>
      <c r="AL106" s="80"/>
    </row>
    <row r="107" ht="16.5" hidden="1" customHeight="1">
      <c r="A107" s="121" t="s">
        <v>218</v>
      </c>
      <c r="B107" s="122">
        <f>IFERROR(B87-B99-B105, "NA")</f>
        <v>19200.85</v>
      </c>
      <c r="C107" s="94">
        <f>IFERROR(B107/B148, "NA")</f>
        <v>0.4112322693</v>
      </c>
      <c r="D107" s="122">
        <f>IFERROR(D87-D99-D105, "NA")</f>
        <v>16643.16</v>
      </c>
      <c r="E107" s="94">
        <f>IFERROR(D107/D148, "NA")</f>
        <v>0.37213689</v>
      </c>
      <c r="F107" s="122">
        <f>IFERROR(F87-F99-F105, "NA")</f>
        <v>-8618.15</v>
      </c>
      <c r="G107" s="94">
        <f>IFERROR(F107/F148, "NA")</f>
        <v>-0.355845312</v>
      </c>
      <c r="H107" s="122">
        <f>IFERROR(H87-H99-H105, "NA")</f>
        <v>819.97</v>
      </c>
      <c r="I107" s="94">
        <f>IFERROR(H107/H148, "NA")</f>
        <v>0.06472295981</v>
      </c>
      <c r="J107" s="122">
        <f>IFERROR(J87-J99-J105, "NA")</f>
        <v>4380.76</v>
      </c>
      <c r="K107" s="94">
        <f>IFERROR(J107/J148, "NA")</f>
        <v>0.1904066476</v>
      </c>
      <c r="L107" s="122">
        <f>IFERROR(L87-L99-L105, "NA")</f>
        <v>2399.51</v>
      </c>
      <c r="M107" s="94">
        <f>IFERROR(L107/L148, "NA")</f>
        <v>0.1228787564</v>
      </c>
      <c r="N107" s="122">
        <f>IFERROR(N87-N99-N105, "NA")</f>
        <v>1524.6</v>
      </c>
      <c r="O107" s="94">
        <f>IFERROR(N107/N148, "NA")</f>
        <v>0.06996832472</v>
      </c>
      <c r="P107" s="122">
        <f>IFERROR(P87-P99-P105, "NA")</f>
        <v>-16765.16</v>
      </c>
      <c r="Q107" s="94">
        <f>IFERROR(P107/P148, "NA")</f>
        <v>-1.906078359</v>
      </c>
      <c r="R107" s="122">
        <f>IFERROR(R87-R99-R105, "NA")</f>
        <v>-1145.13</v>
      </c>
      <c r="S107" s="94">
        <f>IFERROR(R107/R148, "NA")</f>
        <v>-0.106057561</v>
      </c>
      <c r="T107" s="122">
        <f>IFERROR(T87-T99-T105, "NA")</f>
        <v>4938.63</v>
      </c>
      <c r="U107" s="94">
        <f>IFERROR(T107/T148, "NA")</f>
        <v>0.2285730815</v>
      </c>
      <c r="V107" s="122">
        <f>IFERROR(V87-V99-V105, "NA")</f>
        <v>3791.51</v>
      </c>
      <c r="W107" s="94">
        <f>IFERROR(V107/V148, "NA")</f>
        <v>0.1647139832</v>
      </c>
      <c r="X107" s="122">
        <f>IFERROR(X87-X99-X105, "NA")</f>
        <v>-9406.83</v>
      </c>
      <c r="Y107" s="94">
        <f>IFERROR(X107/X148, "NA")</f>
        <v>-0.5746232689</v>
      </c>
      <c r="Z107" s="122">
        <f>IFERROR(Z87-Z99-Z105, "NA")</f>
        <v>-1821.82</v>
      </c>
      <c r="AA107" s="94">
        <f>IFERROR(Z107/Z148, "NA")</f>
        <v>-0.02537608935</v>
      </c>
      <c r="AB107" s="122">
        <f>IFERROR((R107+T107+V107+X107)/4, "NA")</f>
        <v>-455.455</v>
      </c>
      <c r="AC107" s="94">
        <f>IFERROR(AB107/AB148, "NA")</f>
        <v>-0.02537608935</v>
      </c>
      <c r="AD107" s="75">
        <f>IFERROR(X107-AB107, "NA")</f>
        <v>-8951.375</v>
      </c>
      <c r="AE107" s="76">
        <f>IFERROR(AD107/AD148, "NA")</f>
        <v>5.673452637</v>
      </c>
      <c r="AF107" s="75">
        <f>IFERROR((X107-AB107)/AB107, "NA")</f>
        <v>19.65369795</v>
      </c>
      <c r="AG107" s="122">
        <f>IFERROR((J107+L107+N107+P107+R107+T107+V107+X107)/8, "NA")</f>
        <v>-1285.26375</v>
      </c>
      <c r="AH107" s="94">
        <f>IFERROR(AG107/AG148, "NA")</f>
        <v>-0.0709536169</v>
      </c>
      <c r="AI107" s="75">
        <f>IFERROR(X107-AG107, "NA")</f>
        <v>-8121.56625</v>
      </c>
      <c r="AJ107" s="76">
        <f>IFERROR(AI107/AI148, "NA")</f>
        <v>4.657635874</v>
      </c>
      <c r="AK107" s="75">
        <f>IFERROR((X107-AG107)/AG107, "NA")</f>
        <v>6.318988029</v>
      </c>
      <c r="AL107" s="76">
        <f>IFERROR(AK107/AK148, "NA")</f>
        <v>-65.64338899</v>
      </c>
    </row>
    <row r="108" ht="3.75" hidden="1" customHeight="1">
      <c r="A108" s="123"/>
      <c r="B108" s="124"/>
      <c r="C108" s="74"/>
      <c r="D108" s="124"/>
      <c r="E108" s="74"/>
      <c r="F108" s="124"/>
      <c r="G108" s="74"/>
      <c r="H108" s="124"/>
      <c r="I108" s="74"/>
      <c r="J108" s="124"/>
      <c r="K108" s="74"/>
      <c r="L108" s="124"/>
      <c r="M108" s="74"/>
      <c r="N108" s="124"/>
      <c r="O108" s="74"/>
      <c r="P108" s="124"/>
      <c r="Q108" s="74"/>
      <c r="R108" s="124"/>
      <c r="S108" s="74"/>
      <c r="T108" s="124"/>
      <c r="U108" s="74"/>
      <c r="V108" s="124"/>
      <c r="W108" s="74"/>
      <c r="X108" s="124"/>
      <c r="Y108" s="74"/>
      <c r="Z108" s="124"/>
      <c r="AA108" s="74"/>
      <c r="AB108" s="124"/>
      <c r="AC108" s="74"/>
      <c r="AD108" s="125"/>
      <c r="AE108" s="80"/>
      <c r="AF108" s="125"/>
      <c r="AG108" s="124"/>
      <c r="AH108" s="74"/>
      <c r="AI108" s="125"/>
      <c r="AJ108" s="80"/>
      <c r="AK108" s="125"/>
      <c r="AL108" s="80"/>
    </row>
    <row r="109" ht="16.5" hidden="1" customHeight="1">
      <c r="A109" s="13" t="s">
        <v>219</v>
      </c>
      <c r="B109" s="14"/>
      <c r="C109" s="12"/>
      <c r="D109" s="14"/>
      <c r="E109" s="12"/>
      <c r="F109" s="14"/>
      <c r="G109" s="12"/>
      <c r="H109" s="14"/>
      <c r="I109" s="12"/>
      <c r="J109" s="14"/>
      <c r="K109" s="12"/>
      <c r="L109" s="14"/>
      <c r="M109" s="12"/>
      <c r="N109" s="14"/>
      <c r="O109" s="12"/>
      <c r="P109" s="14"/>
      <c r="Q109" s="12"/>
      <c r="R109" s="14"/>
      <c r="S109" s="12"/>
      <c r="T109" s="14"/>
      <c r="U109" s="12"/>
      <c r="V109" s="14"/>
      <c r="W109" s="12"/>
      <c r="X109" s="14"/>
      <c r="Y109" s="12"/>
      <c r="Z109" s="14"/>
      <c r="AA109" s="12"/>
      <c r="AB109" s="14"/>
      <c r="AC109" s="12"/>
      <c r="AD109" s="17"/>
      <c r="AE109" s="18"/>
      <c r="AF109" s="17"/>
      <c r="AG109" s="14"/>
      <c r="AH109" s="12"/>
      <c r="AI109" s="17"/>
      <c r="AJ109" s="18"/>
      <c r="AK109" s="17"/>
      <c r="AL109" s="18"/>
    </row>
    <row r="110" ht="16.5" hidden="1" customHeight="1">
      <c r="A110" s="19" t="s">
        <v>220</v>
      </c>
      <c r="B110" s="21">
        <v>0.0</v>
      </c>
      <c r="C110" s="23">
        <f>IFERROR(B110/B148, "NA")</f>
        <v>0</v>
      </c>
      <c r="D110" s="21">
        <v>0.0</v>
      </c>
      <c r="E110" s="23">
        <f>IFERROR(D110/D148, "NA")</f>
        <v>0</v>
      </c>
      <c r="F110" s="21">
        <v>0.0</v>
      </c>
      <c r="G110" s="23">
        <f>IFERROR(F110/F148, "NA")</f>
        <v>0</v>
      </c>
      <c r="H110" s="21">
        <v>0.0</v>
      </c>
      <c r="I110" s="23">
        <f>IFERROR(H110/H148, "NA")</f>
        <v>0</v>
      </c>
      <c r="J110" s="21">
        <v>0.0</v>
      </c>
      <c r="K110" s="23">
        <f>IFERROR(J110/J148, "NA")</f>
        <v>0</v>
      </c>
      <c r="L110" s="21">
        <v>0.0</v>
      </c>
      <c r="M110" s="23">
        <f>IFERROR(L110/L148, "NA")</f>
        <v>0</v>
      </c>
      <c r="N110" s="21">
        <v>0.0</v>
      </c>
      <c r="O110" s="23">
        <f>IFERROR(N110/N148, "NA")</f>
        <v>0</v>
      </c>
      <c r="P110" s="21">
        <v>0.0</v>
      </c>
      <c r="Q110" s="23">
        <f>IFERROR(P110/P148, "NA")</f>
        <v>0</v>
      </c>
      <c r="R110" s="21">
        <v>0.0</v>
      </c>
      <c r="S110" s="23">
        <f>IFERROR(R110/R148, "NA")</f>
        <v>0</v>
      </c>
      <c r="T110" s="21">
        <v>0.0</v>
      </c>
      <c r="U110" s="23">
        <f>IFERROR(T110/T148, "NA")</f>
        <v>0</v>
      </c>
      <c r="V110" s="21">
        <v>0.0</v>
      </c>
      <c r="W110" s="23">
        <f>IFERROR(V110/V148, "NA")</f>
        <v>0</v>
      </c>
      <c r="X110" s="21">
        <v>0.0</v>
      </c>
      <c r="Y110" s="23">
        <f>IFERROR(X110/X148, "NA")</f>
        <v>0</v>
      </c>
      <c r="Z110" s="21">
        <v>0.0</v>
      </c>
      <c r="AA110" s="23">
        <f>IFERROR(Z110/Z148, "NA")</f>
        <v>0</v>
      </c>
      <c r="AB110" s="28">
        <f t="shared" ref="AB110:AB135" si="55">IFERROR((R110+T110+V110+X110)/4, "NA")</f>
        <v>0</v>
      </c>
      <c r="AC110" s="23">
        <f>IFERROR(AB110/AB148, "NA")</f>
        <v>0</v>
      </c>
      <c r="AD110" s="29">
        <f t="shared" ref="AD110:AD135" si="56">IFERROR(X110-AB110, "NA")</f>
        <v>0</v>
      </c>
      <c r="AE110" s="30">
        <f>IFERROR(AD110/AD148, "NA")</f>
        <v>0</v>
      </c>
      <c r="AF110" s="29" t="str">
        <f t="shared" ref="AF110:AF135" si="57">IFERROR((X110-AB110)/AB110, "NA")</f>
        <v>NA</v>
      </c>
      <c r="AG110" s="28">
        <f t="shared" ref="AG110:AG135" si="58">IFERROR((J110+L110+N110+P110+R110+T110+V110+X110)/8, "NA")</f>
        <v>0</v>
      </c>
      <c r="AH110" s="23">
        <f>IFERROR(AG110/AG148, "NA")</f>
        <v>0</v>
      </c>
      <c r="AI110" s="29">
        <f t="shared" ref="AI110:AI135" si="59">IFERROR(X110-AG110, "NA")</f>
        <v>0</v>
      </c>
      <c r="AJ110" s="30">
        <f>IFERROR(AI110/AI148, "NA")</f>
        <v>0</v>
      </c>
      <c r="AK110" s="29" t="str">
        <f t="shared" ref="AK110:AK135" si="60">IFERROR((X110-AG110)/AG110, "NA")</f>
        <v>NA</v>
      </c>
      <c r="AL110" s="30" t="str">
        <f>IFERROR(AK110/AK148, "NA")</f>
        <v>NA</v>
      </c>
    </row>
    <row r="111" ht="16.5" hidden="1" customHeight="1">
      <c r="A111" s="19" t="s">
        <v>221</v>
      </c>
      <c r="B111" s="21">
        <v>0.0</v>
      </c>
      <c r="C111" s="23">
        <f>IFERROR(B111/B148, "NA")</f>
        <v>0</v>
      </c>
      <c r="D111" s="21">
        <v>0.0</v>
      </c>
      <c r="E111" s="23">
        <f>IFERROR(D111/D148, "NA")</f>
        <v>0</v>
      </c>
      <c r="F111" s="21">
        <v>0.0</v>
      </c>
      <c r="G111" s="23">
        <f>IFERROR(F111/F148, "NA")</f>
        <v>0</v>
      </c>
      <c r="H111" s="21">
        <v>0.0</v>
      </c>
      <c r="I111" s="23">
        <f>IFERROR(H111/H148, "NA")</f>
        <v>0</v>
      </c>
      <c r="J111" s="21">
        <v>0.0</v>
      </c>
      <c r="K111" s="23">
        <f>IFERROR(J111/J148, "NA")</f>
        <v>0</v>
      </c>
      <c r="L111" s="21">
        <v>0.0</v>
      </c>
      <c r="M111" s="23">
        <f>IFERROR(L111/L148, "NA")</f>
        <v>0</v>
      </c>
      <c r="N111" s="21">
        <v>0.0</v>
      </c>
      <c r="O111" s="23">
        <f>IFERROR(N111/N148, "NA")</f>
        <v>0</v>
      </c>
      <c r="P111" s="21">
        <v>0.0</v>
      </c>
      <c r="Q111" s="23">
        <f>IFERROR(P111/P148, "NA")</f>
        <v>0</v>
      </c>
      <c r="R111" s="21">
        <v>0.0</v>
      </c>
      <c r="S111" s="23">
        <f>IFERROR(R111/R148, "NA")</f>
        <v>0</v>
      </c>
      <c r="T111" s="21">
        <v>0.0</v>
      </c>
      <c r="U111" s="23">
        <f>IFERROR(T111/T148, "NA")</f>
        <v>0</v>
      </c>
      <c r="V111" s="21">
        <v>0.0</v>
      </c>
      <c r="W111" s="23">
        <f>IFERROR(V111/V148, "NA")</f>
        <v>0</v>
      </c>
      <c r="X111" s="21">
        <v>0.0</v>
      </c>
      <c r="Y111" s="23">
        <f>IFERROR(X111/X148, "NA")</f>
        <v>0</v>
      </c>
      <c r="Z111" s="21">
        <v>0.0</v>
      </c>
      <c r="AA111" s="23">
        <f>IFERROR(Z111/Z148, "NA")</f>
        <v>0</v>
      </c>
      <c r="AB111" s="28">
        <f t="shared" si="55"/>
        <v>0</v>
      </c>
      <c r="AC111" s="23">
        <f>IFERROR(AB111/AB148, "NA")</f>
        <v>0</v>
      </c>
      <c r="AD111" s="29">
        <f t="shared" si="56"/>
        <v>0</v>
      </c>
      <c r="AE111" s="30">
        <f>IFERROR(AD111/AD148, "NA")</f>
        <v>0</v>
      </c>
      <c r="AF111" s="29" t="str">
        <f t="shared" si="57"/>
        <v>NA</v>
      </c>
      <c r="AG111" s="28">
        <f t="shared" si="58"/>
        <v>0</v>
      </c>
      <c r="AH111" s="23">
        <f>IFERROR(AG111/AG148, "NA")</f>
        <v>0</v>
      </c>
      <c r="AI111" s="29">
        <f t="shared" si="59"/>
        <v>0</v>
      </c>
      <c r="AJ111" s="30">
        <f>IFERROR(AI111/AI148, "NA")</f>
        <v>0</v>
      </c>
      <c r="AK111" s="29" t="str">
        <f t="shared" si="60"/>
        <v>NA</v>
      </c>
      <c r="AL111" s="30" t="str">
        <f>IFERROR(AK111/AK148, "NA")</f>
        <v>NA</v>
      </c>
    </row>
    <row r="112" ht="16.5" hidden="1" customHeight="1">
      <c r="A112" s="19" t="s">
        <v>222</v>
      </c>
      <c r="B112" s="21">
        <v>0.0</v>
      </c>
      <c r="C112" s="23">
        <f>IFERROR(B112/B148, "NA")</f>
        <v>0</v>
      </c>
      <c r="D112" s="21">
        <v>0.0</v>
      </c>
      <c r="E112" s="23">
        <f>IFERROR(D112/D148, "NA")</f>
        <v>0</v>
      </c>
      <c r="F112" s="21">
        <v>0.0</v>
      </c>
      <c r="G112" s="23">
        <f>IFERROR(F112/F148, "NA")</f>
        <v>0</v>
      </c>
      <c r="H112" s="21">
        <v>0.0</v>
      </c>
      <c r="I112" s="23">
        <f>IFERROR(H112/H148, "NA")</f>
        <v>0</v>
      </c>
      <c r="J112" s="21">
        <v>0.0</v>
      </c>
      <c r="K112" s="23">
        <f>IFERROR(J112/J148, "NA")</f>
        <v>0</v>
      </c>
      <c r="L112" s="21">
        <v>0.0</v>
      </c>
      <c r="M112" s="23">
        <f>IFERROR(L112/L148, "NA")</f>
        <v>0</v>
      </c>
      <c r="N112" s="21">
        <v>0.0</v>
      </c>
      <c r="O112" s="23">
        <f>IFERROR(N112/N148, "NA")</f>
        <v>0</v>
      </c>
      <c r="P112" s="21">
        <v>0.0</v>
      </c>
      <c r="Q112" s="23">
        <f>IFERROR(P112/P148, "NA")</f>
        <v>0</v>
      </c>
      <c r="R112" s="21">
        <v>0.0</v>
      </c>
      <c r="S112" s="23">
        <f>IFERROR(R112/R148, "NA")</f>
        <v>0</v>
      </c>
      <c r="T112" s="21">
        <v>0.0</v>
      </c>
      <c r="U112" s="23">
        <f>IFERROR(T112/T148, "NA")</f>
        <v>0</v>
      </c>
      <c r="V112" s="21">
        <v>0.0</v>
      </c>
      <c r="W112" s="23">
        <f>IFERROR(V112/V148, "NA")</f>
        <v>0</v>
      </c>
      <c r="X112" s="21">
        <v>0.0</v>
      </c>
      <c r="Y112" s="23">
        <f>IFERROR(X112/X148, "NA")</f>
        <v>0</v>
      </c>
      <c r="Z112" s="21">
        <v>0.0</v>
      </c>
      <c r="AA112" s="23">
        <f>IFERROR(Z112/Z148, "NA")</f>
        <v>0</v>
      </c>
      <c r="AB112" s="28">
        <f t="shared" si="55"/>
        <v>0</v>
      </c>
      <c r="AC112" s="23">
        <f>IFERROR(AB112/AB148, "NA")</f>
        <v>0</v>
      </c>
      <c r="AD112" s="29">
        <f t="shared" si="56"/>
        <v>0</v>
      </c>
      <c r="AE112" s="30">
        <f>IFERROR(AD112/AD148, "NA")</f>
        <v>0</v>
      </c>
      <c r="AF112" s="29" t="str">
        <f t="shared" si="57"/>
        <v>NA</v>
      </c>
      <c r="AG112" s="28">
        <f t="shared" si="58"/>
        <v>0</v>
      </c>
      <c r="AH112" s="23">
        <f>IFERROR(AG112/AG148, "NA")</f>
        <v>0</v>
      </c>
      <c r="AI112" s="29">
        <f t="shared" si="59"/>
        <v>0</v>
      </c>
      <c r="AJ112" s="30">
        <f>IFERROR(AI112/AI148, "NA")</f>
        <v>0</v>
      </c>
      <c r="AK112" s="29" t="str">
        <f t="shared" si="60"/>
        <v>NA</v>
      </c>
      <c r="AL112" s="30" t="str">
        <f>IFERROR(AK112/AK148, "NA")</f>
        <v>NA</v>
      </c>
    </row>
    <row r="113" ht="16.5" hidden="1" customHeight="1">
      <c r="A113" s="19" t="s">
        <v>223</v>
      </c>
      <c r="B113" s="21">
        <v>0.0</v>
      </c>
      <c r="C113" s="23">
        <f>IFERROR(B113/B148, "NA")</f>
        <v>0</v>
      </c>
      <c r="D113" s="21">
        <v>0.0</v>
      </c>
      <c r="E113" s="23">
        <f>IFERROR(D113/D148, "NA")</f>
        <v>0</v>
      </c>
      <c r="F113" s="21">
        <v>0.0</v>
      </c>
      <c r="G113" s="23">
        <f>IFERROR(F113/F148, "NA")</f>
        <v>0</v>
      </c>
      <c r="H113" s="21">
        <v>0.0</v>
      </c>
      <c r="I113" s="23">
        <f>IFERROR(H113/H148, "NA")</f>
        <v>0</v>
      </c>
      <c r="J113" s="21">
        <v>0.0</v>
      </c>
      <c r="K113" s="23">
        <f>IFERROR(J113/J148, "NA")</f>
        <v>0</v>
      </c>
      <c r="L113" s="21">
        <v>0.0</v>
      </c>
      <c r="M113" s="23">
        <f>IFERROR(L113/L148, "NA")</f>
        <v>0</v>
      </c>
      <c r="N113" s="21">
        <v>0.0</v>
      </c>
      <c r="O113" s="23">
        <f>IFERROR(N113/N148, "NA")</f>
        <v>0</v>
      </c>
      <c r="P113" s="21">
        <v>0.0</v>
      </c>
      <c r="Q113" s="23">
        <f>IFERROR(P113/P148, "NA")</f>
        <v>0</v>
      </c>
      <c r="R113" s="21">
        <v>0.0</v>
      </c>
      <c r="S113" s="23">
        <f>IFERROR(R113/R148, "NA")</f>
        <v>0</v>
      </c>
      <c r="T113" s="21">
        <v>0.0</v>
      </c>
      <c r="U113" s="23">
        <f>IFERROR(T113/T148, "NA")</f>
        <v>0</v>
      </c>
      <c r="V113" s="21">
        <v>0.0</v>
      </c>
      <c r="W113" s="23">
        <f>IFERROR(V113/V148, "NA")</f>
        <v>0</v>
      </c>
      <c r="X113" s="21">
        <v>0.0</v>
      </c>
      <c r="Y113" s="23">
        <f>IFERROR(X113/X148, "NA")</f>
        <v>0</v>
      </c>
      <c r="Z113" s="21">
        <v>0.0</v>
      </c>
      <c r="AA113" s="23">
        <f>IFERROR(Z113/Z148, "NA")</f>
        <v>0</v>
      </c>
      <c r="AB113" s="28">
        <f t="shared" si="55"/>
        <v>0</v>
      </c>
      <c r="AC113" s="23">
        <f>IFERROR(AB113/AB148, "NA")</f>
        <v>0</v>
      </c>
      <c r="AD113" s="29">
        <f t="shared" si="56"/>
        <v>0</v>
      </c>
      <c r="AE113" s="30">
        <f>IFERROR(AD113/AD148, "NA")</f>
        <v>0</v>
      </c>
      <c r="AF113" s="29" t="str">
        <f t="shared" si="57"/>
        <v>NA</v>
      </c>
      <c r="AG113" s="28">
        <f t="shared" si="58"/>
        <v>0</v>
      </c>
      <c r="AH113" s="23">
        <f>IFERROR(AG113/AG148, "NA")</f>
        <v>0</v>
      </c>
      <c r="AI113" s="29">
        <f t="shared" si="59"/>
        <v>0</v>
      </c>
      <c r="AJ113" s="30">
        <f>IFERROR(AI113/AI148, "NA")</f>
        <v>0</v>
      </c>
      <c r="AK113" s="29" t="str">
        <f t="shared" si="60"/>
        <v>NA</v>
      </c>
      <c r="AL113" s="30" t="str">
        <f>IFERROR(AK113/AK148, "NA")</f>
        <v>NA</v>
      </c>
    </row>
    <row r="114" ht="16.5" hidden="1" customHeight="1">
      <c r="A114" s="19" t="s">
        <v>224</v>
      </c>
      <c r="B114" s="21">
        <v>0.0</v>
      </c>
      <c r="C114" s="23">
        <f>IFERROR(B114/B148, "NA")</f>
        <v>0</v>
      </c>
      <c r="D114" s="21">
        <v>0.0</v>
      </c>
      <c r="E114" s="23">
        <f>IFERROR(D114/D148, "NA")</f>
        <v>0</v>
      </c>
      <c r="F114" s="21">
        <v>0.0</v>
      </c>
      <c r="G114" s="23">
        <f>IFERROR(F114/F148, "NA")</f>
        <v>0</v>
      </c>
      <c r="H114" s="21">
        <v>0.0</v>
      </c>
      <c r="I114" s="23">
        <f>IFERROR(H114/H148, "NA")</f>
        <v>0</v>
      </c>
      <c r="J114" s="21">
        <v>0.0</v>
      </c>
      <c r="K114" s="23">
        <f>IFERROR(J114/J148, "NA")</f>
        <v>0</v>
      </c>
      <c r="L114" s="21">
        <v>0.0</v>
      </c>
      <c r="M114" s="23">
        <f>IFERROR(L114/L148, "NA")</f>
        <v>0</v>
      </c>
      <c r="N114" s="21">
        <v>0.0</v>
      </c>
      <c r="O114" s="23">
        <f>IFERROR(N114/N148, "NA")</f>
        <v>0</v>
      </c>
      <c r="P114" s="21">
        <v>0.0</v>
      </c>
      <c r="Q114" s="23">
        <f>IFERROR(P114/P148, "NA")</f>
        <v>0</v>
      </c>
      <c r="R114" s="21">
        <v>0.0</v>
      </c>
      <c r="S114" s="23">
        <f>IFERROR(R114/R148, "NA")</f>
        <v>0</v>
      </c>
      <c r="T114" s="21">
        <v>0.0</v>
      </c>
      <c r="U114" s="23">
        <f>IFERROR(T114/T148, "NA")</f>
        <v>0</v>
      </c>
      <c r="V114" s="21">
        <v>0.0</v>
      </c>
      <c r="W114" s="23">
        <f>IFERROR(V114/V148, "NA")</f>
        <v>0</v>
      </c>
      <c r="X114" s="21">
        <v>0.0</v>
      </c>
      <c r="Y114" s="23">
        <f>IFERROR(X114/X148, "NA")</f>
        <v>0</v>
      </c>
      <c r="Z114" s="21">
        <v>0.0</v>
      </c>
      <c r="AA114" s="23">
        <f>IFERROR(Z114/Z148, "NA")</f>
        <v>0</v>
      </c>
      <c r="AB114" s="28">
        <f t="shared" si="55"/>
        <v>0</v>
      </c>
      <c r="AC114" s="23">
        <f>IFERROR(AB114/AB148, "NA")</f>
        <v>0</v>
      </c>
      <c r="AD114" s="29">
        <f t="shared" si="56"/>
        <v>0</v>
      </c>
      <c r="AE114" s="30">
        <f>IFERROR(AD114/AD148, "NA")</f>
        <v>0</v>
      </c>
      <c r="AF114" s="29" t="str">
        <f t="shared" si="57"/>
        <v>NA</v>
      </c>
      <c r="AG114" s="28">
        <f t="shared" si="58"/>
        <v>0</v>
      </c>
      <c r="AH114" s="23">
        <f>IFERROR(AG114/AG148, "NA")</f>
        <v>0</v>
      </c>
      <c r="AI114" s="29">
        <f t="shared" si="59"/>
        <v>0</v>
      </c>
      <c r="AJ114" s="30">
        <f>IFERROR(AI114/AI148, "NA")</f>
        <v>0</v>
      </c>
      <c r="AK114" s="29" t="str">
        <f t="shared" si="60"/>
        <v>NA</v>
      </c>
      <c r="AL114" s="30" t="str">
        <f>IFERROR(AK114/AK148, "NA")</f>
        <v>NA</v>
      </c>
    </row>
    <row r="115" ht="16.5" hidden="1" customHeight="1">
      <c r="A115" s="19" t="s">
        <v>225</v>
      </c>
      <c r="B115" s="21">
        <v>0.0</v>
      </c>
      <c r="C115" s="23">
        <f>IFERROR(B115/B148, "NA")</f>
        <v>0</v>
      </c>
      <c r="D115" s="21">
        <v>0.0</v>
      </c>
      <c r="E115" s="23">
        <f>IFERROR(D115/D148, "NA")</f>
        <v>0</v>
      </c>
      <c r="F115" s="21">
        <v>0.0</v>
      </c>
      <c r="G115" s="23">
        <f>IFERROR(F115/F148, "NA")</f>
        <v>0</v>
      </c>
      <c r="H115" s="21">
        <v>0.0</v>
      </c>
      <c r="I115" s="23">
        <f>IFERROR(H115/H148, "NA")</f>
        <v>0</v>
      </c>
      <c r="J115" s="21">
        <v>0.0</v>
      </c>
      <c r="K115" s="23">
        <f>IFERROR(J115/J148, "NA")</f>
        <v>0</v>
      </c>
      <c r="L115" s="21">
        <v>0.0</v>
      </c>
      <c r="M115" s="23">
        <f>IFERROR(L115/L148, "NA")</f>
        <v>0</v>
      </c>
      <c r="N115" s="21">
        <v>0.0</v>
      </c>
      <c r="O115" s="23">
        <f>IFERROR(N115/N148, "NA")</f>
        <v>0</v>
      </c>
      <c r="P115" s="21">
        <v>0.0</v>
      </c>
      <c r="Q115" s="23">
        <f>IFERROR(P115/P148, "NA")</f>
        <v>0</v>
      </c>
      <c r="R115" s="21">
        <v>0.0</v>
      </c>
      <c r="S115" s="23">
        <f>IFERROR(R115/R148, "NA")</f>
        <v>0</v>
      </c>
      <c r="T115" s="21">
        <v>0.0</v>
      </c>
      <c r="U115" s="23">
        <f>IFERROR(T115/T148, "NA")</f>
        <v>0</v>
      </c>
      <c r="V115" s="21">
        <v>0.0</v>
      </c>
      <c r="W115" s="23">
        <f>IFERROR(V115/V148, "NA")</f>
        <v>0</v>
      </c>
      <c r="X115" s="21">
        <v>0.0</v>
      </c>
      <c r="Y115" s="23">
        <f>IFERROR(X115/X148, "NA")</f>
        <v>0</v>
      </c>
      <c r="Z115" s="21">
        <v>0.0</v>
      </c>
      <c r="AA115" s="23">
        <f>IFERROR(Z115/Z148, "NA")</f>
        <v>0</v>
      </c>
      <c r="AB115" s="28">
        <f t="shared" si="55"/>
        <v>0</v>
      </c>
      <c r="AC115" s="23">
        <f>IFERROR(AB115/AB148, "NA")</f>
        <v>0</v>
      </c>
      <c r="AD115" s="29">
        <f t="shared" si="56"/>
        <v>0</v>
      </c>
      <c r="AE115" s="30">
        <f>IFERROR(AD115/AD148, "NA")</f>
        <v>0</v>
      </c>
      <c r="AF115" s="29" t="str">
        <f t="shared" si="57"/>
        <v>NA</v>
      </c>
      <c r="AG115" s="28">
        <f t="shared" si="58"/>
        <v>0</v>
      </c>
      <c r="AH115" s="23">
        <f>IFERROR(AG115/AG148, "NA")</f>
        <v>0</v>
      </c>
      <c r="AI115" s="29">
        <f t="shared" si="59"/>
        <v>0</v>
      </c>
      <c r="AJ115" s="30">
        <f>IFERROR(AI115/AI148, "NA")</f>
        <v>0</v>
      </c>
      <c r="AK115" s="29" t="str">
        <f t="shared" si="60"/>
        <v>NA</v>
      </c>
      <c r="AL115" s="30" t="str">
        <f>IFERROR(AK115/AK148, "NA")</f>
        <v>NA</v>
      </c>
    </row>
    <row r="116" ht="16.5" hidden="1" customHeight="1">
      <c r="A116" s="19" t="s">
        <v>226</v>
      </c>
      <c r="B116" s="21">
        <v>0.0</v>
      </c>
      <c r="C116" s="23">
        <f>IFERROR(B116/B148, "NA")</f>
        <v>0</v>
      </c>
      <c r="D116" s="21">
        <v>0.0</v>
      </c>
      <c r="E116" s="23">
        <f>IFERROR(D116/D148, "NA")</f>
        <v>0</v>
      </c>
      <c r="F116" s="21">
        <v>0.0</v>
      </c>
      <c r="G116" s="23">
        <f>IFERROR(F116/F148, "NA")</f>
        <v>0</v>
      </c>
      <c r="H116" s="21">
        <v>0.0</v>
      </c>
      <c r="I116" s="23">
        <f>IFERROR(H116/H148, "NA")</f>
        <v>0</v>
      </c>
      <c r="J116" s="21">
        <v>0.0</v>
      </c>
      <c r="K116" s="23">
        <f>IFERROR(J116/J148, "NA")</f>
        <v>0</v>
      </c>
      <c r="L116" s="21">
        <v>0.0</v>
      </c>
      <c r="M116" s="23">
        <f>IFERROR(L116/L148, "NA")</f>
        <v>0</v>
      </c>
      <c r="N116" s="21">
        <v>0.0</v>
      </c>
      <c r="O116" s="23">
        <f>IFERROR(N116/N148, "NA")</f>
        <v>0</v>
      </c>
      <c r="P116" s="21">
        <v>0.0</v>
      </c>
      <c r="Q116" s="23">
        <f>IFERROR(P116/P148, "NA")</f>
        <v>0</v>
      </c>
      <c r="R116" s="21">
        <v>0.0</v>
      </c>
      <c r="S116" s="23">
        <f>IFERROR(R116/R148, "NA")</f>
        <v>0</v>
      </c>
      <c r="T116" s="21">
        <v>0.0</v>
      </c>
      <c r="U116" s="23">
        <f>IFERROR(T116/T148, "NA")</f>
        <v>0</v>
      </c>
      <c r="V116" s="21">
        <v>0.0</v>
      </c>
      <c r="W116" s="23">
        <f>IFERROR(V116/V148, "NA")</f>
        <v>0</v>
      </c>
      <c r="X116" s="21">
        <v>0.0</v>
      </c>
      <c r="Y116" s="23">
        <f>IFERROR(X116/X148, "NA")</f>
        <v>0</v>
      </c>
      <c r="Z116" s="21">
        <v>0.0</v>
      </c>
      <c r="AA116" s="23">
        <f>IFERROR(Z116/Z148, "NA")</f>
        <v>0</v>
      </c>
      <c r="AB116" s="28">
        <f t="shared" si="55"/>
        <v>0</v>
      </c>
      <c r="AC116" s="23">
        <f>IFERROR(AB116/AB148, "NA")</f>
        <v>0</v>
      </c>
      <c r="AD116" s="29">
        <f t="shared" si="56"/>
        <v>0</v>
      </c>
      <c r="AE116" s="30">
        <f>IFERROR(AD116/AD148, "NA")</f>
        <v>0</v>
      </c>
      <c r="AF116" s="29" t="str">
        <f t="shared" si="57"/>
        <v>NA</v>
      </c>
      <c r="AG116" s="28">
        <f t="shared" si="58"/>
        <v>0</v>
      </c>
      <c r="AH116" s="23">
        <f>IFERROR(AG116/AG148, "NA")</f>
        <v>0</v>
      </c>
      <c r="AI116" s="29">
        <f t="shared" si="59"/>
        <v>0</v>
      </c>
      <c r="AJ116" s="30">
        <f>IFERROR(AI116/AI148, "NA")</f>
        <v>0</v>
      </c>
      <c r="AK116" s="29" t="str">
        <f t="shared" si="60"/>
        <v>NA</v>
      </c>
      <c r="AL116" s="30" t="str">
        <f>IFERROR(AK116/AK148, "NA")</f>
        <v>NA</v>
      </c>
    </row>
    <row r="117" ht="16.5" hidden="1" customHeight="1">
      <c r="A117" s="19" t="s">
        <v>227</v>
      </c>
      <c r="B117" s="21">
        <v>0.0</v>
      </c>
      <c r="C117" s="23">
        <f>IFERROR(B117/B148, "NA")</f>
        <v>0</v>
      </c>
      <c r="D117" s="21">
        <v>0.0</v>
      </c>
      <c r="E117" s="23">
        <f>IFERROR(D117/D148, "NA")</f>
        <v>0</v>
      </c>
      <c r="F117" s="21">
        <v>0.0</v>
      </c>
      <c r="G117" s="23">
        <f>IFERROR(F117/F148, "NA")</f>
        <v>0</v>
      </c>
      <c r="H117" s="21">
        <v>0.0</v>
      </c>
      <c r="I117" s="23">
        <f>IFERROR(H117/H148, "NA")</f>
        <v>0</v>
      </c>
      <c r="J117" s="21">
        <v>0.0</v>
      </c>
      <c r="K117" s="23">
        <f>IFERROR(J117/J148, "NA")</f>
        <v>0</v>
      </c>
      <c r="L117" s="21">
        <v>0.0</v>
      </c>
      <c r="M117" s="23">
        <f>IFERROR(L117/L148, "NA")</f>
        <v>0</v>
      </c>
      <c r="N117" s="21">
        <v>0.0</v>
      </c>
      <c r="O117" s="23">
        <f>IFERROR(N117/N148, "NA")</f>
        <v>0</v>
      </c>
      <c r="P117" s="21">
        <v>0.0</v>
      </c>
      <c r="Q117" s="23">
        <f>IFERROR(P117/P148, "NA")</f>
        <v>0</v>
      </c>
      <c r="R117" s="21">
        <v>0.0</v>
      </c>
      <c r="S117" s="23">
        <f>IFERROR(R117/R148, "NA")</f>
        <v>0</v>
      </c>
      <c r="T117" s="21">
        <v>0.0</v>
      </c>
      <c r="U117" s="23">
        <f>IFERROR(T117/T148, "NA")</f>
        <v>0</v>
      </c>
      <c r="V117" s="21">
        <v>0.0</v>
      </c>
      <c r="W117" s="23">
        <f>IFERROR(V117/V148, "NA")</f>
        <v>0</v>
      </c>
      <c r="X117" s="21">
        <v>0.0</v>
      </c>
      <c r="Y117" s="23">
        <f>IFERROR(X117/X148, "NA")</f>
        <v>0</v>
      </c>
      <c r="Z117" s="21">
        <v>0.0</v>
      </c>
      <c r="AA117" s="23">
        <f>IFERROR(Z117/Z148, "NA")</f>
        <v>0</v>
      </c>
      <c r="AB117" s="28">
        <f t="shared" si="55"/>
        <v>0</v>
      </c>
      <c r="AC117" s="23">
        <f>IFERROR(AB117/AB148, "NA")</f>
        <v>0</v>
      </c>
      <c r="AD117" s="29">
        <f t="shared" si="56"/>
        <v>0</v>
      </c>
      <c r="AE117" s="30">
        <f>IFERROR(AD117/AD148, "NA")</f>
        <v>0</v>
      </c>
      <c r="AF117" s="29" t="str">
        <f t="shared" si="57"/>
        <v>NA</v>
      </c>
      <c r="AG117" s="28">
        <f t="shared" si="58"/>
        <v>0</v>
      </c>
      <c r="AH117" s="23">
        <f>IFERROR(AG117/AG148, "NA")</f>
        <v>0</v>
      </c>
      <c r="AI117" s="29">
        <f t="shared" si="59"/>
        <v>0</v>
      </c>
      <c r="AJ117" s="30">
        <f>IFERROR(AI117/AI148, "NA")</f>
        <v>0</v>
      </c>
      <c r="AK117" s="29" t="str">
        <f t="shared" si="60"/>
        <v>NA</v>
      </c>
      <c r="AL117" s="30" t="str">
        <f>IFERROR(AK117/AK148, "NA")</f>
        <v>NA</v>
      </c>
    </row>
    <row r="118" ht="16.5" hidden="1" customHeight="1">
      <c r="A118" s="19" t="s">
        <v>228</v>
      </c>
      <c r="B118" s="21">
        <v>0.0</v>
      </c>
      <c r="C118" s="23">
        <f>IFERROR(B118/B148, "NA")</f>
        <v>0</v>
      </c>
      <c r="D118" s="21">
        <v>0.0</v>
      </c>
      <c r="E118" s="23">
        <f>IFERROR(D118/D148, "NA")</f>
        <v>0</v>
      </c>
      <c r="F118" s="21">
        <v>0.0</v>
      </c>
      <c r="G118" s="23">
        <f>IFERROR(F118/F148, "NA")</f>
        <v>0</v>
      </c>
      <c r="H118" s="21">
        <v>0.0</v>
      </c>
      <c r="I118" s="23">
        <f>IFERROR(H118/H148, "NA")</f>
        <v>0</v>
      </c>
      <c r="J118" s="21">
        <v>0.0</v>
      </c>
      <c r="K118" s="23">
        <f>IFERROR(J118/J148, "NA")</f>
        <v>0</v>
      </c>
      <c r="L118" s="21">
        <v>0.0</v>
      </c>
      <c r="M118" s="23">
        <f>IFERROR(L118/L148, "NA")</f>
        <v>0</v>
      </c>
      <c r="N118" s="21">
        <v>0.0</v>
      </c>
      <c r="O118" s="23">
        <f>IFERROR(N118/N148, "NA")</f>
        <v>0</v>
      </c>
      <c r="P118" s="21">
        <v>0.0</v>
      </c>
      <c r="Q118" s="23">
        <f>IFERROR(P118/P148, "NA")</f>
        <v>0</v>
      </c>
      <c r="R118" s="21">
        <v>0.0</v>
      </c>
      <c r="S118" s="23">
        <f>IFERROR(R118/R148, "NA")</f>
        <v>0</v>
      </c>
      <c r="T118" s="21">
        <v>0.0</v>
      </c>
      <c r="U118" s="23">
        <f>IFERROR(T118/T148, "NA")</f>
        <v>0</v>
      </c>
      <c r="V118" s="21">
        <v>0.0</v>
      </c>
      <c r="W118" s="23">
        <f>IFERROR(V118/V148, "NA")</f>
        <v>0</v>
      </c>
      <c r="X118" s="21">
        <v>0.0</v>
      </c>
      <c r="Y118" s="23">
        <f>IFERROR(X118/X148, "NA")</f>
        <v>0</v>
      </c>
      <c r="Z118" s="21">
        <v>0.0</v>
      </c>
      <c r="AA118" s="23">
        <f>IFERROR(Z118/Z148, "NA")</f>
        <v>0</v>
      </c>
      <c r="AB118" s="28">
        <f t="shared" si="55"/>
        <v>0</v>
      </c>
      <c r="AC118" s="23">
        <f>IFERROR(AB118/AB148, "NA")</f>
        <v>0</v>
      </c>
      <c r="AD118" s="29">
        <f t="shared" si="56"/>
        <v>0</v>
      </c>
      <c r="AE118" s="30">
        <f>IFERROR(AD118/AD148, "NA")</f>
        <v>0</v>
      </c>
      <c r="AF118" s="29" t="str">
        <f t="shared" si="57"/>
        <v>NA</v>
      </c>
      <c r="AG118" s="28">
        <f t="shared" si="58"/>
        <v>0</v>
      </c>
      <c r="AH118" s="23">
        <f>IFERROR(AG118/AG148, "NA")</f>
        <v>0</v>
      </c>
      <c r="AI118" s="29">
        <f t="shared" si="59"/>
        <v>0</v>
      </c>
      <c r="AJ118" s="30">
        <f>IFERROR(AI118/AI148, "NA")</f>
        <v>0</v>
      </c>
      <c r="AK118" s="29" t="str">
        <f t="shared" si="60"/>
        <v>NA</v>
      </c>
      <c r="AL118" s="30" t="str">
        <f>IFERROR(AK118/AK148, "NA")</f>
        <v>NA</v>
      </c>
    </row>
    <row r="119" ht="16.5" hidden="1" customHeight="1">
      <c r="A119" s="19" t="s">
        <v>229</v>
      </c>
      <c r="B119" s="21">
        <v>0.0</v>
      </c>
      <c r="C119" s="23">
        <f>IFERROR(B119/B148, "NA")</f>
        <v>0</v>
      </c>
      <c r="D119" s="21">
        <v>0.0</v>
      </c>
      <c r="E119" s="23">
        <f>IFERROR(D119/D148, "NA")</f>
        <v>0</v>
      </c>
      <c r="F119" s="21">
        <v>0.0</v>
      </c>
      <c r="G119" s="23">
        <f>IFERROR(F119/F148, "NA")</f>
        <v>0</v>
      </c>
      <c r="H119" s="21">
        <v>0.0</v>
      </c>
      <c r="I119" s="23">
        <f>IFERROR(H119/H148, "NA")</f>
        <v>0</v>
      </c>
      <c r="J119" s="21">
        <v>0.0</v>
      </c>
      <c r="K119" s="23">
        <f>IFERROR(J119/J148, "NA")</f>
        <v>0</v>
      </c>
      <c r="L119" s="21">
        <v>0.0</v>
      </c>
      <c r="M119" s="23">
        <f>IFERROR(L119/L148, "NA")</f>
        <v>0</v>
      </c>
      <c r="N119" s="21">
        <v>0.0</v>
      </c>
      <c r="O119" s="23">
        <f>IFERROR(N119/N148, "NA")</f>
        <v>0</v>
      </c>
      <c r="P119" s="21">
        <v>0.0</v>
      </c>
      <c r="Q119" s="23">
        <f>IFERROR(P119/P148, "NA")</f>
        <v>0</v>
      </c>
      <c r="R119" s="21">
        <v>0.0</v>
      </c>
      <c r="S119" s="23">
        <f>IFERROR(R119/R148, "NA")</f>
        <v>0</v>
      </c>
      <c r="T119" s="21">
        <v>0.0</v>
      </c>
      <c r="U119" s="23">
        <f>IFERROR(T119/T148, "NA")</f>
        <v>0</v>
      </c>
      <c r="V119" s="21">
        <v>0.0</v>
      </c>
      <c r="W119" s="23">
        <f>IFERROR(V119/V148, "NA")</f>
        <v>0</v>
      </c>
      <c r="X119" s="21">
        <v>0.0</v>
      </c>
      <c r="Y119" s="23">
        <f>IFERROR(X119/X148, "NA")</f>
        <v>0</v>
      </c>
      <c r="Z119" s="21">
        <v>0.0</v>
      </c>
      <c r="AA119" s="23">
        <f>IFERROR(Z119/Z148, "NA")</f>
        <v>0</v>
      </c>
      <c r="AB119" s="28">
        <f t="shared" si="55"/>
        <v>0</v>
      </c>
      <c r="AC119" s="23">
        <f>IFERROR(AB119/AB148, "NA")</f>
        <v>0</v>
      </c>
      <c r="AD119" s="29">
        <f t="shared" si="56"/>
        <v>0</v>
      </c>
      <c r="AE119" s="30">
        <f>IFERROR(AD119/AD148, "NA")</f>
        <v>0</v>
      </c>
      <c r="AF119" s="29" t="str">
        <f t="shared" si="57"/>
        <v>NA</v>
      </c>
      <c r="AG119" s="28">
        <f t="shared" si="58"/>
        <v>0</v>
      </c>
      <c r="AH119" s="23">
        <f>IFERROR(AG119/AG148, "NA")</f>
        <v>0</v>
      </c>
      <c r="AI119" s="29">
        <f t="shared" si="59"/>
        <v>0</v>
      </c>
      <c r="AJ119" s="30">
        <f>IFERROR(AI119/AI148, "NA")</f>
        <v>0</v>
      </c>
      <c r="AK119" s="29" t="str">
        <f t="shared" si="60"/>
        <v>NA</v>
      </c>
      <c r="AL119" s="30" t="str">
        <f>IFERROR(AK119/AK148, "NA")</f>
        <v>NA</v>
      </c>
    </row>
    <row r="120" ht="16.5" hidden="1" customHeight="1">
      <c r="A120" s="19" t="s">
        <v>230</v>
      </c>
      <c r="B120" s="21">
        <v>0.0</v>
      </c>
      <c r="C120" s="23">
        <f>IFERROR(B120/B148, "NA")</f>
        <v>0</v>
      </c>
      <c r="D120" s="21">
        <v>0.0</v>
      </c>
      <c r="E120" s="23">
        <f>IFERROR(D120/D148, "NA")</f>
        <v>0</v>
      </c>
      <c r="F120" s="21">
        <v>0.0</v>
      </c>
      <c r="G120" s="23">
        <f>IFERROR(F120/F148, "NA")</f>
        <v>0</v>
      </c>
      <c r="H120" s="21">
        <v>0.0</v>
      </c>
      <c r="I120" s="23">
        <f>IFERROR(H120/H148, "NA")</f>
        <v>0</v>
      </c>
      <c r="J120" s="21">
        <v>0.0</v>
      </c>
      <c r="K120" s="23">
        <f>IFERROR(J120/J148, "NA")</f>
        <v>0</v>
      </c>
      <c r="L120" s="21">
        <v>0.0</v>
      </c>
      <c r="M120" s="23">
        <f>IFERROR(L120/L148, "NA")</f>
        <v>0</v>
      </c>
      <c r="N120" s="21">
        <v>0.0</v>
      </c>
      <c r="O120" s="23">
        <f>IFERROR(N120/N148, "NA")</f>
        <v>0</v>
      </c>
      <c r="P120" s="21">
        <v>0.0</v>
      </c>
      <c r="Q120" s="23">
        <f>IFERROR(P120/P148, "NA")</f>
        <v>0</v>
      </c>
      <c r="R120" s="21">
        <v>0.0</v>
      </c>
      <c r="S120" s="23">
        <f>IFERROR(R120/R148, "NA")</f>
        <v>0</v>
      </c>
      <c r="T120" s="21">
        <v>0.0</v>
      </c>
      <c r="U120" s="23">
        <f>IFERROR(T120/T148, "NA")</f>
        <v>0</v>
      </c>
      <c r="V120" s="21">
        <v>0.0</v>
      </c>
      <c r="W120" s="23">
        <f>IFERROR(V120/V148, "NA")</f>
        <v>0</v>
      </c>
      <c r="X120" s="21">
        <v>0.0</v>
      </c>
      <c r="Y120" s="23">
        <f>IFERROR(X120/X148, "NA")</f>
        <v>0</v>
      </c>
      <c r="Z120" s="21">
        <v>0.0</v>
      </c>
      <c r="AA120" s="23">
        <f>IFERROR(Z120/Z148, "NA")</f>
        <v>0</v>
      </c>
      <c r="AB120" s="28">
        <f t="shared" si="55"/>
        <v>0</v>
      </c>
      <c r="AC120" s="23">
        <f>IFERROR(AB120/AB148, "NA")</f>
        <v>0</v>
      </c>
      <c r="AD120" s="29">
        <f t="shared" si="56"/>
        <v>0</v>
      </c>
      <c r="AE120" s="30">
        <f>IFERROR(AD120/AD148, "NA")</f>
        <v>0</v>
      </c>
      <c r="AF120" s="29" t="str">
        <f t="shared" si="57"/>
        <v>NA</v>
      </c>
      <c r="AG120" s="28">
        <f t="shared" si="58"/>
        <v>0</v>
      </c>
      <c r="AH120" s="23">
        <f>IFERROR(AG120/AG148, "NA")</f>
        <v>0</v>
      </c>
      <c r="AI120" s="29">
        <f t="shared" si="59"/>
        <v>0</v>
      </c>
      <c r="AJ120" s="30">
        <f>IFERROR(AI120/AI148, "NA")</f>
        <v>0</v>
      </c>
      <c r="AK120" s="29" t="str">
        <f t="shared" si="60"/>
        <v>NA</v>
      </c>
      <c r="AL120" s="30" t="str">
        <f>IFERROR(AK120/AK148, "NA")</f>
        <v>NA</v>
      </c>
    </row>
    <row r="121" ht="16.5" hidden="1" customHeight="1">
      <c r="A121" s="19" t="s">
        <v>231</v>
      </c>
      <c r="B121" s="21">
        <v>0.0</v>
      </c>
      <c r="C121" s="23">
        <f>IFERROR(B121/B148, "NA")</f>
        <v>0</v>
      </c>
      <c r="D121" s="21">
        <v>0.0</v>
      </c>
      <c r="E121" s="23">
        <f>IFERROR(D121/D148, "NA")</f>
        <v>0</v>
      </c>
      <c r="F121" s="21">
        <v>0.0</v>
      </c>
      <c r="G121" s="23">
        <f>IFERROR(F121/F148, "NA")</f>
        <v>0</v>
      </c>
      <c r="H121" s="21">
        <v>0.0</v>
      </c>
      <c r="I121" s="23">
        <f>IFERROR(H121/H148, "NA")</f>
        <v>0</v>
      </c>
      <c r="J121" s="21">
        <v>0.0</v>
      </c>
      <c r="K121" s="23">
        <f>IFERROR(J121/J148, "NA")</f>
        <v>0</v>
      </c>
      <c r="L121" s="21">
        <v>0.0</v>
      </c>
      <c r="M121" s="23">
        <f>IFERROR(L121/L148, "NA")</f>
        <v>0</v>
      </c>
      <c r="N121" s="21">
        <v>0.0</v>
      </c>
      <c r="O121" s="23">
        <f>IFERROR(N121/N148, "NA")</f>
        <v>0</v>
      </c>
      <c r="P121" s="21">
        <v>0.0</v>
      </c>
      <c r="Q121" s="23">
        <f>IFERROR(P121/P148, "NA")</f>
        <v>0</v>
      </c>
      <c r="R121" s="21">
        <v>0.0</v>
      </c>
      <c r="S121" s="23">
        <f>IFERROR(R121/R148, "NA")</f>
        <v>0</v>
      </c>
      <c r="T121" s="21">
        <v>0.0</v>
      </c>
      <c r="U121" s="23">
        <f>IFERROR(T121/T148, "NA")</f>
        <v>0</v>
      </c>
      <c r="V121" s="21">
        <v>0.0</v>
      </c>
      <c r="W121" s="23">
        <f>IFERROR(V121/V148, "NA")</f>
        <v>0</v>
      </c>
      <c r="X121" s="21">
        <v>0.0</v>
      </c>
      <c r="Y121" s="23">
        <f>IFERROR(X121/X148, "NA")</f>
        <v>0</v>
      </c>
      <c r="Z121" s="21">
        <v>0.0</v>
      </c>
      <c r="AA121" s="23">
        <f>IFERROR(Z121/Z148, "NA")</f>
        <v>0</v>
      </c>
      <c r="AB121" s="28">
        <f t="shared" si="55"/>
        <v>0</v>
      </c>
      <c r="AC121" s="23">
        <f>IFERROR(AB121/AB148, "NA")</f>
        <v>0</v>
      </c>
      <c r="AD121" s="29">
        <f t="shared" si="56"/>
        <v>0</v>
      </c>
      <c r="AE121" s="30">
        <f>IFERROR(AD121/AD148, "NA")</f>
        <v>0</v>
      </c>
      <c r="AF121" s="29" t="str">
        <f t="shared" si="57"/>
        <v>NA</v>
      </c>
      <c r="AG121" s="28">
        <f t="shared" si="58"/>
        <v>0</v>
      </c>
      <c r="AH121" s="23">
        <f>IFERROR(AG121/AG148, "NA")</f>
        <v>0</v>
      </c>
      <c r="AI121" s="29">
        <f t="shared" si="59"/>
        <v>0</v>
      </c>
      <c r="AJ121" s="30">
        <f>IFERROR(AI121/AI148, "NA")</f>
        <v>0</v>
      </c>
      <c r="AK121" s="29" t="str">
        <f t="shared" si="60"/>
        <v>NA</v>
      </c>
      <c r="AL121" s="30" t="str">
        <f>IFERROR(AK121/AK148, "NA")</f>
        <v>NA</v>
      </c>
    </row>
    <row r="122" ht="16.5" hidden="1" customHeight="1">
      <c r="A122" s="19" t="s">
        <v>232</v>
      </c>
      <c r="B122" s="21">
        <v>0.0</v>
      </c>
      <c r="C122" s="23">
        <f>IFERROR(B122/B148, "NA")</f>
        <v>0</v>
      </c>
      <c r="D122" s="21">
        <v>0.0</v>
      </c>
      <c r="E122" s="23">
        <f>IFERROR(D122/D148, "NA")</f>
        <v>0</v>
      </c>
      <c r="F122" s="21">
        <v>0.0</v>
      </c>
      <c r="G122" s="23">
        <f>IFERROR(F122/F148, "NA")</f>
        <v>0</v>
      </c>
      <c r="H122" s="21">
        <v>0.0</v>
      </c>
      <c r="I122" s="23">
        <f>IFERROR(H122/H148, "NA")</f>
        <v>0</v>
      </c>
      <c r="J122" s="21">
        <v>0.0</v>
      </c>
      <c r="K122" s="23">
        <f>IFERROR(J122/J148, "NA")</f>
        <v>0</v>
      </c>
      <c r="L122" s="21">
        <v>0.0</v>
      </c>
      <c r="M122" s="23">
        <f>IFERROR(L122/L148, "NA")</f>
        <v>0</v>
      </c>
      <c r="N122" s="21">
        <v>0.0</v>
      </c>
      <c r="O122" s="23">
        <f>IFERROR(N122/N148, "NA")</f>
        <v>0</v>
      </c>
      <c r="P122" s="21">
        <v>0.0</v>
      </c>
      <c r="Q122" s="23">
        <f>IFERROR(P122/P148, "NA")</f>
        <v>0</v>
      </c>
      <c r="R122" s="21">
        <v>0.0</v>
      </c>
      <c r="S122" s="23">
        <f>IFERROR(R122/R148, "NA")</f>
        <v>0</v>
      </c>
      <c r="T122" s="21">
        <v>0.0</v>
      </c>
      <c r="U122" s="23">
        <f>IFERROR(T122/T148, "NA")</f>
        <v>0</v>
      </c>
      <c r="V122" s="21">
        <v>0.0</v>
      </c>
      <c r="W122" s="23">
        <f>IFERROR(V122/V148, "NA")</f>
        <v>0</v>
      </c>
      <c r="X122" s="21">
        <v>0.0</v>
      </c>
      <c r="Y122" s="23">
        <f>IFERROR(X122/X148, "NA")</f>
        <v>0</v>
      </c>
      <c r="Z122" s="21">
        <v>0.0</v>
      </c>
      <c r="AA122" s="23">
        <f>IFERROR(Z122/Z148, "NA")</f>
        <v>0</v>
      </c>
      <c r="AB122" s="28">
        <f t="shared" si="55"/>
        <v>0</v>
      </c>
      <c r="AC122" s="23">
        <f>IFERROR(AB122/AB148, "NA")</f>
        <v>0</v>
      </c>
      <c r="AD122" s="29">
        <f t="shared" si="56"/>
        <v>0</v>
      </c>
      <c r="AE122" s="30">
        <f>IFERROR(AD122/AD148, "NA")</f>
        <v>0</v>
      </c>
      <c r="AF122" s="29" t="str">
        <f t="shared" si="57"/>
        <v>NA</v>
      </c>
      <c r="AG122" s="28">
        <f t="shared" si="58"/>
        <v>0</v>
      </c>
      <c r="AH122" s="23">
        <f>IFERROR(AG122/AG148, "NA")</f>
        <v>0</v>
      </c>
      <c r="AI122" s="29">
        <f t="shared" si="59"/>
        <v>0</v>
      </c>
      <c r="AJ122" s="30">
        <f>IFERROR(AI122/AI148, "NA")</f>
        <v>0</v>
      </c>
      <c r="AK122" s="29" t="str">
        <f t="shared" si="60"/>
        <v>NA</v>
      </c>
      <c r="AL122" s="30" t="str">
        <f>IFERROR(AK122/AK148, "NA")</f>
        <v>NA</v>
      </c>
    </row>
    <row r="123" ht="16.5" hidden="1" customHeight="1">
      <c r="A123" s="19" t="s">
        <v>233</v>
      </c>
      <c r="B123" s="21">
        <v>0.0</v>
      </c>
      <c r="C123" s="23">
        <f>IFERROR(B123/B148, "NA")</f>
        <v>0</v>
      </c>
      <c r="D123" s="21">
        <v>0.0</v>
      </c>
      <c r="E123" s="23">
        <f>IFERROR(D123/D148, "NA")</f>
        <v>0</v>
      </c>
      <c r="F123" s="21">
        <v>0.0</v>
      </c>
      <c r="G123" s="23">
        <f>IFERROR(F123/F148, "NA")</f>
        <v>0</v>
      </c>
      <c r="H123" s="21">
        <v>0.0</v>
      </c>
      <c r="I123" s="23">
        <f>IFERROR(H123/H148, "NA")</f>
        <v>0</v>
      </c>
      <c r="J123" s="21">
        <v>0.0</v>
      </c>
      <c r="K123" s="23">
        <f>IFERROR(J123/J148, "NA")</f>
        <v>0</v>
      </c>
      <c r="L123" s="21">
        <v>0.0</v>
      </c>
      <c r="M123" s="23">
        <f>IFERROR(L123/L148, "NA")</f>
        <v>0</v>
      </c>
      <c r="N123" s="21">
        <v>0.0</v>
      </c>
      <c r="O123" s="23">
        <f>IFERROR(N123/N148, "NA")</f>
        <v>0</v>
      </c>
      <c r="P123" s="21">
        <v>0.0</v>
      </c>
      <c r="Q123" s="23">
        <f>IFERROR(P123/P148, "NA")</f>
        <v>0</v>
      </c>
      <c r="R123" s="21">
        <v>0.0</v>
      </c>
      <c r="S123" s="23">
        <f>IFERROR(R123/R148, "NA")</f>
        <v>0</v>
      </c>
      <c r="T123" s="21">
        <v>0.0</v>
      </c>
      <c r="U123" s="23">
        <f>IFERROR(T123/T148, "NA")</f>
        <v>0</v>
      </c>
      <c r="V123" s="21">
        <v>0.0</v>
      </c>
      <c r="W123" s="23">
        <f>IFERROR(V123/V148, "NA")</f>
        <v>0</v>
      </c>
      <c r="X123" s="21">
        <v>0.0</v>
      </c>
      <c r="Y123" s="23">
        <f>IFERROR(X123/X148, "NA")</f>
        <v>0</v>
      </c>
      <c r="Z123" s="21">
        <v>0.0</v>
      </c>
      <c r="AA123" s="23">
        <f>IFERROR(Z123/Z148, "NA")</f>
        <v>0</v>
      </c>
      <c r="AB123" s="28">
        <f t="shared" si="55"/>
        <v>0</v>
      </c>
      <c r="AC123" s="23">
        <f>IFERROR(AB123/AB148, "NA")</f>
        <v>0</v>
      </c>
      <c r="AD123" s="29">
        <f t="shared" si="56"/>
        <v>0</v>
      </c>
      <c r="AE123" s="30">
        <f>IFERROR(AD123/AD148, "NA")</f>
        <v>0</v>
      </c>
      <c r="AF123" s="29" t="str">
        <f t="shared" si="57"/>
        <v>NA</v>
      </c>
      <c r="AG123" s="28">
        <f t="shared" si="58"/>
        <v>0</v>
      </c>
      <c r="AH123" s="23">
        <f>IFERROR(AG123/AG148, "NA")</f>
        <v>0</v>
      </c>
      <c r="AI123" s="29">
        <f t="shared" si="59"/>
        <v>0</v>
      </c>
      <c r="AJ123" s="30">
        <f>IFERROR(AI123/AI148, "NA")</f>
        <v>0</v>
      </c>
      <c r="AK123" s="29" t="str">
        <f t="shared" si="60"/>
        <v>NA</v>
      </c>
      <c r="AL123" s="30" t="str">
        <f>IFERROR(AK123/AK148, "NA")</f>
        <v>NA</v>
      </c>
    </row>
    <row r="124" ht="16.5" hidden="1" customHeight="1">
      <c r="A124" s="19" t="s">
        <v>234</v>
      </c>
      <c r="B124" s="21">
        <v>0.0</v>
      </c>
      <c r="C124" s="23">
        <f>IFERROR(B124/B148, "NA")</f>
        <v>0</v>
      </c>
      <c r="D124" s="21">
        <v>0.0</v>
      </c>
      <c r="E124" s="23">
        <f>IFERROR(D124/D148, "NA")</f>
        <v>0</v>
      </c>
      <c r="F124" s="21">
        <v>0.0</v>
      </c>
      <c r="G124" s="23">
        <f>IFERROR(F124/F148, "NA")</f>
        <v>0</v>
      </c>
      <c r="H124" s="21">
        <v>0.0</v>
      </c>
      <c r="I124" s="23">
        <f>IFERROR(H124/H148, "NA")</f>
        <v>0</v>
      </c>
      <c r="J124" s="21">
        <v>0.0</v>
      </c>
      <c r="K124" s="23">
        <f>IFERROR(J124/J148, "NA")</f>
        <v>0</v>
      </c>
      <c r="L124" s="21">
        <v>0.0</v>
      </c>
      <c r="M124" s="23">
        <f>IFERROR(L124/L148, "NA")</f>
        <v>0</v>
      </c>
      <c r="N124" s="21">
        <v>0.0</v>
      </c>
      <c r="O124" s="23">
        <f>IFERROR(N124/N148, "NA")</f>
        <v>0</v>
      </c>
      <c r="P124" s="21">
        <v>0.0</v>
      </c>
      <c r="Q124" s="23">
        <f>IFERROR(P124/P148, "NA")</f>
        <v>0</v>
      </c>
      <c r="R124" s="21">
        <v>0.0</v>
      </c>
      <c r="S124" s="23">
        <f>IFERROR(R124/R148, "NA")</f>
        <v>0</v>
      </c>
      <c r="T124" s="21">
        <v>0.0</v>
      </c>
      <c r="U124" s="23">
        <f>IFERROR(T124/T148, "NA")</f>
        <v>0</v>
      </c>
      <c r="V124" s="21">
        <v>0.0</v>
      </c>
      <c r="W124" s="23">
        <f>IFERROR(V124/V148, "NA")</f>
        <v>0</v>
      </c>
      <c r="X124" s="21">
        <v>0.0</v>
      </c>
      <c r="Y124" s="23">
        <f>IFERROR(X124/X148, "NA")</f>
        <v>0</v>
      </c>
      <c r="Z124" s="21">
        <v>0.0</v>
      </c>
      <c r="AA124" s="23">
        <f>IFERROR(Z124/Z148, "NA")</f>
        <v>0</v>
      </c>
      <c r="AB124" s="28">
        <f t="shared" si="55"/>
        <v>0</v>
      </c>
      <c r="AC124" s="23">
        <f>IFERROR(AB124/AB148, "NA")</f>
        <v>0</v>
      </c>
      <c r="AD124" s="29">
        <f t="shared" si="56"/>
        <v>0</v>
      </c>
      <c r="AE124" s="30">
        <f>IFERROR(AD124/AD148, "NA")</f>
        <v>0</v>
      </c>
      <c r="AF124" s="29" t="str">
        <f t="shared" si="57"/>
        <v>NA</v>
      </c>
      <c r="AG124" s="28">
        <f t="shared" si="58"/>
        <v>0</v>
      </c>
      <c r="AH124" s="23">
        <f>IFERROR(AG124/AG148, "NA")</f>
        <v>0</v>
      </c>
      <c r="AI124" s="29">
        <f t="shared" si="59"/>
        <v>0</v>
      </c>
      <c r="AJ124" s="30">
        <f>IFERROR(AI124/AI148, "NA")</f>
        <v>0</v>
      </c>
      <c r="AK124" s="29" t="str">
        <f t="shared" si="60"/>
        <v>NA</v>
      </c>
      <c r="AL124" s="30" t="str">
        <f>IFERROR(AK124/AK148, "NA")</f>
        <v>NA</v>
      </c>
    </row>
    <row r="125" ht="16.5" hidden="1" customHeight="1">
      <c r="A125" s="19" t="s">
        <v>235</v>
      </c>
      <c r="B125" s="21">
        <v>0.0</v>
      </c>
      <c r="C125" s="23">
        <f>IFERROR(B125/B148, "NA")</f>
        <v>0</v>
      </c>
      <c r="D125" s="21">
        <v>0.0</v>
      </c>
      <c r="E125" s="23">
        <f>IFERROR(D125/D148, "NA")</f>
        <v>0</v>
      </c>
      <c r="F125" s="21">
        <v>0.0</v>
      </c>
      <c r="G125" s="23">
        <f>IFERROR(F125/F148, "NA")</f>
        <v>0</v>
      </c>
      <c r="H125" s="21">
        <v>0.0</v>
      </c>
      <c r="I125" s="23">
        <f>IFERROR(H125/H148, "NA")</f>
        <v>0</v>
      </c>
      <c r="J125" s="21">
        <v>0.0</v>
      </c>
      <c r="K125" s="23">
        <f>IFERROR(J125/J148, "NA")</f>
        <v>0</v>
      </c>
      <c r="L125" s="21">
        <v>0.0</v>
      </c>
      <c r="M125" s="23">
        <f>IFERROR(L125/L148, "NA")</f>
        <v>0</v>
      </c>
      <c r="N125" s="21">
        <v>0.0</v>
      </c>
      <c r="O125" s="23">
        <f>IFERROR(N125/N148, "NA")</f>
        <v>0</v>
      </c>
      <c r="P125" s="21">
        <v>0.0</v>
      </c>
      <c r="Q125" s="23">
        <f>IFERROR(P125/P148, "NA")</f>
        <v>0</v>
      </c>
      <c r="R125" s="21">
        <v>0.0</v>
      </c>
      <c r="S125" s="23">
        <f>IFERROR(R125/R148, "NA")</f>
        <v>0</v>
      </c>
      <c r="T125" s="21">
        <v>0.0</v>
      </c>
      <c r="U125" s="23">
        <f>IFERROR(T125/T148, "NA")</f>
        <v>0</v>
      </c>
      <c r="V125" s="21">
        <v>0.0</v>
      </c>
      <c r="W125" s="23">
        <f>IFERROR(V125/V148, "NA")</f>
        <v>0</v>
      </c>
      <c r="X125" s="21">
        <v>0.0</v>
      </c>
      <c r="Y125" s="23">
        <f>IFERROR(X125/X148, "NA")</f>
        <v>0</v>
      </c>
      <c r="Z125" s="21">
        <v>0.0</v>
      </c>
      <c r="AA125" s="23">
        <f>IFERROR(Z125/Z148, "NA")</f>
        <v>0</v>
      </c>
      <c r="AB125" s="28">
        <f t="shared" si="55"/>
        <v>0</v>
      </c>
      <c r="AC125" s="23">
        <f>IFERROR(AB125/AB148, "NA")</f>
        <v>0</v>
      </c>
      <c r="AD125" s="29">
        <f t="shared" si="56"/>
        <v>0</v>
      </c>
      <c r="AE125" s="30">
        <f>IFERROR(AD125/AD148, "NA")</f>
        <v>0</v>
      </c>
      <c r="AF125" s="29" t="str">
        <f t="shared" si="57"/>
        <v>NA</v>
      </c>
      <c r="AG125" s="28">
        <f t="shared" si="58"/>
        <v>0</v>
      </c>
      <c r="AH125" s="23">
        <f>IFERROR(AG125/AG148, "NA")</f>
        <v>0</v>
      </c>
      <c r="AI125" s="29">
        <f t="shared" si="59"/>
        <v>0</v>
      </c>
      <c r="AJ125" s="30">
        <f>IFERROR(AI125/AI148, "NA")</f>
        <v>0</v>
      </c>
      <c r="AK125" s="29" t="str">
        <f t="shared" si="60"/>
        <v>NA</v>
      </c>
      <c r="AL125" s="30" t="str">
        <f>IFERROR(AK125/AK148, "NA")</f>
        <v>NA</v>
      </c>
    </row>
    <row r="126" ht="16.5" hidden="1" customHeight="1">
      <c r="A126" s="19" t="s">
        <v>236</v>
      </c>
      <c r="B126" s="21">
        <v>0.0</v>
      </c>
      <c r="C126" s="23">
        <f>IFERROR(B126/B148, "NA")</f>
        <v>0</v>
      </c>
      <c r="D126" s="21">
        <v>0.0</v>
      </c>
      <c r="E126" s="23">
        <f>IFERROR(D126/D148, "NA")</f>
        <v>0</v>
      </c>
      <c r="F126" s="21">
        <v>0.0</v>
      </c>
      <c r="G126" s="23">
        <f>IFERROR(F126/F148, "NA")</f>
        <v>0</v>
      </c>
      <c r="H126" s="21">
        <v>0.0</v>
      </c>
      <c r="I126" s="23">
        <f>IFERROR(H126/H148, "NA")</f>
        <v>0</v>
      </c>
      <c r="J126" s="21">
        <v>0.0</v>
      </c>
      <c r="K126" s="23">
        <f>IFERROR(J126/J148, "NA")</f>
        <v>0</v>
      </c>
      <c r="L126" s="21">
        <v>0.0</v>
      </c>
      <c r="M126" s="23">
        <f>IFERROR(L126/L148, "NA")</f>
        <v>0</v>
      </c>
      <c r="N126" s="21">
        <v>0.0</v>
      </c>
      <c r="O126" s="23">
        <f>IFERROR(N126/N148, "NA")</f>
        <v>0</v>
      </c>
      <c r="P126" s="21">
        <v>0.0</v>
      </c>
      <c r="Q126" s="23">
        <f>IFERROR(P126/P148, "NA")</f>
        <v>0</v>
      </c>
      <c r="R126" s="21">
        <v>0.0</v>
      </c>
      <c r="S126" s="23">
        <f>IFERROR(R126/R148, "NA")</f>
        <v>0</v>
      </c>
      <c r="T126" s="21">
        <v>0.0</v>
      </c>
      <c r="U126" s="23">
        <f>IFERROR(T126/T148, "NA")</f>
        <v>0</v>
      </c>
      <c r="V126" s="21">
        <v>0.0</v>
      </c>
      <c r="W126" s="23">
        <f>IFERROR(V126/V148, "NA")</f>
        <v>0</v>
      </c>
      <c r="X126" s="21">
        <v>0.0</v>
      </c>
      <c r="Y126" s="23">
        <f>IFERROR(X126/X148, "NA")</f>
        <v>0</v>
      </c>
      <c r="Z126" s="21">
        <v>0.0</v>
      </c>
      <c r="AA126" s="23">
        <f>IFERROR(Z126/Z148, "NA")</f>
        <v>0</v>
      </c>
      <c r="AB126" s="28">
        <f t="shared" si="55"/>
        <v>0</v>
      </c>
      <c r="AC126" s="23">
        <f>IFERROR(AB126/AB148, "NA")</f>
        <v>0</v>
      </c>
      <c r="AD126" s="29">
        <f t="shared" si="56"/>
        <v>0</v>
      </c>
      <c r="AE126" s="30">
        <f>IFERROR(AD126/AD148, "NA")</f>
        <v>0</v>
      </c>
      <c r="AF126" s="29" t="str">
        <f t="shared" si="57"/>
        <v>NA</v>
      </c>
      <c r="AG126" s="28">
        <f t="shared" si="58"/>
        <v>0</v>
      </c>
      <c r="AH126" s="23">
        <f>IFERROR(AG126/AG148, "NA")</f>
        <v>0</v>
      </c>
      <c r="AI126" s="29">
        <f t="shared" si="59"/>
        <v>0</v>
      </c>
      <c r="AJ126" s="30">
        <f>IFERROR(AI126/AI148, "NA")</f>
        <v>0</v>
      </c>
      <c r="AK126" s="29" t="str">
        <f t="shared" si="60"/>
        <v>NA</v>
      </c>
      <c r="AL126" s="30" t="str">
        <f>IFERROR(AK126/AK148, "NA")</f>
        <v>NA</v>
      </c>
    </row>
    <row r="127" ht="16.5" hidden="1" customHeight="1">
      <c r="A127" s="19" t="s">
        <v>237</v>
      </c>
      <c r="B127" s="21">
        <v>0.0</v>
      </c>
      <c r="C127" s="23">
        <f>IFERROR(B127/B148, "NA")</f>
        <v>0</v>
      </c>
      <c r="D127" s="21">
        <v>0.0</v>
      </c>
      <c r="E127" s="23">
        <f>IFERROR(D127/D148, "NA")</f>
        <v>0</v>
      </c>
      <c r="F127" s="21">
        <v>0.0</v>
      </c>
      <c r="G127" s="23">
        <f>IFERROR(F127/F148, "NA")</f>
        <v>0</v>
      </c>
      <c r="H127" s="21">
        <v>0.0</v>
      </c>
      <c r="I127" s="23">
        <f>IFERROR(H127/H148, "NA")</f>
        <v>0</v>
      </c>
      <c r="J127" s="21">
        <v>0.0</v>
      </c>
      <c r="K127" s="23">
        <f>IFERROR(J127/J148, "NA")</f>
        <v>0</v>
      </c>
      <c r="L127" s="21">
        <v>0.0</v>
      </c>
      <c r="M127" s="23">
        <f>IFERROR(L127/L148, "NA")</f>
        <v>0</v>
      </c>
      <c r="N127" s="21">
        <v>0.0</v>
      </c>
      <c r="O127" s="23">
        <f>IFERROR(N127/N148, "NA")</f>
        <v>0</v>
      </c>
      <c r="P127" s="21">
        <v>0.0</v>
      </c>
      <c r="Q127" s="23">
        <f>IFERROR(P127/P148, "NA")</f>
        <v>0</v>
      </c>
      <c r="R127" s="21">
        <v>0.0</v>
      </c>
      <c r="S127" s="23">
        <f>IFERROR(R127/R148, "NA")</f>
        <v>0</v>
      </c>
      <c r="T127" s="21">
        <v>0.0</v>
      </c>
      <c r="U127" s="23">
        <f>IFERROR(T127/T148, "NA")</f>
        <v>0</v>
      </c>
      <c r="V127" s="21">
        <v>0.0</v>
      </c>
      <c r="W127" s="23">
        <f>IFERROR(V127/V148, "NA")</f>
        <v>0</v>
      </c>
      <c r="X127" s="21">
        <v>0.0</v>
      </c>
      <c r="Y127" s="23">
        <f>IFERROR(X127/X148, "NA")</f>
        <v>0</v>
      </c>
      <c r="Z127" s="21">
        <v>0.0</v>
      </c>
      <c r="AA127" s="23">
        <f>IFERROR(Z127/Z148, "NA")</f>
        <v>0</v>
      </c>
      <c r="AB127" s="28">
        <f t="shared" si="55"/>
        <v>0</v>
      </c>
      <c r="AC127" s="23">
        <f>IFERROR(AB127/AB148, "NA")</f>
        <v>0</v>
      </c>
      <c r="AD127" s="29">
        <f t="shared" si="56"/>
        <v>0</v>
      </c>
      <c r="AE127" s="30">
        <f>IFERROR(AD127/AD148, "NA")</f>
        <v>0</v>
      </c>
      <c r="AF127" s="29" t="str">
        <f t="shared" si="57"/>
        <v>NA</v>
      </c>
      <c r="AG127" s="28">
        <f t="shared" si="58"/>
        <v>0</v>
      </c>
      <c r="AH127" s="23">
        <f>IFERROR(AG127/AG148, "NA")</f>
        <v>0</v>
      </c>
      <c r="AI127" s="29">
        <f t="shared" si="59"/>
        <v>0</v>
      </c>
      <c r="AJ127" s="30">
        <f>IFERROR(AI127/AI148, "NA")</f>
        <v>0</v>
      </c>
      <c r="AK127" s="29" t="str">
        <f t="shared" si="60"/>
        <v>NA</v>
      </c>
      <c r="AL127" s="30" t="str">
        <f>IFERROR(AK127/AK148, "NA")</f>
        <v>NA</v>
      </c>
    </row>
    <row r="128" ht="16.5" hidden="1" customHeight="1">
      <c r="A128" s="19" t="s">
        <v>238</v>
      </c>
      <c r="B128" s="21">
        <v>552.93</v>
      </c>
      <c r="C128" s="23">
        <f>IFERROR(B128/B148, "NA")</f>
        <v>0.01184232254</v>
      </c>
      <c r="D128" s="21">
        <v>426.88</v>
      </c>
      <c r="E128" s="23">
        <f>IFERROR(D128/D148, "NA")</f>
        <v>0.009544929904</v>
      </c>
      <c r="F128" s="21">
        <v>-1563.77</v>
      </c>
      <c r="G128" s="23">
        <f>IFERROR(F128/F148, "NA")</f>
        <v>-0.06456840778</v>
      </c>
      <c r="H128" s="21">
        <v>490.09</v>
      </c>
      <c r="I128" s="23">
        <f>IFERROR(H128/H148, "NA")</f>
        <v>0.03868443403</v>
      </c>
      <c r="J128" s="21">
        <v>646.34</v>
      </c>
      <c r="K128" s="23">
        <f>IFERROR(J128/J148, "NA")</f>
        <v>0.02809271282</v>
      </c>
      <c r="L128" s="21">
        <v>623.26</v>
      </c>
      <c r="M128" s="23">
        <f>IFERROR(L128/L148, "NA")</f>
        <v>0.03191710545</v>
      </c>
      <c r="N128" s="21">
        <v>558.01</v>
      </c>
      <c r="O128" s="23">
        <f>IFERROR(N128/N148, "NA")</f>
        <v>0.02560870056</v>
      </c>
      <c r="P128" s="21">
        <v>-2317.7</v>
      </c>
      <c r="Q128" s="23">
        <f>IFERROR(P128/P148, "NA")</f>
        <v>-0.2635058546</v>
      </c>
      <c r="R128" s="21">
        <v>784.21</v>
      </c>
      <c r="S128" s="23">
        <f>IFERROR(R128/R148, "NA")</f>
        <v>0.07263053092</v>
      </c>
      <c r="T128" s="21">
        <v>617.16</v>
      </c>
      <c r="U128" s="23">
        <f>IFERROR(T128/T148, "NA")</f>
        <v>0.02856382499</v>
      </c>
      <c r="V128" s="21">
        <v>734.29</v>
      </c>
      <c r="W128" s="23">
        <f>IFERROR(V128/V148, "NA")</f>
        <v>0.03189964703</v>
      </c>
      <c r="X128" s="21">
        <v>483.33</v>
      </c>
      <c r="Y128" s="23">
        <f>IFERROR(X128/X148, "NA")</f>
        <v>0.02952457571</v>
      </c>
      <c r="Z128" s="21">
        <v>2618.99</v>
      </c>
      <c r="AA128" s="23">
        <f>IFERROR(Z128/Z148, "NA")</f>
        <v>0.03647985215</v>
      </c>
      <c r="AB128" s="28">
        <f t="shared" si="55"/>
        <v>654.7475</v>
      </c>
      <c r="AC128" s="23">
        <f>IFERROR(AB128/AB148, "NA")</f>
        <v>0.03647985215</v>
      </c>
      <c r="AD128" s="29">
        <f t="shared" si="56"/>
        <v>-171.4175</v>
      </c>
      <c r="AE128" s="30">
        <f>IFERROR(AD128/AD148, "NA")</f>
        <v>0.1086457742</v>
      </c>
      <c r="AF128" s="29">
        <f t="shared" si="57"/>
        <v>-0.2618070325</v>
      </c>
      <c r="AG128" s="28">
        <f t="shared" si="58"/>
        <v>266.1125</v>
      </c>
      <c r="AH128" s="23">
        <f>IFERROR(AG128/AG148, "NA")</f>
        <v>0.01469087133</v>
      </c>
      <c r="AI128" s="29">
        <f t="shared" si="59"/>
        <v>217.2175</v>
      </c>
      <c r="AJ128" s="30">
        <f>IFERROR(AI128/AI148, "NA")</f>
        <v>-0.1245720332</v>
      </c>
      <c r="AK128" s="29">
        <f t="shared" si="60"/>
        <v>0.8162619193</v>
      </c>
      <c r="AL128" s="30">
        <f>IFERROR(AK128/AK148, "NA")</f>
        <v>-8.479553758</v>
      </c>
    </row>
    <row r="129" ht="16.5" hidden="1" customHeight="1">
      <c r="A129" s="19" t="s">
        <v>239</v>
      </c>
      <c r="B129" s="21">
        <v>0.0</v>
      </c>
      <c r="C129" s="23">
        <f>IFERROR(B129/B148, "NA")</f>
        <v>0</v>
      </c>
      <c r="D129" s="21">
        <v>0.0</v>
      </c>
      <c r="E129" s="23">
        <f>IFERROR(D129/D148, "NA")</f>
        <v>0</v>
      </c>
      <c r="F129" s="21">
        <v>0.0</v>
      </c>
      <c r="G129" s="23">
        <f>IFERROR(F129/F148, "NA")</f>
        <v>0</v>
      </c>
      <c r="H129" s="21">
        <v>0.0</v>
      </c>
      <c r="I129" s="23">
        <f>IFERROR(H129/H148, "NA")</f>
        <v>0</v>
      </c>
      <c r="J129" s="21">
        <v>0.0</v>
      </c>
      <c r="K129" s="23">
        <f>IFERROR(J129/J148, "NA")</f>
        <v>0</v>
      </c>
      <c r="L129" s="21">
        <v>0.0</v>
      </c>
      <c r="M129" s="23">
        <f>IFERROR(L129/L148, "NA")</f>
        <v>0</v>
      </c>
      <c r="N129" s="21">
        <v>0.0</v>
      </c>
      <c r="O129" s="23">
        <f>IFERROR(N129/N148, "NA")</f>
        <v>0</v>
      </c>
      <c r="P129" s="21">
        <v>0.0</v>
      </c>
      <c r="Q129" s="23">
        <f>IFERROR(P129/P148, "NA")</f>
        <v>0</v>
      </c>
      <c r="R129" s="21">
        <v>0.0</v>
      </c>
      <c r="S129" s="23">
        <f>IFERROR(R129/R148, "NA")</f>
        <v>0</v>
      </c>
      <c r="T129" s="21">
        <v>0.0</v>
      </c>
      <c r="U129" s="23">
        <f>IFERROR(T129/T148, "NA")</f>
        <v>0</v>
      </c>
      <c r="V129" s="21">
        <v>0.0</v>
      </c>
      <c r="W129" s="23">
        <f>IFERROR(V129/V148, "NA")</f>
        <v>0</v>
      </c>
      <c r="X129" s="21">
        <v>0.0</v>
      </c>
      <c r="Y129" s="23">
        <f>IFERROR(X129/X148, "NA")</f>
        <v>0</v>
      </c>
      <c r="Z129" s="21">
        <v>0.0</v>
      </c>
      <c r="AA129" s="23">
        <f>IFERROR(Z129/Z148, "NA")</f>
        <v>0</v>
      </c>
      <c r="AB129" s="28">
        <f t="shared" si="55"/>
        <v>0</v>
      </c>
      <c r="AC129" s="23">
        <f>IFERROR(AB129/AB148, "NA")</f>
        <v>0</v>
      </c>
      <c r="AD129" s="29">
        <f t="shared" si="56"/>
        <v>0</v>
      </c>
      <c r="AE129" s="30">
        <f>IFERROR(AD129/AD148, "NA")</f>
        <v>0</v>
      </c>
      <c r="AF129" s="29" t="str">
        <f t="shared" si="57"/>
        <v>NA</v>
      </c>
      <c r="AG129" s="28">
        <f t="shared" si="58"/>
        <v>0</v>
      </c>
      <c r="AH129" s="23">
        <f>IFERROR(AG129/AG148, "NA")</f>
        <v>0</v>
      </c>
      <c r="AI129" s="29">
        <f t="shared" si="59"/>
        <v>0</v>
      </c>
      <c r="AJ129" s="30">
        <f>IFERROR(AI129/AI148, "NA")</f>
        <v>0</v>
      </c>
      <c r="AK129" s="29" t="str">
        <f t="shared" si="60"/>
        <v>NA</v>
      </c>
      <c r="AL129" s="30" t="str">
        <f>IFERROR(AK129/AK148, "NA")</f>
        <v>NA</v>
      </c>
    </row>
    <row r="130" ht="16.5" hidden="1" customHeight="1">
      <c r="A130" s="19" t="s">
        <v>240</v>
      </c>
      <c r="B130" s="21">
        <v>0.0</v>
      </c>
      <c r="C130" s="23">
        <f>IFERROR(B130/B148, "NA")</f>
        <v>0</v>
      </c>
      <c r="D130" s="21">
        <v>0.0</v>
      </c>
      <c r="E130" s="23">
        <f>IFERROR(D130/D148, "NA")</f>
        <v>0</v>
      </c>
      <c r="F130" s="21">
        <v>0.0</v>
      </c>
      <c r="G130" s="23">
        <f>IFERROR(F130/F148, "NA")</f>
        <v>0</v>
      </c>
      <c r="H130" s="21">
        <v>0.0</v>
      </c>
      <c r="I130" s="23">
        <f>IFERROR(H130/H148, "NA")</f>
        <v>0</v>
      </c>
      <c r="J130" s="21">
        <v>0.0</v>
      </c>
      <c r="K130" s="23">
        <f>IFERROR(J130/J148, "NA")</f>
        <v>0</v>
      </c>
      <c r="L130" s="21">
        <v>0.0</v>
      </c>
      <c r="M130" s="23">
        <f>IFERROR(L130/L148, "NA")</f>
        <v>0</v>
      </c>
      <c r="N130" s="21">
        <v>0.0</v>
      </c>
      <c r="O130" s="23">
        <f>IFERROR(N130/N148, "NA")</f>
        <v>0</v>
      </c>
      <c r="P130" s="21">
        <v>0.0</v>
      </c>
      <c r="Q130" s="23">
        <f>IFERROR(P130/P148, "NA")</f>
        <v>0</v>
      </c>
      <c r="R130" s="21">
        <v>0.0</v>
      </c>
      <c r="S130" s="23">
        <f>IFERROR(R130/R148, "NA")</f>
        <v>0</v>
      </c>
      <c r="T130" s="21">
        <v>0.0</v>
      </c>
      <c r="U130" s="23">
        <f>IFERROR(T130/T148, "NA")</f>
        <v>0</v>
      </c>
      <c r="V130" s="21">
        <v>0.0</v>
      </c>
      <c r="W130" s="23">
        <f>IFERROR(V130/V148, "NA")</f>
        <v>0</v>
      </c>
      <c r="X130" s="21">
        <v>0.0</v>
      </c>
      <c r="Y130" s="23">
        <f>IFERROR(X130/X148, "NA")</f>
        <v>0</v>
      </c>
      <c r="Z130" s="21">
        <v>0.0</v>
      </c>
      <c r="AA130" s="23">
        <f>IFERROR(Z130/Z148, "NA")</f>
        <v>0</v>
      </c>
      <c r="AB130" s="28">
        <f t="shared" si="55"/>
        <v>0</v>
      </c>
      <c r="AC130" s="23">
        <f>IFERROR(AB130/AB148, "NA")</f>
        <v>0</v>
      </c>
      <c r="AD130" s="29">
        <f t="shared" si="56"/>
        <v>0</v>
      </c>
      <c r="AE130" s="30">
        <f>IFERROR(AD130/AD148, "NA")</f>
        <v>0</v>
      </c>
      <c r="AF130" s="29" t="str">
        <f t="shared" si="57"/>
        <v>NA</v>
      </c>
      <c r="AG130" s="28">
        <f t="shared" si="58"/>
        <v>0</v>
      </c>
      <c r="AH130" s="23">
        <f>IFERROR(AG130/AG148, "NA")</f>
        <v>0</v>
      </c>
      <c r="AI130" s="29">
        <f t="shared" si="59"/>
        <v>0</v>
      </c>
      <c r="AJ130" s="30">
        <f>IFERROR(AI130/AI148, "NA")</f>
        <v>0</v>
      </c>
      <c r="AK130" s="29" t="str">
        <f t="shared" si="60"/>
        <v>NA</v>
      </c>
      <c r="AL130" s="30" t="str">
        <f>IFERROR(AK130/AK148, "NA")</f>
        <v>NA</v>
      </c>
    </row>
    <row r="131" ht="16.5" hidden="1" customHeight="1">
      <c r="A131" s="19" t="s">
        <v>241</v>
      </c>
      <c r="B131" s="21">
        <v>0.0</v>
      </c>
      <c r="C131" s="23">
        <f>IFERROR(B131/B148, "NA")</f>
        <v>0</v>
      </c>
      <c r="D131" s="21">
        <v>0.0</v>
      </c>
      <c r="E131" s="23">
        <f>IFERROR(D131/D148, "NA")</f>
        <v>0</v>
      </c>
      <c r="F131" s="21">
        <v>0.0</v>
      </c>
      <c r="G131" s="23">
        <f>IFERROR(F131/F148, "NA")</f>
        <v>0</v>
      </c>
      <c r="H131" s="21">
        <v>0.0</v>
      </c>
      <c r="I131" s="23">
        <f>IFERROR(H131/H148, "NA")</f>
        <v>0</v>
      </c>
      <c r="J131" s="21">
        <v>0.0</v>
      </c>
      <c r="K131" s="23">
        <f>IFERROR(J131/J148, "NA")</f>
        <v>0</v>
      </c>
      <c r="L131" s="21">
        <v>0.0</v>
      </c>
      <c r="M131" s="23">
        <f>IFERROR(L131/L148, "NA")</f>
        <v>0</v>
      </c>
      <c r="N131" s="21">
        <v>0.0</v>
      </c>
      <c r="O131" s="23">
        <f>IFERROR(N131/N148, "NA")</f>
        <v>0</v>
      </c>
      <c r="P131" s="21">
        <v>0.0</v>
      </c>
      <c r="Q131" s="23">
        <f>IFERROR(P131/P148, "NA")</f>
        <v>0</v>
      </c>
      <c r="R131" s="21">
        <v>0.0</v>
      </c>
      <c r="S131" s="23">
        <f>IFERROR(R131/R148, "NA")</f>
        <v>0</v>
      </c>
      <c r="T131" s="21">
        <v>0.0</v>
      </c>
      <c r="U131" s="23">
        <f>IFERROR(T131/T148, "NA")</f>
        <v>0</v>
      </c>
      <c r="V131" s="21">
        <v>0.0</v>
      </c>
      <c r="W131" s="23">
        <f>IFERROR(V131/V148, "NA")</f>
        <v>0</v>
      </c>
      <c r="X131" s="21">
        <v>0.0</v>
      </c>
      <c r="Y131" s="23">
        <f>IFERROR(X131/X148, "NA")</f>
        <v>0</v>
      </c>
      <c r="Z131" s="21">
        <v>0.0</v>
      </c>
      <c r="AA131" s="23">
        <f>IFERROR(Z131/Z148, "NA")</f>
        <v>0</v>
      </c>
      <c r="AB131" s="28">
        <f t="shared" si="55"/>
        <v>0</v>
      </c>
      <c r="AC131" s="23">
        <f>IFERROR(AB131/AB148, "NA")</f>
        <v>0</v>
      </c>
      <c r="AD131" s="29">
        <f t="shared" si="56"/>
        <v>0</v>
      </c>
      <c r="AE131" s="30">
        <f>IFERROR(AD131/AD148, "NA")</f>
        <v>0</v>
      </c>
      <c r="AF131" s="29" t="str">
        <f t="shared" si="57"/>
        <v>NA</v>
      </c>
      <c r="AG131" s="28">
        <f t="shared" si="58"/>
        <v>0</v>
      </c>
      <c r="AH131" s="23">
        <f>IFERROR(AG131/AG148, "NA")</f>
        <v>0</v>
      </c>
      <c r="AI131" s="29">
        <f t="shared" si="59"/>
        <v>0</v>
      </c>
      <c r="AJ131" s="30">
        <f>IFERROR(AI131/AI148, "NA")</f>
        <v>0</v>
      </c>
      <c r="AK131" s="29" t="str">
        <f t="shared" si="60"/>
        <v>NA</v>
      </c>
      <c r="AL131" s="30" t="str">
        <f>IFERROR(AK131/AK148, "NA")</f>
        <v>NA</v>
      </c>
    </row>
    <row r="132" ht="16.5" hidden="1" customHeight="1">
      <c r="A132" s="19" t="s">
        <v>242</v>
      </c>
      <c r="B132" s="21">
        <v>0.0</v>
      </c>
      <c r="C132" s="23">
        <f>IFERROR(B132/B148, "NA")</f>
        <v>0</v>
      </c>
      <c r="D132" s="21">
        <v>0.0</v>
      </c>
      <c r="E132" s="23">
        <f>IFERROR(D132/D148, "NA")</f>
        <v>0</v>
      </c>
      <c r="F132" s="21">
        <v>0.0</v>
      </c>
      <c r="G132" s="23">
        <f>IFERROR(F132/F148, "NA")</f>
        <v>0</v>
      </c>
      <c r="H132" s="21">
        <v>0.0</v>
      </c>
      <c r="I132" s="23">
        <f>IFERROR(H132/H148, "NA")</f>
        <v>0</v>
      </c>
      <c r="J132" s="21">
        <v>0.0</v>
      </c>
      <c r="K132" s="23">
        <f>IFERROR(J132/J148, "NA")</f>
        <v>0</v>
      </c>
      <c r="L132" s="21">
        <v>0.0</v>
      </c>
      <c r="M132" s="23">
        <f>IFERROR(L132/L148, "NA")</f>
        <v>0</v>
      </c>
      <c r="N132" s="21">
        <v>0.0</v>
      </c>
      <c r="O132" s="23">
        <f>IFERROR(N132/N148, "NA")</f>
        <v>0</v>
      </c>
      <c r="P132" s="21">
        <v>0.0</v>
      </c>
      <c r="Q132" s="23">
        <f>IFERROR(P132/P148, "NA")</f>
        <v>0</v>
      </c>
      <c r="R132" s="21">
        <v>0.0</v>
      </c>
      <c r="S132" s="23">
        <f>IFERROR(R132/R148, "NA")</f>
        <v>0</v>
      </c>
      <c r="T132" s="21">
        <v>0.0</v>
      </c>
      <c r="U132" s="23">
        <f>IFERROR(T132/T148, "NA")</f>
        <v>0</v>
      </c>
      <c r="V132" s="21">
        <v>0.0</v>
      </c>
      <c r="W132" s="23">
        <f>IFERROR(V132/V148, "NA")</f>
        <v>0</v>
      </c>
      <c r="X132" s="21">
        <v>0.0</v>
      </c>
      <c r="Y132" s="23">
        <f>IFERROR(X132/X148, "NA")</f>
        <v>0</v>
      </c>
      <c r="Z132" s="21">
        <v>0.0</v>
      </c>
      <c r="AA132" s="23">
        <f>IFERROR(Z132/Z148, "NA")</f>
        <v>0</v>
      </c>
      <c r="AB132" s="28">
        <f t="shared" si="55"/>
        <v>0</v>
      </c>
      <c r="AC132" s="23">
        <f>IFERROR(AB132/AB148, "NA")</f>
        <v>0</v>
      </c>
      <c r="AD132" s="29">
        <f t="shared" si="56"/>
        <v>0</v>
      </c>
      <c r="AE132" s="30">
        <f>IFERROR(AD132/AD148, "NA")</f>
        <v>0</v>
      </c>
      <c r="AF132" s="29" t="str">
        <f t="shared" si="57"/>
        <v>NA</v>
      </c>
      <c r="AG132" s="28">
        <f t="shared" si="58"/>
        <v>0</v>
      </c>
      <c r="AH132" s="23">
        <f>IFERROR(AG132/AG148, "NA")</f>
        <v>0</v>
      </c>
      <c r="AI132" s="29">
        <f t="shared" si="59"/>
        <v>0</v>
      </c>
      <c r="AJ132" s="30">
        <f>IFERROR(AI132/AI148, "NA")</f>
        <v>0</v>
      </c>
      <c r="AK132" s="29" t="str">
        <f t="shared" si="60"/>
        <v>NA</v>
      </c>
      <c r="AL132" s="30" t="str">
        <f>IFERROR(AK132/AK148, "NA")</f>
        <v>NA</v>
      </c>
    </row>
    <row r="133" ht="16.5" hidden="1" customHeight="1">
      <c r="A133" s="19" t="s">
        <v>243</v>
      </c>
      <c r="B133" s="21">
        <v>0.0</v>
      </c>
      <c r="C133" s="23">
        <f>IFERROR(B133/B148, "NA")</f>
        <v>0</v>
      </c>
      <c r="D133" s="21">
        <v>0.0</v>
      </c>
      <c r="E133" s="23">
        <f>IFERROR(D133/D148, "NA")</f>
        <v>0</v>
      </c>
      <c r="F133" s="21">
        <v>0.0</v>
      </c>
      <c r="G133" s="23">
        <f>IFERROR(F133/F148, "NA")</f>
        <v>0</v>
      </c>
      <c r="H133" s="21">
        <v>0.0</v>
      </c>
      <c r="I133" s="23">
        <f>IFERROR(H133/H148, "NA")</f>
        <v>0</v>
      </c>
      <c r="J133" s="21">
        <v>0.0</v>
      </c>
      <c r="K133" s="23">
        <f>IFERROR(J133/J148, "NA")</f>
        <v>0</v>
      </c>
      <c r="L133" s="21">
        <v>0.0</v>
      </c>
      <c r="M133" s="23">
        <f>IFERROR(L133/L148, "NA")</f>
        <v>0</v>
      </c>
      <c r="N133" s="21">
        <v>0.0</v>
      </c>
      <c r="O133" s="23">
        <f>IFERROR(N133/N148, "NA")</f>
        <v>0</v>
      </c>
      <c r="P133" s="21">
        <v>0.0</v>
      </c>
      <c r="Q133" s="23">
        <f>IFERROR(P133/P148, "NA")</f>
        <v>0</v>
      </c>
      <c r="R133" s="21">
        <v>0.0</v>
      </c>
      <c r="S133" s="23">
        <f>IFERROR(R133/R148, "NA")</f>
        <v>0</v>
      </c>
      <c r="T133" s="21">
        <v>0.0</v>
      </c>
      <c r="U133" s="23">
        <f>IFERROR(T133/T148, "NA")</f>
        <v>0</v>
      </c>
      <c r="V133" s="21">
        <v>0.0</v>
      </c>
      <c r="W133" s="23">
        <f>IFERROR(V133/V148, "NA")</f>
        <v>0</v>
      </c>
      <c r="X133" s="21">
        <v>0.0</v>
      </c>
      <c r="Y133" s="23">
        <f>IFERROR(X133/X148, "NA")</f>
        <v>0</v>
      </c>
      <c r="Z133" s="21">
        <v>0.0</v>
      </c>
      <c r="AA133" s="23">
        <f>IFERROR(Z133/Z148, "NA")</f>
        <v>0</v>
      </c>
      <c r="AB133" s="28">
        <f t="shared" si="55"/>
        <v>0</v>
      </c>
      <c r="AC133" s="23">
        <f>IFERROR(AB133/AB148, "NA")</f>
        <v>0</v>
      </c>
      <c r="AD133" s="29">
        <f t="shared" si="56"/>
        <v>0</v>
      </c>
      <c r="AE133" s="30">
        <f>IFERROR(AD133/AD148, "NA")</f>
        <v>0</v>
      </c>
      <c r="AF133" s="29" t="str">
        <f t="shared" si="57"/>
        <v>NA</v>
      </c>
      <c r="AG133" s="28">
        <f t="shared" si="58"/>
        <v>0</v>
      </c>
      <c r="AH133" s="23">
        <f>IFERROR(AG133/AG148, "NA")</f>
        <v>0</v>
      </c>
      <c r="AI133" s="29">
        <f t="shared" si="59"/>
        <v>0</v>
      </c>
      <c r="AJ133" s="30">
        <f>IFERROR(AI133/AI148, "NA")</f>
        <v>0</v>
      </c>
      <c r="AK133" s="29" t="str">
        <f t="shared" si="60"/>
        <v>NA</v>
      </c>
      <c r="AL133" s="30" t="str">
        <f>IFERROR(AK133/AK148, "NA")</f>
        <v>NA</v>
      </c>
    </row>
    <row r="134" ht="16.5" hidden="1" customHeight="1">
      <c r="A134" s="19" t="s">
        <v>244</v>
      </c>
      <c r="B134" s="21">
        <v>0.0</v>
      </c>
      <c r="C134" s="23">
        <f>IFERROR(B134/B148, "NA")</f>
        <v>0</v>
      </c>
      <c r="D134" s="21">
        <v>0.0</v>
      </c>
      <c r="E134" s="23">
        <f>IFERROR(D134/D148, "NA")</f>
        <v>0</v>
      </c>
      <c r="F134" s="21">
        <v>0.0</v>
      </c>
      <c r="G134" s="23">
        <f>IFERROR(F134/F148, "NA")</f>
        <v>0</v>
      </c>
      <c r="H134" s="21">
        <v>0.0</v>
      </c>
      <c r="I134" s="23">
        <f>IFERROR(H134/H148, "NA")</f>
        <v>0</v>
      </c>
      <c r="J134" s="21">
        <v>0.0</v>
      </c>
      <c r="K134" s="23">
        <f>IFERROR(J134/J148, "NA")</f>
        <v>0</v>
      </c>
      <c r="L134" s="21">
        <v>0.0</v>
      </c>
      <c r="M134" s="23">
        <f>IFERROR(L134/L148, "NA")</f>
        <v>0</v>
      </c>
      <c r="N134" s="21">
        <v>0.0</v>
      </c>
      <c r="O134" s="23">
        <f>IFERROR(N134/N148, "NA")</f>
        <v>0</v>
      </c>
      <c r="P134" s="21">
        <v>0.0</v>
      </c>
      <c r="Q134" s="23">
        <f>IFERROR(P134/P148, "NA")</f>
        <v>0</v>
      </c>
      <c r="R134" s="21">
        <v>0.0</v>
      </c>
      <c r="S134" s="23">
        <f>IFERROR(R134/R148, "NA")</f>
        <v>0</v>
      </c>
      <c r="T134" s="21">
        <v>0.0</v>
      </c>
      <c r="U134" s="23">
        <f>IFERROR(T134/T148, "NA")</f>
        <v>0</v>
      </c>
      <c r="V134" s="21">
        <v>0.0</v>
      </c>
      <c r="W134" s="23">
        <f>IFERROR(V134/V148, "NA")</f>
        <v>0</v>
      </c>
      <c r="X134" s="21">
        <v>0.0</v>
      </c>
      <c r="Y134" s="23">
        <f>IFERROR(X134/X148, "NA")</f>
        <v>0</v>
      </c>
      <c r="Z134" s="21">
        <v>0.0</v>
      </c>
      <c r="AA134" s="23">
        <f>IFERROR(Z134/Z148, "NA")</f>
        <v>0</v>
      </c>
      <c r="AB134" s="28">
        <f t="shared" si="55"/>
        <v>0</v>
      </c>
      <c r="AC134" s="23">
        <f>IFERROR(AB134/AB148, "NA")</f>
        <v>0</v>
      </c>
      <c r="AD134" s="29">
        <f t="shared" si="56"/>
        <v>0</v>
      </c>
      <c r="AE134" s="30">
        <f>IFERROR(AD134/AD148, "NA")</f>
        <v>0</v>
      </c>
      <c r="AF134" s="29" t="str">
        <f t="shared" si="57"/>
        <v>NA</v>
      </c>
      <c r="AG134" s="28">
        <f t="shared" si="58"/>
        <v>0</v>
      </c>
      <c r="AH134" s="23">
        <f>IFERROR(AG134/AG148, "NA")</f>
        <v>0</v>
      </c>
      <c r="AI134" s="29">
        <f t="shared" si="59"/>
        <v>0</v>
      </c>
      <c r="AJ134" s="30">
        <f>IFERROR(AI134/AI148, "NA")</f>
        <v>0</v>
      </c>
      <c r="AK134" s="29" t="str">
        <f t="shared" si="60"/>
        <v>NA</v>
      </c>
      <c r="AL134" s="30" t="str">
        <f>IFERROR(AK134/AK148, "NA")</f>
        <v>NA</v>
      </c>
    </row>
    <row r="135" ht="16.5" hidden="1" customHeight="1">
      <c r="A135" s="65" t="s">
        <v>245</v>
      </c>
      <c r="B135" s="66">
        <f>IFERROR(B110+B111+B112+B113+B114+B115+B116+B117+B118+B119+B120+B121+B122+B123+B124+B125+B126+B127+B128+B129+B130+B131+B132+B133+B134, "NA")</f>
        <v>552.93</v>
      </c>
      <c r="C135" s="67">
        <f>IFERROR(B135/B148, "NA")</f>
        <v>0.01184232254</v>
      </c>
      <c r="D135" s="66">
        <f>IFERROR(D110+D111+D112+D113+D114+D115+D116+D117+D118+D119+D120+D121+D122+D123+D124+D125+D126+D127+D128+D129+D130+D131+D132+D133+D134, "NA")</f>
        <v>426.88</v>
      </c>
      <c r="E135" s="67">
        <f>IFERROR(D135/D148, "NA")</f>
        <v>0.009544929904</v>
      </c>
      <c r="F135" s="66">
        <f>IFERROR(F110+F111+F112+F113+F114+F115+F116+F117+F118+F119+F120+F121+F122+F123+F124+F125+F126+F127+F128+F129+F130+F131+F132+F133+F134, "NA")</f>
        <v>-1563.77</v>
      </c>
      <c r="G135" s="67">
        <f>IFERROR(F135/F148, "NA")</f>
        <v>-0.06456840778</v>
      </c>
      <c r="H135" s="66">
        <f>IFERROR(H110+H111+H112+H113+H114+H115+H116+H117+H118+H119+H120+H121+H122+H123+H124+H125+H126+H127+H128+H129+H130+H131+H132+H133+H134, "NA")</f>
        <v>490.09</v>
      </c>
      <c r="I135" s="67">
        <f>IFERROR(H135/H148, "NA")</f>
        <v>0.03868443403</v>
      </c>
      <c r="J135" s="66">
        <f>IFERROR(J110+J111+J112+J113+J114+J115+J116+J117+J118+J119+J120+J121+J122+J123+J124+J125+J126+J127+J128+J129+J130+J131+J132+J133+J134, "NA")</f>
        <v>646.34</v>
      </c>
      <c r="K135" s="67">
        <f>IFERROR(J135/J148, "NA")</f>
        <v>0.02809271282</v>
      </c>
      <c r="L135" s="66">
        <f>IFERROR(L110+L111+L112+L113+L114+L115+L116+L117+L118+L119+L120+L121+L122+L123+L124+L125+L126+L127+L128+L129+L130+L131+L132+L133+L134, "NA")</f>
        <v>623.26</v>
      </c>
      <c r="M135" s="67">
        <f>IFERROR(L135/L148, "NA")</f>
        <v>0.03191710545</v>
      </c>
      <c r="N135" s="66">
        <f>IFERROR(N110+N111+N112+N113+N114+N115+N116+N117+N118+N119+N120+N121+N122+N123+N124+N125+N126+N127+N128+N129+N130+N131+N132+N133+N134, "NA")</f>
        <v>558.01</v>
      </c>
      <c r="O135" s="67">
        <f>IFERROR(N135/N148, "NA")</f>
        <v>0.02560870056</v>
      </c>
      <c r="P135" s="66">
        <f>IFERROR(P110+P111+P112+P113+P114+P115+P116+P117+P118+P119+P120+P121+P122+P123+P124+P125+P126+P127+P128+P129+P130+P131+P132+P133+P134, "NA")</f>
        <v>-2317.7</v>
      </c>
      <c r="Q135" s="67">
        <f>IFERROR(P135/P148, "NA")</f>
        <v>-0.2635058546</v>
      </c>
      <c r="R135" s="66">
        <f>IFERROR(R110+R111+R112+R113+R114+R115+R116+R117+R118+R119+R120+R121+R122+R123+R124+R125+R126+R127+R128+R129+R130+R131+R132+R133+R134, "NA")</f>
        <v>784.21</v>
      </c>
      <c r="S135" s="67">
        <f>IFERROR(R135/R148, "NA")</f>
        <v>0.07263053092</v>
      </c>
      <c r="T135" s="66">
        <f>IFERROR(T110+T111+T112+T113+T114+T115+T116+T117+T118+T119+T120+T121+T122+T123+T124+T125+T126+T127+T128+T129+T130+T131+T132+T133+T134, "NA")</f>
        <v>617.16</v>
      </c>
      <c r="U135" s="67">
        <f>IFERROR(T135/T148, "NA")</f>
        <v>0.02856382499</v>
      </c>
      <c r="V135" s="66">
        <f>IFERROR(V110+V111+V112+V113+V114+V115+V116+V117+V118+V119+V120+V121+V122+V123+V124+V125+V126+V127+V128+V129+V130+V131+V132+V133+V134, "NA")</f>
        <v>734.29</v>
      </c>
      <c r="W135" s="67">
        <f>IFERROR(V135/V148, "NA")</f>
        <v>0.03189964703</v>
      </c>
      <c r="X135" s="66">
        <f>IFERROR(X110+X111+X112+X113+X114+X115+X116+X117+X118+X119+X120+X121+X122+X123+X124+X125+X126+X127+X128+X129+X130+X131+X132+X133+X134, "NA")</f>
        <v>483.33</v>
      </c>
      <c r="Y135" s="67">
        <f>IFERROR(X135/X148, "NA")</f>
        <v>0.02952457571</v>
      </c>
      <c r="Z135" s="66">
        <f>IFERROR(Z110+Z111+Z112+Z113+Z114+Z115+Z116+Z117+Z118+Z119+Z120+Z121+Z122+Z123+Z124+Z125+Z126+Z127+Z128+Z129+Z130+Z131+Z132+Z133+Z134, "NA")</f>
        <v>2618.99</v>
      </c>
      <c r="AA135" s="67">
        <f>IFERROR(Z135/Z148, "NA")</f>
        <v>0.03647985215</v>
      </c>
      <c r="AB135" s="66">
        <f t="shared" si="55"/>
        <v>654.7475</v>
      </c>
      <c r="AC135" s="67">
        <f>IFERROR(AB135/AB148, "NA")</f>
        <v>0.03647985215</v>
      </c>
      <c r="AD135" s="75">
        <f t="shared" si="56"/>
        <v>-171.4175</v>
      </c>
      <c r="AE135" s="76">
        <f>IFERROR(AD135/AD148, "NA")</f>
        <v>0.1086457742</v>
      </c>
      <c r="AF135" s="75">
        <f t="shared" si="57"/>
        <v>-0.2618070325</v>
      </c>
      <c r="AG135" s="66">
        <f t="shared" si="58"/>
        <v>266.1125</v>
      </c>
      <c r="AH135" s="67">
        <f>IFERROR(AG135/AG148, "NA")</f>
        <v>0.01469087133</v>
      </c>
      <c r="AI135" s="75">
        <f t="shared" si="59"/>
        <v>217.2175</v>
      </c>
      <c r="AJ135" s="76">
        <f>IFERROR(AI135/AI148, "NA")</f>
        <v>-0.1245720332</v>
      </c>
      <c r="AK135" s="75">
        <f t="shared" si="60"/>
        <v>0.8162619193</v>
      </c>
      <c r="AL135" s="76">
        <f>IFERROR(AK135/AK148, "NA")</f>
        <v>-8.479553758</v>
      </c>
    </row>
    <row r="136" ht="16.5" hidden="1" customHeight="1">
      <c r="A136" s="123"/>
      <c r="B136" s="124"/>
      <c r="C136" s="74"/>
      <c r="D136" s="124"/>
      <c r="E136" s="74"/>
      <c r="F136" s="124"/>
      <c r="G136" s="74"/>
      <c r="H136" s="124"/>
      <c r="I136" s="74"/>
      <c r="J136" s="124"/>
      <c r="K136" s="74"/>
      <c r="L136" s="124"/>
      <c r="M136" s="74"/>
      <c r="N136" s="124"/>
      <c r="O136" s="74"/>
      <c r="P136" s="124"/>
      <c r="Q136" s="74"/>
      <c r="R136" s="124"/>
      <c r="S136" s="74"/>
      <c r="T136" s="124"/>
      <c r="U136" s="74"/>
      <c r="V136" s="124"/>
      <c r="W136" s="74"/>
      <c r="X136" s="124"/>
      <c r="Y136" s="74"/>
      <c r="Z136" s="124"/>
      <c r="AA136" s="74"/>
      <c r="AB136" s="124"/>
      <c r="AC136" s="74"/>
      <c r="AD136" s="125"/>
      <c r="AE136" s="80"/>
      <c r="AF136" s="125"/>
      <c r="AG136" s="124"/>
      <c r="AH136" s="74"/>
      <c r="AI136" s="125"/>
      <c r="AJ136" s="80"/>
      <c r="AK136" s="125"/>
      <c r="AL136" s="80"/>
    </row>
    <row r="137" ht="16.5" hidden="1" customHeight="1">
      <c r="A137" s="121" t="s">
        <v>246</v>
      </c>
      <c r="B137" s="122">
        <f>IFERROR(B107-B135, "NA")</f>
        <v>18647.92</v>
      </c>
      <c r="C137" s="94">
        <f>IFERROR(B137/B148, "NA")</f>
        <v>0.3993899468</v>
      </c>
      <c r="D137" s="122">
        <f>IFERROR(D107-D135, "NA")</f>
        <v>16216.28</v>
      </c>
      <c r="E137" s="94">
        <f>IFERROR(D137/D148, "NA")</f>
        <v>0.3625919601</v>
      </c>
      <c r="F137" s="122">
        <f>IFERROR(F107-F135, "NA")</f>
        <v>-7054.38</v>
      </c>
      <c r="G137" s="94">
        <f>IFERROR(F137/F148, "NA")</f>
        <v>-0.2912769042</v>
      </c>
      <c r="H137" s="122">
        <f>IFERROR(H107-H135, "NA")</f>
        <v>329.88</v>
      </c>
      <c r="I137" s="94">
        <f>IFERROR(H137/H148, "NA")</f>
        <v>0.02603852578</v>
      </c>
      <c r="J137" s="122">
        <f>IFERROR(J107-J135, "NA")</f>
        <v>3734.42</v>
      </c>
      <c r="K137" s="94">
        <f>IFERROR(J137/J148, "NA")</f>
        <v>0.1623139348</v>
      </c>
      <c r="L137" s="122">
        <f>IFERROR(L107-L135, "NA")</f>
        <v>1776.25</v>
      </c>
      <c r="M137" s="94">
        <f>IFERROR(L137/L148, "NA")</f>
        <v>0.09096165093</v>
      </c>
      <c r="N137" s="122">
        <f>IFERROR(N107-N135, "NA")</f>
        <v>966.59</v>
      </c>
      <c r="O137" s="94">
        <f>IFERROR(N137/N148, "NA")</f>
        <v>0.04435962416</v>
      </c>
      <c r="P137" s="122">
        <f>IFERROR(P107-P135, "NA")</f>
        <v>-14447.46</v>
      </c>
      <c r="Q137" s="94">
        <f>IFERROR(P137/P148, "NA")</f>
        <v>-1.642572505</v>
      </c>
      <c r="R137" s="122">
        <f>IFERROR(R107-R135, "NA")</f>
        <v>-1929.34</v>
      </c>
      <c r="S137" s="94">
        <f>IFERROR(R137/R148, "NA")</f>
        <v>-0.1786880919</v>
      </c>
      <c r="T137" s="122">
        <f>IFERROR(T107-T135, "NA")</f>
        <v>4321.47</v>
      </c>
      <c r="U137" s="94">
        <f>IFERROR(T137/T148, "NA")</f>
        <v>0.2000092565</v>
      </c>
      <c r="V137" s="122">
        <f>IFERROR(V107-V135, "NA")</f>
        <v>3057.22</v>
      </c>
      <c r="W137" s="94">
        <f>IFERROR(V137/V148, "NA")</f>
        <v>0.1328143361</v>
      </c>
      <c r="X137" s="122">
        <f>IFERROR(X107-X135, "NA")</f>
        <v>-9890.16</v>
      </c>
      <c r="Y137" s="94">
        <f>IFERROR(X137/X148, "NA")</f>
        <v>-0.6041478446</v>
      </c>
      <c r="Z137" s="122">
        <f>IFERROR(Z107-Z135, "NA")</f>
        <v>-4440.81</v>
      </c>
      <c r="AA137" s="94">
        <f>IFERROR(Z137/Z148, "NA")</f>
        <v>-0.0618559415</v>
      </c>
      <c r="AB137" s="122">
        <f>IFERROR((R137+T137+V137+X137)/4, "NA")</f>
        <v>-1110.2025</v>
      </c>
      <c r="AC137" s="94">
        <f>IFERROR(AB137/AB148, "NA")</f>
        <v>-0.0618559415</v>
      </c>
      <c r="AD137" s="75">
        <f>IFERROR(X137-AB137, "NA")</f>
        <v>-8779.9575</v>
      </c>
      <c r="AE137" s="76">
        <f>IFERROR(AD137/AD148, "NA")</f>
        <v>5.564806863</v>
      </c>
      <c r="AF137" s="75">
        <f>IFERROR((X137-AB137)/AB137, "NA")</f>
        <v>7.908428868</v>
      </c>
      <c r="AG137" s="122">
        <f>IFERROR((J137+L137+N137+P137+R137+T137+V137+X137)/8, "NA")</f>
        <v>-1551.37625</v>
      </c>
      <c r="AH137" s="94">
        <f>IFERROR(AG137/AG148, "NA")</f>
        <v>-0.08564448823</v>
      </c>
      <c r="AI137" s="75">
        <f>IFERROR(X137-AG137, "NA")</f>
        <v>-8338.78375</v>
      </c>
      <c r="AJ137" s="76">
        <f>IFERROR(AI137/AI148, "NA")</f>
        <v>4.782207907</v>
      </c>
      <c r="AK137" s="75">
        <f>IFERROR((X137-AG137)/AG137, "NA")</f>
        <v>5.375087926</v>
      </c>
      <c r="AL137" s="76">
        <f>IFERROR(AK137/AK148, "NA")</f>
        <v>-55.83789461</v>
      </c>
    </row>
    <row r="138" ht="3.75" hidden="1" customHeight="1">
      <c r="A138" s="123"/>
      <c r="B138" s="124"/>
      <c r="C138" s="74"/>
      <c r="D138" s="124"/>
      <c r="E138" s="74"/>
      <c r="F138" s="124"/>
      <c r="G138" s="74"/>
      <c r="H138" s="124"/>
      <c r="I138" s="74"/>
      <c r="J138" s="124"/>
      <c r="K138" s="74"/>
      <c r="L138" s="124"/>
      <c r="M138" s="74"/>
      <c r="N138" s="124"/>
      <c r="O138" s="74"/>
      <c r="P138" s="124"/>
      <c r="Q138" s="74"/>
      <c r="R138" s="124"/>
      <c r="S138" s="74"/>
      <c r="T138" s="124"/>
      <c r="U138" s="74"/>
      <c r="V138" s="124"/>
      <c r="W138" s="74"/>
      <c r="X138" s="124"/>
      <c r="Y138" s="74"/>
      <c r="Z138" s="124"/>
      <c r="AA138" s="74"/>
      <c r="AB138" s="124"/>
      <c r="AC138" s="74"/>
      <c r="AD138" s="125"/>
      <c r="AE138" s="80"/>
      <c r="AF138" s="125"/>
      <c r="AG138" s="124"/>
      <c r="AH138" s="74"/>
      <c r="AI138" s="125"/>
      <c r="AJ138" s="80"/>
      <c r="AK138" s="125"/>
      <c r="AL138" s="80"/>
    </row>
    <row r="139" ht="16.5" hidden="1" customHeight="1">
      <c r="A139" s="13" t="s">
        <v>247</v>
      </c>
      <c r="B139" s="14"/>
      <c r="C139" s="12"/>
      <c r="D139" s="14"/>
      <c r="E139" s="12"/>
      <c r="F139" s="14"/>
      <c r="G139" s="12"/>
      <c r="H139" s="14"/>
      <c r="I139" s="12"/>
      <c r="J139" s="14"/>
      <c r="K139" s="12"/>
      <c r="L139" s="14"/>
      <c r="M139" s="12"/>
      <c r="N139" s="14"/>
      <c r="O139" s="12"/>
      <c r="P139" s="14"/>
      <c r="Q139" s="12"/>
      <c r="R139" s="14"/>
      <c r="S139" s="12"/>
      <c r="T139" s="14"/>
      <c r="U139" s="12"/>
      <c r="V139" s="14"/>
      <c r="W139" s="12"/>
      <c r="X139" s="14"/>
      <c r="Y139" s="12"/>
      <c r="Z139" s="14"/>
      <c r="AA139" s="12"/>
      <c r="AB139" s="14"/>
      <c r="AC139" s="12"/>
      <c r="AD139" s="17"/>
      <c r="AE139" s="18"/>
      <c r="AF139" s="17"/>
      <c r="AG139" s="14"/>
      <c r="AH139" s="12"/>
      <c r="AI139" s="17"/>
      <c r="AJ139" s="18"/>
      <c r="AK139" s="17"/>
      <c r="AL139" s="18"/>
    </row>
    <row r="140" ht="16.5" hidden="1" customHeight="1">
      <c r="A140" s="19" t="s">
        <v>248</v>
      </c>
      <c r="B140" s="21">
        <v>0.0</v>
      </c>
      <c r="C140" s="23">
        <f>IFERROR(B140/B148, "NA")</f>
        <v>0</v>
      </c>
      <c r="D140" s="21">
        <v>0.0</v>
      </c>
      <c r="E140" s="23">
        <f>IFERROR(D140/D148, "NA")</f>
        <v>0</v>
      </c>
      <c r="F140" s="21">
        <v>3144.8</v>
      </c>
      <c r="G140" s="23">
        <f>IFERROR(F140/F148, "NA")</f>
        <v>0.1298494848</v>
      </c>
      <c r="H140" s="21">
        <v>63.9</v>
      </c>
      <c r="I140" s="23">
        <f>IFERROR(H140/H148, "NA")</f>
        <v>0.00504383957</v>
      </c>
      <c r="J140" s="21">
        <v>0.0</v>
      </c>
      <c r="K140" s="23">
        <f>IFERROR(J140/J148, "NA")</f>
        <v>0</v>
      </c>
      <c r="L140" s="21">
        <v>0.0</v>
      </c>
      <c r="M140" s="23">
        <f>IFERROR(L140/L148, "NA")</f>
        <v>0</v>
      </c>
      <c r="N140" s="21">
        <v>-24.97</v>
      </c>
      <c r="O140" s="23">
        <f>IFERROR(N140/N148, "NA")</f>
        <v>-0.001145945867</v>
      </c>
      <c r="P140" s="21">
        <v>3177.55</v>
      </c>
      <c r="Q140" s="23">
        <f>IFERROR(P140/P148, "NA")</f>
        <v>0.361264628</v>
      </c>
      <c r="R140" s="21">
        <v>97.78</v>
      </c>
      <c r="S140" s="23">
        <f>IFERROR(R140/R148, "NA")</f>
        <v>0.009056009632</v>
      </c>
      <c r="T140" s="21">
        <v>0.0</v>
      </c>
      <c r="U140" s="23">
        <f>IFERROR(T140/T148, "NA")</f>
        <v>0</v>
      </c>
      <c r="V140" s="21">
        <v>0.0</v>
      </c>
      <c r="W140" s="23">
        <f>IFERROR(V140/V148, "NA")</f>
        <v>0</v>
      </c>
      <c r="X140" s="21">
        <v>-26.61</v>
      </c>
      <c r="Y140" s="23">
        <f>IFERROR(X140/X148, "NA")</f>
        <v>-0.001625491817</v>
      </c>
      <c r="Z140" s="21">
        <v>71.17</v>
      </c>
      <c r="AA140" s="23">
        <f>IFERROR(Z140/Z148, "NA")</f>
        <v>0.0009913253115</v>
      </c>
      <c r="AB140" s="28">
        <f t="shared" ref="AB140:AB141" si="61">IFERROR((R140+T140+V140+X140)/4, "NA")</f>
        <v>17.7925</v>
      </c>
      <c r="AC140" s="23">
        <f>IFERROR(AB140/AB148, "NA")</f>
        <v>0.0009913253115</v>
      </c>
      <c r="AD140" s="29">
        <f t="shared" ref="AD140:AD141" si="62">IFERROR(X140-AB140, "NA")</f>
        <v>-44.4025</v>
      </c>
      <c r="AE140" s="30">
        <f>IFERROR(AD140/AD148, "NA")</f>
        <v>0.02814265749</v>
      </c>
      <c r="AF140" s="29">
        <f t="shared" ref="AF140:AF141" si="63">IFERROR((X140-AB140)/AB140, "NA")</f>
        <v>-2.495573978</v>
      </c>
      <c r="AG140" s="28">
        <f t="shared" ref="AG140:AG141" si="64">IFERROR((J140+L140+N140+P140+R140+T140+V140+X140)/8, "NA")</f>
        <v>402.96875</v>
      </c>
      <c r="AH140" s="23">
        <f>IFERROR(AG140/AG148, "NA")</f>
        <v>0.02224608786</v>
      </c>
      <c r="AI140" s="29">
        <f t="shared" ref="AI140:AI141" si="65">IFERROR(X140-AG140, "NA")</f>
        <v>-429.57875</v>
      </c>
      <c r="AJ140" s="30">
        <f>IFERROR(AI140/AI148, "NA")</f>
        <v>0.2463590563</v>
      </c>
      <c r="AK140" s="29">
        <f t="shared" ref="AK140:AK141" si="66">IFERROR((X140-AG140)/AG140, "NA")</f>
        <v>-1.066034897</v>
      </c>
      <c r="AL140" s="30">
        <f>IFERROR(AK140/AK148, "NA")</f>
        <v>11.07426428</v>
      </c>
    </row>
    <row r="141" ht="16.5" hidden="1" customHeight="1">
      <c r="A141" s="65" t="s">
        <v>249</v>
      </c>
      <c r="B141" s="66">
        <f>IFERROR(B140, "NA")</f>
        <v>0</v>
      </c>
      <c r="C141" s="67">
        <f>IFERROR(B141/B148, "NA")</f>
        <v>0</v>
      </c>
      <c r="D141" s="66">
        <f>IFERROR(D140, "NA")</f>
        <v>0</v>
      </c>
      <c r="E141" s="67">
        <f>IFERROR(D141/D148, "NA")</f>
        <v>0</v>
      </c>
      <c r="F141" s="66">
        <f>IFERROR(F140, "NA")</f>
        <v>3144.8</v>
      </c>
      <c r="G141" s="67">
        <f>IFERROR(F141/F148, "NA")</f>
        <v>0.1298494848</v>
      </c>
      <c r="H141" s="66">
        <f>IFERROR(H140, "NA")</f>
        <v>63.9</v>
      </c>
      <c r="I141" s="67">
        <f>IFERROR(H141/H148, "NA")</f>
        <v>0.00504383957</v>
      </c>
      <c r="J141" s="66">
        <f>IFERROR(J140, "NA")</f>
        <v>0</v>
      </c>
      <c r="K141" s="67">
        <f>IFERROR(J141/J148, "NA")</f>
        <v>0</v>
      </c>
      <c r="L141" s="66">
        <f>IFERROR(L140, "NA")</f>
        <v>0</v>
      </c>
      <c r="M141" s="67">
        <f>IFERROR(L141/L148, "NA")</f>
        <v>0</v>
      </c>
      <c r="N141" s="66">
        <f>IFERROR(N140, "NA")</f>
        <v>-24.97</v>
      </c>
      <c r="O141" s="67">
        <f>IFERROR(N141/N148, "NA")</f>
        <v>-0.001145945867</v>
      </c>
      <c r="P141" s="66">
        <f>IFERROR(P140, "NA")</f>
        <v>3177.55</v>
      </c>
      <c r="Q141" s="67">
        <f>IFERROR(P141/P148, "NA")</f>
        <v>0.361264628</v>
      </c>
      <c r="R141" s="66">
        <f>IFERROR(R140, "NA")</f>
        <v>97.78</v>
      </c>
      <c r="S141" s="67">
        <f>IFERROR(R141/R148, "NA")</f>
        <v>0.009056009632</v>
      </c>
      <c r="T141" s="66">
        <f>IFERROR(T140, "NA")</f>
        <v>0</v>
      </c>
      <c r="U141" s="67">
        <f>IFERROR(T141/T148, "NA")</f>
        <v>0</v>
      </c>
      <c r="V141" s="66">
        <f>IFERROR(V140, "NA")</f>
        <v>0</v>
      </c>
      <c r="W141" s="67">
        <f>IFERROR(V141/V148, "NA")</f>
        <v>0</v>
      </c>
      <c r="X141" s="66">
        <f>IFERROR(X140, "NA")</f>
        <v>-26.61</v>
      </c>
      <c r="Y141" s="67">
        <f>IFERROR(X141/X148, "NA")</f>
        <v>-0.001625491817</v>
      </c>
      <c r="Z141" s="66">
        <f>IFERROR(Z140, "NA")</f>
        <v>71.17</v>
      </c>
      <c r="AA141" s="67">
        <f>IFERROR(Z141/Z148, "NA")</f>
        <v>0.0009913253115</v>
      </c>
      <c r="AB141" s="66">
        <f t="shared" si="61"/>
        <v>17.7925</v>
      </c>
      <c r="AC141" s="67">
        <f>IFERROR(AB141/AB148, "NA")</f>
        <v>0.0009913253115</v>
      </c>
      <c r="AD141" s="75">
        <f t="shared" si="62"/>
        <v>-44.4025</v>
      </c>
      <c r="AE141" s="76">
        <f>IFERROR(AD141/AD148, "NA")</f>
        <v>0.02814265749</v>
      </c>
      <c r="AF141" s="75">
        <f t="shared" si="63"/>
        <v>-2.495573978</v>
      </c>
      <c r="AG141" s="66">
        <f t="shared" si="64"/>
        <v>402.96875</v>
      </c>
      <c r="AH141" s="67">
        <f>IFERROR(AG141/AG148, "NA")</f>
        <v>0.02224608786</v>
      </c>
      <c r="AI141" s="75">
        <f t="shared" si="65"/>
        <v>-429.57875</v>
      </c>
      <c r="AJ141" s="76">
        <f>IFERROR(AI141/AI148, "NA")</f>
        <v>0.2463590563</v>
      </c>
      <c r="AK141" s="75">
        <f t="shared" si="66"/>
        <v>-1.066034897</v>
      </c>
      <c r="AL141" s="76">
        <f>IFERROR(AK141/AK148, "NA")</f>
        <v>11.07426428</v>
      </c>
    </row>
    <row r="142" ht="3.75" hidden="1" customHeight="1">
      <c r="A142" s="123"/>
      <c r="B142" s="124"/>
      <c r="C142" s="74"/>
      <c r="D142" s="124"/>
      <c r="E142" s="74"/>
      <c r="F142" s="124"/>
      <c r="G142" s="74"/>
      <c r="H142" s="124"/>
      <c r="I142" s="74"/>
      <c r="J142" s="124"/>
      <c r="K142" s="74"/>
      <c r="L142" s="124"/>
      <c r="M142" s="74"/>
      <c r="N142" s="124"/>
      <c r="O142" s="74"/>
      <c r="P142" s="124"/>
      <c r="Q142" s="74"/>
      <c r="R142" s="124"/>
      <c r="S142" s="74"/>
      <c r="T142" s="124"/>
      <c r="U142" s="74"/>
      <c r="V142" s="124"/>
      <c r="W142" s="74"/>
      <c r="X142" s="124"/>
      <c r="Y142" s="74"/>
      <c r="Z142" s="124"/>
      <c r="AA142" s="74"/>
      <c r="AB142" s="124"/>
      <c r="AC142" s="74"/>
      <c r="AD142" s="125"/>
      <c r="AE142" s="80"/>
      <c r="AF142" s="125"/>
      <c r="AG142" s="124"/>
      <c r="AH142" s="74"/>
      <c r="AI142" s="125"/>
      <c r="AJ142" s="80"/>
      <c r="AK142" s="125"/>
      <c r="AL142" s="80"/>
    </row>
    <row r="143" ht="16.5" hidden="1" customHeight="1">
      <c r="A143" s="13" t="s">
        <v>250</v>
      </c>
      <c r="B143" s="14"/>
      <c r="C143" s="12"/>
      <c r="D143" s="14"/>
      <c r="E143" s="12"/>
      <c r="F143" s="14"/>
      <c r="G143" s="12"/>
      <c r="H143" s="14"/>
      <c r="I143" s="12"/>
      <c r="J143" s="14"/>
      <c r="K143" s="12"/>
      <c r="L143" s="14"/>
      <c r="M143" s="12"/>
      <c r="N143" s="14"/>
      <c r="O143" s="12"/>
      <c r="P143" s="14"/>
      <c r="Q143" s="12"/>
      <c r="R143" s="14"/>
      <c r="S143" s="12"/>
      <c r="T143" s="14"/>
      <c r="U143" s="12"/>
      <c r="V143" s="14"/>
      <c r="W143" s="12"/>
      <c r="X143" s="14"/>
      <c r="Y143" s="12"/>
      <c r="Z143" s="14"/>
      <c r="AA143" s="12"/>
      <c r="AB143" s="14"/>
      <c r="AC143" s="12"/>
      <c r="AD143" s="17"/>
      <c r="AE143" s="18"/>
      <c r="AF143" s="17"/>
      <c r="AG143" s="14"/>
      <c r="AH143" s="12"/>
      <c r="AI143" s="17"/>
      <c r="AJ143" s="18"/>
      <c r="AK143" s="17"/>
      <c r="AL143" s="18"/>
    </row>
    <row r="144" ht="16.5" hidden="1" customHeight="1">
      <c r="A144" s="19" t="s">
        <v>251</v>
      </c>
      <c r="B144" s="21">
        <v>0.0</v>
      </c>
      <c r="C144" s="23">
        <f>IFERROR(B144/B148, "NA")</f>
        <v>0</v>
      </c>
      <c r="D144" s="21">
        <v>0.0</v>
      </c>
      <c r="E144" s="23">
        <f>IFERROR(D144/D148, "NA")</f>
        <v>0</v>
      </c>
      <c r="F144" s="21">
        <v>0.0</v>
      </c>
      <c r="G144" s="23">
        <f>IFERROR(F144/F148, "NA")</f>
        <v>0</v>
      </c>
      <c r="H144" s="21">
        <v>0.0</v>
      </c>
      <c r="I144" s="23">
        <f>IFERROR(H144/H148, "NA")</f>
        <v>0</v>
      </c>
      <c r="J144" s="21">
        <v>0.0</v>
      </c>
      <c r="K144" s="23">
        <f>IFERROR(J144/J148, "NA")</f>
        <v>0</v>
      </c>
      <c r="L144" s="21">
        <v>0.0</v>
      </c>
      <c r="M144" s="23">
        <f>IFERROR(L144/L148, "NA")</f>
        <v>0</v>
      </c>
      <c r="N144" s="21">
        <v>0.0</v>
      </c>
      <c r="O144" s="23">
        <f>IFERROR(N144/N148, "NA")</f>
        <v>0</v>
      </c>
      <c r="P144" s="21">
        <v>0.0</v>
      </c>
      <c r="Q144" s="23">
        <f>IFERROR(P144/P148, "NA")</f>
        <v>0</v>
      </c>
      <c r="R144" s="21">
        <v>0.0</v>
      </c>
      <c r="S144" s="23">
        <f>IFERROR(R144/R148, "NA")</f>
        <v>0</v>
      </c>
      <c r="T144" s="21">
        <v>0.0</v>
      </c>
      <c r="U144" s="23">
        <f>IFERROR(T144/T148, "NA")</f>
        <v>0</v>
      </c>
      <c r="V144" s="21">
        <v>0.0</v>
      </c>
      <c r="W144" s="23">
        <f>IFERROR(V144/V148, "NA")</f>
        <v>0</v>
      </c>
      <c r="X144" s="21">
        <v>0.0</v>
      </c>
      <c r="Y144" s="23">
        <f>IFERROR(X144/X148, "NA")</f>
        <v>0</v>
      </c>
      <c r="Z144" s="21">
        <v>0.0</v>
      </c>
      <c r="AA144" s="23">
        <f>IFERROR(Z144/Z148, "NA")</f>
        <v>0</v>
      </c>
      <c r="AB144" s="28">
        <f t="shared" ref="AB144:AB145" si="67">IFERROR((R144+T144+V144+X144)/4, "NA")</f>
        <v>0</v>
      </c>
      <c r="AC144" s="23">
        <f>IFERROR(AB144/AB148, "NA")</f>
        <v>0</v>
      </c>
      <c r="AD144" s="29">
        <f t="shared" ref="AD144:AD145" si="68">IFERROR(X144-AB144, "NA")</f>
        <v>0</v>
      </c>
      <c r="AE144" s="30">
        <f>IFERROR(AD144/AD148, "NA")</f>
        <v>0</v>
      </c>
      <c r="AF144" s="29" t="str">
        <f t="shared" ref="AF144:AF145" si="69">IFERROR((X144-AB144)/AB144, "NA")</f>
        <v>NA</v>
      </c>
      <c r="AG144" s="28">
        <f t="shared" ref="AG144:AG145" si="70">IFERROR((J144+L144+N144+P144+R144+T144+V144+X144)/8, "NA")</f>
        <v>0</v>
      </c>
      <c r="AH144" s="23">
        <f>IFERROR(AG144/AG148, "NA")</f>
        <v>0</v>
      </c>
      <c r="AI144" s="29">
        <f t="shared" ref="AI144:AI145" si="71">IFERROR(X144-AG144, "NA")</f>
        <v>0</v>
      </c>
      <c r="AJ144" s="30">
        <f>IFERROR(AI144/AI148, "NA")</f>
        <v>0</v>
      </c>
      <c r="AK144" s="29" t="str">
        <f t="shared" ref="AK144:AK145" si="72">IFERROR((X144-AG144)/AG144, "NA")</f>
        <v>NA</v>
      </c>
      <c r="AL144" s="30" t="str">
        <f>IFERROR(AK144/AK148, "NA")</f>
        <v>NA</v>
      </c>
    </row>
    <row r="145" ht="16.5" hidden="1" customHeight="1">
      <c r="A145" s="65" t="s">
        <v>252</v>
      </c>
      <c r="B145" s="66">
        <f>IFERROR(B144, "NA")</f>
        <v>0</v>
      </c>
      <c r="C145" s="67">
        <f>IFERROR(B145/B148, "NA")</f>
        <v>0</v>
      </c>
      <c r="D145" s="66">
        <f>IFERROR(D144, "NA")</f>
        <v>0</v>
      </c>
      <c r="E145" s="67">
        <f>IFERROR(D145/D148, "NA")</f>
        <v>0</v>
      </c>
      <c r="F145" s="66">
        <f>IFERROR(F144, "NA")</f>
        <v>0</v>
      </c>
      <c r="G145" s="67">
        <f>IFERROR(F145/F148, "NA")</f>
        <v>0</v>
      </c>
      <c r="H145" s="66">
        <f>IFERROR(H144, "NA")</f>
        <v>0</v>
      </c>
      <c r="I145" s="67">
        <f>IFERROR(H145/H148, "NA")</f>
        <v>0</v>
      </c>
      <c r="J145" s="66">
        <f>IFERROR(J144, "NA")</f>
        <v>0</v>
      </c>
      <c r="K145" s="67">
        <f>IFERROR(J145/J148, "NA")</f>
        <v>0</v>
      </c>
      <c r="L145" s="66">
        <f>IFERROR(L144, "NA")</f>
        <v>0</v>
      </c>
      <c r="M145" s="67">
        <f>IFERROR(L145/L148, "NA")</f>
        <v>0</v>
      </c>
      <c r="N145" s="66">
        <f>IFERROR(N144, "NA")</f>
        <v>0</v>
      </c>
      <c r="O145" s="67">
        <f>IFERROR(N145/N148, "NA")</f>
        <v>0</v>
      </c>
      <c r="P145" s="66">
        <f>IFERROR(P144, "NA")</f>
        <v>0</v>
      </c>
      <c r="Q145" s="67">
        <f>IFERROR(P145/P148, "NA")</f>
        <v>0</v>
      </c>
      <c r="R145" s="66">
        <f>IFERROR(R144, "NA")</f>
        <v>0</v>
      </c>
      <c r="S145" s="67">
        <f>IFERROR(R145/R148, "NA")</f>
        <v>0</v>
      </c>
      <c r="T145" s="66">
        <f>IFERROR(T144, "NA")</f>
        <v>0</v>
      </c>
      <c r="U145" s="67">
        <f>IFERROR(T145/T148, "NA")</f>
        <v>0</v>
      </c>
      <c r="V145" s="66">
        <f>IFERROR(V144, "NA")</f>
        <v>0</v>
      </c>
      <c r="W145" s="67">
        <f>IFERROR(V145/V148, "NA")</f>
        <v>0</v>
      </c>
      <c r="X145" s="66">
        <f>IFERROR(X144, "NA")</f>
        <v>0</v>
      </c>
      <c r="Y145" s="67">
        <f>IFERROR(X145/X148, "NA")</f>
        <v>0</v>
      </c>
      <c r="Z145" s="66">
        <f>IFERROR(Z144, "NA")</f>
        <v>0</v>
      </c>
      <c r="AA145" s="67">
        <f>IFERROR(Z145/Z148, "NA")</f>
        <v>0</v>
      </c>
      <c r="AB145" s="66">
        <f t="shared" si="67"/>
        <v>0</v>
      </c>
      <c r="AC145" s="67">
        <f>IFERROR(AB145/AB148, "NA")</f>
        <v>0</v>
      </c>
      <c r="AD145" s="75">
        <f t="shared" si="68"/>
        <v>0</v>
      </c>
      <c r="AE145" s="76">
        <f>IFERROR(AD145/AD148, "NA")</f>
        <v>0</v>
      </c>
      <c r="AF145" s="75" t="str">
        <f t="shared" si="69"/>
        <v>NA</v>
      </c>
      <c r="AG145" s="66">
        <f t="shared" si="70"/>
        <v>0</v>
      </c>
      <c r="AH145" s="67">
        <f>IFERROR(AG145/AG148, "NA")</f>
        <v>0</v>
      </c>
      <c r="AI145" s="75">
        <f t="shared" si="71"/>
        <v>0</v>
      </c>
      <c r="AJ145" s="76">
        <f>IFERROR(AI145/AI148, "NA")</f>
        <v>0</v>
      </c>
      <c r="AK145" s="75" t="str">
        <f t="shared" si="72"/>
        <v>NA</v>
      </c>
      <c r="AL145" s="76" t="str">
        <f>IFERROR(AK145/AK148, "NA")</f>
        <v>NA</v>
      </c>
    </row>
    <row r="146" ht="3.75" hidden="1" customHeight="1">
      <c r="A146" s="123"/>
      <c r="B146" s="124"/>
      <c r="C146" s="74"/>
      <c r="D146" s="124"/>
      <c r="E146" s="74"/>
      <c r="F146" s="124"/>
      <c r="G146" s="74"/>
      <c r="H146" s="124"/>
      <c r="I146" s="74"/>
      <c r="J146" s="124"/>
      <c r="K146" s="74"/>
      <c r="L146" s="124"/>
      <c r="M146" s="74"/>
      <c r="N146" s="124"/>
      <c r="O146" s="74"/>
      <c r="P146" s="124"/>
      <c r="Q146" s="74"/>
      <c r="R146" s="124"/>
      <c r="S146" s="74"/>
      <c r="T146" s="124"/>
      <c r="U146" s="74"/>
      <c r="V146" s="124"/>
      <c r="W146" s="74"/>
      <c r="X146" s="124"/>
      <c r="Y146" s="74"/>
      <c r="Z146" s="124"/>
      <c r="AA146" s="74"/>
      <c r="AB146" s="124"/>
      <c r="AC146" s="74"/>
      <c r="AD146" s="125"/>
      <c r="AE146" s="80"/>
      <c r="AF146" s="125"/>
      <c r="AG146" s="124"/>
      <c r="AH146" s="74"/>
      <c r="AI146" s="125"/>
      <c r="AJ146" s="80"/>
      <c r="AK146" s="125"/>
      <c r="AL146" s="80"/>
    </row>
    <row r="147" ht="16.5" hidden="1" customHeight="1">
      <c r="A147" s="121" t="s">
        <v>253</v>
      </c>
      <c r="B147" s="122">
        <f>IFERROR(B137-B141-B145, "NA")</f>
        <v>18647.92</v>
      </c>
      <c r="C147" s="94">
        <f>IFERROR(B147/B148, "NA")</f>
        <v>0.3993899468</v>
      </c>
      <c r="D147" s="122">
        <f>IFERROR(D137-D141-D145, "NA")</f>
        <v>16216.28</v>
      </c>
      <c r="E147" s="94">
        <f>IFERROR(D147/D148, "NA")</f>
        <v>0.3625919601</v>
      </c>
      <c r="F147" s="122">
        <f>IFERROR(F137-F141-F145, "NA")</f>
        <v>-10199.18</v>
      </c>
      <c r="G147" s="94">
        <f>IFERROR(F147/F148, "NA")</f>
        <v>-0.421126389</v>
      </c>
      <c r="H147" s="122">
        <f>IFERROR(H137-H141-H145, "NA")</f>
        <v>265.98</v>
      </c>
      <c r="I147" s="94">
        <f>IFERROR(H147/H148, "NA")</f>
        <v>0.02099468621</v>
      </c>
      <c r="J147" s="122">
        <f>IFERROR(J137-J141-J145, "NA")</f>
        <v>3734.42</v>
      </c>
      <c r="K147" s="94">
        <f>IFERROR(J147/J148, "NA")</f>
        <v>0.1623139348</v>
      </c>
      <c r="L147" s="122">
        <f>IFERROR(L137-L141-L145, "NA")</f>
        <v>1776.25</v>
      </c>
      <c r="M147" s="94">
        <f>IFERROR(L147/L148, "NA")</f>
        <v>0.09096165093</v>
      </c>
      <c r="N147" s="122">
        <f>IFERROR(N137-N141-N145, "NA")</f>
        <v>991.56</v>
      </c>
      <c r="O147" s="94">
        <f>IFERROR(N147/N148, "NA")</f>
        <v>0.04550557002</v>
      </c>
      <c r="P147" s="122">
        <f>IFERROR(P137-P141-P145, "NA")</f>
        <v>-17625.01</v>
      </c>
      <c r="Q147" s="94">
        <f>IFERROR(P147/P148, "NA")</f>
        <v>-2.003837133</v>
      </c>
      <c r="R147" s="122">
        <f>IFERROR(R137-R141-R145, "NA")</f>
        <v>-2027.12</v>
      </c>
      <c r="S147" s="94">
        <f>IFERROR(R147/R148, "NA")</f>
        <v>-0.1877441015</v>
      </c>
      <c r="T147" s="122">
        <f>IFERROR(T137-T141-T145, "NA")</f>
        <v>4321.47</v>
      </c>
      <c r="U147" s="94">
        <f>IFERROR(T147/T148, "NA")</f>
        <v>0.2000092565</v>
      </c>
      <c r="V147" s="122">
        <f>IFERROR(V137-V141-V145, "NA")</f>
        <v>3057.22</v>
      </c>
      <c r="W147" s="94">
        <f>IFERROR(V147/V148, "NA")</f>
        <v>0.1328143361</v>
      </c>
      <c r="X147" s="122">
        <f>IFERROR(X137-X141-X145, "NA")</f>
        <v>-9863.55</v>
      </c>
      <c r="Y147" s="94">
        <f>IFERROR(X147/X148, "NA")</f>
        <v>-0.6025223528</v>
      </c>
      <c r="Z147" s="122">
        <f>IFERROR(Z137-Z141-Z145, "NA")</f>
        <v>-4511.98</v>
      </c>
      <c r="AA147" s="94">
        <f>IFERROR(Z147/Z148, "NA")</f>
        <v>-0.06284726681</v>
      </c>
      <c r="AB147" s="122">
        <f t="shared" ref="AB147:AB148" si="73">IFERROR((R147+T147+V147+X147)/4, "NA")</f>
        <v>-1127.995</v>
      </c>
      <c r="AC147" s="94">
        <f>IFERROR(AB147/AB148, "NA")</f>
        <v>-0.06284726681</v>
      </c>
      <c r="AD147" s="75">
        <f t="shared" ref="AD147:AD148" si="74">IFERROR(X147-AB147, "NA")</f>
        <v>-8735.555</v>
      </c>
      <c r="AE147" s="76">
        <f>IFERROR(AD147/AD148, "NA")</f>
        <v>5.536664205</v>
      </c>
      <c r="AF147" s="75">
        <f t="shared" ref="AF147:AF148" si="75">IFERROR((X147-AB147)/AB147, "NA")</f>
        <v>7.744320675</v>
      </c>
      <c r="AG147" s="122">
        <f t="shared" ref="AG147:AG148" si="76">IFERROR((J147+L147+N147+P147+R147+T147+V147+X147)/8, "NA")</f>
        <v>-1954.345</v>
      </c>
      <c r="AH147" s="94">
        <f>IFERROR(AG147/AG148, "NA")</f>
        <v>-0.1078905761</v>
      </c>
      <c r="AI147" s="75">
        <f t="shared" ref="AI147:AI148" si="77">IFERROR(X147-AG147, "NA")</f>
        <v>-7909.205</v>
      </c>
      <c r="AJ147" s="76">
        <f>IFERROR(AI147/AI148, "NA")</f>
        <v>4.535848851</v>
      </c>
      <c r="AK147" s="75">
        <f t="shared" ref="AK147:AK148" si="78">IFERROR((X147-AG147)/AG147, "NA")</f>
        <v>4.046985051</v>
      </c>
      <c r="AL147" s="76">
        <f>IFERROR(AK147/AK148, "NA")</f>
        <v>-42.04119595</v>
      </c>
    </row>
    <row r="148" ht="14.25" hidden="1" customHeight="1">
      <c r="A148" s="19" t="s">
        <v>54</v>
      </c>
      <c r="B148" s="21">
        <v>46691.01</v>
      </c>
      <c r="C148" s="128"/>
      <c r="D148" s="21">
        <v>44723.22</v>
      </c>
      <c r="E148" s="128"/>
      <c r="F148" s="21">
        <v>24218.81</v>
      </c>
      <c r="G148" s="128"/>
      <c r="H148" s="21">
        <v>12668.92</v>
      </c>
      <c r="I148" s="128"/>
      <c r="J148" s="21">
        <v>23007.39</v>
      </c>
      <c r="K148" s="128"/>
      <c r="L148" s="21">
        <v>19527.46</v>
      </c>
      <c r="M148" s="128"/>
      <c r="N148" s="21">
        <v>21789.86</v>
      </c>
      <c r="O148" s="128"/>
      <c r="P148" s="21">
        <v>8795.63</v>
      </c>
      <c r="Q148" s="128"/>
      <c r="R148" s="21">
        <v>10797.25</v>
      </c>
      <c r="S148" s="128"/>
      <c r="T148" s="21">
        <v>21606.35</v>
      </c>
      <c r="U148" s="128"/>
      <c r="V148" s="21">
        <v>23018.75</v>
      </c>
      <c r="W148" s="128"/>
      <c r="X148" s="21">
        <v>16370.43</v>
      </c>
      <c r="Y148" s="128"/>
      <c r="Z148" s="21">
        <v>71792.78</v>
      </c>
      <c r="AA148" s="128"/>
      <c r="AB148" s="28">
        <f t="shared" si="73"/>
        <v>17948.195</v>
      </c>
      <c r="AC148" s="128"/>
      <c r="AD148" s="29">
        <f t="shared" si="74"/>
        <v>-1577.765</v>
      </c>
      <c r="AE148" s="129"/>
      <c r="AF148" s="29">
        <f t="shared" si="75"/>
        <v>-0.08790661122</v>
      </c>
      <c r="AG148" s="28">
        <f t="shared" si="76"/>
        <v>18114.14</v>
      </c>
      <c r="AH148" s="128"/>
      <c r="AI148" s="29">
        <f t="shared" si="77"/>
        <v>-1743.71</v>
      </c>
      <c r="AJ148" s="129"/>
      <c r="AK148" s="29">
        <f t="shared" si="78"/>
        <v>-0.09626236741</v>
      </c>
      <c r="AL148" s="129"/>
    </row>
    <row r="149" ht="14.25" customHeight="1"/>
    <row r="150" ht="14.25" customHeight="1"/>
    <row r="151" ht="14.25" customHeight="1">
      <c r="A151" s="130" t="s">
        <v>254</v>
      </c>
    </row>
    <row r="152" ht="14.25" customHeight="1">
      <c r="A152" s="130" t="s">
        <v>255</v>
      </c>
    </row>
    <row r="153" ht="14.25" customHeight="1">
      <c r="A153" s="130" t="s">
        <v>256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2" t="s">
        <v>0</v>
      </c>
    </row>
    <row r="2" ht="14.25" customHeight="1">
      <c r="A2" s="4" t="s">
        <v>1</v>
      </c>
    </row>
    <row r="3" ht="14.25" customHeight="1">
      <c r="A3" s="5" t="s">
        <v>93</v>
      </c>
    </row>
    <row r="4" ht="14.25" customHeight="1"/>
    <row r="5" ht="13.5" customHeight="1">
      <c r="A5" s="7"/>
      <c r="B5" s="1" t="s">
        <v>3</v>
      </c>
      <c r="D5" s="1" t="s">
        <v>4</v>
      </c>
      <c r="F5" s="1" t="s">
        <v>5</v>
      </c>
      <c r="H5" s="1" t="s">
        <v>7</v>
      </c>
      <c r="J5" s="1" t="s">
        <v>8</v>
      </c>
      <c r="L5" s="1" t="s">
        <v>10</v>
      </c>
      <c r="N5" s="1" t="s">
        <v>11</v>
      </c>
      <c r="P5" s="1" t="s">
        <v>13</v>
      </c>
      <c r="R5" s="1" t="s">
        <v>15</v>
      </c>
      <c r="T5" s="1" t="s">
        <v>17</v>
      </c>
      <c r="V5" s="1" t="s">
        <v>19</v>
      </c>
      <c r="X5" s="1" t="s">
        <v>21</v>
      </c>
      <c r="Z5" s="1" t="s">
        <v>22</v>
      </c>
      <c r="AB5" s="1" t="s">
        <v>24</v>
      </c>
      <c r="AD5" s="10" t="s">
        <v>26</v>
      </c>
      <c r="AF5" s="10" t="s">
        <v>27</v>
      </c>
      <c r="AG5" s="1" t="s">
        <v>29</v>
      </c>
      <c r="AI5" s="10" t="s">
        <v>30</v>
      </c>
      <c r="AK5" s="10" t="s">
        <v>31</v>
      </c>
    </row>
    <row r="6" ht="16.5" customHeight="1">
      <c r="A6" s="13" t="s">
        <v>25</v>
      </c>
      <c r="B6" s="14"/>
      <c r="C6" s="12"/>
      <c r="D6" s="14"/>
      <c r="E6" s="12"/>
      <c r="F6" s="14"/>
      <c r="G6" s="12"/>
      <c r="H6" s="14"/>
      <c r="I6" s="12"/>
      <c r="J6" s="14"/>
      <c r="K6" s="12"/>
      <c r="L6" s="14"/>
      <c r="M6" s="12"/>
      <c r="N6" s="14"/>
      <c r="O6" s="12"/>
      <c r="P6" s="14"/>
      <c r="Q6" s="12"/>
      <c r="R6" s="14"/>
      <c r="S6" s="12"/>
      <c r="T6" s="14"/>
      <c r="U6" s="12"/>
      <c r="V6" s="14"/>
      <c r="W6" s="12"/>
      <c r="X6" s="14"/>
      <c r="Y6" s="12"/>
      <c r="Z6" s="14"/>
      <c r="AA6" s="12"/>
      <c r="AB6" s="14"/>
      <c r="AC6" s="12"/>
      <c r="AD6" s="17"/>
      <c r="AE6" s="18"/>
      <c r="AF6" s="17"/>
      <c r="AG6" s="14"/>
      <c r="AH6" s="12"/>
      <c r="AI6" s="17"/>
      <c r="AJ6" s="18"/>
      <c r="AK6" s="17"/>
      <c r="AL6" s="18"/>
    </row>
    <row r="7" ht="16.5" customHeight="1">
      <c r="A7" s="19" t="s">
        <v>25</v>
      </c>
      <c r="B7" s="21">
        <v>29091.57</v>
      </c>
      <c r="C7" s="23">
        <f>IFERROR(B7/B148, "NA")</f>
        <v>1</v>
      </c>
      <c r="D7" s="21">
        <v>24529.7</v>
      </c>
      <c r="E7" s="23">
        <f>IFERROR(D7/D148, "NA")</f>
        <v>1</v>
      </c>
      <c r="F7" s="21">
        <v>28023.15</v>
      </c>
      <c r="G7" s="23">
        <f>IFERROR(F7/F148, "NA")</f>
        <v>1</v>
      </c>
      <c r="H7" s="21">
        <v>17046.87</v>
      </c>
      <c r="I7" s="23">
        <f>IFERROR(H7/H148, "NA")</f>
        <v>1</v>
      </c>
      <c r="J7" s="21">
        <v>22640.59</v>
      </c>
      <c r="K7" s="23">
        <f>IFERROR(J7/J148, "NA")</f>
        <v>1</v>
      </c>
      <c r="L7" s="21">
        <v>29263.81</v>
      </c>
      <c r="M7" s="23">
        <f>IFERROR(L7/L148, "NA")</f>
        <v>1</v>
      </c>
      <c r="N7" s="21">
        <v>22047.2</v>
      </c>
      <c r="O7" s="23">
        <f>IFERROR(N7/N148, "NA")</f>
        <v>1</v>
      </c>
      <c r="P7" s="21">
        <v>14701.93</v>
      </c>
      <c r="Q7" s="23">
        <f>IFERROR(P7/P148, "NA")</f>
        <v>1</v>
      </c>
      <c r="R7" s="21">
        <v>15041.74</v>
      </c>
      <c r="S7" s="23">
        <f>IFERROR(R7/R148, "NA")</f>
        <v>1</v>
      </c>
      <c r="T7" s="21">
        <v>18601.86</v>
      </c>
      <c r="U7" s="23">
        <f>IFERROR(T7/T148, "NA")</f>
        <v>1</v>
      </c>
      <c r="V7" s="21">
        <v>21008.02</v>
      </c>
      <c r="W7" s="23">
        <f>IFERROR(V7/V148, "NA")</f>
        <v>1</v>
      </c>
      <c r="X7" s="21">
        <v>17376.74</v>
      </c>
      <c r="Y7" s="23">
        <f>IFERROR(X7/X148, "NA")</f>
        <v>1</v>
      </c>
      <c r="Z7" s="21">
        <v>72028.36</v>
      </c>
      <c r="AA7" s="23">
        <f>IFERROR(Z7/Z148, "NA")</f>
        <v>1</v>
      </c>
      <c r="AB7" s="28">
        <f t="shared" ref="AB7:AB9" si="1">IFERROR((R7+T7+V7+X7)/4, "NA")</f>
        <v>18007.09</v>
      </c>
      <c r="AC7" s="23">
        <f>IFERROR(AB7/AB148, "NA")</f>
        <v>1</v>
      </c>
      <c r="AD7" s="29">
        <f t="shared" ref="AD7:AD9" si="2">IFERROR(X7-AB7, "NA")</f>
        <v>-630.35</v>
      </c>
      <c r="AE7" s="30">
        <f>IFERROR(AD7/AD148, "NA")</f>
        <v>1</v>
      </c>
      <c r="AF7" s="29">
        <f t="shared" ref="AF7:AF9" si="3">IFERROR((X7-AB7)/AB7, "NA")</f>
        <v>-0.03500565611</v>
      </c>
      <c r="AG7" s="28">
        <f t="shared" ref="AG7:AG9" si="4">IFERROR((J7+L7+N7+P7+R7+T7+V7+X7)/8, "NA")</f>
        <v>20085.23625</v>
      </c>
      <c r="AH7" s="23">
        <f>IFERROR(AG7/AG148, "NA")</f>
        <v>1</v>
      </c>
      <c r="AI7" s="29">
        <f t="shared" ref="AI7:AI9" si="5">IFERROR(X7-AG7, "NA")</f>
        <v>-2708.49625</v>
      </c>
      <c r="AJ7" s="30">
        <f>IFERROR(AI7/AI148, "NA")</f>
        <v>1</v>
      </c>
      <c r="AK7" s="29">
        <f t="shared" ref="AK7:AK9" si="6">IFERROR((X7-AG7)/AG7, "NA")</f>
        <v>-0.1348501066</v>
      </c>
      <c r="AL7" s="30">
        <f>IFERROR(AK7/AK148, "NA")</f>
        <v>1</v>
      </c>
    </row>
    <row r="8" ht="30.75" hidden="1" customHeight="1">
      <c r="A8" s="19" t="s">
        <v>46</v>
      </c>
      <c r="B8" s="21">
        <v>0.0</v>
      </c>
      <c r="C8" s="23">
        <f>IFERROR(B8/B148, "NA")</f>
        <v>0</v>
      </c>
      <c r="D8" s="21">
        <v>0.0</v>
      </c>
      <c r="E8" s="23">
        <f>IFERROR(D8/D148, "NA")</f>
        <v>0</v>
      </c>
      <c r="F8" s="21">
        <v>0.0</v>
      </c>
      <c r="G8" s="23">
        <f>IFERROR(F8/F148, "NA")</f>
        <v>0</v>
      </c>
      <c r="H8" s="21">
        <v>0.0</v>
      </c>
      <c r="I8" s="23">
        <f>IFERROR(H8/H148, "NA")</f>
        <v>0</v>
      </c>
      <c r="J8" s="21">
        <v>0.0</v>
      </c>
      <c r="K8" s="23">
        <f>IFERROR(J8/J148, "NA")</f>
        <v>0</v>
      </c>
      <c r="L8" s="21">
        <v>0.0</v>
      </c>
      <c r="M8" s="23">
        <f>IFERROR(L8/L148, "NA")</f>
        <v>0</v>
      </c>
      <c r="N8" s="21">
        <v>0.0</v>
      </c>
      <c r="O8" s="23">
        <f>IFERROR(N8/N148, "NA")</f>
        <v>0</v>
      </c>
      <c r="P8" s="21">
        <v>0.0</v>
      </c>
      <c r="Q8" s="23">
        <f>IFERROR(P8/P148, "NA")</f>
        <v>0</v>
      </c>
      <c r="R8" s="21">
        <v>0.0</v>
      </c>
      <c r="S8" s="23">
        <f>IFERROR(R8/R148, "NA")</f>
        <v>0</v>
      </c>
      <c r="T8" s="21">
        <v>0.0</v>
      </c>
      <c r="U8" s="23">
        <f>IFERROR(T8/T148, "NA")</f>
        <v>0</v>
      </c>
      <c r="V8" s="21">
        <v>0.0</v>
      </c>
      <c r="W8" s="23">
        <f>IFERROR(V8/V148, "NA")</f>
        <v>0</v>
      </c>
      <c r="X8" s="21">
        <v>0.0</v>
      </c>
      <c r="Y8" s="23">
        <f>IFERROR(X8/X148, "NA")</f>
        <v>0</v>
      </c>
      <c r="Z8" s="21">
        <v>0.0</v>
      </c>
      <c r="AA8" s="23">
        <f>IFERROR(Z8/Z148, "NA")</f>
        <v>0</v>
      </c>
      <c r="AB8" s="28">
        <f t="shared" si="1"/>
        <v>0</v>
      </c>
      <c r="AC8" s="23">
        <f>IFERROR(AB8/AB148, "NA")</f>
        <v>0</v>
      </c>
      <c r="AD8" s="29">
        <f t="shared" si="2"/>
        <v>0</v>
      </c>
      <c r="AE8" s="30">
        <f>IFERROR(AD8/AD148, "NA")</f>
        <v>0</v>
      </c>
      <c r="AF8" s="29" t="str">
        <f t="shared" si="3"/>
        <v>NA</v>
      </c>
      <c r="AG8" s="28">
        <f t="shared" si="4"/>
        <v>0</v>
      </c>
      <c r="AH8" s="23">
        <f>IFERROR(AG8/AG148, "NA")</f>
        <v>0</v>
      </c>
      <c r="AI8" s="29">
        <f t="shared" si="5"/>
        <v>0</v>
      </c>
      <c r="AJ8" s="30">
        <f>IFERROR(AI8/AI148, "NA")</f>
        <v>0</v>
      </c>
      <c r="AK8" s="29" t="str">
        <f t="shared" si="6"/>
        <v>NA</v>
      </c>
      <c r="AL8" s="30" t="str">
        <f>IFERROR(AK8/AK148, "NA")</f>
        <v>NA</v>
      </c>
    </row>
    <row r="9" ht="16.5" customHeight="1">
      <c r="A9" s="65" t="s">
        <v>54</v>
      </c>
      <c r="B9" s="66">
        <f>IFERROR(B7+B8, "NA")</f>
        <v>29091.57</v>
      </c>
      <c r="C9" s="67">
        <f>IFERROR(B9/B148, "NA")</f>
        <v>1</v>
      </c>
      <c r="D9" s="66">
        <f>IFERROR(D7+D8, "NA")</f>
        <v>24529.7</v>
      </c>
      <c r="E9" s="67">
        <f>IFERROR(D9/D148, "NA")</f>
        <v>1</v>
      </c>
      <c r="F9" s="66">
        <f>IFERROR(F7+F8, "NA")</f>
        <v>28023.15</v>
      </c>
      <c r="G9" s="67">
        <f>IFERROR(F9/F148, "NA")</f>
        <v>1</v>
      </c>
      <c r="H9" s="66">
        <f>IFERROR(H7+H8, "NA")</f>
        <v>17046.87</v>
      </c>
      <c r="I9" s="67">
        <f>IFERROR(H9/H148, "NA")</f>
        <v>1</v>
      </c>
      <c r="J9" s="66">
        <f>IFERROR(J7+J8, "NA")</f>
        <v>22640.59</v>
      </c>
      <c r="K9" s="67">
        <f>IFERROR(J9/J148, "NA")</f>
        <v>1</v>
      </c>
      <c r="L9" s="66">
        <f>IFERROR(L7+L8, "NA")</f>
        <v>29263.81</v>
      </c>
      <c r="M9" s="67">
        <f>IFERROR(L9/L148, "NA")</f>
        <v>1</v>
      </c>
      <c r="N9" s="66">
        <f>IFERROR(N7+N8, "NA")</f>
        <v>22047.2</v>
      </c>
      <c r="O9" s="67">
        <f>IFERROR(N9/N148, "NA")</f>
        <v>1</v>
      </c>
      <c r="P9" s="66">
        <f>IFERROR(P7+P8, "NA")</f>
        <v>14701.93</v>
      </c>
      <c r="Q9" s="67">
        <f>IFERROR(P9/P148, "NA")</f>
        <v>1</v>
      </c>
      <c r="R9" s="66">
        <f>IFERROR(R7+R8, "NA")</f>
        <v>15041.74</v>
      </c>
      <c r="S9" s="67">
        <f>IFERROR(R9/R148, "NA")</f>
        <v>1</v>
      </c>
      <c r="T9" s="66">
        <f>IFERROR(T7+T8, "NA")</f>
        <v>18601.86</v>
      </c>
      <c r="U9" s="67">
        <f>IFERROR(T9/T148, "NA")</f>
        <v>1</v>
      </c>
      <c r="V9" s="66">
        <f>IFERROR(V7+V8, "NA")</f>
        <v>21008.02</v>
      </c>
      <c r="W9" s="67">
        <f>IFERROR(V9/V148, "NA")</f>
        <v>1</v>
      </c>
      <c r="X9" s="66">
        <f>IFERROR(X7+X8, "NA")</f>
        <v>17376.74</v>
      </c>
      <c r="Y9" s="67">
        <f>IFERROR(X9/X148, "NA")</f>
        <v>1</v>
      </c>
      <c r="Z9" s="66">
        <f>IFERROR(Z7+Z8, "NA")</f>
        <v>72028.36</v>
      </c>
      <c r="AA9" s="67">
        <f>IFERROR(Z9/Z148, "NA")</f>
        <v>1</v>
      </c>
      <c r="AB9" s="66">
        <f t="shared" si="1"/>
        <v>18007.09</v>
      </c>
      <c r="AC9" s="67">
        <f>IFERROR(AB9/AB148, "NA")</f>
        <v>1</v>
      </c>
      <c r="AD9" s="75">
        <f t="shared" si="2"/>
        <v>-630.35</v>
      </c>
      <c r="AE9" s="76">
        <f>IFERROR(AD9/AD148, "NA")</f>
        <v>1</v>
      </c>
      <c r="AF9" s="75">
        <f t="shared" si="3"/>
        <v>-0.03500565611</v>
      </c>
      <c r="AG9" s="66">
        <f t="shared" si="4"/>
        <v>20085.23625</v>
      </c>
      <c r="AH9" s="67">
        <f>IFERROR(AG9/AG148, "NA")</f>
        <v>1</v>
      </c>
      <c r="AI9" s="75">
        <f t="shared" si="5"/>
        <v>-2708.49625</v>
      </c>
      <c r="AJ9" s="76">
        <f>IFERROR(AI9/AI148, "NA")</f>
        <v>1</v>
      </c>
      <c r="AK9" s="75">
        <f t="shared" si="6"/>
        <v>-0.1348501066</v>
      </c>
      <c r="AL9" s="76">
        <f>IFERROR(AK9/AK148, "NA")</f>
        <v>1</v>
      </c>
    </row>
    <row r="10" ht="3.75" customHeight="1">
      <c r="A10" s="77"/>
      <c r="B10" s="78"/>
      <c r="C10" s="74"/>
      <c r="D10" s="78"/>
      <c r="E10" s="74"/>
      <c r="F10" s="78"/>
      <c r="G10" s="74"/>
      <c r="H10" s="78"/>
      <c r="I10" s="74"/>
      <c r="J10" s="78"/>
      <c r="K10" s="74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4"/>
      <c r="AB10" s="78"/>
      <c r="AC10" s="74"/>
      <c r="AD10" s="79"/>
      <c r="AE10" s="80"/>
      <c r="AF10" s="79"/>
      <c r="AG10" s="78"/>
      <c r="AH10" s="74"/>
      <c r="AI10" s="79"/>
      <c r="AJ10" s="80"/>
      <c r="AK10" s="79"/>
      <c r="AL10" s="80"/>
    </row>
    <row r="11" ht="16.5" customHeight="1">
      <c r="A11" s="13" t="s">
        <v>65</v>
      </c>
      <c r="B11" s="14"/>
      <c r="C11" s="12"/>
      <c r="D11" s="14"/>
      <c r="E11" s="12"/>
      <c r="F11" s="14"/>
      <c r="G11" s="12"/>
      <c r="H11" s="14"/>
      <c r="I11" s="12"/>
      <c r="J11" s="14"/>
      <c r="K11" s="12"/>
      <c r="L11" s="14"/>
      <c r="M11" s="12"/>
      <c r="N11" s="14"/>
      <c r="O11" s="12"/>
      <c r="P11" s="14"/>
      <c r="Q11" s="12"/>
      <c r="R11" s="14"/>
      <c r="S11" s="12"/>
      <c r="T11" s="14"/>
      <c r="U11" s="12"/>
      <c r="V11" s="14"/>
      <c r="W11" s="12"/>
      <c r="X11" s="14"/>
      <c r="Y11" s="12"/>
      <c r="Z11" s="14"/>
      <c r="AA11" s="12"/>
      <c r="AB11" s="14"/>
      <c r="AC11" s="12"/>
      <c r="AD11" s="17"/>
      <c r="AE11" s="18"/>
      <c r="AF11" s="17"/>
      <c r="AG11" s="14"/>
      <c r="AH11" s="12"/>
      <c r="AI11" s="17"/>
      <c r="AJ11" s="18"/>
      <c r="AK11" s="17"/>
      <c r="AL11" s="18"/>
    </row>
    <row r="12" ht="16.5" customHeight="1">
      <c r="A12" s="13" t="s">
        <v>66</v>
      </c>
      <c r="B12" s="14"/>
      <c r="C12" s="12"/>
      <c r="D12" s="14"/>
      <c r="E12" s="12"/>
      <c r="F12" s="14"/>
      <c r="G12" s="12"/>
      <c r="H12" s="14"/>
      <c r="I12" s="12"/>
      <c r="J12" s="14"/>
      <c r="K12" s="12"/>
      <c r="L12" s="14"/>
      <c r="M12" s="12"/>
      <c r="N12" s="14"/>
      <c r="O12" s="12"/>
      <c r="P12" s="14"/>
      <c r="Q12" s="12"/>
      <c r="R12" s="14"/>
      <c r="S12" s="12"/>
      <c r="T12" s="14"/>
      <c r="U12" s="12"/>
      <c r="V12" s="14"/>
      <c r="W12" s="12"/>
      <c r="X12" s="14"/>
      <c r="Y12" s="12"/>
      <c r="Z12" s="14"/>
      <c r="AA12" s="12"/>
      <c r="AB12" s="14"/>
      <c r="AC12" s="12"/>
      <c r="AD12" s="17"/>
      <c r="AE12" s="18"/>
      <c r="AF12" s="17"/>
      <c r="AG12" s="14"/>
      <c r="AH12" s="12"/>
      <c r="AI12" s="17"/>
      <c r="AJ12" s="18"/>
      <c r="AK12" s="17"/>
      <c r="AL12" s="18"/>
    </row>
    <row r="13" ht="16.5" hidden="1" customHeight="1">
      <c r="A13" s="19" t="s">
        <v>67</v>
      </c>
      <c r="B13" s="21">
        <v>0.0</v>
      </c>
      <c r="C13" s="23">
        <f>IFERROR(B13/B148, "NA")</f>
        <v>0</v>
      </c>
      <c r="D13" s="21">
        <v>0.0</v>
      </c>
      <c r="E13" s="23">
        <f>IFERROR(D13/D148, "NA")</f>
        <v>0</v>
      </c>
      <c r="F13" s="21">
        <v>0.0</v>
      </c>
      <c r="G13" s="23">
        <f>IFERROR(F13/F148, "NA")</f>
        <v>0</v>
      </c>
      <c r="H13" s="21">
        <v>0.0</v>
      </c>
      <c r="I13" s="23">
        <f>IFERROR(H13/H148, "NA")</f>
        <v>0</v>
      </c>
      <c r="J13" s="21">
        <v>0.0</v>
      </c>
      <c r="K13" s="23">
        <f>IFERROR(J13/J148, "NA")</f>
        <v>0</v>
      </c>
      <c r="L13" s="21">
        <v>0.0</v>
      </c>
      <c r="M13" s="23">
        <f>IFERROR(L13/L148, "NA")</f>
        <v>0</v>
      </c>
      <c r="N13" s="21">
        <v>0.0</v>
      </c>
      <c r="O13" s="23">
        <f>IFERROR(N13/N148, "NA")</f>
        <v>0</v>
      </c>
      <c r="P13" s="21">
        <v>0.0</v>
      </c>
      <c r="Q13" s="23">
        <f>IFERROR(P13/P148, "NA")</f>
        <v>0</v>
      </c>
      <c r="R13" s="21">
        <v>0.0</v>
      </c>
      <c r="S13" s="23">
        <f>IFERROR(R13/R148, "NA")</f>
        <v>0</v>
      </c>
      <c r="T13" s="21">
        <v>0.0</v>
      </c>
      <c r="U13" s="23">
        <f>IFERROR(T13/T148, "NA")</f>
        <v>0</v>
      </c>
      <c r="V13" s="21">
        <v>0.0</v>
      </c>
      <c r="W13" s="23">
        <f>IFERROR(V13/V148, "NA")</f>
        <v>0</v>
      </c>
      <c r="X13" s="21">
        <v>0.0</v>
      </c>
      <c r="Y13" s="23">
        <f>IFERROR(X13/X148, "NA")</f>
        <v>0</v>
      </c>
      <c r="Z13" s="21">
        <v>0.0</v>
      </c>
      <c r="AA13" s="23">
        <f>IFERROR(Z13/Z148, "NA")</f>
        <v>0</v>
      </c>
      <c r="AB13" s="28">
        <f>IFERROR((R13+T13+V13+X13)/4, "NA")</f>
        <v>0</v>
      </c>
      <c r="AC13" s="23">
        <f>IFERROR(AB13/AB148, "NA")</f>
        <v>0</v>
      </c>
      <c r="AD13" s="29">
        <f>IFERROR(X13-AB13, "NA")</f>
        <v>0</v>
      </c>
      <c r="AE13" s="30">
        <f>IFERROR(AD13/AD148, "NA")</f>
        <v>0</v>
      </c>
      <c r="AF13" s="29" t="str">
        <f>IFERROR((X13-AB13)/AB13, "NA")</f>
        <v>NA</v>
      </c>
      <c r="AG13" s="28">
        <f>IFERROR((J13+L13+N13+P13+R13+T13+V13+X13)/8, "NA")</f>
        <v>0</v>
      </c>
      <c r="AH13" s="23">
        <f>IFERROR(AG13/AG148, "NA")</f>
        <v>0</v>
      </c>
      <c r="AI13" s="29">
        <f>IFERROR(X13-AG13, "NA")</f>
        <v>0</v>
      </c>
      <c r="AJ13" s="30">
        <f>IFERROR(AI13/AI148, "NA")</f>
        <v>0</v>
      </c>
      <c r="AK13" s="29" t="str">
        <f>IFERROR((X13-AG13)/AG13, "NA")</f>
        <v>NA</v>
      </c>
      <c r="AL13" s="30" t="str">
        <f>IFERROR(AK13/AK148, "NA")</f>
        <v>NA</v>
      </c>
    </row>
    <row r="14" ht="16.5" customHeight="1">
      <c r="A14" s="13" t="s">
        <v>68</v>
      </c>
      <c r="B14" s="14"/>
      <c r="C14" s="12"/>
      <c r="D14" s="14"/>
      <c r="E14" s="12"/>
      <c r="F14" s="14"/>
      <c r="G14" s="12"/>
      <c r="H14" s="14"/>
      <c r="I14" s="12"/>
      <c r="J14" s="14"/>
      <c r="K14" s="12"/>
      <c r="L14" s="14"/>
      <c r="M14" s="12"/>
      <c r="N14" s="14"/>
      <c r="O14" s="12"/>
      <c r="P14" s="14"/>
      <c r="Q14" s="12"/>
      <c r="R14" s="14"/>
      <c r="S14" s="12"/>
      <c r="T14" s="14"/>
      <c r="U14" s="12"/>
      <c r="V14" s="14"/>
      <c r="W14" s="12"/>
      <c r="X14" s="14"/>
      <c r="Y14" s="12"/>
      <c r="Z14" s="14"/>
      <c r="AA14" s="12"/>
      <c r="AB14" s="14"/>
      <c r="AC14" s="12"/>
      <c r="AD14" s="17"/>
      <c r="AE14" s="18"/>
      <c r="AF14" s="17"/>
      <c r="AG14" s="14"/>
      <c r="AH14" s="12"/>
      <c r="AI14" s="17"/>
      <c r="AJ14" s="18"/>
      <c r="AK14" s="17"/>
      <c r="AL14" s="18"/>
    </row>
    <row r="15" ht="16.5" hidden="1" customHeight="1">
      <c r="A15" s="19" t="s">
        <v>69</v>
      </c>
      <c r="B15" s="21">
        <v>0.0</v>
      </c>
      <c r="C15" s="23">
        <f>IFERROR(B15/B148, "NA")</f>
        <v>0</v>
      </c>
      <c r="D15" s="21">
        <v>0.0</v>
      </c>
      <c r="E15" s="23">
        <f>IFERROR(D15/D148, "NA")</f>
        <v>0</v>
      </c>
      <c r="F15" s="21">
        <v>0.0</v>
      </c>
      <c r="G15" s="23">
        <f>IFERROR(F15/F148, "NA")</f>
        <v>0</v>
      </c>
      <c r="H15" s="21">
        <v>0.0</v>
      </c>
      <c r="I15" s="23">
        <f>IFERROR(H15/H148, "NA")</f>
        <v>0</v>
      </c>
      <c r="J15" s="21">
        <v>0.0</v>
      </c>
      <c r="K15" s="23">
        <f>IFERROR(J15/J148, "NA")</f>
        <v>0</v>
      </c>
      <c r="L15" s="21">
        <v>0.0</v>
      </c>
      <c r="M15" s="23">
        <f>IFERROR(L15/L148, "NA")</f>
        <v>0</v>
      </c>
      <c r="N15" s="21">
        <v>0.0</v>
      </c>
      <c r="O15" s="23">
        <f>IFERROR(N15/N148, "NA")</f>
        <v>0</v>
      </c>
      <c r="P15" s="21">
        <v>0.0</v>
      </c>
      <c r="Q15" s="23">
        <f>IFERROR(P15/P148, "NA")</f>
        <v>0</v>
      </c>
      <c r="R15" s="21">
        <v>0.0</v>
      </c>
      <c r="S15" s="23">
        <f>IFERROR(R15/R148, "NA")</f>
        <v>0</v>
      </c>
      <c r="T15" s="21">
        <v>0.0</v>
      </c>
      <c r="U15" s="23">
        <f>IFERROR(T15/T148, "NA")</f>
        <v>0</v>
      </c>
      <c r="V15" s="21">
        <v>0.0</v>
      </c>
      <c r="W15" s="23">
        <f>IFERROR(V15/V148, "NA")</f>
        <v>0</v>
      </c>
      <c r="X15" s="21">
        <v>0.0</v>
      </c>
      <c r="Y15" s="23">
        <f>IFERROR(X15/X148, "NA")</f>
        <v>0</v>
      </c>
      <c r="Z15" s="21">
        <v>0.0</v>
      </c>
      <c r="AA15" s="23">
        <f>IFERROR(Z15/Z148, "NA")</f>
        <v>0</v>
      </c>
      <c r="AB15" s="28">
        <f t="shared" ref="AB15:AB27" si="7">IFERROR((R15+T15+V15+X15)/4, "NA")</f>
        <v>0</v>
      </c>
      <c r="AC15" s="23">
        <f>IFERROR(AB15/AB148, "NA")</f>
        <v>0</v>
      </c>
      <c r="AD15" s="29">
        <f t="shared" ref="AD15:AD27" si="8">IFERROR(X15-AB15, "NA")</f>
        <v>0</v>
      </c>
      <c r="AE15" s="30">
        <f>IFERROR(AD15/AD148, "NA")</f>
        <v>0</v>
      </c>
      <c r="AF15" s="29" t="str">
        <f t="shared" ref="AF15:AF27" si="9">IFERROR((X15-AB15)/AB15, "NA")</f>
        <v>NA</v>
      </c>
      <c r="AG15" s="28">
        <f t="shared" ref="AG15:AG27" si="10">IFERROR((J15+L15+N15+P15+R15+T15+V15+X15)/8, "NA")</f>
        <v>0</v>
      </c>
      <c r="AH15" s="23">
        <f>IFERROR(AG15/AG148, "NA")</f>
        <v>0</v>
      </c>
      <c r="AI15" s="29">
        <f t="shared" ref="AI15:AI27" si="11">IFERROR(X15-AG15, "NA")</f>
        <v>0</v>
      </c>
      <c r="AJ15" s="30">
        <f>IFERROR(AI15/AI148, "NA")</f>
        <v>0</v>
      </c>
      <c r="AK15" s="29" t="str">
        <f t="shared" ref="AK15:AK27" si="12">IFERROR((X15-AG15)/AG15, "NA")</f>
        <v>NA</v>
      </c>
      <c r="AL15" s="30" t="str">
        <f>IFERROR(AK15/AK148, "NA")</f>
        <v>NA</v>
      </c>
    </row>
    <row r="16" ht="16.5" customHeight="1">
      <c r="A16" s="19" t="s">
        <v>70</v>
      </c>
      <c r="B16" s="21">
        <v>1704.42</v>
      </c>
      <c r="C16" s="23">
        <f>IFERROR(B16/B148, "NA")</f>
        <v>0.05858810645</v>
      </c>
      <c r="D16" s="21">
        <v>1251.84</v>
      </c>
      <c r="E16" s="23">
        <f>IFERROR(D16/D148, "NA")</f>
        <v>0.05103364493</v>
      </c>
      <c r="F16" s="21">
        <v>1534.93</v>
      </c>
      <c r="G16" s="23">
        <f>IFERROR(F16/F148, "NA")</f>
        <v>0.05477364251</v>
      </c>
      <c r="H16" s="21">
        <v>1001.76</v>
      </c>
      <c r="I16" s="23">
        <f>IFERROR(H16/H148, "NA")</f>
        <v>0.05876504015</v>
      </c>
      <c r="J16" s="21">
        <v>1386.91</v>
      </c>
      <c r="K16" s="23">
        <f>IFERROR(J16/J148, "NA")</f>
        <v>0.06125767924</v>
      </c>
      <c r="L16" s="21">
        <v>1288.48</v>
      </c>
      <c r="M16" s="23">
        <f>IFERROR(L16/L148, "NA")</f>
        <v>0.0440298102</v>
      </c>
      <c r="N16" s="21">
        <v>1220.15</v>
      </c>
      <c r="O16" s="23">
        <f>IFERROR(N16/N148, "NA")</f>
        <v>0.05534262854</v>
      </c>
      <c r="P16" s="21">
        <v>680.75</v>
      </c>
      <c r="Q16" s="23">
        <f>IFERROR(P16/P148, "NA")</f>
        <v>0.04630344451</v>
      </c>
      <c r="R16" s="21">
        <v>774.3</v>
      </c>
      <c r="S16" s="23">
        <f>IFERROR(R16/R148, "NA")</f>
        <v>0.05147675734</v>
      </c>
      <c r="T16" s="21">
        <v>1203.85</v>
      </c>
      <c r="U16" s="23">
        <f>IFERROR(T16/T148, "NA")</f>
        <v>0.06471664661</v>
      </c>
      <c r="V16" s="21">
        <v>855.75</v>
      </c>
      <c r="W16" s="23">
        <f>IFERROR(V16/V148, "NA")</f>
        <v>0.04073444332</v>
      </c>
      <c r="X16" s="21">
        <v>691.24</v>
      </c>
      <c r="Y16" s="23">
        <f>IFERROR(X16/X148, "NA")</f>
        <v>0.03977961344</v>
      </c>
      <c r="Z16" s="21">
        <v>3525.14</v>
      </c>
      <c r="AA16" s="23">
        <f>IFERROR(Z16/Z148, "NA")</f>
        <v>0.04894100046</v>
      </c>
      <c r="AB16" s="28">
        <f t="shared" si="7"/>
        <v>881.285</v>
      </c>
      <c r="AC16" s="23">
        <f>IFERROR(AB16/AB148, "NA")</f>
        <v>0.04894100046</v>
      </c>
      <c r="AD16" s="29">
        <f t="shared" si="8"/>
        <v>-190.045</v>
      </c>
      <c r="AE16" s="30">
        <f>IFERROR(AD16/AD148, "NA")</f>
        <v>0.301491235</v>
      </c>
      <c r="AF16" s="29">
        <f t="shared" si="9"/>
        <v>-0.2156453361</v>
      </c>
      <c r="AG16" s="28">
        <f t="shared" si="10"/>
        <v>1012.67875</v>
      </c>
      <c r="AH16" s="23">
        <f>IFERROR(AG16/AG148, "NA")</f>
        <v>0.05041906092</v>
      </c>
      <c r="AI16" s="29">
        <f t="shared" si="11"/>
        <v>-321.43875</v>
      </c>
      <c r="AJ16" s="30">
        <f>IFERROR(AI16/AI148, "NA")</f>
        <v>0.118677938</v>
      </c>
      <c r="AK16" s="29">
        <f t="shared" si="12"/>
        <v>-0.317414333</v>
      </c>
      <c r="AL16" s="30">
        <f>IFERROR(AK16/AK148, "NA")</f>
        <v>2.35383079</v>
      </c>
    </row>
    <row r="17" ht="16.5" customHeight="1">
      <c r="A17" s="19" t="s">
        <v>71</v>
      </c>
      <c r="B17" s="21">
        <v>707.74</v>
      </c>
      <c r="C17" s="23">
        <f>IFERROR(B17/B148, "NA")</f>
        <v>0.0243280098</v>
      </c>
      <c r="D17" s="21">
        <v>255.58</v>
      </c>
      <c r="E17" s="23">
        <f>IFERROR(D17/D148, "NA")</f>
        <v>0.01041920611</v>
      </c>
      <c r="F17" s="21">
        <v>607.5</v>
      </c>
      <c r="G17" s="23">
        <f>IFERROR(F17/F148, "NA")</f>
        <v>0.02167850509</v>
      </c>
      <c r="H17" s="21">
        <v>853.8</v>
      </c>
      <c r="I17" s="23">
        <f>IFERROR(H17/H148, "NA")</f>
        <v>0.0500854409</v>
      </c>
      <c r="J17" s="21">
        <v>894.07</v>
      </c>
      <c r="K17" s="23">
        <f>IFERROR(J17/J148, "NA")</f>
        <v>0.03948969528</v>
      </c>
      <c r="L17" s="21">
        <v>704.88</v>
      </c>
      <c r="M17" s="23">
        <f>IFERROR(L17/L148, "NA")</f>
        <v>0.02408708914</v>
      </c>
      <c r="N17" s="21">
        <v>578.3</v>
      </c>
      <c r="O17" s="23">
        <f>IFERROR(N17/N148, "NA")</f>
        <v>0.02623008817</v>
      </c>
      <c r="P17" s="21">
        <v>468.18</v>
      </c>
      <c r="Q17" s="23">
        <f>IFERROR(P17/P148, "NA")</f>
        <v>0.03184479861</v>
      </c>
      <c r="R17" s="21">
        <v>420.74</v>
      </c>
      <c r="S17" s="23">
        <f>IFERROR(R17/R148, "NA")</f>
        <v>0.02797149798</v>
      </c>
      <c r="T17" s="21">
        <v>651.69</v>
      </c>
      <c r="U17" s="23">
        <f>IFERROR(T17/T148, "NA")</f>
        <v>0.03503359341</v>
      </c>
      <c r="V17" s="21">
        <v>580.55</v>
      </c>
      <c r="W17" s="23">
        <f>IFERROR(V17/V148, "NA")</f>
        <v>0.02763468428</v>
      </c>
      <c r="X17" s="21">
        <v>519.04</v>
      </c>
      <c r="Y17" s="23">
        <f>IFERROR(X17/X148, "NA")</f>
        <v>0.02986981448</v>
      </c>
      <c r="Z17" s="21">
        <v>2172.02</v>
      </c>
      <c r="AA17" s="23">
        <f>IFERROR(Z17/Z148, "NA")</f>
        <v>0.0301550667</v>
      </c>
      <c r="AB17" s="28">
        <f t="shared" si="7"/>
        <v>543.005</v>
      </c>
      <c r="AC17" s="23">
        <f>IFERROR(AB17/AB148, "NA")</f>
        <v>0.0301550667</v>
      </c>
      <c r="AD17" s="29">
        <f t="shared" si="8"/>
        <v>-23.965</v>
      </c>
      <c r="AE17" s="30">
        <f>IFERROR(AD17/AD148, "NA")</f>
        <v>0.03801856112</v>
      </c>
      <c r="AF17" s="29">
        <f t="shared" si="9"/>
        <v>-0.04413403191</v>
      </c>
      <c r="AG17" s="28">
        <f t="shared" si="10"/>
        <v>602.18125</v>
      </c>
      <c r="AH17" s="23">
        <f>IFERROR(AG17/AG148, "NA")</f>
        <v>0.02998128787</v>
      </c>
      <c r="AI17" s="29">
        <f t="shared" si="11"/>
        <v>-83.14125</v>
      </c>
      <c r="AJ17" s="30">
        <f>IFERROR(AI17/AI148, "NA")</f>
        <v>0.03069646118</v>
      </c>
      <c r="AK17" s="29">
        <f t="shared" si="12"/>
        <v>-0.1380668196</v>
      </c>
      <c r="AL17" s="30">
        <f>IFERROR(AK17/AK148, "NA")</f>
        <v>1.023853989</v>
      </c>
    </row>
    <row r="18" ht="16.5" customHeight="1">
      <c r="A18" s="19" t="s">
        <v>74</v>
      </c>
      <c r="B18" s="21">
        <v>906.73</v>
      </c>
      <c r="C18" s="23">
        <f>IFERROR(B18/B148, "NA")</f>
        <v>0.03116813565</v>
      </c>
      <c r="D18" s="21">
        <v>687.11</v>
      </c>
      <c r="E18" s="23">
        <f>IFERROR(D18/D148, "NA")</f>
        <v>0.02801134951</v>
      </c>
      <c r="F18" s="21">
        <v>813.55</v>
      </c>
      <c r="G18" s="23">
        <f>IFERROR(F18/F148, "NA")</f>
        <v>0.02903135443</v>
      </c>
      <c r="H18" s="21">
        <v>462.26</v>
      </c>
      <c r="I18" s="23">
        <f>IFERROR(H18/H148, "NA")</f>
        <v>0.02711700154</v>
      </c>
      <c r="J18" s="21">
        <v>713.17</v>
      </c>
      <c r="K18" s="23">
        <f>IFERROR(J18/J148, "NA")</f>
        <v>0.03149962081</v>
      </c>
      <c r="L18" s="21">
        <v>730.76</v>
      </c>
      <c r="M18" s="23">
        <f>IFERROR(L18/L148, "NA")</f>
        <v>0.02497145792</v>
      </c>
      <c r="N18" s="21">
        <v>616.76</v>
      </c>
      <c r="O18" s="23">
        <f>IFERROR(N18/N148, "NA")</f>
        <v>0.02797452738</v>
      </c>
      <c r="P18" s="21">
        <v>372.61</v>
      </c>
      <c r="Q18" s="23">
        <f>IFERROR(P18/P148, "NA")</f>
        <v>0.02534429153</v>
      </c>
      <c r="R18" s="21">
        <v>381.88</v>
      </c>
      <c r="S18" s="23">
        <f>IFERROR(R18/R148, "NA")</f>
        <v>0.02538802027</v>
      </c>
      <c r="T18" s="21">
        <v>500.58</v>
      </c>
      <c r="U18" s="23">
        <f>IFERROR(T18/T148, "NA")</f>
        <v>0.0269102122</v>
      </c>
      <c r="V18" s="21">
        <v>689.83</v>
      </c>
      <c r="W18" s="23">
        <f>IFERROR(V18/V148, "NA")</f>
        <v>0.0328365072</v>
      </c>
      <c r="X18" s="21">
        <v>451.53</v>
      </c>
      <c r="Y18" s="23">
        <f>IFERROR(X18/X148, "NA")</f>
        <v>0.02598473592</v>
      </c>
      <c r="Z18" s="21">
        <v>2023.82</v>
      </c>
      <c r="AA18" s="23">
        <f>IFERROR(Z18/Z148, "NA")</f>
        <v>0.0280975438</v>
      </c>
      <c r="AB18" s="28">
        <f t="shared" si="7"/>
        <v>505.955</v>
      </c>
      <c r="AC18" s="23">
        <f>IFERROR(AB18/AB148, "NA")</f>
        <v>0.0280975438</v>
      </c>
      <c r="AD18" s="29">
        <f t="shared" si="8"/>
        <v>-54.425</v>
      </c>
      <c r="AE18" s="30">
        <f>IFERROR(AD18/AD148, "NA")</f>
        <v>0.08634092171</v>
      </c>
      <c r="AF18" s="29">
        <f t="shared" si="9"/>
        <v>-0.1075688549</v>
      </c>
      <c r="AG18" s="28">
        <f t="shared" si="10"/>
        <v>557.14</v>
      </c>
      <c r="AH18" s="23">
        <f>IFERROR(AG18/AG148, "NA")</f>
        <v>0.02773878251</v>
      </c>
      <c r="AI18" s="29">
        <f t="shared" si="11"/>
        <v>-105.61</v>
      </c>
      <c r="AJ18" s="30">
        <f>IFERROR(AI18/AI148, "NA")</f>
        <v>0.03899211601</v>
      </c>
      <c r="AK18" s="29">
        <f t="shared" si="12"/>
        <v>-0.1895573823</v>
      </c>
      <c r="AL18" s="30">
        <f>IFERROR(AK18/AK148, "NA")</f>
        <v>1.405689525</v>
      </c>
    </row>
    <row r="19" ht="16.5" customHeight="1">
      <c r="A19" s="19" t="s">
        <v>75</v>
      </c>
      <c r="B19" s="21">
        <v>541.42</v>
      </c>
      <c r="C19" s="23">
        <f>IFERROR(B19/B148, "NA")</f>
        <v>0.01861088968</v>
      </c>
      <c r="D19" s="21">
        <v>405.49</v>
      </c>
      <c r="E19" s="23">
        <f>IFERROR(D19/D148, "NA")</f>
        <v>0.01653057314</v>
      </c>
      <c r="F19" s="21">
        <v>493.15</v>
      </c>
      <c r="G19" s="23">
        <f>IFERROR(F19/F148, "NA")</f>
        <v>0.01759795027</v>
      </c>
      <c r="H19" s="21">
        <v>912.02</v>
      </c>
      <c r="I19" s="23">
        <f>IFERROR(H19/H148, "NA")</f>
        <v>0.05350073063</v>
      </c>
      <c r="J19" s="21">
        <v>568.99</v>
      </c>
      <c r="K19" s="23">
        <f>IFERROR(J19/J148, "NA")</f>
        <v>0.02513141221</v>
      </c>
      <c r="L19" s="21">
        <v>862.08</v>
      </c>
      <c r="M19" s="23">
        <f>IFERROR(L19/L148, "NA")</f>
        <v>0.02945891188</v>
      </c>
      <c r="N19" s="21">
        <v>476.94</v>
      </c>
      <c r="O19" s="23">
        <f>IFERROR(N19/N148, "NA")</f>
        <v>0.02163267898</v>
      </c>
      <c r="P19" s="21">
        <v>429.66</v>
      </c>
      <c r="Q19" s="23">
        <f>IFERROR(P19/P148, "NA")</f>
        <v>0.02922473444</v>
      </c>
      <c r="R19" s="21">
        <v>322.46</v>
      </c>
      <c r="S19" s="23">
        <f>IFERROR(R19/R148, "NA")</f>
        <v>0.02143767942</v>
      </c>
      <c r="T19" s="21">
        <v>389.22</v>
      </c>
      <c r="U19" s="23">
        <f>IFERROR(T19/T148, "NA")</f>
        <v>0.02092371408</v>
      </c>
      <c r="V19" s="21">
        <v>519.5</v>
      </c>
      <c r="W19" s="23">
        <f>IFERROR(V19/V148, "NA")</f>
        <v>0.02472865125</v>
      </c>
      <c r="X19" s="21">
        <v>435.55</v>
      </c>
      <c r="Y19" s="23">
        <f>IFERROR(X19/X148, "NA")</f>
        <v>0.02506511578</v>
      </c>
      <c r="Z19" s="21">
        <v>1666.73</v>
      </c>
      <c r="AA19" s="23">
        <f>IFERROR(Z19/Z148, "NA")</f>
        <v>0.02313991322</v>
      </c>
      <c r="AB19" s="28">
        <f t="shared" si="7"/>
        <v>416.6825</v>
      </c>
      <c r="AC19" s="23">
        <f>IFERROR(AB19/AB148, "NA")</f>
        <v>0.02313991322</v>
      </c>
      <c r="AD19" s="29">
        <f t="shared" si="8"/>
        <v>18.8675</v>
      </c>
      <c r="AE19" s="30">
        <f>IFERROR(AD19/AD148, "NA")</f>
        <v>-0.02993178393</v>
      </c>
      <c r="AF19" s="29">
        <f t="shared" si="9"/>
        <v>0.04528027935</v>
      </c>
      <c r="AG19" s="28">
        <f t="shared" si="10"/>
        <v>500.55</v>
      </c>
      <c r="AH19" s="23">
        <f>IFERROR(AG19/AG148, "NA")</f>
        <v>0.02492129013</v>
      </c>
      <c r="AI19" s="29">
        <f t="shared" si="11"/>
        <v>-65</v>
      </c>
      <c r="AJ19" s="30">
        <f>IFERROR(AI19/AI148, "NA")</f>
        <v>0.02399855639</v>
      </c>
      <c r="AK19" s="29">
        <f t="shared" si="12"/>
        <v>-0.1298571571</v>
      </c>
      <c r="AL19" s="30">
        <f>IFERROR(AK19/AK148, "NA")</f>
        <v>0.9629740782</v>
      </c>
    </row>
    <row r="20" ht="16.5" customHeight="1">
      <c r="A20" s="19" t="s">
        <v>76</v>
      </c>
      <c r="B20" s="21">
        <v>321.52</v>
      </c>
      <c r="C20" s="23">
        <f>IFERROR(B20/B148, "NA")</f>
        <v>0.01105199891</v>
      </c>
      <c r="D20" s="21">
        <v>103.06</v>
      </c>
      <c r="E20" s="23">
        <f>IFERROR(D20/D148, "NA")</f>
        <v>0.004201437441</v>
      </c>
      <c r="F20" s="21">
        <v>272.15</v>
      </c>
      <c r="G20" s="23">
        <f>IFERROR(F20/F148, "NA")</f>
        <v>0.009711613434</v>
      </c>
      <c r="H20" s="21">
        <v>437.3</v>
      </c>
      <c r="I20" s="23">
        <f>IFERROR(H20/H148, "NA")</f>
        <v>0.02565280312</v>
      </c>
      <c r="J20" s="21">
        <v>283.79</v>
      </c>
      <c r="K20" s="23">
        <f>IFERROR(J20/J148, "NA")</f>
        <v>0.01253456734</v>
      </c>
      <c r="L20" s="21">
        <v>417.65</v>
      </c>
      <c r="M20" s="23">
        <f>IFERROR(L20/L148, "NA")</f>
        <v>0.01427189419</v>
      </c>
      <c r="N20" s="21">
        <v>280.97</v>
      </c>
      <c r="O20" s="23">
        <f>IFERROR(N20/N148, "NA")</f>
        <v>0.01274402192</v>
      </c>
      <c r="P20" s="21">
        <v>208.94</v>
      </c>
      <c r="Q20" s="23">
        <f>IFERROR(P20/P148, "NA")</f>
        <v>0.01421173955</v>
      </c>
      <c r="R20" s="21">
        <v>269.76</v>
      </c>
      <c r="S20" s="23">
        <f>IFERROR(R20/R148, "NA")</f>
        <v>0.01793409539</v>
      </c>
      <c r="T20" s="21">
        <v>247.67</v>
      </c>
      <c r="U20" s="23">
        <f>IFERROR(T20/T148, "NA")</f>
        <v>0.01331425997</v>
      </c>
      <c r="V20" s="21">
        <v>261.25</v>
      </c>
      <c r="W20" s="23">
        <f>IFERROR(V20/V148, "NA")</f>
        <v>0.01243572693</v>
      </c>
      <c r="X20" s="21">
        <v>202.79</v>
      </c>
      <c r="Y20" s="23">
        <f>IFERROR(X20/X148, "NA")</f>
        <v>0.01167019821</v>
      </c>
      <c r="Z20" s="21">
        <v>981.47</v>
      </c>
      <c r="AA20" s="23">
        <f>IFERROR(Z20/Z148, "NA")</f>
        <v>0.01362616058</v>
      </c>
      <c r="AB20" s="28">
        <f t="shared" si="7"/>
        <v>245.3675</v>
      </c>
      <c r="AC20" s="23">
        <f>IFERROR(AB20/AB148, "NA")</f>
        <v>0.01362616058</v>
      </c>
      <c r="AD20" s="29">
        <f t="shared" si="8"/>
        <v>-42.5775</v>
      </c>
      <c r="AE20" s="30">
        <f>IFERROR(AD20/AD148, "NA")</f>
        <v>0.06754580788</v>
      </c>
      <c r="AF20" s="29">
        <f t="shared" si="9"/>
        <v>-0.1735254261</v>
      </c>
      <c r="AG20" s="28">
        <f t="shared" si="10"/>
        <v>271.6025</v>
      </c>
      <c r="AH20" s="23">
        <f>IFERROR(AG20/AG148, "NA")</f>
        <v>0.01352249466</v>
      </c>
      <c r="AI20" s="29">
        <f t="shared" si="11"/>
        <v>-68.8125</v>
      </c>
      <c r="AJ20" s="30">
        <f>IFERROR(AI20/AI148, "NA")</f>
        <v>0.02540616403</v>
      </c>
      <c r="AK20" s="29">
        <f t="shared" si="12"/>
        <v>-0.2533573881</v>
      </c>
      <c r="AL20" s="30">
        <f>IFERROR(AK20/AK148, "NA")</f>
        <v>1.878807473</v>
      </c>
    </row>
    <row r="21" ht="16.5" customHeight="1">
      <c r="A21" s="19" t="s">
        <v>77</v>
      </c>
      <c r="B21" s="21">
        <v>275.0</v>
      </c>
      <c r="C21" s="23">
        <f>IFERROR(B21/B148, "NA")</f>
        <v>0.009452910242</v>
      </c>
      <c r="D21" s="21">
        <v>108.35</v>
      </c>
      <c r="E21" s="23">
        <f>IFERROR(D21/D148, "NA")</f>
        <v>0.004417094379</v>
      </c>
      <c r="F21" s="21">
        <v>146.45</v>
      </c>
      <c r="G21" s="23">
        <f>IFERROR(F21/F148, "NA")</f>
        <v>0.005226036331</v>
      </c>
      <c r="H21" s="21">
        <v>110.09</v>
      </c>
      <c r="I21" s="23">
        <f>IFERROR(H21/H148, "NA")</f>
        <v>0.006458077055</v>
      </c>
      <c r="J21" s="21">
        <v>193.18</v>
      </c>
      <c r="K21" s="23">
        <f>IFERROR(J21/J148, "NA")</f>
        <v>0.008532463156</v>
      </c>
      <c r="L21" s="21">
        <v>220.92</v>
      </c>
      <c r="M21" s="23">
        <f>IFERROR(L21/L148, "NA")</f>
        <v>0.007549256232</v>
      </c>
      <c r="N21" s="21">
        <v>168.88</v>
      </c>
      <c r="O21" s="23">
        <f>IFERROR(N21/N148, "NA")</f>
        <v>0.007659929606</v>
      </c>
      <c r="P21" s="21">
        <v>128.62</v>
      </c>
      <c r="Q21" s="23">
        <f>IFERROR(P21/P148, "NA")</f>
        <v>0.00874851125</v>
      </c>
      <c r="R21" s="21">
        <v>133.1</v>
      </c>
      <c r="S21" s="23">
        <f>IFERROR(R21/R148, "NA")</f>
        <v>0.008848710322</v>
      </c>
      <c r="T21" s="21">
        <v>169.61</v>
      </c>
      <c r="U21" s="23">
        <f>IFERROR(T21/T148, "NA")</f>
        <v>0.009117905414</v>
      </c>
      <c r="V21" s="21">
        <v>148.54</v>
      </c>
      <c r="W21" s="23">
        <f>IFERROR(V21/V148, "NA")</f>
        <v>0.007070633025</v>
      </c>
      <c r="X21" s="21">
        <v>153.94</v>
      </c>
      <c r="Y21" s="23">
        <f>IFERROR(X21/X148, "NA")</f>
        <v>0.008858968944</v>
      </c>
      <c r="Z21" s="21">
        <v>605.19</v>
      </c>
      <c r="AA21" s="23">
        <f>IFERROR(Z21/Z148, "NA")</f>
        <v>0.00840210717</v>
      </c>
      <c r="AB21" s="28">
        <f t="shared" si="7"/>
        <v>151.2975</v>
      </c>
      <c r="AC21" s="23">
        <f>IFERROR(AB21/AB148, "NA")</f>
        <v>0.00840210717</v>
      </c>
      <c r="AD21" s="29">
        <f t="shared" si="8"/>
        <v>2.6425</v>
      </c>
      <c r="AE21" s="30">
        <f>IFERROR(AD21/AD148, "NA")</f>
        <v>-0.004192115491</v>
      </c>
      <c r="AF21" s="29">
        <f t="shared" si="9"/>
        <v>0.01746558932</v>
      </c>
      <c r="AG21" s="28">
        <f t="shared" si="10"/>
        <v>164.59875</v>
      </c>
      <c r="AH21" s="23">
        <f>IFERROR(AG21/AG148, "NA")</f>
        <v>0.008195011896</v>
      </c>
      <c r="AI21" s="29">
        <f t="shared" si="11"/>
        <v>-10.65875</v>
      </c>
      <c r="AJ21" s="30">
        <f>IFERROR(AI21/AI148, "NA")</f>
        <v>0.003935301738</v>
      </c>
      <c r="AK21" s="29">
        <f t="shared" si="12"/>
        <v>-0.06475595957</v>
      </c>
      <c r="AL21" s="30">
        <f>IFERROR(AK21/AK148, "NA")</f>
        <v>0.4802069586</v>
      </c>
    </row>
    <row r="22" ht="16.5" hidden="1" customHeight="1">
      <c r="A22" s="19" t="s">
        <v>78</v>
      </c>
      <c r="B22" s="21">
        <v>0.0</v>
      </c>
      <c r="C22" s="23">
        <f>IFERROR(B22/B148, "NA")</f>
        <v>0</v>
      </c>
      <c r="D22" s="21">
        <v>0.0</v>
      </c>
      <c r="E22" s="23">
        <f>IFERROR(D22/D148, "NA")</f>
        <v>0</v>
      </c>
      <c r="F22" s="21">
        <v>0.0</v>
      </c>
      <c r="G22" s="23">
        <f>IFERROR(F22/F148, "NA")</f>
        <v>0</v>
      </c>
      <c r="H22" s="21">
        <v>0.0</v>
      </c>
      <c r="I22" s="23">
        <f>IFERROR(H22/H148, "NA")</f>
        <v>0</v>
      </c>
      <c r="J22" s="21">
        <v>0.0</v>
      </c>
      <c r="K22" s="23">
        <f>IFERROR(J22/J148, "NA")</f>
        <v>0</v>
      </c>
      <c r="L22" s="21">
        <v>0.0</v>
      </c>
      <c r="M22" s="23">
        <f>IFERROR(L22/L148, "NA")</f>
        <v>0</v>
      </c>
      <c r="N22" s="21">
        <v>0.0</v>
      </c>
      <c r="O22" s="23">
        <f>IFERROR(N22/N148, "NA")</f>
        <v>0</v>
      </c>
      <c r="P22" s="21">
        <v>0.0</v>
      </c>
      <c r="Q22" s="23">
        <f>IFERROR(P22/P148, "NA")</f>
        <v>0</v>
      </c>
      <c r="R22" s="21">
        <v>0.0</v>
      </c>
      <c r="S22" s="23">
        <f>IFERROR(R22/R148, "NA")</f>
        <v>0</v>
      </c>
      <c r="T22" s="21">
        <v>0.0</v>
      </c>
      <c r="U22" s="23">
        <f>IFERROR(T22/T148, "NA")</f>
        <v>0</v>
      </c>
      <c r="V22" s="21">
        <v>0.0</v>
      </c>
      <c r="W22" s="23">
        <f>IFERROR(V22/V148, "NA")</f>
        <v>0</v>
      </c>
      <c r="X22" s="21">
        <v>0.0</v>
      </c>
      <c r="Y22" s="23">
        <f>IFERROR(X22/X148, "NA")</f>
        <v>0</v>
      </c>
      <c r="Z22" s="21">
        <v>0.0</v>
      </c>
      <c r="AA22" s="23">
        <f>IFERROR(Z22/Z148, "NA")</f>
        <v>0</v>
      </c>
      <c r="AB22" s="28">
        <f t="shared" si="7"/>
        <v>0</v>
      </c>
      <c r="AC22" s="23">
        <f>IFERROR(AB22/AB148, "NA")</f>
        <v>0</v>
      </c>
      <c r="AD22" s="29">
        <f t="shared" si="8"/>
        <v>0</v>
      </c>
      <c r="AE22" s="30">
        <f>IFERROR(AD22/AD148, "NA")</f>
        <v>0</v>
      </c>
      <c r="AF22" s="29" t="str">
        <f t="shared" si="9"/>
        <v>NA</v>
      </c>
      <c r="AG22" s="28">
        <f t="shared" si="10"/>
        <v>0</v>
      </c>
      <c r="AH22" s="23">
        <f>IFERROR(AG22/AG148, "NA")</f>
        <v>0</v>
      </c>
      <c r="AI22" s="29">
        <f t="shared" si="11"/>
        <v>0</v>
      </c>
      <c r="AJ22" s="30">
        <f>IFERROR(AI22/AI148, "NA")</f>
        <v>0</v>
      </c>
      <c r="AK22" s="29" t="str">
        <f t="shared" si="12"/>
        <v>NA</v>
      </c>
      <c r="AL22" s="30" t="str">
        <f>IFERROR(AK22/AK148, "NA")</f>
        <v>NA</v>
      </c>
    </row>
    <row r="23" ht="16.5" customHeight="1">
      <c r="A23" s="19" t="s">
        <v>79</v>
      </c>
      <c r="B23" s="21">
        <v>84.62</v>
      </c>
      <c r="C23" s="23">
        <f>IFERROR(B23/B148, "NA")</f>
        <v>0.002908746417</v>
      </c>
      <c r="D23" s="21">
        <v>114.4</v>
      </c>
      <c r="E23" s="23">
        <f>IFERROR(D23/D148, "NA")</f>
        <v>0.004663734167</v>
      </c>
      <c r="F23" s="21">
        <v>1.06</v>
      </c>
      <c r="G23" s="23">
        <f>IFERROR(F23/F148, "NA")</f>
        <v>0.00003782586897</v>
      </c>
      <c r="H23" s="21">
        <v>115.01</v>
      </c>
      <c r="I23" s="23">
        <f>IFERROR(H23/H148, "NA")</f>
        <v>0.006746693088</v>
      </c>
      <c r="J23" s="21">
        <v>73.46</v>
      </c>
      <c r="K23" s="23">
        <f>IFERROR(J23/J148, "NA")</f>
        <v>0.003244615092</v>
      </c>
      <c r="L23" s="21">
        <v>116.12</v>
      </c>
      <c r="M23" s="23">
        <f>IFERROR(L23/L148, "NA")</f>
        <v>0.003968041072</v>
      </c>
      <c r="N23" s="21">
        <v>224.19</v>
      </c>
      <c r="O23" s="23">
        <f>IFERROR(N23/N148, "NA")</f>
        <v>0.01016863819</v>
      </c>
      <c r="P23" s="21">
        <v>138.49</v>
      </c>
      <c r="Q23" s="23">
        <f>IFERROR(P23/P148, "NA")</f>
        <v>0.009419851679</v>
      </c>
      <c r="R23" s="21">
        <v>68.72</v>
      </c>
      <c r="S23" s="23">
        <f>IFERROR(R23/R148, "NA")</f>
        <v>0.004568620386</v>
      </c>
      <c r="T23" s="21">
        <v>91.45</v>
      </c>
      <c r="U23" s="23">
        <f>IFERROR(T23/T148, "NA")</f>
        <v>0.004916175049</v>
      </c>
      <c r="V23" s="21">
        <v>112.05</v>
      </c>
      <c r="W23" s="23">
        <f>IFERROR(V23/V148, "NA")</f>
        <v>0.005333677329</v>
      </c>
      <c r="X23" s="21">
        <v>71.56</v>
      </c>
      <c r="Y23" s="23">
        <f>IFERROR(X23/X148, "NA")</f>
        <v>0.004118148744</v>
      </c>
      <c r="Z23" s="21">
        <v>343.78</v>
      </c>
      <c r="AA23" s="23">
        <f>IFERROR(Z23/Z148, "NA")</f>
        <v>0.004772842253</v>
      </c>
      <c r="AB23" s="28">
        <f t="shared" si="7"/>
        <v>85.945</v>
      </c>
      <c r="AC23" s="23">
        <f>IFERROR(AB23/AB148, "NA")</f>
        <v>0.004772842253</v>
      </c>
      <c r="AD23" s="29">
        <f t="shared" si="8"/>
        <v>-14.385</v>
      </c>
      <c r="AE23" s="30">
        <f>IFERROR(AD23/AD148, "NA")</f>
        <v>0.02282065519</v>
      </c>
      <c r="AF23" s="29">
        <f t="shared" si="9"/>
        <v>-0.1673744837</v>
      </c>
      <c r="AG23" s="28">
        <f t="shared" si="10"/>
        <v>112.005</v>
      </c>
      <c r="AH23" s="23">
        <f>IFERROR(AG23/AG148, "NA")</f>
        <v>0.00557648407</v>
      </c>
      <c r="AI23" s="29">
        <f t="shared" si="11"/>
        <v>-40.445</v>
      </c>
      <c r="AJ23" s="30">
        <f>IFERROR(AI23/AI148, "NA")</f>
        <v>0.01493264021</v>
      </c>
      <c r="AK23" s="29">
        <f t="shared" si="12"/>
        <v>-0.3610999509</v>
      </c>
      <c r="AL23" s="30">
        <f>IFERROR(AK23/AK148, "NA")</f>
        <v>2.677787656</v>
      </c>
    </row>
    <row r="24" ht="16.5" customHeight="1">
      <c r="A24" s="19" t="s">
        <v>80</v>
      </c>
      <c r="B24" s="21">
        <v>1979.27</v>
      </c>
      <c r="C24" s="23">
        <f>IFERROR(B24/B148, "NA")</f>
        <v>0.06803586056</v>
      </c>
      <c r="D24" s="21">
        <v>1528.91</v>
      </c>
      <c r="E24" s="23">
        <f>IFERROR(D24/D148, "NA")</f>
        <v>0.06232893187</v>
      </c>
      <c r="F24" s="21">
        <v>2079.99</v>
      </c>
      <c r="G24" s="23">
        <f>IFERROR(F24/F148, "NA")</f>
        <v>0.07422398981</v>
      </c>
      <c r="H24" s="21">
        <v>1222.05</v>
      </c>
      <c r="I24" s="23">
        <f>IFERROR(H24/H148, "NA")</f>
        <v>0.07168764706</v>
      </c>
      <c r="J24" s="21">
        <v>1727.96</v>
      </c>
      <c r="K24" s="23">
        <f>IFERROR(J24/J148, "NA")</f>
        <v>0.07632133262</v>
      </c>
      <c r="L24" s="21">
        <v>1944.23</v>
      </c>
      <c r="M24" s="23">
        <f>IFERROR(L24/L148, "NA")</f>
        <v>0.06643803387</v>
      </c>
      <c r="N24" s="21">
        <v>1706.12</v>
      </c>
      <c r="O24" s="23">
        <f>IFERROR(N24/N148, "NA")</f>
        <v>0.07738488334</v>
      </c>
      <c r="P24" s="21">
        <v>1117.9</v>
      </c>
      <c r="Q24" s="23">
        <f>IFERROR(P24/P148, "NA")</f>
        <v>0.07603763588</v>
      </c>
      <c r="R24" s="21">
        <v>1296.28</v>
      </c>
      <c r="S24" s="23">
        <f>IFERROR(R24/R148, "NA")</f>
        <v>0.08617885963</v>
      </c>
      <c r="T24" s="21">
        <v>1364.98</v>
      </c>
      <c r="U24" s="23">
        <f>IFERROR(T24/T148, "NA")</f>
        <v>0.07337868364</v>
      </c>
      <c r="V24" s="21">
        <v>1578.8</v>
      </c>
      <c r="W24" s="23">
        <f>IFERROR(V24/V148, "NA")</f>
        <v>0.07515225138</v>
      </c>
      <c r="X24" s="21">
        <v>1228.48</v>
      </c>
      <c r="Y24" s="23">
        <f>IFERROR(X24/X148, "NA")</f>
        <v>0.07069680504</v>
      </c>
      <c r="Z24" s="21">
        <v>5468.54</v>
      </c>
      <c r="AA24" s="23">
        <f>IFERROR(Z24/Z148, "NA")</f>
        <v>0.0759220396</v>
      </c>
      <c r="AB24" s="28">
        <f t="shared" si="7"/>
        <v>1367.135</v>
      </c>
      <c r="AC24" s="23">
        <f>IFERROR(AB24/AB148, "NA")</f>
        <v>0.0759220396</v>
      </c>
      <c r="AD24" s="29">
        <f t="shared" si="8"/>
        <v>-138.655</v>
      </c>
      <c r="AE24" s="30">
        <f>IFERROR(AD24/AD148, "NA")</f>
        <v>0.2199650988</v>
      </c>
      <c r="AF24" s="29">
        <f t="shared" si="9"/>
        <v>-0.1014201231</v>
      </c>
      <c r="AG24" s="28">
        <f t="shared" si="10"/>
        <v>1495.59375</v>
      </c>
      <c r="AH24" s="23">
        <f>IFERROR(AG24/AG148, "NA")</f>
        <v>0.07446234296</v>
      </c>
      <c r="AI24" s="29">
        <f t="shared" si="11"/>
        <v>-267.11375</v>
      </c>
      <c r="AJ24" s="30">
        <f>IFERROR(AI24/AI148, "NA")</f>
        <v>0.09862068297</v>
      </c>
      <c r="AK24" s="29">
        <f t="shared" si="12"/>
        <v>-0.1786004722</v>
      </c>
      <c r="AL24" s="30">
        <f>IFERROR(AK24/AK148, "NA")</f>
        <v>1.324437011</v>
      </c>
    </row>
    <row r="25" ht="16.5" hidden="1" customHeight="1">
      <c r="A25" s="19" t="s">
        <v>81</v>
      </c>
      <c r="B25" s="21">
        <v>0.0</v>
      </c>
      <c r="C25" s="23">
        <f>IFERROR(B25/B148, "NA")</f>
        <v>0</v>
      </c>
      <c r="D25" s="21">
        <v>0.0</v>
      </c>
      <c r="E25" s="23">
        <f>IFERROR(D25/D148, "NA")</f>
        <v>0</v>
      </c>
      <c r="F25" s="21">
        <v>0.0</v>
      </c>
      <c r="G25" s="23">
        <f>IFERROR(F25/F148, "NA")</f>
        <v>0</v>
      </c>
      <c r="H25" s="21">
        <v>0.0</v>
      </c>
      <c r="I25" s="23">
        <f>IFERROR(H25/H148, "NA")</f>
        <v>0</v>
      </c>
      <c r="J25" s="21">
        <v>0.0</v>
      </c>
      <c r="K25" s="23">
        <f>IFERROR(J25/J148, "NA")</f>
        <v>0</v>
      </c>
      <c r="L25" s="21">
        <v>0.0</v>
      </c>
      <c r="M25" s="23">
        <f>IFERROR(L25/L148, "NA")</f>
        <v>0</v>
      </c>
      <c r="N25" s="21">
        <v>0.0</v>
      </c>
      <c r="O25" s="23">
        <f>IFERROR(N25/N148, "NA")</f>
        <v>0</v>
      </c>
      <c r="P25" s="21">
        <v>0.0</v>
      </c>
      <c r="Q25" s="23">
        <f>IFERROR(P25/P148, "NA")</f>
        <v>0</v>
      </c>
      <c r="R25" s="21">
        <v>0.0</v>
      </c>
      <c r="S25" s="23">
        <f>IFERROR(R25/R148, "NA")</f>
        <v>0</v>
      </c>
      <c r="T25" s="21">
        <v>0.0</v>
      </c>
      <c r="U25" s="23">
        <f>IFERROR(T25/T148, "NA")</f>
        <v>0</v>
      </c>
      <c r="V25" s="21">
        <v>0.0</v>
      </c>
      <c r="W25" s="23">
        <f>IFERROR(V25/V148, "NA")</f>
        <v>0</v>
      </c>
      <c r="X25" s="21">
        <v>0.0</v>
      </c>
      <c r="Y25" s="23">
        <f>IFERROR(X25/X148, "NA")</f>
        <v>0</v>
      </c>
      <c r="Z25" s="21">
        <v>0.0</v>
      </c>
      <c r="AA25" s="23">
        <f>IFERROR(Z25/Z148, "NA")</f>
        <v>0</v>
      </c>
      <c r="AB25" s="28">
        <f t="shared" si="7"/>
        <v>0</v>
      </c>
      <c r="AC25" s="23">
        <f>IFERROR(AB25/AB148, "NA")</f>
        <v>0</v>
      </c>
      <c r="AD25" s="29">
        <f t="shared" si="8"/>
        <v>0</v>
      </c>
      <c r="AE25" s="30">
        <f>IFERROR(AD25/AD148, "NA")</f>
        <v>0</v>
      </c>
      <c r="AF25" s="29" t="str">
        <f t="shared" si="9"/>
        <v>NA</v>
      </c>
      <c r="AG25" s="28">
        <f t="shared" si="10"/>
        <v>0</v>
      </c>
      <c r="AH25" s="23">
        <f>IFERROR(AG25/AG148, "NA")</f>
        <v>0</v>
      </c>
      <c r="AI25" s="29">
        <f t="shared" si="11"/>
        <v>0</v>
      </c>
      <c r="AJ25" s="30">
        <f>IFERROR(AI25/AI148, "NA")</f>
        <v>0</v>
      </c>
      <c r="AK25" s="29" t="str">
        <f t="shared" si="12"/>
        <v>NA</v>
      </c>
      <c r="AL25" s="30" t="str">
        <f>IFERROR(AK25/AK148, "NA")</f>
        <v>NA</v>
      </c>
    </row>
    <row r="26" ht="16.5" hidden="1" customHeight="1">
      <c r="A26" s="19" t="s">
        <v>84</v>
      </c>
      <c r="B26" s="21">
        <v>0.0</v>
      </c>
      <c r="C26" s="23">
        <f>IFERROR(B26/B148, "NA")</f>
        <v>0</v>
      </c>
      <c r="D26" s="21">
        <v>0.0</v>
      </c>
      <c r="E26" s="23">
        <f>IFERROR(D26/D148, "NA")</f>
        <v>0</v>
      </c>
      <c r="F26" s="21">
        <v>0.0</v>
      </c>
      <c r="G26" s="23">
        <f>IFERROR(F26/F148, "NA")</f>
        <v>0</v>
      </c>
      <c r="H26" s="21">
        <v>0.0</v>
      </c>
      <c r="I26" s="23">
        <f>IFERROR(H26/H148, "NA")</f>
        <v>0</v>
      </c>
      <c r="J26" s="21">
        <v>0.0</v>
      </c>
      <c r="K26" s="23">
        <f>IFERROR(J26/J148, "NA")</f>
        <v>0</v>
      </c>
      <c r="L26" s="21">
        <v>0.0</v>
      </c>
      <c r="M26" s="23">
        <f>IFERROR(L26/L148, "NA")</f>
        <v>0</v>
      </c>
      <c r="N26" s="21">
        <v>0.0</v>
      </c>
      <c r="O26" s="23">
        <f>IFERROR(N26/N148, "NA")</f>
        <v>0</v>
      </c>
      <c r="P26" s="21">
        <v>0.0</v>
      </c>
      <c r="Q26" s="23">
        <f>IFERROR(P26/P148, "NA")</f>
        <v>0</v>
      </c>
      <c r="R26" s="21">
        <v>0.0</v>
      </c>
      <c r="S26" s="23">
        <f>IFERROR(R26/R148, "NA")</f>
        <v>0</v>
      </c>
      <c r="T26" s="21">
        <v>0.0</v>
      </c>
      <c r="U26" s="23">
        <f>IFERROR(T26/T148, "NA")</f>
        <v>0</v>
      </c>
      <c r="V26" s="21">
        <v>0.0</v>
      </c>
      <c r="W26" s="23">
        <f>IFERROR(V26/V148, "NA")</f>
        <v>0</v>
      </c>
      <c r="X26" s="21">
        <v>0.0</v>
      </c>
      <c r="Y26" s="23">
        <f>IFERROR(X26/X148, "NA")</f>
        <v>0</v>
      </c>
      <c r="Z26" s="21">
        <v>0.0</v>
      </c>
      <c r="AA26" s="23">
        <f>IFERROR(Z26/Z148, "NA")</f>
        <v>0</v>
      </c>
      <c r="AB26" s="28">
        <f t="shared" si="7"/>
        <v>0</v>
      </c>
      <c r="AC26" s="23">
        <f>IFERROR(AB26/AB148, "NA")</f>
        <v>0</v>
      </c>
      <c r="AD26" s="29">
        <f t="shared" si="8"/>
        <v>0</v>
      </c>
      <c r="AE26" s="30">
        <f>IFERROR(AD26/AD148, "NA")</f>
        <v>0</v>
      </c>
      <c r="AF26" s="29" t="str">
        <f t="shared" si="9"/>
        <v>NA</v>
      </c>
      <c r="AG26" s="28">
        <f t="shared" si="10"/>
        <v>0</v>
      </c>
      <c r="AH26" s="23">
        <f>IFERROR(AG26/AG148, "NA")</f>
        <v>0</v>
      </c>
      <c r="AI26" s="29">
        <f t="shared" si="11"/>
        <v>0</v>
      </c>
      <c r="AJ26" s="30">
        <f>IFERROR(AI26/AI148, "NA")</f>
        <v>0</v>
      </c>
      <c r="AK26" s="29" t="str">
        <f t="shared" si="12"/>
        <v>NA</v>
      </c>
      <c r="AL26" s="30" t="str">
        <f>IFERROR(AK26/AK148, "NA")</f>
        <v>NA</v>
      </c>
    </row>
    <row r="27" ht="16.5" customHeight="1">
      <c r="A27" s="65" t="s">
        <v>85</v>
      </c>
      <c r="B27" s="66">
        <f>IFERROR(B15+B16+B17+B18+B19+B20+B21+B22+B23+B24+B25+B26, "NA")</f>
        <v>6520.72</v>
      </c>
      <c r="C27" s="67">
        <f>IFERROR(B27/B148, "NA")</f>
        <v>0.2241446577</v>
      </c>
      <c r="D27" s="66">
        <f>IFERROR(D15+D16+D17+D18+D19+D20+D21+D22+D23+D24+D25+D26, "NA")</f>
        <v>4454.74</v>
      </c>
      <c r="E27" s="67">
        <f>IFERROR(D27/D148, "NA")</f>
        <v>0.1816059715</v>
      </c>
      <c r="F27" s="66">
        <f>IFERROR(F15+F16+F17+F18+F19+F20+F21+F22+F23+F24+F25+F26, "NA")</f>
        <v>5948.78</v>
      </c>
      <c r="G27" s="67">
        <f>IFERROR(F27/F148, "NA")</f>
        <v>0.2122809177</v>
      </c>
      <c r="H27" s="66">
        <f>IFERROR(H15+H16+H17+H18+H19+H20+H21+H22+H23+H24+H25+H26, "NA")</f>
        <v>5114.29</v>
      </c>
      <c r="I27" s="67">
        <f>IFERROR(H27/H148, "NA")</f>
        <v>0.3000134336</v>
      </c>
      <c r="J27" s="66">
        <f>IFERROR(J15+J16+J17+J18+J19+J20+J21+J22+J23+J24+J25+J26, "NA")</f>
        <v>5841.53</v>
      </c>
      <c r="K27" s="67">
        <f>IFERROR(J27/J148, "NA")</f>
        <v>0.2580113857</v>
      </c>
      <c r="L27" s="66">
        <f>IFERROR(L15+L16+L17+L18+L19+L20+L21+L22+L23+L24+L25+L26, "NA")</f>
        <v>6285.12</v>
      </c>
      <c r="M27" s="67">
        <f>IFERROR(L27/L148, "NA")</f>
        <v>0.2147744945</v>
      </c>
      <c r="N27" s="66">
        <f>IFERROR(N15+N16+N17+N18+N19+N20+N21+N22+N23+N24+N25+N26, "NA")</f>
        <v>5272.31</v>
      </c>
      <c r="O27" s="67">
        <f>IFERROR(N27/N148, "NA")</f>
        <v>0.2391373961</v>
      </c>
      <c r="P27" s="66">
        <f>IFERROR(P15+P16+P17+P18+P19+P20+P21+P22+P23+P24+P25+P26, "NA")</f>
        <v>3545.15</v>
      </c>
      <c r="Q27" s="67">
        <f>IFERROR(P27/P148, "NA")</f>
        <v>0.2411350074</v>
      </c>
      <c r="R27" s="66">
        <f>IFERROR(R15+R16+R17+R18+R19+R20+R21+R22+R23+R24+R25+R26, "NA")</f>
        <v>3667.24</v>
      </c>
      <c r="S27" s="67">
        <f>IFERROR(R27/R148, "NA")</f>
        <v>0.2438042407</v>
      </c>
      <c r="T27" s="66">
        <f>IFERROR(T15+T16+T17+T18+T19+T20+T21+T22+T23+T24+T25+T26, "NA")</f>
        <v>4619.05</v>
      </c>
      <c r="U27" s="67">
        <f>IFERROR(T27/T148, "NA")</f>
        <v>0.2483111904</v>
      </c>
      <c r="V27" s="66">
        <f>IFERROR(V15+V16+V17+V18+V19+V20+V21+V22+V23+V24+V25+V26, "NA")</f>
        <v>4746.27</v>
      </c>
      <c r="W27" s="67">
        <f>IFERROR(V27/V148, "NA")</f>
        <v>0.2259265747</v>
      </c>
      <c r="X27" s="66">
        <f>IFERROR(X15+X16+X17+X18+X19+X20+X21+X22+X23+X24+X25+X26, "NA")</f>
        <v>3754.13</v>
      </c>
      <c r="Y27" s="67">
        <f>IFERROR(X27/X148, "NA")</f>
        <v>0.2160434005</v>
      </c>
      <c r="Z27" s="66">
        <f>IFERROR(Z15+Z16+Z17+Z18+Z19+Z20+Z21+Z22+Z23+Z24+Z25+Z26, "NA")</f>
        <v>16786.69</v>
      </c>
      <c r="AA27" s="67">
        <f>IFERROR(Z27/Z148, "NA")</f>
        <v>0.2330566738</v>
      </c>
      <c r="AB27" s="66">
        <f t="shared" si="7"/>
        <v>4196.6725</v>
      </c>
      <c r="AC27" s="67">
        <f>IFERROR(AB27/AB148, "NA")</f>
        <v>0.2330566738</v>
      </c>
      <c r="AD27" s="75">
        <f t="shared" si="8"/>
        <v>-442.5425</v>
      </c>
      <c r="AE27" s="76">
        <f>IFERROR(AD27/AD148, "NA")</f>
        <v>0.7020583803</v>
      </c>
      <c r="AF27" s="75">
        <f t="shared" si="9"/>
        <v>-0.1054508066</v>
      </c>
      <c r="AG27" s="66">
        <f t="shared" si="10"/>
        <v>4716.35</v>
      </c>
      <c r="AH27" s="67">
        <f>IFERROR(AG27/AG148, "NA")</f>
        <v>0.234816755</v>
      </c>
      <c r="AI27" s="75">
        <f t="shared" si="11"/>
        <v>-962.22</v>
      </c>
      <c r="AJ27" s="76">
        <f>IFERROR(AI27/AI148, "NA")</f>
        <v>0.3552598605</v>
      </c>
      <c r="AK27" s="75">
        <f t="shared" si="12"/>
        <v>-0.2040179376</v>
      </c>
      <c r="AL27" s="76">
        <f>IFERROR(AK27/AK148, "NA")</f>
        <v>1.512923814</v>
      </c>
    </row>
    <row r="28" ht="16.5" customHeight="1">
      <c r="A28" s="13" t="s">
        <v>86</v>
      </c>
      <c r="B28" s="14"/>
      <c r="C28" s="12"/>
      <c r="D28" s="14"/>
      <c r="E28" s="12"/>
      <c r="F28" s="14"/>
      <c r="G28" s="12"/>
      <c r="H28" s="14"/>
      <c r="I28" s="12"/>
      <c r="J28" s="14"/>
      <c r="K28" s="12"/>
      <c r="L28" s="14"/>
      <c r="M28" s="12"/>
      <c r="N28" s="14"/>
      <c r="O28" s="12"/>
      <c r="P28" s="14"/>
      <c r="Q28" s="12"/>
      <c r="R28" s="14"/>
      <c r="S28" s="12"/>
      <c r="T28" s="14"/>
      <c r="U28" s="12"/>
      <c r="V28" s="14"/>
      <c r="W28" s="12"/>
      <c r="X28" s="14"/>
      <c r="Y28" s="12"/>
      <c r="Z28" s="14"/>
      <c r="AA28" s="12"/>
      <c r="AB28" s="14"/>
      <c r="AC28" s="12"/>
      <c r="AD28" s="17"/>
      <c r="AE28" s="18"/>
      <c r="AF28" s="17"/>
      <c r="AG28" s="14"/>
      <c r="AH28" s="12"/>
      <c r="AI28" s="17"/>
      <c r="AJ28" s="18"/>
      <c r="AK28" s="17"/>
      <c r="AL28" s="18"/>
    </row>
    <row r="29" ht="16.5" hidden="1" customHeight="1">
      <c r="A29" s="19" t="s">
        <v>87</v>
      </c>
      <c r="B29" s="21">
        <v>0.0</v>
      </c>
      <c r="C29" s="23">
        <f>IFERROR(B29/B148, "NA")</f>
        <v>0</v>
      </c>
      <c r="D29" s="21">
        <v>0.0</v>
      </c>
      <c r="E29" s="23">
        <f>IFERROR(D29/D148, "NA")</f>
        <v>0</v>
      </c>
      <c r="F29" s="21">
        <v>0.0</v>
      </c>
      <c r="G29" s="23">
        <f>IFERROR(F29/F148, "NA")</f>
        <v>0</v>
      </c>
      <c r="H29" s="21">
        <v>0.0</v>
      </c>
      <c r="I29" s="23">
        <f>IFERROR(H29/H148, "NA")</f>
        <v>0</v>
      </c>
      <c r="J29" s="21">
        <v>0.0</v>
      </c>
      <c r="K29" s="23">
        <f>IFERROR(J29/J148, "NA")</f>
        <v>0</v>
      </c>
      <c r="L29" s="21">
        <v>0.0</v>
      </c>
      <c r="M29" s="23">
        <f>IFERROR(L29/L148, "NA")</f>
        <v>0</v>
      </c>
      <c r="N29" s="21">
        <v>0.0</v>
      </c>
      <c r="O29" s="23">
        <f>IFERROR(N29/N148, "NA")</f>
        <v>0</v>
      </c>
      <c r="P29" s="21">
        <v>0.0</v>
      </c>
      <c r="Q29" s="23">
        <f>IFERROR(P29/P148, "NA")</f>
        <v>0</v>
      </c>
      <c r="R29" s="21">
        <v>0.0</v>
      </c>
      <c r="S29" s="23">
        <f>IFERROR(R29/R148, "NA")</f>
        <v>0</v>
      </c>
      <c r="T29" s="21">
        <v>0.0</v>
      </c>
      <c r="U29" s="23">
        <f>IFERROR(T29/T148, "NA")</f>
        <v>0</v>
      </c>
      <c r="V29" s="21">
        <v>0.0</v>
      </c>
      <c r="W29" s="23">
        <f>IFERROR(V29/V148, "NA")</f>
        <v>0</v>
      </c>
      <c r="X29" s="21">
        <v>0.0</v>
      </c>
      <c r="Y29" s="23">
        <f>IFERROR(X29/X148, "NA")</f>
        <v>0</v>
      </c>
      <c r="Z29" s="21">
        <v>0.0</v>
      </c>
      <c r="AA29" s="23">
        <f>IFERROR(Z29/Z148, "NA")</f>
        <v>0</v>
      </c>
      <c r="AB29" s="28">
        <f t="shared" ref="AB29:AB35" si="13">IFERROR((R29+T29+V29+X29)/4, "NA")</f>
        <v>0</v>
      </c>
      <c r="AC29" s="23">
        <f>IFERROR(AB29/AB148, "NA")</f>
        <v>0</v>
      </c>
      <c r="AD29" s="29">
        <f t="shared" ref="AD29:AD35" si="14">IFERROR(X29-AB29, "NA")</f>
        <v>0</v>
      </c>
      <c r="AE29" s="30">
        <f>IFERROR(AD29/AD148, "NA")</f>
        <v>0</v>
      </c>
      <c r="AF29" s="29" t="str">
        <f t="shared" ref="AF29:AF35" si="15">IFERROR((X29-AB29)/AB29, "NA")</f>
        <v>NA</v>
      </c>
      <c r="AG29" s="28">
        <f t="shared" ref="AG29:AG35" si="16">IFERROR((J29+L29+N29+P29+R29+T29+V29+X29)/8, "NA")</f>
        <v>0</v>
      </c>
      <c r="AH29" s="23">
        <f>IFERROR(AG29/AG148, "NA")</f>
        <v>0</v>
      </c>
      <c r="AI29" s="29">
        <f t="shared" ref="AI29:AI35" si="17">IFERROR(X29-AG29, "NA")</f>
        <v>0</v>
      </c>
      <c r="AJ29" s="30">
        <f>IFERROR(AI29/AI148, "NA")</f>
        <v>0</v>
      </c>
      <c r="AK29" s="29" t="str">
        <f t="shared" ref="AK29:AK35" si="18">IFERROR((X29-AG29)/AG29, "NA")</f>
        <v>NA</v>
      </c>
      <c r="AL29" s="30" t="str">
        <f>IFERROR(AK29/AK148, "NA")</f>
        <v>NA</v>
      </c>
    </row>
    <row r="30" ht="16.5" customHeight="1">
      <c r="A30" s="19" t="s">
        <v>88</v>
      </c>
      <c r="B30" s="21">
        <v>277.59</v>
      </c>
      <c r="C30" s="23">
        <f>IFERROR(B30/B148, "NA")</f>
        <v>0.009541939469</v>
      </c>
      <c r="D30" s="21">
        <v>315.33</v>
      </c>
      <c r="E30" s="23">
        <f>IFERROR(D30/D148, "NA")</f>
        <v>0.0128550288</v>
      </c>
      <c r="F30" s="21">
        <v>239.53</v>
      </c>
      <c r="G30" s="23">
        <f>IFERROR(F30/F148, "NA")</f>
        <v>0.008547575844</v>
      </c>
      <c r="H30" s="21">
        <v>281.67</v>
      </c>
      <c r="I30" s="23">
        <f>IFERROR(H30/H148, "NA")</f>
        <v>0.01652326791</v>
      </c>
      <c r="J30" s="21">
        <v>206.82</v>
      </c>
      <c r="K30" s="23">
        <f>IFERROR(J30/J148, "NA")</f>
        <v>0.009134920954</v>
      </c>
      <c r="L30" s="21">
        <v>322.6</v>
      </c>
      <c r="M30" s="23">
        <f>IFERROR(L30/L148, "NA")</f>
        <v>0.01102385506</v>
      </c>
      <c r="N30" s="21">
        <v>310.31</v>
      </c>
      <c r="O30" s="23">
        <f>IFERROR(N30/N148, "NA")</f>
        <v>0.01407480315</v>
      </c>
      <c r="P30" s="21">
        <v>244.98</v>
      </c>
      <c r="Q30" s="23">
        <f>IFERROR(P30/P148, "NA")</f>
        <v>0.01666311838</v>
      </c>
      <c r="R30" s="21">
        <v>195.24</v>
      </c>
      <c r="S30" s="23">
        <f>IFERROR(R30/R148, "NA")</f>
        <v>0.01297988132</v>
      </c>
      <c r="T30" s="21">
        <v>282.61</v>
      </c>
      <c r="U30" s="23">
        <f>IFERROR(T30/T148, "NA")</f>
        <v>0.01519256676</v>
      </c>
      <c r="V30" s="21">
        <v>185.72</v>
      </c>
      <c r="W30" s="23">
        <f>IFERROR(V30/V148, "NA")</f>
        <v>0.00884043332</v>
      </c>
      <c r="X30" s="21">
        <v>337.44</v>
      </c>
      <c r="Y30" s="23">
        <f>IFERROR(X30/X148, "NA")</f>
        <v>0.01941906249</v>
      </c>
      <c r="Z30" s="21">
        <v>1001.01</v>
      </c>
      <c r="AA30" s="23">
        <f>IFERROR(Z30/Z148, "NA")</f>
        <v>0.01389744262</v>
      </c>
      <c r="AB30" s="28">
        <f t="shared" si="13"/>
        <v>250.2525</v>
      </c>
      <c r="AC30" s="23">
        <f>IFERROR(AB30/AB148, "NA")</f>
        <v>0.01389744262</v>
      </c>
      <c r="AD30" s="29">
        <f t="shared" si="14"/>
        <v>87.1875</v>
      </c>
      <c r="AE30" s="30">
        <f>IFERROR(AD30/AD148, "NA")</f>
        <v>-0.1383160149</v>
      </c>
      <c r="AF30" s="29">
        <f t="shared" si="15"/>
        <v>0.3483981179</v>
      </c>
      <c r="AG30" s="28">
        <f t="shared" si="16"/>
        <v>260.715</v>
      </c>
      <c r="AH30" s="23">
        <f>IFERROR(AG30/AG148, "NA")</f>
        <v>0.01298042984</v>
      </c>
      <c r="AI30" s="29">
        <f t="shared" si="17"/>
        <v>76.725</v>
      </c>
      <c r="AJ30" s="30">
        <f>IFERROR(AI30/AI148, "NA")</f>
        <v>-0.02832752676</v>
      </c>
      <c r="AK30" s="29">
        <f t="shared" si="18"/>
        <v>0.294286865</v>
      </c>
      <c r="AL30" s="30">
        <f>IFERROR(AK30/AK148, "NA")</f>
        <v>-2.182325786</v>
      </c>
    </row>
    <row r="31" ht="16.5" customHeight="1">
      <c r="A31" s="19" t="s">
        <v>89</v>
      </c>
      <c r="B31" s="21">
        <v>14.61</v>
      </c>
      <c r="C31" s="23">
        <f>IFERROR(B31/B148, "NA")</f>
        <v>0.0005022073405</v>
      </c>
      <c r="D31" s="21">
        <v>26.79</v>
      </c>
      <c r="E31" s="23">
        <f>IFERROR(D31/D148, "NA")</f>
        <v>0.00109214544</v>
      </c>
      <c r="F31" s="21">
        <v>2.44</v>
      </c>
      <c r="G31" s="23">
        <f>IFERROR(F31/F148, "NA")</f>
        <v>0.00008707086819</v>
      </c>
      <c r="H31" s="21">
        <v>17.04</v>
      </c>
      <c r="I31" s="23">
        <f>IFERROR(H31/H148, "NA")</f>
        <v>0.0009995969935</v>
      </c>
      <c r="J31" s="21">
        <v>4.87</v>
      </c>
      <c r="K31" s="23">
        <f>IFERROR(J31/J148, "NA")</f>
        <v>0.0002151004015</v>
      </c>
      <c r="L31" s="21">
        <v>14.62</v>
      </c>
      <c r="M31" s="23">
        <f>IFERROR(L31/L148, "NA")</f>
        <v>0.0004995931835</v>
      </c>
      <c r="N31" s="21">
        <v>4.87</v>
      </c>
      <c r="O31" s="23">
        <f>IFERROR(N31/N148, "NA")</f>
        <v>0.0002208897275</v>
      </c>
      <c r="P31" s="21">
        <v>7.3</v>
      </c>
      <c r="Q31" s="23">
        <f>IFERROR(P31/P148, "NA")</f>
        <v>0.0004965334483</v>
      </c>
      <c r="R31" s="21">
        <v>0.76</v>
      </c>
      <c r="S31" s="23">
        <f>IFERROR(R31/R148, "NA")</f>
        <v>0.00005052606946</v>
      </c>
      <c r="T31" s="21">
        <v>5.63</v>
      </c>
      <c r="U31" s="23">
        <f>IFERROR(T31/T148, "NA")</f>
        <v>0.0003026579063</v>
      </c>
      <c r="V31" s="21">
        <v>-4.03</v>
      </c>
      <c r="W31" s="23">
        <f>IFERROR(V31/V148, "NA")</f>
        <v>-0.0001918315005</v>
      </c>
      <c r="X31" s="21">
        <v>12.18</v>
      </c>
      <c r="Y31" s="23">
        <f>IFERROR(X31/X148, "NA")</f>
        <v>0.0007009369997</v>
      </c>
      <c r="Z31" s="21">
        <v>14.54</v>
      </c>
      <c r="AA31" s="23">
        <f>IFERROR(Z31/Z148, "NA")</f>
        <v>0.0002018649321</v>
      </c>
      <c r="AB31" s="28">
        <f t="shared" si="13"/>
        <v>3.635</v>
      </c>
      <c r="AC31" s="23">
        <f>IFERROR(AB31/AB148, "NA")</f>
        <v>0.0002018649321</v>
      </c>
      <c r="AD31" s="29">
        <f t="shared" si="14"/>
        <v>8.545</v>
      </c>
      <c r="AE31" s="30">
        <f>IFERROR(AD31/AD148, "NA")</f>
        <v>-0.01355596097</v>
      </c>
      <c r="AF31" s="29">
        <f t="shared" si="15"/>
        <v>2.350756534</v>
      </c>
      <c r="AG31" s="28">
        <f t="shared" si="16"/>
        <v>5.775</v>
      </c>
      <c r="AH31" s="23">
        <f>IFERROR(AG31/AG148, "NA")</f>
        <v>0.000287524624</v>
      </c>
      <c r="AI31" s="29">
        <f t="shared" si="17"/>
        <v>6.405</v>
      </c>
      <c r="AJ31" s="30">
        <f>IFERROR(AI31/AI148, "NA")</f>
        <v>-0.002364780826</v>
      </c>
      <c r="AK31" s="29">
        <f t="shared" si="18"/>
        <v>1.109090909</v>
      </c>
      <c r="AL31" s="30">
        <f>IFERROR(AK31/AK148, "NA")</f>
        <v>-8.224620186</v>
      </c>
    </row>
    <row r="32" ht="16.5" customHeight="1">
      <c r="A32" s="19" t="s">
        <v>90</v>
      </c>
      <c r="B32" s="21">
        <v>14.95</v>
      </c>
      <c r="C32" s="23">
        <f>IFERROR(B32/B148, "NA")</f>
        <v>0.000513894575</v>
      </c>
      <c r="D32" s="21">
        <v>0.0</v>
      </c>
      <c r="E32" s="23">
        <f>IFERROR(D32/D148, "NA")</f>
        <v>0</v>
      </c>
      <c r="F32" s="21">
        <v>0.0</v>
      </c>
      <c r="G32" s="23">
        <f>IFERROR(F32/F148, "NA")</f>
        <v>0</v>
      </c>
      <c r="H32" s="21">
        <v>29.9</v>
      </c>
      <c r="I32" s="23">
        <f>IFERROR(H32/H148, "NA")</f>
        <v>0.001753987682</v>
      </c>
      <c r="J32" s="21">
        <v>-29.9</v>
      </c>
      <c r="K32" s="23">
        <f>IFERROR(J32/J148, "NA")</f>
        <v>-0.001320636962</v>
      </c>
      <c r="L32" s="21">
        <v>0.0</v>
      </c>
      <c r="M32" s="23">
        <f>IFERROR(L32/L148, "NA")</f>
        <v>0</v>
      </c>
      <c r="N32" s="21">
        <v>0.0</v>
      </c>
      <c r="O32" s="23">
        <f>IFERROR(N32/N148, "NA")</f>
        <v>0</v>
      </c>
      <c r="P32" s="21">
        <v>0.0</v>
      </c>
      <c r="Q32" s="23">
        <f>IFERROR(P32/P148, "NA")</f>
        <v>0</v>
      </c>
      <c r="R32" s="21">
        <v>0.0</v>
      </c>
      <c r="S32" s="23">
        <f>IFERROR(R32/R148, "NA")</f>
        <v>0</v>
      </c>
      <c r="T32" s="21">
        <v>0.0</v>
      </c>
      <c r="U32" s="23">
        <f>IFERROR(T32/T148, "NA")</f>
        <v>0</v>
      </c>
      <c r="V32" s="21">
        <v>0.0</v>
      </c>
      <c r="W32" s="23">
        <f>IFERROR(V32/V148, "NA")</f>
        <v>0</v>
      </c>
      <c r="X32" s="21">
        <v>29.9</v>
      </c>
      <c r="Y32" s="23">
        <f>IFERROR(X32/X148, "NA")</f>
        <v>0.001720690993</v>
      </c>
      <c r="Z32" s="21">
        <v>29.9</v>
      </c>
      <c r="AA32" s="23">
        <f>IFERROR(Z32/Z148, "NA")</f>
        <v>0.0004151142689</v>
      </c>
      <c r="AB32" s="28">
        <f t="shared" si="13"/>
        <v>7.475</v>
      </c>
      <c r="AC32" s="23">
        <f>IFERROR(AB32/AB148, "NA")</f>
        <v>0.0004151142689</v>
      </c>
      <c r="AD32" s="29">
        <f t="shared" si="14"/>
        <v>22.425</v>
      </c>
      <c r="AE32" s="30">
        <f>IFERROR(AD32/AD148, "NA")</f>
        <v>-0.03557547394</v>
      </c>
      <c r="AF32" s="29">
        <f t="shared" si="15"/>
        <v>3</v>
      </c>
      <c r="AG32" s="28">
        <f t="shared" si="16"/>
        <v>0</v>
      </c>
      <c r="AH32" s="23">
        <f>IFERROR(AG32/AG148, "NA")</f>
        <v>0</v>
      </c>
      <c r="AI32" s="29">
        <f t="shared" si="17"/>
        <v>29.9</v>
      </c>
      <c r="AJ32" s="30">
        <f>IFERROR(AI32/AI148, "NA")</f>
        <v>-0.01103933594</v>
      </c>
      <c r="AK32" s="29" t="str">
        <f t="shared" si="18"/>
        <v>NA</v>
      </c>
      <c r="AL32" s="30" t="str">
        <f>IFERROR(AK32/AK148, "NA")</f>
        <v>NA</v>
      </c>
    </row>
    <row r="33" ht="16.5" customHeight="1">
      <c r="A33" s="19" t="s">
        <v>91</v>
      </c>
      <c r="B33" s="21">
        <v>7.01</v>
      </c>
      <c r="C33" s="23">
        <f>IFERROR(B33/B148, "NA")</f>
        <v>0.0002409632756</v>
      </c>
      <c r="D33" s="21">
        <v>0.0</v>
      </c>
      <c r="E33" s="23">
        <f>IFERROR(D33/D148, "NA")</f>
        <v>0</v>
      </c>
      <c r="F33" s="21">
        <v>-0.34</v>
      </c>
      <c r="G33" s="23">
        <f>IFERROR(F33/F148, "NA")</f>
        <v>-0.0000121328259</v>
      </c>
      <c r="H33" s="21">
        <v>-7.01</v>
      </c>
      <c r="I33" s="23">
        <f>IFERROR(H33/H148, "NA")</f>
        <v>-0.0004112191857</v>
      </c>
      <c r="J33" s="21">
        <v>7.35</v>
      </c>
      <c r="K33" s="23">
        <f>IFERROR(J33/J148, "NA")</f>
        <v>0.000324638183</v>
      </c>
      <c r="L33" s="21">
        <v>-0.34</v>
      </c>
      <c r="M33" s="23">
        <f>IFERROR(L33/L148, "NA")</f>
        <v>-0.00001161844613</v>
      </c>
      <c r="N33" s="21">
        <v>-7.01</v>
      </c>
      <c r="O33" s="23">
        <f>IFERROR(N33/N148, "NA")</f>
        <v>-0.0003179542073</v>
      </c>
      <c r="P33" s="21">
        <v>7.35</v>
      </c>
      <c r="Q33" s="23">
        <f>IFERROR(P33/P148, "NA")</f>
        <v>0.0004999343624</v>
      </c>
      <c r="R33" s="21">
        <v>0.0</v>
      </c>
      <c r="S33" s="23">
        <f>IFERROR(R33/R148, "NA")</f>
        <v>0</v>
      </c>
      <c r="T33" s="21">
        <v>7.35</v>
      </c>
      <c r="U33" s="23">
        <f>IFERROR(T33/T148, "NA")</f>
        <v>0.0003951217781</v>
      </c>
      <c r="V33" s="21">
        <v>0.0</v>
      </c>
      <c r="W33" s="23">
        <f>IFERROR(V33/V148, "NA")</f>
        <v>0</v>
      </c>
      <c r="X33" s="21">
        <v>14.36</v>
      </c>
      <c r="Y33" s="23">
        <f>IFERROR(X33/X148, "NA")</f>
        <v>0.000826392062</v>
      </c>
      <c r="Z33" s="21">
        <v>21.71</v>
      </c>
      <c r="AA33" s="23">
        <f>IFERROR(Z33/Z148, "NA")</f>
        <v>0.0003014090561</v>
      </c>
      <c r="AB33" s="28">
        <f t="shared" si="13"/>
        <v>5.4275</v>
      </c>
      <c r="AC33" s="23">
        <f>IFERROR(AB33/AB148, "NA")</f>
        <v>0.0003014090561</v>
      </c>
      <c r="AD33" s="29">
        <f t="shared" si="14"/>
        <v>8.9325</v>
      </c>
      <c r="AE33" s="30">
        <f>IFERROR(AD33/AD148, "NA")</f>
        <v>-0.01417069882</v>
      </c>
      <c r="AF33" s="29">
        <f t="shared" si="15"/>
        <v>1.645785352</v>
      </c>
      <c r="AG33" s="28">
        <f t="shared" si="16"/>
        <v>3.6325</v>
      </c>
      <c r="AH33" s="23">
        <f>IFERROR(AG33/AG148, "NA")</f>
        <v>0.0001808542332</v>
      </c>
      <c r="AI33" s="29">
        <f t="shared" si="17"/>
        <v>10.7275</v>
      </c>
      <c r="AJ33" s="30">
        <f>IFERROR(AI33/AI148, "NA")</f>
        <v>-0.003960684826</v>
      </c>
      <c r="AK33" s="29">
        <f t="shared" si="18"/>
        <v>2.953200275</v>
      </c>
      <c r="AL33" s="30">
        <f>IFERROR(AK33/AK148, "NA")</f>
        <v>-21.89987349</v>
      </c>
    </row>
    <row r="34" ht="16.5" customHeight="1">
      <c r="A34" s="65" t="s">
        <v>94</v>
      </c>
      <c r="B34" s="66">
        <f>IFERROR(B29+B30+B31+B32+B33, "NA")</f>
        <v>314.16</v>
      </c>
      <c r="C34" s="67">
        <f>IFERROR(B34/B148, "NA")</f>
        <v>0.01079900466</v>
      </c>
      <c r="D34" s="66">
        <f>IFERROR(D29+D30+D31+D32+D33, "NA")</f>
        <v>342.12</v>
      </c>
      <c r="E34" s="67">
        <f>IFERROR(D34/D148, "NA")</f>
        <v>0.01394717424</v>
      </c>
      <c r="F34" s="66">
        <f>IFERROR(F29+F30+F31+F32+F33, "NA")</f>
        <v>241.63</v>
      </c>
      <c r="G34" s="67">
        <f>IFERROR(F34/F148, "NA")</f>
        <v>0.008622513886</v>
      </c>
      <c r="H34" s="66">
        <f>IFERROR(H29+H30+H31+H32+H33, "NA")</f>
        <v>321.6</v>
      </c>
      <c r="I34" s="67">
        <f>IFERROR(H34/H148, "NA")</f>
        <v>0.0188656334</v>
      </c>
      <c r="J34" s="66">
        <f>IFERROR(J29+J30+J31+J32+J33, "NA")</f>
        <v>189.14</v>
      </c>
      <c r="K34" s="67">
        <f>IFERROR(J34/J148, "NA")</f>
        <v>0.008354022576</v>
      </c>
      <c r="L34" s="66">
        <f>IFERROR(L29+L30+L31+L32+L33, "NA")</f>
        <v>336.88</v>
      </c>
      <c r="M34" s="67">
        <f>IFERROR(L34/L148, "NA")</f>
        <v>0.0115118298</v>
      </c>
      <c r="N34" s="66">
        <f>IFERROR(N29+N30+N31+N32+N33, "NA")</f>
        <v>308.17</v>
      </c>
      <c r="O34" s="67">
        <f>IFERROR(N34/N148, "NA")</f>
        <v>0.01397773867</v>
      </c>
      <c r="P34" s="66">
        <f>IFERROR(P29+P30+P31+P32+P33, "NA")</f>
        <v>259.63</v>
      </c>
      <c r="Q34" s="67">
        <f>IFERROR(P34/P148, "NA")</f>
        <v>0.01765958619</v>
      </c>
      <c r="R34" s="66">
        <f>IFERROR(R29+R30+R31+R32+R33, "NA")</f>
        <v>196</v>
      </c>
      <c r="S34" s="67">
        <f>IFERROR(R34/R148, "NA")</f>
        <v>0.01303040739</v>
      </c>
      <c r="T34" s="66">
        <f>IFERROR(T29+T30+T31+T32+T33, "NA")</f>
        <v>295.59</v>
      </c>
      <c r="U34" s="67">
        <f>IFERROR(T34/T148, "NA")</f>
        <v>0.01589034645</v>
      </c>
      <c r="V34" s="66">
        <f>IFERROR(V29+V30+V31+V32+V33, "NA")</f>
        <v>181.69</v>
      </c>
      <c r="W34" s="67">
        <f>IFERROR(V34/V148, "NA")</f>
        <v>0.00864860182</v>
      </c>
      <c r="X34" s="66">
        <f>IFERROR(X29+X30+X31+X32+X33, "NA")</f>
        <v>393.88</v>
      </c>
      <c r="Y34" s="67">
        <f>IFERROR(X34/X148, "NA")</f>
        <v>0.02266708255</v>
      </c>
      <c r="Z34" s="66">
        <f>IFERROR(Z29+Z30+Z31+Z32+Z33, "NA")</f>
        <v>1067.16</v>
      </c>
      <c r="AA34" s="67">
        <f>IFERROR(Z34/Z148, "NA")</f>
        <v>0.01481583088</v>
      </c>
      <c r="AB34" s="66">
        <f t="shared" si="13"/>
        <v>266.79</v>
      </c>
      <c r="AC34" s="67">
        <f>IFERROR(AB34/AB148, "NA")</f>
        <v>0.01481583088</v>
      </c>
      <c r="AD34" s="75">
        <f t="shared" si="14"/>
        <v>127.09</v>
      </c>
      <c r="AE34" s="76">
        <f>IFERROR(AD34/AD148, "NA")</f>
        <v>-0.2016181486</v>
      </c>
      <c r="AF34" s="75">
        <f t="shared" si="15"/>
        <v>0.4763671802</v>
      </c>
      <c r="AG34" s="66">
        <f t="shared" si="16"/>
        <v>270.1225</v>
      </c>
      <c r="AH34" s="67">
        <f>IFERROR(AG34/AG148, "NA")</f>
        <v>0.0134488087</v>
      </c>
      <c r="AI34" s="75">
        <f t="shared" si="17"/>
        <v>123.7575</v>
      </c>
      <c r="AJ34" s="76">
        <f>IFERROR(AI34/AI148, "NA")</f>
        <v>-0.04569232835</v>
      </c>
      <c r="AK34" s="75">
        <f t="shared" si="18"/>
        <v>0.4581532453</v>
      </c>
      <c r="AL34" s="76">
        <f>IFERROR(AK34/AK148, "NA")</f>
        <v>-3.397500059</v>
      </c>
    </row>
    <row r="35" ht="16.5" customHeight="1">
      <c r="A35" s="65" t="s">
        <v>95</v>
      </c>
      <c r="B35" s="66">
        <f>IFERROR(B13+B15+B16+B17+B18+B19+B20+B21+B22+B23+B24+B25+B26+B29+B30+B31+B32+B33, "NA")</f>
        <v>6834.88</v>
      </c>
      <c r="C35" s="67">
        <f>IFERROR(B35/B148, "NA")</f>
        <v>0.2349436624</v>
      </c>
      <c r="D35" s="66">
        <f>IFERROR(D13+D15+D16+D17+D18+D19+D20+D21+D22+D23+D24+D25+D26+D29+D30+D31+D32+D33, "NA")</f>
        <v>4796.86</v>
      </c>
      <c r="E35" s="67">
        <f>IFERROR(D35/D148, "NA")</f>
        <v>0.1955531458</v>
      </c>
      <c r="F35" s="66">
        <f>IFERROR(F13+F15+F16+F17+F18+F19+F20+F21+F22+F23+F24+F25+F26+F29+F30+F31+F32+F33, "NA")</f>
        <v>6190.41</v>
      </c>
      <c r="G35" s="67">
        <f>IFERROR(F35/F148, "NA")</f>
        <v>0.2209034316</v>
      </c>
      <c r="H35" s="66">
        <f>IFERROR(H13+H15+H16+H17+H18+H19+H20+H21+H22+H23+H24+H25+H26+H29+H30+H31+H32+H33, "NA")</f>
        <v>5435.89</v>
      </c>
      <c r="I35" s="67">
        <f>IFERROR(H35/H148, "NA")</f>
        <v>0.3188790669</v>
      </c>
      <c r="J35" s="66">
        <f>IFERROR(J13+J15+J16+J17+J18+J19+J20+J21+J22+J23+J24+J25+J26+J29+J30+J31+J32+J33, "NA")</f>
        <v>6030.67</v>
      </c>
      <c r="K35" s="67">
        <f>IFERROR(J35/J148, "NA")</f>
        <v>0.2663654083</v>
      </c>
      <c r="L35" s="66">
        <f>IFERROR(L13+L15+L16+L17+L18+L19+L20+L21+L22+L23+L24+L25+L26+L29+L30+L31+L32+L33, "NA")</f>
        <v>6622</v>
      </c>
      <c r="M35" s="67">
        <f>IFERROR(L35/L148, "NA")</f>
        <v>0.2262863243</v>
      </c>
      <c r="N35" s="66">
        <f>IFERROR(N13+N15+N16+N17+N18+N19+N20+N21+N22+N23+N24+N25+N26+N29+N30+N31+N32+N33, "NA")</f>
        <v>5580.48</v>
      </c>
      <c r="O35" s="67">
        <f>IFERROR(N35/N148, "NA")</f>
        <v>0.2531151348</v>
      </c>
      <c r="P35" s="66">
        <f>IFERROR(P13+P15+P16+P17+P18+P19+P20+P21+P22+P23+P24+P25+P26+P29+P30+P31+P32+P33, "NA")</f>
        <v>3804.78</v>
      </c>
      <c r="Q35" s="67">
        <f>IFERROR(P35/P148, "NA")</f>
        <v>0.2587945936</v>
      </c>
      <c r="R35" s="66">
        <f>IFERROR(R13+R15+R16+R17+R18+R19+R20+R21+R22+R23+R24+R25+R26+R29+R30+R31+R32+R33, "NA")</f>
        <v>3863.24</v>
      </c>
      <c r="S35" s="67">
        <f>IFERROR(R35/R148, "NA")</f>
        <v>0.2568346481</v>
      </c>
      <c r="T35" s="66">
        <f>IFERROR(T13+T15+T16+T17+T18+T19+T20+T21+T22+T23+T24+T25+T26+T29+T30+T31+T32+T33, "NA")</f>
        <v>4914.64</v>
      </c>
      <c r="U35" s="67">
        <f>IFERROR(T35/T148, "NA")</f>
        <v>0.2642015368</v>
      </c>
      <c r="V35" s="66">
        <f>IFERROR(V13+V15+V16+V17+V18+V19+V20+V21+V22+V23+V24+V25+V26+V29+V30+V31+V32+V33, "NA")</f>
        <v>4927.96</v>
      </c>
      <c r="W35" s="67">
        <f>IFERROR(V35/V148, "NA")</f>
        <v>0.2345751765</v>
      </c>
      <c r="X35" s="66">
        <f>IFERROR(X13+X15+X16+X17+X18+X19+X20+X21+X22+X23+X24+X25+X26+X29+X30+X31+X32+X33, "NA")</f>
        <v>4148.01</v>
      </c>
      <c r="Y35" s="67">
        <f>IFERROR(X35/X148, "NA")</f>
        <v>0.2387104831</v>
      </c>
      <c r="Z35" s="66">
        <f>IFERROR(Z13+Z15+Z16+Z17+Z18+Z19+Z20+Z21+Z22+Z23+Z24+Z25+Z26+Z29+Z30+Z31+Z32+Z33, "NA")</f>
        <v>17853.85</v>
      </c>
      <c r="AA35" s="67">
        <f>IFERROR(Z35/Z148, "NA")</f>
        <v>0.2478725047</v>
      </c>
      <c r="AB35" s="66">
        <f t="shared" si="13"/>
        <v>4463.4625</v>
      </c>
      <c r="AC35" s="67">
        <f>IFERROR(AB35/AB148, "NA")</f>
        <v>0.2478725047</v>
      </c>
      <c r="AD35" s="75">
        <f t="shared" si="14"/>
        <v>-315.4525</v>
      </c>
      <c r="AE35" s="76">
        <f>IFERROR(AD35/AD148, "NA")</f>
        <v>0.5004402316</v>
      </c>
      <c r="AF35" s="75">
        <f t="shared" si="15"/>
        <v>-0.07067439236</v>
      </c>
      <c r="AG35" s="66">
        <f t="shared" si="16"/>
        <v>4986.4725</v>
      </c>
      <c r="AH35" s="67">
        <f>IFERROR(AG35/AG148, "NA")</f>
        <v>0.2482655637</v>
      </c>
      <c r="AI35" s="75">
        <f t="shared" si="17"/>
        <v>-838.4625</v>
      </c>
      <c r="AJ35" s="76">
        <f>IFERROR(AI35/AI148, "NA")</f>
        <v>0.3095675322</v>
      </c>
      <c r="AK35" s="75">
        <f t="shared" si="18"/>
        <v>-0.1681474229</v>
      </c>
      <c r="AL35" s="76">
        <f>IFERROR(AK35/AK148, "NA")</f>
        <v>1.246920948</v>
      </c>
    </row>
    <row r="36" ht="16.5" customHeight="1">
      <c r="A36" s="13" t="s">
        <v>96</v>
      </c>
      <c r="B36" s="14"/>
      <c r="C36" s="12"/>
      <c r="D36" s="14"/>
      <c r="E36" s="12"/>
      <c r="F36" s="14"/>
      <c r="G36" s="12"/>
      <c r="H36" s="14"/>
      <c r="I36" s="12"/>
      <c r="J36" s="14"/>
      <c r="K36" s="12"/>
      <c r="L36" s="14"/>
      <c r="M36" s="12"/>
      <c r="N36" s="14"/>
      <c r="O36" s="12"/>
      <c r="P36" s="14"/>
      <c r="Q36" s="12"/>
      <c r="R36" s="14"/>
      <c r="S36" s="12"/>
      <c r="T36" s="14"/>
      <c r="U36" s="12"/>
      <c r="V36" s="14"/>
      <c r="W36" s="12"/>
      <c r="X36" s="14"/>
      <c r="Y36" s="12"/>
      <c r="Z36" s="14"/>
      <c r="AA36" s="12"/>
      <c r="AB36" s="14"/>
      <c r="AC36" s="12"/>
      <c r="AD36" s="17"/>
      <c r="AE36" s="18"/>
      <c r="AF36" s="17"/>
      <c r="AG36" s="14"/>
      <c r="AH36" s="12"/>
      <c r="AI36" s="17"/>
      <c r="AJ36" s="18"/>
      <c r="AK36" s="17"/>
      <c r="AL36" s="18"/>
    </row>
    <row r="37" ht="16.5" hidden="1" customHeight="1">
      <c r="A37" s="19" t="s">
        <v>97</v>
      </c>
      <c r="B37" s="21">
        <v>0.0</v>
      </c>
      <c r="C37" s="23">
        <f>IFERROR(B37/B148, "NA")</f>
        <v>0</v>
      </c>
      <c r="D37" s="21">
        <v>0.0</v>
      </c>
      <c r="E37" s="23">
        <f>IFERROR(D37/D148, "NA")</f>
        <v>0</v>
      </c>
      <c r="F37" s="21">
        <v>0.0</v>
      </c>
      <c r="G37" s="23">
        <f>IFERROR(F37/F148, "NA")</f>
        <v>0</v>
      </c>
      <c r="H37" s="21">
        <v>0.0</v>
      </c>
      <c r="I37" s="23">
        <f>IFERROR(H37/H148, "NA")</f>
        <v>0</v>
      </c>
      <c r="J37" s="21">
        <v>0.0</v>
      </c>
      <c r="K37" s="23">
        <f>IFERROR(J37/J148, "NA")</f>
        <v>0</v>
      </c>
      <c r="L37" s="21">
        <v>0.0</v>
      </c>
      <c r="M37" s="23">
        <f>IFERROR(L37/L148, "NA")</f>
        <v>0</v>
      </c>
      <c r="N37" s="21">
        <v>0.0</v>
      </c>
      <c r="O37" s="23">
        <f>IFERROR(N37/N148, "NA")</f>
        <v>0</v>
      </c>
      <c r="P37" s="21">
        <v>0.0</v>
      </c>
      <c r="Q37" s="23">
        <f>IFERROR(P37/P148, "NA")</f>
        <v>0</v>
      </c>
      <c r="R37" s="21">
        <v>0.0</v>
      </c>
      <c r="S37" s="23">
        <f>IFERROR(R37/R148, "NA")</f>
        <v>0</v>
      </c>
      <c r="T37" s="21">
        <v>0.0</v>
      </c>
      <c r="U37" s="23">
        <f>IFERROR(T37/T148, "NA")</f>
        <v>0</v>
      </c>
      <c r="V37" s="21">
        <v>0.0</v>
      </c>
      <c r="W37" s="23">
        <f>IFERROR(V37/V148, "NA")</f>
        <v>0</v>
      </c>
      <c r="X37" s="21">
        <v>0.0</v>
      </c>
      <c r="Y37" s="23">
        <f>IFERROR(X37/X148, "NA")</f>
        <v>0</v>
      </c>
      <c r="Z37" s="21">
        <v>0.0</v>
      </c>
      <c r="AA37" s="23">
        <f>IFERROR(Z37/Z148, "NA")</f>
        <v>0</v>
      </c>
      <c r="AB37" s="28">
        <f>IFERROR((R37+T37+V37+X37)/4, "NA")</f>
        <v>0</v>
      </c>
      <c r="AC37" s="23">
        <f>IFERROR(AB37/AB148, "NA")</f>
        <v>0</v>
      </c>
      <c r="AD37" s="29">
        <f>IFERROR(X37-AB37, "NA")</f>
        <v>0</v>
      </c>
      <c r="AE37" s="30">
        <f>IFERROR(AD37/AD148, "NA")</f>
        <v>0</v>
      </c>
      <c r="AF37" s="29" t="str">
        <f>IFERROR((X37-AB37)/AB37, "NA")</f>
        <v>NA</v>
      </c>
      <c r="AG37" s="28">
        <f>IFERROR((J37+L37+N37+P37+R37+T37+V37+X37)/8, "NA")</f>
        <v>0</v>
      </c>
      <c r="AH37" s="23">
        <f>IFERROR(AG37/AG148, "NA")</f>
        <v>0</v>
      </c>
      <c r="AI37" s="29">
        <f>IFERROR(X37-AG37, "NA")</f>
        <v>0</v>
      </c>
      <c r="AJ37" s="30">
        <f>IFERROR(AI37/AI148, "NA")</f>
        <v>0</v>
      </c>
      <c r="AK37" s="29" t="str">
        <f>IFERROR((X37-AG37)/AG37, "NA")</f>
        <v>NA</v>
      </c>
      <c r="AL37" s="30" t="str">
        <f>IFERROR(AK37/AK148, "NA")</f>
        <v>NA</v>
      </c>
    </row>
    <row r="38" ht="16.5" customHeight="1">
      <c r="A38" s="13" t="s">
        <v>98</v>
      </c>
      <c r="B38" s="14"/>
      <c r="C38" s="12"/>
      <c r="D38" s="14"/>
      <c r="E38" s="12"/>
      <c r="F38" s="14"/>
      <c r="G38" s="12"/>
      <c r="H38" s="14"/>
      <c r="I38" s="12"/>
      <c r="J38" s="14"/>
      <c r="K38" s="12"/>
      <c r="L38" s="14"/>
      <c r="M38" s="12"/>
      <c r="N38" s="14"/>
      <c r="O38" s="12"/>
      <c r="P38" s="14"/>
      <c r="Q38" s="12"/>
      <c r="R38" s="14"/>
      <c r="S38" s="12"/>
      <c r="T38" s="14"/>
      <c r="U38" s="12"/>
      <c r="V38" s="14"/>
      <c r="W38" s="12"/>
      <c r="X38" s="14"/>
      <c r="Y38" s="12"/>
      <c r="Z38" s="14"/>
      <c r="AA38" s="12"/>
      <c r="AB38" s="14"/>
      <c r="AC38" s="12"/>
      <c r="AD38" s="17"/>
      <c r="AE38" s="18"/>
      <c r="AF38" s="17"/>
      <c r="AG38" s="14"/>
      <c r="AH38" s="12"/>
      <c r="AI38" s="17"/>
      <c r="AJ38" s="18"/>
      <c r="AK38" s="17"/>
      <c r="AL38" s="18"/>
    </row>
    <row r="39" ht="16.5" hidden="1" customHeight="1">
      <c r="A39" s="19" t="s">
        <v>99</v>
      </c>
      <c r="B39" s="21">
        <v>0.0</v>
      </c>
      <c r="C39" s="23">
        <f>IFERROR(B39/B148, "NA")</f>
        <v>0</v>
      </c>
      <c r="D39" s="21">
        <v>0.0</v>
      </c>
      <c r="E39" s="23">
        <f>IFERROR(D39/D148, "NA")</f>
        <v>0</v>
      </c>
      <c r="F39" s="21">
        <v>0.0</v>
      </c>
      <c r="G39" s="23">
        <f>IFERROR(F39/F148, "NA")</f>
        <v>0</v>
      </c>
      <c r="H39" s="21">
        <v>0.0</v>
      </c>
      <c r="I39" s="23">
        <f>IFERROR(H39/H148, "NA")</f>
        <v>0</v>
      </c>
      <c r="J39" s="21">
        <v>0.0</v>
      </c>
      <c r="K39" s="23">
        <f>IFERROR(J39/J148, "NA")</f>
        <v>0</v>
      </c>
      <c r="L39" s="21">
        <v>0.0</v>
      </c>
      <c r="M39" s="23">
        <f>IFERROR(L39/L148, "NA")</f>
        <v>0</v>
      </c>
      <c r="N39" s="21">
        <v>0.0</v>
      </c>
      <c r="O39" s="23">
        <f>IFERROR(N39/N148, "NA")</f>
        <v>0</v>
      </c>
      <c r="P39" s="21">
        <v>0.0</v>
      </c>
      <c r="Q39" s="23">
        <f>IFERROR(P39/P148, "NA")</f>
        <v>0</v>
      </c>
      <c r="R39" s="21">
        <v>0.0</v>
      </c>
      <c r="S39" s="23">
        <f>IFERROR(R39/R148, "NA")</f>
        <v>0</v>
      </c>
      <c r="T39" s="21">
        <v>0.0</v>
      </c>
      <c r="U39" s="23">
        <f>IFERROR(T39/T148, "NA")</f>
        <v>0</v>
      </c>
      <c r="V39" s="21">
        <v>0.0</v>
      </c>
      <c r="W39" s="23">
        <f>IFERROR(V39/V148, "NA")</f>
        <v>0</v>
      </c>
      <c r="X39" s="21">
        <v>0.0</v>
      </c>
      <c r="Y39" s="23">
        <f>IFERROR(X39/X148, "NA")</f>
        <v>0</v>
      </c>
      <c r="Z39" s="21">
        <v>0.0</v>
      </c>
      <c r="AA39" s="23">
        <f>IFERROR(Z39/Z148, "NA")</f>
        <v>0</v>
      </c>
      <c r="AB39" s="28">
        <f t="shared" ref="AB39:AB44" si="19">IFERROR((R39+T39+V39+X39)/4, "NA")</f>
        <v>0</v>
      </c>
      <c r="AC39" s="23">
        <f>IFERROR(AB39/AB148, "NA")</f>
        <v>0</v>
      </c>
      <c r="AD39" s="29">
        <f t="shared" ref="AD39:AD44" si="20">IFERROR(X39-AB39, "NA")</f>
        <v>0</v>
      </c>
      <c r="AE39" s="30">
        <f>IFERROR(AD39/AD148, "NA")</f>
        <v>0</v>
      </c>
      <c r="AF39" s="29" t="str">
        <f t="shared" ref="AF39:AF44" si="21">IFERROR((X39-AB39)/AB39, "NA")</f>
        <v>NA</v>
      </c>
      <c r="AG39" s="28">
        <f t="shared" ref="AG39:AG44" si="22">IFERROR((J39+L39+N39+P39+R39+T39+V39+X39)/8, "NA")</f>
        <v>0</v>
      </c>
      <c r="AH39" s="23">
        <f>IFERROR(AG39/AG148, "NA")</f>
        <v>0</v>
      </c>
      <c r="AI39" s="29">
        <f t="shared" ref="AI39:AI44" si="23">IFERROR(X39-AG39, "NA")</f>
        <v>0</v>
      </c>
      <c r="AJ39" s="30">
        <f>IFERROR(AI39/AI148, "NA")</f>
        <v>0</v>
      </c>
      <c r="AK39" s="29" t="str">
        <f t="shared" ref="AK39:AK44" si="24">IFERROR((X39-AG39)/AG39, "NA")</f>
        <v>NA</v>
      </c>
      <c r="AL39" s="30" t="str">
        <f>IFERROR(AK39/AK148, "NA")</f>
        <v>NA</v>
      </c>
    </row>
    <row r="40" ht="16.5" customHeight="1">
      <c r="A40" s="19" t="s">
        <v>100</v>
      </c>
      <c r="B40" s="21">
        <v>917.21</v>
      </c>
      <c r="C40" s="23">
        <f>IFERROR(B40/B148, "NA")</f>
        <v>0.03152837746</v>
      </c>
      <c r="D40" s="21">
        <v>747.58</v>
      </c>
      <c r="E40" s="23">
        <f>IFERROR(D40/D148, "NA")</f>
        <v>0.03047652438</v>
      </c>
      <c r="F40" s="21">
        <v>806.47</v>
      </c>
      <c r="G40" s="23">
        <f>IFERROR(F40/F148, "NA")</f>
        <v>0.02877870618</v>
      </c>
      <c r="H40" s="21">
        <v>570.0</v>
      </c>
      <c r="I40" s="23">
        <f>IFERROR(H40/H148, "NA")</f>
        <v>0.03343722337</v>
      </c>
      <c r="J40" s="21">
        <v>839.17</v>
      </c>
      <c r="K40" s="23">
        <f>IFERROR(J40/J148, "NA")</f>
        <v>0.03706484681</v>
      </c>
      <c r="L40" s="21">
        <v>855.11</v>
      </c>
      <c r="M40" s="23">
        <f>IFERROR(L40/L148, "NA")</f>
        <v>0.02922073373</v>
      </c>
      <c r="N40" s="21">
        <v>805.04</v>
      </c>
      <c r="O40" s="23">
        <f>IFERROR(N40/N148, "NA")</f>
        <v>0.03651438731</v>
      </c>
      <c r="P40" s="21">
        <v>499.04</v>
      </c>
      <c r="Q40" s="23">
        <f>IFERROR(P40/P148, "NA")</f>
        <v>0.03394384275</v>
      </c>
      <c r="R40" s="21">
        <v>614.63</v>
      </c>
      <c r="S40" s="23">
        <f>IFERROR(R40/R148, "NA")</f>
        <v>0.04086162904</v>
      </c>
      <c r="T40" s="21">
        <v>595.68</v>
      </c>
      <c r="U40" s="23">
        <f>IFERROR(T40/T148, "NA")</f>
        <v>0.03202260419</v>
      </c>
      <c r="V40" s="21">
        <v>764.05</v>
      </c>
      <c r="W40" s="23">
        <f>IFERROR(V40/V148, "NA")</f>
        <v>0.03636944367</v>
      </c>
      <c r="X40" s="21">
        <v>541.15</v>
      </c>
      <c r="Y40" s="23">
        <f>IFERROR(X40/X148, "NA")</f>
        <v>0.03114220504</v>
      </c>
      <c r="Z40" s="21">
        <v>2515.51</v>
      </c>
      <c r="AA40" s="23">
        <f>IFERROR(Z40/Z148, "NA")</f>
        <v>0.03492388276</v>
      </c>
      <c r="AB40" s="28">
        <f t="shared" si="19"/>
        <v>628.8775</v>
      </c>
      <c r="AC40" s="23">
        <f>IFERROR(AB40/AB148, "NA")</f>
        <v>0.03492388276</v>
      </c>
      <c r="AD40" s="29">
        <f t="shared" si="20"/>
        <v>-87.7275</v>
      </c>
      <c r="AE40" s="30">
        <f>IFERROR(AD40/AD148, "NA")</f>
        <v>0.1391726818</v>
      </c>
      <c r="AF40" s="29">
        <f t="shared" si="21"/>
        <v>-0.139498551</v>
      </c>
      <c r="AG40" s="28">
        <f t="shared" si="22"/>
        <v>689.23375</v>
      </c>
      <c r="AH40" s="23">
        <f>IFERROR(AG40/AG148, "NA")</f>
        <v>0.03431544152</v>
      </c>
      <c r="AI40" s="29">
        <f t="shared" si="23"/>
        <v>-148.08375</v>
      </c>
      <c r="AJ40" s="30">
        <f>IFERROR(AI40/AI148, "NA")</f>
        <v>0.05467378808</v>
      </c>
      <c r="AK40" s="29">
        <f t="shared" si="24"/>
        <v>-0.2148527259</v>
      </c>
      <c r="AL40" s="30">
        <f>IFERROR(AK40/AK148, "NA")</f>
        <v>1.593270716</v>
      </c>
    </row>
    <row r="41" ht="16.5" customHeight="1">
      <c r="A41" s="19" t="s">
        <v>101</v>
      </c>
      <c r="B41" s="21">
        <v>438.54</v>
      </c>
      <c r="C41" s="23">
        <f>IFERROR(B41/B148, "NA")</f>
        <v>0.01507447003</v>
      </c>
      <c r="D41" s="21">
        <v>472.17</v>
      </c>
      <c r="E41" s="23">
        <f>IFERROR(D41/D148, "NA")</f>
        <v>0.0192489105</v>
      </c>
      <c r="F41" s="21">
        <v>344.36</v>
      </c>
      <c r="G41" s="23">
        <f>IFERROR(F41/F148, "NA")</f>
        <v>0.01228841155</v>
      </c>
      <c r="H41" s="21">
        <v>56.78</v>
      </c>
      <c r="I41" s="23">
        <f>IFERROR(H41/H148, "NA")</f>
        <v>0.003330816742</v>
      </c>
      <c r="J41" s="21">
        <v>249.82</v>
      </c>
      <c r="K41" s="23">
        <f>IFERROR(J41/J148, "NA")</f>
        <v>0.01103416475</v>
      </c>
      <c r="L41" s="21">
        <v>710.07</v>
      </c>
      <c r="M41" s="23">
        <f>IFERROR(L41/L148, "NA")</f>
        <v>0.0242644413</v>
      </c>
      <c r="N41" s="21">
        <v>286.12</v>
      </c>
      <c r="O41" s="23">
        <f>IFERROR(N41/N148, "NA")</f>
        <v>0.01297761167</v>
      </c>
      <c r="P41" s="21">
        <v>114.41</v>
      </c>
      <c r="Q41" s="23">
        <f>IFERROR(P41/P148, "NA")</f>
        <v>0.007781971483</v>
      </c>
      <c r="R41" s="21">
        <v>163.71</v>
      </c>
      <c r="S41" s="23">
        <f>IFERROR(R41/R148, "NA")</f>
        <v>0.01088371425</v>
      </c>
      <c r="T41" s="21">
        <v>148.6</v>
      </c>
      <c r="U41" s="23">
        <f>IFERROR(T41/T148, "NA")</f>
        <v>0.007988448467</v>
      </c>
      <c r="V41" s="21">
        <v>173.99</v>
      </c>
      <c r="W41" s="23">
        <f>IFERROR(V41/V148, "NA")</f>
        <v>0.008282075131</v>
      </c>
      <c r="X41" s="21">
        <v>284.74</v>
      </c>
      <c r="Y41" s="23">
        <f>IFERROR(X41/X148, "NA")</f>
        <v>0.01638627268</v>
      </c>
      <c r="Z41" s="21">
        <v>771.04</v>
      </c>
      <c r="AA41" s="23">
        <f>IFERROR(Z41/Z148, "NA")</f>
        <v>0.01070467244</v>
      </c>
      <c r="AB41" s="28">
        <f t="shared" si="19"/>
        <v>192.76</v>
      </c>
      <c r="AC41" s="23">
        <f>IFERROR(AB41/AB148, "NA")</f>
        <v>0.01070467244</v>
      </c>
      <c r="AD41" s="29">
        <f t="shared" si="20"/>
        <v>91.98</v>
      </c>
      <c r="AE41" s="30">
        <f>IFERROR(AD41/AD148, "NA")</f>
        <v>-0.1459189339</v>
      </c>
      <c r="AF41" s="29">
        <f t="shared" si="21"/>
        <v>0.4771736875</v>
      </c>
      <c r="AG41" s="28">
        <f t="shared" si="22"/>
        <v>266.4325</v>
      </c>
      <c r="AH41" s="23">
        <f>IFERROR(AG41/AG148, "NA")</f>
        <v>0.01326509167</v>
      </c>
      <c r="AI41" s="29">
        <f t="shared" si="23"/>
        <v>18.3075</v>
      </c>
      <c r="AJ41" s="30">
        <f>IFERROR(AI41/AI148, "NA")</f>
        <v>-0.006759285711</v>
      </c>
      <c r="AK41" s="29">
        <f t="shared" si="24"/>
        <v>0.06871346401</v>
      </c>
      <c r="AL41" s="30">
        <f>IFERROR(AK41/AK148, "NA")</f>
        <v>-0.5095543914</v>
      </c>
    </row>
    <row r="42" ht="16.5" hidden="1" customHeight="1">
      <c r="A42" s="19" t="s">
        <v>102</v>
      </c>
      <c r="B42" s="21">
        <v>0.0</v>
      </c>
      <c r="C42" s="23">
        <f>IFERROR(B42/B148, "NA")</f>
        <v>0</v>
      </c>
      <c r="D42" s="21">
        <v>0.0</v>
      </c>
      <c r="E42" s="23">
        <f>IFERROR(D42/D148, "NA")</f>
        <v>0</v>
      </c>
      <c r="F42" s="21">
        <v>0.0</v>
      </c>
      <c r="G42" s="23">
        <f>IFERROR(F42/F148, "NA")</f>
        <v>0</v>
      </c>
      <c r="H42" s="21">
        <v>0.0</v>
      </c>
      <c r="I42" s="23">
        <f>IFERROR(H42/H148, "NA")</f>
        <v>0</v>
      </c>
      <c r="J42" s="21">
        <v>0.0</v>
      </c>
      <c r="K42" s="23">
        <f>IFERROR(J42/J148, "NA")</f>
        <v>0</v>
      </c>
      <c r="L42" s="21">
        <v>0.0</v>
      </c>
      <c r="M42" s="23">
        <f>IFERROR(L42/L148, "NA")</f>
        <v>0</v>
      </c>
      <c r="N42" s="21">
        <v>0.0</v>
      </c>
      <c r="O42" s="23">
        <f>IFERROR(N42/N148, "NA")</f>
        <v>0</v>
      </c>
      <c r="P42" s="21">
        <v>0.0</v>
      </c>
      <c r="Q42" s="23">
        <f>IFERROR(P42/P148, "NA")</f>
        <v>0</v>
      </c>
      <c r="R42" s="21">
        <v>0.0</v>
      </c>
      <c r="S42" s="23">
        <f>IFERROR(R42/R148, "NA")</f>
        <v>0</v>
      </c>
      <c r="T42" s="21">
        <v>0.0</v>
      </c>
      <c r="U42" s="23">
        <f>IFERROR(T42/T148, "NA")</f>
        <v>0</v>
      </c>
      <c r="V42" s="21">
        <v>0.0</v>
      </c>
      <c r="W42" s="23">
        <f>IFERROR(V42/V148, "NA")</f>
        <v>0</v>
      </c>
      <c r="X42" s="21">
        <v>0.0</v>
      </c>
      <c r="Y42" s="23">
        <f>IFERROR(X42/X148, "NA")</f>
        <v>0</v>
      </c>
      <c r="Z42" s="21">
        <v>0.0</v>
      </c>
      <c r="AA42" s="23">
        <f>IFERROR(Z42/Z148, "NA")</f>
        <v>0</v>
      </c>
      <c r="AB42" s="28">
        <f t="shared" si="19"/>
        <v>0</v>
      </c>
      <c r="AC42" s="23">
        <f>IFERROR(AB42/AB148, "NA")</f>
        <v>0</v>
      </c>
      <c r="AD42" s="29">
        <f t="shared" si="20"/>
        <v>0</v>
      </c>
      <c r="AE42" s="30">
        <f>IFERROR(AD42/AD148, "NA")</f>
        <v>0</v>
      </c>
      <c r="AF42" s="29" t="str">
        <f t="shared" si="21"/>
        <v>NA</v>
      </c>
      <c r="AG42" s="28">
        <f t="shared" si="22"/>
        <v>0</v>
      </c>
      <c r="AH42" s="23">
        <f>IFERROR(AG42/AG148, "NA")</f>
        <v>0</v>
      </c>
      <c r="AI42" s="29">
        <f t="shared" si="23"/>
        <v>0</v>
      </c>
      <c r="AJ42" s="30">
        <f>IFERROR(AI42/AI148, "NA")</f>
        <v>0</v>
      </c>
      <c r="AK42" s="29" t="str">
        <f t="shared" si="24"/>
        <v>NA</v>
      </c>
      <c r="AL42" s="30" t="str">
        <f>IFERROR(AK42/AK148, "NA")</f>
        <v>NA</v>
      </c>
    </row>
    <row r="43" ht="16.5" hidden="1" customHeight="1">
      <c r="A43" s="19" t="s">
        <v>103</v>
      </c>
      <c r="B43" s="21">
        <v>0.0</v>
      </c>
      <c r="C43" s="23">
        <f>IFERROR(B43/B148, "NA")</f>
        <v>0</v>
      </c>
      <c r="D43" s="21">
        <v>0.0</v>
      </c>
      <c r="E43" s="23">
        <f>IFERROR(D43/D148, "NA")</f>
        <v>0</v>
      </c>
      <c r="F43" s="21">
        <v>0.0</v>
      </c>
      <c r="G43" s="23">
        <f>IFERROR(F43/F148, "NA")</f>
        <v>0</v>
      </c>
      <c r="H43" s="21">
        <v>0.0</v>
      </c>
      <c r="I43" s="23">
        <f>IFERROR(H43/H148, "NA")</f>
        <v>0</v>
      </c>
      <c r="J43" s="21">
        <v>0.0</v>
      </c>
      <c r="K43" s="23">
        <f>IFERROR(J43/J148, "NA")</f>
        <v>0</v>
      </c>
      <c r="L43" s="21">
        <v>0.0</v>
      </c>
      <c r="M43" s="23">
        <f>IFERROR(L43/L148, "NA")</f>
        <v>0</v>
      </c>
      <c r="N43" s="21">
        <v>0.0</v>
      </c>
      <c r="O43" s="23">
        <f>IFERROR(N43/N148, "NA")</f>
        <v>0</v>
      </c>
      <c r="P43" s="21">
        <v>0.0</v>
      </c>
      <c r="Q43" s="23">
        <f>IFERROR(P43/P148, "NA")</f>
        <v>0</v>
      </c>
      <c r="R43" s="21">
        <v>0.0</v>
      </c>
      <c r="S43" s="23">
        <f>IFERROR(R43/R148, "NA")</f>
        <v>0</v>
      </c>
      <c r="T43" s="21">
        <v>0.0</v>
      </c>
      <c r="U43" s="23">
        <f>IFERROR(T43/T148, "NA")</f>
        <v>0</v>
      </c>
      <c r="V43" s="21">
        <v>0.0</v>
      </c>
      <c r="W43" s="23">
        <f>IFERROR(V43/V148, "NA")</f>
        <v>0</v>
      </c>
      <c r="X43" s="21">
        <v>0.0</v>
      </c>
      <c r="Y43" s="23">
        <f>IFERROR(X43/X148, "NA")</f>
        <v>0</v>
      </c>
      <c r="Z43" s="21">
        <v>0.0</v>
      </c>
      <c r="AA43" s="23">
        <f>IFERROR(Z43/Z148, "NA")</f>
        <v>0</v>
      </c>
      <c r="AB43" s="28">
        <f t="shared" si="19"/>
        <v>0</v>
      </c>
      <c r="AC43" s="23">
        <f>IFERROR(AB43/AB148, "NA")</f>
        <v>0</v>
      </c>
      <c r="AD43" s="29">
        <f t="shared" si="20"/>
        <v>0</v>
      </c>
      <c r="AE43" s="30">
        <f>IFERROR(AD43/AD148, "NA")</f>
        <v>0</v>
      </c>
      <c r="AF43" s="29" t="str">
        <f t="shared" si="21"/>
        <v>NA</v>
      </c>
      <c r="AG43" s="28">
        <f t="shared" si="22"/>
        <v>0</v>
      </c>
      <c r="AH43" s="23">
        <f>IFERROR(AG43/AG148, "NA")</f>
        <v>0</v>
      </c>
      <c r="AI43" s="29">
        <f t="shared" si="23"/>
        <v>0</v>
      </c>
      <c r="AJ43" s="30">
        <f>IFERROR(AI43/AI148, "NA")</f>
        <v>0</v>
      </c>
      <c r="AK43" s="29" t="str">
        <f t="shared" si="24"/>
        <v>NA</v>
      </c>
      <c r="AL43" s="30" t="str">
        <f>IFERROR(AK43/AK148, "NA")</f>
        <v>NA</v>
      </c>
    </row>
    <row r="44" ht="16.5" customHeight="1">
      <c r="A44" s="65" t="s">
        <v>105</v>
      </c>
      <c r="B44" s="66">
        <f>IFERROR(B39+B40+B41+B42+B43, "NA")</f>
        <v>1355.75</v>
      </c>
      <c r="C44" s="67">
        <f>IFERROR(B44/B148, "NA")</f>
        <v>0.04660284749</v>
      </c>
      <c r="D44" s="66">
        <f>IFERROR(D39+D40+D41+D42+D43, "NA")</f>
        <v>1219.75</v>
      </c>
      <c r="E44" s="67">
        <f>IFERROR(D44/D148, "NA")</f>
        <v>0.04972543488</v>
      </c>
      <c r="F44" s="66">
        <f>IFERROR(F39+F40+F41+F42+F43, "NA")</f>
        <v>1150.83</v>
      </c>
      <c r="G44" s="67">
        <f>IFERROR(F44/F148, "NA")</f>
        <v>0.04106711772</v>
      </c>
      <c r="H44" s="66">
        <f>IFERROR(H39+H40+H41+H42+H43, "NA")</f>
        <v>626.78</v>
      </c>
      <c r="I44" s="67">
        <f>IFERROR(H44/H148, "NA")</f>
        <v>0.03676804012</v>
      </c>
      <c r="J44" s="66">
        <f>IFERROR(J39+J40+J41+J42+J43, "NA")</f>
        <v>1088.99</v>
      </c>
      <c r="K44" s="67">
        <f>IFERROR(J44/J148, "NA")</f>
        <v>0.04809901155</v>
      </c>
      <c r="L44" s="66">
        <f>IFERROR(L39+L40+L41+L42+L43, "NA")</f>
        <v>1565.18</v>
      </c>
      <c r="M44" s="67">
        <f>IFERROR(L44/L148, "NA")</f>
        <v>0.05348517503</v>
      </c>
      <c r="N44" s="66">
        <f>IFERROR(N39+N40+N41+N42+N43, "NA")</f>
        <v>1091.16</v>
      </c>
      <c r="O44" s="67">
        <f>IFERROR(N44/N148, "NA")</f>
        <v>0.04949199898</v>
      </c>
      <c r="P44" s="66">
        <f>IFERROR(P39+P40+P41+P42+P43, "NA")</f>
        <v>613.45</v>
      </c>
      <c r="Q44" s="67">
        <f>IFERROR(P44/P148, "NA")</f>
        <v>0.04172581423</v>
      </c>
      <c r="R44" s="66">
        <f>IFERROR(R39+R40+R41+R42+R43, "NA")</f>
        <v>778.34</v>
      </c>
      <c r="S44" s="67">
        <f>IFERROR(R44/R148, "NA")</f>
        <v>0.05174534329</v>
      </c>
      <c r="T44" s="66">
        <f>IFERROR(T39+T40+T41+T42+T43, "NA")</f>
        <v>744.28</v>
      </c>
      <c r="U44" s="67">
        <f>IFERROR(T44/T148, "NA")</f>
        <v>0.04001105266</v>
      </c>
      <c r="V44" s="66">
        <f>IFERROR(V39+V40+V41+V42+V43, "NA")</f>
        <v>938.04</v>
      </c>
      <c r="W44" s="67">
        <f>IFERROR(V44/V148, "NA")</f>
        <v>0.0446515188</v>
      </c>
      <c r="X44" s="66">
        <f>IFERROR(X39+X40+X41+X42+X43, "NA")</f>
        <v>825.89</v>
      </c>
      <c r="Y44" s="67">
        <f>IFERROR(X44/X148, "NA")</f>
        <v>0.04752847772</v>
      </c>
      <c r="Z44" s="66">
        <f>IFERROR(Z39+Z40+Z41+Z42+Z43, "NA")</f>
        <v>3286.55</v>
      </c>
      <c r="AA44" s="67">
        <f>IFERROR(Z44/Z148, "NA")</f>
        <v>0.0456285552</v>
      </c>
      <c r="AB44" s="66">
        <f t="shared" si="19"/>
        <v>821.6375</v>
      </c>
      <c r="AC44" s="67">
        <f>IFERROR(AB44/AB148, "NA")</f>
        <v>0.0456285552</v>
      </c>
      <c r="AD44" s="75">
        <f t="shared" si="20"/>
        <v>4.2525</v>
      </c>
      <c r="AE44" s="76">
        <f>IFERROR(AD44/AD148, "NA")</f>
        <v>-0.006746252082</v>
      </c>
      <c r="AF44" s="75">
        <f t="shared" si="21"/>
        <v>0.005175640109</v>
      </c>
      <c r="AG44" s="66">
        <f t="shared" si="22"/>
        <v>955.66625</v>
      </c>
      <c r="AH44" s="67">
        <f>IFERROR(AG44/AG148, "NA")</f>
        <v>0.04758053319</v>
      </c>
      <c r="AI44" s="75">
        <f t="shared" si="23"/>
        <v>-129.77625</v>
      </c>
      <c r="AJ44" s="76">
        <f>IFERROR(AI44/AI148, "NA")</f>
        <v>0.04791450237</v>
      </c>
      <c r="AK44" s="75">
        <f t="shared" si="24"/>
        <v>-0.1357966236</v>
      </c>
      <c r="AL44" s="76">
        <f>IFERROR(AK44/AK148, "NA")</f>
        <v>1.00701903</v>
      </c>
    </row>
    <row r="45" ht="16.5" customHeight="1">
      <c r="A45" s="13" t="s">
        <v>106</v>
      </c>
      <c r="B45" s="14"/>
      <c r="C45" s="12"/>
      <c r="D45" s="14"/>
      <c r="E45" s="12"/>
      <c r="F45" s="14"/>
      <c r="G45" s="12"/>
      <c r="H45" s="14"/>
      <c r="I45" s="12"/>
      <c r="J45" s="14"/>
      <c r="K45" s="12"/>
      <c r="L45" s="14"/>
      <c r="M45" s="12"/>
      <c r="N45" s="14"/>
      <c r="O45" s="12"/>
      <c r="P45" s="14"/>
      <c r="Q45" s="12"/>
      <c r="R45" s="14"/>
      <c r="S45" s="12"/>
      <c r="T45" s="14"/>
      <c r="U45" s="12"/>
      <c r="V45" s="14"/>
      <c r="W45" s="12"/>
      <c r="X45" s="14"/>
      <c r="Y45" s="12"/>
      <c r="Z45" s="14"/>
      <c r="AA45" s="12"/>
      <c r="AB45" s="14"/>
      <c r="AC45" s="12"/>
      <c r="AD45" s="17"/>
      <c r="AE45" s="18"/>
      <c r="AF45" s="17"/>
      <c r="AG45" s="14"/>
      <c r="AH45" s="12"/>
      <c r="AI45" s="17"/>
      <c r="AJ45" s="18"/>
      <c r="AK45" s="17"/>
      <c r="AL45" s="18"/>
    </row>
    <row r="46" ht="16.5" hidden="1" customHeight="1">
      <c r="A46" s="19" t="s">
        <v>107</v>
      </c>
      <c r="B46" s="21">
        <v>0.0</v>
      </c>
      <c r="C46" s="23">
        <f>IFERROR(B46/B148, "NA")</f>
        <v>0</v>
      </c>
      <c r="D46" s="21">
        <v>0.0</v>
      </c>
      <c r="E46" s="23">
        <f>IFERROR(D46/D148, "NA")</f>
        <v>0</v>
      </c>
      <c r="F46" s="21">
        <v>0.0</v>
      </c>
      <c r="G46" s="23">
        <f>IFERROR(F46/F148, "NA")</f>
        <v>0</v>
      </c>
      <c r="H46" s="21">
        <v>0.0</v>
      </c>
      <c r="I46" s="23">
        <f>IFERROR(H46/H148, "NA")</f>
        <v>0</v>
      </c>
      <c r="J46" s="21">
        <v>0.0</v>
      </c>
      <c r="K46" s="23">
        <f>IFERROR(J46/J148, "NA")</f>
        <v>0</v>
      </c>
      <c r="L46" s="21">
        <v>0.0</v>
      </c>
      <c r="M46" s="23">
        <f>IFERROR(L46/L148, "NA")</f>
        <v>0</v>
      </c>
      <c r="N46" s="21">
        <v>0.0</v>
      </c>
      <c r="O46" s="23">
        <f>IFERROR(N46/N148, "NA")</f>
        <v>0</v>
      </c>
      <c r="P46" s="21">
        <v>0.0</v>
      </c>
      <c r="Q46" s="23">
        <f>IFERROR(P46/P148, "NA")</f>
        <v>0</v>
      </c>
      <c r="R46" s="21">
        <v>0.0</v>
      </c>
      <c r="S46" s="23">
        <f>IFERROR(R46/R148, "NA")</f>
        <v>0</v>
      </c>
      <c r="T46" s="21">
        <v>0.0</v>
      </c>
      <c r="U46" s="23">
        <f>IFERROR(T46/T148, "NA")</f>
        <v>0</v>
      </c>
      <c r="V46" s="21">
        <v>0.0</v>
      </c>
      <c r="W46" s="23">
        <f>IFERROR(V46/V148, "NA")</f>
        <v>0</v>
      </c>
      <c r="X46" s="21">
        <v>0.0</v>
      </c>
      <c r="Y46" s="23">
        <f>IFERROR(X46/X148, "NA")</f>
        <v>0</v>
      </c>
      <c r="Z46" s="21">
        <v>0.0</v>
      </c>
      <c r="AA46" s="23">
        <f>IFERROR(Z46/Z148, "NA")</f>
        <v>0</v>
      </c>
      <c r="AB46" s="28">
        <f t="shared" ref="AB46:AB57" si="25">IFERROR((R46+T46+V46+X46)/4, "NA")</f>
        <v>0</v>
      </c>
      <c r="AC46" s="23">
        <f>IFERROR(AB46/AB148, "NA")</f>
        <v>0</v>
      </c>
      <c r="AD46" s="29">
        <f t="shared" ref="AD46:AD57" si="26">IFERROR(X46-AB46, "NA")</f>
        <v>0</v>
      </c>
      <c r="AE46" s="30">
        <f>IFERROR(AD46/AD148, "NA")</f>
        <v>0</v>
      </c>
      <c r="AF46" s="29" t="str">
        <f t="shared" ref="AF46:AF57" si="27">IFERROR((X46-AB46)/AB46, "NA")</f>
        <v>NA</v>
      </c>
      <c r="AG46" s="28">
        <f t="shared" ref="AG46:AG57" si="28">IFERROR((J46+L46+N46+P46+R46+T46+V46+X46)/8, "NA")</f>
        <v>0</v>
      </c>
      <c r="AH46" s="23">
        <f>IFERROR(AG46/AG148, "NA")</f>
        <v>0</v>
      </c>
      <c r="AI46" s="29">
        <f t="shared" ref="AI46:AI57" si="29">IFERROR(X46-AG46, "NA")</f>
        <v>0</v>
      </c>
      <c r="AJ46" s="30">
        <f>IFERROR(AI46/AI148, "NA")</f>
        <v>0</v>
      </c>
      <c r="AK46" s="29" t="str">
        <f t="shared" ref="AK46:AK57" si="30">IFERROR((X46-AG46)/AG46, "NA")</f>
        <v>NA</v>
      </c>
      <c r="AL46" s="30" t="str">
        <f>IFERROR(AK46/AK148, "NA")</f>
        <v>NA</v>
      </c>
    </row>
    <row r="47" ht="16.5" customHeight="1">
      <c r="A47" s="19" t="s">
        <v>108</v>
      </c>
      <c r="B47" s="21">
        <v>134.4</v>
      </c>
      <c r="C47" s="23">
        <f>IFERROR(B47/B148, "NA")</f>
        <v>0.004619895042</v>
      </c>
      <c r="D47" s="21">
        <v>76.49</v>
      </c>
      <c r="E47" s="23">
        <f>IFERROR(D47/D148, "NA")</f>
        <v>0.003118260721</v>
      </c>
      <c r="F47" s="21">
        <v>100.28</v>
      </c>
      <c r="G47" s="23">
        <f>IFERROR(F47/F148, "NA")</f>
        <v>0.003578469944</v>
      </c>
      <c r="H47" s="21">
        <v>30.01</v>
      </c>
      <c r="I47" s="23">
        <f>IFERROR(H47/H148, "NA")</f>
        <v>0.00176044048</v>
      </c>
      <c r="J47" s="21">
        <v>126.57</v>
      </c>
      <c r="K47" s="23">
        <f>IFERROR(J47/J148, "NA")</f>
        <v>0.005590402017</v>
      </c>
      <c r="L47" s="21">
        <v>92.19</v>
      </c>
      <c r="M47" s="23">
        <f>IFERROR(L47/L148, "NA")</f>
        <v>0.003150307496</v>
      </c>
      <c r="N47" s="21">
        <v>100.3</v>
      </c>
      <c r="O47" s="23">
        <f>IFERROR(N47/N148, "NA")</f>
        <v>0.004549330527</v>
      </c>
      <c r="P47" s="21">
        <v>63.08</v>
      </c>
      <c r="Q47" s="23">
        <f>IFERROR(P47/P148, "NA")</f>
        <v>0.00429059314</v>
      </c>
      <c r="R47" s="21">
        <v>116.32</v>
      </c>
      <c r="S47" s="23">
        <f>IFERROR(R47/R148, "NA")</f>
        <v>0.007733147894</v>
      </c>
      <c r="T47" s="21">
        <v>97.82</v>
      </c>
      <c r="U47" s="23">
        <f>IFERROR(T47/T148, "NA")</f>
        <v>0.005258613924</v>
      </c>
      <c r="V47" s="21">
        <v>50.81</v>
      </c>
      <c r="W47" s="23">
        <f>IFERROR(V47/V148, "NA")</f>
        <v>0.002418600135</v>
      </c>
      <c r="X47" s="21">
        <v>35.47</v>
      </c>
      <c r="Y47" s="23">
        <f>IFERROR(X47/X148, "NA")</f>
        <v>0.002041234432</v>
      </c>
      <c r="Z47" s="21">
        <v>300.42</v>
      </c>
      <c r="AA47" s="23">
        <f>IFERROR(Z47/Z148, "NA")</f>
        <v>0.004170857146</v>
      </c>
      <c r="AB47" s="28">
        <f t="shared" si="25"/>
        <v>75.105</v>
      </c>
      <c r="AC47" s="23">
        <f>IFERROR(AB47/AB148, "NA")</f>
        <v>0.004170857146</v>
      </c>
      <c r="AD47" s="29">
        <f t="shared" si="26"/>
        <v>-39.635</v>
      </c>
      <c r="AE47" s="30">
        <f>IFERROR(AD47/AD148, "NA")</f>
        <v>0.06287776632</v>
      </c>
      <c r="AF47" s="29">
        <f t="shared" si="27"/>
        <v>-0.5277278477</v>
      </c>
      <c r="AG47" s="28">
        <f t="shared" si="28"/>
        <v>85.32</v>
      </c>
      <c r="AH47" s="23">
        <f>IFERROR(AG47/AG148, "NA")</f>
        <v>0.004247896263</v>
      </c>
      <c r="AI47" s="29">
        <f t="shared" si="29"/>
        <v>-49.85</v>
      </c>
      <c r="AJ47" s="30">
        <f>IFERROR(AI47/AI148, "NA")</f>
        <v>0.01840504671</v>
      </c>
      <c r="AK47" s="29">
        <f t="shared" si="30"/>
        <v>-0.5842709798</v>
      </c>
      <c r="AL47" s="30">
        <f>IFERROR(AK47/AK148, "NA")</f>
        <v>4.332743922</v>
      </c>
    </row>
    <row r="48" ht="16.5" hidden="1" customHeight="1">
      <c r="A48" s="19" t="s">
        <v>109</v>
      </c>
      <c r="B48" s="21">
        <v>0.0</v>
      </c>
      <c r="C48" s="23">
        <f>IFERROR(B48/B148, "NA")</f>
        <v>0</v>
      </c>
      <c r="D48" s="21">
        <v>0.0</v>
      </c>
      <c r="E48" s="23">
        <f>IFERROR(D48/D148, "NA")</f>
        <v>0</v>
      </c>
      <c r="F48" s="21">
        <v>0.0</v>
      </c>
      <c r="G48" s="23">
        <f>IFERROR(F48/F148, "NA")</f>
        <v>0</v>
      </c>
      <c r="H48" s="21">
        <v>0.0</v>
      </c>
      <c r="I48" s="23">
        <f>IFERROR(H48/H148, "NA")</f>
        <v>0</v>
      </c>
      <c r="J48" s="21">
        <v>0.0</v>
      </c>
      <c r="K48" s="23">
        <f>IFERROR(J48/J148, "NA")</f>
        <v>0</v>
      </c>
      <c r="L48" s="21">
        <v>0.0</v>
      </c>
      <c r="M48" s="23">
        <f>IFERROR(L48/L148, "NA")</f>
        <v>0</v>
      </c>
      <c r="N48" s="21">
        <v>0.0</v>
      </c>
      <c r="O48" s="23">
        <f>IFERROR(N48/N148, "NA")</f>
        <v>0</v>
      </c>
      <c r="P48" s="21">
        <v>0.0</v>
      </c>
      <c r="Q48" s="23">
        <f>IFERROR(P48/P148, "NA")</f>
        <v>0</v>
      </c>
      <c r="R48" s="21">
        <v>0.0</v>
      </c>
      <c r="S48" s="23">
        <f>IFERROR(R48/R148, "NA")</f>
        <v>0</v>
      </c>
      <c r="T48" s="21">
        <v>0.0</v>
      </c>
      <c r="U48" s="23">
        <f>IFERROR(T48/T148, "NA")</f>
        <v>0</v>
      </c>
      <c r="V48" s="21">
        <v>0.0</v>
      </c>
      <c r="W48" s="23">
        <f>IFERROR(V48/V148, "NA")</f>
        <v>0</v>
      </c>
      <c r="X48" s="21">
        <v>0.0</v>
      </c>
      <c r="Y48" s="23">
        <f>IFERROR(X48/X148, "NA")</f>
        <v>0</v>
      </c>
      <c r="Z48" s="21">
        <v>0.0</v>
      </c>
      <c r="AA48" s="23">
        <f>IFERROR(Z48/Z148, "NA")</f>
        <v>0</v>
      </c>
      <c r="AB48" s="28">
        <f t="shared" si="25"/>
        <v>0</v>
      </c>
      <c r="AC48" s="23">
        <f>IFERROR(AB48/AB148, "NA")</f>
        <v>0</v>
      </c>
      <c r="AD48" s="29">
        <f t="shared" si="26"/>
        <v>0</v>
      </c>
      <c r="AE48" s="30">
        <f>IFERROR(AD48/AD148, "NA")</f>
        <v>0</v>
      </c>
      <c r="AF48" s="29" t="str">
        <f t="shared" si="27"/>
        <v>NA</v>
      </c>
      <c r="AG48" s="28">
        <f t="shared" si="28"/>
        <v>0</v>
      </c>
      <c r="AH48" s="23">
        <f>IFERROR(AG48/AG148, "NA")</f>
        <v>0</v>
      </c>
      <c r="AI48" s="29">
        <f t="shared" si="29"/>
        <v>0</v>
      </c>
      <c r="AJ48" s="30">
        <f>IFERROR(AI48/AI148, "NA")</f>
        <v>0</v>
      </c>
      <c r="AK48" s="29" t="str">
        <f t="shared" si="30"/>
        <v>NA</v>
      </c>
      <c r="AL48" s="30" t="str">
        <f>IFERROR(AK48/AK148, "NA")</f>
        <v>NA</v>
      </c>
    </row>
    <row r="49" ht="16.5" hidden="1" customHeight="1">
      <c r="A49" s="19" t="s">
        <v>110</v>
      </c>
      <c r="B49" s="21">
        <v>0.0</v>
      </c>
      <c r="C49" s="23">
        <f>IFERROR(B49/B148, "NA")</f>
        <v>0</v>
      </c>
      <c r="D49" s="21">
        <v>0.0</v>
      </c>
      <c r="E49" s="23">
        <f>IFERROR(D49/D148, "NA")</f>
        <v>0</v>
      </c>
      <c r="F49" s="21">
        <v>0.0</v>
      </c>
      <c r="G49" s="23">
        <f>IFERROR(F49/F148, "NA")</f>
        <v>0</v>
      </c>
      <c r="H49" s="21">
        <v>0.0</v>
      </c>
      <c r="I49" s="23">
        <f>IFERROR(H49/H148, "NA")</f>
        <v>0</v>
      </c>
      <c r="J49" s="21">
        <v>0.0</v>
      </c>
      <c r="K49" s="23">
        <f>IFERROR(J49/J148, "NA")</f>
        <v>0</v>
      </c>
      <c r="L49" s="21">
        <v>0.0</v>
      </c>
      <c r="M49" s="23">
        <f>IFERROR(L49/L148, "NA")</f>
        <v>0</v>
      </c>
      <c r="N49" s="21">
        <v>0.0</v>
      </c>
      <c r="O49" s="23">
        <f>IFERROR(N49/N148, "NA")</f>
        <v>0</v>
      </c>
      <c r="P49" s="21">
        <v>0.0</v>
      </c>
      <c r="Q49" s="23">
        <f>IFERROR(P49/P148, "NA")</f>
        <v>0</v>
      </c>
      <c r="R49" s="21">
        <v>0.0</v>
      </c>
      <c r="S49" s="23">
        <f>IFERROR(R49/R148, "NA")</f>
        <v>0</v>
      </c>
      <c r="T49" s="21">
        <v>0.0</v>
      </c>
      <c r="U49" s="23">
        <f>IFERROR(T49/T148, "NA")</f>
        <v>0</v>
      </c>
      <c r="V49" s="21">
        <v>0.0</v>
      </c>
      <c r="W49" s="23">
        <f>IFERROR(V49/V148, "NA")</f>
        <v>0</v>
      </c>
      <c r="X49" s="21">
        <v>0.0</v>
      </c>
      <c r="Y49" s="23">
        <f>IFERROR(X49/X148, "NA")</f>
        <v>0</v>
      </c>
      <c r="Z49" s="21">
        <v>0.0</v>
      </c>
      <c r="AA49" s="23">
        <f>IFERROR(Z49/Z148, "NA")</f>
        <v>0</v>
      </c>
      <c r="AB49" s="28">
        <f t="shared" si="25"/>
        <v>0</v>
      </c>
      <c r="AC49" s="23">
        <f>IFERROR(AB49/AB148, "NA")</f>
        <v>0</v>
      </c>
      <c r="AD49" s="29">
        <f t="shared" si="26"/>
        <v>0</v>
      </c>
      <c r="AE49" s="30">
        <f>IFERROR(AD49/AD148, "NA")</f>
        <v>0</v>
      </c>
      <c r="AF49" s="29" t="str">
        <f t="shared" si="27"/>
        <v>NA</v>
      </c>
      <c r="AG49" s="28">
        <f t="shared" si="28"/>
        <v>0</v>
      </c>
      <c r="AH49" s="23">
        <f>IFERROR(AG49/AG148, "NA")</f>
        <v>0</v>
      </c>
      <c r="AI49" s="29">
        <f t="shared" si="29"/>
        <v>0</v>
      </c>
      <c r="AJ49" s="30">
        <f>IFERROR(AI49/AI148, "NA")</f>
        <v>0</v>
      </c>
      <c r="AK49" s="29" t="str">
        <f t="shared" si="30"/>
        <v>NA</v>
      </c>
      <c r="AL49" s="30" t="str">
        <f>IFERROR(AK49/AK148, "NA")</f>
        <v>NA</v>
      </c>
    </row>
    <row r="50" ht="16.5" hidden="1" customHeight="1">
      <c r="A50" s="19" t="s">
        <v>111</v>
      </c>
      <c r="B50" s="21">
        <v>0.0</v>
      </c>
      <c r="C50" s="23">
        <f>IFERROR(B50/B148, "NA")</f>
        <v>0</v>
      </c>
      <c r="D50" s="21">
        <v>0.0</v>
      </c>
      <c r="E50" s="23">
        <f>IFERROR(D50/D148, "NA")</f>
        <v>0</v>
      </c>
      <c r="F50" s="21">
        <v>0.0</v>
      </c>
      <c r="G50" s="23">
        <f>IFERROR(F50/F148, "NA")</f>
        <v>0</v>
      </c>
      <c r="H50" s="21">
        <v>0.0</v>
      </c>
      <c r="I50" s="23">
        <f>IFERROR(H50/H148, "NA")</f>
        <v>0</v>
      </c>
      <c r="J50" s="21">
        <v>0.0</v>
      </c>
      <c r="K50" s="23">
        <f>IFERROR(J50/J148, "NA")</f>
        <v>0</v>
      </c>
      <c r="L50" s="21">
        <v>0.0</v>
      </c>
      <c r="M50" s="23">
        <f>IFERROR(L50/L148, "NA")</f>
        <v>0</v>
      </c>
      <c r="N50" s="21">
        <v>0.0</v>
      </c>
      <c r="O50" s="23">
        <f>IFERROR(N50/N148, "NA")</f>
        <v>0</v>
      </c>
      <c r="P50" s="21">
        <v>0.0</v>
      </c>
      <c r="Q50" s="23">
        <f>IFERROR(P50/P148, "NA")</f>
        <v>0</v>
      </c>
      <c r="R50" s="21">
        <v>0.0</v>
      </c>
      <c r="S50" s="23">
        <f>IFERROR(R50/R148, "NA")</f>
        <v>0</v>
      </c>
      <c r="T50" s="21">
        <v>0.0</v>
      </c>
      <c r="U50" s="23">
        <f>IFERROR(T50/T148, "NA")</f>
        <v>0</v>
      </c>
      <c r="V50" s="21">
        <v>0.0</v>
      </c>
      <c r="W50" s="23">
        <f>IFERROR(V50/V148, "NA")</f>
        <v>0</v>
      </c>
      <c r="X50" s="21">
        <v>0.0</v>
      </c>
      <c r="Y50" s="23">
        <f>IFERROR(X50/X148, "NA")</f>
        <v>0</v>
      </c>
      <c r="Z50" s="21">
        <v>0.0</v>
      </c>
      <c r="AA50" s="23">
        <f>IFERROR(Z50/Z148, "NA")</f>
        <v>0</v>
      </c>
      <c r="AB50" s="28">
        <f t="shared" si="25"/>
        <v>0</v>
      </c>
      <c r="AC50" s="23">
        <f>IFERROR(AB50/AB148, "NA")</f>
        <v>0</v>
      </c>
      <c r="AD50" s="29">
        <f t="shared" si="26"/>
        <v>0</v>
      </c>
      <c r="AE50" s="30">
        <f>IFERROR(AD50/AD148, "NA")</f>
        <v>0</v>
      </c>
      <c r="AF50" s="29" t="str">
        <f t="shared" si="27"/>
        <v>NA</v>
      </c>
      <c r="AG50" s="28">
        <f t="shared" si="28"/>
        <v>0</v>
      </c>
      <c r="AH50" s="23">
        <f>IFERROR(AG50/AG148, "NA")</f>
        <v>0</v>
      </c>
      <c r="AI50" s="29">
        <f t="shared" si="29"/>
        <v>0</v>
      </c>
      <c r="AJ50" s="30">
        <f>IFERROR(AI50/AI148, "NA")</f>
        <v>0</v>
      </c>
      <c r="AK50" s="29" t="str">
        <f t="shared" si="30"/>
        <v>NA</v>
      </c>
      <c r="AL50" s="30" t="str">
        <f>IFERROR(AK50/AK148, "NA")</f>
        <v>NA</v>
      </c>
    </row>
    <row r="51" ht="16.5" hidden="1" customHeight="1">
      <c r="A51" s="19" t="s">
        <v>112</v>
      </c>
      <c r="B51" s="21">
        <v>0.0</v>
      </c>
      <c r="C51" s="23">
        <f>IFERROR(B51/B148, "NA")</f>
        <v>0</v>
      </c>
      <c r="D51" s="21">
        <v>0.0</v>
      </c>
      <c r="E51" s="23">
        <f>IFERROR(D51/D148, "NA")</f>
        <v>0</v>
      </c>
      <c r="F51" s="21">
        <v>0.0</v>
      </c>
      <c r="G51" s="23">
        <f>IFERROR(F51/F148, "NA")</f>
        <v>0</v>
      </c>
      <c r="H51" s="21">
        <v>0.0</v>
      </c>
      <c r="I51" s="23">
        <f>IFERROR(H51/H148, "NA")</f>
        <v>0</v>
      </c>
      <c r="J51" s="21">
        <v>0.0</v>
      </c>
      <c r="K51" s="23">
        <f>IFERROR(J51/J148, "NA")</f>
        <v>0</v>
      </c>
      <c r="L51" s="21">
        <v>0.0</v>
      </c>
      <c r="M51" s="23">
        <f>IFERROR(L51/L148, "NA")</f>
        <v>0</v>
      </c>
      <c r="N51" s="21">
        <v>0.0</v>
      </c>
      <c r="O51" s="23">
        <f>IFERROR(N51/N148, "NA")</f>
        <v>0</v>
      </c>
      <c r="P51" s="21">
        <v>0.0</v>
      </c>
      <c r="Q51" s="23">
        <f>IFERROR(P51/P148, "NA")</f>
        <v>0</v>
      </c>
      <c r="R51" s="21">
        <v>0.0</v>
      </c>
      <c r="S51" s="23">
        <f>IFERROR(R51/R148, "NA")</f>
        <v>0</v>
      </c>
      <c r="T51" s="21">
        <v>0.0</v>
      </c>
      <c r="U51" s="23">
        <f>IFERROR(T51/T148, "NA")</f>
        <v>0</v>
      </c>
      <c r="V51" s="21">
        <v>0.0</v>
      </c>
      <c r="W51" s="23">
        <f>IFERROR(V51/V148, "NA")</f>
        <v>0</v>
      </c>
      <c r="X51" s="21">
        <v>0.0</v>
      </c>
      <c r="Y51" s="23">
        <f>IFERROR(X51/X148, "NA")</f>
        <v>0</v>
      </c>
      <c r="Z51" s="21">
        <v>0.0</v>
      </c>
      <c r="AA51" s="23">
        <f>IFERROR(Z51/Z148, "NA")</f>
        <v>0</v>
      </c>
      <c r="AB51" s="28">
        <f t="shared" si="25"/>
        <v>0</v>
      </c>
      <c r="AC51" s="23">
        <f>IFERROR(AB51/AB148, "NA")</f>
        <v>0</v>
      </c>
      <c r="AD51" s="29">
        <f t="shared" si="26"/>
        <v>0</v>
      </c>
      <c r="AE51" s="30">
        <f>IFERROR(AD51/AD148, "NA")</f>
        <v>0</v>
      </c>
      <c r="AF51" s="29" t="str">
        <f t="shared" si="27"/>
        <v>NA</v>
      </c>
      <c r="AG51" s="28">
        <f t="shared" si="28"/>
        <v>0</v>
      </c>
      <c r="AH51" s="23">
        <f>IFERROR(AG51/AG148, "NA")</f>
        <v>0</v>
      </c>
      <c r="AI51" s="29">
        <f t="shared" si="29"/>
        <v>0</v>
      </c>
      <c r="AJ51" s="30">
        <f>IFERROR(AI51/AI148, "NA")</f>
        <v>0</v>
      </c>
      <c r="AK51" s="29" t="str">
        <f t="shared" si="30"/>
        <v>NA</v>
      </c>
      <c r="AL51" s="30" t="str">
        <f>IFERROR(AK51/AK148, "NA")</f>
        <v>NA</v>
      </c>
    </row>
    <row r="52" ht="16.5" customHeight="1">
      <c r="A52" s="65" t="s">
        <v>113</v>
      </c>
      <c r="B52" s="66">
        <f>IFERROR(B46+B47+B48+B49+B50+B51, "NA")</f>
        <v>134.4</v>
      </c>
      <c r="C52" s="67">
        <f>IFERROR(B52/B148, "NA")</f>
        <v>0.004619895042</v>
      </c>
      <c r="D52" s="66">
        <f>IFERROR(D46+D47+D48+D49+D50+D51, "NA")</f>
        <v>76.49</v>
      </c>
      <c r="E52" s="67">
        <f>IFERROR(D52/D148, "NA")</f>
        <v>0.003118260721</v>
      </c>
      <c r="F52" s="66">
        <f>IFERROR(F46+F47+F48+F49+F50+F51, "NA")</f>
        <v>100.28</v>
      </c>
      <c r="G52" s="67">
        <f>IFERROR(F52/F148, "NA")</f>
        <v>0.003578469944</v>
      </c>
      <c r="H52" s="66">
        <f>IFERROR(H46+H47+H48+H49+H50+H51, "NA")</f>
        <v>30.01</v>
      </c>
      <c r="I52" s="67">
        <f>IFERROR(H52/H148, "NA")</f>
        <v>0.00176044048</v>
      </c>
      <c r="J52" s="66">
        <f>IFERROR(J46+J47+J48+J49+J50+J51, "NA")</f>
        <v>126.57</v>
      </c>
      <c r="K52" s="67">
        <f>IFERROR(J52/J148, "NA")</f>
        <v>0.005590402017</v>
      </c>
      <c r="L52" s="66">
        <f>IFERROR(L46+L47+L48+L49+L50+L51, "NA")</f>
        <v>92.19</v>
      </c>
      <c r="M52" s="67">
        <f>IFERROR(L52/L148, "NA")</f>
        <v>0.003150307496</v>
      </c>
      <c r="N52" s="66">
        <f>IFERROR(N46+N47+N48+N49+N50+N51, "NA")</f>
        <v>100.3</v>
      </c>
      <c r="O52" s="67">
        <f>IFERROR(N52/N148, "NA")</f>
        <v>0.004549330527</v>
      </c>
      <c r="P52" s="66">
        <f>IFERROR(P46+P47+P48+P49+P50+P51, "NA")</f>
        <v>63.08</v>
      </c>
      <c r="Q52" s="67">
        <f>IFERROR(P52/P148, "NA")</f>
        <v>0.00429059314</v>
      </c>
      <c r="R52" s="66">
        <f>IFERROR(R46+R47+R48+R49+R50+R51, "NA")</f>
        <v>116.32</v>
      </c>
      <c r="S52" s="67">
        <f>IFERROR(R52/R148, "NA")</f>
        <v>0.007733147894</v>
      </c>
      <c r="T52" s="66">
        <f>IFERROR(T46+T47+T48+T49+T50+T51, "NA")</f>
        <v>97.82</v>
      </c>
      <c r="U52" s="67">
        <f>IFERROR(T52/T148, "NA")</f>
        <v>0.005258613924</v>
      </c>
      <c r="V52" s="66">
        <f>IFERROR(V46+V47+V48+V49+V50+V51, "NA")</f>
        <v>50.81</v>
      </c>
      <c r="W52" s="67">
        <f>IFERROR(V52/V148, "NA")</f>
        <v>0.002418600135</v>
      </c>
      <c r="X52" s="66">
        <f>IFERROR(X46+X47+X48+X49+X50+X51, "NA")</f>
        <v>35.47</v>
      </c>
      <c r="Y52" s="67">
        <f>IFERROR(X52/X148, "NA")</f>
        <v>0.002041234432</v>
      </c>
      <c r="Z52" s="66">
        <f>IFERROR(Z46+Z47+Z48+Z49+Z50+Z51, "NA")</f>
        <v>300.42</v>
      </c>
      <c r="AA52" s="67">
        <f>IFERROR(Z52/Z148, "NA")</f>
        <v>0.004170857146</v>
      </c>
      <c r="AB52" s="66">
        <f t="shared" si="25"/>
        <v>75.105</v>
      </c>
      <c r="AC52" s="67">
        <f>IFERROR(AB52/AB148, "NA")</f>
        <v>0.004170857146</v>
      </c>
      <c r="AD52" s="75">
        <f t="shared" si="26"/>
        <v>-39.635</v>
      </c>
      <c r="AE52" s="76">
        <f>IFERROR(AD52/AD148, "NA")</f>
        <v>0.06287776632</v>
      </c>
      <c r="AF52" s="75">
        <f t="shared" si="27"/>
        <v>-0.5277278477</v>
      </c>
      <c r="AG52" s="66">
        <f t="shared" si="28"/>
        <v>85.32</v>
      </c>
      <c r="AH52" s="67">
        <f>IFERROR(AG52/AG148, "NA")</f>
        <v>0.004247896263</v>
      </c>
      <c r="AI52" s="75">
        <f t="shared" si="29"/>
        <v>-49.85</v>
      </c>
      <c r="AJ52" s="76">
        <f>IFERROR(AI52/AI148, "NA")</f>
        <v>0.01840504671</v>
      </c>
      <c r="AK52" s="75">
        <f t="shared" si="30"/>
        <v>-0.5842709798</v>
      </c>
      <c r="AL52" s="76">
        <f>IFERROR(AK52/AK148, "NA")</f>
        <v>4.332743922</v>
      </c>
    </row>
    <row r="53" ht="16.5" customHeight="1">
      <c r="A53" s="19" t="s">
        <v>114</v>
      </c>
      <c r="B53" s="21">
        <v>21.05</v>
      </c>
      <c r="C53" s="23">
        <f>IFERROR(B53/B148, "NA")</f>
        <v>0.0007235773112</v>
      </c>
      <c r="D53" s="21">
        <v>28.86</v>
      </c>
      <c r="E53" s="23">
        <f>IFERROR(D53/D148, "NA")</f>
        <v>0.001176532938</v>
      </c>
      <c r="F53" s="21">
        <v>26.07</v>
      </c>
      <c r="G53" s="23">
        <f>IFERROR(F53/F148, "NA")</f>
        <v>0.0009303022679</v>
      </c>
      <c r="H53" s="21">
        <v>27.39</v>
      </c>
      <c r="I53" s="23">
        <f>IFERROR(H53/H148, "NA")</f>
        <v>0.001606746576</v>
      </c>
      <c r="J53" s="21">
        <v>37.74</v>
      </c>
      <c r="K53" s="23">
        <f>IFERROR(J53/J148, "NA")</f>
        <v>0.001666917691</v>
      </c>
      <c r="L53" s="21">
        <v>25.83</v>
      </c>
      <c r="M53" s="23">
        <f>IFERROR(L53/L148, "NA")</f>
        <v>0.0008826601868</v>
      </c>
      <c r="N53" s="21">
        <v>11.76</v>
      </c>
      <c r="O53" s="23">
        <f>IFERROR(N53/N148, "NA")</f>
        <v>0.0005334010668</v>
      </c>
      <c r="P53" s="21">
        <v>17.09</v>
      </c>
      <c r="Q53" s="23">
        <f>IFERROR(P53/P148, "NA")</f>
        <v>0.001162432415</v>
      </c>
      <c r="R53" s="21">
        <v>12.65</v>
      </c>
      <c r="S53" s="23">
        <f>IFERROR(R53/R148, "NA")</f>
        <v>0.0008409931298</v>
      </c>
      <c r="T53" s="21">
        <v>56.62</v>
      </c>
      <c r="U53" s="23">
        <f>IFERROR(T53/T148, "NA")</f>
        <v>0.003043781643</v>
      </c>
      <c r="V53" s="21">
        <v>13.0</v>
      </c>
      <c r="W53" s="23">
        <f>IFERROR(V53/V148, "NA")</f>
        <v>0.0006188112921</v>
      </c>
      <c r="X53" s="21">
        <v>42.33</v>
      </c>
      <c r="Y53" s="23">
        <f>IFERROR(X53/X148, "NA")</f>
        <v>0.002436015041</v>
      </c>
      <c r="Z53" s="21">
        <v>124.6</v>
      </c>
      <c r="AA53" s="23">
        <f>IFERROR(Z53/Z148, "NA")</f>
        <v>0.001729874177</v>
      </c>
      <c r="AB53" s="28">
        <f t="shared" si="25"/>
        <v>31.15</v>
      </c>
      <c r="AC53" s="23">
        <f>IFERROR(AB53/AB148, "NA")</f>
        <v>0.001729874177</v>
      </c>
      <c r="AD53" s="29">
        <f t="shared" si="26"/>
        <v>11.18</v>
      </c>
      <c r="AE53" s="30">
        <f>IFERROR(AD53/AD148, "NA")</f>
        <v>-0.01773617831</v>
      </c>
      <c r="AF53" s="29">
        <f t="shared" si="27"/>
        <v>0.3589085072</v>
      </c>
      <c r="AG53" s="28">
        <f t="shared" si="28"/>
        <v>27.1275</v>
      </c>
      <c r="AH53" s="23">
        <f>IFERROR(AG53/AG148, "NA")</f>
        <v>0.001350618915</v>
      </c>
      <c r="AI53" s="29">
        <f t="shared" si="29"/>
        <v>15.2025</v>
      </c>
      <c r="AJ53" s="30">
        <f>IFERROR(AI53/AI148, "NA")</f>
        <v>-0.005612893132</v>
      </c>
      <c r="AK53" s="29">
        <f t="shared" si="30"/>
        <v>0.5604091789</v>
      </c>
      <c r="AL53" s="30">
        <f>IFERROR(AK53/AK148, "NA")</f>
        <v>-4.155793369</v>
      </c>
    </row>
    <row r="54" ht="16.5" customHeight="1">
      <c r="A54" s="19" t="s">
        <v>115</v>
      </c>
      <c r="B54" s="21">
        <v>12.0</v>
      </c>
      <c r="C54" s="23">
        <f>IFERROR(B54/B148, "NA")</f>
        <v>0.0004124906287</v>
      </c>
      <c r="D54" s="21">
        <v>6.0</v>
      </c>
      <c r="E54" s="23">
        <f>IFERROR(D54/D148, "NA")</f>
        <v>0.0002446014423</v>
      </c>
      <c r="F54" s="21">
        <v>9.31</v>
      </c>
      <c r="G54" s="23">
        <f>IFERROR(F54/F148, "NA")</f>
        <v>0.0003322253209</v>
      </c>
      <c r="H54" s="21">
        <v>6.0</v>
      </c>
      <c r="I54" s="23">
        <f>IFERROR(H54/H148, "NA")</f>
        <v>0.0003519707723</v>
      </c>
      <c r="J54" s="21">
        <v>9.0</v>
      </c>
      <c r="K54" s="23">
        <f>IFERROR(J54/J148, "NA")</f>
        <v>0.0003975161425</v>
      </c>
      <c r="L54" s="21">
        <v>12.0</v>
      </c>
      <c r="M54" s="23">
        <f>IFERROR(L54/L148, "NA")</f>
        <v>0.0004100628045</v>
      </c>
      <c r="N54" s="21">
        <v>9.0</v>
      </c>
      <c r="O54" s="23">
        <f>IFERROR(N54/N148, "NA")</f>
        <v>0.0004082151021</v>
      </c>
      <c r="P54" s="21">
        <v>6.0</v>
      </c>
      <c r="Q54" s="23">
        <f>IFERROR(P54/P148, "NA")</f>
        <v>0.0004081096836</v>
      </c>
      <c r="R54" s="21">
        <v>3.0</v>
      </c>
      <c r="S54" s="23">
        <f>IFERROR(R54/R148, "NA")</f>
        <v>0.000199445011</v>
      </c>
      <c r="T54" s="21">
        <v>6.0</v>
      </c>
      <c r="U54" s="23">
        <f>IFERROR(T54/T148, "NA")</f>
        <v>0.0003225483903</v>
      </c>
      <c r="V54" s="21">
        <v>6.0</v>
      </c>
      <c r="W54" s="23">
        <f>IFERROR(V54/V148, "NA")</f>
        <v>0.0002856052117</v>
      </c>
      <c r="X54" s="21">
        <v>9.31</v>
      </c>
      <c r="Y54" s="23">
        <f>IFERROR(X54/X148, "NA")</f>
        <v>0.0005357736837</v>
      </c>
      <c r="Z54" s="21">
        <v>24.31</v>
      </c>
      <c r="AA54" s="23">
        <f>IFERROR(Z54/Z148, "NA")</f>
        <v>0.000337505949</v>
      </c>
      <c r="AB54" s="28">
        <f t="shared" si="25"/>
        <v>6.0775</v>
      </c>
      <c r="AC54" s="23">
        <f>IFERROR(AB54/AB148, "NA")</f>
        <v>0.000337505949</v>
      </c>
      <c r="AD54" s="29">
        <f t="shared" si="26"/>
        <v>3.2325</v>
      </c>
      <c r="AE54" s="30">
        <f>IFERROR(AD54/AD148, "NA")</f>
        <v>-0.005128103435</v>
      </c>
      <c r="AF54" s="29">
        <f t="shared" si="27"/>
        <v>0.5318798848</v>
      </c>
      <c r="AG54" s="28">
        <f t="shared" si="28"/>
        <v>7.53875</v>
      </c>
      <c r="AH54" s="23">
        <f>IFERROR(AG54/AG148, "NA")</f>
        <v>0.0003753378803</v>
      </c>
      <c r="AI54" s="29">
        <f t="shared" si="29"/>
        <v>1.77125</v>
      </c>
      <c r="AJ54" s="30">
        <f>IFERROR(AI54/AI148, "NA")</f>
        <v>-0.0006539606618</v>
      </c>
      <c r="AK54" s="29">
        <f t="shared" si="30"/>
        <v>0.2349527442</v>
      </c>
      <c r="AL54" s="30">
        <f>IFERROR(AK54/AK148, "NA")</f>
        <v>-1.742325238</v>
      </c>
    </row>
    <row r="55" ht="16.5" customHeight="1">
      <c r="A55" s="19" t="s">
        <v>116</v>
      </c>
      <c r="B55" s="21">
        <v>-451.26</v>
      </c>
      <c r="C55" s="23">
        <f>IFERROR(B55/B148, "NA")</f>
        <v>-0.01551171009</v>
      </c>
      <c r="D55" s="21">
        <v>-260.65</v>
      </c>
      <c r="E55" s="23">
        <f>IFERROR(D55/D148, "NA")</f>
        <v>-0.01062589432</v>
      </c>
      <c r="F55" s="21">
        <v>-328.42</v>
      </c>
      <c r="G55" s="23">
        <f>IFERROR(F55/F148, "NA")</f>
        <v>-0.01171959612</v>
      </c>
      <c r="H55" s="21">
        <v>-219.47</v>
      </c>
      <c r="I55" s="23">
        <f>IFERROR(H55/H148, "NA")</f>
        <v>-0.01287450423</v>
      </c>
      <c r="J55" s="21">
        <v>-522.17</v>
      </c>
      <c r="K55" s="23">
        <f>IFERROR(J55/J148, "NA")</f>
        <v>-0.0230634449</v>
      </c>
      <c r="L55" s="21">
        <v>-406.94</v>
      </c>
      <c r="M55" s="23">
        <f>IFERROR(L55/L148, "NA")</f>
        <v>-0.01390591314</v>
      </c>
      <c r="N55" s="21">
        <v>-341.54</v>
      </c>
      <c r="O55" s="23">
        <f>IFERROR(N55/N148, "NA")</f>
        <v>-0.01549130955</v>
      </c>
      <c r="P55" s="21">
        <v>-215.88</v>
      </c>
      <c r="Q55" s="23">
        <f>IFERROR(P55/P148, "NA")</f>
        <v>-0.01468378641</v>
      </c>
      <c r="R55" s="21">
        <v>-217.43</v>
      </c>
      <c r="S55" s="23">
        <f>IFERROR(R55/R148, "NA")</f>
        <v>-0.01445510958</v>
      </c>
      <c r="T55" s="21">
        <v>-352.19</v>
      </c>
      <c r="U55" s="23">
        <f>IFERROR(T55/T148, "NA")</f>
        <v>-0.01893305293</v>
      </c>
      <c r="V55" s="21">
        <v>-209.9</v>
      </c>
      <c r="W55" s="23">
        <f>IFERROR(V55/V148, "NA")</f>
        <v>-0.009991422323</v>
      </c>
      <c r="X55" s="21">
        <v>-203.62</v>
      </c>
      <c r="Y55" s="23">
        <f>IFERROR(X55/X148, "NA")</f>
        <v>-0.01171796321</v>
      </c>
      <c r="Z55" s="21">
        <v>-983.14</v>
      </c>
      <c r="AA55" s="23">
        <f>IFERROR(Z55/Z148, "NA")</f>
        <v>-0.0136493459</v>
      </c>
      <c r="AB55" s="28">
        <f t="shared" si="25"/>
        <v>-245.785</v>
      </c>
      <c r="AC55" s="23">
        <f>IFERROR(AB55/AB148, "NA")</f>
        <v>-0.0136493459</v>
      </c>
      <c r="AD55" s="29">
        <f t="shared" si="26"/>
        <v>42.165</v>
      </c>
      <c r="AE55" s="30">
        <f>IFERROR(AD55/AD148, "NA")</f>
        <v>-0.06689140953</v>
      </c>
      <c r="AF55" s="29">
        <f t="shared" si="27"/>
        <v>-0.171552373</v>
      </c>
      <c r="AG55" s="28">
        <f t="shared" si="28"/>
        <v>-308.70875</v>
      </c>
      <c r="AH55" s="23">
        <f>IFERROR(AG55/AG148, "NA")</f>
        <v>-0.01536993372</v>
      </c>
      <c r="AI55" s="29">
        <f t="shared" si="29"/>
        <v>105.08875</v>
      </c>
      <c r="AJ55" s="30">
        <f>IFERROR(AI55/AI148, "NA")</f>
        <v>-0.03879966605</v>
      </c>
      <c r="AK55" s="29">
        <f t="shared" si="30"/>
        <v>-0.3404139015</v>
      </c>
      <c r="AL55" s="30">
        <f>IFERROR(AK55/AK148, "NA")</f>
        <v>2.524387336</v>
      </c>
    </row>
    <row r="56" ht="16.5" customHeight="1">
      <c r="A56" s="65" t="s">
        <v>117</v>
      </c>
      <c r="B56" s="66">
        <f>IFERROR(B37+B39+B40+B41+B42+B43+B46+B47+B48+B49+B50+B51+B53+B54+B55, "NA")</f>
        <v>1071.94</v>
      </c>
      <c r="C56" s="67">
        <f>IFERROR(B56/B148, "NA")</f>
        <v>0.03684710038</v>
      </c>
      <c r="D56" s="66">
        <f>IFERROR(D37+D39+D40+D41+D42+D43+D46+D47+D48+D49+D50+D51+D53+D54+D55, "NA")</f>
        <v>1070.45</v>
      </c>
      <c r="E56" s="67">
        <f>IFERROR(D56/D148, "NA")</f>
        <v>0.04363893566</v>
      </c>
      <c r="F56" s="66">
        <f>IFERROR(F37+F39+F40+F41+F42+F43+F46+F47+F48+F49+F50+F51+F53+F54+F55, "NA")</f>
        <v>958.07</v>
      </c>
      <c r="G56" s="67">
        <f>IFERROR(F56/F148, "NA")</f>
        <v>0.03418851914</v>
      </c>
      <c r="H56" s="66">
        <f>IFERROR(H37+H39+H40+H41+H42+H43+H46+H47+H48+H49+H50+H51+H53+H54+H55, "NA")</f>
        <v>470.71</v>
      </c>
      <c r="I56" s="67">
        <f>IFERROR(H56/H148, "NA")</f>
        <v>0.02761269371</v>
      </c>
      <c r="J56" s="66">
        <f>IFERROR(J37+J39+J40+J41+J42+J43+J46+J47+J48+J49+J50+J51+J53+J54+J55, "NA")</f>
        <v>740.13</v>
      </c>
      <c r="K56" s="67">
        <f>IFERROR(J56/J148, "NA")</f>
        <v>0.0326904025</v>
      </c>
      <c r="L56" s="66">
        <f>IFERROR(L37+L39+L40+L41+L42+L43+L46+L47+L48+L49+L50+L51+L53+L54+L55, "NA")</f>
        <v>1288.26</v>
      </c>
      <c r="M56" s="67">
        <f>IFERROR(L56/L148, "NA")</f>
        <v>0.04402229238</v>
      </c>
      <c r="N56" s="66">
        <f>IFERROR(N37+N39+N40+N41+N42+N43+N46+N47+N48+N49+N50+N51+N53+N54+N55, "NA")</f>
        <v>870.68</v>
      </c>
      <c r="O56" s="67">
        <f>IFERROR(N56/N148, "NA")</f>
        <v>0.03949163613</v>
      </c>
      <c r="P56" s="66">
        <f>IFERROR(P37+P39+P40+P41+P42+P43+P46+P47+P48+P49+P50+P51+P53+P54+P55, "NA")</f>
        <v>483.74</v>
      </c>
      <c r="Q56" s="67">
        <f>IFERROR(P56/P148, "NA")</f>
        <v>0.03290316305</v>
      </c>
      <c r="R56" s="66">
        <f>IFERROR(R37+R39+R40+R41+R42+R43+R46+R47+R48+R49+R50+R51+R53+R54+R55, "NA")</f>
        <v>692.88</v>
      </c>
      <c r="S56" s="67">
        <f>IFERROR(R56/R148, "NA")</f>
        <v>0.04606381974</v>
      </c>
      <c r="T56" s="66">
        <f>IFERROR(T37+T39+T40+T41+T42+T43+T46+T47+T48+T49+T50+T51+T53+T54+T55, "NA")</f>
        <v>552.53</v>
      </c>
      <c r="U56" s="67">
        <f>IFERROR(T56/T148, "NA")</f>
        <v>0.02970294368</v>
      </c>
      <c r="V56" s="66">
        <f>IFERROR(V37+V39+V40+V41+V42+V43+V46+V47+V48+V49+V50+V51+V53+V54+V55, "NA")</f>
        <v>797.95</v>
      </c>
      <c r="W56" s="67">
        <f>IFERROR(V56/V148, "NA")</f>
        <v>0.03798311312</v>
      </c>
      <c r="X56" s="66">
        <f>IFERROR(X37+X39+X40+X41+X42+X43+X46+X47+X48+X49+X50+X51+X53+X54+X55, "NA")</f>
        <v>709.38</v>
      </c>
      <c r="Y56" s="67">
        <f>IFERROR(X56/X148, "NA")</f>
        <v>0.04082353767</v>
      </c>
      <c r="Z56" s="66">
        <f>IFERROR(Z37+Z39+Z40+Z41+Z42+Z43+Z46+Z47+Z48+Z49+Z50+Z51+Z53+Z54+Z55, "NA")</f>
        <v>2752.74</v>
      </c>
      <c r="AA56" s="67">
        <f>IFERROR(Z56/Z148, "NA")</f>
        <v>0.03821744657</v>
      </c>
      <c r="AB56" s="66">
        <f t="shared" si="25"/>
        <v>688.185</v>
      </c>
      <c r="AC56" s="67">
        <f>IFERROR(AB56/AB148, "NA")</f>
        <v>0.03821744657</v>
      </c>
      <c r="AD56" s="75">
        <f t="shared" si="26"/>
        <v>21.195</v>
      </c>
      <c r="AE56" s="76">
        <f>IFERROR(AD56/AD148, "NA")</f>
        <v>-0.03362417704</v>
      </c>
      <c r="AF56" s="75">
        <f t="shared" si="27"/>
        <v>0.0307984045</v>
      </c>
      <c r="AG56" s="66">
        <f t="shared" si="28"/>
        <v>766.94375</v>
      </c>
      <c r="AH56" s="67">
        <f>IFERROR(AG56/AG148, "NA")</f>
        <v>0.03818445252</v>
      </c>
      <c r="AI56" s="75">
        <f t="shared" si="29"/>
        <v>-57.56375</v>
      </c>
      <c r="AJ56" s="76">
        <f>IFERROR(AI56/AI148, "NA")</f>
        <v>0.02125302924</v>
      </c>
      <c r="AK56" s="75">
        <f t="shared" si="30"/>
        <v>-0.07505602595</v>
      </c>
      <c r="AL56" s="76">
        <f>IFERROR(AK56/AK148, "NA")</f>
        <v>0.5565885547</v>
      </c>
    </row>
    <row r="57" ht="16.5" customHeight="1">
      <c r="A57" s="65" t="s">
        <v>55</v>
      </c>
      <c r="B57" s="118">
        <f>IFERROR(B13+B15+B16+B17+B18+B19+B20+B21+B22+B23+B24+B25+B26+B29+B30+B31+B32+B33+B37+B39+B40+B41+B42+B43+B46+B47+B48+B49+B50+B51+B53+B54+B55, "NA")</f>
        <v>7906.82</v>
      </c>
      <c r="C57" s="92">
        <f>IFERROR(B57/B148, "NA")</f>
        <v>0.2717907628</v>
      </c>
      <c r="D57" s="118">
        <f>IFERROR(D13+D15+D16+D17+D18+D19+D20+D21+D22+D23+D24+D25+D26+D29+D30+D31+D32+D33+D37+D39+D40+D41+D42+D43+D46+D47+D48+D49+D50+D51+D53+D54+D55, "NA")</f>
        <v>5867.31</v>
      </c>
      <c r="E57" s="92">
        <f>IFERROR(D57/D148, "NA")</f>
        <v>0.2391920814</v>
      </c>
      <c r="F57" s="118">
        <f>IFERROR(F13+F15+F16+F17+F18+F19+F20+F21+F22+F23+F24+F25+F26+F29+F30+F31+F32+F33+F37+F39+F40+F41+F42+F43+F46+F47+F48+F49+F50+F51+F53+F54+F55, "NA")</f>
        <v>7148.48</v>
      </c>
      <c r="G57" s="92">
        <f>IFERROR(F57/F148, "NA")</f>
        <v>0.2550919508</v>
      </c>
      <c r="H57" s="118">
        <f>IFERROR(H13+H15+H16+H17+H18+H19+H20+H21+H22+H23+H24+H25+H26+H29+H30+H31+H32+H33+H37+H39+H40+H41+H42+H43+H46+H47+H48+H49+H50+H51+H53+H54+H55, "NA")</f>
        <v>5906.6</v>
      </c>
      <c r="I57" s="92">
        <f>IFERROR(H57/H148, "NA")</f>
        <v>0.3464917607</v>
      </c>
      <c r="J57" s="118">
        <f>IFERROR(J13+J15+J16+J17+J18+J19+J20+J21+J22+J23+J24+J25+J26+J29+J30+J31+J32+J33+J37+J39+J40+J41+J42+J43+J46+J47+J48+J49+J50+J51+J53+J54+J55, "NA")</f>
        <v>6770.8</v>
      </c>
      <c r="K57" s="92">
        <f>IFERROR(J57/J148, "NA")</f>
        <v>0.2990558108</v>
      </c>
      <c r="L57" s="118">
        <f>IFERROR(L13+L15+L16+L17+L18+L19+L20+L21+L22+L23+L24+L25+L26+L29+L30+L31+L32+L33+L37+L39+L40+L41+L42+L43+L46+L47+L48+L49+L50+L51+L53+L54+L55, "NA")</f>
        <v>7910.26</v>
      </c>
      <c r="M57" s="92">
        <f>IFERROR(L57/L148, "NA")</f>
        <v>0.2703086167</v>
      </c>
      <c r="N57" s="118">
        <f>IFERROR(N13+N15+N16+N17+N18+N19+N20+N21+N22+N23+N24+N25+N26+N29+N30+N31+N32+N33+N37+N39+N40+N41+N42+N43+N46+N47+N48+N49+N50+N51+N53+N54+N55, "NA")</f>
        <v>6451.16</v>
      </c>
      <c r="O57" s="92">
        <f>IFERROR(N57/N148, "NA")</f>
        <v>0.2926067709</v>
      </c>
      <c r="P57" s="118">
        <f>IFERROR(P13+P15+P16+P17+P18+P19+P20+P21+P22+P23+P24+P25+P26+P29+P30+P31+P32+P33+P37+P39+P40+P41+P42+P43+P46+P47+P48+P49+P50+P51+P53+P54+P55, "NA")</f>
        <v>4288.52</v>
      </c>
      <c r="Q57" s="92">
        <f>IFERROR(P57/P148, "NA")</f>
        <v>0.2916977567</v>
      </c>
      <c r="R57" s="118">
        <f>IFERROR(R13+R15+R16+R17+R18+R19+R20+R21+R22+R23+R24+R25+R26+R29+R30+R31+R32+R33+R37+R39+R40+R41+R42+R43+R46+R47+R48+R49+R50+R51+R53+R54+R55, "NA")</f>
        <v>4556.12</v>
      </c>
      <c r="S57" s="92">
        <f>IFERROR(R57/R148, "NA")</f>
        <v>0.3028984679</v>
      </c>
      <c r="T57" s="118">
        <f>IFERROR(T13+T15+T16+T17+T18+T19+T20+T21+T22+T23+T24+T25+T26+T29+T30+T31+T32+T33+T37+T39+T40+T41+T42+T43+T46+T47+T48+T49+T50+T51+T53+T54+T55, "NA")</f>
        <v>5467.17</v>
      </c>
      <c r="U57" s="92">
        <f>IFERROR(T57/T148, "NA")</f>
        <v>0.2939044805</v>
      </c>
      <c r="V57" s="118">
        <f>IFERROR(V13+V15+V16+V17+V18+V19+V20+V21+V22+V23+V24+V25+V26+V29+V30+V31+V32+V33+V37+V39+V40+V41+V42+V43+V46+V47+V48+V49+V50+V51+V53+V54+V55, "NA")</f>
        <v>5725.91</v>
      </c>
      <c r="W57" s="92">
        <f>IFERROR(V57/V148, "NA")</f>
        <v>0.2725582896</v>
      </c>
      <c r="X57" s="118">
        <f>IFERROR(X13+X15+X16+X17+X18+X19+X20+X21+X22+X23+X24+X25+X26+X29+X30+X31+X32+X33+X37+X39+X40+X41+X42+X43+X46+X47+X48+X49+X50+X51+X53+X54+X55, "NA")</f>
        <v>4857.39</v>
      </c>
      <c r="Y57" s="92">
        <f>IFERROR(X57/X148, "NA")</f>
        <v>0.2795340208</v>
      </c>
      <c r="Z57" s="118">
        <f>IFERROR(Z13+Z15+Z16+Z17+Z18+Z19+Z20+Z21+Z22+Z23+Z24+Z25+Z26+Z29+Z30+Z31+Z32+Z33+Z37+Z39+Z40+Z41+Z42+Z43+Z46+Z47+Z48+Z49+Z50+Z51+Z53+Z54+Z55, "NA")</f>
        <v>20606.59</v>
      </c>
      <c r="AA57" s="92">
        <f>IFERROR(Z57/Z148, "NA")</f>
        <v>0.2860899512</v>
      </c>
      <c r="AB57" s="118">
        <f t="shared" si="25"/>
        <v>5151.6475</v>
      </c>
      <c r="AC57" s="92">
        <f>IFERROR(AB57/AB148, "NA")</f>
        <v>0.2860899512</v>
      </c>
      <c r="AD57" s="119">
        <f t="shared" si="26"/>
        <v>-294.2575</v>
      </c>
      <c r="AE57" s="120">
        <f>IFERROR(AD57/AD148, "NA")</f>
        <v>0.4668160546</v>
      </c>
      <c r="AF57" s="119">
        <f t="shared" si="27"/>
        <v>-0.05711910607</v>
      </c>
      <c r="AG57" s="118">
        <f t="shared" si="28"/>
        <v>5753.41625</v>
      </c>
      <c r="AH57" s="92">
        <f>IFERROR(AG57/AG148, "NA")</f>
        <v>0.2864500162</v>
      </c>
      <c r="AI57" s="119">
        <f t="shared" si="29"/>
        <v>-896.02625</v>
      </c>
      <c r="AJ57" s="120">
        <f>IFERROR(AI57/AI148, "NA")</f>
        <v>0.3308205614</v>
      </c>
      <c r="AK57" s="119">
        <f t="shared" si="30"/>
        <v>-0.1557381234</v>
      </c>
      <c r="AL57" s="120">
        <f>IFERROR(AK57/AK148, "NA")</f>
        <v>1.154898037</v>
      </c>
    </row>
    <row r="58" ht="3.75" customHeight="1">
      <c r="A58" s="77"/>
      <c r="B58" s="78"/>
      <c r="C58" s="74"/>
      <c r="D58" s="78"/>
      <c r="E58" s="74"/>
      <c r="F58" s="78"/>
      <c r="G58" s="74"/>
      <c r="H58" s="78"/>
      <c r="I58" s="74"/>
      <c r="J58" s="78"/>
      <c r="K58" s="74"/>
      <c r="L58" s="78"/>
      <c r="M58" s="74"/>
      <c r="N58" s="78"/>
      <c r="O58" s="74"/>
      <c r="P58" s="78"/>
      <c r="Q58" s="74"/>
      <c r="R58" s="78"/>
      <c r="S58" s="74"/>
      <c r="T58" s="78"/>
      <c r="U58" s="74"/>
      <c r="V58" s="78"/>
      <c r="W58" s="74"/>
      <c r="X58" s="78"/>
      <c r="Y58" s="74"/>
      <c r="Z58" s="78"/>
      <c r="AA58" s="74"/>
      <c r="AB58" s="78"/>
      <c r="AC58" s="74"/>
      <c r="AD58" s="79"/>
      <c r="AE58" s="80"/>
      <c r="AF58" s="79"/>
      <c r="AG58" s="78"/>
      <c r="AH58" s="74"/>
      <c r="AI58" s="79"/>
      <c r="AJ58" s="80"/>
      <c r="AK58" s="79"/>
      <c r="AL58" s="80"/>
    </row>
    <row r="59" ht="16.5" customHeight="1">
      <c r="A59" s="121" t="s">
        <v>118</v>
      </c>
      <c r="B59" s="122">
        <f>IFERROR(B9-B57, "NA")</f>
        <v>21184.75</v>
      </c>
      <c r="C59" s="94">
        <f>IFERROR(B59/B148, "NA")</f>
        <v>0.7282092372</v>
      </c>
      <c r="D59" s="122">
        <f>IFERROR(D9-D57, "NA")</f>
        <v>18662.39</v>
      </c>
      <c r="E59" s="94">
        <f>IFERROR(D59/D148, "NA")</f>
        <v>0.7608079186</v>
      </c>
      <c r="F59" s="122">
        <f>IFERROR(F9-F57, "NA")</f>
        <v>20874.67</v>
      </c>
      <c r="G59" s="94">
        <f>IFERROR(F59/F148, "NA")</f>
        <v>0.7449080492</v>
      </c>
      <c r="H59" s="122">
        <f>IFERROR(H9-H57, "NA")</f>
        <v>11140.27</v>
      </c>
      <c r="I59" s="94">
        <f>IFERROR(H59/H148, "NA")</f>
        <v>0.6535082393</v>
      </c>
      <c r="J59" s="122">
        <f>IFERROR(J9-J57, "NA")</f>
        <v>15869.79</v>
      </c>
      <c r="K59" s="94">
        <f>IFERROR(J59/J148, "NA")</f>
        <v>0.7009441892</v>
      </c>
      <c r="L59" s="122">
        <f>IFERROR(L9-L57, "NA")</f>
        <v>21353.55</v>
      </c>
      <c r="M59" s="94">
        <f>IFERROR(L59/L148, "NA")</f>
        <v>0.7296913833</v>
      </c>
      <c r="N59" s="122">
        <f>IFERROR(N9-N57, "NA")</f>
        <v>15596.04</v>
      </c>
      <c r="O59" s="94">
        <f>IFERROR(N59/N148, "NA")</f>
        <v>0.7073932291</v>
      </c>
      <c r="P59" s="122">
        <f>IFERROR(P9-P57, "NA")</f>
        <v>10413.41</v>
      </c>
      <c r="Q59" s="94">
        <f>IFERROR(P59/P148, "NA")</f>
        <v>0.7083022433</v>
      </c>
      <c r="R59" s="122">
        <f>IFERROR(R9-R57, "NA")</f>
        <v>10485.62</v>
      </c>
      <c r="S59" s="94">
        <f>IFERROR(R59/R148, "NA")</f>
        <v>0.6971015321</v>
      </c>
      <c r="T59" s="122">
        <f>IFERROR(T9-T57, "NA")</f>
        <v>13134.69</v>
      </c>
      <c r="U59" s="94">
        <f>IFERROR(T59/T148, "NA")</f>
        <v>0.7060955195</v>
      </c>
      <c r="V59" s="122">
        <f>IFERROR(V9-V57, "NA")</f>
        <v>15282.11</v>
      </c>
      <c r="W59" s="94">
        <f>IFERROR(V59/V148, "NA")</f>
        <v>0.7274417104</v>
      </c>
      <c r="X59" s="122">
        <f>IFERROR(X9-X57, "NA")</f>
        <v>12519.35</v>
      </c>
      <c r="Y59" s="94">
        <f>IFERROR(X59/X148, "NA")</f>
        <v>0.7204659792</v>
      </c>
      <c r="Z59" s="122">
        <f>IFERROR(Z9-Z57, "NA")</f>
        <v>51421.77</v>
      </c>
      <c r="AA59" s="94">
        <f>IFERROR(Z59/Z148, "NA")</f>
        <v>0.7139100488</v>
      </c>
      <c r="AB59" s="122">
        <f>IFERROR((R59+T59+V59+X59)/4, "NA")</f>
        <v>12855.4425</v>
      </c>
      <c r="AC59" s="94">
        <f>IFERROR(AB59/AB148, "NA")</f>
        <v>0.7139100488</v>
      </c>
      <c r="AD59" s="75">
        <f>IFERROR(X59-AB59, "NA")</f>
        <v>-336.0925</v>
      </c>
      <c r="AE59" s="76">
        <f>IFERROR(AD59/AD148, "NA")</f>
        <v>0.5331839454</v>
      </c>
      <c r="AF59" s="75">
        <f>IFERROR((X59-AB59)/AB59, "NA")</f>
        <v>-0.02614398532</v>
      </c>
      <c r="AG59" s="122">
        <f>IFERROR((J59+L59+N59+P59+R59+T59+V59+X59)/8, "NA")</f>
        <v>14331.82</v>
      </c>
      <c r="AH59" s="94">
        <f>IFERROR(AG59/AG148, "NA")</f>
        <v>0.7135499838</v>
      </c>
      <c r="AI59" s="75">
        <f>IFERROR(X59-AG59, "NA")</f>
        <v>-1812.47</v>
      </c>
      <c r="AJ59" s="76">
        <f>IFERROR(AI59/AI148, "NA")</f>
        <v>0.6691794386</v>
      </c>
      <c r="AK59" s="75">
        <f>IFERROR((X59-AG59)/AG59, "NA")</f>
        <v>-0.1264647477</v>
      </c>
      <c r="AL59" s="76">
        <f>IFERROR(AK59/AK148, "NA")</f>
        <v>0.9378171871</v>
      </c>
    </row>
    <row r="60" ht="3.75" customHeight="1">
      <c r="A60" s="123"/>
      <c r="B60" s="124"/>
      <c r="C60" s="74"/>
      <c r="D60" s="124"/>
      <c r="E60" s="74"/>
      <c r="F60" s="124"/>
      <c r="G60" s="74"/>
      <c r="H60" s="124"/>
      <c r="I60" s="74"/>
      <c r="J60" s="124"/>
      <c r="K60" s="74"/>
      <c r="L60" s="124"/>
      <c r="M60" s="74"/>
      <c r="N60" s="124"/>
      <c r="O60" s="74"/>
      <c r="P60" s="124"/>
      <c r="Q60" s="74"/>
      <c r="R60" s="124"/>
      <c r="S60" s="74"/>
      <c r="T60" s="124"/>
      <c r="U60" s="74"/>
      <c r="V60" s="124"/>
      <c r="W60" s="74"/>
      <c r="X60" s="124"/>
      <c r="Y60" s="74"/>
      <c r="Z60" s="124"/>
      <c r="AA60" s="74"/>
      <c r="AB60" s="124"/>
      <c r="AC60" s="74"/>
      <c r="AD60" s="125"/>
      <c r="AE60" s="80"/>
      <c r="AF60" s="125"/>
      <c r="AG60" s="124"/>
      <c r="AH60" s="74"/>
      <c r="AI60" s="125"/>
      <c r="AJ60" s="80"/>
      <c r="AK60" s="125"/>
      <c r="AL60" s="80"/>
    </row>
    <row r="61" ht="16.5" customHeight="1">
      <c r="A61" s="13" t="s">
        <v>119</v>
      </c>
      <c r="B61" s="14"/>
      <c r="C61" s="12"/>
      <c r="D61" s="14"/>
      <c r="E61" s="12"/>
      <c r="F61" s="14"/>
      <c r="G61" s="12"/>
      <c r="H61" s="14"/>
      <c r="I61" s="12"/>
      <c r="J61" s="14"/>
      <c r="K61" s="12"/>
      <c r="L61" s="14"/>
      <c r="M61" s="12"/>
      <c r="N61" s="14"/>
      <c r="O61" s="12"/>
      <c r="P61" s="14"/>
      <c r="Q61" s="12"/>
      <c r="R61" s="14"/>
      <c r="S61" s="12"/>
      <c r="T61" s="14"/>
      <c r="U61" s="12"/>
      <c r="V61" s="14"/>
      <c r="W61" s="12"/>
      <c r="X61" s="14"/>
      <c r="Y61" s="12"/>
      <c r="Z61" s="14"/>
      <c r="AA61" s="12"/>
      <c r="AB61" s="14"/>
      <c r="AC61" s="12"/>
      <c r="AD61" s="17"/>
      <c r="AE61" s="18"/>
      <c r="AF61" s="17"/>
      <c r="AG61" s="14"/>
      <c r="AH61" s="12"/>
      <c r="AI61" s="17"/>
      <c r="AJ61" s="18"/>
      <c r="AK61" s="17"/>
      <c r="AL61" s="18"/>
    </row>
    <row r="62" ht="16.5" customHeight="1">
      <c r="A62" s="13" t="s">
        <v>119</v>
      </c>
      <c r="B62" s="14"/>
      <c r="C62" s="12"/>
      <c r="D62" s="14"/>
      <c r="E62" s="12"/>
      <c r="F62" s="14"/>
      <c r="G62" s="12"/>
      <c r="H62" s="14"/>
      <c r="I62" s="12"/>
      <c r="J62" s="14"/>
      <c r="K62" s="12"/>
      <c r="L62" s="14"/>
      <c r="M62" s="12"/>
      <c r="N62" s="14"/>
      <c r="O62" s="12"/>
      <c r="P62" s="14"/>
      <c r="Q62" s="12"/>
      <c r="R62" s="14"/>
      <c r="S62" s="12"/>
      <c r="T62" s="14"/>
      <c r="U62" s="12"/>
      <c r="V62" s="14"/>
      <c r="W62" s="12"/>
      <c r="X62" s="14"/>
      <c r="Y62" s="12"/>
      <c r="Z62" s="14"/>
      <c r="AA62" s="12"/>
      <c r="AB62" s="14"/>
      <c r="AC62" s="12"/>
      <c r="AD62" s="17"/>
      <c r="AE62" s="18"/>
      <c r="AF62" s="17"/>
      <c r="AG62" s="14"/>
      <c r="AH62" s="12"/>
      <c r="AI62" s="17"/>
      <c r="AJ62" s="18"/>
      <c r="AK62" s="17"/>
      <c r="AL62" s="18"/>
    </row>
    <row r="63" ht="16.5" hidden="1" customHeight="1">
      <c r="A63" s="19" t="s">
        <v>120</v>
      </c>
      <c r="B63" s="21">
        <v>0.0</v>
      </c>
      <c r="C63" s="23">
        <f>IFERROR(B63/B148, "NA")</f>
        <v>0</v>
      </c>
      <c r="D63" s="21">
        <v>0.0</v>
      </c>
      <c r="E63" s="23">
        <f>IFERROR(D63/D148, "NA")</f>
        <v>0</v>
      </c>
      <c r="F63" s="21">
        <v>0.0</v>
      </c>
      <c r="G63" s="23">
        <f>IFERROR(F63/F148, "NA")</f>
        <v>0</v>
      </c>
      <c r="H63" s="21">
        <v>0.0</v>
      </c>
      <c r="I63" s="23">
        <f>IFERROR(H63/H148, "NA")</f>
        <v>0</v>
      </c>
      <c r="J63" s="21">
        <v>0.0</v>
      </c>
      <c r="K63" s="23">
        <f>IFERROR(J63/J148, "NA")</f>
        <v>0</v>
      </c>
      <c r="L63" s="21">
        <v>0.0</v>
      </c>
      <c r="M63" s="23">
        <f>IFERROR(L63/L148, "NA")</f>
        <v>0</v>
      </c>
      <c r="N63" s="21">
        <v>0.0</v>
      </c>
      <c r="O63" s="23">
        <f>IFERROR(N63/N148, "NA")</f>
        <v>0</v>
      </c>
      <c r="P63" s="21">
        <v>0.0</v>
      </c>
      <c r="Q63" s="23">
        <f>IFERROR(P63/P148, "NA")</f>
        <v>0</v>
      </c>
      <c r="R63" s="21">
        <v>0.0</v>
      </c>
      <c r="S63" s="23">
        <f>IFERROR(R63/R148, "NA")</f>
        <v>0</v>
      </c>
      <c r="T63" s="21">
        <v>0.0</v>
      </c>
      <c r="U63" s="23">
        <f>IFERROR(T63/T148, "NA")</f>
        <v>0</v>
      </c>
      <c r="V63" s="21">
        <v>0.0</v>
      </c>
      <c r="W63" s="23">
        <f>IFERROR(V63/V148, "NA")</f>
        <v>0</v>
      </c>
      <c r="X63" s="21">
        <v>0.0</v>
      </c>
      <c r="Y63" s="23">
        <f>IFERROR(X63/X148, "NA")</f>
        <v>0</v>
      </c>
      <c r="Z63" s="21">
        <v>0.0</v>
      </c>
      <c r="AA63" s="23">
        <f>IFERROR(Z63/Z148, "NA")</f>
        <v>0</v>
      </c>
      <c r="AB63" s="28">
        <f>IFERROR((R63+T63+V63+X63)/4, "NA")</f>
        <v>0</v>
      </c>
      <c r="AC63" s="23">
        <f>IFERROR(AB63/AB148, "NA")</f>
        <v>0</v>
      </c>
      <c r="AD63" s="29">
        <f>IFERROR(X63-AB63, "NA")</f>
        <v>0</v>
      </c>
      <c r="AE63" s="30">
        <f>IFERROR(AD63/AD148, "NA")</f>
        <v>0</v>
      </c>
      <c r="AF63" s="29" t="str">
        <f>IFERROR((X63-AB63)/AB63, "NA")</f>
        <v>NA</v>
      </c>
      <c r="AG63" s="28">
        <f>IFERROR((J63+L63+N63+P63+R63+T63+V63+X63)/8, "NA")</f>
        <v>0</v>
      </c>
      <c r="AH63" s="23">
        <f>IFERROR(AG63/AG148, "NA")</f>
        <v>0</v>
      </c>
      <c r="AI63" s="29">
        <f>IFERROR(X63-AG63, "NA")</f>
        <v>0</v>
      </c>
      <c r="AJ63" s="30">
        <f>IFERROR(AI63/AI148, "NA")</f>
        <v>0</v>
      </c>
      <c r="AK63" s="29" t="str">
        <f>IFERROR((X63-AG63)/AG63, "NA")</f>
        <v>NA</v>
      </c>
      <c r="AL63" s="30" t="str">
        <f>IFERROR(AK63/AK148, "NA")</f>
        <v>NA</v>
      </c>
    </row>
    <row r="64" ht="16.5" customHeight="1">
      <c r="A64" s="13" t="s">
        <v>121</v>
      </c>
      <c r="B64" s="14"/>
      <c r="C64" s="12"/>
      <c r="D64" s="14"/>
      <c r="E64" s="12"/>
      <c r="F64" s="14"/>
      <c r="G64" s="12"/>
      <c r="H64" s="14"/>
      <c r="I64" s="12"/>
      <c r="J64" s="14"/>
      <c r="K64" s="12"/>
      <c r="L64" s="14"/>
      <c r="M64" s="12"/>
      <c r="N64" s="14"/>
      <c r="O64" s="12"/>
      <c r="P64" s="14"/>
      <c r="Q64" s="12"/>
      <c r="R64" s="14"/>
      <c r="S64" s="12"/>
      <c r="T64" s="14"/>
      <c r="U64" s="12"/>
      <c r="V64" s="14"/>
      <c r="W64" s="12"/>
      <c r="X64" s="14"/>
      <c r="Y64" s="12"/>
      <c r="Z64" s="14"/>
      <c r="AA64" s="12"/>
      <c r="AB64" s="14"/>
      <c r="AC64" s="12"/>
      <c r="AD64" s="17"/>
      <c r="AE64" s="18"/>
      <c r="AF64" s="17"/>
      <c r="AG64" s="14"/>
      <c r="AH64" s="12"/>
      <c r="AI64" s="17"/>
      <c r="AJ64" s="18"/>
      <c r="AK64" s="17"/>
      <c r="AL64" s="18"/>
    </row>
    <row r="65" ht="16.5" hidden="1" customHeight="1">
      <c r="A65" s="19" t="s">
        <v>122</v>
      </c>
      <c r="B65" s="21">
        <v>0.0</v>
      </c>
      <c r="C65" s="23">
        <f>IFERROR(B65/B148, "NA")</f>
        <v>0</v>
      </c>
      <c r="D65" s="21">
        <v>0.0</v>
      </c>
      <c r="E65" s="23">
        <f>IFERROR(D65/D148, "NA")</f>
        <v>0</v>
      </c>
      <c r="F65" s="21">
        <v>0.0</v>
      </c>
      <c r="G65" s="23">
        <f>IFERROR(F65/F148, "NA")</f>
        <v>0</v>
      </c>
      <c r="H65" s="21">
        <v>0.0</v>
      </c>
      <c r="I65" s="23">
        <f>IFERROR(H65/H148, "NA")</f>
        <v>0</v>
      </c>
      <c r="J65" s="21">
        <v>0.0</v>
      </c>
      <c r="K65" s="23">
        <f>IFERROR(J65/J148, "NA")</f>
        <v>0</v>
      </c>
      <c r="L65" s="21">
        <v>0.0</v>
      </c>
      <c r="M65" s="23">
        <f>IFERROR(L65/L148, "NA")</f>
        <v>0</v>
      </c>
      <c r="N65" s="21">
        <v>0.0</v>
      </c>
      <c r="O65" s="23">
        <f>IFERROR(N65/N148, "NA")</f>
        <v>0</v>
      </c>
      <c r="P65" s="21">
        <v>0.0</v>
      </c>
      <c r="Q65" s="23">
        <f>IFERROR(P65/P148, "NA")</f>
        <v>0</v>
      </c>
      <c r="R65" s="21">
        <v>0.0</v>
      </c>
      <c r="S65" s="23">
        <f>IFERROR(R65/R148, "NA")</f>
        <v>0</v>
      </c>
      <c r="T65" s="21">
        <v>0.0</v>
      </c>
      <c r="U65" s="23">
        <f>IFERROR(T65/T148, "NA")</f>
        <v>0</v>
      </c>
      <c r="V65" s="21">
        <v>0.0</v>
      </c>
      <c r="W65" s="23">
        <f>IFERROR(V65/V148, "NA")</f>
        <v>0</v>
      </c>
      <c r="X65" s="21">
        <v>0.0</v>
      </c>
      <c r="Y65" s="23">
        <f>IFERROR(X65/X148, "NA")</f>
        <v>0</v>
      </c>
      <c r="Z65" s="21">
        <v>0.0</v>
      </c>
      <c r="AA65" s="23">
        <f>IFERROR(Z65/Z148, "NA")</f>
        <v>0</v>
      </c>
      <c r="AB65" s="28">
        <f t="shared" ref="AB65:AB72" si="31">IFERROR((R65+T65+V65+X65)/4, "NA")</f>
        <v>0</v>
      </c>
      <c r="AC65" s="23">
        <f>IFERROR(AB65/AB148, "NA")</f>
        <v>0</v>
      </c>
      <c r="AD65" s="29">
        <f t="shared" ref="AD65:AD72" si="32">IFERROR(X65-AB65, "NA")</f>
        <v>0</v>
      </c>
      <c r="AE65" s="30">
        <f>IFERROR(AD65/AD148, "NA")</f>
        <v>0</v>
      </c>
      <c r="AF65" s="29" t="str">
        <f t="shared" ref="AF65:AF72" si="33">IFERROR((X65-AB65)/AB65, "NA")</f>
        <v>NA</v>
      </c>
      <c r="AG65" s="28">
        <f t="shared" ref="AG65:AG72" si="34">IFERROR((J65+L65+N65+P65+R65+T65+V65+X65)/8, "NA")</f>
        <v>0</v>
      </c>
      <c r="AH65" s="23">
        <f>IFERROR(AG65/AG148, "NA")</f>
        <v>0</v>
      </c>
      <c r="AI65" s="29">
        <f t="shared" ref="AI65:AI72" si="35">IFERROR(X65-AG65, "NA")</f>
        <v>0</v>
      </c>
      <c r="AJ65" s="30">
        <f>IFERROR(AI65/AI148, "NA")</f>
        <v>0</v>
      </c>
      <c r="AK65" s="29" t="str">
        <f t="shared" ref="AK65:AK72" si="36">IFERROR((X65-AG65)/AG65, "NA")</f>
        <v>NA</v>
      </c>
      <c r="AL65" s="30" t="str">
        <f>IFERROR(AK65/AK148, "NA")</f>
        <v>NA</v>
      </c>
    </row>
    <row r="66" ht="16.5" customHeight="1">
      <c r="A66" s="19" t="s">
        <v>125</v>
      </c>
      <c r="B66" s="21">
        <v>1461.54</v>
      </c>
      <c r="C66" s="23">
        <f>IFERROR(B66/B148, "NA")</f>
        <v>0.05023929613</v>
      </c>
      <c r="D66" s="21">
        <v>1461.54</v>
      </c>
      <c r="E66" s="23">
        <f>IFERROR(D66/D148, "NA")</f>
        <v>0.05958246534</v>
      </c>
      <c r="F66" s="21">
        <v>1461.54</v>
      </c>
      <c r="G66" s="23">
        <f>IFERROR(F66/F148, "NA")</f>
        <v>0.05215473635</v>
      </c>
      <c r="H66" s="21">
        <v>1461.54</v>
      </c>
      <c r="I66" s="23">
        <f>IFERROR(H66/H148, "NA")</f>
        <v>0.08573656044</v>
      </c>
      <c r="J66" s="21">
        <v>1461.54</v>
      </c>
      <c r="K66" s="23">
        <f>IFERROR(J66/J148, "NA")</f>
        <v>0.06455397143</v>
      </c>
      <c r="L66" s="21">
        <v>1461.54</v>
      </c>
      <c r="M66" s="23">
        <f>IFERROR(L66/L148, "NA")</f>
        <v>0.04994359928</v>
      </c>
      <c r="N66" s="21">
        <v>1461.54</v>
      </c>
      <c r="O66" s="23">
        <f>IFERROR(N66/N148, "NA")</f>
        <v>0.06629141115</v>
      </c>
      <c r="P66" s="21">
        <v>1461.54</v>
      </c>
      <c r="Q66" s="23">
        <f>IFERROR(P66/P148, "NA")</f>
        <v>0.09941143782</v>
      </c>
      <c r="R66" s="21">
        <v>1461.54</v>
      </c>
      <c r="S66" s="23">
        <f>IFERROR(R66/R148, "NA")</f>
        <v>0.09716562047</v>
      </c>
      <c r="T66" s="21">
        <v>1461.54</v>
      </c>
      <c r="U66" s="23">
        <f>IFERROR(T66/T148, "NA")</f>
        <v>0.0785695624</v>
      </c>
      <c r="V66" s="21">
        <v>1461.54</v>
      </c>
      <c r="W66" s="23">
        <f>IFERROR(V66/V148, "NA")</f>
        <v>0.06957057352</v>
      </c>
      <c r="X66" s="21">
        <v>1461.54</v>
      </c>
      <c r="Y66" s="23">
        <f>IFERROR(X66/X148, "NA")</f>
        <v>0.08410898707</v>
      </c>
      <c r="Z66" s="21">
        <v>5846.16</v>
      </c>
      <c r="AA66" s="23">
        <f>IFERROR(Z66/Z148, "NA")</f>
        <v>0.08116469679</v>
      </c>
      <c r="AB66" s="28">
        <f t="shared" si="31"/>
        <v>1461.54</v>
      </c>
      <c r="AC66" s="23">
        <f>IFERROR(AB66/AB148, "NA")</f>
        <v>0.08116469679</v>
      </c>
      <c r="AD66" s="29">
        <f t="shared" si="32"/>
        <v>0</v>
      </c>
      <c r="AE66" s="30">
        <f>IFERROR(AD66/AD148, "NA")</f>
        <v>0</v>
      </c>
      <c r="AF66" s="29">
        <f t="shared" si="33"/>
        <v>0</v>
      </c>
      <c r="AG66" s="28">
        <f t="shared" si="34"/>
        <v>1461.54</v>
      </c>
      <c r="AH66" s="23">
        <f>IFERROR(AG66/AG148, "NA")</f>
        <v>0.0727668812</v>
      </c>
      <c r="AI66" s="29">
        <f t="shared" si="35"/>
        <v>0</v>
      </c>
      <c r="AJ66" s="30">
        <f>IFERROR(AI66/AI148, "NA")</f>
        <v>0</v>
      </c>
      <c r="AK66" s="29">
        <f t="shared" si="36"/>
        <v>0</v>
      </c>
      <c r="AL66" s="30">
        <f>IFERROR(AK66/AK148, "NA")</f>
        <v>0</v>
      </c>
    </row>
    <row r="67" ht="16.5" hidden="1" customHeight="1">
      <c r="A67" s="19" t="s">
        <v>126</v>
      </c>
      <c r="B67" s="21">
        <v>0.0</v>
      </c>
      <c r="C67" s="23">
        <f>IFERROR(B67/B148, "NA")</f>
        <v>0</v>
      </c>
      <c r="D67" s="21">
        <v>0.0</v>
      </c>
      <c r="E67" s="23">
        <f>IFERROR(D67/D148, "NA")</f>
        <v>0</v>
      </c>
      <c r="F67" s="21">
        <v>0.0</v>
      </c>
      <c r="G67" s="23">
        <f>IFERROR(F67/F148, "NA")</f>
        <v>0</v>
      </c>
      <c r="H67" s="21">
        <v>0.0</v>
      </c>
      <c r="I67" s="23">
        <f>IFERROR(H67/H148, "NA")</f>
        <v>0</v>
      </c>
      <c r="J67" s="21">
        <v>0.0</v>
      </c>
      <c r="K67" s="23">
        <f>IFERROR(J67/J148, "NA")</f>
        <v>0</v>
      </c>
      <c r="L67" s="21">
        <v>0.0</v>
      </c>
      <c r="M67" s="23">
        <f>IFERROR(L67/L148, "NA")</f>
        <v>0</v>
      </c>
      <c r="N67" s="21">
        <v>0.0</v>
      </c>
      <c r="O67" s="23">
        <f>IFERROR(N67/N148, "NA")</f>
        <v>0</v>
      </c>
      <c r="P67" s="21">
        <v>0.0</v>
      </c>
      <c r="Q67" s="23">
        <f>IFERROR(P67/P148, "NA")</f>
        <v>0</v>
      </c>
      <c r="R67" s="21">
        <v>0.0</v>
      </c>
      <c r="S67" s="23">
        <f>IFERROR(R67/R148, "NA")</f>
        <v>0</v>
      </c>
      <c r="T67" s="21">
        <v>0.0</v>
      </c>
      <c r="U67" s="23">
        <f>IFERROR(T67/T148, "NA")</f>
        <v>0</v>
      </c>
      <c r="V67" s="21">
        <v>0.0</v>
      </c>
      <c r="W67" s="23">
        <f>IFERROR(V67/V148, "NA")</f>
        <v>0</v>
      </c>
      <c r="X67" s="21">
        <v>0.0</v>
      </c>
      <c r="Y67" s="23">
        <f>IFERROR(X67/X148, "NA")</f>
        <v>0</v>
      </c>
      <c r="Z67" s="21">
        <v>0.0</v>
      </c>
      <c r="AA67" s="23">
        <f>IFERROR(Z67/Z148, "NA")</f>
        <v>0</v>
      </c>
      <c r="AB67" s="28">
        <f t="shared" si="31"/>
        <v>0</v>
      </c>
      <c r="AC67" s="23">
        <f>IFERROR(AB67/AB148, "NA")</f>
        <v>0</v>
      </c>
      <c r="AD67" s="29">
        <f t="shared" si="32"/>
        <v>0</v>
      </c>
      <c r="AE67" s="30">
        <f>IFERROR(AD67/AD148, "NA")</f>
        <v>0</v>
      </c>
      <c r="AF67" s="29" t="str">
        <f t="shared" si="33"/>
        <v>NA</v>
      </c>
      <c r="AG67" s="28">
        <f t="shared" si="34"/>
        <v>0</v>
      </c>
      <c r="AH67" s="23">
        <f>IFERROR(AG67/AG148, "NA")</f>
        <v>0</v>
      </c>
      <c r="AI67" s="29">
        <f t="shared" si="35"/>
        <v>0</v>
      </c>
      <c r="AJ67" s="30">
        <f>IFERROR(AI67/AI148, "NA")</f>
        <v>0</v>
      </c>
      <c r="AK67" s="29" t="str">
        <f t="shared" si="36"/>
        <v>NA</v>
      </c>
      <c r="AL67" s="30" t="str">
        <f>IFERROR(AK67/AK148, "NA")</f>
        <v>NA</v>
      </c>
    </row>
    <row r="68" ht="16.5" customHeight="1">
      <c r="A68" s="19" t="s">
        <v>127</v>
      </c>
      <c r="B68" s="21">
        <v>4655.86</v>
      </c>
      <c r="C68" s="23">
        <f>IFERROR(B68/B148, "NA")</f>
        <v>0.1600415516</v>
      </c>
      <c r="D68" s="21">
        <v>4475.78</v>
      </c>
      <c r="E68" s="23">
        <f>IFERROR(D68/D148, "NA")</f>
        <v>0.1824637073</v>
      </c>
      <c r="F68" s="21">
        <v>5177.55</v>
      </c>
      <c r="G68" s="23">
        <f>IFERROR(F68/F148, "NA")</f>
        <v>0.1847597433</v>
      </c>
      <c r="H68" s="21">
        <v>3399.05</v>
      </c>
      <c r="I68" s="23">
        <f>IFERROR(H68/H148, "NA")</f>
        <v>0.1993943756</v>
      </c>
      <c r="J68" s="21">
        <v>4802.3</v>
      </c>
      <c r="K68" s="23">
        <f>IFERROR(J68/J148, "NA")</f>
        <v>0.2121101968</v>
      </c>
      <c r="L68" s="21">
        <v>5195.63</v>
      </c>
      <c r="M68" s="23">
        <f>IFERROR(L68/L148, "NA")</f>
        <v>0.1775445508</v>
      </c>
      <c r="N68" s="21">
        <v>4482.28</v>
      </c>
      <c r="O68" s="23">
        <f>IFERROR(N68/N148, "NA")</f>
        <v>0.2033038209</v>
      </c>
      <c r="P68" s="21">
        <v>3597.4</v>
      </c>
      <c r="Q68" s="23">
        <f>IFERROR(P68/P148, "NA")</f>
        <v>0.2446889626</v>
      </c>
      <c r="R68" s="21">
        <v>3422.9</v>
      </c>
      <c r="S68" s="23">
        <f>IFERROR(R68/R148, "NA")</f>
        <v>0.2275601094</v>
      </c>
      <c r="T68" s="21">
        <v>4007.78</v>
      </c>
      <c r="U68" s="23">
        <f>IFERROR(T68/T148, "NA")</f>
        <v>0.215450498</v>
      </c>
      <c r="V68" s="21">
        <v>3780.81</v>
      </c>
      <c r="W68" s="23">
        <f>IFERROR(V68/V148, "NA")</f>
        <v>0.1799698401</v>
      </c>
      <c r="X68" s="21">
        <v>3112.87</v>
      </c>
      <c r="Y68" s="23">
        <f>IFERROR(X68/X148, "NA")</f>
        <v>0.1791400458</v>
      </c>
      <c r="Z68" s="21">
        <v>14324.36</v>
      </c>
      <c r="AA68" s="23">
        <f>IFERROR(Z68/Z148, "NA")</f>
        <v>0.1988711113</v>
      </c>
      <c r="AB68" s="28">
        <f t="shared" si="31"/>
        <v>3581.09</v>
      </c>
      <c r="AC68" s="23">
        <f>IFERROR(AB68/AB148, "NA")</f>
        <v>0.1988711113</v>
      </c>
      <c r="AD68" s="29">
        <f t="shared" si="32"/>
        <v>-468.22</v>
      </c>
      <c r="AE68" s="30">
        <f>IFERROR(AD68/AD148, "NA")</f>
        <v>0.742793686</v>
      </c>
      <c r="AF68" s="29">
        <f t="shared" si="33"/>
        <v>-0.1307479008</v>
      </c>
      <c r="AG68" s="28">
        <f t="shared" si="34"/>
        <v>4050.24625</v>
      </c>
      <c r="AH68" s="23">
        <f>IFERROR(AG68/AG148, "NA")</f>
        <v>0.2016529056</v>
      </c>
      <c r="AI68" s="29">
        <f t="shared" si="35"/>
        <v>-937.37625</v>
      </c>
      <c r="AJ68" s="30">
        <f>IFERROR(AI68/AI148, "NA")</f>
        <v>0.3460873354</v>
      </c>
      <c r="AK68" s="29">
        <f t="shared" si="36"/>
        <v>-0.231436854</v>
      </c>
      <c r="AL68" s="30">
        <f>IFERROR(AK68/AK148, "NA")</f>
        <v>1.716252658</v>
      </c>
    </row>
    <row r="69" ht="16.5" customHeight="1">
      <c r="A69" s="19" t="s">
        <v>128</v>
      </c>
      <c r="B69" s="21">
        <v>332.82</v>
      </c>
      <c r="C69" s="23">
        <f>IFERROR(B69/B148, "NA")</f>
        <v>0.01144042759</v>
      </c>
      <c r="D69" s="21">
        <v>33.3</v>
      </c>
      <c r="E69" s="23">
        <f>IFERROR(D69/D148, "NA")</f>
        <v>0.001357538005</v>
      </c>
      <c r="F69" s="21">
        <v>652.25</v>
      </c>
      <c r="G69" s="23">
        <f>IFERROR(F69/F148, "NA")</f>
        <v>0.02327539909</v>
      </c>
      <c r="H69" s="21">
        <v>0.0</v>
      </c>
      <c r="I69" s="23">
        <f>IFERROR(H69/H148, "NA")</f>
        <v>0</v>
      </c>
      <c r="J69" s="21">
        <v>35.53</v>
      </c>
      <c r="K69" s="23">
        <f>IFERROR(J69/J148, "NA")</f>
        <v>0.001569305394</v>
      </c>
      <c r="L69" s="21">
        <v>358.45</v>
      </c>
      <c r="M69" s="23">
        <f>IFERROR(L69/L148, "NA")</f>
        <v>0.01224891769</v>
      </c>
      <c r="N69" s="21">
        <v>236.4</v>
      </c>
      <c r="O69" s="23">
        <f>IFERROR(N69/N148, "NA")</f>
        <v>0.01072245002</v>
      </c>
      <c r="P69" s="21">
        <v>0.0</v>
      </c>
      <c r="Q69" s="23">
        <f>IFERROR(P69/P148, "NA")</f>
        <v>0</v>
      </c>
      <c r="R69" s="21">
        <v>0.0</v>
      </c>
      <c r="S69" s="23">
        <f>IFERROR(R69/R148, "NA")</f>
        <v>0</v>
      </c>
      <c r="T69" s="21">
        <v>0.0</v>
      </c>
      <c r="U69" s="23">
        <f>IFERROR(T69/T148, "NA")</f>
        <v>0</v>
      </c>
      <c r="V69" s="21">
        <v>0.0</v>
      </c>
      <c r="W69" s="23">
        <f>IFERROR(V69/V148, "NA")</f>
        <v>0</v>
      </c>
      <c r="X69" s="21">
        <v>11.96</v>
      </c>
      <c r="Y69" s="23">
        <f>IFERROR(X69/X148, "NA")</f>
        <v>0.0006882763971</v>
      </c>
      <c r="Z69" s="21">
        <v>11.96</v>
      </c>
      <c r="AA69" s="23">
        <f>IFERROR(Z69/Z148, "NA")</f>
        <v>0.0001660457076</v>
      </c>
      <c r="AB69" s="28">
        <f t="shared" si="31"/>
        <v>2.99</v>
      </c>
      <c r="AC69" s="23">
        <f>IFERROR(AB69/AB148, "NA")</f>
        <v>0.0001660457076</v>
      </c>
      <c r="AD69" s="29">
        <f t="shared" si="32"/>
        <v>8.97</v>
      </c>
      <c r="AE69" s="30">
        <f>IFERROR(AD69/AD148, "NA")</f>
        <v>-0.01423018958</v>
      </c>
      <c r="AF69" s="29">
        <f t="shared" si="33"/>
        <v>3</v>
      </c>
      <c r="AG69" s="28">
        <f t="shared" si="34"/>
        <v>80.2925</v>
      </c>
      <c r="AH69" s="23">
        <f>IFERROR(AG69/AG148, "NA")</f>
        <v>0.003997588029</v>
      </c>
      <c r="AI69" s="29">
        <f t="shared" si="35"/>
        <v>-68.3325</v>
      </c>
      <c r="AJ69" s="30">
        <f>IFERROR(AI69/AI148, "NA")</f>
        <v>0.02522894392</v>
      </c>
      <c r="AK69" s="29">
        <f t="shared" si="36"/>
        <v>-0.8510446181</v>
      </c>
      <c r="AL69" s="30">
        <f>IFERROR(AK69/AK148, "NA")</f>
        <v>6.311041492</v>
      </c>
    </row>
    <row r="70" ht="16.5" customHeight="1">
      <c r="A70" s="65" t="s">
        <v>129</v>
      </c>
      <c r="B70" s="66">
        <f>IFERROR(B65+B66+B67+B68+B69, "NA")</f>
        <v>6450.22</v>
      </c>
      <c r="C70" s="67">
        <f>IFERROR(B70/B148, "NA")</f>
        <v>0.2217212753</v>
      </c>
      <c r="D70" s="66">
        <f>IFERROR(D65+D66+D67+D68+D69, "NA")</f>
        <v>5970.62</v>
      </c>
      <c r="E70" s="67">
        <f>IFERROR(D70/D148, "NA")</f>
        <v>0.2434037106</v>
      </c>
      <c r="F70" s="66">
        <f>IFERROR(F65+F66+F67+F68+F69, "NA")</f>
        <v>7291.34</v>
      </c>
      <c r="G70" s="67">
        <f>IFERROR(F70/F148, "NA")</f>
        <v>0.2601898787</v>
      </c>
      <c r="H70" s="66">
        <f>IFERROR(H65+H66+H67+H68+H69, "NA")</f>
        <v>4860.59</v>
      </c>
      <c r="I70" s="67">
        <f>IFERROR(H70/H148, "NA")</f>
        <v>0.2851309361</v>
      </c>
      <c r="J70" s="66">
        <f>IFERROR(J65+J66+J67+J68+J69, "NA")</f>
        <v>6299.37</v>
      </c>
      <c r="K70" s="67">
        <f>IFERROR(J70/J148, "NA")</f>
        <v>0.2782334736</v>
      </c>
      <c r="L70" s="66">
        <f>IFERROR(L65+L66+L67+L68+L69, "NA")</f>
        <v>7015.62</v>
      </c>
      <c r="M70" s="67">
        <f>IFERROR(L70/L148, "NA")</f>
        <v>0.2397370677</v>
      </c>
      <c r="N70" s="66">
        <f>IFERROR(N65+N66+N67+N68+N69, "NA")</f>
        <v>6180.22</v>
      </c>
      <c r="O70" s="67">
        <f>IFERROR(N70/N148, "NA")</f>
        <v>0.2803176821</v>
      </c>
      <c r="P70" s="66">
        <f>IFERROR(P65+P66+P67+P68+P69, "NA")</f>
        <v>5058.94</v>
      </c>
      <c r="Q70" s="67">
        <f>IFERROR(P70/P148, "NA")</f>
        <v>0.3441004004</v>
      </c>
      <c r="R70" s="66">
        <f>IFERROR(R65+R66+R67+R68+R69, "NA")</f>
        <v>4884.44</v>
      </c>
      <c r="S70" s="67">
        <f>IFERROR(R70/R148, "NA")</f>
        <v>0.3247257299</v>
      </c>
      <c r="T70" s="66">
        <f>IFERROR(T65+T66+T67+T68+T69, "NA")</f>
        <v>5469.32</v>
      </c>
      <c r="U70" s="67">
        <f>IFERROR(T70/T148, "NA")</f>
        <v>0.2940200604</v>
      </c>
      <c r="V70" s="66">
        <f>IFERROR(V65+V66+V67+V68+V69, "NA")</f>
        <v>5242.35</v>
      </c>
      <c r="W70" s="67">
        <f>IFERROR(V70/V148, "NA")</f>
        <v>0.2495404136</v>
      </c>
      <c r="X70" s="66">
        <f>IFERROR(X65+X66+X67+X68+X69, "NA")</f>
        <v>4586.37</v>
      </c>
      <c r="Y70" s="67">
        <f>IFERROR(X70/X148, "NA")</f>
        <v>0.2639373093</v>
      </c>
      <c r="Z70" s="66">
        <f>IFERROR(Z65+Z66+Z67+Z68+Z69, "NA")</f>
        <v>20182.48</v>
      </c>
      <c r="AA70" s="67">
        <f>IFERROR(Z70/Z148, "NA")</f>
        <v>0.2802018538</v>
      </c>
      <c r="AB70" s="66">
        <f t="shared" si="31"/>
        <v>5045.62</v>
      </c>
      <c r="AC70" s="67">
        <f>IFERROR(AB70/AB148, "NA")</f>
        <v>0.2802018538</v>
      </c>
      <c r="AD70" s="75">
        <f t="shared" si="32"/>
        <v>-459.25</v>
      </c>
      <c r="AE70" s="76">
        <f>IFERROR(AD70/AD148, "NA")</f>
        <v>0.7285634965</v>
      </c>
      <c r="AF70" s="75">
        <f t="shared" si="33"/>
        <v>-0.09101953774</v>
      </c>
      <c r="AG70" s="66">
        <f t="shared" si="34"/>
        <v>5592.07875</v>
      </c>
      <c r="AH70" s="67">
        <f>IFERROR(AG70/AG148, "NA")</f>
        <v>0.2784173749</v>
      </c>
      <c r="AI70" s="75">
        <f t="shared" si="35"/>
        <v>-1005.70875</v>
      </c>
      <c r="AJ70" s="76">
        <f>IFERROR(AI70/AI148, "NA")</f>
        <v>0.3713162793</v>
      </c>
      <c r="AK70" s="75">
        <f t="shared" si="36"/>
        <v>-0.1798452409</v>
      </c>
      <c r="AL70" s="76">
        <f>IFERROR(AK70/AK148, "NA")</f>
        <v>1.333667769</v>
      </c>
    </row>
    <row r="71" ht="16.5" hidden="1" customHeight="1">
      <c r="A71" s="19" t="s">
        <v>130</v>
      </c>
      <c r="B71" s="21">
        <v>0.0</v>
      </c>
      <c r="C71" s="23">
        <f>IFERROR(B71/B148, "NA")</f>
        <v>0</v>
      </c>
      <c r="D71" s="21">
        <v>0.0</v>
      </c>
      <c r="E71" s="23">
        <f>IFERROR(D71/D148, "NA")</f>
        <v>0</v>
      </c>
      <c r="F71" s="21">
        <v>0.0</v>
      </c>
      <c r="G71" s="23">
        <f>IFERROR(F71/F148, "NA")</f>
        <v>0</v>
      </c>
      <c r="H71" s="21">
        <v>0.0</v>
      </c>
      <c r="I71" s="23">
        <f>IFERROR(H71/H148, "NA")</f>
        <v>0</v>
      </c>
      <c r="J71" s="21">
        <v>0.0</v>
      </c>
      <c r="K71" s="23">
        <f>IFERROR(J71/J148, "NA")</f>
        <v>0</v>
      </c>
      <c r="L71" s="21">
        <v>0.0</v>
      </c>
      <c r="M71" s="23">
        <f>IFERROR(L71/L148, "NA")</f>
        <v>0</v>
      </c>
      <c r="N71" s="21">
        <v>0.0</v>
      </c>
      <c r="O71" s="23">
        <f>IFERROR(N71/N148, "NA")</f>
        <v>0</v>
      </c>
      <c r="P71" s="21">
        <v>0.0</v>
      </c>
      <c r="Q71" s="23">
        <f>IFERROR(P71/P148, "NA")</f>
        <v>0</v>
      </c>
      <c r="R71" s="21">
        <v>0.0</v>
      </c>
      <c r="S71" s="23">
        <f>IFERROR(R71/R148, "NA")</f>
        <v>0</v>
      </c>
      <c r="T71" s="21">
        <v>0.0</v>
      </c>
      <c r="U71" s="23">
        <f>IFERROR(T71/T148, "NA")</f>
        <v>0</v>
      </c>
      <c r="V71" s="21">
        <v>0.0</v>
      </c>
      <c r="W71" s="23">
        <f>IFERROR(V71/V148, "NA")</f>
        <v>0</v>
      </c>
      <c r="X71" s="21">
        <v>0.0</v>
      </c>
      <c r="Y71" s="23">
        <f>IFERROR(X71/X148, "NA")</f>
        <v>0</v>
      </c>
      <c r="Z71" s="21">
        <v>0.0</v>
      </c>
      <c r="AA71" s="23">
        <f>IFERROR(Z71/Z148, "NA")</f>
        <v>0</v>
      </c>
      <c r="AB71" s="28">
        <f t="shared" si="31"/>
        <v>0</v>
      </c>
      <c r="AC71" s="23">
        <f>IFERROR(AB71/AB148, "NA")</f>
        <v>0</v>
      </c>
      <c r="AD71" s="29">
        <f t="shared" si="32"/>
        <v>0</v>
      </c>
      <c r="AE71" s="30">
        <f>IFERROR(AD71/AD148, "NA")</f>
        <v>0</v>
      </c>
      <c r="AF71" s="29" t="str">
        <f t="shared" si="33"/>
        <v>NA</v>
      </c>
      <c r="AG71" s="28">
        <f t="shared" si="34"/>
        <v>0</v>
      </c>
      <c r="AH71" s="23">
        <f>IFERROR(AG71/AG148, "NA")</f>
        <v>0</v>
      </c>
      <c r="AI71" s="29">
        <f t="shared" si="35"/>
        <v>0</v>
      </c>
      <c r="AJ71" s="30">
        <f>IFERROR(AI71/AI148, "NA")</f>
        <v>0</v>
      </c>
      <c r="AK71" s="29" t="str">
        <f t="shared" si="36"/>
        <v>NA</v>
      </c>
      <c r="AL71" s="30" t="str">
        <f>IFERROR(AK71/AK148, "NA")</f>
        <v>NA</v>
      </c>
    </row>
    <row r="72" ht="16.5" customHeight="1">
      <c r="A72" s="19" t="s">
        <v>131</v>
      </c>
      <c r="B72" s="21">
        <v>0.0</v>
      </c>
      <c r="C72" s="23">
        <f>IFERROR(B72/B148, "NA")</f>
        <v>0</v>
      </c>
      <c r="D72" s="21">
        <v>0.0</v>
      </c>
      <c r="E72" s="23">
        <f>IFERROR(D72/D148, "NA")</f>
        <v>0</v>
      </c>
      <c r="F72" s="21">
        <v>-500.0</v>
      </c>
      <c r="G72" s="23">
        <f>IFERROR(F72/F148, "NA")</f>
        <v>-0.01784239102</v>
      </c>
      <c r="H72" s="21">
        <v>0.0</v>
      </c>
      <c r="I72" s="23">
        <f>IFERROR(H72/H148, "NA")</f>
        <v>0</v>
      </c>
      <c r="J72" s="21">
        <v>0.0</v>
      </c>
      <c r="K72" s="23">
        <f>IFERROR(J72/J148, "NA")</f>
        <v>0</v>
      </c>
      <c r="L72" s="21">
        <v>0.0</v>
      </c>
      <c r="M72" s="23">
        <f>IFERROR(L72/L148, "NA")</f>
        <v>0</v>
      </c>
      <c r="N72" s="21">
        <v>0.0</v>
      </c>
      <c r="O72" s="23">
        <f>IFERROR(N72/N148, "NA")</f>
        <v>0</v>
      </c>
      <c r="P72" s="21">
        <v>500.0</v>
      </c>
      <c r="Q72" s="23">
        <f>IFERROR(P72/P148, "NA")</f>
        <v>0.0340091403</v>
      </c>
      <c r="R72" s="21">
        <v>0.0</v>
      </c>
      <c r="S72" s="23">
        <f>IFERROR(R72/R148, "NA")</f>
        <v>0</v>
      </c>
      <c r="T72" s="21">
        <v>0.0</v>
      </c>
      <c r="U72" s="23">
        <f>IFERROR(T72/T148, "NA")</f>
        <v>0</v>
      </c>
      <c r="V72" s="21">
        <v>0.0</v>
      </c>
      <c r="W72" s="23">
        <f>IFERROR(V72/V148, "NA")</f>
        <v>0</v>
      </c>
      <c r="X72" s="21">
        <v>500.0</v>
      </c>
      <c r="Y72" s="23">
        <f>IFERROR(X72/X148, "NA")</f>
        <v>0.02877409687</v>
      </c>
      <c r="Z72" s="21">
        <v>500.0</v>
      </c>
      <c r="AA72" s="23">
        <f>IFERROR(Z72/Z148, "NA")</f>
        <v>0.006941710182</v>
      </c>
      <c r="AB72" s="28">
        <f t="shared" si="31"/>
        <v>125</v>
      </c>
      <c r="AC72" s="23">
        <f>IFERROR(AB72/AB148, "NA")</f>
        <v>0.006941710182</v>
      </c>
      <c r="AD72" s="29">
        <f t="shared" si="32"/>
        <v>375</v>
      </c>
      <c r="AE72" s="30">
        <f>IFERROR(AD72/AD148, "NA")</f>
        <v>-0.594907591</v>
      </c>
      <c r="AF72" s="29">
        <f t="shared" si="33"/>
        <v>3</v>
      </c>
      <c r="AG72" s="28">
        <f t="shared" si="34"/>
        <v>125</v>
      </c>
      <c r="AH72" s="23">
        <f>IFERROR(AG72/AG148, "NA")</f>
        <v>0.006223476709</v>
      </c>
      <c r="AI72" s="29">
        <f t="shared" si="35"/>
        <v>375</v>
      </c>
      <c r="AJ72" s="30">
        <f>IFERROR(AI72/AI148, "NA")</f>
        <v>-0.13845321</v>
      </c>
      <c r="AK72" s="29">
        <f t="shared" si="36"/>
        <v>3</v>
      </c>
      <c r="AL72" s="30">
        <f>IFERROR(AK72/AK148, "NA")</f>
        <v>-22.24692345</v>
      </c>
    </row>
    <row r="73" ht="16.5" customHeight="1">
      <c r="A73" s="13" t="s">
        <v>132</v>
      </c>
      <c r="B73" s="14"/>
      <c r="C73" s="12"/>
      <c r="D73" s="14"/>
      <c r="E73" s="12"/>
      <c r="F73" s="14"/>
      <c r="G73" s="12"/>
      <c r="H73" s="14"/>
      <c r="I73" s="12"/>
      <c r="J73" s="14"/>
      <c r="K73" s="12"/>
      <c r="L73" s="14"/>
      <c r="M73" s="12"/>
      <c r="N73" s="14"/>
      <c r="O73" s="12"/>
      <c r="P73" s="14"/>
      <c r="Q73" s="12"/>
      <c r="R73" s="14"/>
      <c r="S73" s="12"/>
      <c r="T73" s="14"/>
      <c r="U73" s="12"/>
      <c r="V73" s="14"/>
      <c r="W73" s="12"/>
      <c r="X73" s="14"/>
      <c r="Y73" s="12"/>
      <c r="Z73" s="14"/>
      <c r="AA73" s="12"/>
      <c r="AB73" s="14"/>
      <c r="AC73" s="12"/>
      <c r="AD73" s="17"/>
      <c r="AE73" s="18"/>
      <c r="AF73" s="17"/>
      <c r="AG73" s="14"/>
      <c r="AH73" s="12"/>
      <c r="AI73" s="17"/>
      <c r="AJ73" s="18"/>
      <c r="AK73" s="17"/>
      <c r="AL73" s="18"/>
    </row>
    <row r="74" ht="16.5" customHeight="1">
      <c r="A74" s="19" t="s">
        <v>133</v>
      </c>
      <c r="B74" s="21">
        <v>557.83</v>
      </c>
      <c r="C74" s="23">
        <f>IFERROR(B74/B148, "NA")</f>
        <v>0.01917497062</v>
      </c>
      <c r="D74" s="21">
        <v>519.93</v>
      </c>
      <c r="E74" s="23">
        <f>IFERROR(D74/D148, "NA")</f>
        <v>0.02119593799</v>
      </c>
      <c r="F74" s="21">
        <v>771.53</v>
      </c>
      <c r="G74" s="23">
        <f>IFERROR(F74/F148, "NA")</f>
        <v>0.02753187989</v>
      </c>
      <c r="H74" s="21">
        <v>427.42</v>
      </c>
      <c r="I74" s="23">
        <f>IFERROR(H74/H148, "NA")</f>
        <v>0.02507322459</v>
      </c>
      <c r="J74" s="21">
        <v>524.46</v>
      </c>
      <c r="K74" s="23">
        <f>IFERROR(J74/J148, "NA")</f>
        <v>0.02316459068</v>
      </c>
      <c r="L74" s="21">
        <v>599.56</v>
      </c>
      <c r="M74" s="23">
        <f>IFERROR(L74/L148, "NA")</f>
        <v>0.02048810459</v>
      </c>
      <c r="N74" s="21">
        <v>521.73</v>
      </c>
      <c r="O74" s="23">
        <f>IFERROR(N74/N148, "NA")</f>
        <v>0.02366422947</v>
      </c>
      <c r="P74" s="21">
        <v>471.64</v>
      </c>
      <c r="Q74" s="23">
        <f>IFERROR(P74/P148, "NA")</f>
        <v>0.03208014186</v>
      </c>
      <c r="R74" s="21">
        <v>446.65</v>
      </c>
      <c r="S74" s="23">
        <f>IFERROR(R74/R148, "NA")</f>
        <v>0.02969403806</v>
      </c>
      <c r="T74" s="21">
        <v>505.4</v>
      </c>
      <c r="U74" s="23">
        <f>IFERROR(T74/T148, "NA")</f>
        <v>0.02716932608</v>
      </c>
      <c r="V74" s="21">
        <v>479.28</v>
      </c>
      <c r="W74" s="23">
        <f>IFERROR(V74/V148, "NA")</f>
        <v>0.02281414431</v>
      </c>
      <c r="X74" s="21">
        <v>423.82</v>
      </c>
      <c r="Y74" s="23">
        <f>IFERROR(X74/X148, "NA")</f>
        <v>0.02439007547</v>
      </c>
      <c r="Z74" s="21">
        <v>1855.15</v>
      </c>
      <c r="AA74" s="23">
        <f>IFERROR(Z74/Z148, "NA")</f>
        <v>0.02575582729</v>
      </c>
      <c r="AB74" s="28">
        <f t="shared" ref="AB74:AB85" si="37">IFERROR((R74+T74+V74+X74)/4, "NA")</f>
        <v>463.7875</v>
      </c>
      <c r="AC74" s="23">
        <f>IFERROR(AB74/AB148, "NA")</f>
        <v>0.02575582729</v>
      </c>
      <c r="AD74" s="29">
        <f t="shared" ref="AD74:AD85" si="38">IFERROR(X74-AB74, "NA")</f>
        <v>-39.9675</v>
      </c>
      <c r="AE74" s="30">
        <f>IFERROR(AD74/AD148, "NA")</f>
        <v>0.06340525105</v>
      </c>
      <c r="AF74" s="29">
        <f t="shared" ref="AF74:AF85" si="39">IFERROR((X74-AB74)/AB74, "NA")</f>
        <v>-0.08617631997</v>
      </c>
      <c r="AG74" s="28">
        <f t="shared" ref="AG74:AG85" si="40">IFERROR((J74+L74+N74+P74+R74+T74+V74+X74)/8, "NA")</f>
        <v>496.5675</v>
      </c>
      <c r="AH74" s="23">
        <f>IFERROR(AG74/AG148, "NA")</f>
        <v>0.02472301017</v>
      </c>
      <c r="AI74" s="29">
        <f t="shared" ref="AI74:AI85" si="41">IFERROR(X74-AG74, "NA")</f>
        <v>-72.7475</v>
      </c>
      <c r="AJ74" s="30">
        <f>IFERROR(AI74/AI148, "NA")</f>
        <v>0.02685899971</v>
      </c>
      <c r="AK74" s="29">
        <f t="shared" ref="AK74:AK85" si="42">IFERROR((X74-AG74)/AG74, "NA")</f>
        <v>-0.1465007275</v>
      </c>
      <c r="AL74" s="30">
        <f>IFERROR(AK74/AK148, "NA")</f>
        <v>1.086396824</v>
      </c>
    </row>
    <row r="75" ht="16.5" hidden="1" customHeight="1">
      <c r="A75" s="19" t="s">
        <v>134</v>
      </c>
      <c r="B75" s="21">
        <v>0.0</v>
      </c>
      <c r="C75" s="23">
        <f>IFERROR(B75/B148, "NA")</f>
        <v>0</v>
      </c>
      <c r="D75" s="21">
        <v>0.0</v>
      </c>
      <c r="E75" s="23">
        <f>IFERROR(D75/D148, "NA")</f>
        <v>0</v>
      </c>
      <c r="F75" s="21">
        <v>0.0</v>
      </c>
      <c r="G75" s="23">
        <f>IFERROR(F75/F148, "NA")</f>
        <v>0</v>
      </c>
      <c r="H75" s="21">
        <v>0.0</v>
      </c>
      <c r="I75" s="23">
        <f>IFERROR(H75/H148, "NA")</f>
        <v>0</v>
      </c>
      <c r="J75" s="21">
        <v>0.0</v>
      </c>
      <c r="K75" s="23">
        <f>IFERROR(J75/J148, "NA")</f>
        <v>0</v>
      </c>
      <c r="L75" s="21">
        <v>0.0</v>
      </c>
      <c r="M75" s="23">
        <f>IFERROR(L75/L148, "NA")</f>
        <v>0</v>
      </c>
      <c r="N75" s="21">
        <v>0.0</v>
      </c>
      <c r="O75" s="23">
        <f>IFERROR(N75/N148, "NA")</f>
        <v>0</v>
      </c>
      <c r="P75" s="21">
        <v>0.0</v>
      </c>
      <c r="Q75" s="23">
        <f>IFERROR(P75/P148, "NA")</f>
        <v>0</v>
      </c>
      <c r="R75" s="21">
        <v>0.0</v>
      </c>
      <c r="S75" s="23">
        <f>IFERROR(R75/R148, "NA")</f>
        <v>0</v>
      </c>
      <c r="T75" s="21">
        <v>0.0</v>
      </c>
      <c r="U75" s="23">
        <f>IFERROR(T75/T148, "NA")</f>
        <v>0</v>
      </c>
      <c r="V75" s="21">
        <v>0.0</v>
      </c>
      <c r="W75" s="23">
        <f>IFERROR(V75/V148, "NA")</f>
        <v>0</v>
      </c>
      <c r="X75" s="21">
        <v>0.0</v>
      </c>
      <c r="Y75" s="23">
        <f>IFERROR(X75/X148, "NA")</f>
        <v>0</v>
      </c>
      <c r="Z75" s="21">
        <v>0.0</v>
      </c>
      <c r="AA75" s="23">
        <f>IFERROR(Z75/Z148, "NA")</f>
        <v>0</v>
      </c>
      <c r="AB75" s="28">
        <f t="shared" si="37"/>
        <v>0</v>
      </c>
      <c r="AC75" s="23">
        <f>IFERROR(AB75/AB148, "NA")</f>
        <v>0</v>
      </c>
      <c r="AD75" s="29">
        <f t="shared" si="38"/>
        <v>0</v>
      </c>
      <c r="AE75" s="30">
        <f>IFERROR(AD75/AD148, "NA")</f>
        <v>0</v>
      </c>
      <c r="AF75" s="29" t="str">
        <f t="shared" si="39"/>
        <v>NA</v>
      </c>
      <c r="AG75" s="28">
        <f t="shared" si="40"/>
        <v>0</v>
      </c>
      <c r="AH75" s="23">
        <f>IFERROR(AG75/AG148, "NA")</f>
        <v>0</v>
      </c>
      <c r="AI75" s="29">
        <f t="shared" si="41"/>
        <v>0</v>
      </c>
      <c r="AJ75" s="30">
        <f>IFERROR(AI75/AI148, "NA")</f>
        <v>0</v>
      </c>
      <c r="AK75" s="29" t="str">
        <f t="shared" si="42"/>
        <v>NA</v>
      </c>
      <c r="AL75" s="30" t="str">
        <f>IFERROR(AK75/AK148, "NA")</f>
        <v>NA</v>
      </c>
    </row>
    <row r="76" ht="16.5" hidden="1" customHeight="1">
      <c r="A76" s="19" t="s">
        <v>135</v>
      </c>
      <c r="B76" s="21">
        <v>0.0</v>
      </c>
      <c r="C76" s="23">
        <f>IFERROR(B76/B148, "NA")</f>
        <v>0</v>
      </c>
      <c r="D76" s="21">
        <v>0.0</v>
      </c>
      <c r="E76" s="23">
        <f>IFERROR(D76/D148, "NA")</f>
        <v>0</v>
      </c>
      <c r="F76" s="21">
        <v>0.0</v>
      </c>
      <c r="G76" s="23">
        <f>IFERROR(F76/F148, "NA")</f>
        <v>0</v>
      </c>
      <c r="H76" s="21">
        <v>0.0</v>
      </c>
      <c r="I76" s="23">
        <f>IFERROR(H76/H148, "NA")</f>
        <v>0</v>
      </c>
      <c r="J76" s="21">
        <v>0.0</v>
      </c>
      <c r="K76" s="23">
        <f>IFERROR(J76/J148, "NA")</f>
        <v>0</v>
      </c>
      <c r="L76" s="21">
        <v>0.0</v>
      </c>
      <c r="M76" s="23">
        <f>IFERROR(L76/L148, "NA")</f>
        <v>0</v>
      </c>
      <c r="N76" s="21">
        <v>0.0</v>
      </c>
      <c r="O76" s="23">
        <f>IFERROR(N76/N148, "NA")</f>
        <v>0</v>
      </c>
      <c r="P76" s="21">
        <v>0.0</v>
      </c>
      <c r="Q76" s="23">
        <f>IFERROR(P76/P148, "NA")</f>
        <v>0</v>
      </c>
      <c r="R76" s="21">
        <v>0.0</v>
      </c>
      <c r="S76" s="23">
        <f>IFERROR(R76/R148, "NA")</f>
        <v>0</v>
      </c>
      <c r="T76" s="21">
        <v>0.0</v>
      </c>
      <c r="U76" s="23">
        <f>IFERROR(T76/T148, "NA")</f>
        <v>0</v>
      </c>
      <c r="V76" s="21">
        <v>0.0</v>
      </c>
      <c r="W76" s="23">
        <f>IFERROR(V76/V148, "NA")</f>
        <v>0</v>
      </c>
      <c r="X76" s="21">
        <v>0.0</v>
      </c>
      <c r="Y76" s="23">
        <f>IFERROR(X76/X148, "NA")</f>
        <v>0</v>
      </c>
      <c r="Z76" s="21">
        <v>0.0</v>
      </c>
      <c r="AA76" s="23">
        <f>IFERROR(Z76/Z148, "NA")</f>
        <v>0</v>
      </c>
      <c r="AB76" s="28">
        <f t="shared" si="37"/>
        <v>0</v>
      </c>
      <c r="AC76" s="23">
        <f>IFERROR(AB76/AB148, "NA")</f>
        <v>0</v>
      </c>
      <c r="AD76" s="29">
        <f t="shared" si="38"/>
        <v>0</v>
      </c>
      <c r="AE76" s="30">
        <f>IFERROR(AD76/AD148, "NA")</f>
        <v>0</v>
      </c>
      <c r="AF76" s="29" t="str">
        <f t="shared" si="39"/>
        <v>NA</v>
      </c>
      <c r="AG76" s="28">
        <f t="shared" si="40"/>
        <v>0</v>
      </c>
      <c r="AH76" s="23">
        <f>IFERROR(AG76/AG148, "NA")</f>
        <v>0</v>
      </c>
      <c r="AI76" s="29">
        <f t="shared" si="41"/>
        <v>0</v>
      </c>
      <c r="AJ76" s="30">
        <f>IFERROR(AI76/AI148, "NA")</f>
        <v>0</v>
      </c>
      <c r="AK76" s="29" t="str">
        <f t="shared" si="42"/>
        <v>NA</v>
      </c>
      <c r="AL76" s="30" t="str">
        <f>IFERROR(AK76/AK148, "NA")</f>
        <v>NA</v>
      </c>
    </row>
    <row r="77" ht="16.5" hidden="1" customHeight="1">
      <c r="A77" s="19" t="s">
        <v>136</v>
      </c>
      <c r="B77" s="21">
        <v>0.0</v>
      </c>
      <c r="C77" s="23">
        <f>IFERROR(B77/B148, "NA")</f>
        <v>0</v>
      </c>
      <c r="D77" s="21">
        <v>0.0</v>
      </c>
      <c r="E77" s="23">
        <f>IFERROR(D77/D148, "NA")</f>
        <v>0</v>
      </c>
      <c r="F77" s="21">
        <v>0.0</v>
      </c>
      <c r="G77" s="23">
        <f>IFERROR(F77/F148, "NA")</f>
        <v>0</v>
      </c>
      <c r="H77" s="21">
        <v>0.0</v>
      </c>
      <c r="I77" s="23">
        <f>IFERROR(H77/H148, "NA")</f>
        <v>0</v>
      </c>
      <c r="J77" s="21">
        <v>0.0</v>
      </c>
      <c r="K77" s="23">
        <f>IFERROR(J77/J148, "NA")</f>
        <v>0</v>
      </c>
      <c r="L77" s="21">
        <v>0.0</v>
      </c>
      <c r="M77" s="23">
        <f>IFERROR(L77/L148, "NA")</f>
        <v>0</v>
      </c>
      <c r="N77" s="21">
        <v>0.0</v>
      </c>
      <c r="O77" s="23">
        <f>IFERROR(N77/N148, "NA")</f>
        <v>0</v>
      </c>
      <c r="P77" s="21">
        <v>0.0</v>
      </c>
      <c r="Q77" s="23">
        <f>IFERROR(P77/P148, "NA")</f>
        <v>0</v>
      </c>
      <c r="R77" s="21">
        <v>0.0</v>
      </c>
      <c r="S77" s="23">
        <f>IFERROR(R77/R148, "NA")</f>
        <v>0</v>
      </c>
      <c r="T77" s="21">
        <v>0.0</v>
      </c>
      <c r="U77" s="23">
        <f>IFERROR(T77/T148, "NA")</f>
        <v>0</v>
      </c>
      <c r="V77" s="21">
        <v>0.0</v>
      </c>
      <c r="W77" s="23">
        <f>IFERROR(V77/V148, "NA")</f>
        <v>0</v>
      </c>
      <c r="X77" s="21">
        <v>0.0</v>
      </c>
      <c r="Y77" s="23">
        <f>IFERROR(X77/X148, "NA")</f>
        <v>0</v>
      </c>
      <c r="Z77" s="21">
        <v>0.0</v>
      </c>
      <c r="AA77" s="23">
        <f>IFERROR(Z77/Z148, "NA")</f>
        <v>0</v>
      </c>
      <c r="AB77" s="28">
        <f t="shared" si="37"/>
        <v>0</v>
      </c>
      <c r="AC77" s="23">
        <f>IFERROR(AB77/AB148, "NA")</f>
        <v>0</v>
      </c>
      <c r="AD77" s="29">
        <f t="shared" si="38"/>
        <v>0</v>
      </c>
      <c r="AE77" s="30">
        <f>IFERROR(AD77/AD148, "NA")</f>
        <v>0</v>
      </c>
      <c r="AF77" s="29" t="str">
        <f t="shared" si="39"/>
        <v>NA</v>
      </c>
      <c r="AG77" s="28">
        <f t="shared" si="40"/>
        <v>0</v>
      </c>
      <c r="AH77" s="23">
        <f>IFERROR(AG77/AG148, "NA")</f>
        <v>0</v>
      </c>
      <c r="AI77" s="29">
        <f t="shared" si="41"/>
        <v>0</v>
      </c>
      <c r="AJ77" s="30">
        <f>IFERROR(AI77/AI148, "NA")</f>
        <v>0</v>
      </c>
      <c r="AK77" s="29" t="str">
        <f t="shared" si="42"/>
        <v>NA</v>
      </c>
      <c r="AL77" s="30" t="str">
        <f>IFERROR(AK77/AK148, "NA")</f>
        <v>NA</v>
      </c>
    </row>
    <row r="78" ht="16.5" hidden="1" customHeight="1">
      <c r="A78" s="19" t="s">
        <v>137</v>
      </c>
      <c r="B78" s="21">
        <v>0.0</v>
      </c>
      <c r="C78" s="23">
        <f>IFERROR(B78/B148, "NA")</f>
        <v>0</v>
      </c>
      <c r="D78" s="21">
        <v>0.0</v>
      </c>
      <c r="E78" s="23">
        <f>IFERROR(D78/D148, "NA")</f>
        <v>0</v>
      </c>
      <c r="F78" s="21">
        <v>0.0</v>
      </c>
      <c r="G78" s="23">
        <f>IFERROR(F78/F148, "NA")</f>
        <v>0</v>
      </c>
      <c r="H78" s="21">
        <v>0.0</v>
      </c>
      <c r="I78" s="23">
        <f>IFERROR(H78/H148, "NA")</f>
        <v>0</v>
      </c>
      <c r="J78" s="21">
        <v>0.0</v>
      </c>
      <c r="K78" s="23">
        <f>IFERROR(J78/J148, "NA")</f>
        <v>0</v>
      </c>
      <c r="L78" s="21">
        <v>0.0</v>
      </c>
      <c r="M78" s="23">
        <f>IFERROR(L78/L148, "NA")</f>
        <v>0</v>
      </c>
      <c r="N78" s="21">
        <v>0.0</v>
      </c>
      <c r="O78" s="23">
        <f>IFERROR(N78/N148, "NA")</f>
        <v>0</v>
      </c>
      <c r="P78" s="21">
        <v>0.0</v>
      </c>
      <c r="Q78" s="23">
        <f>IFERROR(P78/P148, "NA")</f>
        <v>0</v>
      </c>
      <c r="R78" s="21">
        <v>0.0</v>
      </c>
      <c r="S78" s="23">
        <f>IFERROR(R78/R148, "NA")</f>
        <v>0</v>
      </c>
      <c r="T78" s="21">
        <v>0.0</v>
      </c>
      <c r="U78" s="23">
        <f>IFERROR(T78/T148, "NA")</f>
        <v>0</v>
      </c>
      <c r="V78" s="21">
        <v>0.0</v>
      </c>
      <c r="W78" s="23">
        <f>IFERROR(V78/V148, "NA")</f>
        <v>0</v>
      </c>
      <c r="X78" s="21">
        <v>0.0</v>
      </c>
      <c r="Y78" s="23">
        <f>IFERROR(X78/X148, "NA")</f>
        <v>0</v>
      </c>
      <c r="Z78" s="21">
        <v>0.0</v>
      </c>
      <c r="AA78" s="23">
        <f>IFERROR(Z78/Z148, "NA")</f>
        <v>0</v>
      </c>
      <c r="AB78" s="28">
        <f t="shared" si="37"/>
        <v>0</v>
      </c>
      <c r="AC78" s="23">
        <f>IFERROR(AB78/AB148, "NA")</f>
        <v>0</v>
      </c>
      <c r="AD78" s="29">
        <f t="shared" si="38"/>
        <v>0</v>
      </c>
      <c r="AE78" s="30">
        <f>IFERROR(AD78/AD148, "NA")</f>
        <v>0</v>
      </c>
      <c r="AF78" s="29" t="str">
        <f t="shared" si="39"/>
        <v>NA</v>
      </c>
      <c r="AG78" s="28">
        <f t="shared" si="40"/>
        <v>0</v>
      </c>
      <c r="AH78" s="23">
        <f>IFERROR(AG78/AG148, "NA")</f>
        <v>0</v>
      </c>
      <c r="AI78" s="29">
        <f t="shared" si="41"/>
        <v>0</v>
      </c>
      <c r="AJ78" s="30">
        <f>IFERROR(AI78/AI148, "NA")</f>
        <v>0</v>
      </c>
      <c r="AK78" s="29" t="str">
        <f t="shared" si="42"/>
        <v>NA</v>
      </c>
      <c r="AL78" s="30" t="str">
        <f>IFERROR(AK78/AK148, "NA")</f>
        <v>NA</v>
      </c>
    </row>
    <row r="79" ht="16.5" hidden="1" customHeight="1">
      <c r="A79" s="19" t="s">
        <v>139</v>
      </c>
      <c r="B79" s="21">
        <v>0.0</v>
      </c>
      <c r="C79" s="23">
        <f>IFERROR(B79/B148, "NA")</f>
        <v>0</v>
      </c>
      <c r="D79" s="21">
        <v>0.0</v>
      </c>
      <c r="E79" s="23">
        <f>IFERROR(D79/D148, "NA")</f>
        <v>0</v>
      </c>
      <c r="F79" s="21">
        <v>0.0</v>
      </c>
      <c r="G79" s="23">
        <f>IFERROR(F79/F148, "NA")</f>
        <v>0</v>
      </c>
      <c r="H79" s="21">
        <v>0.0</v>
      </c>
      <c r="I79" s="23">
        <f>IFERROR(H79/H148, "NA")</f>
        <v>0</v>
      </c>
      <c r="J79" s="21">
        <v>0.0</v>
      </c>
      <c r="K79" s="23">
        <f>IFERROR(J79/J148, "NA")</f>
        <v>0</v>
      </c>
      <c r="L79" s="21">
        <v>0.0</v>
      </c>
      <c r="M79" s="23">
        <f>IFERROR(L79/L148, "NA")</f>
        <v>0</v>
      </c>
      <c r="N79" s="21">
        <v>0.0</v>
      </c>
      <c r="O79" s="23">
        <f>IFERROR(N79/N148, "NA")</f>
        <v>0</v>
      </c>
      <c r="P79" s="21">
        <v>0.0</v>
      </c>
      <c r="Q79" s="23">
        <f>IFERROR(P79/P148, "NA")</f>
        <v>0</v>
      </c>
      <c r="R79" s="21">
        <v>0.0</v>
      </c>
      <c r="S79" s="23">
        <f>IFERROR(R79/R148, "NA")</f>
        <v>0</v>
      </c>
      <c r="T79" s="21">
        <v>0.0</v>
      </c>
      <c r="U79" s="23">
        <f>IFERROR(T79/T148, "NA")</f>
        <v>0</v>
      </c>
      <c r="V79" s="21">
        <v>0.0</v>
      </c>
      <c r="W79" s="23">
        <f>IFERROR(V79/V148, "NA")</f>
        <v>0</v>
      </c>
      <c r="X79" s="21">
        <v>0.0</v>
      </c>
      <c r="Y79" s="23">
        <f>IFERROR(X79/X148, "NA")</f>
        <v>0</v>
      </c>
      <c r="Z79" s="21">
        <v>0.0</v>
      </c>
      <c r="AA79" s="23">
        <f>IFERROR(Z79/Z148, "NA")</f>
        <v>0</v>
      </c>
      <c r="AB79" s="28">
        <f t="shared" si="37"/>
        <v>0</v>
      </c>
      <c r="AC79" s="23">
        <f>IFERROR(AB79/AB148, "NA")</f>
        <v>0</v>
      </c>
      <c r="AD79" s="29">
        <f t="shared" si="38"/>
        <v>0</v>
      </c>
      <c r="AE79" s="30">
        <f>IFERROR(AD79/AD148, "NA")</f>
        <v>0</v>
      </c>
      <c r="AF79" s="29" t="str">
        <f t="shared" si="39"/>
        <v>NA</v>
      </c>
      <c r="AG79" s="28">
        <f t="shared" si="40"/>
        <v>0</v>
      </c>
      <c r="AH79" s="23">
        <f>IFERROR(AG79/AG148, "NA")</f>
        <v>0</v>
      </c>
      <c r="AI79" s="29">
        <f t="shared" si="41"/>
        <v>0</v>
      </c>
      <c r="AJ79" s="30">
        <f>IFERROR(AI79/AI148, "NA")</f>
        <v>0</v>
      </c>
      <c r="AK79" s="29" t="str">
        <f t="shared" si="42"/>
        <v>NA</v>
      </c>
      <c r="AL79" s="30" t="str">
        <f>IFERROR(AK79/AK148, "NA")</f>
        <v>NA</v>
      </c>
    </row>
    <row r="80" ht="16.5" hidden="1" customHeight="1">
      <c r="A80" s="19" t="s">
        <v>141</v>
      </c>
      <c r="B80" s="21">
        <v>0.0</v>
      </c>
      <c r="C80" s="23">
        <f>IFERROR(B80/B148, "NA")</f>
        <v>0</v>
      </c>
      <c r="D80" s="21">
        <v>0.0</v>
      </c>
      <c r="E80" s="23">
        <f>IFERROR(D80/D148, "NA")</f>
        <v>0</v>
      </c>
      <c r="F80" s="21">
        <v>0.0</v>
      </c>
      <c r="G80" s="23">
        <f>IFERROR(F80/F148, "NA")</f>
        <v>0</v>
      </c>
      <c r="H80" s="21">
        <v>0.0</v>
      </c>
      <c r="I80" s="23">
        <f>IFERROR(H80/H148, "NA")</f>
        <v>0</v>
      </c>
      <c r="J80" s="21">
        <v>0.0</v>
      </c>
      <c r="K80" s="23">
        <f>IFERROR(J80/J148, "NA")</f>
        <v>0</v>
      </c>
      <c r="L80" s="21">
        <v>0.0</v>
      </c>
      <c r="M80" s="23">
        <f>IFERROR(L80/L148, "NA")</f>
        <v>0</v>
      </c>
      <c r="N80" s="21">
        <v>0.0</v>
      </c>
      <c r="O80" s="23">
        <f>IFERROR(N80/N148, "NA")</f>
        <v>0</v>
      </c>
      <c r="P80" s="21">
        <v>0.0</v>
      </c>
      <c r="Q80" s="23">
        <f>IFERROR(P80/P148, "NA")</f>
        <v>0</v>
      </c>
      <c r="R80" s="21">
        <v>0.0</v>
      </c>
      <c r="S80" s="23">
        <f>IFERROR(R80/R148, "NA")</f>
        <v>0</v>
      </c>
      <c r="T80" s="21">
        <v>0.0</v>
      </c>
      <c r="U80" s="23">
        <f>IFERROR(T80/T148, "NA")</f>
        <v>0</v>
      </c>
      <c r="V80" s="21">
        <v>0.0</v>
      </c>
      <c r="W80" s="23">
        <f>IFERROR(V80/V148, "NA")</f>
        <v>0</v>
      </c>
      <c r="X80" s="21">
        <v>0.0</v>
      </c>
      <c r="Y80" s="23">
        <f>IFERROR(X80/X148, "NA")</f>
        <v>0</v>
      </c>
      <c r="Z80" s="21">
        <v>0.0</v>
      </c>
      <c r="AA80" s="23">
        <f>IFERROR(Z80/Z148, "NA")</f>
        <v>0</v>
      </c>
      <c r="AB80" s="28">
        <f t="shared" si="37"/>
        <v>0</v>
      </c>
      <c r="AC80" s="23">
        <f>IFERROR(AB80/AB148, "NA")</f>
        <v>0</v>
      </c>
      <c r="AD80" s="29">
        <f t="shared" si="38"/>
        <v>0</v>
      </c>
      <c r="AE80" s="30">
        <f>IFERROR(AD80/AD148, "NA")</f>
        <v>0</v>
      </c>
      <c r="AF80" s="29" t="str">
        <f t="shared" si="39"/>
        <v>NA</v>
      </c>
      <c r="AG80" s="28">
        <f t="shared" si="40"/>
        <v>0</v>
      </c>
      <c r="AH80" s="23">
        <f>IFERROR(AG80/AG148, "NA")</f>
        <v>0</v>
      </c>
      <c r="AI80" s="29">
        <f t="shared" si="41"/>
        <v>0</v>
      </c>
      <c r="AJ80" s="30">
        <f>IFERROR(AI80/AI148, "NA")</f>
        <v>0</v>
      </c>
      <c r="AK80" s="29" t="str">
        <f t="shared" si="42"/>
        <v>NA</v>
      </c>
      <c r="AL80" s="30" t="str">
        <f>IFERROR(AK80/AK148, "NA")</f>
        <v>NA</v>
      </c>
    </row>
    <row r="81" ht="16.5" customHeight="1">
      <c r="A81" s="65" t="s">
        <v>142</v>
      </c>
      <c r="B81" s="66">
        <f>IFERROR(B74+B75+B76+B77+B78+B79+B80, "NA")</f>
        <v>557.83</v>
      </c>
      <c r="C81" s="67">
        <f>IFERROR(B81/B148, "NA")</f>
        <v>0.01917497062</v>
      </c>
      <c r="D81" s="66">
        <f>IFERROR(D74+D75+D76+D77+D78+D79+D80, "NA")</f>
        <v>519.93</v>
      </c>
      <c r="E81" s="67">
        <f>IFERROR(D81/D148, "NA")</f>
        <v>0.02119593799</v>
      </c>
      <c r="F81" s="66">
        <f>IFERROR(F74+F75+F76+F77+F78+F79+F80, "NA")</f>
        <v>771.53</v>
      </c>
      <c r="G81" s="67">
        <f>IFERROR(F81/F148, "NA")</f>
        <v>0.02753187989</v>
      </c>
      <c r="H81" s="66">
        <f>IFERROR(H74+H75+H76+H77+H78+H79+H80, "NA")</f>
        <v>427.42</v>
      </c>
      <c r="I81" s="67">
        <f>IFERROR(H81/H148, "NA")</f>
        <v>0.02507322459</v>
      </c>
      <c r="J81" s="66">
        <f>IFERROR(J74+J75+J76+J77+J78+J79+J80, "NA")</f>
        <v>524.46</v>
      </c>
      <c r="K81" s="67">
        <f>IFERROR(J81/J148, "NA")</f>
        <v>0.02316459068</v>
      </c>
      <c r="L81" s="66">
        <f>IFERROR(L74+L75+L76+L77+L78+L79+L80, "NA")</f>
        <v>599.56</v>
      </c>
      <c r="M81" s="67">
        <f>IFERROR(L81/L148, "NA")</f>
        <v>0.02048810459</v>
      </c>
      <c r="N81" s="66">
        <f>IFERROR(N74+N75+N76+N77+N78+N79+N80, "NA")</f>
        <v>521.73</v>
      </c>
      <c r="O81" s="67">
        <f>IFERROR(N81/N148, "NA")</f>
        <v>0.02366422947</v>
      </c>
      <c r="P81" s="66">
        <f>IFERROR(P74+P75+P76+P77+P78+P79+P80, "NA")</f>
        <v>471.64</v>
      </c>
      <c r="Q81" s="67">
        <f>IFERROR(P81/P148, "NA")</f>
        <v>0.03208014186</v>
      </c>
      <c r="R81" s="66">
        <f>IFERROR(R74+R75+R76+R77+R78+R79+R80, "NA")</f>
        <v>446.65</v>
      </c>
      <c r="S81" s="67">
        <f>IFERROR(R81/R148, "NA")</f>
        <v>0.02969403806</v>
      </c>
      <c r="T81" s="66">
        <f>IFERROR(T74+T75+T76+T77+T78+T79+T80, "NA")</f>
        <v>505.4</v>
      </c>
      <c r="U81" s="67">
        <f>IFERROR(T81/T148, "NA")</f>
        <v>0.02716932608</v>
      </c>
      <c r="V81" s="66">
        <f>IFERROR(V74+V75+V76+V77+V78+V79+V80, "NA")</f>
        <v>479.28</v>
      </c>
      <c r="W81" s="67">
        <f>IFERROR(V81/V148, "NA")</f>
        <v>0.02281414431</v>
      </c>
      <c r="X81" s="66">
        <f>IFERROR(X74+X75+X76+X77+X78+X79+X80, "NA")</f>
        <v>423.82</v>
      </c>
      <c r="Y81" s="67">
        <f>IFERROR(X81/X148, "NA")</f>
        <v>0.02439007547</v>
      </c>
      <c r="Z81" s="66">
        <f>IFERROR(Z74+Z75+Z76+Z77+Z78+Z79+Z80, "NA")</f>
        <v>1855.15</v>
      </c>
      <c r="AA81" s="67">
        <f>IFERROR(Z81/Z148, "NA")</f>
        <v>0.02575582729</v>
      </c>
      <c r="AB81" s="66">
        <f t="shared" si="37"/>
        <v>463.7875</v>
      </c>
      <c r="AC81" s="67">
        <f>IFERROR(AB81/AB148, "NA")</f>
        <v>0.02575582729</v>
      </c>
      <c r="AD81" s="75">
        <f t="shared" si="38"/>
        <v>-39.9675</v>
      </c>
      <c r="AE81" s="76">
        <f>IFERROR(AD81/AD148, "NA")</f>
        <v>0.06340525105</v>
      </c>
      <c r="AF81" s="75">
        <f t="shared" si="39"/>
        <v>-0.08617631997</v>
      </c>
      <c r="AG81" s="66">
        <f t="shared" si="40"/>
        <v>496.5675</v>
      </c>
      <c r="AH81" s="67">
        <f>IFERROR(AG81/AG148, "NA")</f>
        <v>0.02472301017</v>
      </c>
      <c r="AI81" s="75">
        <f t="shared" si="41"/>
        <v>-72.7475</v>
      </c>
      <c r="AJ81" s="76">
        <f>IFERROR(AI81/AI148, "NA")</f>
        <v>0.02685899971</v>
      </c>
      <c r="AK81" s="75">
        <f t="shared" si="42"/>
        <v>-0.1465007275</v>
      </c>
      <c r="AL81" s="76">
        <f>IFERROR(AK81/AK148, "NA")</f>
        <v>1.086396824</v>
      </c>
    </row>
    <row r="82" ht="16.5" customHeight="1">
      <c r="A82" s="19" t="s">
        <v>145</v>
      </c>
      <c r="B82" s="21">
        <v>0.0</v>
      </c>
      <c r="C82" s="23">
        <f>IFERROR(B82/B148, "NA")</f>
        <v>0</v>
      </c>
      <c r="D82" s="21">
        <v>0.0</v>
      </c>
      <c r="E82" s="23">
        <f>IFERROR(D82/D148, "NA")</f>
        <v>0</v>
      </c>
      <c r="F82" s="21">
        <v>0.0</v>
      </c>
      <c r="G82" s="23">
        <f>IFERROR(F82/F148, "NA")</f>
        <v>0</v>
      </c>
      <c r="H82" s="21">
        <v>224.0</v>
      </c>
      <c r="I82" s="23">
        <f>IFERROR(H82/H148, "NA")</f>
        <v>0.01314024217</v>
      </c>
      <c r="J82" s="21">
        <v>0.0</v>
      </c>
      <c r="K82" s="23">
        <f>IFERROR(J82/J148, "NA")</f>
        <v>0</v>
      </c>
      <c r="L82" s="21">
        <v>0.0</v>
      </c>
      <c r="M82" s="23">
        <f>IFERROR(L82/L148, "NA")</f>
        <v>0</v>
      </c>
      <c r="N82" s="21">
        <v>0.0</v>
      </c>
      <c r="O82" s="23">
        <f>IFERROR(N82/N148, "NA")</f>
        <v>0</v>
      </c>
      <c r="P82" s="21">
        <v>0.0</v>
      </c>
      <c r="Q82" s="23">
        <f>IFERROR(P82/P148, "NA")</f>
        <v>0</v>
      </c>
      <c r="R82" s="21">
        <v>212.0</v>
      </c>
      <c r="S82" s="23">
        <f>IFERROR(R82/R148, "NA")</f>
        <v>0.01409411411</v>
      </c>
      <c r="T82" s="21">
        <v>0.0</v>
      </c>
      <c r="U82" s="23">
        <f>IFERROR(T82/T148, "NA")</f>
        <v>0</v>
      </c>
      <c r="V82" s="21">
        <v>0.0</v>
      </c>
      <c r="W82" s="23">
        <f>IFERROR(V82/V148, "NA")</f>
        <v>0</v>
      </c>
      <c r="X82" s="21">
        <v>0.0</v>
      </c>
      <c r="Y82" s="23">
        <f>IFERROR(X82/X148, "NA")</f>
        <v>0</v>
      </c>
      <c r="Z82" s="21">
        <v>212.0</v>
      </c>
      <c r="AA82" s="23">
        <f>IFERROR(Z82/Z148, "NA")</f>
        <v>0.002943285117</v>
      </c>
      <c r="AB82" s="28">
        <f t="shared" si="37"/>
        <v>53</v>
      </c>
      <c r="AC82" s="23">
        <f>IFERROR(AB82/AB148, "NA")</f>
        <v>0.002943285117</v>
      </c>
      <c r="AD82" s="29">
        <f t="shared" si="38"/>
        <v>-53</v>
      </c>
      <c r="AE82" s="30">
        <f>IFERROR(AD82/AD148, "NA")</f>
        <v>0.08408027286</v>
      </c>
      <c r="AF82" s="29">
        <f t="shared" si="39"/>
        <v>-1</v>
      </c>
      <c r="AG82" s="28">
        <f t="shared" si="40"/>
        <v>26.5</v>
      </c>
      <c r="AH82" s="23">
        <f>IFERROR(AG82/AG148, "NA")</f>
        <v>0.001319377062</v>
      </c>
      <c r="AI82" s="29">
        <f t="shared" si="41"/>
        <v>-26.5</v>
      </c>
      <c r="AJ82" s="30">
        <f>IFERROR(AI82/AI148, "NA")</f>
        <v>0.009784026838</v>
      </c>
      <c r="AK82" s="29">
        <f t="shared" si="42"/>
        <v>-1</v>
      </c>
      <c r="AL82" s="30">
        <f>IFERROR(AK82/AK148, "NA")</f>
        <v>7.415641151</v>
      </c>
    </row>
    <row r="83" ht="16.5" customHeight="1">
      <c r="A83" s="19" t="s">
        <v>147</v>
      </c>
      <c r="B83" s="21">
        <v>-165.93</v>
      </c>
      <c r="C83" s="23">
        <f>IFERROR(B83/B148, "NA")</f>
        <v>-0.005703714169</v>
      </c>
      <c r="D83" s="21">
        <v>554.86</v>
      </c>
      <c r="E83" s="23">
        <f>IFERROR(D83/D148, "NA")</f>
        <v>0.02261992605</v>
      </c>
      <c r="F83" s="21">
        <v>-165.93</v>
      </c>
      <c r="G83" s="23">
        <f>IFERROR(F83/F148, "NA")</f>
        <v>-0.005921175885</v>
      </c>
      <c r="H83" s="21">
        <v>-165.93</v>
      </c>
      <c r="I83" s="23">
        <f>IFERROR(H83/H148, "NA")</f>
        <v>-0.009733751709</v>
      </c>
      <c r="J83" s="21">
        <v>-274.9</v>
      </c>
      <c r="K83" s="23">
        <f>IFERROR(J83/J148, "NA")</f>
        <v>-0.01214190973</v>
      </c>
      <c r="L83" s="21">
        <v>-265.96</v>
      </c>
      <c r="M83" s="23">
        <f>IFERROR(L83/L148, "NA")</f>
        <v>-0.009088358625</v>
      </c>
      <c r="N83" s="21">
        <v>3054.57</v>
      </c>
      <c r="O83" s="23">
        <f>IFERROR(N83/N148, "NA")</f>
        <v>0.138546845</v>
      </c>
      <c r="P83" s="21">
        <v>-236.49</v>
      </c>
      <c r="Q83" s="23">
        <f>IFERROR(P83/P148, "NA")</f>
        <v>-0.01608564318</v>
      </c>
      <c r="R83" s="21">
        <v>-236.49</v>
      </c>
      <c r="S83" s="23">
        <f>IFERROR(R83/R148, "NA")</f>
        <v>-0.01572225022</v>
      </c>
      <c r="T83" s="21">
        <v>-236.49</v>
      </c>
      <c r="U83" s="23">
        <f>IFERROR(T83/T148, "NA")</f>
        <v>-0.0127132448</v>
      </c>
      <c r="V83" s="21">
        <v>2311.1</v>
      </c>
      <c r="W83" s="23">
        <f>IFERROR(V83/V148, "NA")</f>
        <v>0.1100103675</v>
      </c>
      <c r="X83" s="21">
        <v>-236.49</v>
      </c>
      <c r="Y83" s="23">
        <f>IFERROR(X83/X148, "NA")</f>
        <v>-0.01360957234</v>
      </c>
      <c r="Z83" s="21">
        <v>1601.63</v>
      </c>
      <c r="AA83" s="23">
        <f>IFERROR(Z83/Z148, "NA")</f>
        <v>0.02223610256</v>
      </c>
      <c r="AB83" s="28">
        <f t="shared" si="37"/>
        <v>400.4075</v>
      </c>
      <c r="AC83" s="23">
        <f>IFERROR(AB83/AB148, "NA")</f>
        <v>0.02223610256</v>
      </c>
      <c r="AD83" s="29">
        <f t="shared" si="38"/>
        <v>-636.8975</v>
      </c>
      <c r="AE83" s="30">
        <f>IFERROR(AD83/AD148, "NA")</f>
        <v>1.010387087</v>
      </c>
      <c r="AF83" s="29">
        <f t="shared" si="39"/>
        <v>-1.590623303</v>
      </c>
      <c r="AG83" s="28">
        <f t="shared" si="40"/>
        <v>484.85625</v>
      </c>
      <c r="AH83" s="23">
        <f>IFERROR(AG83/AG148, "NA")</f>
        <v>0.02413993263</v>
      </c>
      <c r="AI83" s="29">
        <f t="shared" si="41"/>
        <v>-721.34625</v>
      </c>
      <c r="AJ83" s="30">
        <f>IFERROR(AI83/AI148, "NA")</f>
        <v>0.2663272102</v>
      </c>
      <c r="AK83" s="29">
        <f t="shared" si="42"/>
        <v>-1.487752813</v>
      </c>
      <c r="AL83" s="30">
        <f>IFERROR(AK83/AK148, "NA")</f>
        <v>11.03264099</v>
      </c>
    </row>
    <row r="84" ht="16.5" customHeight="1">
      <c r="A84" s="65" t="s">
        <v>56</v>
      </c>
      <c r="B84" s="66">
        <f>IFERROR(B63+B65+B66+B67+B68+B69+B71+B72+B74+B75+B76+B77+B78+B79+B80+B82+B83, "NA")</f>
        <v>6842.12</v>
      </c>
      <c r="C84" s="67">
        <f>IFERROR(B84/B148, "NA")</f>
        <v>0.2351925317</v>
      </c>
      <c r="D84" s="66">
        <f>IFERROR(D63+D65+D66+D67+D68+D69+D71+D72+D74+D75+D76+D77+D78+D79+D80+D82+D83, "NA")</f>
        <v>7045.41</v>
      </c>
      <c r="E84" s="67">
        <f>IFERROR(D84/D148, "NA")</f>
        <v>0.2872195746</v>
      </c>
      <c r="F84" s="66">
        <f>IFERROR(F63+F65+F66+F67+F68+F69+F71+F72+F74+F75+F76+F77+F78+F79+F80+F82+F83, "NA")</f>
        <v>7396.94</v>
      </c>
      <c r="G84" s="67">
        <f>IFERROR(F84/F148, "NA")</f>
        <v>0.2639581917</v>
      </c>
      <c r="H84" s="66">
        <f>IFERROR(H63+H65+H66+H67+H68+H69+H71+H72+H74+H75+H76+H77+H78+H79+H80+H82+H83, "NA")</f>
        <v>5346.08</v>
      </c>
      <c r="I84" s="67">
        <f>IFERROR(H84/H148, "NA")</f>
        <v>0.3136106511</v>
      </c>
      <c r="J84" s="66">
        <f>IFERROR(J63+J65+J66+J67+J68+J69+J71+J72+J74+J75+J76+J77+J78+J79+J80+J82+J83, "NA")</f>
        <v>6548.93</v>
      </c>
      <c r="K84" s="67">
        <f>IFERROR(J84/J148, "NA")</f>
        <v>0.2892561545</v>
      </c>
      <c r="L84" s="66">
        <f>IFERROR(L63+L65+L66+L67+L68+L69+L71+L72+L74+L75+L76+L77+L78+L79+L80+L82+L83, "NA")</f>
        <v>7349.22</v>
      </c>
      <c r="M84" s="67">
        <f>IFERROR(L84/L148, "NA")</f>
        <v>0.2511368137</v>
      </c>
      <c r="N84" s="66">
        <f>IFERROR(N63+N65+N66+N67+N68+N69+N71+N72+N74+N75+N76+N77+N78+N79+N80+N82+N83, "NA")</f>
        <v>9756.52</v>
      </c>
      <c r="O84" s="67">
        <f>IFERROR(N84/N148, "NA")</f>
        <v>0.4425287565</v>
      </c>
      <c r="P84" s="66">
        <f>IFERROR(P63+P65+P66+P67+P68+P69+P71+P72+P74+P75+P76+P77+P78+P79+P80+P82+P83, "NA")</f>
        <v>5794.09</v>
      </c>
      <c r="Q84" s="67">
        <f>IFERROR(P84/P148, "NA")</f>
        <v>0.3941040394</v>
      </c>
      <c r="R84" s="66">
        <f>IFERROR(R63+R65+R66+R67+R68+R69+R71+R72+R74+R75+R76+R77+R78+R79+R80+R82+R83, "NA")</f>
        <v>5306.6</v>
      </c>
      <c r="S84" s="67">
        <f>IFERROR(R84/R148, "NA")</f>
        <v>0.3527916318</v>
      </c>
      <c r="T84" s="66">
        <f>IFERROR(T63+T65+T66+T67+T68+T69+T71+T72+T74+T75+T76+T77+T78+T79+T80+T82+T83, "NA")</f>
        <v>5738.23</v>
      </c>
      <c r="U84" s="67">
        <f>IFERROR(T84/T148, "NA")</f>
        <v>0.3084761416</v>
      </c>
      <c r="V84" s="66">
        <f>IFERROR(V63+V65+V66+V67+V68+V69+V71+V72+V74+V75+V76+V77+V78+V79+V80+V82+V83, "NA")</f>
        <v>8032.73</v>
      </c>
      <c r="W84" s="67">
        <f>IFERROR(V84/V148, "NA")</f>
        <v>0.3823649254</v>
      </c>
      <c r="X84" s="66">
        <f>IFERROR(X63+X65+X66+X67+X68+X69+X71+X72+X74+X75+X76+X77+X78+X79+X80+X82+X83, "NA")</f>
        <v>5273.7</v>
      </c>
      <c r="Y84" s="67">
        <f>IFERROR(X84/X148, "NA")</f>
        <v>0.3034919093</v>
      </c>
      <c r="Z84" s="66">
        <f>IFERROR(Z63+Z65+Z66+Z67+Z68+Z69+Z71+Z72+Z74+Z75+Z76+Z77+Z78+Z79+Z80+Z82+Z83, "NA")</f>
        <v>24351.26</v>
      </c>
      <c r="AA84" s="67">
        <f>IFERROR(Z84/Z148, "NA")</f>
        <v>0.338078779</v>
      </c>
      <c r="AB84" s="66">
        <f t="shared" si="37"/>
        <v>6087.815</v>
      </c>
      <c r="AC84" s="67">
        <f>IFERROR(AB84/AB148, "NA")</f>
        <v>0.338078779</v>
      </c>
      <c r="AD84" s="75">
        <f t="shared" si="38"/>
        <v>-814.115</v>
      </c>
      <c r="AE84" s="76">
        <f>IFERROR(AD84/AD148, "NA")</f>
        <v>1.291528516</v>
      </c>
      <c r="AF84" s="75">
        <f t="shared" si="39"/>
        <v>-0.1337286038</v>
      </c>
      <c r="AG84" s="66">
        <f t="shared" si="40"/>
        <v>6725.0025</v>
      </c>
      <c r="AH84" s="67">
        <f>IFERROR(AG84/AG148, "NA")</f>
        <v>0.3348231714</v>
      </c>
      <c r="AI84" s="75">
        <f t="shared" si="41"/>
        <v>-1451.3025</v>
      </c>
      <c r="AJ84" s="76">
        <f>IFERROR(AI84/AI148, "NA")</f>
        <v>0.535833306</v>
      </c>
      <c r="AK84" s="75">
        <f t="shared" si="42"/>
        <v>-0.215806983</v>
      </c>
      <c r="AL84" s="76">
        <f>IFERROR(AK84/AK148, "NA")</f>
        <v>1.600347144</v>
      </c>
    </row>
    <row r="85" ht="16.5" customHeight="1">
      <c r="A85" s="65" t="s">
        <v>56</v>
      </c>
      <c r="B85" s="118">
        <f>IFERROR(B63+B65+B66+B67+B68+B69+B71+B72+B74+B75+B76+B77+B78+B79+B80+B82+B83, "NA")</f>
        <v>6842.12</v>
      </c>
      <c r="C85" s="92">
        <f>IFERROR(B85/B148, "NA")</f>
        <v>0.2351925317</v>
      </c>
      <c r="D85" s="118">
        <f>IFERROR(D63+D65+D66+D67+D68+D69+D71+D72+D74+D75+D76+D77+D78+D79+D80+D82+D83, "NA")</f>
        <v>7045.41</v>
      </c>
      <c r="E85" s="92">
        <f>IFERROR(D85/D148, "NA")</f>
        <v>0.2872195746</v>
      </c>
      <c r="F85" s="118">
        <f>IFERROR(F63+F65+F66+F67+F68+F69+F71+F72+F74+F75+F76+F77+F78+F79+F80+F82+F83, "NA")</f>
        <v>7396.94</v>
      </c>
      <c r="G85" s="92">
        <f>IFERROR(F85/F148, "NA")</f>
        <v>0.2639581917</v>
      </c>
      <c r="H85" s="118">
        <f>IFERROR(H63+H65+H66+H67+H68+H69+H71+H72+H74+H75+H76+H77+H78+H79+H80+H82+H83, "NA")</f>
        <v>5346.08</v>
      </c>
      <c r="I85" s="92">
        <f>IFERROR(H85/H148, "NA")</f>
        <v>0.3136106511</v>
      </c>
      <c r="J85" s="118">
        <f>IFERROR(J63+J65+J66+J67+J68+J69+J71+J72+J74+J75+J76+J77+J78+J79+J80+J82+J83, "NA")</f>
        <v>6548.93</v>
      </c>
      <c r="K85" s="92">
        <f>IFERROR(J85/J148, "NA")</f>
        <v>0.2892561545</v>
      </c>
      <c r="L85" s="118">
        <f>IFERROR(L63+L65+L66+L67+L68+L69+L71+L72+L74+L75+L76+L77+L78+L79+L80+L82+L83, "NA")</f>
        <v>7349.22</v>
      </c>
      <c r="M85" s="92">
        <f>IFERROR(L85/L148, "NA")</f>
        <v>0.2511368137</v>
      </c>
      <c r="N85" s="118">
        <f>IFERROR(N63+N65+N66+N67+N68+N69+N71+N72+N74+N75+N76+N77+N78+N79+N80+N82+N83, "NA")</f>
        <v>9756.52</v>
      </c>
      <c r="O85" s="92">
        <f>IFERROR(N85/N148, "NA")</f>
        <v>0.4425287565</v>
      </c>
      <c r="P85" s="118">
        <f>IFERROR(P63+P65+P66+P67+P68+P69+P71+P72+P74+P75+P76+P77+P78+P79+P80+P82+P83, "NA")</f>
        <v>5794.09</v>
      </c>
      <c r="Q85" s="92">
        <f>IFERROR(P85/P148, "NA")</f>
        <v>0.3941040394</v>
      </c>
      <c r="R85" s="118">
        <f>IFERROR(R63+R65+R66+R67+R68+R69+R71+R72+R74+R75+R76+R77+R78+R79+R80+R82+R83, "NA")</f>
        <v>5306.6</v>
      </c>
      <c r="S85" s="92">
        <f>IFERROR(R85/R148, "NA")</f>
        <v>0.3527916318</v>
      </c>
      <c r="T85" s="118">
        <f>IFERROR(T63+T65+T66+T67+T68+T69+T71+T72+T74+T75+T76+T77+T78+T79+T80+T82+T83, "NA")</f>
        <v>5738.23</v>
      </c>
      <c r="U85" s="92">
        <f>IFERROR(T85/T148, "NA")</f>
        <v>0.3084761416</v>
      </c>
      <c r="V85" s="118">
        <f>IFERROR(V63+V65+V66+V67+V68+V69+V71+V72+V74+V75+V76+V77+V78+V79+V80+V82+V83, "NA")</f>
        <v>8032.73</v>
      </c>
      <c r="W85" s="92">
        <f>IFERROR(V85/V148, "NA")</f>
        <v>0.3823649254</v>
      </c>
      <c r="X85" s="118">
        <f>IFERROR(X63+X65+X66+X67+X68+X69+X71+X72+X74+X75+X76+X77+X78+X79+X80+X82+X83, "NA")</f>
        <v>5273.7</v>
      </c>
      <c r="Y85" s="92">
        <f>IFERROR(X85/X148, "NA")</f>
        <v>0.3034919093</v>
      </c>
      <c r="Z85" s="118">
        <f>IFERROR(Z63+Z65+Z66+Z67+Z68+Z69+Z71+Z72+Z74+Z75+Z76+Z77+Z78+Z79+Z80+Z82+Z83, "NA")</f>
        <v>24351.26</v>
      </c>
      <c r="AA85" s="92">
        <f>IFERROR(Z85/Z148, "NA")</f>
        <v>0.338078779</v>
      </c>
      <c r="AB85" s="118">
        <f t="shared" si="37"/>
        <v>6087.815</v>
      </c>
      <c r="AC85" s="92">
        <f>IFERROR(AB85/AB148, "NA")</f>
        <v>0.338078779</v>
      </c>
      <c r="AD85" s="119">
        <f t="shared" si="38"/>
        <v>-814.115</v>
      </c>
      <c r="AE85" s="120">
        <f>IFERROR(AD85/AD148, "NA")</f>
        <v>1.291528516</v>
      </c>
      <c r="AF85" s="119">
        <f t="shared" si="39"/>
        <v>-0.1337286038</v>
      </c>
      <c r="AG85" s="118">
        <f t="shared" si="40"/>
        <v>6725.0025</v>
      </c>
      <c r="AH85" s="92">
        <f>IFERROR(AG85/AG148, "NA")</f>
        <v>0.3348231714</v>
      </c>
      <c r="AI85" s="119">
        <f t="shared" si="41"/>
        <v>-1451.3025</v>
      </c>
      <c r="AJ85" s="120">
        <f>IFERROR(AI85/AI148, "NA")</f>
        <v>0.535833306</v>
      </c>
      <c r="AK85" s="119">
        <f t="shared" si="42"/>
        <v>-0.215806983</v>
      </c>
      <c r="AL85" s="120">
        <f>IFERROR(AK85/AK148, "NA")</f>
        <v>1.600347144</v>
      </c>
    </row>
    <row r="86" ht="3.75" customHeight="1">
      <c r="A86" s="123"/>
      <c r="B86" s="124"/>
      <c r="C86" s="74"/>
      <c r="D86" s="124"/>
      <c r="E86" s="74"/>
      <c r="F86" s="124"/>
      <c r="G86" s="74"/>
      <c r="H86" s="124"/>
      <c r="I86" s="74"/>
      <c r="J86" s="124"/>
      <c r="K86" s="74"/>
      <c r="L86" s="124"/>
      <c r="M86" s="74"/>
      <c r="N86" s="124"/>
      <c r="O86" s="74"/>
      <c r="P86" s="124"/>
      <c r="Q86" s="74"/>
      <c r="R86" s="124"/>
      <c r="S86" s="74"/>
      <c r="T86" s="124"/>
      <c r="U86" s="74"/>
      <c r="V86" s="124"/>
      <c r="W86" s="74"/>
      <c r="X86" s="124"/>
      <c r="Y86" s="74"/>
      <c r="Z86" s="124"/>
      <c r="AA86" s="74"/>
      <c r="AB86" s="124"/>
      <c r="AC86" s="74"/>
      <c r="AD86" s="125"/>
      <c r="AE86" s="80"/>
      <c r="AF86" s="125"/>
      <c r="AG86" s="124"/>
      <c r="AH86" s="74"/>
      <c r="AI86" s="125"/>
      <c r="AJ86" s="80"/>
      <c r="AK86" s="125"/>
      <c r="AL86" s="80"/>
    </row>
    <row r="87" ht="16.5" customHeight="1">
      <c r="A87" s="121" t="s">
        <v>57</v>
      </c>
      <c r="B87" s="122">
        <f>IFERROR(B59-B85, "NA")</f>
        <v>14342.63</v>
      </c>
      <c r="C87" s="94">
        <f>IFERROR(B87/B148, "NA")</f>
        <v>0.4930167055</v>
      </c>
      <c r="D87" s="122">
        <f>IFERROR(D59-D85, "NA")</f>
        <v>11616.98</v>
      </c>
      <c r="E87" s="94">
        <f>IFERROR(D87/D148, "NA")</f>
        <v>0.4735883439</v>
      </c>
      <c r="F87" s="122">
        <f>IFERROR(F59-F85, "NA")</f>
        <v>13477.73</v>
      </c>
      <c r="G87" s="94">
        <f>IFERROR(F87/F148, "NA")</f>
        <v>0.4809498575</v>
      </c>
      <c r="H87" s="122">
        <f>IFERROR(H59-H85, "NA")</f>
        <v>5794.19</v>
      </c>
      <c r="I87" s="94">
        <f>IFERROR(H87/H148, "NA")</f>
        <v>0.3398975882</v>
      </c>
      <c r="J87" s="122">
        <f>IFERROR(J59-J85, "NA")</f>
        <v>9320.86</v>
      </c>
      <c r="K87" s="94">
        <f>IFERROR(J87/J148, "NA")</f>
        <v>0.4116880346</v>
      </c>
      <c r="L87" s="122">
        <f>IFERROR(L59-L85, "NA")</f>
        <v>14004.33</v>
      </c>
      <c r="M87" s="94">
        <f>IFERROR(L87/L148, "NA")</f>
        <v>0.4785545696</v>
      </c>
      <c r="N87" s="122">
        <f>IFERROR(N59-N85, "NA")</f>
        <v>5839.52</v>
      </c>
      <c r="O87" s="94">
        <f>IFERROR(N87/N148, "NA")</f>
        <v>0.2648644726</v>
      </c>
      <c r="P87" s="122">
        <f>IFERROR(P59-P85, "NA")</f>
        <v>4619.32</v>
      </c>
      <c r="Q87" s="94">
        <f>IFERROR(P87/P148, "NA")</f>
        <v>0.3141982039</v>
      </c>
      <c r="R87" s="122">
        <f>IFERROR(R59-R85, "NA")</f>
        <v>5179.02</v>
      </c>
      <c r="S87" s="94">
        <f>IFERROR(R87/R148, "NA")</f>
        <v>0.3443099003</v>
      </c>
      <c r="T87" s="122">
        <f>IFERROR(T59-T85, "NA")</f>
        <v>7396.46</v>
      </c>
      <c r="U87" s="94">
        <f>IFERROR(T87/T148, "NA")</f>
        <v>0.3976193778</v>
      </c>
      <c r="V87" s="122">
        <f>IFERROR(V59-V85, "NA")</f>
        <v>7249.38</v>
      </c>
      <c r="W87" s="94">
        <f>IFERROR(V87/V148, "NA")</f>
        <v>0.345076785</v>
      </c>
      <c r="X87" s="122">
        <f>IFERROR(X59-X85, "NA")</f>
        <v>7245.65</v>
      </c>
      <c r="Y87" s="94">
        <f>IFERROR(X87/X148, "NA")</f>
        <v>0.4169740699</v>
      </c>
      <c r="Z87" s="122">
        <f>IFERROR(Z59-Z85, "NA")</f>
        <v>27070.51</v>
      </c>
      <c r="AA87" s="94">
        <f>IFERROR(Z87/Z148, "NA")</f>
        <v>0.3758312698</v>
      </c>
      <c r="AB87" s="122">
        <f>IFERROR((R87+T87+V87+X87)/4, "NA")</f>
        <v>6767.6275</v>
      </c>
      <c r="AC87" s="94">
        <f>IFERROR(AB87/AB148, "NA")</f>
        <v>0.3758312698</v>
      </c>
      <c r="AD87" s="75">
        <f>IFERROR(X87-AB87, "NA")</f>
        <v>478.0225</v>
      </c>
      <c r="AE87" s="76">
        <f>IFERROR(AD87/AD148, "NA")</f>
        <v>-0.7583445705</v>
      </c>
      <c r="AF87" s="75">
        <f>IFERROR((X87-AB87)/AB87, "NA")</f>
        <v>0.07063368958</v>
      </c>
      <c r="AG87" s="122">
        <f>IFERROR((J87+L87+N87+P87+R87+T87+V87+X87)/8, "NA")</f>
        <v>7606.8175</v>
      </c>
      <c r="AH87" s="94">
        <f>IFERROR(AG87/AG148, "NA")</f>
        <v>0.3787268123</v>
      </c>
      <c r="AI87" s="75">
        <f>IFERROR(X87-AG87, "NA")</f>
        <v>-361.1675</v>
      </c>
      <c r="AJ87" s="76">
        <f>IFERROR(AI87/AI148, "NA")</f>
        <v>0.1333461326</v>
      </c>
      <c r="AK87" s="75">
        <f>IFERROR((X87-AG87)/AG87, "NA")</f>
        <v>-0.04747944853</v>
      </c>
      <c r="AL87" s="76">
        <f>IFERROR(AK87/AK148, "NA")</f>
        <v>0.3520905524</v>
      </c>
    </row>
    <row r="88" ht="3.75" customHeight="1">
      <c r="A88" s="123"/>
      <c r="B88" s="124"/>
      <c r="C88" s="74"/>
      <c r="D88" s="124"/>
      <c r="E88" s="74"/>
      <c r="F88" s="124"/>
      <c r="G88" s="74"/>
      <c r="H88" s="124"/>
      <c r="I88" s="74"/>
      <c r="J88" s="124"/>
      <c r="K88" s="74"/>
      <c r="L88" s="124"/>
      <c r="M88" s="74"/>
      <c r="N88" s="124"/>
      <c r="O88" s="74"/>
      <c r="P88" s="124"/>
      <c r="Q88" s="74"/>
      <c r="R88" s="124"/>
      <c r="S88" s="74"/>
      <c r="T88" s="124"/>
      <c r="U88" s="74"/>
      <c r="V88" s="124"/>
      <c r="W88" s="74"/>
      <c r="X88" s="124"/>
      <c r="Y88" s="74"/>
      <c r="Z88" s="124"/>
      <c r="AA88" s="74"/>
      <c r="AB88" s="124"/>
      <c r="AC88" s="74"/>
      <c r="AD88" s="125"/>
      <c r="AE88" s="80"/>
      <c r="AF88" s="125"/>
      <c r="AG88" s="124"/>
      <c r="AH88" s="74"/>
      <c r="AI88" s="125"/>
      <c r="AJ88" s="80"/>
      <c r="AK88" s="125"/>
      <c r="AL88" s="80"/>
    </row>
    <row r="89" ht="16.5" hidden="1" customHeight="1">
      <c r="A89" s="13" t="s">
        <v>203</v>
      </c>
      <c r="B89" s="14"/>
      <c r="C89" s="12"/>
      <c r="D89" s="14"/>
      <c r="E89" s="12"/>
      <c r="F89" s="14"/>
      <c r="G89" s="12"/>
      <c r="H89" s="14"/>
      <c r="I89" s="12"/>
      <c r="J89" s="14"/>
      <c r="K89" s="12"/>
      <c r="L89" s="14"/>
      <c r="M89" s="12"/>
      <c r="N89" s="14"/>
      <c r="O89" s="12"/>
      <c r="P89" s="14"/>
      <c r="Q89" s="12"/>
      <c r="R89" s="14"/>
      <c r="S89" s="12"/>
      <c r="T89" s="14"/>
      <c r="U89" s="12"/>
      <c r="V89" s="14"/>
      <c r="W89" s="12"/>
      <c r="X89" s="14"/>
      <c r="Y89" s="12"/>
      <c r="Z89" s="14"/>
      <c r="AA89" s="12"/>
      <c r="AB89" s="14"/>
      <c r="AC89" s="12"/>
      <c r="AD89" s="17"/>
      <c r="AE89" s="18"/>
      <c r="AF89" s="17"/>
      <c r="AG89" s="14"/>
      <c r="AH89" s="12"/>
      <c r="AI89" s="17"/>
      <c r="AJ89" s="18"/>
      <c r="AK89" s="17"/>
      <c r="AL89" s="18"/>
    </row>
    <row r="90" ht="16.5" hidden="1" customHeight="1">
      <c r="A90" s="19" t="s">
        <v>204</v>
      </c>
      <c r="B90" s="21">
        <v>1039.3</v>
      </c>
      <c r="C90" s="23">
        <f>IFERROR(B90/B148, "NA")</f>
        <v>0.03572512587</v>
      </c>
      <c r="D90" s="21">
        <v>502.07</v>
      </c>
      <c r="E90" s="23">
        <f>IFERROR(D90/D148, "NA")</f>
        <v>0.02046784103</v>
      </c>
      <c r="F90" s="21">
        <v>639.62</v>
      </c>
      <c r="G90" s="23">
        <f>IFERROR(F90/F148, "NA")</f>
        <v>0.02282470029</v>
      </c>
      <c r="H90" s="21">
        <v>725.08</v>
      </c>
      <c r="I90" s="23">
        <f>IFERROR(H90/H148, "NA")</f>
        <v>0.0425344946</v>
      </c>
      <c r="J90" s="21">
        <v>677.13</v>
      </c>
      <c r="K90" s="23">
        <f>IFERROR(J90/J148, "NA")</f>
        <v>0.02990778951</v>
      </c>
      <c r="L90" s="21">
        <v>497.06</v>
      </c>
      <c r="M90" s="23">
        <f>IFERROR(L90/L148, "NA")</f>
        <v>0.0169854848</v>
      </c>
      <c r="N90" s="21">
        <v>706.59</v>
      </c>
      <c r="O90" s="23">
        <f>IFERROR(N90/N148, "NA")</f>
        <v>0.03204896767</v>
      </c>
      <c r="P90" s="21">
        <v>569.46</v>
      </c>
      <c r="Q90" s="23">
        <f>IFERROR(P90/P148, "NA")</f>
        <v>0.03873369007</v>
      </c>
      <c r="R90" s="21">
        <v>428.16</v>
      </c>
      <c r="S90" s="23">
        <f>IFERROR(R90/R148, "NA")</f>
        <v>0.02846479197</v>
      </c>
      <c r="T90" s="21">
        <v>886.61</v>
      </c>
      <c r="U90" s="23">
        <f>IFERROR(T90/T148, "NA")</f>
        <v>0.04766243806</v>
      </c>
      <c r="V90" s="21">
        <v>355.86</v>
      </c>
      <c r="W90" s="23">
        <f>IFERROR(V90/V148, "NA")</f>
        <v>0.01693924511</v>
      </c>
      <c r="X90" s="21">
        <v>413.26</v>
      </c>
      <c r="Y90" s="23">
        <f>IFERROR(X90/X148, "NA")</f>
        <v>0.02378236654</v>
      </c>
      <c r="Z90" s="21">
        <v>2083.89</v>
      </c>
      <c r="AA90" s="23">
        <f>IFERROR(Z90/Z148, "NA")</f>
        <v>0.02893152086</v>
      </c>
      <c r="AB90" s="28">
        <f t="shared" ref="AB90:AB99" si="43">IFERROR((R90+T90+V90+X90)/4, "NA")</f>
        <v>520.9725</v>
      </c>
      <c r="AC90" s="23">
        <f>IFERROR(AB90/AB148, "NA")</f>
        <v>0.02893152086</v>
      </c>
      <c r="AD90" s="29">
        <f t="shared" ref="AD90:AD99" si="44">IFERROR(X90-AB90, "NA")</f>
        <v>-107.7125</v>
      </c>
      <c r="AE90" s="30">
        <f>IFERROR(AD90/AD148, "NA")</f>
        <v>0.1708772904</v>
      </c>
      <c r="AF90" s="29">
        <f t="shared" ref="AF90:AF99" si="45">IFERROR((X90-AB90)/AB90, "NA")</f>
        <v>-0.2067527557</v>
      </c>
      <c r="AG90" s="28">
        <f t="shared" ref="AG90:AG99" si="46">IFERROR((J90+L90+N90+P90+R90+T90+V90+X90)/8, "NA")</f>
        <v>566.76625</v>
      </c>
      <c r="AH90" s="23">
        <f>IFERROR(AG90/AG148, "NA")</f>
        <v>0.02821805245</v>
      </c>
      <c r="AI90" s="29">
        <f t="shared" ref="AI90:AI99" si="47">IFERROR(X90-AG90, "NA")</f>
        <v>-153.50625</v>
      </c>
      <c r="AJ90" s="30">
        <f>IFERROR(AI90/AI148, "NA")</f>
        <v>0.0566758215</v>
      </c>
      <c r="AK90" s="29">
        <f t="shared" ref="AK90:AK99" si="48">IFERROR((X90-AG90)/AG90, "NA")</f>
        <v>-0.2708457852</v>
      </c>
      <c r="AL90" s="30">
        <f>IFERROR(AK90/AK148, "NA")</f>
        <v>2.00849515</v>
      </c>
    </row>
    <row r="91" ht="16.5" hidden="1" customHeight="1">
      <c r="A91" s="19" t="s">
        <v>205</v>
      </c>
      <c r="B91" s="21">
        <v>725.94</v>
      </c>
      <c r="C91" s="23">
        <f>IFERROR(B91/B148, "NA")</f>
        <v>0.02495362058</v>
      </c>
      <c r="D91" s="21">
        <v>785.75</v>
      </c>
      <c r="E91" s="23">
        <f>IFERROR(D91/D148, "NA")</f>
        <v>0.03203259722</v>
      </c>
      <c r="F91" s="21">
        <v>935.19</v>
      </c>
      <c r="G91" s="23">
        <f>IFERROR(F91/F148, "NA")</f>
        <v>0.03337205132</v>
      </c>
      <c r="H91" s="21">
        <v>742.76</v>
      </c>
      <c r="I91" s="23">
        <f>IFERROR(H91/H148, "NA")</f>
        <v>0.04357163514</v>
      </c>
      <c r="J91" s="21">
        <v>671.73</v>
      </c>
      <c r="K91" s="23">
        <f>IFERROR(J91/J148, "NA")</f>
        <v>0.02966927982</v>
      </c>
      <c r="L91" s="21">
        <v>663.41</v>
      </c>
      <c r="M91" s="23">
        <f>IFERROR(L91/L148, "NA")</f>
        <v>0.02266998043</v>
      </c>
      <c r="N91" s="21">
        <v>673.88</v>
      </c>
      <c r="O91" s="23">
        <f>IFERROR(N91/N148, "NA")</f>
        <v>0.03056533256</v>
      </c>
      <c r="P91" s="21">
        <v>338.72</v>
      </c>
      <c r="Q91" s="23">
        <f>IFERROR(P91/P148, "NA")</f>
        <v>0.023039152</v>
      </c>
      <c r="R91" s="21">
        <v>406.94</v>
      </c>
      <c r="S91" s="23">
        <f>IFERROR(R91/R148, "NA")</f>
        <v>0.02705405093</v>
      </c>
      <c r="T91" s="21">
        <v>329.86</v>
      </c>
      <c r="U91" s="23">
        <f>IFERROR(T91/T148, "NA")</f>
        <v>0.01773263534</v>
      </c>
      <c r="V91" s="21">
        <v>413.19</v>
      </c>
      <c r="W91" s="23">
        <f>IFERROR(V91/V148, "NA")</f>
        <v>0.01966820291</v>
      </c>
      <c r="X91" s="21">
        <v>607.92</v>
      </c>
      <c r="Y91" s="23">
        <f>IFERROR(X91/X148, "NA")</f>
        <v>0.03498469794</v>
      </c>
      <c r="Z91" s="21">
        <v>1757.91</v>
      </c>
      <c r="AA91" s="23">
        <f>IFERROR(Z91/Z148, "NA")</f>
        <v>0.02440580349</v>
      </c>
      <c r="AB91" s="28">
        <f t="shared" si="43"/>
        <v>439.4775</v>
      </c>
      <c r="AC91" s="23">
        <f>IFERROR(AB91/AB148, "NA")</f>
        <v>0.02440580349</v>
      </c>
      <c r="AD91" s="29">
        <f t="shared" si="44"/>
        <v>168.4425</v>
      </c>
      <c r="AE91" s="30">
        <f>IFERROR(AD91/AD148, "NA")</f>
        <v>-0.2672205917</v>
      </c>
      <c r="AF91" s="29">
        <f t="shared" si="45"/>
        <v>0.3832790075</v>
      </c>
      <c r="AG91" s="28">
        <f t="shared" si="46"/>
        <v>513.20625</v>
      </c>
      <c r="AH91" s="23">
        <f>IFERROR(AG91/AG148, "NA")</f>
        <v>0.02555141715</v>
      </c>
      <c r="AI91" s="29">
        <f t="shared" si="47"/>
        <v>94.71375</v>
      </c>
      <c r="AJ91" s="30">
        <f>IFERROR(AI91/AI148, "NA")</f>
        <v>-0.03496912724</v>
      </c>
      <c r="AK91" s="29">
        <f t="shared" si="48"/>
        <v>0.184552994</v>
      </c>
      <c r="AL91" s="30">
        <f>IFERROR(AK91/AK148, "NA")</f>
        <v>-1.368578777</v>
      </c>
    </row>
    <row r="92" ht="16.5" hidden="1" customHeight="1">
      <c r="A92" s="19" t="s">
        <v>206</v>
      </c>
      <c r="B92" s="21">
        <v>235.89</v>
      </c>
      <c r="C92" s="23">
        <f>IFERROR(B92/B148, "NA")</f>
        <v>0.008108534534</v>
      </c>
      <c r="D92" s="21">
        <v>472.68</v>
      </c>
      <c r="E92" s="23">
        <f>IFERROR(D92/D148, "NA")</f>
        <v>0.01926970163</v>
      </c>
      <c r="F92" s="21">
        <v>221.53</v>
      </c>
      <c r="G92" s="23">
        <f>IFERROR(F92/F148, "NA")</f>
        <v>0.007905249767</v>
      </c>
      <c r="H92" s="21">
        <v>232.68</v>
      </c>
      <c r="I92" s="23">
        <f>IFERROR(H92/H148, "NA")</f>
        <v>0.01364942655</v>
      </c>
      <c r="J92" s="21">
        <v>465.63</v>
      </c>
      <c r="K92" s="23">
        <f>IFERROR(J92/J148, "NA")</f>
        <v>0.02056616016</v>
      </c>
      <c r="L92" s="21">
        <v>500.26</v>
      </c>
      <c r="M92" s="23">
        <f>IFERROR(L92/L148, "NA")</f>
        <v>0.01709483488</v>
      </c>
      <c r="N92" s="21">
        <v>351.39</v>
      </c>
      <c r="O92" s="23">
        <f>IFERROR(N92/N148, "NA")</f>
        <v>0.0159380783</v>
      </c>
      <c r="P92" s="21">
        <v>94.3</v>
      </c>
      <c r="Q92" s="23">
        <f>IFERROR(P92/P148, "NA")</f>
        <v>0.00641412386</v>
      </c>
      <c r="R92" s="21">
        <v>114.97</v>
      </c>
      <c r="S92" s="23">
        <f>IFERROR(R92/R148, "NA")</f>
        <v>0.007643397639</v>
      </c>
      <c r="T92" s="21">
        <v>224.99</v>
      </c>
      <c r="U92" s="23">
        <f>IFERROR(T92/T148, "NA")</f>
        <v>0.01209502706</v>
      </c>
      <c r="V92" s="21">
        <v>321.14</v>
      </c>
      <c r="W92" s="23">
        <f>IFERROR(V92/V148, "NA")</f>
        <v>0.01528654295</v>
      </c>
      <c r="X92" s="21">
        <v>423.22</v>
      </c>
      <c r="Y92" s="23">
        <f>IFERROR(X92/X148, "NA")</f>
        <v>0.02435554655</v>
      </c>
      <c r="Z92" s="21">
        <v>1084.32</v>
      </c>
      <c r="AA92" s="23">
        <f>IFERROR(Z92/Z148, "NA")</f>
        <v>0.01505407037</v>
      </c>
      <c r="AB92" s="28">
        <f t="shared" si="43"/>
        <v>271.08</v>
      </c>
      <c r="AC92" s="23">
        <f>IFERROR(AB92/AB148, "NA")</f>
        <v>0.01505407037</v>
      </c>
      <c r="AD92" s="29">
        <f t="shared" si="44"/>
        <v>152.14</v>
      </c>
      <c r="AE92" s="30">
        <f>IFERROR(AD92/AD148, "NA")</f>
        <v>-0.2413579757</v>
      </c>
      <c r="AF92" s="29">
        <f t="shared" si="45"/>
        <v>0.5612365353</v>
      </c>
      <c r="AG92" s="28">
        <f t="shared" si="46"/>
        <v>311.9875</v>
      </c>
      <c r="AH92" s="23">
        <f>IFERROR(AG92/AG148, "NA")</f>
        <v>0.01553317552</v>
      </c>
      <c r="AI92" s="29">
        <f t="shared" si="47"/>
        <v>111.2325</v>
      </c>
      <c r="AJ92" s="30">
        <f>IFERROR(AI92/AI148, "NA")</f>
        <v>-0.04106799114</v>
      </c>
      <c r="AK92" s="29">
        <f t="shared" si="48"/>
        <v>0.3565287071</v>
      </c>
      <c r="AL92" s="30">
        <f>IFERROR(AK92/AK148, "NA")</f>
        <v>-2.643888952</v>
      </c>
    </row>
    <row r="93" ht="16.5" hidden="1" customHeight="1">
      <c r="A93" s="19" t="s">
        <v>207</v>
      </c>
      <c r="B93" s="21">
        <v>2249.63</v>
      </c>
      <c r="C93" s="23">
        <f>IFERROR(B93/B148, "NA")</f>
        <v>0.07732927443</v>
      </c>
      <c r="D93" s="21">
        <v>1885.14</v>
      </c>
      <c r="E93" s="23">
        <f>IFERROR(D93/D148, "NA")</f>
        <v>0.07685132717</v>
      </c>
      <c r="F93" s="21">
        <v>2297.29</v>
      </c>
      <c r="G93" s="23">
        <f>IFERROR(F93/F148, "NA")</f>
        <v>0.08197829295</v>
      </c>
      <c r="H93" s="21">
        <v>773.53</v>
      </c>
      <c r="I93" s="23">
        <f>IFERROR(H93/H148, "NA")</f>
        <v>0.04537665859</v>
      </c>
      <c r="J93" s="21">
        <v>1438.29</v>
      </c>
      <c r="K93" s="23">
        <f>IFERROR(J93/J148, "NA")</f>
        <v>0.06352705473</v>
      </c>
      <c r="L93" s="21">
        <v>2349.7</v>
      </c>
      <c r="M93" s="23">
        <f>IFERROR(L93/L148, "NA")</f>
        <v>0.08029371432</v>
      </c>
      <c r="N93" s="21">
        <v>1597.02</v>
      </c>
      <c r="O93" s="23">
        <f>IFERROR(N93/N148, "NA")</f>
        <v>0.07243640916</v>
      </c>
      <c r="P93" s="21">
        <v>783.21</v>
      </c>
      <c r="Q93" s="23">
        <f>IFERROR(P93/P148, "NA")</f>
        <v>0.05327259754</v>
      </c>
      <c r="R93" s="21">
        <v>536.88</v>
      </c>
      <c r="S93" s="23">
        <f>IFERROR(R93/R148, "NA")</f>
        <v>0.03569267917</v>
      </c>
      <c r="T93" s="21">
        <v>1052.99</v>
      </c>
      <c r="U93" s="23">
        <f>IFERROR(T93/T148, "NA")</f>
        <v>0.05660670492</v>
      </c>
      <c r="V93" s="21">
        <v>1410.7</v>
      </c>
      <c r="W93" s="23">
        <f>IFERROR(V93/V148, "NA")</f>
        <v>0.06715054536</v>
      </c>
      <c r="X93" s="21">
        <v>1105.51</v>
      </c>
      <c r="Y93" s="23">
        <f>IFERROR(X93/X148, "NA")</f>
        <v>0.06362010366</v>
      </c>
      <c r="Z93" s="21">
        <v>4106.08</v>
      </c>
      <c r="AA93" s="23">
        <f>IFERROR(Z93/Z148, "NA")</f>
        <v>0.05700643469</v>
      </c>
      <c r="AB93" s="28">
        <f t="shared" si="43"/>
        <v>1026.52</v>
      </c>
      <c r="AC93" s="23">
        <f>IFERROR(AB93/AB148, "NA")</f>
        <v>0.05700643469</v>
      </c>
      <c r="AD93" s="29">
        <f t="shared" si="44"/>
        <v>78.99</v>
      </c>
      <c r="AE93" s="30">
        <f>IFERROR(AD93/AD148, "NA")</f>
        <v>-0.125311335</v>
      </c>
      <c r="AF93" s="29">
        <f t="shared" si="45"/>
        <v>0.07694930445</v>
      </c>
      <c r="AG93" s="28">
        <f t="shared" si="46"/>
        <v>1284.2875</v>
      </c>
      <c r="AH93" s="23">
        <f>IFERROR(AG93/AG148, "NA")</f>
        <v>0.06394186675</v>
      </c>
      <c r="AI93" s="29">
        <f t="shared" si="47"/>
        <v>-178.7775</v>
      </c>
      <c r="AJ93" s="30">
        <f>IFERROR(AI93/AI148, "NA")</f>
        <v>0.06600618332</v>
      </c>
      <c r="AK93" s="29">
        <f t="shared" si="48"/>
        <v>-0.139203644</v>
      </c>
      <c r="AL93" s="30">
        <f>IFERROR(AK93/AK148, "NA")</f>
        <v>1.032284271</v>
      </c>
    </row>
    <row r="94" ht="16.5" hidden="1" customHeight="1">
      <c r="A94" s="19" t="s">
        <v>208</v>
      </c>
      <c r="B94" s="21">
        <v>851.04</v>
      </c>
      <c r="C94" s="23">
        <f>IFERROR(B94/B148, "NA")</f>
        <v>0.02925383539</v>
      </c>
      <c r="D94" s="21">
        <v>682.14</v>
      </c>
      <c r="E94" s="23">
        <f>IFERROR(D94/D148, "NA")</f>
        <v>0.02780873798</v>
      </c>
      <c r="F94" s="21">
        <v>789.33</v>
      </c>
      <c r="G94" s="23">
        <f>IFERROR(F94/F148, "NA")</f>
        <v>0.02816706901</v>
      </c>
      <c r="H94" s="21">
        <v>469.92</v>
      </c>
      <c r="I94" s="23">
        <f>IFERROR(H94/H148, "NA")</f>
        <v>0.02756635089</v>
      </c>
      <c r="J94" s="21">
        <v>733.29</v>
      </c>
      <c r="K94" s="23">
        <f>IFERROR(J94/J148, "NA")</f>
        <v>0.03238829023</v>
      </c>
      <c r="L94" s="21">
        <v>813.71</v>
      </c>
      <c r="M94" s="23">
        <f>IFERROR(L94/L148, "NA")</f>
        <v>0.02780601706</v>
      </c>
      <c r="N94" s="21">
        <v>627.28</v>
      </c>
      <c r="O94" s="23">
        <f>IFERROR(N94/N148, "NA")</f>
        <v>0.02845168547</v>
      </c>
      <c r="P94" s="21">
        <v>369.71</v>
      </c>
      <c r="Q94" s="23">
        <f>IFERROR(P94/P148, "NA")</f>
        <v>0.02514703852</v>
      </c>
      <c r="R94" s="21">
        <v>403.35</v>
      </c>
      <c r="S94" s="23">
        <f>IFERROR(R94/R148, "NA")</f>
        <v>0.02681538173</v>
      </c>
      <c r="T94" s="21">
        <v>544.63</v>
      </c>
      <c r="U94" s="23">
        <f>IFERROR(T94/T148, "NA")</f>
        <v>0.02927825497</v>
      </c>
      <c r="V94" s="21">
        <v>569.32</v>
      </c>
      <c r="W94" s="23">
        <f>IFERROR(V94/V148, "NA")</f>
        <v>0.02710012652</v>
      </c>
      <c r="X94" s="21">
        <v>453.74</v>
      </c>
      <c r="Y94" s="23">
        <f>IFERROR(X94/X148, "NA")</f>
        <v>0.02611191743</v>
      </c>
      <c r="Z94" s="21">
        <v>1971.04</v>
      </c>
      <c r="AA94" s="23">
        <f>IFERROR(Z94/Z148, "NA")</f>
        <v>0.02736477687</v>
      </c>
      <c r="AB94" s="28">
        <f t="shared" si="43"/>
        <v>492.76</v>
      </c>
      <c r="AC94" s="23">
        <f>IFERROR(AB94/AB148, "NA")</f>
        <v>0.02736477687</v>
      </c>
      <c r="AD94" s="29">
        <f t="shared" si="44"/>
        <v>-39.02</v>
      </c>
      <c r="AE94" s="30">
        <f>IFERROR(AD94/AD148, "NA")</f>
        <v>0.06190211787</v>
      </c>
      <c r="AF94" s="29">
        <f t="shared" si="45"/>
        <v>-0.07918662229</v>
      </c>
      <c r="AG94" s="28">
        <f t="shared" si="46"/>
        <v>564.37875</v>
      </c>
      <c r="AH94" s="23">
        <f>IFERROR(AG94/AG148, "NA")</f>
        <v>0.02809918405</v>
      </c>
      <c r="AI94" s="29">
        <f t="shared" si="47"/>
        <v>-110.63875</v>
      </c>
      <c r="AJ94" s="30">
        <f>IFERROR(AI94/AI148, "NA")</f>
        <v>0.04084877356</v>
      </c>
      <c r="AK94" s="29">
        <f t="shared" si="48"/>
        <v>-0.1960363497</v>
      </c>
      <c r="AL94" s="30">
        <f>IFERROR(AK94/AK148, "NA")</f>
        <v>1.453735222</v>
      </c>
    </row>
    <row r="95" ht="16.5" hidden="1" customHeight="1">
      <c r="A95" s="19" t="s">
        <v>209</v>
      </c>
      <c r="B95" s="21">
        <v>0.0</v>
      </c>
      <c r="C95" s="23">
        <f>IFERROR(B95/B148, "NA")</f>
        <v>0</v>
      </c>
      <c r="D95" s="21">
        <v>0.0</v>
      </c>
      <c r="E95" s="23">
        <f>IFERROR(D95/D148, "NA")</f>
        <v>0</v>
      </c>
      <c r="F95" s="21">
        <v>1092.31</v>
      </c>
      <c r="G95" s="23">
        <f>IFERROR(F95/F148, "NA")</f>
        <v>0.03897884428</v>
      </c>
      <c r="H95" s="21">
        <v>0.0</v>
      </c>
      <c r="I95" s="23">
        <f>IFERROR(H95/H148, "NA")</f>
        <v>0</v>
      </c>
      <c r="J95" s="21">
        <v>0.0</v>
      </c>
      <c r="K95" s="23">
        <f>IFERROR(J95/J148, "NA")</f>
        <v>0</v>
      </c>
      <c r="L95" s="21">
        <v>0.0</v>
      </c>
      <c r="M95" s="23">
        <f>IFERROR(L95/L148, "NA")</f>
        <v>0</v>
      </c>
      <c r="N95" s="21">
        <v>0.0</v>
      </c>
      <c r="O95" s="23">
        <f>IFERROR(N95/N148, "NA")</f>
        <v>0</v>
      </c>
      <c r="P95" s="21">
        <v>1092.31</v>
      </c>
      <c r="Q95" s="23">
        <f>IFERROR(P95/P148, "NA")</f>
        <v>0.07429704807</v>
      </c>
      <c r="R95" s="21">
        <v>0.0</v>
      </c>
      <c r="S95" s="23">
        <f>IFERROR(R95/R148, "NA")</f>
        <v>0</v>
      </c>
      <c r="T95" s="21">
        <v>0.0</v>
      </c>
      <c r="U95" s="23">
        <f>IFERROR(T95/T148, "NA")</f>
        <v>0</v>
      </c>
      <c r="V95" s="21">
        <v>0.0</v>
      </c>
      <c r="W95" s="23">
        <f>IFERROR(V95/V148, "NA")</f>
        <v>0</v>
      </c>
      <c r="X95" s="21">
        <v>0.0</v>
      </c>
      <c r="Y95" s="23">
        <f>IFERROR(X95/X148, "NA")</f>
        <v>0</v>
      </c>
      <c r="Z95" s="21">
        <v>0.0</v>
      </c>
      <c r="AA95" s="23">
        <f>IFERROR(Z95/Z148, "NA")</f>
        <v>0</v>
      </c>
      <c r="AB95" s="28">
        <f t="shared" si="43"/>
        <v>0</v>
      </c>
      <c r="AC95" s="23">
        <f>IFERROR(AB95/AB148, "NA")</f>
        <v>0</v>
      </c>
      <c r="AD95" s="29">
        <f t="shared" si="44"/>
        <v>0</v>
      </c>
      <c r="AE95" s="30">
        <f>IFERROR(AD95/AD148, "NA")</f>
        <v>0</v>
      </c>
      <c r="AF95" s="29" t="str">
        <f t="shared" si="45"/>
        <v>NA</v>
      </c>
      <c r="AG95" s="28">
        <f t="shared" si="46"/>
        <v>136.53875</v>
      </c>
      <c r="AH95" s="23">
        <f>IFERROR(AG95/AG148, "NA")</f>
        <v>0.006797965844</v>
      </c>
      <c r="AI95" s="29">
        <f t="shared" si="47"/>
        <v>-136.53875</v>
      </c>
      <c r="AJ95" s="30">
        <f>IFERROR(AI95/AI148, "NA")</f>
        <v>0.05041127526</v>
      </c>
      <c r="AK95" s="29">
        <f t="shared" si="48"/>
        <v>-1</v>
      </c>
      <c r="AL95" s="30">
        <f>IFERROR(AK95/AK148, "NA")</f>
        <v>7.415641151</v>
      </c>
    </row>
    <row r="96" ht="16.5" hidden="1" customHeight="1">
      <c r="A96" s="19" t="s">
        <v>210</v>
      </c>
      <c r="B96" s="21">
        <v>0.0</v>
      </c>
      <c r="C96" s="23">
        <f>IFERROR(B96/B148, "NA")</f>
        <v>0</v>
      </c>
      <c r="D96" s="21">
        <v>0.0</v>
      </c>
      <c r="E96" s="23">
        <f>IFERROR(D96/D148, "NA")</f>
        <v>0</v>
      </c>
      <c r="F96" s="21">
        <v>0.0</v>
      </c>
      <c r="G96" s="23">
        <f>IFERROR(F96/F148, "NA")</f>
        <v>0</v>
      </c>
      <c r="H96" s="21">
        <v>0.0</v>
      </c>
      <c r="I96" s="23">
        <f>IFERROR(H96/H148, "NA")</f>
        <v>0</v>
      </c>
      <c r="J96" s="21">
        <v>0.0</v>
      </c>
      <c r="K96" s="23">
        <f>IFERROR(J96/J148, "NA")</f>
        <v>0</v>
      </c>
      <c r="L96" s="21">
        <v>0.0</v>
      </c>
      <c r="M96" s="23">
        <f>IFERROR(L96/L148, "NA")</f>
        <v>0</v>
      </c>
      <c r="N96" s="21">
        <v>0.0</v>
      </c>
      <c r="O96" s="23">
        <f>IFERROR(N96/N148, "NA")</f>
        <v>0</v>
      </c>
      <c r="P96" s="21">
        <v>0.0</v>
      </c>
      <c r="Q96" s="23">
        <f>IFERROR(P96/P148, "NA")</f>
        <v>0</v>
      </c>
      <c r="R96" s="21">
        <v>0.0</v>
      </c>
      <c r="S96" s="23">
        <f>IFERROR(R96/R148, "NA")</f>
        <v>0</v>
      </c>
      <c r="T96" s="21">
        <v>0.0</v>
      </c>
      <c r="U96" s="23">
        <f>IFERROR(T96/T148, "NA")</f>
        <v>0</v>
      </c>
      <c r="V96" s="21">
        <v>0.0</v>
      </c>
      <c r="W96" s="23">
        <f>IFERROR(V96/V148, "NA")</f>
        <v>0</v>
      </c>
      <c r="X96" s="21">
        <v>0.0</v>
      </c>
      <c r="Y96" s="23">
        <f>IFERROR(X96/X148, "NA")</f>
        <v>0</v>
      </c>
      <c r="Z96" s="21">
        <v>0.0</v>
      </c>
      <c r="AA96" s="23">
        <f>IFERROR(Z96/Z148, "NA")</f>
        <v>0</v>
      </c>
      <c r="AB96" s="28">
        <f t="shared" si="43"/>
        <v>0</v>
      </c>
      <c r="AC96" s="23">
        <f>IFERROR(AB96/AB148, "NA")</f>
        <v>0</v>
      </c>
      <c r="AD96" s="29">
        <f t="shared" si="44"/>
        <v>0</v>
      </c>
      <c r="AE96" s="30">
        <f>IFERROR(AD96/AD148, "NA")</f>
        <v>0</v>
      </c>
      <c r="AF96" s="29" t="str">
        <f t="shared" si="45"/>
        <v>NA</v>
      </c>
      <c r="AG96" s="28">
        <f t="shared" si="46"/>
        <v>0</v>
      </c>
      <c r="AH96" s="23">
        <f>IFERROR(AG96/AG148, "NA")</f>
        <v>0</v>
      </c>
      <c r="AI96" s="29">
        <f t="shared" si="47"/>
        <v>0</v>
      </c>
      <c r="AJ96" s="30">
        <f>IFERROR(AI96/AI148, "NA")</f>
        <v>0</v>
      </c>
      <c r="AK96" s="29" t="str">
        <f t="shared" si="48"/>
        <v>NA</v>
      </c>
      <c r="AL96" s="30" t="str">
        <f>IFERROR(AK96/AK148, "NA")</f>
        <v>NA</v>
      </c>
    </row>
    <row r="97" ht="16.5" hidden="1" customHeight="1">
      <c r="A97" s="19" t="s">
        <v>211</v>
      </c>
      <c r="B97" s="21">
        <v>0.0</v>
      </c>
      <c r="C97" s="23">
        <f>IFERROR(B97/B148, "NA")</f>
        <v>0</v>
      </c>
      <c r="D97" s="21">
        <v>210.95</v>
      </c>
      <c r="E97" s="23">
        <f>IFERROR(D97/D148, "NA")</f>
        <v>0.008599779043</v>
      </c>
      <c r="F97" s="21">
        <v>447.5</v>
      </c>
      <c r="G97" s="23">
        <f>IFERROR(F97/F148, "NA")</f>
        <v>0.01596893997</v>
      </c>
      <c r="H97" s="21">
        <v>1091.8</v>
      </c>
      <c r="I97" s="23">
        <f>IFERROR(H97/H148, "NA")</f>
        <v>0.06404694821</v>
      </c>
      <c r="J97" s="21">
        <v>588.87</v>
      </c>
      <c r="K97" s="23">
        <f>IFERROR(J97/J148, "NA")</f>
        <v>0.0260094812</v>
      </c>
      <c r="L97" s="21">
        <v>613.55</v>
      </c>
      <c r="M97" s="23">
        <f>IFERROR(L97/L148, "NA")</f>
        <v>0.02096616948</v>
      </c>
      <c r="N97" s="21">
        <v>147.93</v>
      </c>
      <c r="O97" s="23">
        <f>IFERROR(N97/N148, "NA")</f>
        <v>0.006709695562</v>
      </c>
      <c r="P97" s="21">
        <v>1095.0</v>
      </c>
      <c r="Q97" s="23">
        <f>IFERROR(P97/P148, "NA")</f>
        <v>0.07448001725</v>
      </c>
      <c r="R97" s="21">
        <v>869.2</v>
      </c>
      <c r="S97" s="23">
        <f>IFERROR(R97/R148, "NA")</f>
        <v>0.05778586786</v>
      </c>
      <c r="T97" s="21">
        <v>0.0</v>
      </c>
      <c r="U97" s="23">
        <f>IFERROR(T97/T148, "NA")</f>
        <v>0</v>
      </c>
      <c r="V97" s="21">
        <v>156.81</v>
      </c>
      <c r="W97" s="23">
        <f>IFERROR(V97/V148, "NA")</f>
        <v>0.007464292208</v>
      </c>
      <c r="X97" s="21">
        <v>0.0</v>
      </c>
      <c r="Y97" s="23">
        <f>IFERROR(X97/X148, "NA")</f>
        <v>0</v>
      </c>
      <c r="Z97" s="21">
        <v>1026.01</v>
      </c>
      <c r="AA97" s="23">
        <f>IFERROR(Z97/Z148, "NA")</f>
        <v>0.01424452813</v>
      </c>
      <c r="AB97" s="28">
        <f t="shared" si="43"/>
        <v>256.5025</v>
      </c>
      <c r="AC97" s="23">
        <f>IFERROR(AB97/AB148, "NA")</f>
        <v>0.01424452813</v>
      </c>
      <c r="AD97" s="29">
        <f t="shared" si="44"/>
        <v>-256.5025</v>
      </c>
      <c r="AE97" s="30">
        <f>IFERROR(AD97/AD148, "NA")</f>
        <v>0.4069207583</v>
      </c>
      <c r="AF97" s="29">
        <f t="shared" si="45"/>
        <v>-1</v>
      </c>
      <c r="AG97" s="28">
        <f t="shared" si="46"/>
        <v>433.92</v>
      </c>
      <c r="AH97" s="23">
        <f>IFERROR(AG97/AG148, "NA")</f>
        <v>0.02160392811</v>
      </c>
      <c r="AI97" s="29">
        <f t="shared" si="47"/>
        <v>-433.92</v>
      </c>
      <c r="AJ97" s="30">
        <f>IFERROR(AI97/AI148, "NA")</f>
        <v>0.1602069783</v>
      </c>
      <c r="AK97" s="29">
        <f t="shared" si="48"/>
        <v>-1</v>
      </c>
      <c r="AL97" s="30">
        <f>IFERROR(AK97/AK148, "NA")</f>
        <v>7.415641151</v>
      </c>
    </row>
    <row r="98" ht="16.5" hidden="1" customHeight="1">
      <c r="A98" s="19" t="s">
        <v>212</v>
      </c>
      <c r="B98" s="21">
        <v>674.11</v>
      </c>
      <c r="C98" s="23">
        <f>IFERROR(B98/B148, "NA")</f>
        <v>0.02317200481</v>
      </c>
      <c r="D98" s="21">
        <v>2227.15</v>
      </c>
      <c r="E98" s="23">
        <f>IFERROR(D98/D148, "NA")</f>
        <v>0.09079401705</v>
      </c>
      <c r="F98" s="21">
        <v>1753.5</v>
      </c>
      <c r="G98" s="23">
        <f>IFERROR(F98/F148, "NA")</f>
        <v>0.06257326532</v>
      </c>
      <c r="H98" s="21">
        <v>362.93</v>
      </c>
      <c r="I98" s="23">
        <f>IFERROR(H98/H148, "NA")</f>
        <v>0.0212901254</v>
      </c>
      <c r="J98" s="21">
        <v>1026.88</v>
      </c>
      <c r="K98" s="23">
        <f>IFERROR(J98/J148, "NA")</f>
        <v>0.04535570849</v>
      </c>
      <c r="L98" s="21">
        <v>549.19</v>
      </c>
      <c r="M98" s="23">
        <f>IFERROR(L98/L148, "NA")</f>
        <v>0.01876686597</v>
      </c>
      <c r="N98" s="21">
        <v>2375.03</v>
      </c>
      <c r="O98" s="23">
        <f>IFERROR(N98/N148, "NA")</f>
        <v>0.1077247904</v>
      </c>
      <c r="P98" s="21">
        <v>1394.51</v>
      </c>
      <c r="Q98" s="23">
        <f>IFERROR(P98/P148, "NA")</f>
        <v>0.09485217247</v>
      </c>
      <c r="R98" s="21">
        <v>376.43</v>
      </c>
      <c r="S98" s="23">
        <f>IFERROR(R98/R148, "NA")</f>
        <v>0.02502569517</v>
      </c>
      <c r="T98" s="21">
        <v>489.7</v>
      </c>
      <c r="U98" s="23">
        <f>IFERROR(T98/T148, "NA")</f>
        <v>0.02632532446</v>
      </c>
      <c r="V98" s="21">
        <v>2334.1</v>
      </c>
      <c r="W98" s="23">
        <f>IFERROR(V98/V148, "NA")</f>
        <v>0.1111051874</v>
      </c>
      <c r="X98" s="21">
        <v>291.13</v>
      </c>
      <c r="Y98" s="23">
        <f>IFERROR(X98/X148, "NA")</f>
        <v>0.01675400564</v>
      </c>
      <c r="Z98" s="21">
        <v>3491.36</v>
      </c>
      <c r="AA98" s="23">
        <f>IFERROR(Z98/Z148, "NA")</f>
        <v>0.04847201852</v>
      </c>
      <c r="AB98" s="28">
        <f t="shared" si="43"/>
        <v>872.84</v>
      </c>
      <c r="AC98" s="23">
        <f>IFERROR(AB98/AB148, "NA")</f>
        <v>0.04847201852</v>
      </c>
      <c r="AD98" s="29">
        <f t="shared" si="44"/>
        <v>-581.71</v>
      </c>
      <c r="AE98" s="30">
        <f>IFERROR(AD98/AD148, "NA")</f>
        <v>0.9228365194</v>
      </c>
      <c r="AF98" s="29">
        <f t="shared" si="45"/>
        <v>-0.6664566244</v>
      </c>
      <c r="AG98" s="28">
        <f t="shared" si="46"/>
        <v>1104.62125</v>
      </c>
      <c r="AH98" s="23">
        <f>IFERROR(AG98/AG148, "NA")</f>
        <v>0.05499667697</v>
      </c>
      <c r="AI98" s="29">
        <f t="shared" si="47"/>
        <v>-813.49125</v>
      </c>
      <c r="AJ98" s="30">
        <f>IFERROR(AI98/AI148, "NA")</f>
        <v>0.3003479329</v>
      </c>
      <c r="AK98" s="29">
        <f t="shared" si="48"/>
        <v>-0.7364436</v>
      </c>
      <c r="AL98" s="30">
        <f>IFERROR(AK98/AK148, "NA")</f>
        <v>5.461201466</v>
      </c>
    </row>
    <row r="99" ht="16.5" hidden="1" customHeight="1">
      <c r="A99" s="65" t="s">
        <v>213</v>
      </c>
      <c r="B99" s="66">
        <f>IFERROR(B90+B91+B92+B93+B94+B95+B96+B97+B98, "NA")</f>
        <v>5775.91</v>
      </c>
      <c r="C99" s="67">
        <f>IFERROR(B99/B148, "NA")</f>
        <v>0.1985423956</v>
      </c>
      <c r="D99" s="66">
        <f>IFERROR(D90+D91+D92+D93+D94+D95+D96+D97+D98, "NA")</f>
        <v>6765.88</v>
      </c>
      <c r="E99" s="67">
        <f>IFERROR(D99/D148, "NA")</f>
        <v>0.2758240011</v>
      </c>
      <c r="F99" s="66">
        <f>IFERROR(F90+F91+F92+F93+F94+F95+F96+F97+F98, "NA")</f>
        <v>8176.27</v>
      </c>
      <c r="G99" s="67">
        <f>IFERROR(F99/F148, "NA")</f>
        <v>0.2917684129</v>
      </c>
      <c r="H99" s="66">
        <f>IFERROR(H90+H91+H92+H93+H94+H95+H96+H97+H98, "NA")</f>
        <v>4398.7</v>
      </c>
      <c r="I99" s="67">
        <f>IFERROR(H99/H148, "NA")</f>
        <v>0.2580356394</v>
      </c>
      <c r="J99" s="66">
        <f>IFERROR(J90+J91+J92+J93+J94+J95+J96+J97+J98, "NA")</f>
        <v>5601.82</v>
      </c>
      <c r="K99" s="67">
        <f>IFERROR(J99/J148, "NA")</f>
        <v>0.2474237641</v>
      </c>
      <c r="L99" s="66">
        <f>IFERROR(L90+L91+L92+L93+L94+L95+L96+L97+L98, "NA")</f>
        <v>5986.88</v>
      </c>
      <c r="M99" s="67">
        <f>IFERROR(L99/L148, "NA")</f>
        <v>0.2045830669</v>
      </c>
      <c r="N99" s="66">
        <f>IFERROR(N90+N91+N92+N93+N94+N95+N96+N97+N98, "NA")</f>
        <v>6479.12</v>
      </c>
      <c r="O99" s="67">
        <f>IFERROR(N99/N148, "NA")</f>
        <v>0.2938749592</v>
      </c>
      <c r="P99" s="66">
        <f>IFERROR(P90+P91+P92+P93+P94+P95+P96+P97+P98, "NA")</f>
        <v>5737.22</v>
      </c>
      <c r="Q99" s="67">
        <f>IFERROR(P99/P148, "NA")</f>
        <v>0.3902358398</v>
      </c>
      <c r="R99" s="66">
        <f>IFERROR(R90+R91+R92+R93+R94+R95+R96+R97+R98, "NA")</f>
        <v>3135.93</v>
      </c>
      <c r="S99" s="67">
        <f>IFERROR(R99/R148, "NA")</f>
        <v>0.2084818645</v>
      </c>
      <c r="T99" s="66">
        <f>IFERROR(T90+T91+T92+T93+T94+T95+T96+T97+T98, "NA")</f>
        <v>3528.78</v>
      </c>
      <c r="U99" s="67">
        <f>IFERROR(T99/T148, "NA")</f>
        <v>0.1897003848</v>
      </c>
      <c r="V99" s="66">
        <f>IFERROR(V90+V91+V92+V93+V94+V95+V96+V97+V98, "NA")</f>
        <v>5561.12</v>
      </c>
      <c r="W99" s="67">
        <f>IFERROR(V99/V148, "NA")</f>
        <v>0.2647141425</v>
      </c>
      <c r="X99" s="66">
        <f>IFERROR(X90+X91+X92+X93+X94+X95+X96+X97+X98, "NA")</f>
        <v>3294.78</v>
      </c>
      <c r="Y99" s="67">
        <f>IFERROR(X99/X148, "NA")</f>
        <v>0.1896086378</v>
      </c>
      <c r="Z99" s="66">
        <f>IFERROR(Z90+Z91+Z92+Z93+Z94+Z95+Z96+Z97+Z98, "NA")</f>
        <v>15520.61</v>
      </c>
      <c r="AA99" s="67">
        <f>IFERROR(Z99/Z148, "NA")</f>
        <v>0.2154791529</v>
      </c>
      <c r="AB99" s="66">
        <f t="shared" si="43"/>
        <v>3880.1525</v>
      </c>
      <c r="AC99" s="67">
        <f>IFERROR(AB99/AB148, "NA")</f>
        <v>0.2154791529</v>
      </c>
      <c r="AD99" s="75">
        <f t="shared" si="44"/>
        <v>-585.3725</v>
      </c>
      <c r="AE99" s="76">
        <f>IFERROR(AD99/AD148, "NA")</f>
        <v>0.9286467835</v>
      </c>
      <c r="AF99" s="75">
        <f t="shared" si="45"/>
        <v>-0.1508632715</v>
      </c>
      <c r="AG99" s="66">
        <f t="shared" si="46"/>
        <v>4915.70625</v>
      </c>
      <c r="AH99" s="67">
        <f>IFERROR(AG99/AG148, "NA")</f>
        <v>0.2447422668</v>
      </c>
      <c r="AI99" s="75">
        <f t="shared" si="47"/>
        <v>-1620.92625</v>
      </c>
      <c r="AJ99" s="76">
        <f>IFERROR(AI99/AI148, "NA")</f>
        <v>0.5984598465</v>
      </c>
      <c r="AK99" s="75">
        <f t="shared" si="48"/>
        <v>-0.3297443272</v>
      </c>
      <c r="AL99" s="76">
        <f>IFERROR(AK99/AK148, "NA")</f>
        <v>2.445265602</v>
      </c>
    </row>
    <row r="100" ht="16.5" hidden="1" customHeight="1">
      <c r="A100" s="123"/>
      <c r="B100" s="124"/>
      <c r="C100" s="74"/>
      <c r="D100" s="124"/>
      <c r="E100" s="74"/>
      <c r="F100" s="124"/>
      <c r="G100" s="74"/>
      <c r="H100" s="124"/>
      <c r="I100" s="74"/>
      <c r="J100" s="124"/>
      <c r="K100" s="74"/>
      <c r="L100" s="124"/>
      <c r="M100" s="74"/>
      <c r="N100" s="124"/>
      <c r="O100" s="74"/>
      <c r="P100" s="124"/>
      <c r="Q100" s="74"/>
      <c r="R100" s="124"/>
      <c r="S100" s="74"/>
      <c r="T100" s="124"/>
      <c r="U100" s="74"/>
      <c r="V100" s="124"/>
      <c r="W100" s="74"/>
      <c r="X100" s="124"/>
      <c r="Y100" s="74"/>
      <c r="Z100" s="124"/>
      <c r="AA100" s="74"/>
      <c r="AB100" s="124"/>
      <c r="AC100" s="74"/>
      <c r="AD100" s="125"/>
      <c r="AE100" s="80"/>
      <c r="AF100" s="125"/>
      <c r="AG100" s="124"/>
      <c r="AH100" s="74"/>
      <c r="AI100" s="125"/>
      <c r="AJ100" s="80"/>
      <c r="AK100" s="125"/>
      <c r="AL100" s="80"/>
    </row>
    <row r="101" ht="16.5" hidden="1" customHeight="1">
      <c r="A101" s="121" t="s">
        <v>214</v>
      </c>
      <c r="B101" s="122">
        <f>IFERROR(B87-B99, "NA")</f>
        <v>8566.72</v>
      </c>
      <c r="C101" s="94">
        <f>IFERROR(B101/B148, "NA")</f>
        <v>0.2944743099</v>
      </c>
      <c r="D101" s="122">
        <f>IFERROR(D87-D99, "NA")</f>
        <v>4851.1</v>
      </c>
      <c r="E101" s="94">
        <f>IFERROR(D101/D148, "NA")</f>
        <v>0.1977643428</v>
      </c>
      <c r="F101" s="122">
        <f>IFERROR(F87-F99, "NA")</f>
        <v>5301.46</v>
      </c>
      <c r="G101" s="94">
        <f>IFERROR(F101/F148, "NA")</f>
        <v>0.1891814446</v>
      </c>
      <c r="H101" s="122">
        <f>IFERROR(H87-H99, "NA")</f>
        <v>1395.49</v>
      </c>
      <c r="I101" s="94">
        <f>IFERROR(H101/H148, "NA")</f>
        <v>0.08186194885</v>
      </c>
      <c r="J101" s="122">
        <f>IFERROR(J87-J99, "NA")</f>
        <v>3719.04</v>
      </c>
      <c r="K101" s="94">
        <f>IFERROR(J101/J148, "NA")</f>
        <v>0.1642642705</v>
      </c>
      <c r="L101" s="122">
        <f>IFERROR(L87-L99, "NA")</f>
        <v>8017.45</v>
      </c>
      <c r="M101" s="94">
        <f>IFERROR(L101/L148, "NA")</f>
        <v>0.2739715027</v>
      </c>
      <c r="N101" s="122">
        <f>IFERROR(N87-N99, "NA")</f>
        <v>-639.6</v>
      </c>
      <c r="O101" s="94">
        <f>IFERROR(N101/N148, "NA")</f>
        <v>-0.02901048659</v>
      </c>
      <c r="P101" s="122">
        <f>IFERROR(P87-P99, "NA")</f>
        <v>-1117.9</v>
      </c>
      <c r="Q101" s="94">
        <f>IFERROR(P101/P148, "NA")</f>
        <v>-0.07603763588</v>
      </c>
      <c r="R101" s="122">
        <f>IFERROR(R87-R99, "NA")</f>
        <v>2043.09</v>
      </c>
      <c r="S101" s="94">
        <f>IFERROR(R101/R148, "NA")</f>
        <v>0.1358280359</v>
      </c>
      <c r="T101" s="122">
        <f>IFERROR(T87-T99, "NA")</f>
        <v>3867.68</v>
      </c>
      <c r="U101" s="94">
        <f>IFERROR(T101/T148, "NA")</f>
        <v>0.207918993</v>
      </c>
      <c r="V101" s="122">
        <f>IFERROR(V87-V99, "NA")</f>
        <v>1688.26</v>
      </c>
      <c r="W101" s="94">
        <f>IFERROR(V101/V148, "NA")</f>
        <v>0.08036264246</v>
      </c>
      <c r="X101" s="122">
        <f>IFERROR(X87-X99, "NA")</f>
        <v>3950.87</v>
      </c>
      <c r="Y101" s="94">
        <f>IFERROR(X101/X148, "NA")</f>
        <v>0.2273654322</v>
      </c>
      <c r="Z101" s="122">
        <f>IFERROR(Z87-Z99, "NA")</f>
        <v>11549.9</v>
      </c>
      <c r="AA101" s="94">
        <f>IFERROR(Z101/Z148, "NA")</f>
        <v>0.1603521169</v>
      </c>
      <c r="AB101" s="122">
        <f>IFERROR((R101+T101+V101+X101)/4, "NA")</f>
        <v>2887.475</v>
      </c>
      <c r="AC101" s="94">
        <f>IFERROR(AB101/AB148, "NA")</f>
        <v>0.1603521169</v>
      </c>
      <c r="AD101" s="75">
        <f>IFERROR(X101-AB101, "NA")</f>
        <v>1063.395</v>
      </c>
      <c r="AE101" s="76">
        <f>IFERROR(AD101/AD148, "NA")</f>
        <v>-1.686991354</v>
      </c>
      <c r="AF101" s="75">
        <f>IFERROR((X101-AB101)/AB101, "NA")</f>
        <v>0.3682785132</v>
      </c>
      <c r="AG101" s="122">
        <f>IFERROR((J101+L101+N101+P101+R101+T101+V101+X101)/8, "NA")</f>
        <v>2691.11125</v>
      </c>
      <c r="AH101" s="94">
        <f>IFERROR(AG101/AG148, "NA")</f>
        <v>0.1339845455</v>
      </c>
      <c r="AI101" s="75">
        <f>IFERROR(X101-AG101, "NA")</f>
        <v>1259.75875</v>
      </c>
      <c r="AJ101" s="76">
        <f>IFERROR(AI101/AI148, "NA")</f>
        <v>-0.4651137139</v>
      </c>
      <c r="AK101" s="75">
        <f>IFERROR((X101-AG101)/AG101, "NA")</f>
        <v>0.4681184213</v>
      </c>
      <c r="AL101" s="76">
        <f>IFERROR(AK101/AK148, "NA")</f>
        <v>-3.471398229</v>
      </c>
    </row>
    <row r="102" ht="3.75" hidden="1" customHeight="1">
      <c r="A102" s="123"/>
      <c r="B102" s="124"/>
      <c r="C102" s="74"/>
      <c r="D102" s="124"/>
      <c r="E102" s="74"/>
      <c r="F102" s="124"/>
      <c r="G102" s="74"/>
      <c r="H102" s="124"/>
      <c r="I102" s="74"/>
      <c r="J102" s="124"/>
      <c r="K102" s="74"/>
      <c r="L102" s="124"/>
      <c r="M102" s="74"/>
      <c r="N102" s="124"/>
      <c r="O102" s="74"/>
      <c r="P102" s="124"/>
      <c r="Q102" s="74"/>
      <c r="R102" s="124"/>
      <c r="S102" s="74"/>
      <c r="T102" s="124"/>
      <c r="U102" s="74"/>
      <c r="V102" s="124"/>
      <c r="W102" s="74"/>
      <c r="X102" s="124"/>
      <c r="Y102" s="74"/>
      <c r="Z102" s="124"/>
      <c r="AA102" s="74"/>
      <c r="AB102" s="124"/>
      <c r="AC102" s="74"/>
      <c r="AD102" s="125"/>
      <c r="AE102" s="80"/>
      <c r="AF102" s="125"/>
      <c r="AG102" s="124"/>
      <c r="AH102" s="74"/>
      <c r="AI102" s="125"/>
      <c r="AJ102" s="80"/>
      <c r="AK102" s="125"/>
      <c r="AL102" s="80"/>
    </row>
    <row r="103" ht="16.5" hidden="1" customHeight="1">
      <c r="A103" s="13" t="s">
        <v>215</v>
      </c>
      <c r="B103" s="14"/>
      <c r="C103" s="12"/>
      <c r="D103" s="14"/>
      <c r="E103" s="12"/>
      <c r="F103" s="14"/>
      <c r="G103" s="12"/>
      <c r="H103" s="14"/>
      <c r="I103" s="12"/>
      <c r="J103" s="14"/>
      <c r="K103" s="12"/>
      <c r="L103" s="14"/>
      <c r="M103" s="12"/>
      <c r="N103" s="14"/>
      <c r="O103" s="12"/>
      <c r="P103" s="14"/>
      <c r="Q103" s="12"/>
      <c r="R103" s="14"/>
      <c r="S103" s="12"/>
      <c r="T103" s="14"/>
      <c r="U103" s="12"/>
      <c r="V103" s="14"/>
      <c r="W103" s="12"/>
      <c r="X103" s="14"/>
      <c r="Y103" s="12"/>
      <c r="Z103" s="14"/>
      <c r="AA103" s="12"/>
      <c r="AB103" s="14"/>
      <c r="AC103" s="12"/>
      <c r="AD103" s="17"/>
      <c r="AE103" s="18"/>
      <c r="AF103" s="17"/>
      <c r="AG103" s="14"/>
      <c r="AH103" s="12"/>
      <c r="AI103" s="17"/>
      <c r="AJ103" s="18"/>
      <c r="AK103" s="17"/>
      <c r="AL103" s="18"/>
    </row>
    <row r="104" ht="16.5" hidden="1" customHeight="1">
      <c r="A104" s="126" t="s">
        <v>216</v>
      </c>
      <c r="B104" s="127">
        <v>0.0</v>
      </c>
      <c r="C104" s="94">
        <f>IFERROR(B104/B148, "NA")</f>
        <v>0</v>
      </c>
      <c r="D104" s="127">
        <v>864.5</v>
      </c>
      <c r="E104" s="94">
        <f>IFERROR(D104/D148, "NA")</f>
        <v>0.03524299115</v>
      </c>
      <c r="F104" s="127">
        <v>22584.22</v>
      </c>
      <c r="G104" s="94">
        <f>IFERROR(F104/F148, "NA")</f>
        <v>0.8059129684</v>
      </c>
      <c r="H104" s="127">
        <v>-3385.08</v>
      </c>
      <c r="I104" s="94">
        <f>IFERROR(H104/H148, "NA")</f>
        <v>-0.1985748703</v>
      </c>
      <c r="J104" s="127">
        <v>0.0</v>
      </c>
      <c r="K104" s="94">
        <f>IFERROR(J104/J148, "NA")</f>
        <v>0</v>
      </c>
      <c r="L104" s="127">
        <v>0.0</v>
      </c>
      <c r="M104" s="94">
        <f>IFERROR(L104/L148, "NA")</f>
        <v>0</v>
      </c>
      <c r="N104" s="127">
        <v>912.07</v>
      </c>
      <c r="O104" s="94">
        <f>IFERROR(N104/N148, "NA")</f>
        <v>0.04136897202</v>
      </c>
      <c r="P104" s="127">
        <v>23326.63</v>
      </c>
      <c r="Q104" s="94">
        <f>IFERROR(P104/P148, "NA")</f>
        <v>1.586637265</v>
      </c>
      <c r="R104" s="127">
        <v>-5576.0</v>
      </c>
      <c r="S104" s="94">
        <f>IFERROR(R104/R148, "NA")</f>
        <v>-0.3707017938</v>
      </c>
      <c r="T104" s="127">
        <v>0.0</v>
      </c>
      <c r="U104" s="94">
        <f>IFERROR(T104/T148, "NA")</f>
        <v>0</v>
      </c>
      <c r="V104" s="127">
        <v>872.43</v>
      </c>
      <c r="W104" s="94">
        <f>IFERROR(V104/V148, "NA")</f>
        <v>0.04152842581</v>
      </c>
      <c r="X104" s="127">
        <v>16044.94</v>
      </c>
      <c r="Y104" s="94">
        <f>IFERROR(X104/X148, "NA")</f>
        <v>0.9233573156</v>
      </c>
      <c r="Z104" s="127">
        <v>11341.37</v>
      </c>
      <c r="AA104" s="94">
        <f>IFERROR(Z104/Z148, "NA")</f>
        <v>0.1574570072</v>
      </c>
      <c r="AB104" s="122">
        <f t="shared" ref="AB104:AB105" si="49">IFERROR((R104+T104+V104+X104)/4, "NA")</f>
        <v>2835.3425</v>
      </c>
      <c r="AC104" s="94">
        <f>IFERROR(AB104/AB148, "NA")</f>
        <v>0.1574570072</v>
      </c>
      <c r="AD104" s="75">
        <f t="shared" ref="AD104:AD105" si="50">IFERROR(X104-AB104, "NA")</f>
        <v>13209.5975</v>
      </c>
      <c r="AE104" s="76">
        <f>IFERROR(AD104/AD148, "NA")</f>
        <v>-20.95597287</v>
      </c>
      <c r="AF104" s="75">
        <f t="shared" ref="AF104:AF105" si="51">IFERROR((X104-AB104)/AB104, "NA")</f>
        <v>4.658907169</v>
      </c>
      <c r="AG104" s="122">
        <f t="shared" ref="AG104:AG105" si="52">IFERROR((J104+L104+N104+P104+R104+T104+V104+X104)/8, "NA")</f>
        <v>4447.50875</v>
      </c>
      <c r="AH104" s="94">
        <f>IFERROR(AG104/AG148, "NA")</f>
        <v>0.221431737</v>
      </c>
      <c r="AI104" s="75">
        <f t="shared" ref="AI104:AI105" si="53">IFERROR(X104-AG104, "NA")</f>
        <v>11597.43125</v>
      </c>
      <c r="AJ104" s="76">
        <f>IFERROR(AI104/AI148, "NA")</f>
        <v>-4.281870891</v>
      </c>
      <c r="AK104" s="75">
        <f t="shared" ref="AK104:AK105" si="54">IFERROR((X104-AG104)/AG104, "NA")</f>
        <v>2.607624156</v>
      </c>
      <c r="AL104" s="76">
        <f>IFERROR(AK104/AK148, "NA")</f>
        <v>-19.337205</v>
      </c>
    </row>
    <row r="105" ht="16.5" hidden="1" customHeight="1">
      <c r="A105" s="65" t="s">
        <v>217</v>
      </c>
      <c r="B105" s="66">
        <f>IFERROR(B104, "NA")</f>
        <v>0</v>
      </c>
      <c r="C105" s="67">
        <f>IFERROR(B105/B148, "NA")</f>
        <v>0</v>
      </c>
      <c r="D105" s="66">
        <f>IFERROR(D104, "NA")</f>
        <v>864.5</v>
      </c>
      <c r="E105" s="67">
        <f>IFERROR(D105/D148, "NA")</f>
        <v>0.03524299115</v>
      </c>
      <c r="F105" s="66">
        <f>IFERROR(F104, "NA")</f>
        <v>22584.22</v>
      </c>
      <c r="G105" s="67">
        <f>IFERROR(F105/F148, "NA")</f>
        <v>0.8059129684</v>
      </c>
      <c r="H105" s="66">
        <f>IFERROR(H104, "NA")</f>
        <v>-3385.08</v>
      </c>
      <c r="I105" s="67">
        <f>IFERROR(H105/H148, "NA")</f>
        <v>-0.1985748703</v>
      </c>
      <c r="J105" s="66">
        <f>IFERROR(J104, "NA")</f>
        <v>0</v>
      </c>
      <c r="K105" s="67">
        <f>IFERROR(J105/J148, "NA")</f>
        <v>0</v>
      </c>
      <c r="L105" s="66">
        <f>IFERROR(L104, "NA")</f>
        <v>0</v>
      </c>
      <c r="M105" s="67">
        <f>IFERROR(L105/L148, "NA")</f>
        <v>0</v>
      </c>
      <c r="N105" s="66">
        <f>IFERROR(N104, "NA")</f>
        <v>912.07</v>
      </c>
      <c r="O105" s="67">
        <f>IFERROR(N105/N148, "NA")</f>
        <v>0.04136897202</v>
      </c>
      <c r="P105" s="66">
        <f>IFERROR(P104, "NA")</f>
        <v>23326.63</v>
      </c>
      <c r="Q105" s="67">
        <f>IFERROR(P105/P148, "NA")</f>
        <v>1.586637265</v>
      </c>
      <c r="R105" s="66">
        <f>IFERROR(R104, "NA")</f>
        <v>-5576</v>
      </c>
      <c r="S105" s="67">
        <f>IFERROR(R105/R148, "NA")</f>
        <v>-0.3707017938</v>
      </c>
      <c r="T105" s="66">
        <f>IFERROR(T104, "NA")</f>
        <v>0</v>
      </c>
      <c r="U105" s="67">
        <f>IFERROR(T105/T148, "NA")</f>
        <v>0</v>
      </c>
      <c r="V105" s="66">
        <f>IFERROR(V104, "NA")</f>
        <v>872.43</v>
      </c>
      <c r="W105" s="67">
        <f>IFERROR(V105/V148, "NA")</f>
        <v>0.04152842581</v>
      </c>
      <c r="X105" s="66">
        <f>IFERROR(X104, "NA")</f>
        <v>16044.94</v>
      </c>
      <c r="Y105" s="67">
        <f>IFERROR(X105/X148, "NA")</f>
        <v>0.9233573156</v>
      </c>
      <c r="Z105" s="66">
        <f>IFERROR(Z104, "NA")</f>
        <v>11341.37</v>
      </c>
      <c r="AA105" s="67">
        <f>IFERROR(Z105/Z148, "NA")</f>
        <v>0.1574570072</v>
      </c>
      <c r="AB105" s="66">
        <f t="shared" si="49"/>
        <v>2835.3425</v>
      </c>
      <c r="AC105" s="67">
        <f>IFERROR(AB105/AB148, "NA")</f>
        <v>0.1574570072</v>
      </c>
      <c r="AD105" s="75">
        <f t="shared" si="50"/>
        <v>13209.5975</v>
      </c>
      <c r="AE105" s="76">
        <f>IFERROR(AD105/AD148, "NA")</f>
        <v>-20.95597287</v>
      </c>
      <c r="AF105" s="75">
        <f t="shared" si="51"/>
        <v>4.658907169</v>
      </c>
      <c r="AG105" s="66">
        <f t="shared" si="52"/>
        <v>4447.50875</v>
      </c>
      <c r="AH105" s="67">
        <f>IFERROR(AG105/AG148, "NA")</f>
        <v>0.221431737</v>
      </c>
      <c r="AI105" s="75">
        <f t="shared" si="53"/>
        <v>11597.43125</v>
      </c>
      <c r="AJ105" s="76">
        <f>IFERROR(AI105/AI148, "NA")</f>
        <v>-4.281870891</v>
      </c>
      <c r="AK105" s="75">
        <f t="shared" si="54"/>
        <v>2.607624156</v>
      </c>
      <c r="AL105" s="76">
        <f>IFERROR(AK105/AK148, "NA")</f>
        <v>-19.337205</v>
      </c>
    </row>
    <row r="106" ht="16.5" hidden="1" customHeight="1">
      <c r="A106" s="123"/>
      <c r="B106" s="124"/>
      <c r="C106" s="74"/>
      <c r="D106" s="124"/>
      <c r="E106" s="74"/>
      <c r="F106" s="124"/>
      <c r="G106" s="74"/>
      <c r="H106" s="124"/>
      <c r="I106" s="74"/>
      <c r="J106" s="124"/>
      <c r="K106" s="74"/>
      <c r="L106" s="124"/>
      <c r="M106" s="74"/>
      <c r="N106" s="124"/>
      <c r="O106" s="74"/>
      <c r="P106" s="124"/>
      <c r="Q106" s="74"/>
      <c r="R106" s="124"/>
      <c r="S106" s="74"/>
      <c r="T106" s="124"/>
      <c r="U106" s="74"/>
      <c r="V106" s="124"/>
      <c r="W106" s="74"/>
      <c r="X106" s="124"/>
      <c r="Y106" s="74"/>
      <c r="Z106" s="124"/>
      <c r="AA106" s="74"/>
      <c r="AB106" s="124"/>
      <c r="AC106" s="74"/>
      <c r="AD106" s="125"/>
      <c r="AE106" s="80"/>
      <c r="AF106" s="125"/>
      <c r="AG106" s="124"/>
      <c r="AH106" s="74"/>
      <c r="AI106" s="125"/>
      <c r="AJ106" s="80"/>
      <c r="AK106" s="125"/>
      <c r="AL106" s="80"/>
    </row>
    <row r="107" ht="16.5" hidden="1" customHeight="1">
      <c r="A107" s="121" t="s">
        <v>218</v>
      </c>
      <c r="B107" s="122">
        <f>IFERROR(B87-B99-B105, "NA")</f>
        <v>8566.72</v>
      </c>
      <c r="C107" s="94">
        <f>IFERROR(B107/B148, "NA")</f>
        <v>0.2944743099</v>
      </c>
      <c r="D107" s="122">
        <f>IFERROR(D87-D99-D105, "NA")</f>
        <v>3986.6</v>
      </c>
      <c r="E107" s="94">
        <f>IFERROR(D107/D148, "NA")</f>
        <v>0.1625213517</v>
      </c>
      <c r="F107" s="122">
        <f>IFERROR(F87-F99-F105, "NA")</f>
        <v>-17282.76</v>
      </c>
      <c r="G107" s="94">
        <f>IFERROR(F107/F148, "NA")</f>
        <v>-0.6167315238</v>
      </c>
      <c r="H107" s="122">
        <f>IFERROR(H87-H99-H105, "NA")</f>
        <v>4780.57</v>
      </c>
      <c r="I107" s="94">
        <f>IFERROR(H107/H148, "NA")</f>
        <v>0.2804368192</v>
      </c>
      <c r="J107" s="122">
        <f>IFERROR(J87-J99-J105, "NA")</f>
        <v>3719.04</v>
      </c>
      <c r="K107" s="94">
        <f>IFERROR(J107/J148, "NA")</f>
        <v>0.1642642705</v>
      </c>
      <c r="L107" s="122">
        <f>IFERROR(L87-L99-L105, "NA")</f>
        <v>8017.45</v>
      </c>
      <c r="M107" s="94">
        <f>IFERROR(L107/L148, "NA")</f>
        <v>0.2739715027</v>
      </c>
      <c r="N107" s="122">
        <f>IFERROR(N87-N99-N105, "NA")</f>
        <v>-1551.67</v>
      </c>
      <c r="O107" s="94">
        <f>IFERROR(N107/N148, "NA")</f>
        <v>-0.07037945862</v>
      </c>
      <c r="P107" s="122">
        <f>IFERROR(P87-P99-P105, "NA")</f>
        <v>-24444.53</v>
      </c>
      <c r="Q107" s="94">
        <f>IFERROR(P107/P148, "NA")</f>
        <v>-1.662674901</v>
      </c>
      <c r="R107" s="122">
        <f>IFERROR(R87-R99-R105, "NA")</f>
        <v>7619.09</v>
      </c>
      <c r="S107" s="94">
        <f>IFERROR(R107/R148, "NA")</f>
        <v>0.5065298297</v>
      </c>
      <c r="T107" s="122">
        <f>IFERROR(T87-T99-T105, "NA")</f>
        <v>3867.68</v>
      </c>
      <c r="U107" s="94">
        <f>IFERROR(T107/T148, "NA")</f>
        <v>0.207918993</v>
      </c>
      <c r="V107" s="122">
        <f>IFERROR(V87-V99-V105, "NA")</f>
        <v>815.83</v>
      </c>
      <c r="W107" s="94">
        <f>IFERROR(V107/V148, "NA")</f>
        <v>0.03883421665</v>
      </c>
      <c r="X107" s="122">
        <f>IFERROR(X87-X99-X105, "NA")</f>
        <v>-12094.07</v>
      </c>
      <c r="Y107" s="94">
        <f>IFERROR(X107/X148, "NA")</f>
        <v>-0.6959918834</v>
      </c>
      <c r="Z107" s="122">
        <f>IFERROR(Z87-Z99-Z105, "NA")</f>
        <v>208.53</v>
      </c>
      <c r="AA107" s="94">
        <f>IFERROR(Z107/Z148, "NA")</f>
        <v>0.002895109648</v>
      </c>
      <c r="AB107" s="122">
        <f>IFERROR((R107+T107+V107+X107)/4, "NA")</f>
        <v>52.1325</v>
      </c>
      <c r="AC107" s="94">
        <f>IFERROR(AB107/AB148, "NA")</f>
        <v>0.002895109648</v>
      </c>
      <c r="AD107" s="75">
        <f>IFERROR(X107-AB107, "NA")</f>
        <v>-12146.2025</v>
      </c>
      <c r="AE107" s="76">
        <f>IFERROR(AD107/AD148, "NA")</f>
        <v>19.26898152</v>
      </c>
      <c r="AF107" s="75">
        <f>IFERROR((X107-AB107)/AB107, "NA")</f>
        <v>-232.9871481</v>
      </c>
      <c r="AG107" s="122">
        <f>IFERROR((J107+L107+N107+P107+R107+T107+V107+X107)/8, "NA")</f>
        <v>-1756.3975</v>
      </c>
      <c r="AH107" s="94">
        <f>IFERROR(AG107/AG148, "NA")</f>
        <v>-0.08744719147</v>
      </c>
      <c r="AI107" s="75">
        <f>IFERROR(X107-AG107, "NA")</f>
        <v>-10337.6725</v>
      </c>
      <c r="AJ107" s="76">
        <f>IFERROR(AI107/AI148, "NA")</f>
        <v>3.816757177</v>
      </c>
      <c r="AK107" s="75">
        <f>IFERROR((X107-AG107)/AG107, "NA")</f>
        <v>5.8857249</v>
      </c>
      <c r="AL107" s="76">
        <f>IFERROR(AK107/AK148, "NA")</f>
        <v>-43.64642377</v>
      </c>
    </row>
    <row r="108" ht="3.75" hidden="1" customHeight="1">
      <c r="A108" s="123"/>
      <c r="B108" s="124"/>
      <c r="C108" s="74"/>
      <c r="D108" s="124"/>
      <c r="E108" s="74"/>
      <c r="F108" s="124"/>
      <c r="G108" s="74"/>
      <c r="H108" s="124"/>
      <c r="I108" s="74"/>
      <c r="J108" s="124"/>
      <c r="K108" s="74"/>
      <c r="L108" s="124"/>
      <c r="M108" s="74"/>
      <c r="N108" s="124"/>
      <c r="O108" s="74"/>
      <c r="P108" s="124"/>
      <c r="Q108" s="74"/>
      <c r="R108" s="124"/>
      <c r="S108" s="74"/>
      <c r="T108" s="124"/>
      <c r="U108" s="74"/>
      <c r="V108" s="124"/>
      <c r="W108" s="74"/>
      <c r="X108" s="124"/>
      <c r="Y108" s="74"/>
      <c r="Z108" s="124"/>
      <c r="AA108" s="74"/>
      <c r="AB108" s="124"/>
      <c r="AC108" s="74"/>
      <c r="AD108" s="125"/>
      <c r="AE108" s="80"/>
      <c r="AF108" s="125"/>
      <c r="AG108" s="124"/>
      <c r="AH108" s="74"/>
      <c r="AI108" s="125"/>
      <c r="AJ108" s="80"/>
      <c r="AK108" s="125"/>
      <c r="AL108" s="80"/>
    </row>
    <row r="109" ht="16.5" hidden="1" customHeight="1">
      <c r="A109" s="13" t="s">
        <v>219</v>
      </c>
      <c r="B109" s="14"/>
      <c r="C109" s="12"/>
      <c r="D109" s="14"/>
      <c r="E109" s="12"/>
      <c r="F109" s="14"/>
      <c r="G109" s="12"/>
      <c r="H109" s="14"/>
      <c r="I109" s="12"/>
      <c r="J109" s="14"/>
      <c r="K109" s="12"/>
      <c r="L109" s="14"/>
      <c r="M109" s="12"/>
      <c r="N109" s="14"/>
      <c r="O109" s="12"/>
      <c r="P109" s="14"/>
      <c r="Q109" s="12"/>
      <c r="R109" s="14"/>
      <c r="S109" s="12"/>
      <c r="T109" s="14"/>
      <c r="U109" s="12"/>
      <c r="V109" s="14"/>
      <c r="W109" s="12"/>
      <c r="X109" s="14"/>
      <c r="Y109" s="12"/>
      <c r="Z109" s="14"/>
      <c r="AA109" s="12"/>
      <c r="AB109" s="14"/>
      <c r="AC109" s="12"/>
      <c r="AD109" s="17"/>
      <c r="AE109" s="18"/>
      <c r="AF109" s="17"/>
      <c r="AG109" s="14"/>
      <c r="AH109" s="12"/>
      <c r="AI109" s="17"/>
      <c r="AJ109" s="18"/>
      <c r="AK109" s="17"/>
      <c r="AL109" s="18"/>
    </row>
    <row r="110" ht="16.5" hidden="1" customHeight="1">
      <c r="A110" s="19" t="s">
        <v>220</v>
      </c>
      <c r="B110" s="21">
        <v>0.0</v>
      </c>
      <c r="C110" s="23">
        <f>IFERROR(B110/B148, "NA")</f>
        <v>0</v>
      </c>
      <c r="D110" s="21">
        <v>0.0</v>
      </c>
      <c r="E110" s="23">
        <f>IFERROR(D110/D148, "NA")</f>
        <v>0</v>
      </c>
      <c r="F110" s="21">
        <v>0.0</v>
      </c>
      <c r="G110" s="23">
        <f>IFERROR(F110/F148, "NA")</f>
        <v>0</v>
      </c>
      <c r="H110" s="21">
        <v>0.0</v>
      </c>
      <c r="I110" s="23">
        <f>IFERROR(H110/H148, "NA")</f>
        <v>0</v>
      </c>
      <c r="J110" s="21">
        <v>0.0</v>
      </c>
      <c r="K110" s="23">
        <f>IFERROR(J110/J148, "NA")</f>
        <v>0</v>
      </c>
      <c r="L110" s="21">
        <v>0.0</v>
      </c>
      <c r="M110" s="23">
        <f>IFERROR(L110/L148, "NA")</f>
        <v>0</v>
      </c>
      <c r="N110" s="21">
        <v>0.0</v>
      </c>
      <c r="O110" s="23">
        <f>IFERROR(N110/N148, "NA")</f>
        <v>0</v>
      </c>
      <c r="P110" s="21">
        <v>0.0</v>
      </c>
      <c r="Q110" s="23">
        <f>IFERROR(P110/P148, "NA")</f>
        <v>0</v>
      </c>
      <c r="R110" s="21">
        <v>0.0</v>
      </c>
      <c r="S110" s="23">
        <f>IFERROR(R110/R148, "NA")</f>
        <v>0</v>
      </c>
      <c r="T110" s="21">
        <v>0.0</v>
      </c>
      <c r="U110" s="23">
        <f>IFERROR(T110/T148, "NA")</f>
        <v>0</v>
      </c>
      <c r="V110" s="21">
        <v>0.0</v>
      </c>
      <c r="W110" s="23">
        <f>IFERROR(V110/V148, "NA")</f>
        <v>0</v>
      </c>
      <c r="X110" s="21">
        <v>0.0</v>
      </c>
      <c r="Y110" s="23">
        <f>IFERROR(X110/X148, "NA")</f>
        <v>0</v>
      </c>
      <c r="Z110" s="21">
        <v>0.0</v>
      </c>
      <c r="AA110" s="23">
        <f>IFERROR(Z110/Z148, "NA")</f>
        <v>0</v>
      </c>
      <c r="AB110" s="28">
        <f t="shared" ref="AB110:AB135" si="55">IFERROR((R110+T110+V110+X110)/4, "NA")</f>
        <v>0</v>
      </c>
      <c r="AC110" s="23">
        <f>IFERROR(AB110/AB148, "NA")</f>
        <v>0</v>
      </c>
      <c r="AD110" s="29">
        <f t="shared" ref="AD110:AD135" si="56">IFERROR(X110-AB110, "NA")</f>
        <v>0</v>
      </c>
      <c r="AE110" s="30">
        <f>IFERROR(AD110/AD148, "NA")</f>
        <v>0</v>
      </c>
      <c r="AF110" s="29" t="str">
        <f t="shared" ref="AF110:AF135" si="57">IFERROR((X110-AB110)/AB110, "NA")</f>
        <v>NA</v>
      </c>
      <c r="AG110" s="28">
        <f t="shared" ref="AG110:AG135" si="58">IFERROR((J110+L110+N110+P110+R110+T110+V110+X110)/8, "NA")</f>
        <v>0</v>
      </c>
      <c r="AH110" s="23">
        <f>IFERROR(AG110/AG148, "NA")</f>
        <v>0</v>
      </c>
      <c r="AI110" s="29">
        <f t="shared" ref="AI110:AI135" si="59">IFERROR(X110-AG110, "NA")</f>
        <v>0</v>
      </c>
      <c r="AJ110" s="30">
        <f>IFERROR(AI110/AI148, "NA")</f>
        <v>0</v>
      </c>
      <c r="AK110" s="29" t="str">
        <f t="shared" ref="AK110:AK135" si="60">IFERROR((X110-AG110)/AG110, "NA")</f>
        <v>NA</v>
      </c>
      <c r="AL110" s="30" t="str">
        <f>IFERROR(AK110/AK148, "NA")</f>
        <v>NA</v>
      </c>
    </row>
    <row r="111" ht="16.5" hidden="1" customHeight="1">
      <c r="A111" s="19" t="s">
        <v>221</v>
      </c>
      <c r="B111" s="21">
        <v>0.0</v>
      </c>
      <c r="C111" s="23">
        <f>IFERROR(B111/B148, "NA")</f>
        <v>0</v>
      </c>
      <c r="D111" s="21">
        <v>0.0</v>
      </c>
      <c r="E111" s="23">
        <f>IFERROR(D111/D148, "NA")</f>
        <v>0</v>
      </c>
      <c r="F111" s="21">
        <v>0.0</v>
      </c>
      <c r="G111" s="23">
        <f>IFERROR(F111/F148, "NA")</f>
        <v>0</v>
      </c>
      <c r="H111" s="21">
        <v>0.0</v>
      </c>
      <c r="I111" s="23">
        <f>IFERROR(H111/H148, "NA")</f>
        <v>0</v>
      </c>
      <c r="J111" s="21">
        <v>0.0</v>
      </c>
      <c r="K111" s="23">
        <f>IFERROR(J111/J148, "NA")</f>
        <v>0</v>
      </c>
      <c r="L111" s="21">
        <v>0.0</v>
      </c>
      <c r="M111" s="23">
        <f>IFERROR(L111/L148, "NA")</f>
        <v>0</v>
      </c>
      <c r="N111" s="21">
        <v>0.0</v>
      </c>
      <c r="O111" s="23">
        <f>IFERROR(N111/N148, "NA")</f>
        <v>0</v>
      </c>
      <c r="P111" s="21">
        <v>0.0</v>
      </c>
      <c r="Q111" s="23">
        <f>IFERROR(P111/P148, "NA")</f>
        <v>0</v>
      </c>
      <c r="R111" s="21">
        <v>0.0</v>
      </c>
      <c r="S111" s="23">
        <f>IFERROR(R111/R148, "NA")</f>
        <v>0</v>
      </c>
      <c r="T111" s="21">
        <v>0.0</v>
      </c>
      <c r="U111" s="23">
        <f>IFERROR(T111/T148, "NA")</f>
        <v>0</v>
      </c>
      <c r="V111" s="21">
        <v>0.0</v>
      </c>
      <c r="W111" s="23">
        <f>IFERROR(V111/V148, "NA")</f>
        <v>0</v>
      </c>
      <c r="X111" s="21">
        <v>0.0</v>
      </c>
      <c r="Y111" s="23">
        <f>IFERROR(X111/X148, "NA")</f>
        <v>0</v>
      </c>
      <c r="Z111" s="21">
        <v>0.0</v>
      </c>
      <c r="AA111" s="23">
        <f>IFERROR(Z111/Z148, "NA")</f>
        <v>0</v>
      </c>
      <c r="AB111" s="28">
        <f t="shared" si="55"/>
        <v>0</v>
      </c>
      <c r="AC111" s="23">
        <f>IFERROR(AB111/AB148, "NA")</f>
        <v>0</v>
      </c>
      <c r="AD111" s="29">
        <f t="shared" si="56"/>
        <v>0</v>
      </c>
      <c r="AE111" s="30">
        <f>IFERROR(AD111/AD148, "NA")</f>
        <v>0</v>
      </c>
      <c r="AF111" s="29" t="str">
        <f t="shared" si="57"/>
        <v>NA</v>
      </c>
      <c r="AG111" s="28">
        <f t="shared" si="58"/>
        <v>0</v>
      </c>
      <c r="AH111" s="23">
        <f>IFERROR(AG111/AG148, "NA")</f>
        <v>0</v>
      </c>
      <c r="AI111" s="29">
        <f t="shared" si="59"/>
        <v>0</v>
      </c>
      <c r="AJ111" s="30">
        <f>IFERROR(AI111/AI148, "NA")</f>
        <v>0</v>
      </c>
      <c r="AK111" s="29" t="str">
        <f t="shared" si="60"/>
        <v>NA</v>
      </c>
      <c r="AL111" s="30" t="str">
        <f>IFERROR(AK111/AK148, "NA")</f>
        <v>NA</v>
      </c>
    </row>
    <row r="112" ht="16.5" hidden="1" customHeight="1">
      <c r="A112" s="19" t="s">
        <v>222</v>
      </c>
      <c r="B112" s="21">
        <v>0.0</v>
      </c>
      <c r="C112" s="23">
        <f>IFERROR(B112/B148, "NA")</f>
        <v>0</v>
      </c>
      <c r="D112" s="21">
        <v>0.0</v>
      </c>
      <c r="E112" s="23">
        <f>IFERROR(D112/D148, "NA")</f>
        <v>0</v>
      </c>
      <c r="F112" s="21">
        <v>0.0</v>
      </c>
      <c r="G112" s="23">
        <f>IFERROR(F112/F148, "NA")</f>
        <v>0</v>
      </c>
      <c r="H112" s="21">
        <v>0.0</v>
      </c>
      <c r="I112" s="23">
        <f>IFERROR(H112/H148, "NA")</f>
        <v>0</v>
      </c>
      <c r="J112" s="21">
        <v>0.0</v>
      </c>
      <c r="K112" s="23">
        <f>IFERROR(J112/J148, "NA")</f>
        <v>0</v>
      </c>
      <c r="L112" s="21">
        <v>0.0</v>
      </c>
      <c r="M112" s="23">
        <f>IFERROR(L112/L148, "NA")</f>
        <v>0</v>
      </c>
      <c r="N112" s="21">
        <v>0.0</v>
      </c>
      <c r="O112" s="23">
        <f>IFERROR(N112/N148, "NA")</f>
        <v>0</v>
      </c>
      <c r="P112" s="21">
        <v>0.0</v>
      </c>
      <c r="Q112" s="23">
        <f>IFERROR(P112/P148, "NA")</f>
        <v>0</v>
      </c>
      <c r="R112" s="21">
        <v>0.0</v>
      </c>
      <c r="S112" s="23">
        <f>IFERROR(R112/R148, "NA")</f>
        <v>0</v>
      </c>
      <c r="T112" s="21">
        <v>0.0</v>
      </c>
      <c r="U112" s="23">
        <f>IFERROR(T112/T148, "NA")</f>
        <v>0</v>
      </c>
      <c r="V112" s="21">
        <v>0.0</v>
      </c>
      <c r="W112" s="23">
        <f>IFERROR(V112/V148, "NA")</f>
        <v>0</v>
      </c>
      <c r="X112" s="21">
        <v>0.0</v>
      </c>
      <c r="Y112" s="23">
        <f>IFERROR(X112/X148, "NA")</f>
        <v>0</v>
      </c>
      <c r="Z112" s="21">
        <v>0.0</v>
      </c>
      <c r="AA112" s="23">
        <f>IFERROR(Z112/Z148, "NA")</f>
        <v>0</v>
      </c>
      <c r="AB112" s="28">
        <f t="shared" si="55"/>
        <v>0</v>
      </c>
      <c r="AC112" s="23">
        <f>IFERROR(AB112/AB148, "NA")</f>
        <v>0</v>
      </c>
      <c r="AD112" s="29">
        <f t="shared" si="56"/>
        <v>0</v>
      </c>
      <c r="AE112" s="30">
        <f>IFERROR(AD112/AD148, "NA")</f>
        <v>0</v>
      </c>
      <c r="AF112" s="29" t="str">
        <f t="shared" si="57"/>
        <v>NA</v>
      </c>
      <c r="AG112" s="28">
        <f t="shared" si="58"/>
        <v>0</v>
      </c>
      <c r="AH112" s="23">
        <f>IFERROR(AG112/AG148, "NA")</f>
        <v>0</v>
      </c>
      <c r="AI112" s="29">
        <f t="shared" si="59"/>
        <v>0</v>
      </c>
      <c r="AJ112" s="30">
        <f>IFERROR(AI112/AI148, "NA")</f>
        <v>0</v>
      </c>
      <c r="AK112" s="29" t="str">
        <f t="shared" si="60"/>
        <v>NA</v>
      </c>
      <c r="AL112" s="30" t="str">
        <f>IFERROR(AK112/AK148, "NA")</f>
        <v>NA</v>
      </c>
    </row>
    <row r="113" ht="16.5" hidden="1" customHeight="1">
      <c r="A113" s="19" t="s">
        <v>223</v>
      </c>
      <c r="B113" s="21">
        <v>0.0</v>
      </c>
      <c r="C113" s="23">
        <f>IFERROR(B113/B148, "NA")</f>
        <v>0</v>
      </c>
      <c r="D113" s="21">
        <v>0.0</v>
      </c>
      <c r="E113" s="23">
        <f>IFERROR(D113/D148, "NA")</f>
        <v>0</v>
      </c>
      <c r="F113" s="21">
        <v>0.0</v>
      </c>
      <c r="G113" s="23">
        <f>IFERROR(F113/F148, "NA")</f>
        <v>0</v>
      </c>
      <c r="H113" s="21">
        <v>0.0</v>
      </c>
      <c r="I113" s="23">
        <f>IFERROR(H113/H148, "NA")</f>
        <v>0</v>
      </c>
      <c r="J113" s="21">
        <v>0.0</v>
      </c>
      <c r="K113" s="23">
        <f>IFERROR(J113/J148, "NA")</f>
        <v>0</v>
      </c>
      <c r="L113" s="21">
        <v>0.0</v>
      </c>
      <c r="M113" s="23">
        <f>IFERROR(L113/L148, "NA")</f>
        <v>0</v>
      </c>
      <c r="N113" s="21">
        <v>0.0</v>
      </c>
      <c r="O113" s="23">
        <f>IFERROR(N113/N148, "NA")</f>
        <v>0</v>
      </c>
      <c r="P113" s="21">
        <v>0.0</v>
      </c>
      <c r="Q113" s="23">
        <f>IFERROR(P113/P148, "NA")</f>
        <v>0</v>
      </c>
      <c r="R113" s="21">
        <v>0.0</v>
      </c>
      <c r="S113" s="23">
        <f>IFERROR(R113/R148, "NA")</f>
        <v>0</v>
      </c>
      <c r="T113" s="21">
        <v>0.0</v>
      </c>
      <c r="U113" s="23">
        <f>IFERROR(T113/T148, "NA")</f>
        <v>0</v>
      </c>
      <c r="V113" s="21">
        <v>0.0</v>
      </c>
      <c r="W113" s="23">
        <f>IFERROR(V113/V148, "NA")</f>
        <v>0</v>
      </c>
      <c r="X113" s="21">
        <v>0.0</v>
      </c>
      <c r="Y113" s="23">
        <f>IFERROR(X113/X148, "NA")</f>
        <v>0</v>
      </c>
      <c r="Z113" s="21">
        <v>0.0</v>
      </c>
      <c r="AA113" s="23">
        <f>IFERROR(Z113/Z148, "NA")</f>
        <v>0</v>
      </c>
      <c r="AB113" s="28">
        <f t="shared" si="55"/>
        <v>0</v>
      </c>
      <c r="AC113" s="23">
        <f>IFERROR(AB113/AB148, "NA")</f>
        <v>0</v>
      </c>
      <c r="AD113" s="29">
        <f t="shared" si="56"/>
        <v>0</v>
      </c>
      <c r="AE113" s="30">
        <f>IFERROR(AD113/AD148, "NA")</f>
        <v>0</v>
      </c>
      <c r="AF113" s="29" t="str">
        <f t="shared" si="57"/>
        <v>NA</v>
      </c>
      <c r="AG113" s="28">
        <f t="shared" si="58"/>
        <v>0</v>
      </c>
      <c r="AH113" s="23">
        <f>IFERROR(AG113/AG148, "NA")</f>
        <v>0</v>
      </c>
      <c r="AI113" s="29">
        <f t="shared" si="59"/>
        <v>0</v>
      </c>
      <c r="AJ113" s="30">
        <f>IFERROR(AI113/AI148, "NA")</f>
        <v>0</v>
      </c>
      <c r="AK113" s="29" t="str">
        <f t="shared" si="60"/>
        <v>NA</v>
      </c>
      <c r="AL113" s="30" t="str">
        <f>IFERROR(AK113/AK148, "NA")</f>
        <v>NA</v>
      </c>
    </row>
    <row r="114" ht="16.5" hidden="1" customHeight="1">
      <c r="A114" s="19" t="s">
        <v>224</v>
      </c>
      <c r="B114" s="21">
        <v>0.0</v>
      </c>
      <c r="C114" s="23">
        <f>IFERROR(B114/B148, "NA")</f>
        <v>0</v>
      </c>
      <c r="D114" s="21">
        <v>0.0</v>
      </c>
      <c r="E114" s="23">
        <f>IFERROR(D114/D148, "NA")</f>
        <v>0</v>
      </c>
      <c r="F114" s="21">
        <v>0.0</v>
      </c>
      <c r="G114" s="23">
        <f>IFERROR(F114/F148, "NA")</f>
        <v>0</v>
      </c>
      <c r="H114" s="21">
        <v>0.0</v>
      </c>
      <c r="I114" s="23">
        <f>IFERROR(H114/H148, "NA")</f>
        <v>0</v>
      </c>
      <c r="J114" s="21">
        <v>0.0</v>
      </c>
      <c r="K114" s="23">
        <f>IFERROR(J114/J148, "NA")</f>
        <v>0</v>
      </c>
      <c r="L114" s="21">
        <v>0.0</v>
      </c>
      <c r="M114" s="23">
        <f>IFERROR(L114/L148, "NA")</f>
        <v>0</v>
      </c>
      <c r="N114" s="21">
        <v>0.0</v>
      </c>
      <c r="O114" s="23">
        <f>IFERROR(N114/N148, "NA")</f>
        <v>0</v>
      </c>
      <c r="P114" s="21">
        <v>0.0</v>
      </c>
      <c r="Q114" s="23">
        <f>IFERROR(P114/P148, "NA")</f>
        <v>0</v>
      </c>
      <c r="R114" s="21">
        <v>0.0</v>
      </c>
      <c r="S114" s="23">
        <f>IFERROR(R114/R148, "NA")</f>
        <v>0</v>
      </c>
      <c r="T114" s="21">
        <v>0.0</v>
      </c>
      <c r="U114" s="23">
        <f>IFERROR(T114/T148, "NA")</f>
        <v>0</v>
      </c>
      <c r="V114" s="21">
        <v>0.0</v>
      </c>
      <c r="W114" s="23">
        <f>IFERROR(V114/V148, "NA")</f>
        <v>0</v>
      </c>
      <c r="X114" s="21">
        <v>0.0</v>
      </c>
      <c r="Y114" s="23">
        <f>IFERROR(X114/X148, "NA")</f>
        <v>0</v>
      </c>
      <c r="Z114" s="21">
        <v>0.0</v>
      </c>
      <c r="AA114" s="23">
        <f>IFERROR(Z114/Z148, "NA")</f>
        <v>0</v>
      </c>
      <c r="AB114" s="28">
        <f t="shared" si="55"/>
        <v>0</v>
      </c>
      <c r="AC114" s="23">
        <f>IFERROR(AB114/AB148, "NA")</f>
        <v>0</v>
      </c>
      <c r="AD114" s="29">
        <f t="shared" si="56"/>
        <v>0</v>
      </c>
      <c r="AE114" s="30">
        <f>IFERROR(AD114/AD148, "NA")</f>
        <v>0</v>
      </c>
      <c r="AF114" s="29" t="str">
        <f t="shared" si="57"/>
        <v>NA</v>
      </c>
      <c r="AG114" s="28">
        <f t="shared" si="58"/>
        <v>0</v>
      </c>
      <c r="AH114" s="23">
        <f>IFERROR(AG114/AG148, "NA")</f>
        <v>0</v>
      </c>
      <c r="AI114" s="29">
        <f t="shared" si="59"/>
        <v>0</v>
      </c>
      <c r="AJ114" s="30">
        <f>IFERROR(AI114/AI148, "NA")</f>
        <v>0</v>
      </c>
      <c r="AK114" s="29" t="str">
        <f t="shared" si="60"/>
        <v>NA</v>
      </c>
      <c r="AL114" s="30" t="str">
        <f>IFERROR(AK114/AK148, "NA")</f>
        <v>NA</v>
      </c>
    </row>
    <row r="115" ht="16.5" hidden="1" customHeight="1">
      <c r="A115" s="19" t="s">
        <v>225</v>
      </c>
      <c r="B115" s="21">
        <v>0.0</v>
      </c>
      <c r="C115" s="23">
        <f>IFERROR(B115/B148, "NA")</f>
        <v>0</v>
      </c>
      <c r="D115" s="21">
        <v>0.0</v>
      </c>
      <c r="E115" s="23">
        <f>IFERROR(D115/D148, "NA")</f>
        <v>0</v>
      </c>
      <c r="F115" s="21">
        <v>0.0</v>
      </c>
      <c r="G115" s="23">
        <f>IFERROR(F115/F148, "NA")</f>
        <v>0</v>
      </c>
      <c r="H115" s="21">
        <v>0.0</v>
      </c>
      <c r="I115" s="23">
        <f>IFERROR(H115/H148, "NA")</f>
        <v>0</v>
      </c>
      <c r="J115" s="21">
        <v>0.0</v>
      </c>
      <c r="K115" s="23">
        <f>IFERROR(J115/J148, "NA")</f>
        <v>0</v>
      </c>
      <c r="L115" s="21">
        <v>0.0</v>
      </c>
      <c r="M115" s="23">
        <f>IFERROR(L115/L148, "NA")</f>
        <v>0</v>
      </c>
      <c r="N115" s="21">
        <v>0.0</v>
      </c>
      <c r="O115" s="23">
        <f>IFERROR(N115/N148, "NA")</f>
        <v>0</v>
      </c>
      <c r="P115" s="21">
        <v>0.0</v>
      </c>
      <c r="Q115" s="23">
        <f>IFERROR(P115/P148, "NA")</f>
        <v>0</v>
      </c>
      <c r="R115" s="21">
        <v>0.0</v>
      </c>
      <c r="S115" s="23">
        <f>IFERROR(R115/R148, "NA")</f>
        <v>0</v>
      </c>
      <c r="T115" s="21">
        <v>0.0</v>
      </c>
      <c r="U115" s="23">
        <f>IFERROR(T115/T148, "NA")</f>
        <v>0</v>
      </c>
      <c r="V115" s="21">
        <v>0.0</v>
      </c>
      <c r="W115" s="23">
        <f>IFERROR(V115/V148, "NA")</f>
        <v>0</v>
      </c>
      <c r="X115" s="21">
        <v>0.0</v>
      </c>
      <c r="Y115" s="23">
        <f>IFERROR(X115/X148, "NA")</f>
        <v>0</v>
      </c>
      <c r="Z115" s="21">
        <v>0.0</v>
      </c>
      <c r="AA115" s="23">
        <f>IFERROR(Z115/Z148, "NA")</f>
        <v>0</v>
      </c>
      <c r="AB115" s="28">
        <f t="shared" si="55"/>
        <v>0</v>
      </c>
      <c r="AC115" s="23">
        <f>IFERROR(AB115/AB148, "NA")</f>
        <v>0</v>
      </c>
      <c r="AD115" s="29">
        <f t="shared" si="56"/>
        <v>0</v>
      </c>
      <c r="AE115" s="30">
        <f>IFERROR(AD115/AD148, "NA")</f>
        <v>0</v>
      </c>
      <c r="AF115" s="29" t="str">
        <f t="shared" si="57"/>
        <v>NA</v>
      </c>
      <c r="AG115" s="28">
        <f t="shared" si="58"/>
        <v>0</v>
      </c>
      <c r="AH115" s="23">
        <f>IFERROR(AG115/AG148, "NA")</f>
        <v>0</v>
      </c>
      <c r="AI115" s="29">
        <f t="shared" si="59"/>
        <v>0</v>
      </c>
      <c r="AJ115" s="30">
        <f>IFERROR(AI115/AI148, "NA")</f>
        <v>0</v>
      </c>
      <c r="AK115" s="29" t="str">
        <f t="shared" si="60"/>
        <v>NA</v>
      </c>
      <c r="AL115" s="30" t="str">
        <f>IFERROR(AK115/AK148, "NA")</f>
        <v>NA</v>
      </c>
    </row>
    <row r="116" ht="16.5" hidden="1" customHeight="1">
      <c r="A116" s="19" t="s">
        <v>226</v>
      </c>
      <c r="B116" s="21">
        <v>0.0</v>
      </c>
      <c r="C116" s="23">
        <f>IFERROR(B116/B148, "NA")</f>
        <v>0</v>
      </c>
      <c r="D116" s="21">
        <v>0.0</v>
      </c>
      <c r="E116" s="23">
        <f>IFERROR(D116/D148, "NA")</f>
        <v>0</v>
      </c>
      <c r="F116" s="21">
        <v>0.0</v>
      </c>
      <c r="G116" s="23">
        <f>IFERROR(F116/F148, "NA")</f>
        <v>0</v>
      </c>
      <c r="H116" s="21">
        <v>0.0</v>
      </c>
      <c r="I116" s="23">
        <f>IFERROR(H116/H148, "NA")</f>
        <v>0</v>
      </c>
      <c r="J116" s="21">
        <v>0.0</v>
      </c>
      <c r="K116" s="23">
        <f>IFERROR(J116/J148, "NA")</f>
        <v>0</v>
      </c>
      <c r="L116" s="21">
        <v>0.0</v>
      </c>
      <c r="M116" s="23">
        <f>IFERROR(L116/L148, "NA")</f>
        <v>0</v>
      </c>
      <c r="N116" s="21">
        <v>0.0</v>
      </c>
      <c r="O116" s="23">
        <f>IFERROR(N116/N148, "NA")</f>
        <v>0</v>
      </c>
      <c r="P116" s="21">
        <v>0.0</v>
      </c>
      <c r="Q116" s="23">
        <f>IFERROR(P116/P148, "NA")</f>
        <v>0</v>
      </c>
      <c r="R116" s="21">
        <v>0.0</v>
      </c>
      <c r="S116" s="23">
        <f>IFERROR(R116/R148, "NA")</f>
        <v>0</v>
      </c>
      <c r="T116" s="21">
        <v>0.0</v>
      </c>
      <c r="U116" s="23">
        <f>IFERROR(T116/T148, "NA")</f>
        <v>0</v>
      </c>
      <c r="V116" s="21">
        <v>0.0</v>
      </c>
      <c r="W116" s="23">
        <f>IFERROR(V116/V148, "NA")</f>
        <v>0</v>
      </c>
      <c r="X116" s="21">
        <v>0.0</v>
      </c>
      <c r="Y116" s="23">
        <f>IFERROR(X116/X148, "NA")</f>
        <v>0</v>
      </c>
      <c r="Z116" s="21">
        <v>0.0</v>
      </c>
      <c r="AA116" s="23">
        <f>IFERROR(Z116/Z148, "NA")</f>
        <v>0</v>
      </c>
      <c r="AB116" s="28">
        <f t="shared" si="55"/>
        <v>0</v>
      </c>
      <c r="AC116" s="23">
        <f>IFERROR(AB116/AB148, "NA")</f>
        <v>0</v>
      </c>
      <c r="AD116" s="29">
        <f t="shared" si="56"/>
        <v>0</v>
      </c>
      <c r="AE116" s="30">
        <f>IFERROR(AD116/AD148, "NA")</f>
        <v>0</v>
      </c>
      <c r="AF116" s="29" t="str">
        <f t="shared" si="57"/>
        <v>NA</v>
      </c>
      <c r="AG116" s="28">
        <f t="shared" si="58"/>
        <v>0</v>
      </c>
      <c r="AH116" s="23">
        <f>IFERROR(AG116/AG148, "NA")</f>
        <v>0</v>
      </c>
      <c r="AI116" s="29">
        <f t="shared" si="59"/>
        <v>0</v>
      </c>
      <c r="AJ116" s="30">
        <f>IFERROR(AI116/AI148, "NA")</f>
        <v>0</v>
      </c>
      <c r="AK116" s="29" t="str">
        <f t="shared" si="60"/>
        <v>NA</v>
      </c>
      <c r="AL116" s="30" t="str">
        <f>IFERROR(AK116/AK148, "NA")</f>
        <v>NA</v>
      </c>
    </row>
    <row r="117" ht="16.5" hidden="1" customHeight="1">
      <c r="A117" s="19" t="s">
        <v>227</v>
      </c>
      <c r="B117" s="21">
        <v>0.0</v>
      </c>
      <c r="C117" s="23">
        <f>IFERROR(B117/B148, "NA")</f>
        <v>0</v>
      </c>
      <c r="D117" s="21">
        <v>0.0</v>
      </c>
      <c r="E117" s="23">
        <f>IFERROR(D117/D148, "NA")</f>
        <v>0</v>
      </c>
      <c r="F117" s="21">
        <v>0.0</v>
      </c>
      <c r="G117" s="23">
        <f>IFERROR(F117/F148, "NA")</f>
        <v>0</v>
      </c>
      <c r="H117" s="21">
        <v>0.0</v>
      </c>
      <c r="I117" s="23">
        <f>IFERROR(H117/H148, "NA")</f>
        <v>0</v>
      </c>
      <c r="J117" s="21">
        <v>0.0</v>
      </c>
      <c r="K117" s="23">
        <f>IFERROR(J117/J148, "NA")</f>
        <v>0</v>
      </c>
      <c r="L117" s="21">
        <v>0.0</v>
      </c>
      <c r="M117" s="23">
        <f>IFERROR(L117/L148, "NA")</f>
        <v>0</v>
      </c>
      <c r="N117" s="21">
        <v>0.0</v>
      </c>
      <c r="O117" s="23">
        <f>IFERROR(N117/N148, "NA")</f>
        <v>0</v>
      </c>
      <c r="P117" s="21">
        <v>0.0</v>
      </c>
      <c r="Q117" s="23">
        <f>IFERROR(P117/P148, "NA")</f>
        <v>0</v>
      </c>
      <c r="R117" s="21">
        <v>0.0</v>
      </c>
      <c r="S117" s="23">
        <f>IFERROR(R117/R148, "NA")</f>
        <v>0</v>
      </c>
      <c r="T117" s="21">
        <v>0.0</v>
      </c>
      <c r="U117" s="23">
        <f>IFERROR(T117/T148, "NA")</f>
        <v>0</v>
      </c>
      <c r="V117" s="21">
        <v>0.0</v>
      </c>
      <c r="W117" s="23">
        <f>IFERROR(V117/V148, "NA")</f>
        <v>0</v>
      </c>
      <c r="X117" s="21">
        <v>0.0</v>
      </c>
      <c r="Y117" s="23">
        <f>IFERROR(X117/X148, "NA")</f>
        <v>0</v>
      </c>
      <c r="Z117" s="21">
        <v>0.0</v>
      </c>
      <c r="AA117" s="23">
        <f>IFERROR(Z117/Z148, "NA")</f>
        <v>0</v>
      </c>
      <c r="AB117" s="28">
        <f t="shared" si="55"/>
        <v>0</v>
      </c>
      <c r="AC117" s="23">
        <f>IFERROR(AB117/AB148, "NA")</f>
        <v>0</v>
      </c>
      <c r="AD117" s="29">
        <f t="shared" si="56"/>
        <v>0</v>
      </c>
      <c r="AE117" s="30">
        <f>IFERROR(AD117/AD148, "NA")</f>
        <v>0</v>
      </c>
      <c r="AF117" s="29" t="str">
        <f t="shared" si="57"/>
        <v>NA</v>
      </c>
      <c r="AG117" s="28">
        <f t="shared" si="58"/>
        <v>0</v>
      </c>
      <c r="AH117" s="23">
        <f>IFERROR(AG117/AG148, "NA")</f>
        <v>0</v>
      </c>
      <c r="AI117" s="29">
        <f t="shared" si="59"/>
        <v>0</v>
      </c>
      <c r="AJ117" s="30">
        <f>IFERROR(AI117/AI148, "NA")</f>
        <v>0</v>
      </c>
      <c r="AK117" s="29" t="str">
        <f t="shared" si="60"/>
        <v>NA</v>
      </c>
      <c r="AL117" s="30" t="str">
        <f>IFERROR(AK117/AK148, "NA")</f>
        <v>NA</v>
      </c>
    </row>
    <row r="118" ht="16.5" hidden="1" customHeight="1">
      <c r="A118" s="19" t="s">
        <v>228</v>
      </c>
      <c r="B118" s="21">
        <v>0.0</v>
      </c>
      <c r="C118" s="23">
        <f>IFERROR(B118/B148, "NA")</f>
        <v>0</v>
      </c>
      <c r="D118" s="21">
        <v>0.0</v>
      </c>
      <c r="E118" s="23">
        <f>IFERROR(D118/D148, "NA")</f>
        <v>0</v>
      </c>
      <c r="F118" s="21">
        <v>0.0</v>
      </c>
      <c r="G118" s="23">
        <f>IFERROR(F118/F148, "NA")</f>
        <v>0</v>
      </c>
      <c r="H118" s="21">
        <v>0.0</v>
      </c>
      <c r="I118" s="23">
        <f>IFERROR(H118/H148, "NA")</f>
        <v>0</v>
      </c>
      <c r="J118" s="21">
        <v>0.0</v>
      </c>
      <c r="K118" s="23">
        <f>IFERROR(J118/J148, "NA")</f>
        <v>0</v>
      </c>
      <c r="L118" s="21">
        <v>0.0</v>
      </c>
      <c r="M118" s="23">
        <f>IFERROR(L118/L148, "NA")</f>
        <v>0</v>
      </c>
      <c r="N118" s="21">
        <v>0.0</v>
      </c>
      <c r="O118" s="23">
        <f>IFERROR(N118/N148, "NA")</f>
        <v>0</v>
      </c>
      <c r="P118" s="21">
        <v>0.0</v>
      </c>
      <c r="Q118" s="23">
        <f>IFERROR(P118/P148, "NA")</f>
        <v>0</v>
      </c>
      <c r="R118" s="21">
        <v>0.0</v>
      </c>
      <c r="S118" s="23">
        <f>IFERROR(R118/R148, "NA")</f>
        <v>0</v>
      </c>
      <c r="T118" s="21">
        <v>0.0</v>
      </c>
      <c r="U118" s="23">
        <f>IFERROR(T118/T148, "NA")</f>
        <v>0</v>
      </c>
      <c r="V118" s="21">
        <v>0.0</v>
      </c>
      <c r="W118" s="23">
        <f>IFERROR(V118/V148, "NA")</f>
        <v>0</v>
      </c>
      <c r="X118" s="21">
        <v>0.0</v>
      </c>
      <c r="Y118" s="23">
        <f>IFERROR(X118/X148, "NA")</f>
        <v>0</v>
      </c>
      <c r="Z118" s="21">
        <v>0.0</v>
      </c>
      <c r="AA118" s="23">
        <f>IFERROR(Z118/Z148, "NA")</f>
        <v>0</v>
      </c>
      <c r="AB118" s="28">
        <f t="shared" si="55"/>
        <v>0</v>
      </c>
      <c r="AC118" s="23">
        <f>IFERROR(AB118/AB148, "NA")</f>
        <v>0</v>
      </c>
      <c r="AD118" s="29">
        <f t="shared" si="56"/>
        <v>0</v>
      </c>
      <c r="AE118" s="30">
        <f>IFERROR(AD118/AD148, "NA")</f>
        <v>0</v>
      </c>
      <c r="AF118" s="29" t="str">
        <f t="shared" si="57"/>
        <v>NA</v>
      </c>
      <c r="AG118" s="28">
        <f t="shared" si="58"/>
        <v>0</v>
      </c>
      <c r="AH118" s="23">
        <f>IFERROR(AG118/AG148, "NA")</f>
        <v>0</v>
      </c>
      <c r="AI118" s="29">
        <f t="shared" si="59"/>
        <v>0</v>
      </c>
      <c r="AJ118" s="30">
        <f>IFERROR(AI118/AI148, "NA")</f>
        <v>0</v>
      </c>
      <c r="AK118" s="29" t="str">
        <f t="shared" si="60"/>
        <v>NA</v>
      </c>
      <c r="AL118" s="30" t="str">
        <f>IFERROR(AK118/AK148, "NA")</f>
        <v>NA</v>
      </c>
    </row>
    <row r="119" ht="16.5" hidden="1" customHeight="1">
      <c r="A119" s="19" t="s">
        <v>229</v>
      </c>
      <c r="B119" s="21">
        <v>0.0</v>
      </c>
      <c r="C119" s="23">
        <f>IFERROR(B119/B148, "NA")</f>
        <v>0</v>
      </c>
      <c r="D119" s="21">
        <v>0.0</v>
      </c>
      <c r="E119" s="23">
        <f>IFERROR(D119/D148, "NA")</f>
        <v>0</v>
      </c>
      <c r="F119" s="21">
        <v>0.0</v>
      </c>
      <c r="G119" s="23">
        <f>IFERROR(F119/F148, "NA")</f>
        <v>0</v>
      </c>
      <c r="H119" s="21">
        <v>0.0</v>
      </c>
      <c r="I119" s="23">
        <f>IFERROR(H119/H148, "NA")</f>
        <v>0</v>
      </c>
      <c r="J119" s="21">
        <v>0.0</v>
      </c>
      <c r="K119" s="23">
        <f>IFERROR(J119/J148, "NA")</f>
        <v>0</v>
      </c>
      <c r="L119" s="21">
        <v>0.0</v>
      </c>
      <c r="M119" s="23">
        <f>IFERROR(L119/L148, "NA")</f>
        <v>0</v>
      </c>
      <c r="N119" s="21">
        <v>0.0</v>
      </c>
      <c r="O119" s="23">
        <f>IFERROR(N119/N148, "NA")</f>
        <v>0</v>
      </c>
      <c r="P119" s="21">
        <v>0.0</v>
      </c>
      <c r="Q119" s="23">
        <f>IFERROR(P119/P148, "NA")</f>
        <v>0</v>
      </c>
      <c r="R119" s="21">
        <v>0.0</v>
      </c>
      <c r="S119" s="23">
        <f>IFERROR(R119/R148, "NA")</f>
        <v>0</v>
      </c>
      <c r="T119" s="21">
        <v>0.0</v>
      </c>
      <c r="U119" s="23">
        <f>IFERROR(T119/T148, "NA")</f>
        <v>0</v>
      </c>
      <c r="V119" s="21">
        <v>0.0</v>
      </c>
      <c r="W119" s="23">
        <f>IFERROR(V119/V148, "NA")</f>
        <v>0</v>
      </c>
      <c r="X119" s="21">
        <v>0.0</v>
      </c>
      <c r="Y119" s="23">
        <f>IFERROR(X119/X148, "NA")</f>
        <v>0</v>
      </c>
      <c r="Z119" s="21">
        <v>0.0</v>
      </c>
      <c r="AA119" s="23">
        <f>IFERROR(Z119/Z148, "NA")</f>
        <v>0</v>
      </c>
      <c r="AB119" s="28">
        <f t="shared" si="55"/>
        <v>0</v>
      </c>
      <c r="AC119" s="23">
        <f>IFERROR(AB119/AB148, "NA")</f>
        <v>0</v>
      </c>
      <c r="AD119" s="29">
        <f t="shared" si="56"/>
        <v>0</v>
      </c>
      <c r="AE119" s="30">
        <f>IFERROR(AD119/AD148, "NA")</f>
        <v>0</v>
      </c>
      <c r="AF119" s="29" t="str">
        <f t="shared" si="57"/>
        <v>NA</v>
      </c>
      <c r="AG119" s="28">
        <f t="shared" si="58"/>
        <v>0</v>
      </c>
      <c r="AH119" s="23">
        <f>IFERROR(AG119/AG148, "NA")</f>
        <v>0</v>
      </c>
      <c r="AI119" s="29">
        <f t="shared" si="59"/>
        <v>0</v>
      </c>
      <c r="AJ119" s="30">
        <f>IFERROR(AI119/AI148, "NA")</f>
        <v>0</v>
      </c>
      <c r="AK119" s="29" t="str">
        <f t="shared" si="60"/>
        <v>NA</v>
      </c>
      <c r="AL119" s="30" t="str">
        <f>IFERROR(AK119/AK148, "NA")</f>
        <v>NA</v>
      </c>
    </row>
    <row r="120" ht="16.5" hidden="1" customHeight="1">
      <c r="A120" s="19" t="s">
        <v>230</v>
      </c>
      <c r="B120" s="21">
        <v>0.0</v>
      </c>
      <c r="C120" s="23">
        <f>IFERROR(B120/B148, "NA")</f>
        <v>0</v>
      </c>
      <c r="D120" s="21">
        <v>0.0</v>
      </c>
      <c r="E120" s="23">
        <f>IFERROR(D120/D148, "NA")</f>
        <v>0</v>
      </c>
      <c r="F120" s="21">
        <v>0.0</v>
      </c>
      <c r="G120" s="23">
        <f>IFERROR(F120/F148, "NA")</f>
        <v>0</v>
      </c>
      <c r="H120" s="21">
        <v>0.0</v>
      </c>
      <c r="I120" s="23">
        <f>IFERROR(H120/H148, "NA")</f>
        <v>0</v>
      </c>
      <c r="J120" s="21">
        <v>0.0</v>
      </c>
      <c r="K120" s="23">
        <f>IFERROR(J120/J148, "NA")</f>
        <v>0</v>
      </c>
      <c r="L120" s="21">
        <v>0.0</v>
      </c>
      <c r="M120" s="23">
        <f>IFERROR(L120/L148, "NA")</f>
        <v>0</v>
      </c>
      <c r="N120" s="21">
        <v>0.0</v>
      </c>
      <c r="O120" s="23">
        <f>IFERROR(N120/N148, "NA")</f>
        <v>0</v>
      </c>
      <c r="P120" s="21">
        <v>0.0</v>
      </c>
      <c r="Q120" s="23">
        <f>IFERROR(P120/P148, "NA")</f>
        <v>0</v>
      </c>
      <c r="R120" s="21">
        <v>0.0</v>
      </c>
      <c r="S120" s="23">
        <f>IFERROR(R120/R148, "NA")</f>
        <v>0</v>
      </c>
      <c r="T120" s="21">
        <v>0.0</v>
      </c>
      <c r="U120" s="23">
        <f>IFERROR(T120/T148, "NA")</f>
        <v>0</v>
      </c>
      <c r="V120" s="21">
        <v>0.0</v>
      </c>
      <c r="W120" s="23">
        <f>IFERROR(V120/V148, "NA")</f>
        <v>0</v>
      </c>
      <c r="X120" s="21">
        <v>0.0</v>
      </c>
      <c r="Y120" s="23">
        <f>IFERROR(X120/X148, "NA")</f>
        <v>0</v>
      </c>
      <c r="Z120" s="21">
        <v>0.0</v>
      </c>
      <c r="AA120" s="23">
        <f>IFERROR(Z120/Z148, "NA")</f>
        <v>0</v>
      </c>
      <c r="AB120" s="28">
        <f t="shared" si="55"/>
        <v>0</v>
      </c>
      <c r="AC120" s="23">
        <f>IFERROR(AB120/AB148, "NA")</f>
        <v>0</v>
      </c>
      <c r="AD120" s="29">
        <f t="shared" si="56"/>
        <v>0</v>
      </c>
      <c r="AE120" s="30">
        <f>IFERROR(AD120/AD148, "NA")</f>
        <v>0</v>
      </c>
      <c r="AF120" s="29" t="str">
        <f t="shared" si="57"/>
        <v>NA</v>
      </c>
      <c r="AG120" s="28">
        <f t="shared" si="58"/>
        <v>0</v>
      </c>
      <c r="AH120" s="23">
        <f>IFERROR(AG120/AG148, "NA")</f>
        <v>0</v>
      </c>
      <c r="AI120" s="29">
        <f t="shared" si="59"/>
        <v>0</v>
      </c>
      <c r="AJ120" s="30">
        <f>IFERROR(AI120/AI148, "NA")</f>
        <v>0</v>
      </c>
      <c r="AK120" s="29" t="str">
        <f t="shared" si="60"/>
        <v>NA</v>
      </c>
      <c r="AL120" s="30" t="str">
        <f>IFERROR(AK120/AK148, "NA")</f>
        <v>NA</v>
      </c>
    </row>
    <row r="121" ht="16.5" hidden="1" customHeight="1">
      <c r="A121" s="19" t="s">
        <v>231</v>
      </c>
      <c r="B121" s="21">
        <v>0.0</v>
      </c>
      <c r="C121" s="23">
        <f>IFERROR(B121/B148, "NA")</f>
        <v>0</v>
      </c>
      <c r="D121" s="21">
        <v>0.0</v>
      </c>
      <c r="E121" s="23">
        <f>IFERROR(D121/D148, "NA")</f>
        <v>0</v>
      </c>
      <c r="F121" s="21">
        <v>0.0</v>
      </c>
      <c r="G121" s="23">
        <f>IFERROR(F121/F148, "NA")</f>
        <v>0</v>
      </c>
      <c r="H121" s="21">
        <v>0.0</v>
      </c>
      <c r="I121" s="23">
        <f>IFERROR(H121/H148, "NA")</f>
        <v>0</v>
      </c>
      <c r="J121" s="21">
        <v>0.0</v>
      </c>
      <c r="K121" s="23">
        <f>IFERROR(J121/J148, "NA")</f>
        <v>0</v>
      </c>
      <c r="L121" s="21">
        <v>0.0</v>
      </c>
      <c r="M121" s="23">
        <f>IFERROR(L121/L148, "NA")</f>
        <v>0</v>
      </c>
      <c r="N121" s="21">
        <v>0.0</v>
      </c>
      <c r="O121" s="23">
        <f>IFERROR(N121/N148, "NA")</f>
        <v>0</v>
      </c>
      <c r="P121" s="21">
        <v>0.0</v>
      </c>
      <c r="Q121" s="23">
        <f>IFERROR(P121/P148, "NA")</f>
        <v>0</v>
      </c>
      <c r="R121" s="21">
        <v>0.0</v>
      </c>
      <c r="S121" s="23">
        <f>IFERROR(R121/R148, "NA")</f>
        <v>0</v>
      </c>
      <c r="T121" s="21">
        <v>0.0</v>
      </c>
      <c r="U121" s="23">
        <f>IFERROR(T121/T148, "NA")</f>
        <v>0</v>
      </c>
      <c r="V121" s="21">
        <v>0.0</v>
      </c>
      <c r="W121" s="23">
        <f>IFERROR(V121/V148, "NA")</f>
        <v>0</v>
      </c>
      <c r="X121" s="21">
        <v>0.0</v>
      </c>
      <c r="Y121" s="23">
        <f>IFERROR(X121/X148, "NA")</f>
        <v>0</v>
      </c>
      <c r="Z121" s="21">
        <v>0.0</v>
      </c>
      <c r="AA121" s="23">
        <f>IFERROR(Z121/Z148, "NA")</f>
        <v>0</v>
      </c>
      <c r="AB121" s="28">
        <f t="shared" si="55"/>
        <v>0</v>
      </c>
      <c r="AC121" s="23">
        <f>IFERROR(AB121/AB148, "NA")</f>
        <v>0</v>
      </c>
      <c r="AD121" s="29">
        <f t="shared" si="56"/>
        <v>0</v>
      </c>
      <c r="AE121" s="30">
        <f>IFERROR(AD121/AD148, "NA")</f>
        <v>0</v>
      </c>
      <c r="AF121" s="29" t="str">
        <f t="shared" si="57"/>
        <v>NA</v>
      </c>
      <c r="AG121" s="28">
        <f t="shared" si="58"/>
        <v>0</v>
      </c>
      <c r="AH121" s="23">
        <f>IFERROR(AG121/AG148, "NA")</f>
        <v>0</v>
      </c>
      <c r="AI121" s="29">
        <f t="shared" si="59"/>
        <v>0</v>
      </c>
      <c r="AJ121" s="30">
        <f>IFERROR(AI121/AI148, "NA")</f>
        <v>0</v>
      </c>
      <c r="AK121" s="29" t="str">
        <f t="shared" si="60"/>
        <v>NA</v>
      </c>
      <c r="AL121" s="30" t="str">
        <f>IFERROR(AK121/AK148, "NA")</f>
        <v>NA</v>
      </c>
    </row>
    <row r="122" ht="16.5" hidden="1" customHeight="1">
      <c r="A122" s="19" t="s">
        <v>232</v>
      </c>
      <c r="B122" s="21">
        <v>0.0</v>
      </c>
      <c r="C122" s="23">
        <f>IFERROR(B122/B148, "NA")</f>
        <v>0</v>
      </c>
      <c r="D122" s="21">
        <v>0.0</v>
      </c>
      <c r="E122" s="23">
        <f>IFERROR(D122/D148, "NA")</f>
        <v>0</v>
      </c>
      <c r="F122" s="21">
        <v>0.0</v>
      </c>
      <c r="G122" s="23">
        <f>IFERROR(F122/F148, "NA")</f>
        <v>0</v>
      </c>
      <c r="H122" s="21">
        <v>0.0</v>
      </c>
      <c r="I122" s="23">
        <f>IFERROR(H122/H148, "NA")</f>
        <v>0</v>
      </c>
      <c r="J122" s="21">
        <v>0.0</v>
      </c>
      <c r="K122" s="23">
        <f>IFERROR(J122/J148, "NA")</f>
        <v>0</v>
      </c>
      <c r="L122" s="21">
        <v>0.0</v>
      </c>
      <c r="M122" s="23">
        <f>IFERROR(L122/L148, "NA")</f>
        <v>0</v>
      </c>
      <c r="N122" s="21">
        <v>0.0</v>
      </c>
      <c r="O122" s="23">
        <f>IFERROR(N122/N148, "NA")</f>
        <v>0</v>
      </c>
      <c r="P122" s="21">
        <v>0.0</v>
      </c>
      <c r="Q122" s="23">
        <f>IFERROR(P122/P148, "NA")</f>
        <v>0</v>
      </c>
      <c r="R122" s="21">
        <v>0.0</v>
      </c>
      <c r="S122" s="23">
        <f>IFERROR(R122/R148, "NA")</f>
        <v>0</v>
      </c>
      <c r="T122" s="21">
        <v>0.0</v>
      </c>
      <c r="U122" s="23">
        <f>IFERROR(T122/T148, "NA")</f>
        <v>0</v>
      </c>
      <c r="V122" s="21">
        <v>0.0</v>
      </c>
      <c r="W122" s="23">
        <f>IFERROR(V122/V148, "NA")</f>
        <v>0</v>
      </c>
      <c r="X122" s="21">
        <v>0.0</v>
      </c>
      <c r="Y122" s="23">
        <f>IFERROR(X122/X148, "NA")</f>
        <v>0</v>
      </c>
      <c r="Z122" s="21">
        <v>0.0</v>
      </c>
      <c r="AA122" s="23">
        <f>IFERROR(Z122/Z148, "NA")</f>
        <v>0</v>
      </c>
      <c r="AB122" s="28">
        <f t="shared" si="55"/>
        <v>0</v>
      </c>
      <c r="AC122" s="23">
        <f>IFERROR(AB122/AB148, "NA")</f>
        <v>0</v>
      </c>
      <c r="AD122" s="29">
        <f t="shared" si="56"/>
        <v>0</v>
      </c>
      <c r="AE122" s="30">
        <f>IFERROR(AD122/AD148, "NA")</f>
        <v>0</v>
      </c>
      <c r="AF122" s="29" t="str">
        <f t="shared" si="57"/>
        <v>NA</v>
      </c>
      <c r="AG122" s="28">
        <f t="shared" si="58"/>
        <v>0</v>
      </c>
      <c r="AH122" s="23">
        <f>IFERROR(AG122/AG148, "NA")</f>
        <v>0</v>
      </c>
      <c r="AI122" s="29">
        <f t="shared" si="59"/>
        <v>0</v>
      </c>
      <c r="AJ122" s="30">
        <f>IFERROR(AI122/AI148, "NA")</f>
        <v>0</v>
      </c>
      <c r="AK122" s="29" t="str">
        <f t="shared" si="60"/>
        <v>NA</v>
      </c>
      <c r="AL122" s="30" t="str">
        <f>IFERROR(AK122/AK148, "NA")</f>
        <v>NA</v>
      </c>
    </row>
    <row r="123" ht="16.5" hidden="1" customHeight="1">
      <c r="A123" s="19" t="s">
        <v>233</v>
      </c>
      <c r="B123" s="21">
        <v>0.0</v>
      </c>
      <c r="C123" s="23">
        <f>IFERROR(B123/B148, "NA")</f>
        <v>0</v>
      </c>
      <c r="D123" s="21">
        <v>0.0</v>
      </c>
      <c r="E123" s="23">
        <f>IFERROR(D123/D148, "NA")</f>
        <v>0</v>
      </c>
      <c r="F123" s="21">
        <v>0.0</v>
      </c>
      <c r="G123" s="23">
        <f>IFERROR(F123/F148, "NA")</f>
        <v>0</v>
      </c>
      <c r="H123" s="21">
        <v>0.0</v>
      </c>
      <c r="I123" s="23">
        <f>IFERROR(H123/H148, "NA")</f>
        <v>0</v>
      </c>
      <c r="J123" s="21">
        <v>0.0</v>
      </c>
      <c r="K123" s="23">
        <f>IFERROR(J123/J148, "NA")</f>
        <v>0</v>
      </c>
      <c r="L123" s="21">
        <v>0.0</v>
      </c>
      <c r="M123" s="23">
        <f>IFERROR(L123/L148, "NA")</f>
        <v>0</v>
      </c>
      <c r="N123" s="21">
        <v>0.0</v>
      </c>
      <c r="O123" s="23">
        <f>IFERROR(N123/N148, "NA")</f>
        <v>0</v>
      </c>
      <c r="P123" s="21">
        <v>0.0</v>
      </c>
      <c r="Q123" s="23">
        <f>IFERROR(P123/P148, "NA")</f>
        <v>0</v>
      </c>
      <c r="R123" s="21">
        <v>0.0</v>
      </c>
      <c r="S123" s="23">
        <f>IFERROR(R123/R148, "NA")</f>
        <v>0</v>
      </c>
      <c r="T123" s="21">
        <v>0.0</v>
      </c>
      <c r="U123" s="23">
        <f>IFERROR(T123/T148, "NA")</f>
        <v>0</v>
      </c>
      <c r="V123" s="21">
        <v>0.0</v>
      </c>
      <c r="W123" s="23">
        <f>IFERROR(V123/V148, "NA")</f>
        <v>0</v>
      </c>
      <c r="X123" s="21">
        <v>0.0</v>
      </c>
      <c r="Y123" s="23">
        <f>IFERROR(X123/X148, "NA")</f>
        <v>0</v>
      </c>
      <c r="Z123" s="21">
        <v>0.0</v>
      </c>
      <c r="AA123" s="23">
        <f>IFERROR(Z123/Z148, "NA")</f>
        <v>0</v>
      </c>
      <c r="AB123" s="28">
        <f t="shared" si="55"/>
        <v>0</v>
      </c>
      <c r="AC123" s="23">
        <f>IFERROR(AB123/AB148, "NA")</f>
        <v>0</v>
      </c>
      <c r="AD123" s="29">
        <f t="shared" si="56"/>
        <v>0</v>
      </c>
      <c r="AE123" s="30">
        <f>IFERROR(AD123/AD148, "NA")</f>
        <v>0</v>
      </c>
      <c r="AF123" s="29" t="str">
        <f t="shared" si="57"/>
        <v>NA</v>
      </c>
      <c r="AG123" s="28">
        <f t="shared" si="58"/>
        <v>0</v>
      </c>
      <c r="AH123" s="23">
        <f>IFERROR(AG123/AG148, "NA")</f>
        <v>0</v>
      </c>
      <c r="AI123" s="29">
        <f t="shared" si="59"/>
        <v>0</v>
      </c>
      <c r="AJ123" s="30">
        <f>IFERROR(AI123/AI148, "NA")</f>
        <v>0</v>
      </c>
      <c r="AK123" s="29" t="str">
        <f t="shared" si="60"/>
        <v>NA</v>
      </c>
      <c r="AL123" s="30" t="str">
        <f>IFERROR(AK123/AK148, "NA")</f>
        <v>NA</v>
      </c>
    </row>
    <row r="124" ht="16.5" hidden="1" customHeight="1">
      <c r="A124" s="19" t="s">
        <v>234</v>
      </c>
      <c r="B124" s="21">
        <v>0.0</v>
      </c>
      <c r="C124" s="23">
        <f>IFERROR(B124/B148, "NA")</f>
        <v>0</v>
      </c>
      <c r="D124" s="21">
        <v>0.0</v>
      </c>
      <c r="E124" s="23">
        <f>IFERROR(D124/D148, "NA")</f>
        <v>0</v>
      </c>
      <c r="F124" s="21">
        <v>0.0</v>
      </c>
      <c r="G124" s="23">
        <f>IFERROR(F124/F148, "NA")</f>
        <v>0</v>
      </c>
      <c r="H124" s="21">
        <v>0.0</v>
      </c>
      <c r="I124" s="23">
        <f>IFERROR(H124/H148, "NA")</f>
        <v>0</v>
      </c>
      <c r="J124" s="21">
        <v>0.0</v>
      </c>
      <c r="K124" s="23">
        <f>IFERROR(J124/J148, "NA")</f>
        <v>0</v>
      </c>
      <c r="L124" s="21">
        <v>0.0</v>
      </c>
      <c r="M124" s="23">
        <f>IFERROR(L124/L148, "NA")</f>
        <v>0</v>
      </c>
      <c r="N124" s="21">
        <v>0.0</v>
      </c>
      <c r="O124" s="23">
        <f>IFERROR(N124/N148, "NA")</f>
        <v>0</v>
      </c>
      <c r="P124" s="21">
        <v>0.0</v>
      </c>
      <c r="Q124" s="23">
        <f>IFERROR(P124/P148, "NA")</f>
        <v>0</v>
      </c>
      <c r="R124" s="21">
        <v>0.0</v>
      </c>
      <c r="S124" s="23">
        <f>IFERROR(R124/R148, "NA")</f>
        <v>0</v>
      </c>
      <c r="T124" s="21">
        <v>0.0</v>
      </c>
      <c r="U124" s="23">
        <f>IFERROR(T124/T148, "NA")</f>
        <v>0</v>
      </c>
      <c r="V124" s="21">
        <v>0.0</v>
      </c>
      <c r="W124" s="23">
        <f>IFERROR(V124/V148, "NA")</f>
        <v>0</v>
      </c>
      <c r="X124" s="21">
        <v>0.0</v>
      </c>
      <c r="Y124" s="23">
        <f>IFERROR(X124/X148, "NA")</f>
        <v>0</v>
      </c>
      <c r="Z124" s="21">
        <v>0.0</v>
      </c>
      <c r="AA124" s="23">
        <f>IFERROR(Z124/Z148, "NA")</f>
        <v>0</v>
      </c>
      <c r="AB124" s="28">
        <f t="shared" si="55"/>
        <v>0</v>
      </c>
      <c r="AC124" s="23">
        <f>IFERROR(AB124/AB148, "NA")</f>
        <v>0</v>
      </c>
      <c r="AD124" s="29">
        <f t="shared" si="56"/>
        <v>0</v>
      </c>
      <c r="AE124" s="30">
        <f>IFERROR(AD124/AD148, "NA")</f>
        <v>0</v>
      </c>
      <c r="AF124" s="29" t="str">
        <f t="shared" si="57"/>
        <v>NA</v>
      </c>
      <c r="AG124" s="28">
        <f t="shared" si="58"/>
        <v>0</v>
      </c>
      <c r="AH124" s="23">
        <f>IFERROR(AG124/AG148, "NA")</f>
        <v>0</v>
      </c>
      <c r="AI124" s="29">
        <f t="shared" si="59"/>
        <v>0</v>
      </c>
      <c r="AJ124" s="30">
        <f>IFERROR(AI124/AI148, "NA")</f>
        <v>0</v>
      </c>
      <c r="AK124" s="29" t="str">
        <f t="shared" si="60"/>
        <v>NA</v>
      </c>
      <c r="AL124" s="30" t="str">
        <f>IFERROR(AK124/AK148, "NA")</f>
        <v>NA</v>
      </c>
    </row>
    <row r="125" ht="16.5" hidden="1" customHeight="1">
      <c r="A125" s="19" t="s">
        <v>235</v>
      </c>
      <c r="B125" s="21">
        <v>0.0</v>
      </c>
      <c r="C125" s="23">
        <f>IFERROR(B125/B148, "NA")</f>
        <v>0</v>
      </c>
      <c r="D125" s="21">
        <v>0.0</v>
      </c>
      <c r="E125" s="23">
        <f>IFERROR(D125/D148, "NA")</f>
        <v>0</v>
      </c>
      <c r="F125" s="21">
        <v>0.0</v>
      </c>
      <c r="G125" s="23">
        <f>IFERROR(F125/F148, "NA")</f>
        <v>0</v>
      </c>
      <c r="H125" s="21">
        <v>0.0</v>
      </c>
      <c r="I125" s="23">
        <f>IFERROR(H125/H148, "NA")</f>
        <v>0</v>
      </c>
      <c r="J125" s="21">
        <v>0.0</v>
      </c>
      <c r="K125" s="23">
        <f>IFERROR(J125/J148, "NA")</f>
        <v>0</v>
      </c>
      <c r="L125" s="21">
        <v>0.0</v>
      </c>
      <c r="M125" s="23">
        <f>IFERROR(L125/L148, "NA")</f>
        <v>0</v>
      </c>
      <c r="N125" s="21">
        <v>0.0</v>
      </c>
      <c r="O125" s="23">
        <f>IFERROR(N125/N148, "NA")</f>
        <v>0</v>
      </c>
      <c r="P125" s="21">
        <v>0.0</v>
      </c>
      <c r="Q125" s="23">
        <f>IFERROR(P125/P148, "NA")</f>
        <v>0</v>
      </c>
      <c r="R125" s="21">
        <v>0.0</v>
      </c>
      <c r="S125" s="23">
        <f>IFERROR(R125/R148, "NA")</f>
        <v>0</v>
      </c>
      <c r="T125" s="21">
        <v>0.0</v>
      </c>
      <c r="U125" s="23">
        <f>IFERROR(T125/T148, "NA")</f>
        <v>0</v>
      </c>
      <c r="V125" s="21">
        <v>0.0</v>
      </c>
      <c r="W125" s="23">
        <f>IFERROR(V125/V148, "NA")</f>
        <v>0</v>
      </c>
      <c r="X125" s="21">
        <v>0.0</v>
      </c>
      <c r="Y125" s="23">
        <f>IFERROR(X125/X148, "NA")</f>
        <v>0</v>
      </c>
      <c r="Z125" s="21">
        <v>0.0</v>
      </c>
      <c r="AA125" s="23">
        <f>IFERROR(Z125/Z148, "NA")</f>
        <v>0</v>
      </c>
      <c r="AB125" s="28">
        <f t="shared" si="55"/>
        <v>0</v>
      </c>
      <c r="AC125" s="23">
        <f>IFERROR(AB125/AB148, "NA")</f>
        <v>0</v>
      </c>
      <c r="AD125" s="29">
        <f t="shared" si="56"/>
        <v>0</v>
      </c>
      <c r="AE125" s="30">
        <f>IFERROR(AD125/AD148, "NA")</f>
        <v>0</v>
      </c>
      <c r="AF125" s="29" t="str">
        <f t="shared" si="57"/>
        <v>NA</v>
      </c>
      <c r="AG125" s="28">
        <f t="shared" si="58"/>
        <v>0</v>
      </c>
      <c r="AH125" s="23">
        <f>IFERROR(AG125/AG148, "NA")</f>
        <v>0</v>
      </c>
      <c r="AI125" s="29">
        <f t="shared" si="59"/>
        <v>0</v>
      </c>
      <c r="AJ125" s="30">
        <f>IFERROR(AI125/AI148, "NA")</f>
        <v>0</v>
      </c>
      <c r="AK125" s="29" t="str">
        <f t="shared" si="60"/>
        <v>NA</v>
      </c>
      <c r="AL125" s="30" t="str">
        <f>IFERROR(AK125/AK148, "NA")</f>
        <v>NA</v>
      </c>
    </row>
    <row r="126" ht="16.5" hidden="1" customHeight="1">
      <c r="A126" s="19" t="s">
        <v>236</v>
      </c>
      <c r="B126" s="21">
        <v>0.0</v>
      </c>
      <c r="C126" s="23">
        <f>IFERROR(B126/B148, "NA")</f>
        <v>0</v>
      </c>
      <c r="D126" s="21">
        <v>0.0</v>
      </c>
      <c r="E126" s="23">
        <f>IFERROR(D126/D148, "NA")</f>
        <v>0</v>
      </c>
      <c r="F126" s="21">
        <v>0.0</v>
      </c>
      <c r="G126" s="23">
        <f>IFERROR(F126/F148, "NA")</f>
        <v>0</v>
      </c>
      <c r="H126" s="21">
        <v>0.0</v>
      </c>
      <c r="I126" s="23">
        <f>IFERROR(H126/H148, "NA")</f>
        <v>0</v>
      </c>
      <c r="J126" s="21">
        <v>0.0</v>
      </c>
      <c r="K126" s="23">
        <f>IFERROR(J126/J148, "NA")</f>
        <v>0</v>
      </c>
      <c r="L126" s="21">
        <v>0.0</v>
      </c>
      <c r="M126" s="23">
        <f>IFERROR(L126/L148, "NA")</f>
        <v>0</v>
      </c>
      <c r="N126" s="21">
        <v>0.0</v>
      </c>
      <c r="O126" s="23">
        <f>IFERROR(N126/N148, "NA")</f>
        <v>0</v>
      </c>
      <c r="P126" s="21">
        <v>0.0</v>
      </c>
      <c r="Q126" s="23">
        <f>IFERROR(P126/P148, "NA")</f>
        <v>0</v>
      </c>
      <c r="R126" s="21">
        <v>0.0</v>
      </c>
      <c r="S126" s="23">
        <f>IFERROR(R126/R148, "NA")</f>
        <v>0</v>
      </c>
      <c r="T126" s="21">
        <v>0.0</v>
      </c>
      <c r="U126" s="23">
        <f>IFERROR(T126/T148, "NA")</f>
        <v>0</v>
      </c>
      <c r="V126" s="21">
        <v>0.0</v>
      </c>
      <c r="W126" s="23">
        <f>IFERROR(V126/V148, "NA")</f>
        <v>0</v>
      </c>
      <c r="X126" s="21">
        <v>0.0</v>
      </c>
      <c r="Y126" s="23">
        <f>IFERROR(X126/X148, "NA")</f>
        <v>0</v>
      </c>
      <c r="Z126" s="21">
        <v>0.0</v>
      </c>
      <c r="AA126" s="23">
        <f>IFERROR(Z126/Z148, "NA")</f>
        <v>0</v>
      </c>
      <c r="AB126" s="28">
        <f t="shared" si="55"/>
        <v>0</v>
      </c>
      <c r="AC126" s="23">
        <f>IFERROR(AB126/AB148, "NA")</f>
        <v>0</v>
      </c>
      <c r="AD126" s="29">
        <f t="shared" si="56"/>
        <v>0</v>
      </c>
      <c r="AE126" s="30">
        <f>IFERROR(AD126/AD148, "NA")</f>
        <v>0</v>
      </c>
      <c r="AF126" s="29" t="str">
        <f t="shared" si="57"/>
        <v>NA</v>
      </c>
      <c r="AG126" s="28">
        <f t="shared" si="58"/>
        <v>0</v>
      </c>
      <c r="AH126" s="23">
        <f>IFERROR(AG126/AG148, "NA")</f>
        <v>0</v>
      </c>
      <c r="AI126" s="29">
        <f t="shared" si="59"/>
        <v>0</v>
      </c>
      <c r="AJ126" s="30">
        <f>IFERROR(AI126/AI148, "NA")</f>
        <v>0</v>
      </c>
      <c r="AK126" s="29" t="str">
        <f t="shared" si="60"/>
        <v>NA</v>
      </c>
      <c r="AL126" s="30" t="str">
        <f>IFERROR(AK126/AK148, "NA")</f>
        <v>NA</v>
      </c>
    </row>
    <row r="127" ht="16.5" hidden="1" customHeight="1">
      <c r="A127" s="19" t="s">
        <v>237</v>
      </c>
      <c r="B127" s="21">
        <v>0.0</v>
      </c>
      <c r="C127" s="23">
        <f>IFERROR(B127/B148, "NA")</f>
        <v>0</v>
      </c>
      <c r="D127" s="21">
        <v>0.0</v>
      </c>
      <c r="E127" s="23">
        <f>IFERROR(D127/D148, "NA")</f>
        <v>0</v>
      </c>
      <c r="F127" s="21">
        <v>0.0</v>
      </c>
      <c r="G127" s="23">
        <f>IFERROR(F127/F148, "NA")</f>
        <v>0</v>
      </c>
      <c r="H127" s="21">
        <v>0.0</v>
      </c>
      <c r="I127" s="23">
        <f>IFERROR(H127/H148, "NA")</f>
        <v>0</v>
      </c>
      <c r="J127" s="21">
        <v>0.0</v>
      </c>
      <c r="K127" s="23">
        <f>IFERROR(J127/J148, "NA")</f>
        <v>0</v>
      </c>
      <c r="L127" s="21">
        <v>0.0</v>
      </c>
      <c r="M127" s="23">
        <f>IFERROR(L127/L148, "NA")</f>
        <v>0</v>
      </c>
      <c r="N127" s="21">
        <v>0.0</v>
      </c>
      <c r="O127" s="23">
        <f>IFERROR(N127/N148, "NA")</f>
        <v>0</v>
      </c>
      <c r="P127" s="21">
        <v>0.0</v>
      </c>
      <c r="Q127" s="23">
        <f>IFERROR(P127/P148, "NA")</f>
        <v>0</v>
      </c>
      <c r="R127" s="21">
        <v>0.0</v>
      </c>
      <c r="S127" s="23">
        <f>IFERROR(R127/R148, "NA")</f>
        <v>0</v>
      </c>
      <c r="T127" s="21">
        <v>0.0</v>
      </c>
      <c r="U127" s="23">
        <f>IFERROR(T127/T148, "NA")</f>
        <v>0</v>
      </c>
      <c r="V127" s="21">
        <v>0.0</v>
      </c>
      <c r="W127" s="23">
        <f>IFERROR(V127/V148, "NA")</f>
        <v>0</v>
      </c>
      <c r="X127" s="21">
        <v>0.0</v>
      </c>
      <c r="Y127" s="23">
        <f>IFERROR(X127/X148, "NA")</f>
        <v>0</v>
      </c>
      <c r="Z127" s="21">
        <v>0.0</v>
      </c>
      <c r="AA127" s="23">
        <f>IFERROR(Z127/Z148, "NA")</f>
        <v>0</v>
      </c>
      <c r="AB127" s="28">
        <f t="shared" si="55"/>
        <v>0</v>
      </c>
      <c r="AC127" s="23">
        <f>IFERROR(AB127/AB148, "NA")</f>
        <v>0</v>
      </c>
      <c r="AD127" s="29">
        <f t="shared" si="56"/>
        <v>0</v>
      </c>
      <c r="AE127" s="30">
        <f>IFERROR(AD127/AD148, "NA")</f>
        <v>0</v>
      </c>
      <c r="AF127" s="29" t="str">
        <f t="shared" si="57"/>
        <v>NA</v>
      </c>
      <c r="AG127" s="28">
        <f t="shared" si="58"/>
        <v>0</v>
      </c>
      <c r="AH127" s="23">
        <f>IFERROR(AG127/AG148, "NA")</f>
        <v>0</v>
      </c>
      <c r="AI127" s="29">
        <f t="shared" si="59"/>
        <v>0</v>
      </c>
      <c r="AJ127" s="30">
        <f>IFERROR(AI127/AI148, "NA")</f>
        <v>0</v>
      </c>
      <c r="AK127" s="29" t="str">
        <f t="shared" si="60"/>
        <v>NA</v>
      </c>
      <c r="AL127" s="30" t="str">
        <f>IFERROR(AK127/AK148, "NA")</f>
        <v>NA</v>
      </c>
    </row>
    <row r="128" ht="16.5" hidden="1" customHeight="1">
      <c r="A128" s="19" t="s">
        <v>238</v>
      </c>
      <c r="B128" s="21">
        <v>414.6</v>
      </c>
      <c r="C128" s="23">
        <f>IFERROR(B128/B148, "NA")</f>
        <v>0.01425155122</v>
      </c>
      <c r="D128" s="21">
        <v>334.76</v>
      </c>
      <c r="E128" s="23">
        <f>IFERROR(D128/D148, "NA")</f>
        <v>0.01364712981</v>
      </c>
      <c r="F128" s="21">
        <v>-1150.92</v>
      </c>
      <c r="G128" s="23">
        <f>IFERROR(F128/F148, "NA")</f>
        <v>-0.04107032935</v>
      </c>
      <c r="H128" s="21">
        <v>348.37</v>
      </c>
      <c r="I128" s="23">
        <f>IFERROR(H128/H148, "NA")</f>
        <v>0.02043600966</v>
      </c>
      <c r="J128" s="21">
        <v>505.44</v>
      </c>
      <c r="K128" s="23">
        <f>IFERROR(J128/J148, "NA")</f>
        <v>0.02232450656</v>
      </c>
      <c r="L128" s="21">
        <v>460.84</v>
      </c>
      <c r="M128" s="23">
        <f>IFERROR(L128/L148, "NA")</f>
        <v>0.01574777857</v>
      </c>
      <c r="N128" s="21">
        <v>378.82</v>
      </c>
      <c r="O128" s="23">
        <f>IFERROR(N128/N148, "NA")</f>
        <v>0.01718222722</v>
      </c>
      <c r="P128" s="21">
        <v>-1693.47</v>
      </c>
      <c r="Q128" s="23">
        <f>IFERROR(P128/P148, "NA")</f>
        <v>-0.1151869176</v>
      </c>
      <c r="R128" s="21">
        <v>407.29</v>
      </c>
      <c r="S128" s="23">
        <f>IFERROR(R128/R148, "NA")</f>
        <v>0.02707731951</v>
      </c>
      <c r="T128" s="21">
        <v>402.57</v>
      </c>
      <c r="U128" s="23">
        <f>IFERROR(T128/T148, "NA")</f>
        <v>0.02164138425</v>
      </c>
      <c r="V128" s="21">
        <v>305.96</v>
      </c>
      <c r="W128" s="23">
        <f>IFERROR(V128/V148, "NA")</f>
        <v>0.01456396176</v>
      </c>
      <c r="X128" s="21">
        <v>398.02</v>
      </c>
      <c r="Y128" s="23">
        <f>IFERROR(X128/X148, "NA")</f>
        <v>0.02290533207</v>
      </c>
      <c r="Z128" s="21">
        <v>1513.84</v>
      </c>
      <c r="AA128" s="23">
        <f>IFERROR(Z128/Z148, "NA")</f>
        <v>0.02101727708</v>
      </c>
      <c r="AB128" s="28">
        <f t="shared" si="55"/>
        <v>378.46</v>
      </c>
      <c r="AC128" s="23">
        <f>IFERROR(AB128/AB148, "NA")</f>
        <v>0.02101727708</v>
      </c>
      <c r="AD128" s="29">
        <f t="shared" si="56"/>
        <v>19.56</v>
      </c>
      <c r="AE128" s="30">
        <f>IFERROR(AD128/AD148, "NA")</f>
        <v>-0.03103037995</v>
      </c>
      <c r="AF128" s="29">
        <f t="shared" si="57"/>
        <v>0.05168313692</v>
      </c>
      <c r="AG128" s="28">
        <f t="shared" si="58"/>
        <v>145.68375</v>
      </c>
      <c r="AH128" s="23">
        <f>IFERROR(AG128/AG148, "NA")</f>
        <v>0.0072532754</v>
      </c>
      <c r="AI128" s="29">
        <f t="shared" si="59"/>
        <v>252.33625</v>
      </c>
      <c r="AJ128" s="30">
        <f>IFERROR(AI128/AI148, "NA")</f>
        <v>-0.09316470348</v>
      </c>
      <c r="AK128" s="29">
        <f t="shared" si="60"/>
        <v>1.732082336</v>
      </c>
      <c r="AL128" s="30">
        <f>IFERROR(AK128/AK148, "NA")</f>
        <v>-12.84450105</v>
      </c>
    </row>
    <row r="129" ht="16.5" hidden="1" customHeight="1">
      <c r="A129" s="19" t="s">
        <v>239</v>
      </c>
      <c r="B129" s="21">
        <v>0.0</v>
      </c>
      <c r="C129" s="23">
        <f>IFERROR(B129/B148, "NA")</f>
        <v>0</v>
      </c>
      <c r="D129" s="21">
        <v>0.0</v>
      </c>
      <c r="E129" s="23">
        <f>IFERROR(D129/D148, "NA")</f>
        <v>0</v>
      </c>
      <c r="F129" s="21">
        <v>0.0</v>
      </c>
      <c r="G129" s="23">
        <f>IFERROR(F129/F148, "NA")</f>
        <v>0</v>
      </c>
      <c r="H129" s="21">
        <v>0.0</v>
      </c>
      <c r="I129" s="23">
        <f>IFERROR(H129/H148, "NA")</f>
        <v>0</v>
      </c>
      <c r="J129" s="21">
        <v>0.0</v>
      </c>
      <c r="K129" s="23">
        <f>IFERROR(J129/J148, "NA")</f>
        <v>0</v>
      </c>
      <c r="L129" s="21">
        <v>0.0</v>
      </c>
      <c r="M129" s="23">
        <f>IFERROR(L129/L148, "NA")</f>
        <v>0</v>
      </c>
      <c r="N129" s="21">
        <v>0.0</v>
      </c>
      <c r="O129" s="23">
        <f>IFERROR(N129/N148, "NA")</f>
        <v>0</v>
      </c>
      <c r="P129" s="21">
        <v>0.0</v>
      </c>
      <c r="Q129" s="23">
        <f>IFERROR(P129/P148, "NA")</f>
        <v>0</v>
      </c>
      <c r="R129" s="21">
        <v>0.0</v>
      </c>
      <c r="S129" s="23">
        <f>IFERROR(R129/R148, "NA")</f>
        <v>0</v>
      </c>
      <c r="T129" s="21">
        <v>0.0</v>
      </c>
      <c r="U129" s="23">
        <f>IFERROR(T129/T148, "NA")</f>
        <v>0</v>
      </c>
      <c r="V129" s="21">
        <v>0.0</v>
      </c>
      <c r="W129" s="23">
        <f>IFERROR(V129/V148, "NA")</f>
        <v>0</v>
      </c>
      <c r="X129" s="21">
        <v>0.0</v>
      </c>
      <c r="Y129" s="23">
        <f>IFERROR(X129/X148, "NA")</f>
        <v>0</v>
      </c>
      <c r="Z129" s="21">
        <v>0.0</v>
      </c>
      <c r="AA129" s="23">
        <f>IFERROR(Z129/Z148, "NA")</f>
        <v>0</v>
      </c>
      <c r="AB129" s="28">
        <f t="shared" si="55"/>
        <v>0</v>
      </c>
      <c r="AC129" s="23">
        <f>IFERROR(AB129/AB148, "NA")</f>
        <v>0</v>
      </c>
      <c r="AD129" s="29">
        <f t="shared" si="56"/>
        <v>0</v>
      </c>
      <c r="AE129" s="30">
        <f>IFERROR(AD129/AD148, "NA")</f>
        <v>0</v>
      </c>
      <c r="AF129" s="29" t="str">
        <f t="shared" si="57"/>
        <v>NA</v>
      </c>
      <c r="AG129" s="28">
        <f t="shared" si="58"/>
        <v>0</v>
      </c>
      <c r="AH129" s="23">
        <f>IFERROR(AG129/AG148, "NA")</f>
        <v>0</v>
      </c>
      <c r="AI129" s="29">
        <f t="shared" si="59"/>
        <v>0</v>
      </c>
      <c r="AJ129" s="30">
        <f>IFERROR(AI129/AI148, "NA")</f>
        <v>0</v>
      </c>
      <c r="AK129" s="29" t="str">
        <f t="shared" si="60"/>
        <v>NA</v>
      </c>
      <c r="AL129" s="30" t="str">
        <f>IFERROR(AK129/AK148, "NA")</f>
        <v>NA</v>
      </c>
    </row>
    <row r="130" ht="16.5" hidden="1" customHeight="1">
      <c r="A130" s="19" t="s">
        <v>240</v>
      </c>
      <c r="B130" s="21">
        <v>0.0</v>
      </c>
      <c r="C130" s="23">
        <f>IFERROR(B130/B148, "NA")</f>
        <v>0</v>
      </c>
      <c r="D130" s="21">
        <v>0.0</v>
      </c>
      <c r="E130" s="23">
        <f>IFERROR(D130/D148, "NA")</f>
        <v>0</v>
      </c>
      <c r="F130" s="21">
        <v>0.0</v>
      </c>
      <c r="G130" s="23">
        <f>IFERROR(F130/F148, "NA")</f>
        <v>0</v>
      </c>
      <c r="H130" s="21">
        <v>0.0</v>
      </c>
      <c r="I130" s="23">
        <f>IFERROR(H130/H148, "NA")</f>
        <v>0</v>
      </c>
      <c r="J130" s="21">
        <v>0.0</v>
      </c>
      <c r="K130" s="23">
        <f>IFERROR(J130/J148, "NA")</f>
        <v>0</v>
      </c>
      <c r="L130" s="21">
        <v>0.0</v>
      </c>
      <c r="M130" s="23">
        <f>IFERROR(L130/L148, "NA")</f>
        <v>0</v>
      </c>
      <c r="N130" s="21">
        <v>0.0</v>
      </c>
      <c r="O130" s="23">
        <f>IFERROR(N130/N148, "NA")</f>
        <v>0</v>
      </c>
      <c r="P130" s="21">
        <v>0.0</v>
      </c>
      <c r="Q130" s="23">
        <f>IFERROR(P130/P148, "NA")</f>
        <v>0</v>
      </c>
      <c r="R130" s="21">
        <v>0.0</v>
      </c>
      <c r="S130" s="23">
        <f>IFERROR(R130/R148, "NA")</f>
        <v>0</v>
      </c>
      <c r="T130" s="21">
        <v>0.0</v>
      </c>
      <c r="U130" s="23">
        <f>IFERROR(T130/T148, "NA")</f>
        <v>0</v>
      </c>
      <c r="V130" s="21">
        <v>0.0</v>
      </c>
      <c r="W130" s="23">
        <f>IFERROR(V130/V148, "NA")</f>
        <v>0</v>
      </c>
      <c r="X130" s="21">
        <v>0.0</v>
      </c>
      <c r="Y130" s="23">
        <f>IFERROR(X130/X148, "NA")</f>
        <v>0</v>
      </c>
      <c r="Z130" s="21">
        <v>0.0</v>
      </c>
      <c r="AA130" s="23">
        <f>IFERROR(Z130/Z148, "NA")</f>
        <v>0</v>
      </c>
      <c r="AB130" s="28">
        <f t="shared" si="55"/>
        <v>0</v>
      </c>
      <c r="AC130" s="23">
        <f>IFERROR(AB130/AB148, "NA")</f>
        <v>0</v>
      </c>
      <c r="AD130" s="29">
        <f t="shared" si="56"/>
        <v>0</v>
      </c>
      <c r="AE130" s="30">
        <f>IFERROR(AD130/AD148, "NA")</f>
        <v>0</v>
      </c>
      <c r="AF130" s="29" t="str">
        <f t="shared" si="57"/>
        <v>NA</v>
      </c>
      <c r="AG130" s="28">
        <f t="shared" si="58"/>
        <v>0</v>
      </c>
      <c r="AH130" s="23">
        <f>IFERROR(AG130/AG148, "NA")</f>
        <v>0</v>
      </c>
      <c r="AI130" s="29">
        <f t="shared" si="59"/>
        <v>0</v>
      </c>
      <c r="AJ130" s="30">
        <f>IFERROR(AI130/AI148, "NA")</f>
        <v>0</v>
      </c>
      <c r="AK130" s="29" t="str">
        <f t="shared" si="60"/>
        <v>NA</v>
      </c>
      <c r="AL130" s="30" t="str">
        <f>IFERROR(AK130/AK148, "NA")</f>
        <v>NA</v>
      </c>
    </row>
    <row r="131" ht="16.5" hidden="1" customHeight="1">
      <c r="A131" s="19" t="s">
        <v>241</v>
      </c>
      <c r="B131" s="21">
        <v>0.0</v>
      </c>
      <c r="C131" s="23">
        <f>IFERROR(B131/B148, "NA")</f>
        <v>0</v>
      </c>
      <c r="D131" s="21">
        <v>0.0</v>
      </c>
      <c r="E131" s="23">
        <f>IFERROR(D131/D148, "NA")</f>
        <v>0</v>
      </c>
      <c r="F131" s="21">
        <v>0.0</v>
      </c>
      <c r="G131" s="23">
        <f>IFERROR(F131/F148, "NA")</f>
        <v>0</v>
      </c>
      <c r="H131" s="21">
        <v>0.0</v>
      </c>
      <c r="I131" s="23">
        <f>IFERROR(H131/H148, "NA")</f>
        <v>0</v>
      </c>
      <c r="J131" s="21">
        <v>0.0</v>
      </c>
      <c r="K131" s="23">
        <f>IFERROR(J131/J148, "NA")</f>
        <v>0</v>
      </c>
      <c r="L131" s="21">
        <v>0.0</v>
      </c>
      <c r="M131" s="23">
        <f>IFERROR(L131/L148, "NA")</f>
        <v>0</v>
      </c>
      <c r="N131" s="21">
        <v>0.0</v>
      </c>
      <c r="O131" s="23">
        <f>IFERROR(N131/N148, "NA")</f>
        <v>0</v>
      </c>
      <c r="P131" s="21">
        <v>0.0</v>
      </c>
      <c r="Q131" s="23">
        <f>IFERROR(P131/P148, "NA")</f>
        <v>0</v>
      </c>
      <c r="R131" s="21">
        <v>0.0</v>
      </c>
      <c r="S131" s="23">
        <f>IFERROR(R131/R148, "NA")</f>
        <v>0</v>
      </c>
      <c r="T131" s="21">
        <v>0.0</v>
      </c>
      <c r="U131" s="23">
        <f>IFERROR(T131/T148, "NA")</f>
        <v>0</v>
      </c>
      <c r="V131" s="21">
        <v>0.0</v>
      </c>
      <c r="W131" s="23">
        <f>IFERROR(V131/V148, "NA")</f>
        <v>0</v>
      </c>
      <c r="X131" s="21">
        <v>0.0</v>
      </c>
      <c r="Y131" s="23">
        <f>IFERROR(X131/X148, "NA")</f>
        <v>0</v>
      </c>
      <c r="Z131" s="21">
        <v>0.0</v>
      </c>
      <c r="AA131" s="23">
        <f>IFERROR(Z131/Z148, "NA")</f>
        <v>0</v>
      </c>
      <c r="AB131" s="28">
        <f t="shared" si="55"/>
        <v>0</v>
      </c>
      <c r="AC131" s="23">
        <f>IFERROR(AB131/AB148, "NA")</f>
        <v>0</v>
      </c>
      <c r="AD131" s="29">
        <f t="shared" si="56"/>
        <v>0</v>
      </c>
      <c r="AE131" s="30">
        <f>IFERROR(AD131/AD148, "NA")</f>
        <v>0</v>
      </c>
      <c r="AF131" s="29" t="str">
        <f t="shared" si="57"/>
        <v>NA</v>
      </c>
      <c r="AG131" s="28">
        <f t="shared" si="58"/>
        <v>0</v>
      </c>
      <c r="AH131" s="23">
        <f>IFERROR(AG131/AG148, "NA")</f>
        <v>0</v>
      </c>
      <c r="AI131" s="29">
        <f t="shared" si="59"/>
        <v>0</v>
      </c>
      <c r="AJ131" s="30">
        <f>IFERROR(AI131/AI148, "NA")</f>
        <v>0</v>
      </c>
      <c r="AK131" s="29" t="str">
        <f t="shared" si="60"/>
        <v>NA</v>
      </c>
      <c r="AL131" s="30" t="str">
        <f>IFERROR(AK131/AK148, "NA")</f>
        <v>NA</v>
      </c>
    </row>
    <row r="132" ht="16.5" hidden="1" customHeight="1">
      <c r="A132" s="19" t="s">
        <v>242</v>
      </c>
      <c r="B132" s="21">
        <v>0.0</v>
      </c>
      <c r="C132" s="23">
        <f>IFERROR(B132/B148, "NA")</f>
        <v>0</v>
      </c>
      <c r="D132" s="21">
        <v>0.0</v>
      </c>
      <c r="E132" s="23">
        <f>IFERROR(D132/D148, "NA")</f>
        <v>0</v>
      </c>
      <c r="F132" s="21">
        <v>0.0</v>
      </c>
      <c r="G132" s="23">
        <f>IFERROR(F132/F148, "NA")</f>
        <v>0</v>
      </c>
      <c r="H132" s="21">
        <v>0.0</v>
      </c>
      <c r="I132" s="23">
        <f>IFERROR(H132/H148, "NA")</f>
        <v>0</v>
      </c>
      <c r="J132" s="21">
        <v>0.0</v>
      </c>
      <c r="K132" s="23">
        <f>IFERROR(J132/J148, "NA")</f>
        <v>0</v>
      </c>
      <c r="L132" s="21">
        <v>0.0</v>
      </c>
      <c r="M132" s="23">
        <f>IFERROR(L132/L148, "NA")</f>
        <v>0</v>
      </c>
      <c r="N132" s="21">
        <v>0.0</v>
      </c>
      <c r="O132" s="23">
        <f>IFERROR(N132/N148, "NA")</f>
        <v>0</v>
      </c>
      <c r="P132" s="21">
        <v>0.0</v>
      </c>
      <c r="Q132" s="23">
        <f>IFERROR(P132/P148, "NA")</f>
        <v>0</v>
      </c>
      <c r="R132" s="21">
        <v>0.0</v>
      </c>
      <c r="S132" s="23">
        <f>IFERROR(R132/R148, "NA")</f>
        <v>0</v>
      </c>
      <c r="T132" s="21">
        <v>0.0</v>
      </c>
      <c r="U132" s="23">
        <f>IFERROR(T132/T148, "NA")</f>
        <v>0</v>
      </c>
      <c r="V132" s="21">
        <v>0.0</v>
      </c>
      <c r="W132" s="23">
        <f>IFERROR(V132/V148, "NA")</f>
        <v>0</v>
      </c>
      <c r="X132" s="21">
        <v>0.0</v>
      </c>
      <c r="Y132" s="23">
        <f>IFERROR(X132/X148, "NA")</f>
        <v>0</v>
      </c>
      <c r="Z132" s="21">
        <v>0.0</v>
      </c>
      <c r="AA132" s="23">
        <f>IFERROR(Z132/Z148, "NA")</f>
        <v>0</v>
      </c>
      <c r="AB132" s="28">
        <f t="shared" si="55"/>
        <v>0</v>
      </c>
      <c r="AC132" s="23">
        <f>IFERROR(AB132/AB148, "NA")</f>
        <v>0</v>
      </c>
      <c r="AD132" s="29">
        <f t="shared" si="56"/>
        <v>0</v>
      </c>
      <c r="AE132" s="30">
        <f>IFERROR(AD132/AD148, "NA")</f>
        <v>0</v>
      </c>
      <c r="AF132" s="29" t="str">
        <f t="shared" si="57"/>
        <v>NA</v>
      </c>
      <c r="AG132" s="28">
        <f t="shared" si="58"/>
        <v>0</v>
      </c>
      <c r="AH132" s="23">
        <f>IFERROR(AG132/AG148, "NA")</f>
        <v>0</v>
      </c>
      <c r="AI132" s="29">
        <f t="shared" si="59"/>
        <v>0</v>
      </c>
      <c r="AJ132" s="30">
        <f>IFERROR(AI132/AI148, "NA")</f>
        <v>0</v>
      </c>
      <c r="AK132" s="29" t="str">
        <f t="shared" si="60"/>
        <v>NA</v>
      </c>
      <c r="AL132" s="30" t="str">
        <f>IFERROR(AK132/AK148, "NA")</f>
        <v>NA</v>
      </c>
    </row>
    <row r="133" ht="16.5" hidden="1" customHeight="1">
      <c r="A133" s="19" t="s">
        <v>243</v>
      </c>
      <c r="B133" s="21">
        <v>0.0</v>
      </c>
      <c r="C133" s="23">
        <f>IFERROR(B133/B148, "NA")</f>
        <v>0</v>
      </c>
      <c r="D133" s="21">
        <v>0.0</v>
      </c>
      <c r="E133" s="23">
        <f>IFERROR(D133/D148, "NA")</f>
        <v>0</v>
      </c>
      <c r="F133" s="21">
        <v>0.0</v>
      </c>
      <c r="G133" s="23">
        <f>IFERROR(F133/F148, "NA")</f>
        <v>0</v>
      </c>
      <c r="H133" s="21">
        <v>0.0</v>
      </c>
      <c r="I133" s="23">
        <f>IFERROR(H133/H148, "NA")</f>
        <v>0</v>
      </c>
      <c r="J133" s="21">
        <v>0.0</v>
      </c>
      <c r="K133" s="23">
        <f>IFERROR(J133/J148, "NA")</f>
        <v>0</v>
      </c>
      <c r="L133" s="21">
        <v>0.0</v>
      </c>
      <c r="M133" s="23">
        <f>IFERROR(L133/L148, "NA")</f>
        <v>0</v>
      </c>
      <c r="N133" s="21">
        <v>0.0</v>
      </c>
      <c r="O133" s="23">
        <f>IFERROR(N133/N148, "NA")</f>
        <v>0</v>
      </c>
      <c r="P133" s="21">
        <v>0.0</v>
      </c>
      <c r="Q133" s="23">
        <f>IFERROR(P133/P148, "NA")</f>
        <v>0</v>
      </c>
      <c r="R133" s="21">
        <v>0.0</v>
      </c>
      <c r="S133" s="23">
        <f>IFERROR(R133/R148, "NA")</f>
        <v>0</v>
      </c>
      <c r="T133" s="21">
        <v>0.0</v>
      </c>
      <c r="U133" s="23">
        <f>IFERROR(T133/T148, "NA")</f>
        <v>0</v>
      </c>
      <c r="V133" s="21">
        <v>0.0</v>
      </c>
      <c r="W133" s="23">
        <f>IFERROR(V133/V148, "NA")</f>
        <v>0</v>
      </c>
      <c r="X133" s="21">
        <v>0.0</v>
      </c>
      <c r="Y133" s="23">
        <f>IFERROR(X133/X148, "NA")</f>
        <v>0</v>
      </c>
      <c r="Z133" s="21">
        <v>0.0</v>
      </c>
      <c r="AA133" s="23">
        <f>IFERROR(Z133/Z148, "NA")</f>
        <v>0</v>
      </c>
      <c r="AB133" s="28">
        <f t="shared" si="55"/>
        <v>0</v>
      </c>
      <c r="AC133" s="23">
        <f>IFERROR(AB133/AB148, "NA")</f>
        <v>0</v>
      </c>
      <c r="AD133" s="29">
        <f t="shared" si="56"/>
        <v>0</v>
      </c>
      <c r="AE133" s="30">
        <f>IFERROR(AD133/AD148, "NA")</f>
        <v>0</v>
      </c>
      <c r="AF133" s="29" t="str">
        <f t="shared" si="57"/>
        <v>NA</v>
      </c>
      <c r="AG133" s="28">
        <f t="shared" si="58"/>
        <v>0</v>
      </c>
      <c r="AH133" s="23">
        <f>IFERROR(AG133/AG148, "NA")</f>
        <v>0</v>
      </c>
      <c r="AI133" s="29">
        <f t="shared" si="59"/>
        <v>0</v>
      </c>
      <c r="AJ133" s="30">
        <f>IFERROR(AI133/AI148, "NA")</f>
        <v>0</v>
      </c>
      <c r="AK133" s="29" t="str">
        <f t="shared" si="60"/>
        <v>NA</v>
      </c>
      <c r="AL133" s="30" t="str">
        <f>IFERROR(AK133/AK148, "NA")</f>
        <v>NA</v>
      </c>
    </row>
    <row r="134" ht="16.5" hidden="1" customHeight="1">
      <c r="A134" s="19" t="s">
        <v>244</v>
      </c>
      <c r="B134" s="21">
        <v>0.0</v>
      </c>
      <c r="C134" s="23">
        <f>IFERROR(B134/B148, "NA")</f>
        <v>0</v>
      </c>
      <c r="D134" s="21">
        <v>0.0</v>
      </c>
      <c r="E134" s="23">
        <f>IFERROR(D134/D148, "NA")</f>
        <v>0</v>
      </c>
      <c r="F134" s="21">
        <v>0.0</v>
      </c>
      <c r="G134" s="23">
        <f>IFERROR(F134/F148, "NA")</f>
        <v>0</v>
      </c>
      <c r="H134" s="21">
        <v>0.0</v>
      </c>
      <c r="I134" s="23">
        <f>IFERROR(H134/H148, "NA")</f>
        <v>0</v>
      </c>
      <c r="J134" s="21">
        <v>0.0</v>
      </c>
      <c r="K134" s="23">
        <f>IFERROR(J134/J148, "NA")</f>
        <v>0</v>
      </c>
      <c r="L134" s="21">
        <v>0.0</v>
      </c>
      <c r="M134" s="23">
        <f>IFERROR(L134/L148, "NA")</f>
        <v>0</v>
      </c>
      <c r="N134" s="21">
        <v>0.0</v>
      </c>
      <c r="O134" s="23">
        <f>IFERROR(N134/N148, "NA")</f>
        <v>0</v>
      </c>
      <c r="P134" s="21">
        <v>0.0</v>
      </c>
      <c r="Q134" s="23">
        <f>IFERROR(P134/P148, "NA")</f>
        <v>0</v>
      </c>
      <c r="R134" s="21">
        <v>0.0</v>
      </c>
      <c r="S134" s="23">
        <f>IFERROR(R134/R148, "NA")</f>
        <v>0</v>
      </c>
      <c r="T134" s="21">
        <v>0.0</v>
      </c>
      <c r="U134" s="23">
        <f>IFERROR(T134/T148, "NA")</f>
        <v>0</v>
      </c>
      <c r="V134" s="21">
        <v>0.0</v>
      </c>
      <c r="W134" s="23">
        <f>IFERROR(V134/V148, "NA")</f>
        <v>0</v>
      </c>
      <c r="X134" s="21">
        <v>0.0</v>
      </c>
      <c r="Y134" s="23">
        <f>IFERROR(X134/X148, "NA")</f>
        <v>0</v>
      </c>
      <c r="Z134" s="21">
        <v>0.0</v>
      </c>
      <c r="AA134" s="23">
        <f>IFERROR(Z134/Z148, "NA")</f>
        <v>0</v>
      </c>
      <c r="AB134" s="28">
        <f t="shared" si="55"/>
        <v>0</v>
      </c>
      <c r="AC134" s="23">
        <f>IFERROR(AB134/AB148, "NA")</f>
        <v>0</v>
      </c>
      <c r="AD134" s="29">
        <f t="shared" si="56"/>
        <v>0</v>
      </c>
      <c r="AE134" s="30">
        <f>IFERROR(AD134/AD148, "NA")</f>
        <v>0</v>
      </c>
      <c r="AF134" s="29" t="str">
        <f t="shared" si="57"/>
        <v>NA</v>
      </c>
      <c r="AG134" s="28">
        <f t="shared" si="58"/>
        <v>0</v>
      </c>
      <c r="AH134" s="23">
        <f>IFERROR(AG134/AG148, "NA")</f>
        <v>0</v>
      </c>
      <c r="AI134" s="29">
        <f t="shared" si="59"/>
        <v>0</v>
      </c>
      <c r="AJ134" s="30">
        <f>IFERROR(AI134/AI148, "NA")</f>
        <v>0</v>
      </c>
      <c r="AK134" s="29" t="str">
        <f t="shared" si="60"/>
        <v>NA</v>
      </c>
      <c r="AL134" s="30" t="str">
        <f>IFERROR(AK134/AK148, "NA")</f>
        <v>NA</v>
      </c>
    </row>
    <row r="135" ht="16.5" hidden="1" customHeight="1">
      <c r="A135" s="65" t="s">
        <v>245</v>
      </c>
      <c r="B135" s="66">
        <f>IFERROR(B110+B111+B112+B113+B114+B115+B116+B117+B118+B119+B120+B121+B122+B123+B124+B125+B126+B127+B128+B129+B130+B131+B132+B133+B134, "NA")</f>
        <v>414.6</v>
      </c>
      <c r="C135" s="67">
        <f>IFERROR(B135/B148, "NA")</f>
        <v>0.01425155122</v>
      </c>
      <c r="D135" s="66">
        <f>IFERROR(D110+D111+D112+D113+D114+D115+D116+D117+D118+D119+D120+D121+D122+D123+D124+D125+D126+D127+D128+D129+D130+D131+D132+D133+D134, "NA")</f>
        <v>334.76</v>
      </c>
      <c r="E135" s="67">
        <f>IFERROR(D135/D148, "NA")</f>
        <v>0.01364712981</v>
      </c>
      <c r="F135" s="66">
        <f>IFERROR(F110+F111+F112+F113+F114+F115+F116+F117+F118+F119+F120+F121+F122+F123+F124+F125+F126+F127+F128+F129+F130+F131+F132+F133+F134, "NA")</f>
        <v>-1150.92</v>
      </c>
      <c r="G135" s="67">
        <f>IFERROR(F135/F148, "NA")</f>
        <v>-0.04107032935</v>
      </c>
      <c r="H135" s="66">
        <f>IFERROR(H110+H111+H112+H113+H114+H115+H116+H117+H118+H119+H120+H121+H122+H123+H124+H125+H126+H127+H128+H129+H130+H131+H132+H133+H134, "NA")</f>
        <v>348.37</v>
      </c>
      <c r="I135" s="67">
        <f>IFERROR(H135/H148, "NA")</f>
        <v>0.02043600966</v>
      </c>
      <c r="J135" s="66">
        <f>IFERROR(J110+J111+J112+J113+J114+J115+J116+J117+J118+J119+J120+J121+J122+J123+J124+J125+J126+J127+J128+J129+J130+J131+J132+J133+J134, "NA")</f>
        <v>505.44</v>
      </c>
      <c r="K135" s="67">
        <f>IFERROR(J135/J148, "NA")</f>
        <v>0.02232450656</v>
      </c>
      <c r="L135" s="66">
        <f>IFERROR(L110+L111+L112+L113+L114+L115+L116+L117+L118+L119+L120+L121+L122+L123+L124+L125+L126+L127+L128+L129+L130+L131+L132+L133+L134, "NA")</f>
        <v>460.84</v>
      </c>
      <c r="M135" s="67">
        <f>IFERROR(L135/L148, "NA")</f>
        <v>0.01574777857</v>
      </c>
      <c r="N135" s="66">
        <f>IFERROR(N110+N111+N112+N113+N114+N115+N116+N117+N118+N119+N120+N121+N122+N123+N124+N125+N126+N127+N128+N129+N130+N131+N132+N133+N134, "NA")</f>
        <v>378.82</v>
      </c>
      <c r="O135" s="67">
        <f>IFERROR(N135/N148, "NA")</f>
        <v>0.01718222722</v>
      </c>
      <c r="P135" s="66">
        <f>IFERROR(P110+P111+P112+P113+P114+P115+P116+P117+P118+P119+P120+P121+P122+P123+P124+P125+P126+P127+P128+P129+P130+P131+P132+P133+P134, "NA")</f>
        <v>-1693.47</v>
      </c>
      <c r="Q135" s="67">
        <f>IFERROR(P135/P148, "NA")</f>
        <v>-0.1151869176</v>
      </c>
      <c r="R135" s="66">
        <f>IFERROR(R110+R111+R112+R113+R114+R115+R116+R117+R118+R119+R120+R121+R122+R123+R124+R125+R126+R127+R128+R129+R130+R131+R132+R133+R134, "NA")</f>
        <v>407.29</v>
      </c>
      <c r="S135" s="67">
        <f>IFERROR(R135/R148, "NA")</f>
        <v>0.02707731951</v>
      </c>
      <c r="T135" s="66">
        <f>IFERROR(T110+T111+T112+T113+T114+T115+T116+T117+T118+T119+T120+T121+T122+T123+T124+T125+T126+T127+T128+T129+T130+T131+T132+T133+T134, "NA")</f>
        <v>402.57</v>
      </c>
      <c r="U135" s="67">
        <f>IFERROR(T135/T148, "NA")</f>
        <v>0.02164138425</v>
      </c>
      <c r="V135" s="66">
        <f>IFERROR(V110+V111+V112+V113+V114+V115+V116+V117+V118+V119+V120+V121+V122+V123+V124+V125+V126+V127+V128+V129+V130+V131+V132+V133+V134, "NA")</f>
        <v>305.96</v>
      </c>
      <c r="W135" s="67">
        <f>IFERROR(V135/V148, "NA")</f>
        <v>0.01456396176</v>
      </c>
      <c r="X135" s="66">
        <f>IFERROR(X110+X111+X112+X113+X114+X115+X116+X117+X118+X119+X120+X121+X122+X123+X124+X125+X126+X127+X128+X129+X130+X131+X132+X133+X134, "NA")</f>
        <v>398.02</v>
      </c>
      <c r="Y135" s="67">
        <f>IFERROR(X135/X148, "NA")</f>
        <v>0.02290533207</v>
      </c>
      <c r="Z135" s="66">
        <f>IFERROR(Z110+Z111+Z112+Z113+Z114+Z115+Z116+Z117+Z118+Z119+Z120+Z121+Z122+Z123+Z124+Z125+Z126+Z127+Z128+Z129+Z130+Z131+Z132+Z133+Z134, "NA")</f>
        <v>1513.84</v>
      </c>
      <c r="AA135" s="67">
        <f>IFERROR(Z135/Z148, "NA")</f>
        <v>0.02101727708</v>
      </c>
      <c r="AB135" s="66">
        <f t="shared" si="55"/>
        <v>378.46</v>
      </c>
      <c r="AC135" s="67">
        <f>IFERROR(AB135/AB148, "NA")</f>
        <v>0.02101727708</v>
      </c>
      <c r="AD135" s="75">
        <f t="shared" si="56"/>
        <v>19.56</v>
      </c>
      <c r="AE135" s="76">
        <f>IFERROR(AD135/AD148, "NA")</f>
        <v>-0.03103037995</v>
      </c>
      <c r="AF135" s="75">
        <f t="shared" si="57"/>
        <v>0.05168313692</v>
      </c>
      <c r="AG135" s="66">
        <f t="shared" si="58"/>
        <v>145.68375</v>
      </c>
      <c r="AH135" s="67">
        <f>IFERROR(AG135/AG148, "NA")</f>
        <v>0.0072532754</v>
      </c>
      <c r="AI135" s="75">
        <f t="shared" si="59"/>
        <v>252.33625</v>
      </c>
      <c r="AJ135" s="76">
        <f>IFERROR(AI135/AI148, "NA")</f>
        <v>-0.09316470348</v>
      </c>
      <c r="AK135" s="75">
        <f t="shared" si="60"/>
        <v>1.732082336</v>
      </c>
      <c r="AL135" s="76">
        <f>IFERROR(AK135/AK148, "NA")</f>
        <v>-12.84450105</v>
      </c>
    </row>
    <row r="136" ht="16.5" hidden="1" customHeight="1">
      <c r="A136" s="123"/>
      <c r="B136" s="124"/>
      <c r="C136" s="74"/>
      <c r="D136" s="124"/>
      <c r="E136" s="74"/>
      <c r="F136" s="124"/>
      <c r="G136" s="74"/>
      <c r="H136" s="124"/>
      <c r="I136" s="74"/>
      <c r="J136" s="124"/>
      <c r="K136" s="74"/>
      <c r="L136" s="124"/>
      <c r="M136" s="74"/>
      <c r="N136" s="124"/>
      <c r="O136" s="74"/>
      <c r="P136" s="124"/>
      <c r="Q136" s="74"/>
      <c r="R136" s="124"/>
      <c r="S136" s="74"/>
      <c r="T136" s="124"/>
      <c r="U136" s="74"/>
      <c r="V136" s="124"/>
      <c r="W136" s="74"/>
      <c r="X136" s="124"/>
      <c r="Y136" s="74"/>
      <c r="Z136" s="124"/>
      <c r="AA136" s="74"/>
      <c r="AB136" s="124"/>
      <c r="AC136" s="74"/>
      <c r="AD136" s="125"/>
      <c r="AE136" s="80"/>
      <c r="AF136" s="125"/>
      <c r="AG136" s="124"/>
      <c r="AH136" s="74"/>
      <c r="AI136" s="125"/>
      <c r="AJ136" s="80"/>
      <c r="AK136" s="125"/>
      <c r="AL136" s="80"/>
    </row>
    <row r="137" ht="16.5" hidden="1" customHeight="1">
      <c r="A137" s="121" t="s">
        <v>246</v>
      </c>
      <c r="B137" s="122">
        <f>IFERROR(B107-B135, "NA")</f>
        <v>8152.12</v>
      </c>
      <c r="C137" s="94">
        <f>IFERROR(B137/B148, "NA")</f>
        <v>0.2802227587</v>
      </c>
      <c r="D137" s="122">
        <f>IFERROR(D107-D135, "NA")</f>
        <v>3651.84</v>
      </c>
      <c r="E137" s="94">
        <f>IFERROR(D137/D148, "NA")</f>
        <v>0.1488742219</v>
      </c>
      <c r="F137" s="122">
        <f>IFERROR(F107-F135, "NA")</f>
        <v>-16131.84</v>
      </c>
      <c r="G137" s="94">
        <f>IFERROR(F137/F148, "NA")</f>
        <v>-0.5756611944</v>
      </c>
      <c r="H137" s="122">
        <f>IFERROR(H107-H135, "NA")</f>
        <v>4432.2</v>
      </c>
      <c r="I137" s="94">
        <f>IFERROR(H137/H148, "NA")</f>
        <v>0.2600008095</v>
      </c>
      <c r="J137" s="122">
        <f>IFERROR(J107-J135, "NA")</f>
        <v>3213.6</v>
      </c>
      <c r="K137" s="94">
        <f>IFERROR(J137/J148, "NA")</f>
        <v>0.1419397639</v>
      </c>
      <c r="L137" s="122">
        <f>IFERROR(L107-L135, "NA")</f>
        <v>7556.61</v>
      </c>
      <c r="M137" s="94">
        <f>IFERROR(L137/L148, "NA")</f>
        <v>0.2582237241</v>
      </c>
      <c r="N137" s="122">
        <f>IFERROR(N107-N135, "NA")</f>
        <v>-1930.49</v>
      </c>
      <c r="O137" s="94">
        <f>IFERROR(N137/N148, "NA")</f>
        <v>-0.08756168584</v>
      </c>
      <c r="P137" s="122">
        <f>IFERROR(P107-P135, "NA")</f>
        <v>-22751.06</v>
      </c>
      <c r="Q137" s="94">
        <f>IFERROR(P137/P148, "NA")</f>
        <v>-1.547487983</v>
      </c>
      <c r="R137" s="122">
        <f>IFERROR(R107-R135, "NA")</f>
        <v>7211.8</v>
      </c>
      <c r="S137" s="94">
        <f>IFERROR(R137/R148, "NA")</f>
        <v>0.4794525101</v>
      </c>
      <c r="T137" s="122">
        <f>IFERROR(T107-T135, "NA")</f>
        <v>3465.11</v>
      </c>
      <c r="U137" s="94">
        <f>IFERROR(T137/T148, "NA")</f>
        <v>0.1862776088</v>
      </c>
      <c r="V137" s="122">
        <f>IFERROR(V107-V135, "NA")</f>
        <v>509.87</v>
      </c>
      <c r="W137" s="94">
        <f>IFERROR(V137/V148, "NA")</f>
        <v>0.02427025488</v>
      </c>
      <c r="X137" s="122">
        <f>IFERROR(X107-X135, "NA")</f>
        <v>-12492.09</v>
      </c>
      <c r="Y137" s="94">
        <f>IFERROR(X137/X148, "NA")</f>
        <v>-0.7188972155</v>
      </c>
      <c r="Z137" s="122">
        <f>IFERROR(Z107-Z135, "NA")</f>
        <v>-1305.31</v>
      </c>
      <c r="AA137" s="94">
        <f>IFERROR(Z137/Z148, "NA")</f>
        <v>-0.01812216744</v>
      </c>
      <c r="AB137" s="122">
        <f>IFERROR((R137+T137+V137+X137)/4, "NA")</f>
        <v>-326.3275</v>
      </c>
      <c r="AC137" s="94">
        <f>IFERROR(AB137/AB148, "NA")</f>
        <v>-0.01812216744</v>
      </c>
      <c r="AD137" s="75">
        <f>IFERROR(X137-AB137, "NA")</f>
        <v>-12165.7625</v>
      </c>
      <c r="AE137" s="76">
        <f>IFERROR(AD137/AD148, "NA")</f>
        <v>19.3000119</v>
      </c>
      <c r="AF137" s="75">
        <f>IFERROR((X137-AB137)/AB137, "NA")</f>
        <v>37.2808375</v>
      </c>
      <c r="AG137" s="122">
        <f>IFERROR((J137+L137+N137+P137+R137+T137+V137+X137)/8, "NA")</f>
        <v>-1902.08125</v>
      </c>
      <c r="AH137" s="94">
        <f>IFERROR(AG137/AG148, "NA")</f>
        <v>-0.09470046687</v>
      </c>
      <c r="AI137" s="75">
        <f>IFERROR(X137-AG137, "NA")</f>
        <v>-10590.00875</v>
      </c>
      <c r="AJ137" s="76">
        <f>IFERROR(AI137/AI148, "NA")</f>
        <v>3.90992188</v>
      </c>
      <c r="AK137" s="75">
        <f>IFERROR((X137-AG137)/AG137, "NA")</f>
        <v>5.567590107</v>
      </c>
      <c r="AL137" s="76">
        <f>IFERROR(AK137/AK148, "NA")</f>
        <v>-41.28725031</v>
      </c>
    </row>
    <row r="138" ht="3.75" hidden="1" customHeight="1">
      <c r="A138" s="123"/>
      <c r="B138" s="124"/>
      <c r="C138" s="74"/>
      <c r="D138" s="124"/>
      <c r="E138" s="74"/>
      <c r="F138" s="124"/>
      <c r="G138" s="74"/>
      <c r="H138" s="124"/>
      <c r="I138" s="74"/>
      <c r="J138" s="124"/>
      <c r="K138" s="74"/>
      <c r="L138" s="124"/>
      <c r="M138" s="74"/>
      <c r="N138" s="124"/>
      <c r="O138" s="74"/>
      <c r="P138" s="124"/>
      <c r="Q138" s="74"/>
      <c r="R138" s="124"/>
      <c r="S138" s="74"/>
      <c r="T138" s="124"/>
      <c r="U138" s="74"/>
      <c r="V138" s="124"/>
      <c r="W138" s="74"/>
      <c r="X138" s="124"/>
      <c r="Y138" s="74"/>
      <c r="Z138" s="124"/>
      <c r="AA138" s="74"/>
      <c r="AB138" s="124"/>
      <c r="AC138" s="74"/>
      <c r="AD138" s="125"/>
      <c r="AE138" s="80"/>
      <c r="AF138" s="125"/>
      <c r="AG138" s="124"/>
      <c r="AH138" s="74"/>
      <c r="AI138" s="125"/>
      <c r="AJ138" s="80"/>
      <c r="AK138" s="125"/>
      <c r="AL138" s="80"/>
    </row>
    <row r="139" ht="16.5" hidden="1" customHeight="1">
      <c r="A139" s="13" t="s">
        <v>247</v>
      </c>
      <c r="B139" s="14"/>
      <c r="C139" s="12"/>
      <c r="D139" s="14"/>
      <c r="E139" s="12"/>
      <c r="F139" s="14"/>
      <c r="G139" s="12"/>
      <c r="H139" s="14"/>
      <c r="I139" s="12"/>
      <c r="J139" s="14"/>
      <c r="K139" s="12"/>
      <c r="L139" s="14"/>
      <c r="M139" s="12"/>
      <c r="N139" s="14"/>
      <c r="O139" s="12"/>
      <c r="P139" s="14"/>
      <c r="Q139" s="12"/>
      <c r="R139" s="14"/>
      <c r="S139" s="12"/>
      <c r="T139" s="14"/>
      <c r="U139" s="12"/>
      <c r="V139" s="14"/>
      <c r="W139" s="12"/>
      <c r="X139" s="14"/>
      <c r="Y139" s="12"/>
      <c r="Z139" s="14"/>
      <c r="AA139" s="12"/>
      <c r="AB139" s="14"/>
      <c r="AC139" s="12"/>
      <c r="AD139" s="17"/>
      <c r="AE139" s="18"/>
      <c r="AF139" s="17"/>
      <c r="AG139" s="14"/>
      <c r="AH139" s="12"/>
      <c r="AI139" s="17"/>
      <c r="AJ139" s="18"/>
      <c r="AK139" s="17"/>
      <c r="AL139" s="18"/>
    </row>
    <row r="140" ht="16.5" hidden="1" customHeight="1">
      <c r="A140" s="19" t="s">
        <v>248</v>
      </c>
      <c r="B140" s="21">
        <v>0.0</v>
      </c>
      <c r="C140" s="23">
        <f>IFERROR(B140/B148, "NA")</f>
        <v>0</v>
      </c>
      <c r="D140" s="21">
        <v>0.0</v>
      </c>
      <c r="E140" s="23">
        <f>IFERROR(D140/D148, "NA")</f>
        <v>0</v>
      </c>
      <c r="F140" s="21">
        <v>8615.55</v>
      </c>
      <c r="G140" s="23">
        <f>IFERROR(F140/F148, "NA")</f>
        <v>0.307444024</v>
      </c>
      <c r="H140" s="21">
        <v>-24.01</v>
      </c>
      <c r="I140" s="23">
        <f>IFERROR(H140/H148, "NA")</f>
        <v>-0.001408469707</v>
      </c>
      <c r="J140" s="21">
        <v>0.0</v>
      </c>
      <c r="K140" s="23">
        <f>IFERROR(J140/J148, "NA")</f>
        <v>0</v>
      </c>
      <c r="L140" s="21">
        <v>0.0</v>
      </c>
      <c r="M140" s="23">
        <f>IFERROR(L140/L148, "NA")</f>
        <v>0</v>
      </c>
      <c r="N140" s="21">
        <v>-31.1</v>
      </c>
      <c r="O140" s="23">
        <f>IFERROR(N140/N148, "NA")</f>
        <v>-0.001410609964</v>
      </c>
      <c r="P140" s="21">
        <v>8650.44</v>
      </c>
      <c r="Q140" s="23">
        <f>IFERROR(P140/P148, "NA")</f>
        <v>0.5883880552</v>
      </c>
      <c r="R140" s="21">
        <v>-43.29</v>
      </c>
      <c r="S140" s="23">
        <f>IFERROR(R140/R148, "NA")</f>
        <v>-0.002877991509</v>
      </c>
      <c r="T140" s="21">
        <v>0.0</v>
      </c>
      <c r="U140" s="23">
        <f>IFERROR(T140/T148, "NA")</f>
        <v>0</v>
      </c>
      <c r="V140" s="21">
        <v>0.0</v>
      </c>
      <c r="W140" s="23">
        <f>IFERROR(V140/V148, "NA")</f>
        <v>0</v>
      </c>
      <c r="X140" s="21">
        <v>-28.34</v>
      </c>
      <c r="Y140" s="23">
        <f>IFERROR(X140/X148, "NA")</f>
        <v>-0.00163091581</v>
      </c>
      <c r="Z140" s="21">
        <v>-71.63</v>
      </c>
      <c r="AA140" s="23">
        <f>IFERROR(Z140/Z148, "NA")</f>
        <v>-0.0009944694007</v>
      </c>
      <c r="AB140" s="28">
        <f t="shared" ref="AB140:AB141" si="61">IFERROR((R140+T140+V140+X140)/4, "NA")</f>
        <v>-17.9075</v>
      </c>
      <c r="AC140" s="23">
        <f>IFERROR(AB140/AB148, "NA")</f>
        <v>-0.0009944694007</v>
      </c>
      <c r="AD140" s="29">
        <f t="shared" ref="AD140:AD141" si="62">IFERROR(X140-AB140, "NA")</f>
        <v>-10.4325</v>
      </c>
      <c r="AE140" s="30">
        <f>IFERROR(AD140/AD148, "NA")</f>
        <v>0.01655032918</v>
      </c>
      <c r="AF140" s="29">
        <f t="shared" ref="AF140:AF141" si="63">IFERROR((X140-AB140)/AB140, "NA")</f>
        <v>0.5825771325</v>
      </c>
      <c r="AG140" s="28">
        <f t="shared" ref="AG140:AG141" si="64">IFERROR((J140+L140+N140+P140+R140+T140+V140+X140)/8, "NA")</f>
        <v>1068.46375</v>
      </c>
      <c r="AH140" s="23">
        <f>IFERROR(AG140/AG148, "NA")</f>
        <v>0.0531964741</v>
      </c>
      <c r="AI140" s="29">
        <f t="shared" ref="AI140:AI141" si="65">IFERROR(X140-AG140, "NA")</f>
        <v>-1096.80375</v>
      </c>
      <c r="AJ140" s="30">
        <f>IFERROR(AI140/AI148, "NA")</f>
        <v>0.404949333</v>
      </c>
      <c r="AK140" s="29">
        <f t="shared" ref="AK140:AK141" si="66">IFERROR((X140-AG140)/AG140, "NA")</f>
        <v>-1.026524063</v>
      </c>
      <c r="AL140" s="30">
        <f>IFERROR(AK140/AK148, "NA")</f>
        <v>7.612334086</v>
      </c>
    </row>
    <row r="141" ht="16.5" hidden="1" customHeight="1">
      <c r="A141" s="65" t="s">
        <v>249</v>
      </c>
      <c r="B141" s="66">
        <f>IFERROR(B140, "NA")</f>
        <v>0</v>
      </c>
      <c r="C141" s="67">
        <f>IFERROR(B141/B148, "NA")</f>
        <v>0</v>
      </c>
      <c r="D141" s="66">
        <f>IFERROR(D140, "NA")</f>
        <v>0</v>
      </c>
      <c r="E141" s="67">
        <f>IFERROR(D141/D148, "NA")</f>
        <v>0</v>
      </c>
      <c r="F141" s="66">
        <f>IFERROR(F140, "NA")</f>
        <v>8615.55</v>
      </c>
      <c r="G141" s="67">
        <f>IFERROR(F141/F148, "NA")</f>
        <v>0.307444024</v>
      </c>
      <c r="H141" s="66">
        <f>IFERROR(H140, "NA")</f>
        <v>-24.01</v>
      </c>
      <c r="I141" s="67">
        <f>IFERROR(H141/H148, "NA")</f>
        <v>-0.001408469707</v>
      </c>
      <c r="J141" s="66">
        <f>IFERROR(J140, "NA")</f>
        <v>0</v>
      </c>
      <c r="K141" s="67">
        <f>IFERROR(J141/J148, "NA")</f>
        <v>0</v>
      </c>
      <c r="L141" s="66">
        <f>IFERROR(L140, "NA")</f>
        <v>0</v>
      </c>
      <c r="M141" s="67">
        <f>IFERROR(L141/L148, "NA")</f>
        <v>0</v>
      </c>
      <c r="N141" s="66">
        <f>IFERROR(N140, "NA")</f>
        <v>-31.1</v>
      </c>
      <c r="O141" s="67">
        <f>IFERROR(N141/N148, "NA")</f>
        <v>-0.001410609964</v>
      </c>
      <c r="P141" s="66">
        <f>IFERROR(P140, "NA")</f>
        <v>8650.44</v>
      </c>
      <c r="Q141" s="67">
        <f>IFERROR(P141/P148, "NA")</f>
        <v>0.5883880552</v>
      </c>
      <c r="R141" s="66">
        <f>IFERROR(R140, "NA")</f>
        <v>-43.29</v>
      </c>
      <c r="S141" s="67">
        <f>IFERROR(R141/R148, "NA")</f>
        <v>-0.002877991509</v>
      </c>
      <c r="T141" s="66">
        <f>IFERROR(T140, "NA")</f>
        <v>0</v>
      </c>
      <c r="U141" s="67">
        <f>IFERROR(T141/T148, "NA")</f>
        <v>0</v>
      </c>
      <c r="V141" s="66">
        <f>IFERROR(V140, "NA")</f>
        <v>0</v>
      </c>
      <c r="W141" s="67">
        <f>IFERROR(V141/V148, "NA")</f>
        <v>0</v>
      </c>
      <c r="X141" s="66">
        <f>IFERROR(X140, "NA")</f>
        <v>-28.34</v>
      </c>
      <c r="Y141" s="67">
        <f>IFERROR(X141/X148, "NA")</f>
        <v>-0.00163091581</v>
      </c>
      <c r="Z141" s="66">
        <f>IFERROR(Z140, "NA")</f>
        <v>-71.63</v>
      </c>
      <c r="AA141" s="67">
        <f>IFERROR(Z141/Z148, "NA")</f>
        <v>-0.0009944694007</v>
      </c>
      <c r="AB141" s="66">
        <f t="shared" si="61"/>
        <v>-17.9075</v>
      </c>
      <c r="AC141" s="67">
        <f>IFERROR(AB141/AB148, "NA")</f>
        <v>-0.0009944694007</v>
      </c>
      <c r="AD141" s="75">
        <f t="shared" si="62"/>
        <v>-10.4325</v>
      </c>
      <c r="AE141" s="76">
        <f>IFERROR(AD141/AD148, "NA")</f>
        <v>0.01655032918</v>
      </c>
      <c r="AF141" s="75">
        <f t="shared" si="63"/>
        <v>0.5825771325</v>
      </c>
      <c r="AG141" s="66">
        <f t="shared" si="64"/>
        <v>1068.46375</v>
      </c>
      <c r="AH141" s="67">
        <f>IFERROR(AG141/AG148, "NA")</f>
        <v>0.0531964741</v>
      </c>
      <c r="AI141" s="75">
        <f t="shared" si="65"/>
        <v>-1096.80375</v>
      </c>
      <c r="AJ141" s="76">
        <f>IFERROR(AI141/AI148, "NA")</f>
        <v>0.404949333</v>
      </c>
      <c r="AK141" s="75">
        <f t="shared" si="66"/>
        <v>-1.026524063</v>
      </c>
      <c r="AL141" s="76">
        <f>IFERROR(AK141/AK148, "NA")</f>
        <v>7.612334086</v>
      </c>
    </row>
    <row r="142" ht="3.75" hidden="1" customHeight="1">
      <c r="A142" s="123"/>
      <c r="B142" s="124"/>
      <c r="C142" s="74"/>
      <c r="D142" s="124"/>
      <c r="E142" s="74"/>
      <c r="F142" s="124"/>
      <c r="G142" s="74"/>
      <c r="H142" s="124"/>
      <c r="I142" s="74"/>
      <c r="J142" s="124"/>
      <c r="K142" s="74"/>
      <c r="L142" s="124"/>
      <c r="M142" s="74"/>
      <c r="N142" s="124"/>
      <c r="O142" s="74"/>
      <c r="P142" s="124"/>
      <c r="Q142" s="74"/>
      <c r="R142" s="124"/>
      <c r="S142" s="74"/>
      <c r="T142" s="124"/>
      <c r="U142" s="74"/>
      <c r="V142" s="124"/>
      <c r="W142" s="74"/>
      <c r="X142" s="124"/>
      <c r="Y142" s="74"/>
      <c r="Z142" s="124"/>
      <c r="AA142" s="74"/>
      <c r="AB142" s="124"/>
      <c r="AC142" s="74"/>
      <c r="AD142" s="125"/>
      <c r="AE142" s="80"/>
      <c r="AF142" s="125"/>
      <c r="AG142" s="124"/>
      <c r="AH142" s="74"/>
      <c r="AI142" s="125"/>
      <c r="AJ142" s="80"/>
      <c r="AK142" s="125"/>
      <c r="AL142" s="80"/>
    </row>
    <row r="143" ht="16.5" hidden="1" customHeight="1">
      <c r="A143" s="13" t="s">
        <v>250</v>
      </c>
      <c r="B143" s="14"/>
      <c r="C143" s="12"/>
      <c r="D143" s="14"/>
      <c r="E143" s="12"/>
      <c r="F143" s="14"/>
      <c r="G143" s="12"/>
      <c r="H143" s="14"/>
      <c r="I143" s="12"/>
      <c r="J143" s="14"/>
      <c r="K143" s="12"/>
      <c r="L143" s="14"/>
      <c r="M143" s="12"/>
      <c r="N143" s="14"/>
      <c r="O143" s="12"/>
      <c r="P143" s="14"/>
      <c r="Q143" s="12"/>
      <c r="R143" s="14"/>
      <c r="S143" s="12"/>
      <c r="T143" s="14"/>
      <c r="U143" s="12"/>
      <c r="V143" s="14"/>
      <c r="W143" s="12"/>
      <c r="X143" s="14"/>
      <c r="Y143" s="12"/>
      <c r="Z143" s="14"/>
      <c r="AA143" s="12"/>
      <c r="AB143" s="14"/>
      <c r="AC143" s="12"/>
      <c r="AD143" s="17"/>
      <c r="AE143" s="18"/>
      <c r="AF143" s="17"/>
      <c r="AG143" s="14"/>
      <c r="AH143" s="12"/>
      <c r="AI143" s="17"/>
      <c r="AJ143" s="18"/>
      <c r="AK143" s="17"/>
      <c r="AL143" s="18"/>
    </row>
    <row r="144" ht="16.5" hidden="1" customHeight="1">
      <c r="A144" s="19" t="s">
        <v>251</v>
      </c>
      <c r="B144" s="21">
        <v>0.0</v>
      </c>
      <c r="C144" s="23">
        <f>IFERROR(B144/B148, "NA")</f>
        <v>0</v>
      </c>
      <c r="D144" s="21">
        <v>0.0</v>
      </c>
      <c r="E144" s="23">
        <f>IFERROR(D144/D148, "NA")</f>
        <v>0</v>
      </c>
      <c r="F144" s="21">
        <v>0.0</v>
      </c>
      <c r="G144" s="23">
        <f>IFERROR(F144/F148, "NA")</f>
        <v>0</v>
      </c>
      <c r="H144" s="21">
        <v>0.0</v>
      </c>
      <c r="I144" s="23">
        <f>IFERROR(H144/H148, "NA")</f>
        <v>0</v>
      </c>
      <c r="J144" s="21">
        <v>0.0</v>
      </c>
      <c r="K144" s="23">
        <f>IFERROR(J144/J148, "NA")</f>
        <v>0</v>
      </c>
      <c r="L144" s="21">
        <v>0.0</v>
      </c>
      <c r="M144" s="23">
        <f>IFERROR(L144/L148, "NA")</f>
        <v>0</v>
      </c>
      <c r="N144" s="21">
        <v>0.0</v>
      </c>
      <c r="O144" s="23">
        <f>IFERROR(N144/N148, "NA")</f>
        <v>0</v>
      </c>
      <c r="P144" s="21">
        <v>0.0</v>
      </c>
      <c r="Q144" s="23">
        <f>IFERROR(P144/P148, "NA")</f>
        <v>0</v>
      </c>
      <c r="R144" s="21">
        <v>0.0</v>
      </c>
      <c r="S144" s="23">
        <f>IFERROR(R144/R148, "NA")</f>
        <v>0</v>
      </c>
      <c r="T144" s="21">
        <v>0.0</v>
      </c>
      <c r="U144" s="23">
        <f>IFERROR(T144/T148, "NA")</f>
        <v>0</v>
      </c>
      <c r="V144" s="21">
        <v>0.0</v>
      </c>
      <c r="W144" s="23">
        <f>IFERROR(V144/V148, "NA")</f>
        <v>0</v>
      </c>
      <c r="X144" s="21">
        <v>0.0</v>
      </c>
      <c r="Y144" s="23">
        <f>IFERROR(X144/X148, "NA")</f>
        <v>0</v>
      </c>
      <c r="Z144" s="21">
        <v>0.0</v>
      </c>
      <c r="AA144" s="23">
        <f>IFERROR(Z144/Z148, "NA")</f>
        <v>0</v>
      </c>
      <c r="AB144" s="28">
        <f t="shared" ref="AB144:AB145" si="67">IFERROR((R144+T144+V144+X144)/4, "NA")</f>
        <v>0</v>
      </c>
      <c r="AC144" s="23">
        <f>IFERROR(AB144/AB148, "NA")</f>
        <v>0</v>
      </c>
      <c r="AD144" s="29">
        <f t="shared" ref="AD144:AD145" si="68">IFERROR(X144-AB144, "NA")</f>
        <v>0</v>
      </c>
      <c r="AE144" s="30">
        <f>IFERROR(AD144/AD148, "NA")</f>
        <v>0</v>
      </c>
      <c r="AF144" s="29" t="str">
        <f t="shared" ref="AF144:AF145" si="69">IFERROR((X144-AB144)/AB144, "NA")</f>
        <v>NA</v>
      </c>
      <c r="AG144" s="28">
        <f t="shared" ref="AG144:AG145" si="70">IFERROR((J144+L144+N144+P144+R144+T144+V144+X144)/8, "NA")</f>
        <v>0</v>
      </c>
      <c r="AH144" s="23">
        <f>IFERROR(AG144/AG148, "NA")</f>
        <v>0</v>
      </c>
      <c r="AI144" s="29">
        <f t="shared" ref="AI144:AI145" si="71">IFERROR(X144-AG144, "NA")</f>
        <v>0</v>
      </c>
      <c r="AJ144" s="30">
        <f>IFERROR(AI144/AI148, "NA")</f>
        <v>0</v>
      </c>
      <c r="AK144" s="29" t="str">
        <f t="shared" ref="AK144:AK145" si="72">IFERROR((X144-AG144)/AG144, "NA")</f>
        <v>NA</v>
      </c>
      <c r="AL144" s="30" t="str">
        <f>IFERROR(AK144/AK148, "NA")</f>
        <v>NA</v>
      </c>
    </row>
    <row r="145" ht="16.5" hidden="1" customHeight="1">
      <c r="A145" s="65" t="s">
        <v>252</v>
      </c>
      <c r="B145" s="66">
        <f>IFERROR(B144, "NA")</f>
        <v>0</v>
      </c>
      <c r="C145" s="67">
        <f>IFERROR(B145/B148, "NA")</f>
        <v>0</v>
      </c>
      <c r="D145" s="66">
        <f>IFERROR(D144, "NA")</f>
        <v>0</v>
      </c>
      <c r="E145" s="67">
        <f>IFERROR(D145/D148, "NA")</f>
        <v>0</v>
      </c>
      <c r="F145" s="66">
        <f>IFERROR(F144, "NA")</f>
        <v>0</v>
      </c>
      <c r="G145" s="67">
        <f>IFERROR(F145/F148, "NA")</f>
        <v>0</v>
      </c>
      <c r="H145" s="66">
        <f>IFERROR(H144, "NA")</f>
        <v>0</v>
      </c>
      <c r="I145" s="67">
        <f>IFERROR(H145/H148, "NA")</f>
        <v>0</v>
      </c>
      <c r="J145" s="66">
        <f>IFERROR(J144, "NA")</f>
        <v>0</v>
      </c>
      <c r="K145" s="67">
        <f>IFERROR(J145/J148, "NA")</f>
        <v>0</v>
      </c>
      <c r="L145" s="66">
        <f>IFERROR(L144, "NA")</f>
        <v>0</v>
      </c>
      <c r="M145" s="67">
        <f>IFERROR(L145/L148, "NA")</f>
        <v>0</v>
      </c>
      <c r="N145" s="66">
        <f>IFERROR(N144, "NA")</f>
        <v>0</v>
      </c>
      <c r="O145" s="67">
        <f>IFERROR(N145/N148, "NA")</f>
        <v>0</v>
      </c>
      <c r="P145" s="66">
        <f>IFERROR(P144, "NA")</f>
        <v>0</v>
      </c>
      <c r="Q145" s="67">
        <f>IFERROR(P145/P148, "NA")</f>
        <v>0</v>
      </c>
      <c r="R145" s="66">
        <f>IFERROR(R144, "NA")</f>
        <v>0</v>
      </c>
      <c r="S145" s="67">
        <f>IFERROR(R145/R148, "NA")</f>
        <v>0</v>
      </c>
      <c r="T145" s="66">
        <f>IFERROR(T144, "NA")</f>
        <v>0</v>
      </c>
      <c r="U145" s="67">
        <f>IFERROR(T145/T148, "NA")</f>
        <v>0</v>
      </c>
      <c r="V145" s="66">
        <f>IFERROR(V144, "NA")</f>
        <v>0</v>
      </c>
      <c r="W145" s="67">
        <f>IFERROR(V145/V148, "NA")</f>
        <v>0</v>
      </c>
      <c r="X145" s="66">
        <f>IFERROR(X144, "NA")</f>
        <v>0</v>
      </c>
      <c r="Y145" s="67">
        <f>IFERROR(X145/X148, "NA")</f>
        <v>0</v>
      </c>
      <c r="Z145" s="66">
        <f>IFERROR(Z144, "NA")</f>
        <v>0</v>
      </c>
      <c r="AA145" s="67">
        <f>IFERROR(Z145/Z148, "NA")</f>
        <v>0</v>
      </c>
      <c r="AB145" s="66">
        <f t="shared" si="67"/>
        <v>0</v>
      </c>
      <c r="AC145" s="67">
        <f>IFERROR(AB145/AB148, "NA")</f>
        <v>0</v>
      </c>
      <c r="AD145" s="75">
        <f t="shared" si="68"/>
        <v>0</v>
      </c>
      <c r="AE145" s="76">
        <f>IFERROR(AD145/AD148, "NA")</f>
        <v>0</v>
      </c>
      <c r="AF145" s="75" t="str">
        <f t="shared" si="69"/>
        <v>NA</v>
      </c>
      <c r="AG145" s="66">
        <f t="shared" si="70"/>
        <v>0</v>
      </c>
      <c r="AH145" s="67">
        <f>IFERROR(AG145/AG148, "NA")</f>
        <v>0</v>
      </c>
      <c r="AI145" s="75">
        <f t="shared" si="71"/>
        <v>0</v>
      </c>
      <c r="AJ145" s="76">
        <f>IFERROR(AI145/AI148, "NA")</f>
        <v>0</v>
      </c>
      <c r="AK145" s="75" t="str">
        <f t="shared" si="72"/>
        <v>NA</v>
      </c>
      <c r="AL145" s="76" t="str">
        <f>IFERROR(AK145/AK148, "NA")</f>
        <v>NA</v>
      </c>
    </row>
    <row r="146" ht="3.75" hidden="1" customHeight="1">
      <c r="A146" s="123"/>
      <c r="B146" s="124"/>
      <c r="C146" s="74"/>
      <c r="D146" s="124"/>
      <c r="E146" s="74"/>
      <c r="F146" s="124"/>
      <c r="G146" s="74"/>
      <c r="H146" s="124"/>
      <c r="I146" s="74"/>
      <c r="J146" s="124"/>
      <c r="K146" s="74"/>
      <c r="L146" s="124"/>
      <c r="M146" s="74"/>
      <c r="N146" s="124"/>
      <c r="O146" s="74"/>
      <c r="P146" s="124"/>
      <c r="Q146" s="74"/>
      <c r="R146" s="124"/>
      <c r="S146" s="74"/>
      <c r="T146" s="124"/>
      <c r="U146" s="74"/>
      <c r="V146" s="124"/>
      <c r="W146" s="74"/>
      <c r="X146" s="124"/>
      <c r="Y146" s="74"/>
      <c r="Z146" s="124"/>
      <c r="AA146" s="74"/>
      <c r="AB146" s="124"/>
      <c r="AC146" s="74"/>
      <c r="AD146" s="125"/>
      <c r="AE146" s="80"/>
      <c r="AF146" s="125"/>
      <c r="AG146" s="124"/>
      <c r="AH146" s="74"/>
      <c r="AI146" s="125"/>
      <c r="AJ146" s="80"/>
      <c r="AK146" s="125"/>
      <c r="AL146" s="80"/>
    </row>
    <row r="147" ht="16.5" hidden="1" customHeight="1">
      <c r="A147" s="121" t="s">
        <v>253</v>
      </c>
      <c r="B147" s="122">
        <f>IFERROR(B137-B141-B145, "NA")</f>
        <v>8152.12</v>
      </c>
      <c r="C147" s="94">
        <f>IFERROR(B147/B148, "NA")</f>
        <v>0.2802227587</v>
      </c>
      <c r="D147" s="122">
        <f>IFERROR(D137-D141-D145, "NA")</f>
        <v>3651.84</v>
      </c>
      <c r="E147" s="94">
        <f>IFERROR(D147/D148, "NA")</f>
        <v>0.1488742219</v>
      </c>
      <c r="F147" s="122">
        <f>IFERROR(F137-F141-F145, "NA")</f>
        <v>-24747.39</v>
      </c>
      <c r="G147" s="94">
        <f>IFERROR(F147/F148, "NA")</f>
        <v>-0.8831052184</v>
      </c>
      <c r="H147" s="122">
        <f>IFERROR(H137-H141-H145, "NA")</f>
        <v>4456.21</v>
      </c>
      <c r="I147" s="94">
        <f>IFERROR(H147/H148, "NA")</f>
        <v>0.2614092792</v>
      </c>
      <c r="J147" s="122">
        <f>IFERROR(J137-J141-J145, "NA")</f>
        <v>3213.6</v>
      </c>
      <c r="K147" s="94">
        <f>IFERROR(J147/J148, "NA")</f>
        <v>0.1419397639</v>
      </c>
      <c r="L147" s="122">
        <f>IFERROR(L137-L141-L145, "NA")</f>
        <v>7556.61</v>
      </c>
      <c r="M147" s="94">
        <f>IFERROR(L147/L148, "NA")</f>
        <v>0.2582237241</v>
      </c>
      <c r="N147" s="122">
        <f>IFERROR(N137-N141-N145, "NA")</f>
        <v>-1899.39</v>
      </c>
      <c r="O147" s="94">
        <f>IFERROR(N147/N148, "NA")</f>
        <v>-0.08615107587</v>
      </c>
      <c r="P147" s="122">
        <f>IFERROR(P137-P141-P145, "NA")</f>
        <v>-31401.5</v>
      </c>
      <c r="Q147" s="94">
        <f>IFERROR(P147/P148, "NA")</f>
        <v>-2.135876038</v>
      </c>
      <c r="R147" s="122">
        <f>IFERROR(R137-R141-R145, "NA")</f>
        <v>7255.09</v>
      </c>
      <c r="S147" s="94">
        <f>IFERROR(R147/R148, "NA")</f>
        <v>0.4823305017</v>
      </c>
      <c r="T147" s="122">
        <f>IFERROR(T137-T141-T145, "NA")</f>
        <v>3465.11</v>
      </c>
      <c r="U147" s="94">
        <f>IFERROR(T147/T148, "NA")</f>
        <v>0.1862776088</v>
      </c>
      <c r="V147" s="122">
        <f>IFERROR(V137-V141-V145, "NA")</f>
        <v>509.87</v>
      </c>
      <c r="W147" s="94">
        <f>IFERROR(V147/V148, "NA")</f>
        <v>0.02427025488</v>
      </c>
      <c r="X147" s="122">
        <f>IFERROR(X137-X141-X145, "NA")</f>
        <v>-12463.75</v>
      </c>
      <c r="Y147" s="94">
        <f>IFERROR(X147/X148, "NA")</f>
        <v>-0.7172662997</v>
      </c>
      <c r="Z147" s="122">
        <f>IFERROR(Z137-Z141-Z145, "NA")</f>
        <v>-1233.68</v>
      </c>
      <c r="AA147" s="94">
        <f>IFERROR(Z147/Z148, "NA")</f>
        <v>-0.01712769803</v>
      </c>
      <c r="AB147" s="122">
        <f t="shared" ref="AB147:AB148" si="73">IFERROR((R147+T147+V147+X147)/4, "NA")</f>
        <v>-308.42</v>
      </c>
      <c r="AC147" s="94">
        <f>IFERROR(AB147/AB148, "NA")</f>
        <v>-0.01712769803</v>
      </c>
      <c r="AD147" s="75">
        <f t="shared" ref="AD147:AD148" si="74">IFERROR(X147-AB147, "NA")</f>
        <v>-12155.33</v>
      </c>
      <c r="AE147" s="76">
        <f>IFERROR(AD147/AD148, "NA")</f>
        <v>19.28346157</v>
      </c>
      <c r="AF147" s="75">
        <f t="shared" ref="AF147:AF148" si="75">IFERROR((X147-AB147)/AB147, "NA")</f>
        <v>39.41161403</v>
      </c>
      <c r="AG147" s="122">
        <f t="shared" ref="AG147:AG148" si="76">IFERROR((J147+L147+N147+P147+R147+T147+V147+X147)/8, "NA")</f>
        <v>-2970.545</v>
      </c>
      <c r="AH147" s="94">
        <f>IFERROR(AG147/AG148, "NA")</f>
        <v>-0.147896941</v>
      </c>
      <c r="AI147" s="75">
        <f t="shared" ref="AI147:AI148" si="77">IFERROR(X147-AG147, "NA")</f>
        <v>-9493.205</v>
      </c>
      <c r="AJ147" s="76">
        <f>IFERROR(AI147/AI148, "NA")</f>
        <v>3.504972547</v>
      </c>
      <c r="AK147" s="75">
        <f t="shared" ref="AK147:AK148" si="78">IFERROR((X147-AG147)/AG147, "NA")</f>
        <v>3.195778889</v>
      </c>
      <c r="AL147" s="76">
        <f>IFERROR(AK147/AK148, "NA")</f>
        <v>-23.69874944</v>
      </c>
    </row>
    <row r="148" ht="14.25" hidden="1" customHeight="1">
      <c r="A148" s="19" t="s">
        <v>54</v>
      </c>
      <c r="B148" s="21">
        <v>29091.57</v>
      </c>
      <c r="C148" s="128"/>
      <c r="D148" s="21">
        <v>24529.7</v>
      </c>
      <c r="E148" s="128"/>
      <c r="F148" s="21">
        <v>28023.15</v>
      </c>
      <c r="G148" s="128"/>
      <c r="H148" s="21">
        <v>17046.87</v>
      </c>
      <c r="I148" s="128"/>
      <c r="J148" s="21">
        <v>22640.59</v>
      </c>
      <c r="K148" s="128"/>
      <c r="L148" s="21">
        <v>29263.81</v>
      </c>
      <c r="M148" s="128"/>
      <c r="N148" s="21">
        <v>22047.2</v>
      </c>
      <c r="O148" s="128"/>
      <c r="P148" s="21">
        <v>14701.93</v>
      </c>
      <c r="Q148" s="128"/>
      <c r="R148" s="21">
        <v>15041.74</v>
      </c>
      <c r="S148" s="128"/>
      <c r="T148" s="21">
        <v>18601.86</v>
      </c>
      <c r="U148" s="128"/>
      <c r="V148" s="21">
        <v>21008.02</v>
      </c>
      <c r="W148" s="128"/>
      <c r="X148" s="21">
        <v>17376.74</v>
      </c>
      <c r="Y148" s="128"/>
      <c r="Z148" s="21">
        <v>72028.36</v>
      </c>
      <c r="AA148" s="128"/>
      <c r="AB148" s="28">
        <f t="shared" si="73"/>
        <v>18007.09</v>
      </c>
      <c r="AC148" s="128"/>
      <c r="AD148" s="29">
        <f t="shared" si="74"/>
        <v>-630.35</v>
      </c>
      <c r="AE148" s="129"/>
      <c r="AF148" s="29">
        <f t="shared" si="75"/>
        <v>-0.03500565611</v>
      </c>
      <c r="AG148" s="28">
        <f t="shared" si="76"/>
        <v>20085.23625</v>
      </c>
      <c r="AH148" s="128"/>
      <c r="AI148" s="29">
        <f t="shared" si="77"/>
        <v>-2708.49625</v>
      </c>
      <c r="AJ148" s="129"/>
      <c r="AK148" s="29">
        <f t="shared" si="78"/>
        <v>-0.1348501066</v>
      </c>
      <c r="AL148" s="129"/>
    </row>
    <row r="149" ht="14.25" customHeight="1"/>
    <row r="150" ht="14.25" customHeight="1"/>
    <row r="151" ht="14.25" customHeight="1">
      <c r="A151" s="130" t="s">
        <v>254</v>
      </c>
    </row>
    <row r="152" ht="14.25" customHeight="1">
      <c r="A152" s="130" t="s">
        <v>255</v>
      </c>
    </row>
    <row r="153" ht="14.25" customHeight="1">
      <c r="A153" s="130" t="s">
        <v>256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2" t="s">
        <v>0</v>
      </c>
    </row>
    <row r="2" ht="14.25" customHeight="1">
      <c r="A2" s="4" t="s">
        <v>1</v>
      </c>
    </row>
    <row r="3" ht="14.25" customHeight="1">
      <c r="A3" s="5" t="s">
        <v>6</v>
      </c>
    </row>
    <row r="4" ht="14.25" customHeight="1"/>
    <row r="5" ht="13.5" customHeight="1">
      <c r="A5" s="7"/>
      <c r="B5" s="1" t="s">
        <v>3</v>
      </c>
      <c r="D5" s="1" t="s">
        <v>4</v>
      </c>
      <c r="F5" s="1" t="s">
        <v>5</v>
      </c>
      <c r="H5" s="1" t="s">
        <v>7</v>
      </c>
      <c r="J5" s="1" t="s">
        <v>8</v>
      </c>
      <c r="L5" s="1" t="s">
        <v>10</v>
      </c>
      <c r="N5" s="1" t="s">
        <v>11</v>
      </c>
      <c r="P5" s="1" t="s">
        <v>13</v>
      </c>
      <c r="R5" s="1" t="s">
        <v>15</v>
      </c>
      <c r="T5" s="1" t="s">
        <v>17</v>
      </c>
      <c r="V5" s="1" t="s">
        <v>19</v>
      </c>
      <c r="X5" s="1" t="s">
        <v>21</v>
      </c>
      <c r="Z5" s="1" t="s">
        <v>22</v>
      </c>
      <c r="AB5" s="1" t="s">
        <v>24</v>
      </c>
      <c r="AD5" s="10" t="s">
        <v>26</v>
      </c>
      <c r="AF5" s="10" t="s">
        <v>27</v>
      </c>
      <c r="AG5" s="1" t="s">
        <v>29</v>
      </c>
      <c r="AI5" s="10" t="s">
        <v>30</v>
      </c>
      <c r="AK5" s="10" t="s">
        <v>31</v>
      </c>
    </row>
    <row r="6" ht="16.5" customHeight="1">
      <c r="A6" s="13" t="s">
        <v>25</v>
      </c>
      <c r="B6" s="14"/>
      <c r="C6" s="12"/>
      <c r="D6" s="14"/>
      <c r="E6" s="12"/>
      <c r="F6" s="14"/>
      <c r="G6" s="12"/>
      <c r="H6" s="14"/>
      <c r="I6" s="12"/>
      <c r="J6" s="14"/>
      <c r="K6" s="12"/>
      <c r="L6" s="14"/>
      <c r="M6" s="12"/>
      <c r="N6" s="14"/>
      <c r="O6" s="12"/>
      <c r="P6" s="14"/>
      <c r="Q6" s="12"/>
      <c r="R6" s="14"/>
      <c r="S6" s="12"/>
      <c r="T6" s="14"/>
      <c r="U6" s="12"/>
      <c r="V6" s="14"/>
      <c r="W6" s="12"/>
      <c r="X6" s="14"/>
      <c r="Y6" s="12"/>
      <c r="Z6" s="14"/>
      <c r="AA6" s="12"/>
      <c r="AB6" s="14"/>
      <c r="AC6" s="12"/>
      <c r="AD6" s="17"/>
      <c r="AE6" s="18"/>
      <c r="AF6" s="17"/>
      <c r="AG6" s="14"/>
      <c r="AH6" s="12"/>
      <c r="AI6" s="17"/>
      <c r="AJ6" s="18"/>
      <c r="AK6" s="17"/>
      <c r="AL6" s="18"/>
    </row>
    <row r="7" ht="16.5" customHeight="1">
      <c r="A7" s="19" t="s">
        <v>25</v>
      </c>
      <c r="B7" s="21">
        <v>26661.15</v>
      </c>
      <c r="C7" s="23">
        <f>IFERROR(B7/B148, "NA")</f>
        <v>1</v>
      </c>
      <c r="D7" s="21">
        <v>24549.13</v>
      </c>
      <c r="E7" s="23">
        <f>IFERROR(D7/D148, "NA")</f>
        <v>1</v>
      </c>
      <c r="F7" s="21">
        <v>25065.98</v>
      </c>
      <c r="G7" s="23">
        <f>IFERROR(F7/F148, "NA")</f>
        <v>1</v>
      </c>
      <c r="H7" s="21">
        <v>16405.17</v>
      </c>
      <c r="I7" s="23">
        <f>IFERROR(H7/H148, "NA")</f>
        <v>1</v>
      </c>
      <c r="J7" s="21">
        <v>25076.87</v>
      </c>
      <c r="K7" s="23">
        <f>IFERROR(J7/J148, "NA")</f>
        <v>1</v>
      </c>
      <c r="L7" s="21">
        <v>26775.87</v>
      </c>
      <c r="M7" s="23">
        <f>IFERROR(L7/L148, "NA")</f>
        <v>1</v>
      </c>
      <c r="N7" s="21">
        <v>20891.86</v>
      </c>
      <c r="O7" s="23">
        <f>IFERROR(N7/N148, "NA")</f>
        <v>1</v>
      </c>
      <c r="P7" s="21">
        <v>14798.16</v>
      </c>
      <c r="Q7" s="23">
        <f>IFERROR(P7/P148, "NA")</f>
        <v>1</v>
      </c>
      <c r="R7" s="21">
        <v>16973.59</v>
      </c>
      <c r="S7" s="23">
        <f>IFERROR(R7/R148, "NA")</f>
        <v>1</v>
      </c>
      <c r="T7" s="21">
        <v>20432.36</v>
      </c>
      <c r="U7" s="23">
        <f>IFERROR(T7/T148, "NA")</f>
        <v>1</v>
      </c>
      <c r="V7" s="21">
        <v>29415.25</v>
      </c>
      <c r="W7" s="23">
        <f>IFERROR(V7/V148, "NA")</f>
        <v>1</v>
      </c>
      <c r="X7" s="21">
        <v>22461.46</v>
      </c>
      <c r="Y7" s="23">
        <f>IFERROR(X7/X148, "NA")</f>
        <v>1</v>
      </c>
      <c r="Z7" s="21">
        <v>89282.66</v>
      </c>
      <c r="AA7" s="23">
        <f>IFERROR(Z7/Z148, "NA")</f>
        <v>1</v>
      </c>
      <c r="AB7" s="28">
        <f t="shared" ref="AB7:AB9" si="1">IFERROR((R7+T7+V7+X7)/4, "NA")</f>
        <v>22320.665</v>
      </c>
      <c r="AC7" s="23">
        <f>IFERROR(AB7/AB148, "NA")</f>
        <v>1</v>
      </c>
      <c r="AD7" s="29">
        <f t="shared" ref="AD7:AD9" si="2">IFERROR(X7-AB7, "NA")</f>
        <v>140.795</v>
      </c>
      <c r="AE7" s="30">
        <f>IFERROR(AD7/AD148, "NA")</f>
        <v>1</v>
      </c>
      <c r="AF7" s="29">
        <f t="shared" ref="AF7:AF9" si="3">IFERROR((X7-AB7)/AB7, "NA")</f>
        <v>0.006307831778</v>
      </c>
      <c r="AG7" s="28">
        <f t="shared" ref="AG7:AG9" si="4">IFERROR((J7+L7+N7+P7+R7+T7+V7+X7)/8, "NA")</f>
        <v>22103.1775</v>
      </c>
      <c r="AH7" s="23">
        <f>IFERROR(AG7/AG148, "NA")</f>
        <v>1</v>
      </c>
      <c r="AI7" s="29">
        <f t="shared" ref="AI7:AI9" si="5">IFERROR(X7-AG7, "NA")</f>
        <v>358.2825</v>
      </c>
      <c r="AJ7" s="30">
        <f>IFERROR(AI7/AI148, "NA")</f>
        <v>1</v>
      </c>
      <c r="AK7" s="29">
        <f t="shared" ref="AK7:AK9" si="6">IFERROR((X7-AG7)/AG7, "NA")</f>
        <v>0.01620954725</v>
      </c>
      <c r="AL7" s="30">
        <f>IFERROR(AK7/AK148, "NA")</f>
        <v>1</v>
      </c>
    </row>
    <row r="8" ht="30.75" hidden="1" customHeight="1">
      <c r="A8" s="19" t="s">
        <v>46</v>
      </c>
      <c r="B8" s="21">
        <v>0.0</v>
      </c>
      <c r="C8" s="23">
        <f>IFERROR(B8/B148, "NA")</f>
        <v>0</v>
      </c>
      <c r="D8" s="21">
        <v>0.0</v>
      </c>
      <c r="E8" s="23">
        <f>IFERROR(D8/D148, "NA")</f>
        <v>0</v>
      </c>
      <c r="F8" s="21">
        <v>0.0</v>
      </c>
      <c r="G8" s="23">
        <f>IFERROR(F8/F148, "NA")</f>
        <v>0</v>
      </c>
      <c r="H8" s="21">
        <v>0.0</v>
      </c>
      <c r="I8" s="23">
        <f>IFERROR(H8/H148, "NA")</f>
        <v>0</v>
      </c>
      <c r="J8" s="21">
        <v>0.0</v>
      </c>
      <c r="K8" s="23">
        <f>IFERROR(J8/J148, "NA")</f>
        <v>0</v>
      </c>
      <c r="L8" s="21">
        <v>0.0</v>
      </c>
      <c r="M8" s="23">
        <f>IFERROR(L8/L148, "NA")</f>
        <v>0</v>
      </c>
      <c r="N8" s="21">
        <v>0.0</v>
      </c>
      <c r="O8" s="23">
        <f>IFERROR(N8/N148, "NA")</f>
        <v>0</v>
      </c>
      <c r="P8" s="21">
        <v>0.0</v>
      </c>
      <c r="Q8" s="23">
        <f>IFERROR(P8/P148, "NA")</f>
        <v>0</v>
      </c>
      <c r="R8" s="21">
        <v>0.0</v>
      </c>
      <c r="S8" s="23">
        <f>IFERROR(R8/R148, "NA")</f>
        <v>0</v>
      </c>
      <c r="T8" s="21">
        <v>0.0</v>
      </c>
      <c r="U8" s="23">
        <f>IFERROR(T8/T148, "NA")</f>
        <v>0</v>
      </c>
      <c r="V8" s="21">
        <v>0.0</v>
      </c>
      <c r="W8" s="23">
        <f>IFERROR(V8/V148, "NA")</f>
        <v>0</v>
      </c>
      <c r="X8" s="21">
        <v>0.0</v>
      </c>
      <c r="Y8" s="23">
        <f>IFERROR(X8/X148, "NA")</f>
        <v>0</v>
      </c>
      <c r="Z8" s="21">
        <v>0.0</v>
      </c>
      <c r="AA8" s="23">
        <f>IFERROR(Z8/Z148, "NA")</f>
        <v>0</v>
      </c>
      <c r="AB8" s="28">
        <f t="shared" si="1"/>
        <v>0</v>
      </c>
      <c r="AC8" s="23">
        <f>IFERROR(AB8/AB148, "NA")</f>
        <v>0</v>
      </c>
      <c r="AD8" s="29">
        <f t="shared" si="2"/>
        <v>0</v>
      </c>
      <c r="AE8" s="30">
        <f>IFERROR(AD8/AD148, "NA")</f>
        <v>0</v>
      </c>
      <c r="AF8" s="29" t="str">
        <f t="shared" si="3"/>
        <v>NA</v>
      </c>
      <c r="AG8" s="28">
        <f t="shared" si="4"/>
        <v>0</v>
      </c>
      <c r="AH8" s="23">
        <f>IFERROR(AG8/AG148, "NA")</f>
        <v>0</v>
      </c>
      <c r="AI8" s="29">
        <f t="shared" si="5"/>
        <v>0</v>
      </c>
      <c r="AJ8" s="30">
        <f>IFERROR(AI8/AI148, "NA")</f>
        <v>0</v>
      </c>
      <c r="AK8" s="29" t="str">
        <f t="shared" si="6"/>
        <v>NA</v>
      </c>
      <c r="AL8" s="30" t="str">
        <f>IFERROR(AK8/AK148, "NA")</f>
        <v>NA</v>
      </c>
    </row>
    <row r="9" ht="16.5" customHeight="1">
      <c r="A9" s="65" t="s">
        <v>54</v>
      </c>
      <c r="B9" s="66">
        <f>IFERROR(B7+B8, "NA")</f>
        <v>26661.15</v>
      </c>
      <c r="C9" s="67">
        <f>IFERROR(B9/B148, "NA")</f>
        <v>1</v>
      </c>
      <c r="D9" s="66">
        <f>IFERROR(D7+D8, "NA")</f>
        <v>24549.13</v>
      </c>
      <c r="E9" s="67">
        <f>IFERROR(D9/D148, "NA")</f>
        <v>1</v>
      </c>
      <c r="F9" s="66">
        <f>IFERROR(F7+F8, "NA")</f>
        <v>25065.98</v>
      </c>
      <c r="G9" s="67">
        <f>IFERROR(F9/F148, "NA")</f>
        <v>1</v>
      </c>
      <c r="H9" s="66">
        <f>IFERROR(H7+H8, "NA")</f>
        <v>16405.17</v>
      </c>
      <c r="I9" s="67">
        <f>IFERROR(H9/H148, "NA")</f>
        <v>1</v>
      </c>
      <c r="J9" s="66">
        <f>IFERROR(J7+J8, "NA")</f>
        <v>25076.87</v>
      </c>
      <c r="K9" s="67">
        <f>IFERROR(J9/J148, "NA")</f>
        <v>1</v>
      </c>
      <c r="L9" s="66">
        <f>IFERROR(L7+L8, "NA")</f>
        <v>26775.87</v>
      </c>
      <c r="M9" s="67">
        <f>IFERROR(L9/L148, "NA")</f>
        <v>1</v>
      </c>
      <c r="N9" s="66">
        <f>IFERROR(N7+N8, "NA")</f>
        <v>20891.86</v>
      </c>
      <c r="O9" s="67">
        <f>IFERROR(N9/N148, "NA")</f>
        <v>1</v>
      </c>
      <c r="P9" s="66">
        <f>IFERROR(P7+P8, "NA")</f>
        <v>14798.16</v>
      </c>
      <c r="Q9" s="67">
        <f>IFERROR(P9/P148, "NA")</f>
        <v>1</v>
      </c>
      <c r="R9" s="66">
        <f>IFERROR(R7+R8, "NA")</f>
        <v>16973.59</v>
      </c>
      <c r="S9" s="67">
        <f>IFERROR(R9/R148, "NA")</f>
        <v>1</v>
      </c>
      <c r="T9" s="66">
        <f>IFERROR(T7+T8, "NA")</f>
        <v>20432.36</v>
      </c>
      <c r="U9" s="67">
        <f>IFERROR(T9/T148, "NA")</f>
        <v>1</v>
      </c>
      <c r="V9" s="66">
        <f>IFERROR(V7+V8, "NA")</f>
        <v>29415.25</v>
      </c>
      <c r="W9" s="67">
        <f>IFERROR(V9/V148, "NA")</f>
        <v>1</v>
      </c>
      <c r="X9" s="66">
        <f>IFERROR(X7+X8, "NA")</f>
        <v>22461.46</v>
      </c>
      <c r="Y9" s="67">
        <f>IFERROR(X9/X148, "NA")</f>
        <v>1</v>
      </c>
      <c r="Z9" s="66">
        <f>IFERROR(Z7+Z8, "NA")</f>
        <v>89282.66</v>
      </c>
      <c r="AA9" s="67">
        <f>IFERROR(Z9/Z148, "NA")</f>
        <v>1</v>
      </c>
      <c r="AB9" s="66">
        <f t="shared" si="1"/>
        <v>22320.665</v>
      </c>
      <c r="AC9" s="67">
        <f>IFERROR(AB9/AB148, "NA")</f>
        <v>1</v>
      </c>
      <c r="AD9" s="75">
        <f t="shared" si="2"/>
        <v>140.795</v>
      </c>
      <c r="AE9" s="76">
        <f>IFERROR(AD9/AD148, "NA")</f>
        <v>1</v>
      </c>
      <c r="AF9" s="75">
        <f t="shared" si="3"/>
        <v>0.006307831778</v>
      </c>
      <c r="AG9" s="66">
        <f t="shared" si="4"/>
        <v>22103.1775</v>
      </c>
      <c r="AH9" s="67">
        <f>IFERROR(AG9/AG148, "NA")</f>
        <v>1</v>
      </c>
      <c r="AI9" s="75">
        <f t="shared" si="5"/>
        <v>358.2825</v>
      </c>
      <c r="AJ9" s="76">
        <f>IFERROR(AI9/AI148, "NA")</f>
        <v>1</v>
      </c>
      <c r="AK9" s="75">
        <f t="shared" si="6"/>
        <v>0.01620954725</v>
      </c>
      <c r="AL9" s="76">
        <f>IFERROR(AK9/AK148, "NA")</f>
        <v>1</v>
      </c>
    </row>
    <row r="10" ht="3.75" customHeight="1">
      <c r="A10" s="77"/>
      <c r="B10" s="78"/>
      <c r="C10" s="74"/>
      <c r="D10" s="78"/>
      <c r="E10" s="74"/>
      <c r="F10" s="78"/>
      <c r="G10" s="74"/>
      <c r="H10" s="78"/>
      <c r="I10" s="74"/>
      <c r="J10" s="78"/>
      <c r="K10" s="74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4"/>
      <c r="AB10" s="78"/>
      <c r="AC10" s="74"/>
      <c r="AD10" s="79"/>
      <c r="AE10" s="80"/>
      <c r="AF10" s="79"/>
      <c r="AG10" s="78"/>
      <c r="AH10" s="74"/>
      <c r="AI10" s="79"/>
      <c r="AJ10" s="80"/>
      <c r="AK10" s="79"/>
      <c r="AL10" s="80"/>
    </row>
    <row r="11" ht="16.5" customHeight="1">
      <c r="A11" s="13" t="s">
        <v>65</v>
      </c>
      <c r="B11" s="14"/>
      <c r="C11" s="12"/>
      <c r="D11" s="14"/>
      <c r="E11" s="12"/>
      <c r="F11" s="14"/>
      <c r="G11" s="12"/>
      <c r="H11" s="14"/>
      <c r="I11" s="12"/>
      <c r="J11" s="14"/>
      <c r="K11" s="12"/>
      <c r="L11" s="14"/>
      <c r="M11" s="12"/>
      <c r="N11" s="14"/>
      <c r="O11" s="12"/>
      <c r="P11" s="14"/>
      <c r="Q11" s="12"/>
      <c r="R11" s="14"/>
      <c r="S11" s="12"/>
      <c r="T11" s="14"/>
      <c r="U11" s="12"/>
      <c r="V11" s="14"/>
      <c r="W11" s="12"/>
      <c r="X11" s="14"/>
      <c r="Y11" s="12"/>
      <c r="Z11" s="14"/>
      <c r="AA11" s="12"/>
      <c r="AB11" s="14"/>
      <c r="AC11" s="12"/>
      <c r="AD11" s="17"/>
      <c r="AE11" s="18"/>
      <c r="AF11" s="17"/>
      <c r="AG11" s="14"/>
      <c r="AH11" s="12"/>
      <c r="AI11" s="17"/>
      <c r="AJ11" s="18"/>
      <c r="AK11" s="17"/>
      <c r="AL11" s="18"/>
    </row>
    <row r="12" ht="16.5" customHeight="1">
      <c r="A12" s="13" t="s">
        <v>66</v>
      </c>
      <c r="B12" s="14"/>
      <c r="C12" s="12"/>
      <c r="D12" s="14"/>
      <c r="E12" s="12"/>
      <c r="F12" s="14"/>
      <c r="G12" s="12"/>
      <c r="H12" s="14"/>
      <c r="I12" s="12"/>
      <c r="J12" s="14"/>
      <c r="K12" s="12"/>
      <c r="L12" s="14"/>
      <c r="M12" s="12"/>
      <c r="N12" s="14"/>
      <c r="O12" s="12"/>
      <c r="P12" s="14"/>
      <c r="Q12" s="12"/>
      <c r="R12" s="14"/>
      <c r="S12" s="12"/>
      <c r="T12" s="14"/>
      <c r="U12" s="12"/>
      <c r="V12" s="14"/>
      <c r="W12" s="12"/>
      <c r="X12" s="14"/>
      <c r="Y12" s="12"/>
      <c r="Z12" s="14"/>
      <c r="AA12" s="12"/>
      <c r="AB12" s="14"/>
      <c r="AC12" s="12"/>
      <c r="AD12" s="17"/>
      <c r="AE12" s="18"/>
      <c r="AF12" s="17"/>
      <c r="AG12" s="14"/>
      <c r="AH12" s="12"/>
      <c r="AI12" s="17"/>
      <c r="AJ12" s="18"/>
      <c r="AK12" s="17"/>
      <c r="AL12" s="18"/>
    </row>
    <row r="13" ht="16.5" hidden="1" customHeight="1">
      <c r="A13" s="19" t="s">
        <v>67</v>
      </c>
      <c r="B13" s="21">
        <v>0.0</v>
      </c>
      <c r="C13" s="23">
        <f>IFERROR(B13/B148, "NA")</f>
        <v>0</v>
      </c>
      <c r="D13" s="21">
        <v>0.0</v>
      </c>
      <c r="E13" s="23">
        <f>IFERROR(D13/D148, "NA")</f>
        <v>0</v>
      </c>
      <c r="F13" s="21">
        <v>0.0</v>
      </c>
      <c r="G13" s="23">
        <f>IFERROR(F13/F148, "NA")</f>
        <v>0</v>
      </c>
      <c r="H13" s="21">
        <v>0.0</v>
      </c>
      <c r="I13" s="23">
        <f>IFERROR(H13/H148, "NA")</f>
        <v>0</v>
      </c>
      <c r="J13" s="21">
        <v>0.0</v>
      </c>
      <c r="K13" s="23">
        <f>IFERROR(J13/J148, "NA")</f>
        <v>0</v>
      </c>
      <c r="L13" s="21">
        <v>0.0</v>
      </c>
      <c r="M13" s="23">
        <f>IFERROR(L13/L148, "NA")</f>
        <v>0</v>
      </c>
      <c r="N13" s="21">
        <v>0.0</v>
      </c>
      <c r="O13" s="23">
        <f>IFERROR(N13/N148, "NA")</f>
        <v>0</v>
      </c>
      <c r="P13" s="21">
        <v>0.0</v>
      </c>
      <c r="Q13" s="23">
        <f>IFERROR(P13/P148, "NA")</f>
        <v>0</v>
      </c>
      <c r="R13" s="21">
        <v>0.0</v>
      </c>
      <c r="S13" s="23">
        <f>IFERROR(R13/R148, "NA")</f>
        <v>0</v>
      </c>
      <c r="T13" s="21">
        <v>0.0</v>
      </c>
      <c r="U13" s="23">
        <f>IFERROR(T13/T148, "NA")</f>
        <v>0</v>
      </c>
      <c r="V13" s="21">
        <v>0.0</v>
      </c>
      <c r="W13" s="23">
        <f>IFERROR(V13/V148, "NA")</f>
        <v>0</v>
      </c>
      <c r="X13" s="21">
        <v>0.0</v>
      </c>
      <c r="Y13" s="23">
        <f>IFERROR(X13/X148, "NA")</f>
        <v>0</v>
      </c>
      <c r="Z13" s="21">
        <v>0.0</v>
      </c>
      <c r="AA13" s="23">
        <f>IFERROR(Z13/Z148, "NA")</f>
        <v>0</v>
      </c>
      <c r="AB13" s="28">
        <f>IFERROR((R13+T13+V13+X13)/4, "NA")</f>
        <v>0</v>
      </c>
      <c r="AC13" s="23">
        <f>IFERROR(AB13/AB148, "NA")</f>
        <v>0</v>
      </c>
      <c r="AD13" s="29">
        <f>IFERROR(X13-AB13, "NA")</f>
        <v>0</v>
      </c>
      <c r="AE13" s="30">
        <f>IFERROR(AD13/AD148, "NA")</f>
        <v>0</v>
      </c>
      <c r="AF13" s="29" t="str">
        <f>IFERROR((X13-AB13)/AB13, "NA")</f>
        <v>NA</v>
      </c>
      <c r="AG13" s="28">
        <f>IFERROR((J13+L13+N13+P13+R13+T13+V13+X13)/8, "NA")</f>
        <v>0</v>
      </c>
      <c r="AH13" s="23">
        <f>IFERROR(AG13/AG148, "NA")</f>
        <v>0</v>
      </c>
      <c r="AI13" s="29">
        <f>IFERROR(X13-AG13, "NA")</f>
        <v>0</v>
      </c>
      <c r="AJ13" s="30">
        <f>IFERROR(AI13/AI148, "NA")</f>
        <v>0</v>
      </c>
      <c r="AK13" s="29" t="str">
        <f>IFERROR((X13-AG13)/AG13, "NA")</f>
        <v>NA</v>
      </c>
      <c r="AL13" s="30" t="str">
        <f>IFERROR(AK13/AK148, "NA")</f>
        <v>NA</v>
      </c>
    </row>
    <row r="14" ht="16.5" customHeight="1">
      <c r="A14" s="13" t="s">
        <v>68</v>
      </c>
      <c r="B14" s="14"/>
      <c r="C14" s="12"/>
      <c r="D14" s="14"/>
      <c r="E14" s="12"/>
      <c r="F14" s="14"/>
      <c r="G14" s="12"/>
      <c r="H14" s="14"/>
      <c r="I14" s="12"/>
      <c r="J14" s="14"/>
      <c r="K14" s="12"/>
      <c r="L14" s="14"/>
      <c r="M14" s="12"/>
      <c r="N14" s="14"/>
      <c r="O14" s="12"/>
      <c r="P14" s="14"/>
      <c r="Q14" s="12"/>
      <c r="R14" s="14"/>
      <c r="S14" s="12"/>
      <c r="T14" s="14"/>
      <c r="U14" s="12"/>
      <c r="V14" s="14"/>
      <c r="W14" s="12"/>
      <c r="X14" s="14"/>
      <c r="Y14" s="12"/>
      <c r="Z14" s="14"/>
      <c r="AA14" s="12"/>
      <c r="AB14" s="14"/>
      <c r="AC14" s="12"/>
      <c r="AD14" s="17"/>
      <c r="AE14" s="18"/>
      <c r="AF14" s="17"/>
      <c r="AG14" s="14"/>
      <c r="AH14" s="12"/>
      <c r="AI14" s="17"/>
      <c r="AJ14" s="18"/>
      <c r="AK14" s="17"/>
      <c r="AL14" s="18"/>
    </row>
    <row r="15" ht="16.5" hidden="1" customHeight="1">
      <c r="A15" s="19" t="s">
        <v>69</v>
      </c>
      <c r="B15" s="21">
        <v>0.0</v>
      </c>
      <c r="C15" s="23">
        <f>IFERROR(B15/B148, "NA")</f>
        <v>0</v>
      </c>
      <c r="D15" s="21">
        <v>0.0</v>
      </c>
      <c r="E15" s="23">
        <f>IFERROR(D15/D148, "NA")</f>
        <v>0</v>
      </c>
      <c r="F15" s="21">
        <v>0.0</v>
      </c>
      <c r="G15" s="23">
        <f>IFERROR(F15/F148, "NA")</f>
        <v>0</v>
      </c>
      <c r="H15" s="21">
        <v>0.0</v>
      </c>
      <c r="I15" s="23">
        <f>IFERROR(H15/H148, "NA")</f>
        <v>0</v>
      </c>
      <c r="J15" s="21">
        <v>0.0</v>
      </c>
      <c r="K15" s="23">
        <f>IFERROR(J15/J148, "NA")</f>
        <v>0</v>
      </c>
      <c r="L15" s="21">
        <v>0.0</v>
      </c>
      <c r="M15" s="23">
        <f>IFERROR(L15/L148, "NA")</f>
        <v>0</v>
      </c>
      <c r="N15" s="21">
        <v>0.0</v>
      </c>
      <c r="O15" s="23">
        <f>IFERROR(N15/N148, "NA")</f>
        <v>0</v>
      </c>
      <c r="P15" s="21">
        <v>0.0</v>
      </c>
      <c r="Q15" s="23">
        <f>IFERROR(P15/P148, "NA")</f>
        <v>0</v>
      </c>
      <c r="R15" s="21">
        <v>0.0</v>
      </c>
      <c r="S15" s="23">
        <f>IFERROR(R15/R148, "NA")</f>
        <v>0</v>
      </c>
      <c r="T15" s="21">
        <v>0.0</v>
      </c>
      <c r="U15" s="23">
        <f>IFERROR(T15/T148, "NA")</f>
        <v>0</v>
      </c>
      <c r="V15" s="21">
        <v>0.0</v>
      </c>
      <c r="W15" s="23">
        <f>IFERROR(V15/V148, "NA")</f>
        <v>0</v>
      </c>
      <c r="X15" s="21">
        <v>0.0</v>
      </c>
      <c r="Y15" s="23">
        <f>IFERROR(X15/X148, "NA")</f>
        <v>0</v>
      </c>
      <c r="Z15" s="21">
        <v>0.0</v>
      </c>
      <c r="AA15" s="23">
        <f>IFERROR(Z15/Z148, "NA")</f>
        <v>0</v>
      </c>
      <c r="AB15" s="28">
        <f t="shared" ref="AB15:AB27" si="7">IFERROR((R15+T15+V15+X15)/4, "NA")</f>
        <v>0</v>
      </c>
      <c r="AC15" s="23">
        <f>IFERROR(AB15/AB148, "NA")</f>
        <v>0</v>
      </c>
      <c r="AD15" s="29">
        <f t="shared" ref="AD15:AD27" si="8">IFERROR(X15-AB15, "NA")</f>
        <v>0</v>
      </c>
      <c r="AE15" s="30">
        <f>IFERROR(AD15/AD148, "NA")</f>
        <v>0</v>
      </c>
      <c r="AF15" s="29" t="str">
        <f t="shared" ref="AF15:AF27" si="9">IFERROR((X15-AB15)/AB15, "NA")</f>
        <v>NA</v>
      </c>
      <c r="AG15" s="28">
        <f t="shared" ref="AG15:AG27" si="10">IFERROR((J15+L15+N15+P15+R15+T15+V15+X15)/8, "NA")</f>
        <v>0</v>
      </c>
      <c r="AH15" s="23">
        <f>IFERROR(AG15/AG148, "NA")</f>
        <v>0</v>
      </c>
      <c r="AI15" s="29">
        <f t="shared" ref="AI15:AI27" si="11">IFERROR(X15-AG15, "NA")</f>
        <v>0</v>
      </c>
      <c r="AJ15" s="30">
        <f>IFERROR(AI15/AI148, "NA")</f>
        <v>0</v>
      </c>
      <c r="AK15" s="29" t="str">
        <f t="shared" ref="AK15:AK27" si="12">IFERROR((X15-AG15)/AG15, "NA")</f>
        <v>NA</v>
      </c>
      <c r="AL15" s="30" t="str">
        <f>IFERROR(AK15/AK148, "NA")</f>
        <v>NA</v>
      </c>
    </row>
    <row r="16" ht="16.5" customHeight="1">
      <c r="A16" s="19" t="s">
        <v>70</v>
      </c>
      <c r="B16" s="21">
        <v>1291.37</v>
      </c>
      <c r="C16" s="23">
        <f>IFERROR(B16/B148, "NA")</f>
        <v>0.04843639528</v>
      </c>
      <c r="D16" s="21">
        <v>1647.65</v>
      </c>
      <c r="E16" s="23">
        <f>IFERROR(D16/D148, "NA")</f>
        <v>0.06711643142</v>
      </c>
      <c r="F16" s="21">
        <v>1401.61</v>
      </c>
      <c r="G16" s="23">
        <f>IFERROR(F16/F148, "NA")</f>
        <v>0.05591682432</v>
      </c>
      <c r="H16" s="21">
        <v>874.5</v>
      </c>
      <c r="I16" s="23">
        <f>IFERROR(H16/H148, "NA")</f>
        <v>0.05330636622</v>
      </c>
      <c r="J16" s="21">
        <v>1192.7</v>
      </c>
      <c r="K16" s="23">
        <f>IFERROR(J16/J148, "NA")</f>
        <v>0.04756175711</v>
      </c>
      <c r="L16" s="21">
        <v>1621.73</v>
      </c>
      <c r="M16" s="23">
        <f>IFERROR(L16/L148, "NA")</f>
        <v>0.06056684619</v>
      </c>
      <c r="N16" s="21">
        <v>1177.18</v>
      </c>
      <c r="O16" s="23">
        <f>IFERROR(N16/N148, "NA")</f>
        <v>0.05634634733</v>
      </c>
      <c r="P16" s="21">
        <v>616.39</v>
      </c>
      <c r="Q16" s="23">
        <f>IFERROR(P16/P148, "NA")</f>
        <v>0.04165315147</v>
      </c>
      <c r="R16" s="21">
        <v>1132.54</v>
      </c>
      <c r="S16" s="23">
        <f>IFERROR(R16/R148, "NA")</f>
        <v>0.06672365716</v>
      </c>
      <c r="T16" s="21">
        <v>1159.4</v>
      </c>
      <c r="U16" s="23">
        <f>IFERROR(T16/T148, "NA")</f>
        <v>0.05674332285</v>
      </c>
      <c r="V16" s="21">
        <v>1517.35</v>
      </c>
      <c r="W16" s="23">
        <f>IFERROR(V16/V148, "NA")</f>
        <v>0.05158378732</v>
      </c>
      <c r="X16" s="21">
        <v>1249.54</v>
      </c>
      <c r="Y16" s="23">
        <f>IFERROR(X16/X148, "NA")</f>
        <v>0.0556303998</v>
      </c>
      <c r="Z16" s="21">
        <v>5058.83</v>
      </c>
      <c r="AA16" s="23">
        <f>IFERROR(Z16/Z148, "NA")</f>
        <v>0.05666083425</v>
      </c>
      <c r="AB16" s="28">
        <f t="shared" si="7"/>
        <v>1264.7075</v>
      </c>
      <c r="AC16" s="23">
        <f>IFERROR(AB16/AB148, "NA")</f>
        <v>0.05666083425</v>
      </c>
      <c r="AD16" s="29">
        <f t="shared" si="8"/>
        <v>-15.1675</v>
      </c>
      <c r="AE16" s="30">
        <f>IFERROR(AD16/AD148, "NA")</f>
        <v>-0.1077275471</v>
      </c>
      <c r="AF16" s="29">
        <f t="shared" si="9"/>
        <v>-0.01199289164</v>
      </c>
      <c r="AG16" s="28">
        <f t="shared" si="10"/>
        <v>1208.35375</v>
      </c>
      <c r="AH16" s="23">
        <f>IFERROR(AG16/AG148, "NA")</f>
        <v>0.05466878009</v>
      </c>
      <c r="AI16" s="29">
        <f t="shared" si="11"/>
        <v>41.18625</v>
      </c>
      <c r="AJ16" s="30">
        <f>IFERROR(AI16/AI148, "NA")</f>
        <v>0.1149546796</v>
      </c>
      <c r="AK16" s="29">
        <f t="shared" si="12"/>
        <v>0.0340845965</v>
      </c>
      <c r="AL16" s="30">
        <f>IFERROR(AK16/AK148, "NA")</f>
        <v>2.102748213</v>
      </c>
    </row>
    <row r="17" ht="16.5" customHeight="1">
      <c r="A17" s="19" t="s">
        <v>71</v>
      </c>
      <c r="B17" s="21">
        <v>629.88</v>
      </c>
      <c r="C17" s="23">
        <f>IFERROR(B17/B148, "NA")</f>
        <v>0.0236253875</v>
      </c>
      <c r="D17" s="21">
        <v>831.68</v>
      </c>
      <c r="E17" s="23">
        <f>IFERROR(D17/D148, "NA")</f>
        <v>0.03387818631</v>
      </c>
      <c r="F17" s="21">
        <v>562.49</v>
      </c>
      <c r="G17" s="23">
        <f>IFERROR(F17/F148, "NA")</f>
        <v>0.02244037536</v>
      </c>
      <c r="H17" s="21">
        <v>609.3</v>
      </c>
      <c r="I17" s="23">
        <f>IFERROR(H17/H148, "NA")</f>
        <v>0.03714073064</v>
      </c>
      <c r="J17" s="21">
        <v>615.85</v>
      </c>
      <c r="K17" s="23">
        <f>IFERROR(J17/J148, "NA")</f>
        <v>0.02455848756</v>
      </c>
      <c r="L17" s="21">
        <v>813.68</v>
      </c>
      <c r="M17" s="23">
        <f>IFERROR(L17/L148, "NA")</f>
        <v>0.03038855507</v>
      </c>
      <c r="N17" s="21">
        <v>730.92</v>
      </c>
      <c r="O17" s="23">
        <f>IFERROR(N17/N148, "NA")</f>
        <v>0.03498587488</v>
      </c>
      <c r="P17" s="21">
        <v>416.52</v>
      </c>
      <c r="Q17" s="23">
        <f>IFERROR(P17/P148, "NA")</f>
        <v>0.02814674257</v>
      </c>
      <c r="R17" s="21">
        <v>583.58</v>
      </c>
      <c r="S17" s="23">
        <f>IFERROR(R17/R148, "NA")</f>
        <v>0.0343816482</v>
      </c>
      <c r="T17" s="21">
        <v>719.2</v>
      </c>
      <c r="U17" s="23">
        <f>IFERROR(T17/T148, "NA")</f>
        <v>0.03519906658</v>
      </c>
      <c r="V17" s="21">
        <v>786.04</v>
      </c>
      <c r="W17" s="23">
        <f>IFERROR(V17/V148, "NA")</f>
        <v>0.02672219342</v>
      </c>
      <c r="X17" s="21">
        <v>765.99</v>
      </c>
      <c r="Y17" s="23">
        <f>IFERROR(X17/X148, "NA")</f>
        <v>0.03410241365</v>
      </c>
      <c r="Z17" s="21">
        <v>2854.81</v>
      </c>
      <c r="AA17" s="23">
        <f>IFERROR(Z17/Z148, "NA")</f>
        <v>0.0319749658</v>
      </c>
      <c r="AB17" s="28">
        <f t="shared" si="7"/>
        <v>713.7025</v>
      </c>
      <c r="AC17" s="23">
        <f>IFERROR(AB17/AB148, "NA")</f>
        <v>0.0319749658</v>
      </c>
      <c r="AD17" s="29">
        <f t="shared" si="8"/>
        <v>52.2875</v>
      </c>
      <c r="AE17" s="30">
        <f>IFERROR(AD17/AD148, "NA")</f>
        <v>0.3713732732</v>
      </c>
      <c r="AF17" s="29">
        <f t="shared" si="9"/>
        <v>0.07326231868</v>
      </c>
      <c r="AG17" s="28">
        <f t="shared" si="10"/>
        <v>678.9725</v>
      </c>
      <c r="AH17" s="23">
        <f>IFERROR(AG17/AG148, "NA")</f>
        <v>0.03071832093</v>
      </c>
      <c r="AI17" s="29">
        <f t="shared" si="11"/>
        <v>87.0175</v>
      </c>
      <c r="AJ17" s="30">
        <f>IFERROR(AI17/AI148, "NA")</f>
        <v>0.2428739891</v>
      </c>
      <c r="AK17" s="29">
        <f t="shared" si="12"/>
        <v>0.1281605661</v>
      </c>
      <c r="AL17" s="30">
        <f>IFERROR(AK17/AK148, "NA")</f>
        <v>7.90648648</v>
      </c>
    </row>
    <row r="18" ht="16.5" customHeight="1">
      <c r="A18" s="19" t="s">
        <v>74</v>
      </c>
      <c r="B18" s="21">
        <v>915.98</v>
      </c>
      <c r="C18" s="23">
        <f>IFERROR(B18/B148, "NA")</f>
        <v>0.03435635747</v>
      </c>
      <c r="D18" s="21">
        <v>748.45</v>
      </c>
      <c r="E18" s="23">
        <f>IFERROR(D18/D148, "NA")</f>
        <v>0.03048784214</v>
      </c>
      <c r="F18" s="21">
        <v>428.29</v>
      </c>
      <c r="G18" s="23">
        <f>IFERROR(F18/F148, "NA")</f>
        <v>0.0170865053</v>
      </c>
      <c r="H18" s="21">
        <v>465.66</v>
      </c>
      <c r="I18" s="23">
        <f>IFERROR(H18/H148, "NA")</f>
        <v>0.02838495426</v>
      </c>
      <c r="J18" s="21">
        <v>753.65</v>
      </c>
      <c r="K18" s="23">
        <f>IFERROR(J18/J148, "NA")</f>
        <v>0.03005359122</v>
      </c>
      <c r="L18" s="21">
        <v>648.5</v>
      </c>
      <c r="M18" s="23">
        <f>IFERROR(L18/L148, "NA")</f>
        <v>0.02421956784</v>
      </c>
      <c r="N18" s="21">
        <v>630.51</v>
      </c>
      <c r="O18" s="23">
        <f>IFERROR(N18/N148, "NA")</f>
        <v>0.03017969678</v>
      </c>
      <c r="P18" s="21">
        <v>472.21</v>
      </c>
      <c r="Q18" s="23">
        <f>IFERROR(P18/P148, "NA")</f>
        <v>0.03191004828</v>
      </c>
      <c r="R18" s="21">
        <v>510.92</v>
      </c>
      <c r="S18" s="23">
        <f>IFERROR(R18/R148, "NA")</f>
        <v>0.03010088025</v>
      </c>
      <c r="T18" s="21">
        <v>700.77</v>
      </c>
      <c r="U18" s="23">
        <f>IFERROR(T18/T148, "NA")</f>
        <v>0.03429706603</v>
      </c>
      <c r="V18" s="21">
        <v>868.85</v>
      </c>
      <c r="W18" s="23">
        <f>IFERROR(V18/V148, "NA")</f>
        <v>0.02953739982</v>
      </c>
      <c r="X18" s="21">
        <v>752.13</v>
      </c>
      <c r="Y18" s="23">
        <f>IFERROR(X18/X148, "NA")</f>
        <v>0.0334853567</v>
      </c>
      <c r="Z18" s="21">
        <v>2832.67</v>
      </c>
      <c r="AA18" s="23">
        <f>IFERROR(Z18/Z148, "NA")</f>
        <v>0.03172698932</v>
      </c>
      <c r="AB18" s="28">
        <f t="shared" si="7"/>
        <v>708.1675</v>
      </c>
      <c r="AC18" s="23">
        <f>IFERROR(AB18/AB148, "NA")</f>
        <v>0.03172698932</v>
      </c>
      <c r="AD18" s="29">
        <f t="shared" si="8"/>
        <v>43.9625</v>
      </c>
      <c r="AE18" s="30">
        <f>IFERROR(AD18/AD148, "NA")</f>
        <v>0.312244753</v>
      </c>
      <c r="AF18" s="29">
        <f t="shared" si="9"/>
        <v>0.06207923973</v>
      </c>
      <c r="AG18" s="28">
        <f t="shared" si="10"/>
        <v>667.1925</v>
      </c>
      <c r="AH18" s="23">
        <f>IFERROR(AG18/AG148, "NA")</f>
        <v>0.03018536588</v>
      </c>
      <c r="AI18" s="29">
        <f t="shared" si="11"/>
        <v>84.9375</v>
      </c>
      <c r="AJ18" s="30">
        <f>IFERROR(AI18/AI148, "NA")</f>
        <v>0.2370685144</v>
      </c>
      <c r="AK18" s="29">
        <f t="shared" si="12"/>
        <v>0.1273058375</v>
      </c>
      <c r="AL18" s="30">
        <f>IFERROR(AK18/AK148, "NA")</f>
        <v>7.853756529</v>
      </c>
    </row>
    <row r="19" ht="16.5" customHeight="1">
      <c r="A19" s="19" t="s">
        <v>75</v>
      </c>
      <c r="B19" s="21">
        <v>722.25</v>
      </c>
      <c r="C19" s="23">
        <f>IFERROR(B19/B148, "NA")</f>
        <v>0.02708997924</v>
      </c>
      <c r="D19" s="21">
        <v>600.87</v>
      </c>
      <c r="E19" s="23">
        <f>IFERROR(D19/D148, "NA")</f>
        <v>0.0244762238</v>
      </c>
      <c r="F19" s="21">
        <v>713.26</v>
      </c>
      <c r="G19" s="23">
        <f>IFERROR(F19/F148, "NA")</f>
        <v>0.02845530077</v>
      </c>
      <c r="H19" s="21">
        <v>479.67</v>
      </c>
      <c r="I19" s="23">
        <f>IFERROR(H19/H148, "NA")</f>
        <v>0.02923895333</v>
      </c>
      <c r="J19" s="21">
        <v>595.33</v>
      </c>
      <c r="K19" s="23">
        <f>IFERROR(J19/J148, "NA")</f>
        <v>0.02374020362</v>
      </c>
      <c r="L19" s="21">
        <v>796.1</v>
      </c>
      <c r="M19" s="23">
        <f>IFERROR(L19/L148, "NA")</f>
        <v>0.02973199377</v>
      </c>
      <c r="N19" s="21">
        <v>671.17</v>
      </c>
      <c r="O19" s="23">
        <f>IFERROR(N19/N148, "NA")</f>
        <v>0.03212590933</v>
      </c>
      <c r="P19" s="21">
        <v>353.41</v>
      </c>
      <c r="Q19" s="23">
        <f>IFERROR(P19/P148, "NA")</f>
        <v>0.02388202317</v>
      </c>
      <c r="R19" s="21">
        <v>493.03</v>
      </c>
      <c r="S19" s="23">
        <f>IFERROR(R19/R148, "NA")</f>
        <v>0.0290468899</v>
      </c>
      <c r="T19" s="21">
        <v>425.5</v>
      </c>
      <c r="U19" s="23">
        <f>IFERROR(T19/T148, "NA")</f>
        <v>0.02082480927</v>
      </c>
      <c r="V19" s="21">
        <v>748.59</v>
      </c>
      <c r="W19" s="23">
        <f>IFERROR(V19/V148, "NA")</f>
        <v>0.02544904429</v>
      </c>
      <c r="X19" s="21">
        <v>601.5</v>
      </c>
      <c r="Y19" s="23">
        <f>IFERROR(X19/X148, "NA")</f>
        <v>0.02677920313</v>
      </c>
      <c r="Z19" s="21">
        <v>2268.62</v>
      </c>
      <c r="AA19" s="23">
        <f>IFERROR(Z19/Z148, "NA")</f>
        <v>0.02540941321</v>
      </c>
      <c r="AB19" s="28">
        <f t="shared" si="7"/>
        <v>567.155</v>
      </c>
      <c r="AC19" s="23">
        <f>IFERROR(AB19/AB148, "NA")</f>
        <v>0.02540941321</v>
      </c>
      <c r="AD19" s="29">
        <f t="shared" si="8"/>
        <v>34.345</v>
      </c>
      <c r="AE19" s="30">
        <f>IFERROR(AD19/AD148, "NA")</f>
        <v>0.2439362193</v>
      </c>
      <c r="AF19" s="29">
        <f t="shared" si="9"/>
        <v>0.06055663796</v>
      </c>
      <c r="AG19" s="28">
        <f t="shared" si="10"/>
        <v>585.57875</v>
      </c>
      <c r="AH19" s="23">
        <f>IFERROR(AG19/AG148, "NA")</f>
        <v>0.0264929669</v>
      </c>
      <c r="AI19" s="29">
        <f t="shared" si="11"/>
        <v>15.92125</v>
      </c>
      <c r="AJ19" s="30">
        <f>IFERROR(AI19/AI148, "NA")</f>
        <v>0.0444376993</v>
      </c>
      <c r="AK19" s="29">
        <f t="shared" si="12"/>
        <v>0.02718891353</v>
      </c>
      <c r="AL19" s="30">
        <f>IFERROR(AK19/AK148, "NA")</f>
        <v>1.677339479</v>
      </c>
    </row>
    <row r="20" ht="16.5" customHeight="1">
      <c r="A20" s="19" t="s">
        <v>76</v>
      </c>
      <c r="B20" s="21">
        <v>310.36</v>
      </c>
      <c r="C20" s="23">
        <f>IFERROR(B20/B148, "NA")</f>
        <v>0.01164090821</v>
      </c>
      <c r="D20" s="21">
        <v>361.5</v>
      </c>
      <c r="E20" s="23">
        <f>IFERROR(D20/D148, "NA")</f>
        <v>0.01472557276</v>
      </c>
      <c r="F20" s="21">
        <v>320.27</v>
      </c>
      <c r="G20" s="23">
        <f>IFERROR(F20/F148, "NA")</f>
        <v>0.01277707873</v>
      </c>
      <c r="H20" s="21">
        <v>209.76</v>
      </c>
      <c r="I20" s="23">
        <f>IFERROR(H20/H148, "NA")</f>
        <v>0.01278621313</v>
      </c>
      <c r="J20" s="21">
        <v>339.95</v>
      </c>
      <c r="K20" s="23">
        <f>IFERROR(J20/J148, "NA")</f>
        <v>0.01355631704</v>
      </c>
      <c r="L20" s="21">
        <v>293.93</v>
      </c>
      <c r="M20" s="23">
        <f>IFERROR(L20/L148, "NA")</f>
        <v>0.01097742109</v>
      </c>
      <c r="N20" s="21">
        <v>274.28</v>
      </c>
      <c r="O20" s="23">
        <f>IFERROR(N20/N148, "NA")</f>
        <v>0.0131285582</v>
      </c>
      <c r="P20" s="21">
        <v>183.15</v>
      </c>
      <c r="Q20" s="23">
        <f>IFERROR(P20/P148, "NA")</f>
        <v>0.0123765387</v>
      </c>
      <c r="R20" s="21">
        <v>333.53</v>
      </c>
      <c r="S20" s="23">
        <f>IFERROR(R20/R148, "NA")</f>
        <v>0.01964993852</v>
      </c>
      <c r="T20" s="21">
        <v>276.41</v>
      </c>
      <c r="U20" s="23">
        <f>IFERROR(T20/T148, "NA")</f>
        <v>0.0135280506</v>
      </c>
      <c r="V20" s="21">
        <v>341.5</v>
      </c>
      <c r="W20" s="23">
        <f>IFERROR(V20/V148, "NA")</f>
        <v>0.01160962426</v>
      </c>
      <c r="X20" s="21">
        <v>304.34</v>
      </c>
      <c r="Y20" s="23">
        <f>IFERROR(X20/X148, "NA")</f>
        <v>0.01354943089</v>
      </c>
      <c r="Z20" s="21">
        <v>1255.78</v>
      </c>
      <c r="AA20" s="23">
        <f>IFERROR(Z20/Z148, "NA")</f>
        <v>0.01406521714</v>
      </c>
      <c r="AB20" s="28">
        <f t="shared" si="7"/>
        <v>313.945</v>
      </c>
      <c r="AC20" s="23">
        <f>IFERROR(AB20/AB148, "NA")</f>
        <v>0.01406521714</v>
      </c>
      <c r="AD20" s="29">
        <f t="shared" si="8"/>
        <v>-9.605</v>
      </c>
      <c r="AE20" s="30">
        <f>IFERROR(AD20/AD148, "NA")</f>
        <v>-0.06821975212</v>
      </c>
      <c r="AF20" s="29">
        <f t="shared" si="9"/>
        <v>-0.03059453089</v>
      </c>
      <c r="AG20" s="28">
        <f t="shared" si="10"/>
        <v>293.38625</v>
      </c>
      <c r="AH20" s="23">
        <f>IFERROR(AG20/AG148, "NA")</f>
        <v>0.01327348749</v>
      </c>
      <c r="AI20" s="29">
        <f t="shared" si="11"/>
        <v>10.95375</v>
      </c>
      <c r="AJ20" s="30">
        <f>IFERROR(AI20/AI148, "NA")</f>
        <v>0.03057294174</v>
      </c>
      <c r="AK20" s="29">
        <f t="shared" si="12"/>
        <v>0.03733559429</v>
      </c>
      <c r="AL20" s="30">
        <f>IFERROR(AK20/AK148, "NA")</f>
        <v>2.303308891</v>
      </c>
    </row>
    <row r="21" ht="16.5" customHeight="1">
      <c r="A21" s="19" t="s">
        <v>77</v>
      </c>
      <c r="B21" s="21">
        <v>144.17</v>
      </c>
      <c r="C21" s="23">
        <f>IFERROR(B21/B148, "NA")</f>
        <v>0.005407493675</v>
      </c>
      <c r="D21" s="21">
        <v>168.89</v>
      </c>
      <c r="E21" s="23">
        <f>IFERROR(D21/D148, "NA")</f>
        <v>0.006879673536</v>
      </c>
      <c r="F21" s="21">
        <v>192.58</v>
      </c>
      <c r="G21" s="23">
        <f>IFERROR(F21/F148, "NA")</f>
        <v>0.007682923229</v>
      </c>
      <c r="H21" s="21">
        <v>92.84</v>
      </c>
      <c r="I21" s="23">
        <f>IFERROR(H21/H148, "NA")</f>
        <v>0.005659191584</v>
      </c>
      <c r="J21" s="21">
        <v>192.33</v>
      </c>
      <c r="K21" s="23">
        <f>IFERROR(J21/J148, "NA")</f>
        <v>0.00766961746</v>
      </c>
      <c r="L21" s="21">
        <v>177.39</v>
      </c>
      <c r="M21" s="23">
        <f>IFERROR(L21/L148, "NA")</f>
        <v>0.006624994818</v>
      </c>
      <c r="N21" s="21">
        <v>190.83</v>
      </c>
      <c r="O21" s="23">
        <f>IFERROR(N21/N148, "NA")</f>
        <v>0.009134179532</v>
      </c>
      <c r="P21" s="21">
        <v>90.3</v>
      </c>
      <c r="Q21" s="23">
        <f>IFERROR(P21/P148, "NA")</f>
        <v>0.006102109992</v>
      </c>
      <c r="R21" s="21">
        <v>165.84</v>
      </c>
      <c r="S21" s="23">
        <f>IFERROR(R21/R148, "NA")</f>
        <v>0.009770472835</v>
      </c>
      <c r="T21" s="21">
        <v>206.2</v>
      </c>
      <c r="U21" s="23">
        <f>IFERROR(T21/T148, "NA")</f>
        <v>0.01009183472</v>
      </c>
      <c r="V21" s="21">
        <v>144.93</v>
      </c>
      <c r="W21" s="23">
        <f>IFERROR(V21/V148, "NA")</f>
        <v>0.004927036146</v>
      </c>
      <c r="X21" s="21">
        <v>195.91</v>
      </c>
      <c r="Y21" s="23">
        <f>IFERROR(X21/X148, "NA")</f>
        <v>0.008722051015</v>
      </c>
      <c r="Z21" s="21">
        <v>712.88</v>
      </c>
      <c r="AA21" s="23">
        <f>IFERROR(Z21/Z148, "NA")</f>
        <v>0.007984529135</v>
      </c>
      <c r="AB21" s="28">
        <f t="shared" si="7"/>
        <v>178.22</v>
      </c>
      <c r="AC21" s="23">
        <f>IFERROR(AB21/AB148, "NA")</f>
        <v>0.007984529135</v>
      </c>
      <c r="AD21" s="29">
        <f t="shared" si="8"/>
        <v>17.69</v>
      </c>
      <c r="AE21" s="30">
        <f>IFERROR(AD21/AD148, "NA")</f>
        <v>0.1256436663</v>
      </c>
      <c r="AF21" s="29">
        <f t="shared" si="9"/>
        <v>0.09925934239</v>
      </c>
      <c r="AG21" s="28">
        <f t="shared" si="10"/>
        <v>170.46625</v>
      </c>
      <c r="AH21" s="23">
        <f>IFERROR(AG21/AG148, "NA")</f>
        <v>0.007712296117</v>
      </c>
      <c r="AI21" s="29">
        <f t="shared" si="11"/>
        <v>25.44375</v>
      </c>
      <c r="AJ21" s="30">
        <f>IFERROR(AI21/AI148, "NA")</f>
        <v>0.0710158883</v>
      </c>
      <c r="AK21" s="29">
        <f t="shared" si="12"/>
        <v>0.1492597508</v>
      </c>
      <c r="AL21" s="30">
        <f>IFERROR(AK21/AK148, "NA")</f>
        <v>9.208138176</v>
      </c>
    </row>
    <row r="22" ht="16.5" hidden="1" customHeight="1">
      <c r="A22" s="19" t="s">
        <v>78</v>
      </c>
      <c r="B22" s="21">
        <v>0.0</v>
      </c>
      <c r="C22" s="23">
        <f>IFERROR(B22/B148, "NA")</f>
        <v>0</v>
      </c>
      <c r="D22" s="21">
        <v>0.0</v>
      </c>
      <c r="E22" s="23">
        <f>IFERROR(D22/D148, "NA")</f>
        <v>0</v>
      </c>
      <c r="F22" s="21">
        <v>0.0</v>
      </c>
      <c r="G22" s="23">
        <f>IFERROR(F22/F148, "NA")</f>
        <v>0</v>
      </c>
      <c r="H22" s="21">
        <v>0.0</v>
      </c>
      <c r="I22" s="23">
        <f>IFERROR(H22/H148, "NA")</f>
        <v>0</v>
      </c>
      <c r="J22" s="21">
        <v>0.0</v>
      </c>
      <c r="K22" s="23">
        <f>IFERROR(J22/J148, "NA")</f>
        <v>0</v>
      </c>
      <c r="L22" s="21">
        <v>0.0</v>
      </c>
      <c r="M22" s="23">
        <f>IFERROR(L22/L148, "NA")</f>
        <v>0</v>
      </c>
      <c r="N22" s="21">
        <v>0.0</v>
      </c>
      <c r="O22" s="23">
        <f>IFERROR(N22/N148, "NA")</f>
        <v>0</v>
      </c>
      <c r="P22" s="21">
        <v>0.0</v>
      </c>
      <c r="Q22" s="23">
        <f>IFERROR(P22/P148, "NA")</f>
        <v>0</v>
      </c>
      <c r="R22" s="21">
        <v>0.0</v>
      </c>
      <c r="S22" s="23">
        <f>IFERROR(R22/R148, "NA")</f>
        <v>0</v>
      </c>
      <c r="T22" s="21">
        <v>0.0</v>
      </c>
      <c r="U22" s="23">
        <f>IFERROR(T22/T148, "NA")</f>
        <v>0</v>
      </c>
      <c r="V22" s="21">
        <v>0.0</v>
      </c>
      <c r="W22" s="23">
        <f>IFERROR(V22/V148, "NA")</f>
        <v>0</v>
      </c>
      <c r="X22" s="21">
        <v>0.0</v>
      </c>
      <c r="Y22" s="23">
        <f>IFERROR(X22/X148, "NA")</f>
        <v>0</v>
      </c>
      <c r="Z22" s="21">
        <v>0.0</v>
      </c>
      <c r="AA22" s="23">
        <f>IFERROR(Z22/Z148, "NA")</f>
        <v>0</v>
      </c>
      <c r="AB22" s="28">
        <f t="shared" si="7"/>
        <v>0</v>
      </c>
      <c r="AC22" s="23">
        <f>IFERROR(AB22/AB148, "NA")</f>
        <v>0</v>
      </c>
      <c r="AD22" s="29">
        <f t="shared" si="8"/>
        <v>0</v>
      </c>
      <c r="AE22" s="30">
        <f>IFERROR(AD22/AD148, "NA")</f>
        <v>0</v>
      </c>
      <c r="AF22" s="29" t="str">
        <f t="shared" si="9"/>
        <v>NA</v>
      </c>
      <c r="AG22" s="28">
        <f t="shared" si="10"/>
        <v>0</v>
      </c>
      <c r="AH22" s="23">
        <f>IFERROR(AG22/AG148, "NA")</f>
        <v>0</v>
      </c>
      <c r="AI22" s="29">
        <f t="shared" si="11"/>
        <v>0</v>
      </c>
      <c r="AJ22" s="30">
        <f>IFERROR(AI22/AI148, "NA")</f>
        <v>0</v>
      </c>
      <c r="AK22" s="29" t="str">
        <f t="shared" si="12"/>
        <v>NA</v>
      </c>
      <c r="AL22" s="30" t="str">
        <f>IFERROR(AK22/AK148, "NA")</f>
        <v>NA</v>
      </c>
    </row>
    <row r="23" ht="16.5" customHeight="1">
      <c r="A23" s="19" t="s">
        <v>79</v>
      </c>
      <c r="B23" s="21">
        <v>-13.52</v>
      </c>
      <c r="C23" s="23">
        <f>IFERROR(B23/B148, "NA")</f>
        <v>-0.0005071049073</v>
      </c>
      <c r="D23" s="21">
        <v>185.69</v>
      </c>
      <c r="E23" s="23">
        <f>IFERROR(D23/D148, "NA")</f>
        <v>0.007564015507</v>
      </c>
      <c r="F23" s="21">
        <v>161.17</v>
      </c>
      <c r="G23" s="23">
        <f>IFERROR(F23/F148, "NA")</f>
        <v>0.006429830392</v>
      </c>
      <c r="H23" s="21">
        <v>167.63</v>
      </c>
      <c r="I23" s="23">
        <f>IFERROR(H23/H148, "NA")</f>
        <v>0.01021812026</v>
      </c>
      <c r="J23" s="21">
        <v>54.96</v>
      </c>
      <c r="K23" s="23">
        <f>IFERROR(J23/J148, "NA")</f>
        <v>0.002191661081</v>
      </c>
      <c r="L23" s="21">
        <v>47.18</v>
      </c>
      <c r="M23" s="23">
        <f>IFERROR(L23/L148, "NA")</f>
        <v>0.001762034249</v>
      </c>
      <c r="N23" s="21">
        <v>174.91</v>
      </c>
      <c r="O23" s="23">
        <f>IFERROR(N23/N148, "NA")</f>
        <v>0.008372160258</v>
      </c>
      <c r="P23" s="21">
        <v>54.86</v>
      </c>
      <c r="Q23" s="23">
        <f>IFERROR(P23/P148, "NA")</f>
        <v>0.003707217654</v>
      </c>
      <c r="R23" s="21">
        <v>99.54</v>
      </c>
      <c r="S23" s="23">
        <f>IFERROR(R23/R148, "NA")</f>
        <v>0.005864404643</v>
      </c>
      <c r="T23" s="21">
        <v>153.57</v>
      </c>
      <c r="U23" s="23">
        <f>IFERROR(T23/T148, "NA")</f>
        <v>0.007516018708</v>
      </c>
      <c r="V23" s="21">
        <v>121.16</v>
      </c>
      <c r="W23" s="23">
        <f>IFERROR(V23/V148, "NA")</f>
        <v>0.004118951904</v>
      </c>
      <c r="X23" s="21">
        <v>205.02</v>
      </c>
      <c r="Y23" s="23">
        <f>IFERROR(X23/X148, "NA")</f>
        <v>0.009127634624</v>
      </c>
      <c r="Z23" s="21">
        <v>579.29</v>
      </c>
      <c r="AA23" s="23">
        <f>IFERROR(Z23/Z148, "NA")</f>
        <v>0.006488269951</v>
      </c>
      <c r="AB23" s="28">
        <f t="shared" si="7"/>
        <v>144.8225</v>
      </c>
      <c r="AC23" s="23">
        <f>IFERROR(AB23/AB148, "NA")</f>
        <v>0.006488269951</v>
      </c>
      <c r="AD23" s="29">
        <f t="shared" si="8"/>
        <v>60.1975</v>
      </c>
      <c r="AE23" s="30">
        <f>IFERROR(AD23/AD148, "NA")</f>
        <v>0.4275542455</v>
      </c>
      <c r="AF23" s="29">
        <f t="shared" si="9"/>
        <v>0.4156640025</v>
      </c>
      <c r="AG23" s="28">
        <f t="shared" si="10"/>
        <v>113.9</v>
      </c>
      <c r="AH23" s="23">
        <f>IFERROR(AG23/AG148, "NA")</f>
        <v>0.005153105249</v>
      </c>
      <c r="AI23" s="29">
        <f t="shared" si="11"/>
        <v>91.12</v>
      </c>
      <c r="AJ23" s="30">
        <f>IFERROR(AI23/AI148, "NA")</f>
        <v>0.2543244507</v>
      </c>
      <c r="AK23" s="29">
        <f t="shared" si="12"/>
        <v>0.8</v>
      </c>
      <c r="AL23" s="30">
        <f>IFERROR(AK23/AK148, "NA")</f>
        <v>49.35363017</v>
      </c>
    </row>
    <row r="24" ht="16.5" customHeight="1">
      <c r="A24" s="19" t="s">
        <v>80</v>
      </c>
      <c r="B24" s="21">
        <v>1944.8</v>
      </c>
      <c r="C24" s="23">
        <f>IFERROR(B24/B148, "NA")</f>
        <v>0.07294509052</v>
      </c>
      <c r="D24" s="21">
        <v>1968.53</v>
      </c>
      <c r="E24" s="23">
        <f>IFERROR(D24/D148, "NA")</f>
        <v>0.08018736306</v>
      </c>
      <c r="F24" s="21">
        <v>2025.72</v>
      </c>
      <c r="G24" s="23">
        <f>IFERROR(F24/F148, "NA")</f>
        <v>0.0808155117</v>
      </c>
      <c r="H24" s="21">
        <v>1184.79</v>
      </c>
      <c r="I24" s="23">
        <f>IFERROR(H24/H148, "NA")</f>
        <v>0.0722205256</v>
      </c>
      <c r="J24" s="21">
        <v>2222.82</v>
      </c>
      <c r="K24" s="23">
        <f>IFERROR(J24/J148, "NA")</f>
        <v>0.08864024896</v>
      </c>
      <c r="L24" s="21">
        <v>1834.61</v>
      </c>
      <c r="M24" s="23">
        <f>IFERROR(L24/L148, "NA")</f>
        <v>0.06851728814</v>
      </c>
      <c r="N24" s="21">
        <v>1821.2</v>
      </c>
      <c r="O24" s="23">
        <f>IFERROR(N24/N148, "NA")</f>
        <v>0.08717270746</v>
      </c>
      <c r="P24" s="21">
        <v>1490.81</v>
      </c>
      <c r="Q24" s="23">
        <f>IFERROR(P24/P148, "NA")</f>
        <v>0.1007429302</v>
      </c>
      <c r="R24" s="21">
        <v>1506.73</v>
      </c>
      <c r="S24" s="23">
        <f>IFERROR(R24/R148, "NA")</f>
        <v>0.08876908185</v>
      </c>
      <c r="T24" s="21">
        <v>1940.58</v>
      </c>
      <c r="U24" s="23">
        <f>IFERROR(T24/T148, "NA")</f>
        <v>0.09497581288</v>
      </c>
      <c r="V24" s="21">
        <v>2007.32</v>
      </c>
      <c r="W24" s="23">
        <f>IFERROR(V24/V148, "NA")</f>
        <v>0.06824079347</v>
      </c>
      <c r="X24" s="21">
        <v>1833.13</v>
      </c>
      <c r="Y24" s="23">
        <f>IFERROR(X24/X148, "NA")</f>
        <v>0.08161223714</v>
      </c>
      <c r="Z24" s="21">
        <v>7287.76</v>
      </c>
      <c r="AA24" s="23">
        <f>IFERROR(Z24/Z148, "NA")</f>
        <v>0.08162570425</v>
      </c>
      <c r="AB24" s="28">
        <f t="shared" si="7"/>
        <v>1821.94</v>
      </c>
      <c r="AC24" s="23">
        <f>IFERROR(AB24/AB148, "NA")</f>
        <v>0.08162570425</v>
      </c>
      <c r="AD24" s="29">
        <f t="shared" si="8"/>
        <v>11.19</v>
      </c>
      <c r="AE24" s="30">
        <f>IFERROR(AD24/AD148, "NA")</f>
        <v>0.07947725416</v>
      </c>
      <c r="AF24" s="29">
        <f t="shared" si="9"/>
        <v>0.006141804889</v>
      </c>
      <c r="AG24" s="28">
        <f t="shared" si="10"/>
        <v>1832.15</v>
      </c>
      <c r="AH24" s="23">
        <f>IFERROR(AG24/AG148, "NA")</f>
        <v>0.08289079704</v>
      </c>
      <c r="AI24" s="29">
        <f t="shared" si="11"/>
        <v>0.98</v>
      </c>
      <c r="AJ24" s="30">
        <f>IFERROR(AI24/AI148, "NA")</f>
        <v>0.002735271748</v>
      </c>
      <c r="AK24" s="29">
        <f t="shared" si="12"/>
        <v>0.0005348907022</v>
      </c>
      <c r="AL24" s="30">
        <f>IFERROR(AK24/AK148, "NA")</f>
        <v>0.03299849737</v>
      </c>
    </row>
    <row r="25" ht="16.5" hidden="1" customHeight="1">
      <c r="A25" s="19" t="s">
        <v>81</v>
      </c>
      <c r="B25" s="21">
        <v>0.0</v>
      </c>
      <c r="C25" s="23">
        <f>IFERROR(B25/B148, "NA")</f>
        <v>0</v>
      </c>
      <c r="D25" s="21">
        <v>0.0</v>
      </c>
      <c r="E25" s="23">
        <f>IFERROR(D25/D148, "NA")</f>
        <v>0</v>
      </c>
      <c r="F25" s="21">
        <v>0.0</v>
      </c>
      <c r="G25" s="23">
        <f>IFERROR(F25/F148, "NA")</f>
        <v>0</v>
      </c>
      <c r="H25" s="21">
        <v>0.0</v>
      </c>
      <c r="I25" s="23">
        <f>IFERROR(H25/H148, "NA")</f>
        <v>0</v>
      </c>
      <c r="J25" s="21">
        <v>0.0</v>
      </c>
      <c r="K25" s="23">
        <f>IFERROR(J25/J148, "NA")</f>
        <v>0</v>
      </c>
      <c r="L25" s="21">
        <v>0.0</v>
      </c>
      <c r="M25" s="23">
        <f>IFERROR(L25/L148, "NA")</f>
        <v>0</v>
      </c>
      <c r="N25" s="21">
        <v>0.0</v>
      </c>
      <c r="O25" s="23">
        <f>IFERROR(N25/N148, "NA")</f>
        <v>0</v>
      </c>
      <c r="P25" s="21">
        <v>0.0</v>
      </c>
      <c r="Q25" s="23">
        <f>IFERROR(P25/P148, "NA")</f>
        <v>0</v>
      </c>
      <c r="R25" s="21">
        <v>0.0</v>
      </c>
      <c r="S25" s="23">
        <f>IFERROR(R25/R148, "NA")</f>
        <v>0</v>
      </c>
      <c r="T25" s="21">
        <v>0.0</v>
      </c>
      <c r="U25" s="23">
        <f>IFERROR(T25/T148, "NA")</f>
        <v>0</v>
      </c>
      <c r="V25" s="21">
        <v>0.0</v>
      </c>
      <c r="W25" s="23">
        <f>IFERROR(V25/V148, "NA")</f>
        <v>0</v>
      </c>
      <c r="X25" s="21">
        <v>0.0</v>
      </c>
      <c r="Y25" s="23">
        <f>IFERROR(X25/X148, "NA")</f>
        <v>0</v>
      </c>
      <c r="Z25" s="21">
        <v>0.0</v>
      </c>
      <c r="AA25" s="23">
        <f>IFERROR(Z25/Z148, "NA")</f>
        <v>0</v>
      </c>
      <c r="AB25" s="28">
        <f t="shared" si="7"/>
        <v>0</v>
      </c>
      <c r="AC25" s="23">
        <f>IFERROR(AB25/AB148, "NA")</f>
        <v>0</v>
      </c>
      <c r="AD25" s="29">
        <f t="shared" si="8"/>
        <v>0</v>
      </c>
      <c r="AE25" s="30">
        <f>IFERROR(AD25/AD148, "NA")</f>
        <v>0</v>
      </c>
      <c r="AF25" s="29" t="str">
        <f t="shared" si="9"/>
        <v>NA</v>
      </c>
      <c r="AG25" s="28">
        <f t="shared" si="10"/>
        <v>0</v>
      </c>
      <c r="AH25" s="23">
        <f>IFERROR(AG25/AG148, "NA")</f>
        <v>0</v>
      </c>
      <c r="AI25" s="29">
        <f t="shared" si="11"/>
        <v>0</v>
      </c>
      <c r="AJ25" s="30">
        <f>IFERROR(AI25/AI148, "NA")</f>
        <v>0</v>
      </c>
      <c r="AK25" s="29" t="str">
        <f t="shared" si="12"/>
        <v>NA</v>
      </c>
      <c r="AL25" s="30" t="str">
        <f>IFERROR(AK25/AK148, "NA")</f>
        <v>NA</v>
      </c>
    </row>
    <row r="26" ht="16.5" hidden="1" customHeight="1">
      <c r="A26" s="19" t="s">
        <v>84</v>
      </c>
      <c r="B26" s="21">
        <v>0.0</v>
      </c>
      <c r="C26" s="23">
        <f>IFERROR(B26/B148, "NA")</f>
        <v>0</v>
      </c>
      <c r="D26" s="21">
        <v>0.0</v>
      </c>
      <c r="E26" s="23">
        <f>IFERROR(D26/D148, "NA")</f>
        <v>0</v>
      </c>
      <c r="F26" s="21">
        <v>0.0</v>
      </c>
      <c r="G26" s="23">
        <f>IFERROR(F26/F148, "NA")</f>
        <v>0</v>
      </c>
      <c r="H26" s="21">
        <v>0.0</v>
      </c>
      <c r="I26" s="23">
        <f>IFERROR(H26/H148, "NA")</f>
        <v>0</v>
      </c>
      <c r="J26" s="21">
        <v>0.0</v>
      </c>
      <c r="K26" s="23">
        <f>IFERROR(J26/J148, "NA")</f>
        <v>0</v>
      </c>
      <c r="L26" s="21">
        <v>0.0</v>
      </c>
      <c r="M26" s="23">
        <f>IFERROR(L26/L148, "NA")</f>
        <v>0</v>
      </c>
      <c r="N26" s="21">
        <v>0.0</v>
      </c>
      <c r="O26" s="23">
        <f>IFERROR(N26/N148, "NA")</f>
        <v>0</v>
      </c>
      <c r="P26" s="21">
        <v>0.0</v>
      </c>
      <c r="Q26" s="23">
        <f>IFERROR(P26/P148, "NA")</f>
        <v>0</v>
      </c>
      <c r="R26" s="21">
        <v>0.0</v>
      </c>
      <c r="S26" s="23">
        <f>IFERROR(R26/R148, "NA")</f>
        <v>0</v>
      </c>
      <c r="T26" s="21">
        <v>0.0</v>
      </c>
      <c r="U26" s="23">
        <f>IFERROR(T26/T148, "NA")</f>
        <v>0</v>
      </c>
      <c r="V26" s="21">
        <v>0.0</v>
      </c>
      <c r="W26" s="23">
        <f>IFERROR(V26/V148, "NA")</f>
        <v>0</v>
      </c>
      <c r="X26" s="21">
        <v>0.0</v>
      </c>
      <c r="Y26" s="23">
        <f>IFERROR(X26/X148, "NA")</f>
        <v>0</v>
      </c>
      <c r="Z26" s="21">
        <v>0.0</v>
      </c>
      <c r="AA26" s="23">
        <f>IFERROR(Z26/Z148, "NA")</f>
        <v>0</v>
      </c>
      <c r="AB26" s="28">
        <f t="shared" si="7"/>
        <v>0</v>
      </c>
      <c r="AC26" s="23">
        <f>IFERROR(AB26/AB148, "NA")</f>
        <v>0</v>
      </c>
      <c r="AD26" s="29">
        <f t="shared" si="8"/>
        <v>0</v>
      </c>
      <c r="AE26" s="30">
        <f>IFERROR(AD26/AD148, "NA")</f>
        <v>0</v>
      </c>
      <c r="AF26" s="29" t="str">
        <f t="shared" si="9"/>
        <v>NA</v>
      </c>
      <c r="AG26" s="28">
        <f t="shared" si="10"/>
        <v>0</v>
      </c>
      <c r="AH26" s="23">
        <f>IFERROR(AG26/AG148, "NA")</f>
        <v>0</v>
      </c>
      <c r="AI26" s="29">
        <f t="shared" si="11"/>
        <v>0</v>
      </c>
      <c r="AJ26" s="30">
        <f>IFERROR(AI26/AI148, "NA")</f>
        <v>0</v>
      </c>
      <c r="AK26" s="29" t="str">
        <f t="shared" si="12"/>
        <v>NA</v>
      </c>
      <c r="AL26" s="30" t="str">
        <f>IFERROR(AK26/AK148, "NA")</f>
        <v>NA</v>
      </c>
    </row>
    <row r="27" ht="16.5" customHeight="1">
      <c r="A27" s="65" t="s">
        <v>85</v>
      </c>
      <c r="B27" s="66">
        <f>IFERROR(B15+B16+B17+B18+B19+B20+B21+B22+B23+B24+B25+B26, "NA")</f>
        <v>5945.29</v>
      </c>
      <c r="C27" s="67">
        <f>IFERROR(B27/B148, "NA")</f>
        <v>0.222994507</v>
      </c>
      <c r="D27" s="66">
        <f>IFERROR(D15+D16+D17+D18+D19+D20+D21+D22+D23+D24+D25+D26, "NA")</f>
        <v>6513.26</v>
      </c>
      <c r="E27" s="67">
        <f>IFERROR(D27/D148, "NA")</f>
        <v>0.2653153085</v>
      </c>
      <c r="F27" s="66">
        <f>IFERROR(F15+F16+F17+F18+F19+F20+F21+F22+F23+F24+F25+F26, "NA")</f>
        <v>5805.39</v>
      </c>
      <c r="G27" s="67">
        <f>IFERROR(F27/F148, "NA")</f>
        <v>0.2316043498</v>
      </c>
      <c r="H27" s="66">
        <f>IFERROR(H15+H16+H17+H18+H19+H20+H21+H22+H23+H24+H25+H26, "NA")</f>
        <v>4084.15</v>
      </c>
      <c r="I27" s="67">
        <f>IFERROR(H27/H148, "NA")</f>
        <v>0.248955055</v>
      </c>
      <c r="J27" s="66">
        <f>IFERROR(J15+J16+J17+J18+J19+J20+J21+J22+J23+J24+J25+J26, "NA")</f>
        <v>5967.59</v>
      </c>
      <c r="K27" s="67">
        <f>IFERROR(J27/J148, "NA")</f>
        <v>0.2379718841</v>
      </c>
      <c r="L27" s="66">
        <f>IFERROR(L15+L16+L17+L18+L19+L20+L21+L22+L23+L24+L25+L26, "NA")</f>
        <v>6233.12</v>
      </c>
      <c r="M27" s="67">
        <f>IFERROR(L27/L148, "NA")</f>
        <v>0.2327887012</v>
      </c>
      <c r="N27" s="66">
        <f>IFERROR(N15+N16+N17+N18+N19+N20+N21+N22+N23+N24+N25+N26, "NA")</f>
        <v>5671</v>
      </c>
      <c r="O27" s="67">
        <f>IFERROR(N27/N148, "NA")</f>
        <v>0.2714454338</v>
      </c>
      <c r="P27" s="66">
        <f>IFERROR(P15+P16+P17+P18+P19+P20+P21+P22+P23+P24+P25+P26, "NA")</f>
        <v>3677.65</v>
      </c>
      <c r="Q27" s="67">
        <f>IFERROR(P27/P148, "NA")</f>
        <v>0.248520762</v>
      </c>
      <c r="R27" s="66">
        <f>IFERROR(R15+R16+R17+R18+R19+R20+R21+R22+R23+R24+R25+R26, "NA")</f>
        <v>4825.71</v>
      </c>
      <c r="S27" s="67">
        <f>IFERROR(R27/R148, "NA")</f>
        <v>0.2843069734</v>
      </c>
      <c r="T27" s="66">
        <f>IFERROR(T15+T16+T17+T18+T19+T20+T21+T22+T23+T24+T25+T26, "NA")</f>
        <v>5581.63</v>
      </c>
      <c r="U27" s="67">
        <f>IFERROR(T27/T148, "NA")</f>
        <v>0.2731759816</v>
      </c>
      <c r="V27" s="66">
        <f>IFERROR(V15+V16+V17+V18+V19+V20+V21+V22+V23+V24+V25+V26, "NA")</f>
        <v>6535.74</v>
      </c>
      <c r="W27" s="67">
        <f>IFERROR(V27/V148, "NA")</f>
        <v>0.2221888306</v>
      </c>
      <c r="X27" s="66">
        <f>IFERROR(X15+X16+X17+X18+X19+X20+X21+X22+X23+X24+X25+X26, "NA")</f>
        <v>5907.56</v>
      </c>
      <c r="Y27" s="67">
        <f>IFERROR(X27/X148, "NA")</f>
        <v>0.2630087269</v>
      </c>
      <c r="Z27" s="66">
        <f>IFERROR(Z15+Z16+Z17+Z18+Z19+Z20+Z21+Z22+Z23+Z24+Z25+Z26, "NA")</f>
        <v>22850.64</v>
      </c>
      <c r="AA27" s="67">
        <f>IFERROR(Z27/Z148, "NA")</f>
        <v>0.2559359231</v>
      </c>
      <c r="AB27" s="66">
        <f t="shared" si="7"/>
        <v>5712.66</v>
      </c>
      <c r="AC27" s="67">
        <f>IFERROR(AB27/AB148, "NA")</f>
        <v>0.2559359231</v>
      </c>
      <c r="AD27" s="75">
        <f t="shared" si="8"/>
        <v>194.9</v>
      </c>
      <c r="AE27" s="76">
        <f>IFERROR(AD27/AD148, "NA")</f>
        <v>1.384282112</v>
      </c>
      <c r="AF27" s="75">
        <f t="shared" si="9"/>
        <v>0.03411720635</v>
      </c>
      <c r="AG27" s="66">
        <f t="shared" si="10"/>
        <v>5550</v>
      </c>
      <c r="AH27" s="67">
        <f>IFERROR(AG27/AG148, "NA")</f>
        <v>0.2510951197</v>
      </c>
      <c r="AI27" s="75">
        <f t="shared" si="11"/>
        <v>357.56</v>
      </c>
      <c r="AJ27" s="76">
        <f>IFERROR(AI27/AI148, "NA")</f>
        <v>0.9979834349</v>
      </c>
      <c r="AK27" s="75">
        <f t="shared" si="12"/>
        <v>0.06442522523</v>
      </c>
      <c r="AL27" s="76">
        <f>IFERROR(AK27/AK148, "NA")</f>
        <v>3.974523424</v>
      </c>
    </row>
    <row r="28" ht="16.5" customHeight="1">
      <c r="A28" s="13" t="s">
        <v>86</v>
      </c>
      <c r="B28" s="14"/>
      <c r="C28" s="12"/>
      <c r="D28" s="14"/>
      <c r="E28" s="12"/>
      <c r="F28" s="14"/>
      <c r="G28" s="12"/>
      <c r="H28" s="14"/>
      <c r="I28" s="12"/>
      <c r="J28" s="14"/>
      <c r="K28" s="12"/>
      <c r="L28" s="14"/>
      <c r="M28" s="12"/>
      <c r="N28" s="14"/>
      <c r="O28" s="12"/>
      <c r="P28" s="14"/>
      <c r="Q28" s="12"/>
      <c r="R28" s="14"/>
      <c r="S28" s="12"/>
      <c r="T28" s="14"/>
      <c r="U28" s="12"/>
      <c r="V28" s="14"/>
      <c r="W28" s="12"/>
      <c r="X28" s="14"/>
      <c r="Y28" s="12"/>
      <c r="Z28" s="14"/>
      <c r="AA28" s="12"/>
      <c r="AB28" s="14"/>
      <c r="AC28" s="12"/>
      <c r="AD28" s="17"/>
      <c r="AE28" s="18"/>
      <c r="AF28" s="17"/>
      <c r="AG28" s="14"/>
      <c r="AH28" s="12"/>
      <c r="AI28" s="17"/>
      <c r="AJ28" s="18"/>
      <c r="AK28" s="17"/>
      <c r="AL28" s="18"/>
    </row>
    <row r="29" ht="16.5" hidden="1" customHeight="1">
      <c r="A29" s="19" t="s">
        <v>87</v>
      </c>
      <c r="B29" s="21">
        <v>0.0</v>
      </c>
      <c r="C29" s="23">
        <f>IFERROR(B29/B148, "NA")</f>
        <v>0</v>
      </c>
      <c r="D29" s="21">
        <v>0.0</v>
      </c>
      <c r="E29" s="23">
        <f>IFERROR(D29/D148, "NA")</f>
        <v>0</v>
      </c>
      <c r="F29" s="21">
        <v>0.0</v>
      </c>
      <c r="G29" s="23">
        <f>IFERROR(F29/F148, "NA")</f>
        <v>0</v>
      </c>
      <c r="H29" s="21">
        <v>0.0</v>
      </c>
      <c r="I29" s="23">
        <f>IFERROR(H29/H148, "NA")</f>
        <v>0</v>
      </c>
      <c r="J29" s="21">
        <v>0.0</v>
      </c>
      <c r="K29" s="23">
        <f>IFERROR(J29/J148, "NA")</f>
        <v>0</v>
      </c>
      <c r="L29" s="21">
        <v>0.0</v>
      </c>
      <c r="M29" s="23">
        <f>IFERROR(L29/L148, "NA")</f>
        <v>0</v>
      </c>
      <c r="N29" s="21">
        <v>0.0</v>
      </c>
      <c r="O29" s="23">
        <f>IFERROR(N29/N148, "NA")</f>
        <v>0</v>
      </c>
      <c r="P29" s="21">
        <v>0.0</v>
      </c>
      <c r="Q29" s="23">
        <f>IFERROR(P29/P148, "NA")</f>
        <v>0</v>
      </c>
      <c r="R29" s="21">
        <v>0.0</v>
      </c>
      <c r="S29" s="23">
        <f>IFERROR(R29/R148, "NA")</f>
        <v>0</v>
      </c>
      <c r="T29" s="21">
        <v>0.0</v>
      </c>
      <c r="U29" s="23">
        <f>IFERROR(T29/T148, "NA")</f>
        <v>0</v>
      </c>
      <c r="V29" s="21">
        <v>0.0</v>
      </c>
      <c r="W29" s="23">
        <f>IFERROR(V29/V148, "NA")</f>
        <v>0</v>
      </c>
      <c r="X29" s="21">
        <v>0.0</v>
      </c>
      <c r="Y29" s="23">
        <f>IFERROR(X29/X148, "NA")</f>
        <v>0</v>
      </c>
      <c r="Z29" s="21">
        <v>0.0</v>
      </c>
      <c r="AA29" s="23">
        <f>IFERROR(Z29/Z148, "NA")</f>
        <v>0</v>
      </c>
      <c r="AB29" s="28">
        <f t="shared" ref="AB29:AB35" si="13">IFERROR((R29+T29+V29+X29)/4, "NA")</f>
        <v>0</v>
      </c>
      <c r="AC29" s="23">
        <f>IFERROR(AB29/AB148, "NA")</f>
        <v>0</v>
      </c>
      <c r="AD29" s="29">
        <f t="shared" ref="AD29:AD35" si="14">IFERROR(X29-AB29, "NA")</f>
        <v>0</v>
      </c>
      <c r="AE29" s="30">
        <f>IFERROR(AD29/AD148, "NA")</f>
        <v>0</v>
      </c>
      <c r="AF29" s="29" t="str">
        <f t="shared" ref="AF29:AF35" si="15">IFERROR((X29-AB29)/AB29, "NA")</f>
        <v>NA</v>
      </c>
      <c r="AG29" s="28">
        <f t="shared" ref="AG29:AG35" si="16">IFERROR((J29+L29+N29+P29+R29+T29+V29+X29)/8, "NA")</f>
        <v>0</v>
      </c>
      <c r="AH29" s="23">
        <f>IFERROR(AG29/AG148, "NA")</f>
        <v>0</v>
      </c>
      <c r="AI29" s="29">
        <f t="shared" ref="AI29:AI35" si="17">IFERROR(X29-AG29, "NA")</f>
        <v>0</v>
      </c>
      <c r="AJ29" s="30">
        <f>IFERROR(AI29/AI148, "NA")</f>
        <v>0</v>
      </c>
      <c r="AK29" s="29" t="str">
        <f t="shared" ref="AK29:AK35" si="18">IFERROR((X29-AG29)/AG29, "NA")</f>
        <v>NA</v>
      </c>
      <c r="AL29" s="30" t="str">
        <f>IFERROR(AK29/AK148, "NA")</f>
        <v>NA</v>
      </c>
    </row>
    <row r="30" ht="16.5" customHeight="1">
      <c r="A30" s="19" t="s">
        <v>88</v>
      </c>
      <c r="B30" s="21">
        <v>338.27</v>
      </c>
      <c r="C30" s="23">
        <f>IFERROR(B30/B148, "NA")</f>
        <v>0.01268774978</v>
      </c>
      <c r="D30" s="21">
        <v>555.23</v>
      </c>
      <c r="E30" s="23">
        <f>IFERROR(D30/D148, "NA")</f>
        <v>0.02261709478</v>
      </c>
      <c r="F30" s="21">
        <v>324.4</v>
      </c>
      <c r="G30" s="23">
        <f>IFERROR(F30/F148, "NA")</f>
        <v>0.01294184389</v>
      </c>
      <c r="H30" s="21">
        <v>225.93</v>
      </c>
      <c r="I30" s="23">
        <f>IFERROR(H30/H148, "NA")</f>
        <v>0.01377187801</v>
      </c>
      <c r="J30" s="21">
        <v>286.19</v>
      </c>
      <c r="K30" s="23">
        <f>IFERROR(J30/J148, "NA")</f>
        <v>0.01141250882</v>
      </c>
      <c r="L30" s="21">
        <v>274.72</v>
      </c>
      <c r="M30" s="23">
        <f>IFERROR(L30/L148, "NA")</f>
        <v>0.01025998408</v>
      </c>
      <c r="N30" s="21">
        <v>280.0</v>
      </c>
      <c r="O30" s="23">
        <f>IFERROR(N30/N148, "NA")</f>
        <v>0.01340234905</v>
      </c>
      <c r="P30" s="21">
        <v>233.17</v>
      </c>
      <c r="Q30" s="23">
        <f>IFERROR(P30/P148, "NA")</f>
        <v>0.01575668867</v>
      </c>
      <c r="R30" s="21">
        <v>173.37</v>
      </c>
      <c r="S30" s="23">
        <f>IFERROR(R30/R148, "NA")</f>
        <v>0.0102141032</v>
      </c>
      <c r="T30" s="21">
        <v>289.45</v>
      </c>
      <c r="U30" s="23">
        <f>IFERROR(T30/T148, "NA")</f>
        <v>0.01416625392</v>
      </c>
      <c r="V30" s="21">
        <v>362.33</v>
      </c>
      <c r="W30" s="23">
        <f>IFERROR(V30/V148, "NA")</f>
        <v>0.01231776035</v>
      </c>
      <c r="X30" s="21">
        <v>309.21</v>
      </c>
      <c r="Y30" s="23">
        <f>IFERROR(X30/X148, "NA")</f>
        <v>0.01376624672</v>
      </c>
      <c r="Z30" s="21">
        <v>1134.36</v>
      </c>
      <c r="AA30" s="23">
        <f>IFERROR(Z30/Z148, "NA")</f>
        <v>0.01270526662</v>
      </c>
      <c r="AB30" s="28">
        <f t="shared" si="13"/>
        <v>283.59</v>
      </c>
      <c r="AC30" s="23">
        <f>IFERROR(AB30/AB148, "NA")</f>
        <v>0.01270526662</v>
      </c>
      <c r="AD30" s="29">
        <f t="shared" si="14"/>
        <v>25.62</v>
      </c>
      <c r="AE30" s="30">
        <f>IFERROR(AD30/AD148, "NA")</f>
        <v>0.1819666892</v>
      </c>
      <c r="AF30" s="29">
        <f t="shared" si="15"/>
        <v>0.09034169047</v>
      </c>
      <c r="AG30" s="28">
        <f t="shared" si="16"/>
        <v>276.055</v>
      </c>
      <c r="AH30" s="23">
        <f>IFERROR(AG30/AG148, "NA")</f>
        <v>0.01248938077</v>
      </c>
      <c r="AI30" s="29">
        <f t="shared" si="17"/>
        <v>33.155</v>
      </c>
      <c r="AJ30" s="30">
        <f>IFERROR(AI30/AI148, "NA")</f>
        <v>0.09253870898</v>
      </c>
      <c r="AK30" s="29">
        <f t="shared" si="18"/>
        <v>0.120102878</v>
      </c>
      <c r="AL30" s="30">
        <f>IFERROR(AK30/AK148, "NA")</f>
        <v>7.409391281</v>
      </c>
    </row>
    <row r="31" ht="16.5" customHeight="1">
      <c r="A31" s="19" t="s">
        <v>89</v>
      </c>
      <c r="B31" s="21">
        <v>13.07</v>
      </c>
      <c r="C31" s="23">
        <f>IFERROR(B31/B148, "NA")</f>
        <v>0.0004902264156</v>
      </c>
      <c r="D31" s="21">
        <v>10.36</v>
      </c>
      <c r="E31" s="23">
        <f>IFERROR(D31/D148, "NA")</f>
        <v>0.0004220108819</v>
      </c>
      <c r="F31" s="21">
        <v>-44.49</v>
      </c>
      <c r="G31" s="23">
        <f>IFERROR(F31/F148, "NA")</f>
        <v>-0.001774915643</v>
      </c>
      <c r="H31" s="21">
        <v>16.13</v>
      </c>
      <c r="I31" s="23">
        <f>IFERROR(H31/H148, "NA")</f>
        <v>0.0009832266292</v>
      </c>
      <c r="J31" s="21">
        <v>90.97</v>
      </c>
      <c r="K31" s="23">
        <f>IFERROR(J31/J148, "NA")</f>
        <v>0.003627645715</v>
      </c>
      <c r="L31" s="21">
        <v>5.76</v>
      </c>
      <c r="M31" s="23">
        <f>IFERROR(L31/L148, "NA")</f>
        <v>0.0002151190606</v>
      </c>
      <c r="N31" s="21">
        <v>12.73</v>
      </c>
      <c r="O31" s="23">
        <f>IFERROR(N31/N148, "NA")</f>
        <v>0.0006093282264</v>
      </c>
      <c r="P31" s="21">
        <v>2.79</v>
      </c>
      <c r="Q31" s="23">
        <f>IFERROR(P31/P148, "NA")</f>
        <v>0.0001885369532</v>
      </c>
      <c r="R31" s="21">
        <v>6.98</v>
      </c>
      <c r="S31" s="23">
        <f>IFERROR(R31/R148, "NA")</f>
        <v>0.0004112270887</v>
      </c>
      <c r="T31" s="21">
        <v>5.51</v>
      </c>
      <c r="U31" s="23">
        <f>IFERROR(T31/T148, "NA")</f>
        <v>0.0002696702681</v>
      </c>
      <c r="V31" s="21">
        <v>15.32</v>
      </c>
      <c r="W31" s="23">
        <f>IFERROR(V31/V148, "NA")</f>
        <v>0.000520818283</v>
      </c>
      <c r="X31" s="21">
        <v>8.3</v>
      </c>
      <c r="Y31" s="23">
        <f>IFERROR(X31/X148, "NA")</f>
        <v>0.0003695218387</v>
      </c>
      <c r="Z31" s="21">
        <v>36.11</v>
      </c>
      <c r="AA31" s="23">
        <f>IFERROR(Z31/Z148, "NA")</f>
        <v>0.0004044458353</v>
      </c>
      <c r="AB31" s="28">
        <f t="shared" si="13"/>
        <v>9.0275</v>
      </c>
      <c r="AC31" s="23">
        <f>IFERROR(AB31/AB148, "NA")</f>
        <v>0.0004044458353</v>
      </c>
      <c r="AD31" s="29">
        <f t="shared" si="14"/>
        <v>-0.7275</v>
      </c>
      <c r="AE31" s="30">
        <f>IFERROR(AD31/AD148, "NA")</f>
        <v>-0.005167086899</v>
      </c>
      <c r="AF31" s="29">
        <f t="shared" si="15"/>
        <v>-0.08058709499</v>
      </c>
      <c r="AG31" s="28">
        <f t="shared" si="16"/>
        <v>18.545</v>
      </c>
      <c r="AH31" s="23">
        <f>IFERROR(AG31/AG148, "NA")</f>
        <v>0.0008390196387</v>
      </c>
      <c r="AI31" s="29">
        <f t="shared" si="17"/>
        <v>-10.245</v>
      </c>
      <c r="AJ31" s="30">
        <f>IFERROR(AI31/AI148, "NA")</f>
        <v>-0.02859475414</v>
      </c>
      <c r="AK31" s="29">
        <f t="shared" si="18"/>
        <v>-0.5524400108</v>
      </c>
      <c r="AL31" s="30">
        <f>IFERROR(AK31/AK148, "NA")</f>
        <v>-34.08114998</v>
      </c>
    </row>
    <row r="32" ht="16.5" customHeight="1">
      <c r="A32" s="19" t="s">
        <v>90</v>
      </c>
      <c r="B32" s="21">
        <v>0.0</v>
      </c>
      <c r="C32" s="23">
        <f>IFERROR(B32/B148, "NA")</f>
        <v>0</v>
      </c>
      <c r="D32" s="21">
        <v>0.0</v>
      </c>
      <c r="E32" s="23">
        <f>IFERROR(D32/D148, "NA")</f>
        <v>0</v>
      </c>
      <c r="F32" s="21">
        <v>-21.13</v>
      </c>
      <c r="G32" s="23">
        <f>IFERROR(F32/F148, "NA")</f>
        <v>-0.0008429752198</v>
      </c>
      <c r="H32" s="21">
        <v>0.0</v>
      </c>
      <c r="I32" s="23">
        <f>IFERROR(H32/H148, "NA")</f>
        <v>0</v>
      </c>
      <c r="J32" s="21">
        <v>0.0</v>
      </c>
      <c r="K32" s="23">
        <f>IFERROR(J32/J148, "NA")</f>
        <v>0</v>
      </c>
      <c r="L32" s="21">
        <v>0.0</v>
      </c>
      <c r="M32" s="23">
        <f>IFERROR(L32/L148, "NA")</f>
        <v>0</v>
      </c>
      <c r="N32" s="21">
        <v>0.0</v>
      </c>
      <c r="O32" s="23">
        <f>IFERROR(N32/N148, "NA")</f>
        <v>0</v>
      </c>
      <c r="P32" s="21">
        <v>0.0</v>
      </c>
      <c r="Q32" s="23">
        <f>IFERROR(P32/P148, "NA")</f>
        <v>0</v>
      </c>
      <c r="R32" s="21">
        <v>0.0</v>
      </c>
      <c r="S32" s="23">
        <f>IFERROR(R32/R148, "NA")</f>
        <v>0</v>
      </c>
      <c r="T32" s="21">
        <v>0.0</v>
      </c>
      <c r="U32" s="23">
        <f>IFERROR(T32/T148, "NA")</f>
        <v>0</v>
      </c>
      <c r="V32" s="21">
        <v>0.0</v>
      </c>
      <c r="W32" s="23">
        <f>IFERROR(V32/V148, "NA")</f>
        <v>0</v>
      </c>
      <c r="X32" s="21">
        <v>0.0</v>
      </c>
      <c r="Y32" s="23">
        <f>IFERROR(X32/X148, "NA")</f>
        <v>0</v>
      </c>
      <c r="Z32" s="21">
        <v>0.0</v>
      </c>
      <c r="AA32" s="23">
        <f>IFERROR(Z32/Z148, "NA")</f>
        <v>0</v>
      </c>
      <c r="AB32" s="28">
        <f t="shared" si="13"/>
        <v>0</v>
      </c>
      <c r="AC32" s="23">
        <f>IFERROR(AB32/AB148, "NA")</f>
        <v>0</v>
      </c>
      <c r="AD32" s="29">
        <f t="shared" si="14"/>
        <v>0</v>
      </c>
      <c r="AE32" s="30">
        <f>IFERROR(AD32/AD148, "NA")</f>
        <v>0</v>
      </c>
      <c r="AF32" s="29" t="str">
        <f t="shared" si="15"/>
        <v>NA</v>
      </c>
      <c r="AG32" s="28">
        <f t="shared" si="16"/>
        <v>0</v>
      </c>
      <c r="AH32" s="23">
        <f>IFERROR(AG32/AG148, "NA")</f>
        <v>0</v>
      </c>
      <c r="AI32" s="29">
        <f t="shared" si="17"/>
        <v>0</v>
      </c>
      <c r="AJ32" s="30">
        <f>IFERROR(AI32/AI148, "NA")</f>
        <v>0</v>
      </c>
      <c r="AK32" s="29" t="str">
        <f t="shared" si="18"/>
        <v>NA</v>
      </c>
      <c r="AL32" s="30" t="str">
        <f>IFERROR(AK32/AK148, "NA")</f>
        <v>NA</v>
      </c>
    </row>
    <row r="33" ht="16.5" customHeight="1">
      <c r="A33" s="19" t="s">
        <v>91</v>
      </c>
      <c r="B33" s="21">
        <v>3.81</v>
      </c>
      <c r="C33" s="23">
        <f>IFERROR(B33/B148, "NA")</f>
        <v>0.0001429045634</v>
      </c>
      <c r="D33" s="21">
        <v>15.25</v>
      </c>
      <c r="E33" s="23">
        <f>IFERROR(D33/D148, "NA")</f>
        <v>0.0006212032769</v>
      </c>
      <c r="F33" s="21">
        <v>12.39</v>
      </c>
      <c r="G33" s="23">
        <f>IFERROR(F33/F148, "NA")</f>
        <v>0.0004942954554</v>
      </c>
      <c r="H33" s="21">
        <v>0.0</v>
      </c>
      <c r="I33" s="23">
        <f>IFERROR(H33/H148, "NA")</f>
        <v>0</v>
      </c>
      <c r="J33" s="21">
        <v>0.0</v>
      </c>
      <c r="K33" s="23">
        <f>IFERROR(J33/J148, "NA")</f>
        <v>0</v>
      </c>
      <c r="L33" s="21">
        <v>0.0</v>
      </c>
      <c r="M33" s="23">
        <f>IFERROR(L33/L148, "NA")</f>
        <v>0</v>
      </c>
      <c r="N33" s="21">
        <v>5.33</v>
      </c>
      <c r="O33" s="23">
        <f>IFERROR(N33/N148, "NA")</f>
        <v>0.0002551232873</v>
      </c>
      <c r="P33" s="21">
        <v>5.35</v>
      </c>
      <c r="Q33" s="23">
        <f>IFERROR(P33/P148, "NA")</f>
        <v>0.0003615314336</v>
      </c>
      <c r="R33" s="21">
        <v>0.0</v>
      </c>
      <c r="S33" s="23">
        <f>IFERROR(R33/R148, "NA")</f>
        <v>0</v>
      </c>
      <c r="T33" s="21">
        <v>0.0</v>
      </c>
      <c r="U33" s="23">
        <f>IFERROR(T33/T148, "NA")</f>
        <v>0</v>
      </c>
      <c r="V33" s="21">
        <v>5.67</v>
      </c>
      <c r="W33" s="23">
        <f>IFERROR(V33/V148, "NA")</f>
        <v>0.0001927571583</v>
      </c>
      <c r="X33" s="21">
        <v>5.92</v>
      </c>
      <c r="Y33" s="23">
        <f>IFERROR(X33/X148, "NA")</f>
        <v>0.0002635625645</v>
      </c>
      <c r="Z33" s="21">
        <v>11.59</v>
      </c>
      <c r="AA33" s="23">
        <f>IFERROR(Z33/Z148, "NA")</f>
        <v>0.0001298124406</v>
      </c>
      <c r="AB33" s="28">
        <f t="shared" si="13"/>
        <v>2.8975</v>
      </c>
      <c r="AC33" s="23">
        <f>IFERROR(AB33/AB148, "NA")</f>
        <v>0.0001298124406</v>
      </c>
      <c r="AD33" s="29">
        <f t="shared" si="14"/>
        <v>3.0225</v>
      </c>
      <c r="AE33" s="30">
        <f>IFERROR(AD33/AD148, "NA")</f>
        <v>0.02146738165</v>
      </c>
      <c r="AF33" s="29">
        <f t="shared" si="15"/>
        <v>1.043140638</v>
      </c>
      <c r="AG33" s="28">
        <f t="shared" si="16"/>
        <v>2.78375</v>
      </c>
      <c r="AH33" s="23">
        <f>IFERROR(AG33/AG148, "NA")</f>
        <v>0.0001259434305</v>
      </c>
      <c r="AI33" s="29">
        <f t="shared" si="17"/>
        <v>3.13625</v>
      </c>
      <c r="AJ33" s="30">
        <f>IFERROR(AI33/AI148, "NA")</f>
        <v>0.008753567367</v>
      </c>
      <c r="AK33" s="29">
        <f t="shared" si="18"/>
        <v>1.12662775</v>
      </c>
      <c r="AL33" s="30">
        <f>IFERROR(AK33/AK148, "NA")</f>
        <v>69.50396166</v>
      </c>
    </row>
    <row r="34" ht="16.5" customHeight="1">
      <c r="A34" s="65" t="s">
        <v>94</v>
      </c>
      <c r="B34" s="66">
        <f>IFERROR(B29+B30+B31+B32+B33, "NA")</f>
        <v>355.15</v>
      </c>
      <c r="C34" s="67">
        <f>IFERROR(B34/B148, "NA")</f>
        <v>0.01332088076</v>
      </c>
      <c r="D34" s="66">
        <f>IFERROR(D29+D30+D31+D32+D33, "NA")</f>
        <v>580.84</v>
      </c>
      <c r="E34" s="67">
        <f>IFERROR(D34/D148, "NA")</f>
        <v>0.02366030894</v>
      </c>
      <c r="F34" s="66">
        <f>IFERROR(F29+F30+F31+F32+F33, "NA")</f>
        <v>271.17</v>
      </c>
      <c r="G34" s="67">
        <f>IFERROR(F34/F148, "NA")</f>
        <v>0.01081824848</v>
      </c>
      <c r="H34" s="66">
        <f>IFERROR(H29+H30+H31+H32+H33, "NA")</f>
        <v>242.06</v>
      </c>
      <c r="I34" s="67">
        <f>IFERROR(H34/H148, "NA")</f>
        <v>0.01475510464</v>
      </c>
      <c r="J34" s="66">
        <f>IFERROR(J29+J30+J31+J32+J33, "NA")</f>
        <v>377.16</v>
      </c>
      <c r="K34" s="67">
        <f>IFERROR(J34/J148, "NA")</f>
        <v>0.01504015453</v>
      </c>
      <c r="L34" s="66">
        <f>IFERROR(L29+L30+L31+L32+L33, "NA")</f>
        <v>280.48</v>
      </c>
      <c r="M34" s="67">
        <f>IFERROR(L34/L148, "NA")</f>
        <v>0.01047510314</v>
      </c>
      <c r="N34" s="66">
        <f>IFERROR(N29+N30+N31+N32+N33, "NA")</f>
        <v>298.06</v>
      </c>
      <c r="O34" s="67">
        <f>IFERROR(N34/N148, "NA")</f>
        <v>0.01426680056</v>
      </c>
      <c r="P34" s="66">
        <f>IFERROR(P29+P30+P31+P32+P33, "NA")</f>
        <v>241.31</v>
      </c>
      <c r="Q34" s="67">
        <f>IFERROR(P34/P148, "NA")</f>
        <v>0.01630675706</v>
      </c>
      <c r="R34" s="66">
        <f>IFERROR(R29+R30+R31+R32+R33, "NA")</f>
        <v>180.35</v>
      </c>
      <c r="S34" s="67">
        <f>IFERROR(R34/R148, "NA")</f>
        <v>0.01062533029</v>
      </c>
      <c r="T34" s="66">
        <f>IFERROR(T29+T30+T31+T32+T33, "NA")</f>
        <v>294.96</v>
      </c>
      <c r="U34" s="67">
        <f>IFERROR(T34/T148, "NA")</f>
        <v>0.01443592419</v>
      </c>
      <c r="V34" s="66">
        <f>IFERROR(V29+V30+V31+V32+V33, "NA")</f>
        <v>383.32</v>
      </c>
      <c r="W34" s="67">
        <f>IFERROR(V34/V148, "NA")</f>
        <v>0.01303133579</v>
      </c>
      <c r="X34" s="66">
        <f>IFERROR(X29+X30+X31+X32+X33, "NA")</f>
        <v>323.43</v>
      </c>
      <c r="Y34" s="67">
        <f>IFERROR(X34/X148, "NA")</f>
        <v>0.01439933112</v>
      </c>
      <c r="Z34" s="66">
        <f>IFERROR(Z29+Z30+Z31+Z32+Z33, "NA")</f>
        <v>1182.06</v>
      </c>
      <c r="AA34" s="67">
        <f>IFERROR(Z34/Z148, "NA")</f>
        <v>0.0132395249</v>
      </c>
      <c r="AB34" s="66">
        <f t="shared" si="13"/>
        <v>295.515</v>
      </c>
      <c r="AC34" s="67">
        <f>IFERROR(AB34/AB148, "NA")</f>
        <v>0.0132395249</v>
      </c>
      <c r="AD34" s="75">
        <f t="shared" si="14"/>
        <v>27.915</v>
      </c>
      <c r="AE34" s="76">
        <f>IFERROR(AD34/AD148, "NA")</f>
        <v>0.1982669839</v>
      </c>
      <c r="AF34" s="75">
        <f t="shared" si="15"/>
        <v>0.09446221004</v>
      </c>
      <c r="AG34" s="66">
        <f t="shared" si="16"/>
        <v>297.38375</v>
      </c>
      <c r="AH34" s="67">
        <f>IFERROR(AG34/AG148, "NA")</f>
        <v>0.01345434384</v>
      </c>
      <c r="AI34" s="75">
        <f t="shared" si="17"/>
        <v>26.04625</v>
      </c>
      <c r="AJ34" s="76">
        <f>IFERROR(AI34/AI148, "NA")</f>
        <v>0.07269752221</v>
      </c>
      <c r="AK34" s="75">
        <f t="shared" si="18"/>
        <v>0.08758464442</v>
      </c>
      <c r="AL34" s="76">
        <f>IFERROR(AK34/AK148, "NA")</f>
        <v>5.403275186</v>
      </c>
    </row>
    <row r="35" ht="16.5" customHeight="1">
      <c r="A35" s="65" t="s">
        <v>95</v>
      </c>
      <c r="B35" s="66">
        <f>IFERROR(B13+B15+B16+B17+B18+B19+B20+B21+B22+B23+B24+B25+B26+B29+B30+B31+B32+B33, "NA")</f>
        <v>6300.44</v>
      </c>
      <c r="C35" s="67">
        <f>IFERROR(B35/B148, "NA")</f>
        <v>0.2363153877</v>
      </c>
      <c r="D35" s="66">
        <f>IFERROR(D13+D15+D16+D17+D18+D19+D20+D21+D22+D23+D24+D25+D26+D29+D30+D31+D32+D33, "NA")</f>
        <v>7094.1</v>
      </c>
      <c r="E35" s="67">
        <f>IFERROR(D35/D148, "NA")</f>
        <v>0.2889756175</v>
      </c>
      <c r="F35" s="66">
        <f>IFERROR(F13+F15+F16+F17+F18+F19+F20+F21+F22+F23+F24+F25+F26+F29+F30+F31+F32+F33, "NA")</f>
        <v>6076.56</v>
      </c>
      <c r="G35" s="67">
        <f>IFERROR(F35/F148, "NA")</f>
        <v>0.2424225983</v>
      </c>
      <c r="H35" s="66">
        <f>IFERROR(H13+H15+H16+H17+H18+H19+H20+H21+H22+H23+H24+H25+H26+H29+H30+H31+H32+H33, "NA")</f>
        <v>4326.21</v>
      </c>
      <c r="I35" s="67">
        <f>IFERROR(H35/H148, "NA")</f>
        <v>0.2637101597</v>
      </c>
      <c r="J35" s="66">
        <f>IFERROR(J13+J15+J16+J17+J18+J19+J20+J21+J22+J23+J24+J25+J26+J29+J30+J31+J32+J33, "NA")</f>
        <v>6344.75</v>
      </c>
      <c r="K35" s="67">
        <f>IFERROR(J35/J148, "NA")</f>
        <v>0.2530120386</v>
      </c>
      <c r="L35" s="66">
        <f>IFERROR(L13+L15+L16+L17+L18+L19+L20+L21+L22+L23+L24+L25+L26+L29+L30+L31+L32+L33, "NA")</f>
        <v>6513.6</v>
      </c>
      <c r="M35" s="67">
        <f>IFERROR(L35/L148, "NA")</f>
        <v>0.2432638043</v>
      </c>
      <c r="N35" s="66">
        <f>IFERROR(N13+N15+N16+N17+N18+N19+N20+N21+N22+N23+N24+N25+N26+N29+N30+N31+N32+N33, "NA")</f>
        <v>5969.06</v>
      </c>
      <c r="O35" s="67">
        <f>IFERROR(N35/N148, "NA")</f>
        <v>0.2857122343</v>
      </c>
      <c r="P35" s="66">
        <f>IFERROR(P13+P15+P16+P17+P18+P19+P20+P21+P22+P23+P24+P25+P26+P29+P30+P31+P32+P33, "NA")</f>
        <v>3918.96</v>
      </c>
      <c r="Q35" s="67">
        <f>IFERROR(P35/P148, "NA")</f>
        <v>0.2648275191</v>
      </c>
      <c r="R35" s="66">
        <f>IFERROR(R13+R15+R16+R17+R18+R19+R20+R21+R22+R23+R24+R25+R26+R29+R30+R31+R32+R33, "NA")</f>
        <v>5006.06</v>
      </c>
      <c r="S35" s="67">
        <f>IFERROR(R35/R148, "NA")</f>
        <v>0.2949323037</v>
      </c>
      <c r="T35" s="66">
        <f>IFERROR(T13+T15+T16+T17+T18+T19+T20+T21+T22+T23+T24+T25+T26+T29+T30+T31+T32+T33, "NA")</f>
        <v>5876.59</v>
      </c>
      <c r="U35" s="67">
        <f>IFERROR(T35/T148, "NA")</f>
        <v>0.2876119058</v>
      </c>
      <c r="V35" s="66">
        <f>IFERROR(V13+V15+V16+V17+V18+V19+V20+V21+V22+V23+V24+V25+V26+V29+V30+V31+V32+V33, "NA")</f>
        <v>6919.06</v>
      </c>
      <c r="W35" s="67">
        <f>IFERROR(V35/V148, "NA")</f>
        <v>0.2352201664</v>
      </c>
      <c r="X35" s="66">
        <f>IFERROR(X13+X15+X16+X17+X18+X19+X20+X21+X22+X23+X24+X25+X26+X29+X30+X31+X32+X33, "NA")</f>
        <v>6230.99</v>
      </c>
      <c r="Y35" s="67">
        <f>IFERROR(X35/X148, "NA")</f>
        <v>0.2774080581</v>
      </c>
      <c r="Z35" s="66">
        <f>IFERROR(Z13+Z15+Z16+Z17+Z18+Z19+Z20+Z21+Z22+Z23+Z24+Z25+Z26+Z29+Z30+Z31+Z32+Z33, "NA")</f>
        <v>24032.7</v>
      </c>
      <c r="AA35" s="67">
        <f>IFERROR(Z35/Z148, "NA")</f>
        <v>0.269175448</v>
      </c>
      <c r="AB35" s="66">
        <f t="shared" si="13"/>
        <v>6008.175</v>
      </c>
      <c r="AC35" s="67">
        <f>IFERROR(AB35/AB148, "NA")</f>
        <v>0.269175448</v>
      </c>
      <c r="AD35" s="75">
        <f t="shared" si="14"/>
        <v>222.815</v>
      </c>
      <c r="AE35" s="76">
        <f>IFERROR(AD35/AD148, "NA")</f>
        <v>1.582549096</v>
      </c>
      <c r="AF35" s="75">
        <f t="shared" si="15"/>
        <v>0.03708530461</v>
      </c>
      <c r="AG35" s="66">
        <f t="shared" si="16"/>
        <v>5847.38375</v>
      </c>
      <c r="AH35" s="67">
        <f>IFERROR(AG35/AG148, "NA")</f>
        <v>0.2645494635</v>
      </c>
      <c r="AI35" s="75">
        <f t="shared" si="17"/>
        <v>383.60625</v>
      </c>
      <c r="AJ35" s="76">
        <f>IFERROR(AI35/AI148, "NA")</f>
        <v>1.070680957</v>
      </c>
      <c r="AK35" s="75">
        <f t="shared" si="18"/>
        <v>0.06560305709</v>
      </c>
      <c r="AL35" s="76">
        <f>IFERROR(AK35/AK148, "NA")</f>
        <v>4.047186272</v>
      </c>
    </row>
    <row r="36" ht="16.5" customHeight="1">
      <c r="A36" s="13" t="s">
        <v>96</v>
      </c>
      <c r="B36" s="14"/>
      <c r="C36" s="12"/>
      <c r="D36" s="14"/>
      <c r="E36" s="12"/>
      <c r="F36" s="14"/>
      <c r="G36" s="12"/>
      <c r="H36" s="14"/>
      <c r="I36" s="12"/>
      <c r="J36" s="14"/>
      <c r="K36" s="12"/>
      <c r="L36" s="14"/>
      <c r="M36" s="12"/>
      <c r="N36" s="14"/>
      <c r="O36" s="12"/>
      <c r="P36" s="14"/>
      <c r="Q36" s="12"/>
      <c r="R36" s="14"/>
      <c r="S36" s="12"/>
      <c r="T36" s="14"/>
      <c r="U36" s="12"/>
      <c r="V36" s="14"/>
      <c r="W36" s="12"/>
      <c r="X36" s="14"/>
      <c r="Y36" s="12"/>
      <c r="Z36" s="14"/>
      <c r="AA36" s="12"/>
      <c r="AB36" s="14"/>
      <c r="AC36" s="12"/>
      <c r="AD36" s="17"/>
      <c r="AE36" s="18"/>
      <c r="AF36" s="17"/>
      <c r="AG36" s="14"/>
      <c r="AH36" s="12"/>
      <c r="AI36" s="17"/>
      <c r="AJ36" s="18"/>
      <c r="AK36" s="17"/>
      <c r="AL36" s="18"/>
    </row>
    <row r="37" ht="16.5" hidden="1" customHeight="1">
      <c r="A37" s="19" t="s">
        <v>97</v>
      </c>
      <c r="B37" s="21">
        <v>0.0</v>
      </c>
      <c r="C37" s="23">
        <f>IFERROR(B37/B148, "NA")</f>
        <v>0</v>
      </c>
      <c r="D37" s="21">
        <v>0.0</v>
      </c>
      <c r="E37" s="23">
        <f>IFERROR(D37/D148, "NA")</f>
        <v>0</v>
      </c>
      <c r="F37" s="21">
        <v>0.0</v>
      </c>
      <c r="G37" s="23">
        <f>IFERROR(F37/F148, "NA")</f>
        <v>0</v>
      </c>
      <c r="H37" s="21">
        <v>0.0</v>
      </c>
      <c r="I37" s="23">
        <f>IFERROR(H37/H148, "NA")</f>
        <v>0</v>
      </c>
      <c r="J37" s="21">
        <v>0.0</v>
      </c>
      <c r="K37" s="23">
        <f>IFERROR(J37/J148, "NA")</f>
        <v>0</v>
      </c>
      <c r="L37" s="21">
        <v>0.0</v>
      </c>
      <c r="M37" s="23">
        <f>IFERROR(L37/L148, "NA")</f>
        <v>0</v>
      </c>
      <c r="N37" s="21">
        <v>0.0</v>
      </c>
      <c r="O37" s="23">
        <f>IFERROR(N37/N148, "NA")</f>
        <v>0</v>
      </c>
      <c r="P37" s="21">
        <v>0.0</v>
      </c>
      <c r="Q37" s="23">
        <f>IFERROR(P37/P148, "NA")</f>
        <v>0</v>
      </c>
      <c r="R37" s="21">
        <v>0.0</v>
      </c>
      <c r="S37" s="23">
        <f>IFERROR(R37/R148, "NA")</f>
        <v>0</v>
      </c>
      <c r="T37" s="21">
        <v>0.0</v>
      </c>
      <c r="U37" s="23">
        <f>IFERROR(T37/T148, "NA")</f>
        <v>0</v>
      </c>
      <c r="V37" s="21">
        <v>0.0</v>
      </c>
      <c r="W37" s="23">
        <f>IFERROR(V37/V148, "NA")</f>
        <v>0</v>
      </c>
      <c r="X37" s="21">
        <v>0.0</v>
      </c>
      <c r="Y37" s="23">
        <f>IFERROR(X37/X148, "NA")</f>
        <v>0</v>
      </c>
      <c r="Z37" s="21">
        <v>0.0</v>
      </c>
      <c r="AA37" s="23">
        <f>IFERROR(Z37/Z148, "NA")</f>
        <v>0</v>
      </c>
      <c r="AB37" s="28">
        <f>IFERROR((R37+T37+V37+X37)/4, "NA")</f>
        <v>0</v>
      </c>
      <c r="AC37" s="23">
        <f>IFERROR(AB37/AB148, "NA")</f>
        <v>0</v>
      </c>
      <c r="AD37" s="29">
        <f>IFERROR(X37-AB37, "NA")</f>
        <v>0</v>
      </c>
      <c r="AE37" s="30">
        <f>IFERROR(AD37/AD148, "NA")</f>
        <v>0</v>
      </c>
      <c r="AF37" s="29" t="str">
        <f>IFERROR((X37-AB37)/AB37, "NA")</f>
        <v>NA</v>
      </c>
      <c r="AG37" s="28">
        <f>IFERROR((J37+L37+N37+P37+R37+T37+V37+X37)/8, "NA")</f>
        <v>0</v>
      </c>
      <c r="AH37" s="23">
        <f>IFERROR(AG37/AG148, "NA")</f>
        <v>0</v>
      </c>
      <c r="AI37" s="29">
        <f>IFERROR(X37-AG37, "NA")</f>
        <v>0</v>
      </c>
      <c r="AJ37" s="30">
        <f>IFERROR(AI37/AI148, "NA")</f>
        <v>0</v>
      </c>
      <c r="AK37" s="29" t="str">
        <f>IFERROR((X37-AG37)/AG37, "NA")</f>
        <v>NA</v>
      </c>
      <c r="AL37" s="30" t="str">
        <f>IFERROR(AK37/AK148, "NA")</f>
        <v>NA</v>
      </c>
    </row>
    <row r="38" ht="16.5" customHeight="1">
      <c r="A38" s="13" t="s">
        <v>98</v>
      </c>
      <c r="B38" s="14"/>
      <c r="C38" s="12"/>
      <c r="D38" s="14"/>
      <c r="E38" s="12"/>
      <c r="F38" s="14"/>
      <c r="G38" s="12"/>
      <c r="H38" s="14"/>
      <c r="I38" s="12"/>
      <c r="J38" s="14"/>
      <c r="K38" s="12"/>
      <c r="L38" s="14"/>
      <c r="M38" s="12"/>
      <c r="N38" s="14"/>
      <c r="O38" s="12"/>
      <c r="P38" s="14"/>
      <c r="Q38" s="12"/>
      <c r="R38" s="14"/>
      <c r="S38" s="12"/>
      <c r="T38" s="14"/>
      <c r="U38" s="12"/>
      <c r="V38" s="14"/>
      <c r="W38" s="12"/>
      <c r="X38" s="14"/>
      <c r="Y38" s="12"/>
      <c r="Z38" s="14"/>
      <c r="AA38" s="12"/>
      <c r="AB38" s="14"/>
      <c r="AC38" s="12"/>
      <c r="AD38" s="17"/>
      <c r="AE38" s="18"/>
      <c r="AF38" s="17"/>
      <c r="AG38" s="14"/>
      <c r="AH38" s="12"/>
      <c r="AI38" s="17"/>
      <c r="AJ38" s="18"/>
      <c r="AK38" s="17"/>
      <c r="AL38" s="18"/>
    </row>
    <row r="39" ht="16.5" hidden="1" customHeight="1">
      <c r="A39" s="19" t="s">
        <v>99</v>
      </c>
      <c r="B39" s="21">
        <v>0.0</v>
      </c>
      <c r="C39" s="23">
        <f>IFERROR(B39/B148, "NA")</f>
        <v>0</v>
      </c>
      <c r="D39" s="21">
        <v>0.0</v>
      </c>
      <c r="E39" s="23">
        <f>IFERROR(D39/D148, "NA")</f>
        <v>0</v>
      </c>
      <c r="F39" s="21">
        <v>0.0</v>
      </c>
      <c r="G39" s="23">
        <f>IFERROR(F39/F148, "NA")</f>
        <v>0</v>
      </c>
      <c r="H39" s="21">
        <v>0.0</v>
      </c>
      <c r="I39" s="23">
        <f>IFERROR(H39/H148, "NA")</f>
        <v>0</v>
      </c>
      <c r="J39" s="21">
        <v>0.0</v>
      </c>
      <c r="K39" s="23">
        <f>IFERROR(J39/J148, "NA")</f>
        <v>0</v>
      </c>
      <c r="L39" s="21">
        <v>0.0</v>
      </c>
      <c r="M39" s="23">
        <f>IFERROR(L39/L148, "NA")</f>
        <v>0</v>
      </c>
      <c r="N39" s="21">
        <v>0.0</v>
      </c>
      <c r="O39" s="23">
        <f>IFERROR(N39/N148, "NA")</f>
        <v>0</v>
      </c>
      <c r="P39" s="21">
        <v>0.0</v>
      </c>
      <c r="Q39" s="23">
        <f>IFERROR(P39/P148, "NA")</f>
        <v>0</v>
      </c>
      <c r="R39" s="21">
        <v>0.0</v>
      </c>
      <c r="S39" s="23">
        <f>IFERROR(R39/R148, "NA")</f>
        <v>0</v>
      </c>
      <c r="T39" s="21">
        <v>0.0</v>
      </c>
      <c r="U39" s="23">
        <f>IFERROR(T39/T148, "NA")</f>
        <v>0</v>
      </c>
      <c r="V39" s="21">
        <v>0.0</v>
      </c>
      <c r="W39" s="23">
        <f>IFERROR(V39/V148, "NA")</f>
        <v>0</v>
      </c>
      <c r="X39" s="21">
        <v>0.0</v>
      </c>
      <c r="Y39" s="23">
        <f>IFERROR(X39/X148, "NA")</f>
        <v>0</v>
      </c>
      <c r="Z39" s="21">
        <v>0.0</v>
      </c>
      <c r="AA39" s="23">
        <f>IFERROR(Z39/Z148, "NA")</f>
        <v>0</v>
      </c>
      <c r="AB39" s="28">
        <f t="shared" ref="AB39:AB44" si="19">IFERROR((R39+T39+V39+X39)/4, "NA")</f>
        <v>0</v>
      </c>
      <c r="AC39" s="23">
        <f>IFERROR(AB39/AB148, "NA")</f>
        <v>0</v>
      </c>
      <c r="AD39" s="29">
        <f t="shared" ref="AD39:AD44" si="20">IFERROR(X39-AB39, "NA")</f>
        <v>0</v>
      </c>
      <c r="AE39" s="30">
        <f>IFERROR(AD39/AD148, "NA")</f>
        <v>0</v>
      </c>
      <c r="AF39" s="29" t="str">
        <f t="shared" ref="AF39:AF44" si="21">IFERROR((X39-AB39)/AB39, "NA")</f>
        <v>NA</v>
      </c>
      <c r="AG39" s="28">
        <f t="shared" ref="AG39:AG44" si="22">IFERROR((J39+L39+N39+P39+R39+T39+V39+X39)/8, "NA")</f>
        <v>0</v>
      </c>
      <c r="AH39" s="23">
        <f>IFERROR(AG39/AG148, "NA")</f>
        <v>0</v>
      </c>
      <c r="AI39" s="29">
        <f t="shared" ref="AI39:AI44" si="23">IFERROR(X39-AG39, "NA")</f>
        <v>0</v>
      </c>
      <c r="AJ39" s="30">
        <f>IFERROR(AI39/AI148, "NA")</f>
        <v>0</v>
      </c>
      <c r="AK39" s="29" t="str">
        <f t="shared" ref="AK39:AK44" si="24">IFERROR((X39-AG39)/AG39, "NA")</f>
        <v>NA</v>
      </c>
      <c r="AL39" s="30" t="str">
        <f>IFERROR(AK39/AK148, "NA")</f>
        <v>NA</v>
      </c>
    </row>
    <row r="40" ht="16.5" customHeight="1">
      <c r="A40" s="19" t="s">
        <v>100</v>
      </c>
      <c r="B40" s="21">
        <v>763.45</v>
      </c>
      <c r="C40" s="23">
        <f>IFERROR(B40/B148, "NA")</f>
        <v>0.02863529893</v>
      </c>
      <c r="D40" s="21">
        <v>715.28</v>
      </c>
      <c r="E40" s="23">
        <f>IFERROR(D40/D148, "NA")</f>
        <v>0.02913667409</v>
      </c>
      <c r="F40" s="21">
        <v>708.78</v>
      </c>
      <c r="G40" s="23">
        <f>IFERROR(F40/F148, "NA")</f>
        <v>0.02827657247</v>
      </c>
      <c r="H40" s="21">
        <v>571.58</v>
      </c>
      <c r="I40" s="23">
        <f>IFERROR(H40/H148, "NA")</f>
        <v>0.03484145547</v>
      </c>
      <c r="J40" s="21">
        <v>967.24</v>
      </c>
      <c r="K40" s="23">
        <f>IFERROR(J40/J148, "NA")</f>
        <v>0.03857100188</v>
      </c>
      <c r="L40" s="21">
        <v>746.96</v>
      </c>
      <c r="M40" s="23">
        <f>IFERROR(L40/L148, "NA")</f>
        <v>0.02789675928</v>
      </c>
      <c r="N40" s="21">
        <v>840.76</v>
      </c>
      <c r="O40" s="23">
        <f>IFERROR(N40/N148, "NA")</f>
        <v>0.04024342495</v>
      </c>
      <c r="P40" s="21">
        <v>541.75</v>
      </c>
      <c r="Q40" s="23">
        <f>IFERROR(P40/P148, "NA")</f>
        <v>0.03660928115</v>
      </c>
      <c r="R40" s="21">
        <v>635.81</v>
      </c>
      <c r="S40" s="23">
        <f>IFERROR(R40/R148, "NA")</f>
        <v>0.03745878155</v>
      </c>
      <c r="T40" s="21">
        <v>889.7</v>
      </c>
      <c r="U40" s="23">
        <f>IFERROR(T40/T148, "NA")</f>
        <v>0.04354367288</v>
      </c>
      <c r="V40" s="21">
        <v>947.77</v>
      </c>
      <c r="W40" s="23">
        <f>IFERROR(V40/V148, "NA")</f>
        <v>0.03222036189</v>
      </c>
      <c r="X40" s="21">
        <v>671.66</v>
      </c>
      <c r="Y40" s="23">
        <f>IFERROR(X40/X148, "NA")</f>
        <v>0.02990277569</v>
      </c>
      <c r="Z40" s="21">
        <v>3144.94</v>
      </c>
      <c r="AA40" s="23">
        <f>IFERROR(Z40/Z148, "NA")</f>
        <v>0.03522453296</v>
      </c>
      <c r="AB40" s="28">
        <f t="shared" si="19"/>
        <v>786.235</v>
      </c>
      <c r="AC40" s="23">
        <f>IFERROR(AB40/AB148, "NA")</f>
        <v>0.03522453296</v>
      </c>
      <c r="AD40" s="29">
        <f t="shared" si="20"/>
        <v>-114.575</v>
      </c>
      <c r="AE40" s="30">
        <f>IFERROR(AD40/AD148, "NA")</f>
        <v>-0.8137717959</v>
      </c>
      <c r="AF40" s="29">
        <f t="shared" si="21"/>
        <v>-0.1457261506</v>
      </c>
      <c r="AG40" s="28">
        <f t="shared" si="22"/>
        <v>780.20625</v>
      </c>
      <c r="AH40" s="23">
        <f>IFERROR(AG40/AG148, "NA")</f>
        <v>0.03529837509</v>
      </c>
      <c r="AI40" s="29">
        <f t="shared" si="23"/>
        <v>-108.54625</v>
      </c>
      <c r="AJ40" s="30">
        <f>IFERROR(AI40/AI148, "NA")</f>
        <v>-0.3029627459</v>
      </c>
      <c r="AK40" s="29">
        <f t="shared" si="24"/>
        <v>-0.1391250711</v>
      </c>
      <c r="AL40" s="30">
        <f>IFERROR(AK40/AK148, "NA")</f>
        <v>-8.582909132</v>
      </c>
    </row>
    <row r="41" ht="16.5" customHeight="1">
      <c r="A41" s="19" t="s">
        <v>101</v>
      </c>
      <c r="B41" s="21">
        <v>195.59</v>
      </c>
      <c r="C41" s="23">
        <f>IFERROR(B41/B148, "NA")</f>
        <v>0.007336142665</v>
      </c>
      <c r="D41" s="21">
        <v>363.74</v>
      </c>
      <c r="E41" s="23">
        <f>IFERROR(D41/D148, "NA")</f>
        <v>0.01481681836</v>
      </c>
      <c r="F41" s="21">
        <v>49.57</v>
      </c>
      <c r="G41" s="23">
        <f>IFERROR(F41/F148, "NA")</f>
        <v>0.001977580769</v>
      </c>
      <c r="H41" s="21">
        <v>32.94</v>
      </c>
      <c r="I41" s="23">
        <f>IFERROR(H41/H148, "NA")</f>
        <v>0.002007903606</v>
      </c>
      <c r="J41" s="21">
        <v>540.33</v>
      </c>
      <c r="K41" s="23">
        <f>IFERROR(J41/J148, "NA")</f>
        <v>0.02154694745</v>
      </c>
      <c r="L41" s="21">
        <v>316.95</v>
      </c>
      <c r="M41" s="23">
        <f>IFERROR(L41/L148, "NA")</f>
        <v>0.01183715039</v>
      </c>
      <c r="N41" s="21">
        <v>189.97</v>
      </c>
      <c r="O41" s="23">
        <f>IFERROR(N41/N148, "NA")</f>
        <v>0.009093015174</v>
      </c>
      <c r="P41" s="21">
        <v>-11.27</v>
      </c>
      <c r="Q41" s="23">
        <f>IFERROR(P41/P148, "NA")</f>
        <v>-0.0007615811696</v>
      </c>
      <c r="R41" s="21">
        <v>-17.6</v>
      </c>
      <c r="S41" s="23">
        <f>IFERROR(R41/R148, "NA")</f>
        <v>-0.00103690498</v>
      </c>
      <c r="T41" s="21">
        <v>358.57</v>
      </c>
      <c r="U41" s="23">
        <f>IFERROR(T41/T148, "NA")</f>
        <v>0.01754912306</v>
      </c>
      <c r="V41" s="21">
        <v>71.64</v>
      </c>
      <c r="W41" s="23">
        <f>IFERROR(V41/V148, "NA")</f>
        <v>0.002435471397</v>
      </c>
      <c r="X41" s="21">
        <v>311.66</v>
      </c>
      <c r="Y41" s="23">
        <f>IFERROR(X41/X148, "NA")</f>
        <v>0.01387532244</v>
      </c>
      <c r="Z41" s="21">
        <v>724.27</v>
      </c>
      <c r="AA41" s="23">
        <f>IFERROR(Z41/Z148, "NA")</f>
        <v>0.008112101499</v>
      </c>
      <c r="AB41" s="28">
        <f t="shared" si="19"/>
        <v>181.0675</v>
      </c>
      <c r="AC41" s="23">
        <f>IFERROR(AB41/AB148, "NA")</f>
        <v>0.008112101499</v>
      </c>
      <c r="AD41" s="29">
        <f t="shared" si="20"/>
        <v>130.5925</v>
      </c>
      <c r="AE41" s="30">
        <f>IFERROR(AD41/AD148, "NA")</f>
        <v>0.9275364892</v>
      </c>
      <c r="AF41" s="29">
        <f t="shared" si="21"/>
        <v>0.7212365554</v>
      </c>
      <c r="AG41" s="28">
        <f t="shared" si="22"/>
        <v>220.03125</v>
      </c>
      <c r="AH41" s="23">
        <f>IFERROR(AG41/AG148, "NA")</f>
        <v>0.009954733884</v>
      </c>
      <c r="AI41" s="29">
        <f t="shared" si="23"/>
        <v>91.62875</v>
      </c>
      <c r="AJ41" s="30">
        <f>IFERROR(AI41/AI148, "NA")</f>
        <v>0.2557444196</v>
      </c>
      <c r="AK41" s="29">
        <f t="shared" si="24"/>
        <v>0.4164351655</v>
      </c>
      <c r="AL41" s="30">
        <f>IFERROR(AK41/AK148, "NA")</f>
        <v>25.69073393</v>
      </c>
    </row>
    <row r="42" ht="16.5" hidden="1" customHeight="1">
      <c r="A42" s="19" t="s">
        <v>102</v>
      </c>
      <c r="B42" s="21">
        <v>0.0</v>
      </c>
      <c r="C42" s="23">
        <f>IFERROR(B42/B148, "NA")</f>
        <v>0</v>
      </c>
      <c r="D42" s="21">
        <v>0.0</v>
      </c>
      <c r="E42" s="23">
        <f>IFERROR(D42/D148, "NA")</f>
        <v>0</v>
      </c>
      <c r="F42" s="21">
        <v>0.0</v>
      </c>
      <c r="G42" s="23">
        <f>IFERROR(F42/F148, "NA")</f>
        <v>0</v>
      </c>
      <c r="H42" s="21">
        <v>0.0</v>
      </c>
      <c r="I42" s="23">
        <f>IFERROR(H42/H148, "NA")</f>
        <v>0</v>
      </c>
      <c r="J42" s="21">
        <v>0.0</v>
      </c>
      <c r="K42" s="23">
        <f>IFERROR(J42/J148, "NA")</f>
        <v>0</v>
      </c>
      <c r="L42" s="21">
        <v>0.0</v>
      </c>
      <c r="M42" s="23">
        <f>IFERROR(L42/L148, "NA")</f>
        <v>0</v>
      </c>
      <c r="N42" s="21">
        <v>0.0</v>
      </c>
      <c r="O42" s="23">
        <f>IFERROR(N42/N148, "NA")</f>
        <v>0</v>
      </c>
      <c r="P42" s="21">
        <v>0.0</v>
      </c>
      <c r="Q42" s="23">
        <f>IFERROR(P42/P148, "NA")</f>
        <v>0</v>
      </c>
      <c r="R42" s="21">
        <v>0.0</v>
      </c>
      <c r="S42" s="23">
        <f>IFERROR(R42/R148, "NA")</f>
        <v>0</v>
      </c>
      <c r="T42" s="21">
        <v>0.0</v>
      </c>
      <c r="U42" s="23">
        <f>IFERROR(T42/T148, "NA")</f>
        <v>0</v>
      </c>
      <c r="V42" s="21">
        <v>0.0</v>
      </c>
      <c r="W42" s="23">
        <f>IFERROR(V42/V148, "NA")</f>
        <v>0</v>
      </c>
      <c r="X42" s="21">
        <v>0.0</v>
      </c>
      <c r="Y42" s="23">
        <f>IFERROR(X42/X148, "NA")</f>
        <v>0</v>
      </c>
      <c r="Z42" s="21">
        <v>0.0</v>
      </c>
      <c r="AA42" s="23">
        <f>IFERROR(Z42/Z148, "NA")</f>
        <v>0</v>
      </c>
      <c r="AB42" s="28">
        <f t="shared" si="19"/>
        <v>0</v>
      </c>
      <c r="AC42" s="23">
        <f>IFERROR(AB42/AB148, "NA")</f>
        <v>0</v>
      </c>
      <c r="AD42" s="29">
        <f t="shared" si="20"/>
        <v>0</v>
      </c>
      <c r="AE42" s="30">
        <f>IFERROR(AD42/AD148, "NA")</f>
        <v>0</v>
      </c>
      <c r="AF42" s="29" t="str">
        <f t="shared" si="21"/>
        <v>NA</v>
      </c>
      <c r="AG42" s="28">
        <f t="shared" si="22"/>
        <v>0</v>
      </c>
      <c r="AH42" s="23">
        <f>IFERROR(AG42/AG148, "NA")</f>
        <v>0</v>
      </c>
      <c r="AI42" s="29">
        <f t="shared" si="23"/>
        <v>0</v>
      </c>
      <c r="AJ42" s="30">
        <f>IFERROR(AI42/AI148, "NA")</f>
        <v>0</v>
      </c>
      <c r="AK42" s="29" t="str">
        <f t="shared" si="24"/>
        <v>NA</v>
      </c>
      <c r="AL42" s="30" t="str">
        <f>IFERROR(AK42/AK148, "NA")</f>
        <v>NA</v>
      </c>
    </row>
    <row r="43" ht="16.5" hidden="1" customHeight="1">
      <c r="A43" s="19" t="s">
        <v>103</v>
      </c>
      <c r="B43" s="21">
        <v>0.0</v>
      </c>
      <c r="C43" s="23">
        <f>IFERROR(B43/B148, "NA")</f>
        <v>0</v>
      </c>
      <c r="D43" s="21">
        <v>0.0</v>
      </c>
      <c r="E43" s="23">
        <f>IFERROR(D43/D148, "NA")</f>
        <v>0</v>
      </c>
      <c r="F43" s="21">
        <v>0.0</v>
      </c>
      <c r="G43" s="23">
        <f>IFERROR(F43/F148, "NA")</f>
        <v>0</v>
      </c>
      <c r="H43" s="21">
        <v>0.0</v>
      </c>
      <c r="I43" s="23">
        <f>IFERROR(H43/H148, "NA")</f>
        <v>0</v>
      </c>
      <c r="J43" s="21">
        <v>0.0</v>
      </c>
      <c r="K43" s="23">
        <f>IFERROR(J43/J148, "NA")</f>
        <v>0</v>
      </c>
      <c r="L43" s="21">
        <v>0.0</v>
      </c>
      <c r="M43" s="23">
        <f>IFERROR(L43/L148, "NA")</f>
        <v>0</v>
      </c>
      <c r="N43" s="21">
        <v>0.0</v>
      </c>
      <c r="O43" s="23">
        <f>IFERROR(N43/N148, "NA")</f>
        <v>0</v>
      </c>
      <c r="P43" s="21">
        <v>0.0</v>
      </c>
      <c r="Q43" s="23">
        <f>IFERROR(P43/P148, "NA")</f>
        <v>0</v>
      </c>
      <c r="R43" s="21">
        <v>0.0</v>
      </c>
      <c r="S43" s="23">
        <f>IFERROR(R43/R148, "NA")</f>
        <v>0</v>
      </c>
      <c r="T43" s="21">
        <v>0.0</v>
      </c>
      <c r="U43" s="23">
        <f>IFERROR(T43/T148, "NA")</f>
        <v>0</v>
      </c>
      <c r="V43" s="21">
        <v>0.0</v>
      </c>
      <c r="W43" s="23">
        <f>IFERROR(V43/V148, "NA")</f>
        <v>0</v>
      </c>
      <c r="X43" s="21">
        <v>0.0</v>
      </c>
      <c r="Y43" s="23">
        <f>IFERROR(X43/X148, "NA")</f>
        <v>0</v>
      </c>
      <c r="Z43" s="21">
        <v>0.0</v>
      </c>
      <c r="AA43" s="23">
        <f>IFERROR(Z43/Z148, "NA")</f>
        <v>0</v>
      </c>
      <c r="AB43" s="28">
        <f t="shared" si="19"/>
        <v>0</v>
      </c>
      <c r="AC43" s="23">
        <f>IFERROR(AB43/AB148, "NA")</f>
        <v>0</v>
      </c>
      <c r="AD43" s="29">
        <f t="shared" si="20"/>
        <v>0</v>
      </c>
      <c r="AE43" s="30">
        <f>IFERROR(AD43/AD148, "NA")</f>
        <v>0</v>
      </c>
      <c r="AF43" s="29" t="str">
        <f t="shared" si="21"/>
        <v>NA</v>
      </c>
      <c r="AG43" s="28">
        <f t="shared" si="22"/>
        <v>0</v>
      </c>
      <c r="AH43" s="23">
        <f>IFERROR(AG43/AG148, "NA")</f>
        <v>0</v>
      </c>
      <c r="AI43" s="29">
        <f t="shared" si="23"/>
        <v>0</v>
      </c>
      <c r="AJ43" s="30">
        <f>IFERROR(AI43/AI148, "NA")</f>
        <v>0</v>
      </c>
      <c r="AK43" s="29" t="str">
        <f t="shared" si="24"/>
        <v>NA</v>
      </c>
      <c r="AL43" s="30" t="str">
        <f>IFERROR(AK43/AK148, "NA")</f>
        <v>NA</v>
      </c>
    </row>
    <row r="44" ht="16.5" customHeight="1">
      <c r="A44" s="65" t="s">
        <v>105</v>
      </c>
      <c r="B44" s="66">
        <f>IFERROR(B39+B40+B41+B42+B43, "NA")</f>
        <v>959.04</v>
      </c>
      <c r="C44" s="67">
        <f>IFERROR(B44/B148, "NA")</f>
        <v>0.03597144159</v>
      </c>
      <c r="D44" s="66">
        <f>IFERROR(D39+D40+D41+D42+D43, "NA")</f>
        <v>1079.02</v>
      </c>
      <c r="E44" s="67">
        <f>IFERROR(D44/D148, "NA")</f>
        <v>0.04395349245</v>
      </c>
      <c r="F44" s="66">
        <f>IFERROR(F39+F40+F41+F42+F43, "NA")</f>
        <v>758.35</v>
      </c>
      <c r="G44" s="67">
        <f>IFERROR(F44/F148, "NA")</f>
        <v>0.03025415324</v>
      </c>
      <c r="H44" s="66">
        <f>IFERROR(H39+H40+H41+H42+H43, "NA")</f>
        <v>604.52</v>
      </c>
      <c r="I44" s="67">
        <f>IFERROR(H44/H148, "NA")</f>
        <v>0.03684935907</v>
      </c>
      <c r="J44" s="66">
        <f>IFERROR(J39+J40+J41+J42+J43, "NA")</f>
        <v>1507.57</v>
      </c>
      <c r="K44" s="67">
        <f>IFERROR(J44/J148, "NA")</f>
        <v>0.06011794933</v>
      </c>
      <c r="L44" s="66">
        <f>IFERROR(L39+L40+L41+L42+L43, "NA")</f>
        <v>1063.91</v>
      </c>
      <c r="M44" s="67">
        <f>IFERROR(L44/L148, "NA")</f>
        <v>0.03973390967</v>
      </c>
      <c r="N44" s="66">
        <f>IFERROR(N39+N40+N41+N42+N43, "NA")</f>
        <v>1030.73</v>
      </c>
      <c r="O44" s="67">
        <f>IFERROR(N44/N148, "NA")</f>
        <v>0.04933644013</v>
      </c>
      <c r="P44" s="66">
        <f>IFERROR(P39+P40+P41+P42+P43, "NA")</f>
        <v>530.48</v>
      </c>
      <c r="Q44" s="67">
        <f>IFERROR(P44/P148, "NA")</f>
        <v>0.03584769998</v>
      </c>
      <c r="R44" s="66">
        <f>IFERROR(R39+R40+R41+R42+R43, "NA")</f>
        <v>618.21</v>
      </c>
      <c r="S44" s="67">
        <f>IFERROR(R44/R148, "NA")</f>
        <v>0.03642187657</v>
      </c>
      <c r="T44" s="66">
        <f>IFERROR(T39+T40+T41+T42+T43, "NA")</f>
        <v>1248.27</v>
      </c>
      <c r="U44" s="67">
        <f>IFERROR(T44/T148, "NA")</f>
        <v>0.06109279594</v>
      </c>
      <c r="V44" s="66">
        <f>IFERROR(V39+V40+V41+V42+V43, "NA")</f>
        <v>1019.41</v>
      </c>
      <c r="W44" s="67">
        <f>IFERROR(V44/V148, "NA")</f>
        <v>0.03465583328</v>
      </c>
      <c r="X44" s="66">
        <f>IFERROR(X39+X40+X41+X42+X43, "NA")</f>
        <v>983.32</v>
      </c>
      <c r="Y44" s="67">
        <f>IFERROR(X44/X148, "NA")</f>
        <v>0.04377809813</v>
      </c>
      <c r="Z44" s="66">
        <f>IFERROR(Z39+Z40+Z41+Z42+Z43, "NA")</f>
        <v>3869.21</v>
      </c>
      <c r="AA44" s="67">
        <f>IFERROR(Z44/Z148, "NA")</f>
        <v>0.04333663446</v>
      </c>
      <c r="AB44" s="66">
        <f t="shared" si="19"/>
        <v>967.3025</v>
      </c>
      <c r="AC44" s="67">
        <f>IFERROR(AB44/AB148, "NA")</f>
        <v>0.04333663446</v>
      </c>
      <c r="AD44" s="75">
        <f t="shared" si="20"/>
        <v>16.0175</v>
      </c>
      <c r="AE44" s="76">
        <f>IFERROR(AD44/AD148, "NA")</f>
        <v>0.1137646933</v>
      </c>
      <c r="AF44" s="75">
        <f t="shared" si="21"/>
        <v>0.0165589358</v>
      </c>
      <c r="AG44" s="66">
        <f t="shared" si="22"/>
        <v>1000.2375</v>
      </c>
      <c r="AH44" s="67">
        <f>IFERROR(AG44/AG148, "NA")</f>
        <v>0.04525310897</v>
      </c>
      <c r="AI44" s="75">
        <f t="shared" si="23"/>
        <v>-16.9175</v>
      </c>
      <c r="AJ44" s="76">
        <f>IFERROR(AI44/AI148, "NA")</f>
        <v>-0.04721832632</v>
      </c>
      <c r="AK44" s="75">
        <f t="shared" si="24"/>
        <v>-0.01691348305</v>
      </c>
      <c r="AL44" s="76">
        <f>IFERROR(AK44/AK148, "NA")</f>
        <v>-1.043427234</v>
      </c>
    </row>
    <row r="45" ht="16.5" customHeight="1">
      <c r="A45" s="13" t="s">
        <v>106</v>
      </c>
      <c r="B45" s="14"/>
      <c r="C45" s="12"/>
      <c r="D45" s="14"/>
      <c r="E45" s="12"/>
      <c r="F45" s="14"/>
      <c r="G45" s="12"/>
      <c r="H45" s="14"/>
      <c r="I45" s="12"/>
      <c r="J45" s="14"/>
      <c r="K45" s="12"/>
      <c r="L45" s="14"/>
      <c r="M45" s="12"/>
      <c r="N45" s="14"/>
      <c r="O45" s="12"/>
      <c r="P45" s="14"/>
      <c r="Q45" s="12"/>
      <c r="R45" s="14"/>
      <c r="S45" s="12"/>
      <c r="T45" s="14"/>
      <c r="U45" s="12"/>
      <c r="V45" s="14"/>
      <c r="W45" s="12"/>
      <c r="X45" s="14"/>
      <c r="Y45" s="12"/>
      <c r="Z45" s="14"/>
      <c r="AA45" s="12"/>
      <c r="AB45" s="14"/>
      <c r="AC45" s="12"/>
      <c r="AD45" s="17"/>
      <c r="AE45" s="18"/>
      <c r="AF45" s="17"/>
      <c r="AG45" s="14"/>
      <c r="AH45" s="12"/>
      <c r="AI45" s="17"/>
      <c r="AJ45" s="18"/>
      <c r="AK45" s="17"/>
      <c r="AL45" s="18"/>
    </row>
    <row r="46" ht="16.5" hidden="1" customHeight="1">
      <c r="A46" s="19" t="s">
        <v>107</v>
      </c>
      <c r="B46" s="21">
        <v>0.0</v>
      </c>
      <c r="C46" s="23">
        <f>IFERROR(B46/B148, "NA")</f>
        <v>0</v>
      </c>
      <c r="D46" s="21">
        <v>0.0</v>
      </c>
      <c r="E46" s="23">
        <f>IFERROR(D46/D148, "NA")</f>
        <v>0</v>
      </c>
      <c r="F46" s="21">
        <v>0.0</v>
      </c>
      <c r="G46" s="23">
        <f>IFERROR(F46/F148, "NA")</f>
        <v>0</v>
      </c>
      <c r="H46" s="21">
        <v>0.0</v>
      </c>
      <c r="I46" s="23">
        <f>IFERROR(H46/H148, "NA")</f>
        <v>0</v>
      </c>
      <c r="J46" s="21">
        <v>0.0</v>
      </c>
      <c r="K46" s="23">
        <f>IFERROR(J46/J148, "NA")</f>
        <v>0</v>
      </c>
      <c r="L46" s="21">
        <v>0.0</v>
      </c>
      <c r="M46" s="23">
        <f>IFERROR(L46/L148, "NA")</f>
        <v>0</v>
      </c>
      <c r="N46" s="21">
        <v>0.0</v>
      </c>
      <c r="O46" s="23">
        <f>IFERROR(N46/N148, "NA")</f>
        <v>0</v>
      </c>
      <c r="P46" s="21">
        <v>0.0</v>
      </c>
      <c r="Q46" s="23">
        <f>IFERROR(P46/P148, "NA")</f>
        <v>0</v>
      </c>
      <c r="R46" s="21">
        <v>0.0</v>
      </c>
      <c r="S46" s="23">
        <f>IFERROR(R46/R148, "NA")</f>
        <v>0</v>
      </c>
      <c r="T46" s="21">
        <v>0.0</v>
      </c>
      <c r="U46" s="23">
        <f>IFERROR(T46/T148, "NA")</f>
        <v>0</v>
      </c>
      <c r="V46" s="21">
        <v>0.0</v>
      </c>
      <c r="W46" s="23">
        <f>IFERROR(V46/V148, "NA")</f>
        <v>0</v>
      </c>
      <c r="X46" s="21">
        <v>0.0</v>
      </c>
      <c r="Y46" s="23">
        <f>IFERROR(X46/X148, "NA")</f>
        <v>0</v>
      </c>
      <c r="Z46" s="21">
        <v>0.0</v>
      </c>
      <c r="AA46" s="23">
        <f>IFERROR(Z46/Z148, "NA")</f>
        <v>0</v>
      </c>
      <c r="AB46" s="28">
        <f t="shared" ref="AB46:AB57" si="25">IFERROR((R46+T46+V46+X46)/4, "NA")</f>
        <v>0</v>
      </c>
      <c r="AC46" s="23">
        <f>IFERROR(AB46/AB148, "NA")</f>
        <v>0</v>
      </c>
      <c r="AD46" s="29">
        <f t="shared" ref="AD46:AD57" si="26">IFERROR(X46-AB46, "NA")</f>
        <v>0</v>
      </c>
      <c r="AE46" s="30">
        <f>IFERROR(AD46/AD148, "NA")</f>
        <v>0</v>
      </c>
      <c r="AF46" s="29" t="str">
        <f t="shared" ref="AF46:AF57" si="27">IFERROR((X46-AB46)/AB46, "NA")</f>
        <v>NA</v>
      </c>
      <c r="AG46" s="28">
        <f t="shared" ref="AG46:AG57" si="28">IFERROR((J46+L46+N46+P46+R46+T46+V46+X46)/8, "NA")</f>
        <v>0</v>
      </c>
      <c r="AH46" s="23">
        <f>IFERROR(AG46/AG148, "NA")</f>
        <v>0</v>
      </c>
      <c r="AI46" s="29">
        <f t="shared" ref="AI46:AI57" si="29">IFERROR(X46-AG46, "NA")</f>
        <v>0</v>
      </c>
      <c r="AJ46" s="30">
        <f>IFERROR(AI46/AI148, "NA")</f>
        <v>0</v>
      </c>
      <c r="AK46" s="29" t="str">
        <f t="shared" ref="AK46:AK57" si="30">IFERROR((X46-AG46)/AG46, "NA")</f>
        <v>NA</v>
      </c>
      <c r="AL46" s="30" t="str">
        <f>IFERROR(AK46/AK148, "NA")</f>
        <v>NA</v>
      </c>
    </row>
    <row r="47" ht="16.5" customHeight="1">
      <c r="A47" s="19" t="s">
        <v>108</v>
      </c>
      <c r="B47" s="21">
        <v>44.0</v>
      </c>
      <c r="C47" s="23">
        <f>IFERROR(B47/B148, "NA")</f>
        <v>0.001650341414</v>
      </c>
      <c r="D47" s="21">
        <v>195.14</v>
      </c>
      <c r="E47" s="23">
        <f>IFERROR(D47/D148, "NA")</f>
        <v>0.007948957865</v>
      </c>
      <c r="F47" s="21">
        <v>225.21</v>
      </c>
      <c r="G47" s="23">
        <f>IFERROR(F47/F148, "NA")</f>
        <v>0.008984687612</v>
      </c>
      <c r="H47" s="21">
        <v>47.5</v>
      </c>
      <c r="I47" s="23">
        <f>IFERROR(H47/H148, "NA")</f>
        <v>0.002895428697</v>
      </c>
      <c r="J47" s="21">
        <v>9.24</v>
      </c>
      <c r="K47" s="23">
        <f>IFERROR(J47/J148, "NA")</f>
        <v>0.0003684670376</v>
      </c>
      <c r="L47" s="21">
        <v>92.41</v>
      </c>
      <c r="M47" s="23">
        <f>IFERROR(L47/L148, "NA")</f>
        <v>0.003451241734</v>
      </c>
      <c r="N47" s="21">
        <v>4.22</v>
      </c>
      <c r="O47" s="23">
        <f>IFERROR(N47/N148, "NA")</f>
        <v>0.0002019925464</v>
      </c>
      <c r="P47" s="21">
        <v>56.92</v>
      </c>
      <c r="Q47" s="23">
        <f>IFERROR(P47/P148, "NA")</f>
        <v>0.00384642415</v>
      </c>
      <c r="R47" s="21">
        <v>86.88</v>
      </c>
      <c r="S47" s="23">
        <f>IFERROR(R47/R148, "NA")</f>
        <v>0.005118540038</v>
      </c>
      <c r="T47" s="21">
        <v>27.8</v>
      </c>
      <c r="U47" s="23">
        <f>IFERROR(T47/T148, "NA")</f>
        <v>0.001360586834</v>
      </c>
      <c r="V47" s="21">
        <v>7.43</v>
      </c>
      <c r="W47" s="23">
        <f>IFERROR(V47/V148, "NA")</f>
        <v>0.0002525900681</v>
      </c>
      <c r="X47" s="21">
        <v>10.38</v>
      </c>
      <c r="Y47" s="23">
        <f>IFERROR(X47/X148, "NA")</f>
        <v>0.0004621249019</v>
      </c>
      <c r="Z47" s="21">
        <v>132.49</v>
      </c>
      <c r="AA47" s="23">
        <f>IFERROR(Z47/Z148, "NA")</f>
        <v>0.001483938763</v>
      </c>
      <c r="AB47" s="28">
        <f t="shared" si="25"/>
        <v>33.1225</v>
      </c>
      <c r="AC47" s="23">
        <f>IFERROR(AB47/AB148, "NA")</f>
        <v>0.001483938763</v>
      </c>
      <c r="AD47" s="29">
        <f t="shared" si="26"/>
        <v>-22.7425</v>
      </c>
      <c r="AE47" s="30">
        <f>IFERROR(AD47/AD148, "NA")</f>
        <v>-0.1615291736</v>
      </c>
      <c r="AF47" s="29">
        <f t="shared" si="27"/>
        <v>-0.686617858</v>
      </c>
      <c r="AG47" s="28">
        <f t="shared" si="28"/>
        <v>36.91</v>
      </c>
      <c r="AH47" s="23">
        <f>IFERROR(AG47/AG148, "NA")</f>
        <v>0.001669895652</v>
      </c>
      <c r="AI47" s="29">
        <f t="shared" si="29"/>
        <v>-26.53</v>
      </c>
      <c r="AJ47" s="30">
        <f>IFERROR(AI47/AI148, "NA")</f>
        <v>-0.07404771375</v>
      </c>
      <c r="AK47" s="29">
        <f t="shared" si="30"/>
        <v>-0.7187753996</v>
      </c>
      <c r="AL47" s="30">
        <f>IFERROR(AK47/AK148, "NA")</f>
        <v>-44.34271906</v>
      </c>
    </row>
    <row r="48" ht="16.5" customHeight="1">
      <c r="A48" s="19" t="s">
        <v>109</v>
      </c>
      <c r="B48" s="21">
        <v>0.0</v>
      </c>
      <c r="C48" s="23">
        <f>IFERROR(B48/B148, "NA")</f>
        <v>0</v>
      </c>
      <c r="D48" s="21">
        <v>0.0</v>
      </c>
      <c r="E48" s="23">
        <f>IFERROR(D48/D148, "NA")</f>
        <v>0</v>
      </c>
      <c r="F48" s="21">
        <v>0.0</v>
      </c>
      <c r="G48" s="23">
        <f>IFERROR(F48/F148, "NA")</f>
        <v>0</v>
      </c>
      <c r="H48" s="21">
        <v>0.0</v>
      </c>
      <c r="I48" s="23">
        <f>IFERROR(H48/H148, "NA")</f>
        <v>0</v>
      </c>
      <c r="J48" s="21">
        <v>0.0</v>
      </c>
      <c r="K48" s="23">
        <f>IFERROR(J48/J148, "NA")</f>
        <v>0</v>
      </c>
      <c r="L48" s="21">
        <v>5.83</v>
      </c>
      <c r="M48" s="23">
        <f>IFERROR(L48/L148, "NA")</f>
        <v>0.0002177333547</v>
      </c>
      <c r="N48" s="21">
        <v>0.0</v>
      </c>
      <c r="O48" s="23">
        <f>IFERROR(N48/N148, "NA")</f>
        <v>0</v>
      </c>
      <c r="P48" s="21">
        <v>0.0</v>
      </c>
      <c r="Q48" s="23">
        <f>IFERROR(P48/P148, "NA")</f>
        <v>0</v>
      </c>
      <c r="R48" s="21">
        <v>3.5</v>
      </c>
      <c r="S48" s="23">
        <f>IFERROR(R48/R148, "NA")</f>
        <v>0.0002062026949</v>
      </c>
      <c r="T48" s="21">
        <v>0.0</v>
      </c>
      <c r="U48" s="23">
        <f>IFERROR(T48/T148, "NA")</f>
        <v>0</v>
      </c>
      <c r="V48" s="21">
        <v>0.0</v>
      </c>
      <c r="W48" s="23">
        <f>IFERROR(V48/V148, "NA")</f>
        <v>0</v>
      </c>
      <c r="X48" s="21">
        <v>0.0</v>
      </c>
      <c r="Y48" s="23">
        <f>IFERROR(X48/X148, "NA")</f>
        <v>0</v>
      </c>
      <c r="Z48" s="21">
        <v>3.5</v>
      </c>
      <c r="AA48" s="23">
        <f>IFERROR(Z48/Z148, "NA")</f>
        <v>0.000039201341</v>
      </c>
      <c r="AB48" s="28">
        <f t="shared" si="25"/>
        <v>0.875</v>
      </c>
      <c r="AC48" s="23">
        <f>IFERROR(AB48/AB148, "NA")</f>
        <v>0.000039201341</v>
      </c>
      <c r="AD48" s="29">
        <f t="shared" si="26"/>
        <v>-0.875</v>
      </c>
      <c r="AE48" s="30">
        <f>IFERROR(AD48/AD148, "NA")</f>
        <v>-0.006214709329</v>
      </c>
      <c r="AF48" s="29">
        <f t="shared" si="27"/>
        <v>-1</v>
      </c>
      <c r="AG48" s="28">
        <f t="shared" si="28"/>
        <v>1.16625</v>
      </c>
      <c r="AH48" s="23">
        <f>IFERROR(AG48/AG148, "NA")</f>
        <v>0.00005276390691</v>
      </c>
      <c r="AI48" s="29">
        <f t="shared" si="29"/>
        <v>-1.16625</v>
      </c>
      <c r="AJ48" s="30">
        <f>IFERROR(AI48/AI148, "NA")</f>
        <v>-0.003255112935</v>
      </c>
      <c r="AK48" s="29">
        <f t="shared" si="30"/>
        <v>-1</v>
      </c>
      <c r="AL48" s="30">
        <f>IFERROR(AK48/AK148, "NA")</f>
        <v>-61.69203771</v>
      </c>
    </row>
    <row r="49" ht="16.5" customHeight="1">
      <c r="A49" s="19" t="s">
        <v>110</v>
      </c>
      <c r="B49" s="21">
        <v>0.0</v>
      </c>
      <c r="C49" s="23">
        <f>IFERROR(B49/B148, "NA")</f>
        <v>0</v>
      </c>
      <c r="D49" s="21">
        <v>0.0</v>
      </c>
      <c r="E49" s="23">
        <f>IFERROR(D49/D148, "NA")</f>
        <v>0</v>
      </c>
      <c r="F49" s="21">
        <v>0.0</v>
      </c>
      <c r="G49" s="23">
        <f>IFERROR(F49/F148, "NA")</f>
        <v>0</v>
      </c>
      <c r="H49" s="21">
        <v>0.0</v>
      </c>
      <c r="I49" s="23">
        <f>IFERROR(H49/H148, "NA")</f>
        <v>0</v>
      </c>
      <c r="J49" s="21">
        <v>0.0</v>
      </c>
      <c r="K49" s="23">
        <f>IFERROR(J49/J148, "NA")</f>
        <v>0</v>
      </c>
      <c r="L49" s="21">
        <v>0.0</v>
      </c>
      <c r="M49" s="23">
        <f>IFERROR(L49/L148, "NA")</f>
        <v>0</v>
      </c>
      <c r="N49" s="21">
        <v>0.0</v>
      </c>
      <c r="O49" s="23">
        <f>IFERROR(N49/N148, "NA")</f>
        <v>0</v>
      </c>
      <c r="P49" s="21">
        <v>1.4</v>
      </c>
      <c r="Q49" s="23">
        <f>IFERROR(P49/P148, "NA")</f>
        <v>0.00009460635647</v>
      </c>
      <c r="R49" s="21">
        <v>0.0</v>
      </c>
      <c r="S49" s="23">
        <f>IFERROR(R49/R148, "NA")</f>
        <v>0</v>
      </c>
      <c r="T49" s="21">
        <v>0.0</v>
      </c>
      <c r="U49" s="23">
        <f>IFERROR(T49/T148, "NA")</f>
        <v>0</v>
      </c>
      <c r="V49" s="21">
        <v>0.0</v>
      </c>
      <c r="W49" s="23">
        <f>IFERROR(V49/V148, "NA")</f>
        <v>0</v>
      </c>
      <c r="X49" s="21">
        <v>0.0</v>
      </c>
      <c r="Y49" s="23">
        <f>IFERROR(X49/X148, "NA")</f>
        <v>0</v>
      </c>
      <c r="Z49" s="21">
        <v>0.0</v>
      </c>
      <c r="AA49" s="23">
        <f>IFERROR(Z49/Z148, "NA")</f>
        <v>0</v>
      </c>
      <c r="AB49" s="28">
        <f t="shared" si="25"/>
        <v>0</v>
      </c>
      <c r="AC49" s="23">
        <f>IFERROR(AB49/AB148, "NA")</f>
        <v>0</v>
      </c>
      <c r="AD49" s="29">
        <f t="shared" si="26"/>
        <v>0</v>
      </c>
      <c r="AE49" s="30">
        <f>IFERROR(AD49/AD148, "NA")</f>
        <v>0</v>
      </c>
      <c r="AF49" s="29" t="str">
        <f t="shared" si="27"/>
        <v>NA</v>
      </c>
      <c r="AG49" s="28">
        <f t="shared" si="28"/>
        <v>0.175</v>
      </c>
      <c r="AH49" s="23">
        <f>IFERROR(AG49/AG148, "NA")</f>
        <v>0.000007917413684</v>
      </c>
      <c r="AI49" s="29">
        <f t="shared" si="29"/>
        <v>-0.175</v>
      </c>
      <c r="AJ49" s="30">
        <f>IFERROR(AI49/AI148, "NA")</f>
        <v>-0.0004884413835</v>
      </c>
      <c r="AK49" s="29">
        <f t="shared" si="30"/>
        <v>-1</v>
      </c>
      <c r="AL49" s="30">
        <f>IFERROR(AK49/AK148, "NA")</f>
        <v>-61.69203771</v>
      </c>
    </row>
    <row r="50" ht="16.5" hidden="1" customHeight="1">
      <c r="A50" s="19" t="s">
        <v>111</v>
      </c>
      <c r="B50" s="21">
        <v>0.0</v>
      </c>
      <c r="C50" s="23">
        <f>IFERROR(B50/B148, "NA")</f>
        <v>0</v>
      </c>
      <c r="D50" s="21">
        <v>0.0</v>
      </c>
      <c r="E50" s="23">
        <f>IFERROR(D50/D148, "NA")</f>
        <v>0</v>
      </c>
      <c r="F50" s="21">
        <v>0.0</v>
      </c>
      <c r="G50" s="23">
        <f>IFERROR(F50/F148, "NA")</f>
        <v>0</v>
      </c>
      <c r="H50" s="21">
        <v>0.0</v>
      </c>
      <c r="I50" s="23">
        <f>IFERROR(H50/H148, "NA")</f>
        <v>0</v>
      </c>
      <c r="J50" s="21">
        <v>0.0</v>
      </c>
      <c r="K50" s="23">
        <f>IFERROR(J50/J148, "NA")</f>
        <v>0</v>
      </c>
      <c r="L50" s="21">
        <v>0.0</v>
      </c>
      <c r="M50" s="23">
        <f>IFERROR(L50/L148, "NA")</f>
        <v>0</v>
      </c>
      <c r="N50" s="21">
        <v>0.0</v>
      </c>
      <c r="O50" s="23">
        <f>IFERROR(N50/N148, "NA")</f>
        <v>0</v>
      </c>
      <c r="P50" s="21">
        <v>0.0</v>
      </c>
      <c r="Q50" s="23">
        <f>IFERROR(P50/P148, "NA")</f>
        <v>0</v>
      </c>
      <c r="R50" s="21">
        <v>0.0</v>
      </c>
      <c r="S50" s="23">
        <f>IFERROR(R50/R148, "NA")</f>
        <v>0</v>
      </c>
      <c r="T50" s="21">
        <v>0.0</v>
      </c>
      <c r="U50" s="23">
        <f>IFERROR(T50/T148, "NA")</f>
        <v>0</v>
      </c>
      <c r="V50" s="21">
        <v>0.0</v>
      </c>
      <c r="W50" s="23">
        <f>IFERROR(V50/V148, "NA")</f>
        <v>0</v>
      </c>
      <c r="X50" s="21">
        <v>0.0</v>
      </c>
      <c r="Y50" s="23">
        <f>IFERROR(X50/X148, "NA")</f>
        <v>0</v>
      </c>
      <c r="Z50" s="21">
        <v>0.0</v>
      </c>
      <c r="AA50" s="23">
        <f>IFERROR(Z50/Z148, "NA")</f>
        <v>0</v>
      </c>
      <c r="AB50" s="28">
        <f t="shared" si="25"/>
        <v>0</v>
      </c>
      <c r="AC50" s="23">
        <f>IFERROR(AB50/AB148, "NA")</f>
        <v>0</v>
      </c>
      <c r="AD50" s="29">
        <f t="shared" si="26"/>
        <v>0</v>
      </c>
      <c r="AE50" s="30">
        <f>IFERROR(AD50/AD148, "NA")</f>
        <v>0</v>
      </c>
      <c r="AF50" s="29" t="str">
        <f t="shared" si="27"/>
        <v>NA</v>
      </c>
      <c r="AG50" s="28">
        <f t="shared" si="28"/>
        <v>0</v>
      </c>
      <c r="AH50" s="23">
        <f>IFERROR(AG50/AG148, "NA")</f>
        <v>0</v>
      </c>
      <c r="AI50" s="29">
        <f t="shared" si="29"/>
        <v>0</v>
      </c>
      <c r="AJ50" s="30">
        <f>IFERROR(AI50/AI148, "NA")</f>
        <v>0</v>
      </c>
      <c r="AK50" s="29" t="str">
        <f t="shared" si="30"/>
        <v>NA</v>
      </c>
      <c r="AL50" s="30" t="str">
        <f>IFERROR(AK50/AK148, "NA")</f>
        <v>NA</v>
      </c>
    </row>
    <row r="51" ht="16.5" hidden="1" customHeight="1">
      <c r="A51" s="19" t="s">
        <v>112</v>
      </c>
      <c r="B51" s="21">
        <v>0.0</v>
      </c>
      <c r="C51" s="23">
        <f>IFERROR(B51/B148, "NA")</f>
        <v>0</v>
      </c>
      <c r="D51" s="21">
        <v>0.0</v>
      </c>
      <c r="E51" s="23">
        <f>IFERROR(D51/D148, "NA")</f>
        <v>0</v>
      </c>
      <c r="F51" s="21">
        <v>0.0</v>
      </c>
      <c r="G51" s="23">
        <f>IFERROR(F51/F148, "NA")</f>
        <v>0</v>
      </c>
      <c r="H51" s="21">
        <v>0.0</v>
      </c>
      <c r="I51" s="23">
        <f>IFERROR(H51/H148, "NA")</f>
        <v>0</v>
      </c>
      <c r="J51" s="21">
        <v>0.0</v>
      </c>
      <c r="K51" s="23">
        <f>IFERROR(J51/J148, "NA")</f>
        <v>0</v>
      </c>
      <c r="L51" s="21">
        <v>0.0</v>
      </c>
      <c r="M51" s="23">
        <f>IFERROR(L51/L148, "NA")</f>
        <v>0</v>
      </c>
      <c r="N51" s="21">
        <v>0.0</v>
      </c>
      <c r="O51" s="23">
        <f>IFERROR(N51/N148, "NA")</f>
        <v>0</v>
      </c>
      <c r="P51" s="21">
        <v>0.0</v>
      </c>
      <c r="Q51" s="23">
        <f>IFERROR(P51/P148, "NA")</f>
        <v>0</v>
      </c>
      <c r="R51" s="21">
        <v>0.0</v>
      </c>
      <c r="S51" s="23">
        <f>IFERROR(R51/R148, "NA")</f>
        <v>0</v>
      </c>
      <c r="T51" s="21">
        <v>0.0</v>
      </c>
      <c r="U51" s="23">
        <f>IFERROR(T51/T148, "NA")</f>
        <v>0</v>
      </c>
      <c r="V51" s="21">
        <v>0.0</v>
      </c>
      <c r="W51" s="23">
        <f>IFERROR(V51/V148, "NA")</f>
        <v>0</v>
      </c>
      <c r="X51" s="21">
        <v>0.0</v>
      </c>
      <c r="Y51" s="23">
        <f>IFERROR(X51/X148, "NA")</f>
        <v>0</v>
      </c>
      <c r="Z51" s="21">
        <v>0.0</v>
      </c>
      <c r="AA51" s="23">
        <f>IFERROR(Z51/Z148, "NA")</f>
        <v>0</v>
      </c>
      <c r="AB51" s="28">
        <f t="shared" si="25"/>
        <v>0</v>
      </c>
      <c r="AC51" s="23">
        <f>IFERROR(AB51/AB148, "NA")</f>
        <v>0</v>
      </c>
      <c r="AD51" s="29">
        <f t="shared" si="26"/>
        <v>0</v>
      </c>
      <c r="AE51" s="30">
        <f>IFERROR(AD51/AD148, "NA")</f>
        <v>0</v>
      </c>
      <c r="AF51" s="29" t="str">
        <f t="shared" si="27"/>
        <v>NA</v>
      </c>
      <c r="AG51" s="28">
        <f t="shared" si="28"/>
        <v>0</v>
      </c>
      <c r="AH51" s="23">
        <f>IFERROR(AG51/AG148, "NA")</f>
        <v>0</v>
      </c>
      <c r="AI51" s="29">
        <f t="shared" si="29"/>
        <v>0</v>
      </c>
      <c r="AJ51" s="30">
        <f>IFERROR(AI51/AI148, "NA")</f>
        <v>0</v>
      </c>
      <c r="AK51" s="29" t="str">
        <f t="shared" si="30"/>
        <v>NA</v>
      </c>
      <c r="AL51" s="30" t="str">
        <f>IFERROR(AK51/AK148, "NA")</f>
        <v>NA</v>
      </c>
    </row>
    <row r="52" ht="16.5" customHeight="1">
      <c r="A52" s="65" t="s">
        <v>113</v>
      </c>
      <c r="B52" s="66">
        <f>IFERROR(B46+B47+B48+B49+B50+B51, "NA")</f>
        <v>44</v>
      </c>
      <c r="C52" s="67">
        <f>IFERROR(B52/B148, "NA")</f>
        <v>0.001650341414</v>
      </c>
      <c r="D52" s="66">
        <f>IFERROR(D46+D47+D48+D49+D50+D51, "NA")</f>
        <v>195.14</v>
      </c>
      <c r="E52" s="67">
        <f>IFERROR(D52/D148, "NA")</f>
        <v>0.007948957865</v>
      </c>
      <c r="F52" s="66">
        <f>IFERROR(F46+F47+F48+F49+F50+F51, "NA")</f>
        <v>225.21</v>
      </c>
      <c r="G52" s="67">
        <f>IFERROR(F52/F148, "NA")</f>
        <v>0.008984687612</v>
      </c>
      <c r="H52" s="66">
        <f>IFERROR(H46+H47+H48+H49+H50+H51, "NA")</f>
        <v>47.5</v>
      </c>
      <c r="I52" s="67">
        <f>IFERROR(H52/H148, "NA")</f>
        <v>0.002895428697</v>
      </c>
      <c r="J52" s="66">
        <f>IFERROR(J46+J47+J48+J49+J50+J51, "NA")</f>
        <v>9.24</v>
      </c>
      <c r="K52" s="67">
        <f>IFERROR(J52/J148, "NA")</f>
        <v>0.0003684670376</v>
      </c>
      <c r="L52" s="66">
        <f>IFERROR(L46+L47+L48+L49+L50+L51, "NA")</f>
        <v>98.24</v>
      </c>
      <c r="M52" s="67">
        <f>IFERROR(L52/L148, "NA")</f>
        <v>0.003668975088</v>
      </c>
      <c r="N52" s="66">
        <f>IFERROR(N46+N47+N48+N49+N50+N51, "NA")</f>
        <v>4.22</v>
      </c>
      <c r="O52" s="67">
        <f>IFERROR(N52/N148, "NA")</f>
        <v>0.0002019925464</v>
      </c>
      <c r="P52" s="66">
        <f>IFERROR(P46+P47+P48+P49+P50+P51, "NA")</f>
        <v>58.32</v>
      </c>
      <c r="Q52" s="67">
        <f>IFERROR(P52/P148, "NA")</f>
        <v>0.003941030506</v>
      </c>
      <c r="R52" s="66">
        <f>IFERROR(R46+R47+R48+R49+R50+R51, "NA")</f>
        <v>90.38</v>
      </c>
      <c r="S52" s="67">
        <f>IFERROR(R52/R148, "NA")</f>
        <v>0.005324742733</v>
      </c>
      <c r="T52" s="66">
        <f>IFERROR(T46+T47+T48+T49+T50+T51, "NA")</f>
        <v>27.8</v>
      </c>
      <c r="U52" s="67">
        <f>IFERROR(T52/T148, "NA")</f>
        <v>0.001360586834</v>
      </c>
      <c r="V52" s="66">
        <f>IFERROR(V46+V47+V48+V49+V50+V51, "NA")</f>
        <v>7.43</v>
      </c>
      <c r="W52" s="67">
        <f>IFERROR(V52/V148, "NA")</f>
        <v>0.0002525900681</v>
      </c>
      <c r="X52" s="66">
        <f>IFERROR(X46+X47+X48+X49+X50+X51, "NA")</f>
        <v>10.38</v>
      </c>
      <c r="Y52" s="67">
        <f>IFERROR(X52/X148, "NA")</f>
        <v>0.0004621249019</v>
      </c>
      <c r="Z52" s="66">
        <f>IFERROR(Z46+Z47+Z48+Z49+Z50+Z51, "NA")</f>
        <v>135.99</v>
      </c>
      <c r="AA52" s="67">
        <f>IFERROR(Z52/Z148, "NA")</f>
        <v>0.001523140104</v>
      </c>
      <c r="AB52" s="66">
        <f t="shared" si="25"/>
        <v>33.9975</v>
      </c>
      <c r="AC52" s="67">
        <f>IFERROR(AB52/AB148, "NA")</f>
        <v>0.001523140104</v>
      </c>
      <c r="AD52" s="75">
        <f t="shared" si="26"/>
        <v>-23.6175</v>
      </c>
      <c r="AE52" s="76">
        <f>IFERROR(AD52/AD148, "NA")</f>
        <v>-0.167743883</v>
      </c>
      <c r="AF52" s="75">
        <f t="shared" si="27"/>
        <v>-0.6946834326</v>
      </c>
      <c r="AG52" s="66">
        <f t="shared" si="28"/>
        <v>38.25125</v>
      </c>
      <c r="AH52" s="67">
        <f>IFERROR(AG52/AG148, "NA")</f>
        <v>0.001730576972</v>
      </c>
      <c r="AI52" s="75">
        <f t="shared" si="29"/>
        <v>-27.87125</v>
      </c>
      <c r="AJ52" s="76">
        <f>IFERROR(AI52/AI148, "NA")</f>
        <v>-0.07779126806</v>
      </c>
      <c r="AK52" s="75">
        <f t="shared" si="30"/>
        <v>-0.7286363191</v>
      </c>
      <c r="AL52" s="76">
        <f>IFERROR(AK52/AK148, "NA")</f>
        <v>-44.95105927</v>
      </c>
    </row>
    <row r="53" ht="16.5" customHeight="1">
      <c r="A53" s="19" t="s">
        <v>114</v>
      </c>
      <c r="B53" s="21">
        <v>13.73</v>
      </c>
      <c r="C53" s="23">
        <f>IFERROR(B53/B148, "NA")</f>
        <v>0.0005149815368</v>
      </c>
      <c r="D53" s="21">
        <v>22.9</v>
      </c>
      <c r="E53" s="23">
        <f>IFERROR(D53/D148, "NA")</f>
        <v>0.0009328232813</v>
      </c>
      <c r="F53" s="21">
        <v>52.82</v>
      </c>
      <c r="G53" s="23">
        <f>IFERROR(F53/F148, "NA")</f>
        <v>0.002107238576</v>
      </c>
      <c r="H53" s="21">
        <v>16.3</v>
      </c>
      <c r="I53" s="23">
        <f>IFERROR(H53/H148, "NA")</f>
        <v>0.0009935892161</v>
      </c>
      <c r="J53" s="21">
        <v>25.43</v>
      </c>
      <c r="K53" s="23">
        <f>IFERROR(J53/J148, "NA")</f>
        <v>0.001014081901</v>
      </c>
      <c r="L53" s="21">
        <v>25.94</v>
      </c>
      <c r="M53" s="23">
        <f>IFERROR(L53/L148, "NA")</f>
        <v>0.0009687827137</v>
      </c>
      <c r="N53" s="21">
        <v>24.22</v>
      </c>
      <c r="O53" s="23">
        <f>IFERROR(N53/N148, "NA")</f>
        <v>0.001159303193</v>
      </c>
      <c r="P53" s="21">
        <v>9.35</v>
      </c>
      <c r="Q53" s="23">
        <f>IFERROR(P53/P148, "NA")</f>
        <v>0.0006318353093</v>
      </c>
      <c r="R53" s="21">
        <v>63.52</v>
      </c>
      <c r="S53" s="23">
        <f>IFERROR(R53/R148, "NA")</f>
        <v>0.003742284337</v>
      </c>
      <c r="T53" s="21">
        <v>14.74</v>
      </c>
      <c r="U53" s="23">
        <f>IFERROR(T53/T148, "NA")</f>
        <v>0.0007214046738</v>
      </c>
      <c r="V53" s="21">
        <v>23.72</v>
      </c>
      <c r="W53" s="23">
        <f>IFERROR(V53/V148, "NA")</f>
        <v>0.0008063844434</v>
      </c>
      <c r="X53" s="21">
        <v>24.4</v>
      </c>
      <c r="Y53" s="23">
        <f>IFERROR(X53/X148, "NA")</f>
        <v>0.001086305164</v>
      </c>
      <c r="Z53" s="21">
        <v>126.38</v>
      </c>
      <c r="AA53" s="23">
        <f>IFERROR(Z53/Z148, "NA")</f>
        <v>0.001415504422</v>
      </c>
      <c r="AB53" s="28">
        <f t="shared" si="25"/>
        <v>31.595</v>
      </c>
      <c r="AC53" s="23">
        <f>IFERROR(AB53/AB148, "NA")</f>
        <v>0.001415504422</v>
      </c>
      <c r="AD53" s="29">
        <f t="shared" si="26"/>
        <v>-7.195</v>
      </c>
      <c r="AE53" s="30">
        <f>IFERROR(AD53/AD148, "NA")</f>
        <v>-0.051102667</v>
      </c>
      <c r="AF53" s="29">
        <f t="shared" si="27"/>
        <v>-0.227725906</v>
      </c>
      <c r="AG53" s="28">
        <f t="shared" si="28"/>
        <v>26.415</v>
      </c>
      <c r="AH53" s="23">
        <f>IFERROR(AG53/AG148, "NA")</f>
        <v>0.001195077043</v>
      </c>
      <c r="AI53" s="29">
        <f t="shared" si="29"/>
        <v>-2.015</v>
      </c>
      <c r="AJ53" s="30">
        <f>IFERROR(AI53/AI148, "NA")</f>
        <v>-0.005624053645</v>
      </c>
      <c r="AK53" s="29">
        <f t="shared" si="30"/>
        <v>-0.07628241529</v>
      </c>
      <c r="AL53" s="30">
        <f>IFERROR(AK53/AK148, "NA")</f>
        <v>-4.706017641</v>
      </c>
    </row>
    <row r="54" ht="16.5" customHeight="1">
      <c r="A54" s="19" t="s">
        <v>115</v>
      </c>
      <c r="B54" s="21">
        <v>9.31</v>
      </c>
      <c r="C54" s="23">
        <f>IFERROR(B54/B148, "NA")</f>
        <v>0.0003491972402</v>
      </c>
      <c r="D54" s="21">
        <v>6.0</v>
      </c>
      <c r="E54" s="23">
        <f>IFERROR(D54/D148, "NA")</f>
        <v>0.0002444078466</v>
      </c>
      <c r="F54" s="21">
        <v>6.0</v>
      </c>
      <c r="G54" s="23">
        <f>IFERROR(F54/F148, "NA")</f>
        <v>0.0002393682593</v>
      </c>
      <c r="H54" s="21">
        <v>6.0</v>
      </c>
      <c r="I54" s="23">
        <f>IFERROR(H54/H148, "NA")</f>
        <v>0.0003657383617</v>
      </c>
      <c r="J54" s="21">
        <v>9.31</v>
      </c>
      <c r="K54" s="23">
        <f>IFERROR(J54/J148, "NA")</f>
        <v>0.0003712584545</v>
      </c>
      <c r="L54" s="21">
        <v>9.0</v>
      </c>
      <c r="M54" s="23">
        <f>IFERROR(L54/L148, "NA")</f>
        <v>0.0003361235321</v>
      </c>
      <c r="N54" s="21">
        <v>6.0</v>
      </c>
      <c r="O54" s="23">
        <f>IFERROR(N54/N148, "NA")</f>
        <v>0.0002871931939</v>
      </c>
      <c r="P54" s="21">
        <v>3.0</v>
      </c>
      <c r="Q54" s="23">
        <f>IFERROR(P54/P148, "NA")</f>
        <v>0.0002027279067</v>
      </c>
      <c r="R54" s="21">
        <v>9.0</v>
      </c>
      <c r="S54" s="23">
        <f>IFERROR(R54/R148, "NA")</f>
        <v>0.0005302355012</v>
      </c>
      <c r="T54" s="21">
        <v>3.0</v>
      </c>
      <c r="U54" s="23">
        <f>IFERROR(T54/T148, "NA")</f>
        <v>0.0001468259173</v>
      </c>
      <c r="V54" s="21">
        <v>6.0</v>
      </c>
      <c r="W54" s="23">
        <f>IFERROR(V54/V148, "NA")</f>
        <v>0.0002039758289</v>
      </c>
      <c r="X54" s="21">
        <v>9.31</v>
      </c>
      <c r="Y54" s="23">
        <f>IFERROR(X54/X148, "NA")</f>
        <v>0.0004144877492</v>
      </c>
      <c r="Z54" s="21">
        <v>27.31</v>
      </c>
      <c r="AA54" s="23">
        <f>IFERROR(Z54/Z148, "NA")</f>
        <v>0.0003058824636</v>
      </c>
      <c r="AB54" s="28">
        <f t="shared" si="25"/>
        <v>6.8275</v>
      </c>
      <c r="AC54" s="23">
        <f>IFERROR(AB54/AB148, "NA")</f>
        <v>0.0003058824636</v>
      </c>
      <c r="AD54" s="29">
        <f t="shared" si="26"/>
        <v>2.4825</v>
      </c>
      <c r="AE54" s="30">
        <f>IFERROR(AD54/AD148, "NA")</f>
        <v>0.01763201818</v>
      </c>
      <c r="AF54" s="29">
        <f t="shared" si="27"/>
        <v>0.3636030758</v>
      </c>
      <c r="AG54" s="28">
        <f t="shared" si="28"/>
        <v>6.8275</v>
      </c>
      <c r="AH54" s="23">
        <f>IFERROR(AG54/AG148, "NA")</f>
        <v>0.0003088922396</v>
      </c>
      <c r="AI54" s="29">
        <f t="shared" si="29"/>
        <v>2.4825</v>
      </c>
      <c r="AJ54" s="30">
        <f>IFERROR(AI54/AI148, "NA")</f>
        <v>0.006928889912</v>
      </c>
      <c r="AK54" s="29">
        <f t="shared" si="30"/>
        <v>0.3636030758</v>
      </c>
      <c r="AL54" s="30">
        <f>IFERROR(AK54/AK148, "NA")</f>
        <v>22.43141466</v>
      </c>
    </row>
    <row r="55" ht="16.5" customHeight="1">
      <c r="A55" s="19" t="s">
        <v>116</v>
      </c>
      <c r="B55" s="21">
        <v>-291.98</v>
      </c>
      <c r="C55" s="23">
        <f>IFERROR(B55/B148, "NA")</f>
        <v>-0.01095151559</v>
      </c>
      <c r="D55" s="21">
        <v>-307.22</v>
      </c>
      <c r="E55" s="23">
        <f>IFERROR(D55/D148, "NA")</f>
        <v>-0.01251449644</v>
      </c>
      <c r="F55" s="21">
        <v>-373.01</v>
      </c>
      <c r="G55" s="23">
        <f>IFERROR(F55/F148, "NA")</f>
        <v>-0.01488112573</v>
      </c>
      <c r="H55" s="21">
        <v>-220.46</v>
      </c>
      <c r="I55" s="23">
        <f>IFERROR(H55/H148, "NA")</f>
        <v>-0.01343844654</v>
      </c>
      <c r="J55" s="21">
        <v>-786.77</v>
      </c>
      <c r="K55" s="23">
        <f>IFERROR(J55/J148, "NA")</f>
        <v>-0.03137433021</v>
      </c>
      <c r="L55" s="21">
        <v>-422.19</v>
      </c>
      <c r="M55" s="23">
        <f>IFERROR(L55/L148, "NA")</f>
        <v>-0.01576755489</v>
      </c>
      <c r="N55" s="21">
        <v>-368.84</v>
      </c>
      <c r="O55" s="23">
        <f>IFERROR(N55/N148, "NA")</f>
        <v>-0.01765472294</v>
      </c>
      <c r="P55" s="21">
        <v>-250.82</v>
      </c>
      <c r="Q55" s="23">
        <f>IFERROR(P55/P148, "NA")</f>
        <v>-0.01694940452</v>
      </c>
      <c r="R55" s="21">
        <v>-204.78</v>
      </c>
      <c r="S55" s="23">
        <f>IFERROR(R55/R148, "NA")</f>
        <v>-0.0120646251</v>
      </c>
      <c r="T55" s="21">
        <v>-524.65</v>
      </c>
      <c r="U55" s="23">
        <f>IFERROR(T55/T148, "NA")</f>
        <v>-0.02567740584</v>
      </c>
      <c r="V55" s="21">
        <v>-247.2</v>
      </c>
      <c r="W55" s="23">
        <f>IFERROR(V55/V148, "NA")</f>
        <v>-0.008403804149</v>
      </c>
      <c r="X55" s="21">
        <v>-243.35</v>
      </c>
      <c r="Y55" s="23">
        <f>IFERROR(X55/X148, "NA")</f>
        <v>-0.01083411319</v>
      </c>
      <c r="Z55" s="21">
        <v>-1219.98</v>
      </c>
      <c r="AA55" s="23">
        <f>IFERROR(Z55/Z148, "NA")</f>
        <v>-0.01366424343</v>
      </c>
      <c r="AB55" s="28">
        <f t="shared" si="25"/>
        <v>-304.995</v>
      </c>
      <c r="AC55" s="23">
        <f>IFERROR(AB55/AB148, "NA")</f>
        <v>-0.01366424343</v>
      </c>
      <c r="AD55" s="29">
        <f t="shared" si="26"/>
        <v>61.645</v>
      </c>
      <c r="AE55" s="30">
        <f>IFERROR(AD55/AD148, "NA")</f>
        <v>0.4378351504</v>
      </c>
      <c r="AF55" s="29">
        <f t="shared" si="27"/>
        <v>-0.2021180675</v>
      </c>
      <c r="AG55" s="28">
        <f t="shared" si="28"/>
        <v>-381.075</v>
      </c>
      <c r="AH55" s="23">
        <f>IFERROR(AG55/AG148, "NA")</f>
        <v>-0.01724073383</v>
      </c>
      <c r="AI55" s="29">
        <f t="shared" si="29"/>
        <v>137.725</v>
      </c>
      <c r="AJ55" s="30">
        <f>IFERROR(AI55/AI148, "NA")</f>
        <v>0.3844033689</v>
      </c>
      <c r="AK55" s="29">
        <f t="shared" si="30"/>
        <v>-0.3614117956</v>
      </c>
      <c r="AL55" s="30">
        <f>IFERROR(AK55/AK148, "NA")</f>
        <v>-22.29623012</v>
      </c>
    </row>
    <row r="56" ht="16.5" customHeight="1">
      <c r="A56" s="65" t="s">
        <v>117</v>
      </c>
      <c r="B56" s="66">
        <f>IFERROR(B37+B39+B40+B41+B42+B43+B46+B47+B48+B49+B50+B51+B53+B54+B55, "NA")</f>
        <v>734.1</v>
      </c>
      <c r="C56" s="67">
        <f>IFERROR(B56/B148, "NA")</f>
        <v>0.02753444619</v>
      </c>
      <c r="D56" s="66">
        <f>IFERROR(D37+D39+D40+D41+D42+D43+D46+D47+D48+D49+D50+D51+D53+D54+D55, "NA")</f>
        <v>995.84</v>
      </c>
      <c r="E56" s="67">
        <f>IFERROR(D56/D148, "NA")</f>
        <v>0.040565185</v>
      </c>
      <c r="F56" s="66">
        <f>IFERROR(F37+F39+F40+F41+F42+F43+F46+F47+F48+F49+F50+F51+F53+F54+F55, "NA")</f>
        <v>669.37</v>
      </c>
      <c r="G56" s="67">
        <f>IFERROR(F56/F148, "NA")</f>
        <v>0.02670432195</v>
      </c>
      <c r="H56" s="66">
        <f>IFERROR(H37+H39+H40+H41+H42+H43+H46+H47+H48+H49+H50+H51+H53+H54+H55, "NA")</f>
        <v>453.86</v>
      </c>
      <c r="I56" s="67">
        <f>IFERROR(H56/H148, "NA")</f>
        <v>0.02766566881</v>
      </c>
      <c r="J56" s="66">
        <f>IFERROR(J37+J39+J40+J41+J42+J43+J46+J47+J48+J49+J50+J51+J53+J54+J55, "NA")</f>
        <v>764.78</v>
      </c>
      <c r="K56" s="67">
        <f>IFERROR(J56/J148, "NA")</f>
        <v>0.03049742651</v>
      </c>
      <c r="L56" s="66">
        <f>IFERROR(L37+L39+L40+L41+L42+L43+L46+L47+L48+L49+L50+L51+L53+L54+L55, "NA")</f>
        <v>774.9</v>
      </c>
      <c r="M56" s="67">
        <f>IFERROR(L56/L148, "NA")</f>
        <v>0.02894023612</v>
      </c>
      <c r="N56" s="66">
        <f>IFERROR(N37+N39+N40+N41+N42+N43+N46+N47+N48+N49+N50+N51+N53+N54+N55, "NA")</f>
        <v>696.33</v>
      </c>
      <c r="O56" s="67">
        <f>IFERROR(N56/N148, "NA")</f>
        <v>0.03333020612</v>
      </c>
      <c r="P56" s="66">
        <f>IFERROR(P37+P39+P40+P41+P42+P43+P46+P47+P48+P49+P50+P51+P53+P54+P55, "NA")</f>
        <v>350.33</v>
      </c>
      <c r="Q56" s="67">
        <f>IFERROR(P56/P148, "NA")</f>
        <v>0.02367388919</v>
      </c>
      <c r="R56" s="66">
        <f>IFERROR(R37+R39+R40+R41+R42+R43+R46+R47+R48+R49+R50+R51+R53+R54+R55, "NA")</f>
        <v>576.33</v>
      </c>
      <c r="S56" s="67">
        <f>IFERROR(R56/R148, "NA")</f>
        <v>0.03395451404</v>
      </c>
      <c r="T56" s="66">
        <f>IFERROR(T37+T39+T40+T41+T42+T43+T46+T47+T48+T49+T50+T51+T53+T54+T55, "NA")</f>
        <v>769.16</v>
      </c>
      <c r="U56" s="67">
        <f>IFERROR(T56/T148, "NA")</f>
        <v>0.03764420752</v>
      </c>
      <c r="V56" s="66">
        <f>IFERROR(V37+V39+V40+V41+V42+V43+V46+V47+V48+V49+V50+V51+V53+V54+V55, "NA")</f>
        <v>809.36</v>
      </c>
      <c r="W56" s="67">
        <f>IFERROR(V56/V148, "NA")</f>
        <v>0.02751497947</v>
      </c>
      <c r="X56" s="66">
        <f>IFERROR(X37+X39+X40+X41+X42+X43+X46+X47+X48+X49+X50+X51+X53+X54+X55, "NA")</f>
        <v>784.06</v>
      </c>
      <c r="Y56" s="67">
        <f>IFERROR(X56/X148, "NA")</f>
        <v>0.03490690276</v>
      </c>
      <c r="Z56" s="66">
        <f>IFERROR(Z37+Z39+Z40+Z41+Z42+Z43+Z46+Z47+Z48+Z49+Z50+Z51+Z53+Z54+Z55, "NA")</f>
        <v>2938.91</v>
      </c>
      <c r="AA56" s="67">
        <f>IFERROR(Z56/Z148, "NA")</f>
        <v>0.03291691802</v>
      </c>
      <c r="AB56" s="66">
        <f t="shared" si="25"/>
        <v>734.7275</v>
      </c>
      <c r="AC56" s="67">
        <f>IFERROR(AB56/AB148, "NA")</f>
        <v>0.03291691802</v>
      </c>
      <c r="AD56" s="75">
        <f t="shared" si="26"/>
        <v>49.3325</v>
      </c>
      <c r="AE56" s="76">
        <f>IFERROR(AD56/AD148, "NA")</f>
        <v>0.350385312</v>
      </c>
      <c r="AF56" s="75">
        <f t="shared" si="27"/>
        <v>0.06714394112</v>
      </c>
      <c r="AG56" s="66">
        <f t="shared" si="28"/>
        <v>690.65625</v>
      </c>
      <c r="AH56" s="67">
        <f>IFERROR(AG56/AG148, "NA")</f>
        <v>0.0312469214</v>
      </c>
      <c r="AI56" s="75">
        <f t="shared" si="29"/>
        <v>93.40375</v>
      </c>
      <c r="AJ56" s="76">
        <f>IFERROR(AI56/AI148, "NA")</f>
        <v>0.2606986107</v>
      </c>
      <c r="AK56" s="75">
        <f t="shared" si="30"/>
        <v>0.1352391295</v>
      </c>
      <c r="AL56" s="76">
        <f>IFERROR(AK56/AK148, "NA")</f>
        <v>8.343177474</v>
      </c>
    </row>
    <row r="57" ht="16.5" customHeight="1">
      <c r="A57" s="65" t="s">
        <v>55</v>
      </c>
      <c r="B57" s="118">
        <f>IFERROR(B13+B15+B16+B17+B18+B19+B20+B21+B22+B23+B24+B25+B26+B29+B30+B31+B32+B33+B37+B39+B40+B41+B42+B43+B46+B47+B48+B49+B50+B51+B53+B54+B55, "NA")</f>
        <v>7034.54</v>
      </c>
      <c r="C57" s="92">
        <f>IFERROR(B57/B148, "NA")</f>
        <v>0.2638498339</v>
      </c>
      <c r="D57" s="118">
        <f>IFERROR(D13+D15+D16+D17+D18+D19+D20+D21+D22+D23+D24+D25+D26+D29+D30+D31+D32+D33+D37+D39+D40+D41+D42+D43+D46+D47+D48+D49+D50+D51+D53+D54+D55, "NA")</f>
        <v>8089.94</v>
      </c>
      <c r="E57" s="92">
        <f>IFERROR(D57/D148, "NA")</f>
        <v>0.3295408025</v>
      </c>
      <c r="F57" s="118">
        <f>IFERROR(F13+F15+F16+F17+F18+F19+F20+F21+F22+F23+F24+F25+F26+F29+F30+F31+F32+F33+F37+F39+F40+F41+F42+F43+F46+F47+F48+F49+F50+F51+F53+F54+F55, "NA")</f>
        <v>6745.93</v>
      </c>
      <c r="G57" s="92">
        <f>IFERROR(F57/F148, "NA")</f>
        <v>0.2691269202</v>
      </c>
      <c r="H57" s="118">
        <f>IFERROR(H13+H15+H16+H17+H18+H19+H20+H21+H22+H23+H24+H25+H26+H29+H30+H31+H32+H33+H37+H39+H40+H41+H42+H43+H46+H47+H48+H49+H50+H51+H53+H54+H55, "NA")</f>
        <v>4780.07</v>
      </c>
      <c r="I57" s="92">
        <f>IFERROR(H57/H148, "NA")</f>
        <v>0.2913758285</v>
      </c>
      <c r="J57" s="118">
        <f>IFERROR(J13+J15+J16+J17+J18+J19+J20+J21+J22+J23+J24+J25+J26+J29+J30+J31+J32+J33+J37+J39+J40+J41+J42+J43+J46+J47+J48+J49+J50+J51+J53+J54+J55, "NA")</f>
        <v>7109.53</v>
      </c>
      <c r="K57" s="92">
        <f>IFERROR(J57/J148, "NA")</f>
        <v>0.2835094651</v>
      </c>
      <c r="L57" s="118">
        <f>IFERROR(L13+L15+L16+L17+L18+L19+L20+L21+L22+L23+L24+L25+L26+L29+L30+L31+L32+L33+L37+L39+L40+L41+L42+L43+L46+L47+L48+L49+L50+L51+L53+L54+L55, "NA")</f>
        <v>7288.5</v>
      </c>
      <c r="M57" s="92">
        <f>IFERROR(L57/L148, "NA")</f>
        <v>0.2722040404</v>
      </c>
      <c r="N57" s="118">
        <f>IFERROR(N13+N15+N16+N17+N18+N19+N20+N21+N22+N23+N24+N25+N26+N29+N30+N31+N32+N33+N37+N39+N40+N41+N42+N43+N46+N47+N48+N49+N50+N51+N53+N54+N55, "NA")</f>
        <v>6665.39</v>
      </c>
      <c r="O57" s="92">
        <f>IFERROR(N57/N148, "NA")</f>
        <v>0.3190424405</v>
      </c>
      <c r="P57" s="118">
        <f>IFERROR(P13+P15+P16+P17+P18+P19+P20+P21+P22+P23+P24+P25+P26+P29+P30+P31+P32+P33+P37+P39+P40+P41+P42+P43+P46+P47+P48+P49+P50+P51+P53+P54+P55, "NA")</f>
        <v>4269.29</v>
      </c>
      <c r="Q57" s="92">
        <f>IFERROR(P57/P148, "NA")</f>
        <v>0.2885014083</v>
      </c>
      <c r="R57" s="118">
        <f>IFERROR(R13+R15+R16+R17+R18+R19+R20+R21+R22+R23+R24+R25+R26+R29+R30+R31+R32+R33+R37+R39+R40+R41+R42+R43+R46+R47+R48+R49+R50+R51+R53+R54+R55, "NA")</f>
        <v>5582.39</v>
      </c>
      <c r="S57" s="92">
        <f>IFERROR(R57/R148, "NA")</f>
        <v>0.3288868177</v>
      </c>
      <c r="T57" s="118">
        <f>IFERROR(T13+T15+T16+T17+T18+T19+T20+T21+T22+T23+T24+T25+T26+T29+T30+T31+T32+T33+T37+T39+T40+T41+T42+T43+T46+T47+T48+T49+T50+T51+T53+T54+T55, "NA")</f>
        <v>6645.75</v>
      </c>
      <c r="U57" s="92">
        <f>IFERROR(T57/T148, "NA")</f>
        <v>0.3252561133</v>
      </c>
      <c r="V57" s="118">
        <f>IFERROR(V13+V15+V16+V17+V18+V19+V20+V21+V22+V23+V24+V25+V26+V29+V30+V31+V32+V33+V37+V39+V40+V41+V42+V43+V46+V47+V48+V49+V50+V51+V53+V54+V55, "NA")</f>
        <v>7728.42</v>
      </c>
      <c r="W57" s="92">
        <f>IFERROR(V57/V148, "NA")</f>
        <v>0.2627351459</v>
      </c>
      <c r="X57" s="118">
        <f>IFERROR(X13+X15+X16+X17+X18+X19+X20+X21+X22+X23+X24+X25+X26+X29+X30+X31+X32+X33+X37+X39+X40+X41+X42+X43+X46+X47+X48+X49+X50+X51+X53+X54+X55, "NA")</f>
        <v>7015.05</v>
      </c>
      <c r="Y57" s="92">
        <f>IFERROR(X57/X148, "NA")</f>
        <v>0.3123149608</v>
      </c>
      <c r="Z57" s="118">
        <f>IFERROR(Z13+Z15+Z16+Z17+Z18+Z19+Z20+Z21+Z22+Z23+Z24+Z25+Z26+Z29+Z30+Z31+Z32+Z33+Z37+Z39+Z40+Z41+Z42+Z43+Z46+Z47+Z48+Z49+Z50+Z51+Z53+Z54+Z55, "NA")</f>
        <v>26971.61</v>
      </c>
      <c r="AA57" s="92">
        <f>IFERROR(Z57/Z148, "NA")</f>
        <v>0.302092366</v>
      </c>
      <c r="AB57" s="118">
        <f t="shared" si="25"/>
        <v>6742.9025</v>
      </c>
      <c r="AC57" s="92">
        <f>IFERROR(AB57/AB148, "NA")</f>
        <v>0.302092366</v>
      </c>
      <c r="AD57" s="119">
        <f t="shared" si="26"/>
        <v>272.1475</v>
      </c>
      <c r="AE57" s="120">
        <f>IFERROR(AD57/AD148, "NA")</f>
        <v>1.932934408</v>
      </c>
      <c r="AF57" s="119">
        <f t="shared" si="27"/>
        <v>0.04036058656</v>
      </c>
      <c r="AG57" s="118">
        <f t="shared" si="28"/>
        <v>6538.04</v>
      </c>
      <c r="AH57" s="92">
        <f>IFERROR(AG57/AG148, "NA")</f>
        <v>0.2957963849</v>
      </c>
      <c r="AI57" s="119">
        <f t="shared" si="29"/>
        <v>477.01</v>
      </c>
      <c r="AJ57" s="120">
        <f>IFERROR(AI57/AI148, "NA")</f>
        <v>1.331379568</v>
      </c>
      <c r="AK57" s="119">
        <f t="shared" si="30"/>
        <v>0.07295917431</v>
      </c>
      <c r="AL57" s="120">
        <f>IFERROR(AK57/AK148, "NA")</f>
        <v>4.501000133</v>
      </c>
    </row>
    <row r="58" ht="3.75" customHeight="1">
      <c r="A58" s="77"/>
      <c r="B58" s="78"/>
      <c r="C58" s="74"/>
      <c r="D58" s="78"/>
      <c r="E58" s="74"/>
      <c r="F58" s="78"/>
      <c r="G58" s="74"/>
      <c r="H58" s="78"/>
      <c r="I58" s="74"/>
      <c r="J58" s="78"/>
      <c r="K58" s="74"/>
      <c r="L58" s="78"/>
      <c r="M58" s="74"/>
      <c r="N58" s="78"/>
      <c r="O58" s="74"/>
      <c r="P58" s="78"/>
      <c r="Q58" s="74"/>
      <c r="R58" s="78"/>
      <c r="S58" s="74"/>
      <c r="T58" s="78"/>
      <c r="U58" s="74"/>
      <c r="V58" s="78"/>
      <c r="W58" s="74"/>
      <c r="X58" s="78"/>
      <c r="Y58" s="74"/>
      <c r="Z58" s="78"/>
      <c r="AA58" s="74"/>
      <c r="AB58" s="78"/>
      <c r="AC58" s="74"/>
      <c r="AD58" s="79"/>
      <c r="AE58" s="80"/>
      <c r="AF58" s="79"/>
      <c r="AG58" s="78"/>
      <c r="AH58" s="74"/>
      <c r="AI58" s="79"/>
      <c r="AJ58" s="80"/>
      <c r="AK58" s="79"/>
      <c r="AL58" s="80"/>
    </row>
    <row r="59" ht="16.5" customHeight="1">
      <c r="A59" s="121" t="s">
        <v>118</v>
      </c>
      <c r="B59" s="122">
        <f>IFERROR(B9-B57, "NA")</f>
        <v>19626.61</v>
      </c>
      <c r="C59" s="94">
        <f>IFERROR(B59/B148, "NA")</f>
        <v>0.7361501661</v>
      </c>
      <c r="D59" s="122">
        <f>IFERROR(D9-D57, "NA")</f>
        <v>16459.19</v>
      </c>
      <c r="E59" s="94">
        <f>IFERROR(D59/D148, "NA")</f>
        <v>0.6704591975</v>
      </c>
      <c r="F59" s="122">
        <f>IFERROR(F9-F57, "NA")</f>
        <v>18320.05</v>
      </c>
      <c r="G59" s="94">
        <f>IFERROR(F59/F148, "NA")</f>
        <v>0.7308730798</v>
      </c>
      <c r="H59" s="122">
        <f>IFERROR(H9-H57, "NA")</f>
        <v>11625.1</v>
      </c>
      <c r="I59" s="94">
        <f>IFERROR(H59/H148, "NA")</f>
        <v>0.7086241715</v>
      </c>
      <c r="J59" s="122">
        <f>IFERROR(J9-J57, "NA")</f>
        <v>17967.34</v>
      </c>
      <c r="K59" s="94">
        <f>IFERROR(J59/J148, "NA")</f>
        <v>0.7164905349</v>
      </c>
      <c r="L59" s="122">
        <f>IFERROR(L9-L57, "NA")</f>
        <v>19487.37</v>
      </c>
      <c r="M59" s="94">
        <f>IFERROR(L59/L148, "NA")</f>
        <v>0.7277959596</v>
      </c>
      <c r="N59" s="122">
        <f>IFERROR(N9-N57, "NA")</f>
        <v>14226.47</v>
      </c>
      <c r="O59" s="94">
        <f>IFERROR(N59/N148, "NA")</f>
        <v>0.6809575595</v>
      </c>
      <c r="P59" s="122">
        <f>IFERROR(P9-P57, "NA")</f>
        <v>10528.87</v>
      </c>
      <c r="Q59" s="94">
        <f>IFERROR(P59/P148, "NA")</f>
        <v>0.7114985917</v>
      </c>
      <c r="R59" s="122">
        <f>IFERROR(R9-R57, "NA")</f>
        <v>11391.2</v>
      </c>
      <c r="S59" s="94">
        <f>IFERROR(R59/R148, "NA")</f>
        <v>0.6711131823</v>
      </c>
      <c r="T59" s="122">
        <f>IFERROR(T9-T57, "NA")</f>
        <v>13786.61</v>
      </c>
      <c r="U59" s="94">
        <f>IFERROR(T59/T148, "NA")</f>
        <v>0.6747438867</v>
      </c>
      <c r="V59" s="122">
        <f>IFERROR(V9-V57, "NA")</f>
        <v>21686.83</v>
      </c>
      <c r="W59" s="94">
        <f>IFERROR(V59/V148, "NA")</f>
        <v>0.7372648541</v>
      </c>
      <c r="X59" s="122">
        <f>IFERROR(X9-X57, "NA")</f>
        <v>15446.41</v>
      </c>
      <c r="Y59" s="94">
        <f>IFERROR(X59/X148, "NA")</f>
        <v>0.6876850392</v>
      </c>
      <c r="Z59" s="122">
        <f>IFERROR(Z9-Z57, "NA")</f>
        <v>62311.05</v>
      </c>
      <c r="AA59" s="94">
        <f>IFERROR(Z59/Z148, "NA")</f>
        <v>0.697907634</v>
      </c>
      <c r="AB59" s="122">
        <f>IFERROR((R59+T59+V59+X59)/4, "NA")</f>
        <v>15577.7625</v>
      </c>
      <c r="AC59" s="94">
        <f>IFERROR(AB59/AB148, "NA")</f>
        <v>0.697907634</v>
      </c>
      <c r="AD59" s="75">
        <f>IFERROR(X59-AB59, "NA")</f>
        <v>-131.3525</v>
      </c>
      <c r="AE59" s="76">
        <f>IFERROR(AD59/AD148, "NA")</f>
        <v>-0.9329344082</v>
      </c>
      <c r="AF59" s="75">
        <f>IFERROR((X59-AB59)/AB59, "NA")</f>
        <v>-0.008432051779</v>
      </c>
      <c r="AG59" s="122">
        <f>IFERROR((J59+L59+N59+P59+R59+T59+V59+X59)/8, "NA")</f>
        <v>15565.1375</v>
      </c>
      <c r="AH59" s="94">
        <f>IFERROR(AG59/AG148, "NA")</f>
        <v>0.7042036151</v>
      </c>
      <c r="AI59" s="75">
        <f>IFERROR(X59-AG59, "NA")</f>
        <v>-118.7275</v>
      </c>
      <c r="AJ59" s="76">
        <f>IFERROR(AI59/AI148, "NA")</f>
        <v>-0.3313795678</v>
      </c>
      <c r="AK59" s="75">
        <f>IFERROR((X59-AG59)/AG59, "NA")</f>
        <v>-0.007627783564</v>
      </c>
      <c r="AL59" s="76">
        <f>IFERROR(AK59/AK148, "NA")</f>
        <v>-0.4705735113</v>
      </c>
    </row>
    <row r="60" ht="3.75" customHeight="1">
      <c r="A60" s="123"/>
      <c r="B60" s="124"/>
      <c r="C60" s="74"/>
      <c r="D60" s="124"/>
      <c r="E60" s="74"/>
      <c r="F60" s="124"/>
      <c r="G60" s="74"/>
      <c r="H60" s="124"/>
      <c r="I60" s="74"/>
      <c r="J60" s="124"/>
      <c r="K60" s="74"/>
      <c r="L60" s="124"/>
      <c r="M60" s="74"/>
      <c r="N60" s="124"/>
      <c r="O60" s="74"/>
      <c r="P60" s="124"/>
      <c r="Q60" s="74"/>
      <c r="R60" s="124"/>
      <c r="S60" s="74"/>
      <c r="T60" s="124"/>
      <c r="U60" s="74"/>
      <c r="V60" s="124"/>
      <c r="W60" s="74"/>
      <c r="X60" s="124"/>
      <c r="Y60" s="74"/>
      <c r="Z60" s="124"/>
      <c r="AA60" s="74"/>
      <c r="AB60" s="124"/>
      <c r="AC60" s="74"/>
      <c r="AD60" s="125"/>
      <c r="AE60" s="80"/>
      <c r="AF60" s="125"/>
      <c r="AG60" s="124"/>
      <c r="AH60" s="74"/>
      <c r="AI60" s="125"/>
      <c r="AJ60" s="80"/>
      <c r="AK60" s="125"/>
      <c r="AL60" s="80"/>
    </row>
    <row r="61" ht="16.5" customHeight="1">
      <c r="A61" s="13" t="s">
        <v>119</v>
      </c>
      <c r="B61" s="14"/>
      <c r="C61" s="12"/>
      <c r="D61" s="14"/>
      <c r="E61" s="12"/>
      <c r="F61" s="14"/>
      <c r="G61" s="12"/>
      <c r="H61" s="14"/>
      <c r="I61" s="12"/>
      <c r="J61" s="14"/>
      <c r="K61" s="12"/>
      <c r="L61" s="14"/>
      <c r="M61" s="12"/>
      <c r="N61" s="14"/>
      <c r="O61" s="12"/>
      <c r="P61" s="14"/>
      <c r="Q61" s="12"/>
      <c r="R61" s="14"/>
      <c r="S61" s="12"/>
      <c r="T61" s="14"/>
      <c r="U61" s="12"/>
      <c r="V61" s="14"/>
      <c r="W61" s="12"/>
      <c r="X61" s="14"/>
      <c r="Y61" s="12"/>
      <c r="Z61" s="14"/>
      <c r="AA61" s="12"/>
      <c r="AB61" s="14"/>
      <c r="AC61" s="12"/>
      <c r="AD61" s="17"/>
      <c r="AE61" s="18"/>
      <c r="AF61" s="17"/>
      <c r="AG61" s="14"/>
      <c r="AH61" s="12"/>
      <c r="AI61" s="17"/>
      <c r="AJ61" s="18"/>
      <c r="AK61" s="17"/>
      <c r="AL61" s="18"/>
    </row>
    <row r="62" ht="16.5" customHeight="1">
      <c r="A62" s="13" t="s">
        <v>119</v>
      </c>
      <c r="B62" s="14"/>
      <c r="C62" s="12"/>
      <c r="D62" s="14"/>
      <c r="E62" s="12"/>
      <c r="F62" s="14"/>
      <c r="G62" s="12"/>
      <c r="H62" s="14"/>
      <c r="I62" s="12"/>
      <c r="J62" s="14"/>
      <c r="K62" s="12"/>
      <c r="L62" s="14"/>
      <c r="M62" s="12"/>
      <c r="N62" s="14"/>
      <c r="O62" s="12"/>
      <c r="P62" s="14"/>
      <c r="Q62" s="12"/>
      <c r="R62" s="14"/>
      <c r="S62" s="12"/>
      <c r="T62" s="14"/>
      <c r="U62" s="12"/>
      <c r="V62" s="14"/>
      <c r="W62" s="12"/>
      <c r="X62" s="14"/>
      <c r="Y62" s="12"/>
      <c r="Z62" s="14"/>
      <c r="AA62" s="12"/>
      <c r="AB62" s="14"/>
      <c r="AC62" s="12"/>
      <c r="AD62" s="17"/>
      <c r="AE62" s="18"/>
      <c r="AF62" s="17"/>
      <c r="AG62" s="14"/>
      <c r="AH62" s="12"/>
      <c r="AI62" s="17"/>
      <c r="AJ62" s="18"/>
      <c r="AK62" s="17"/>
      <c r="AL62" s="18"/>
    </row>
    <row r="63" ht="16.5" hidden="1" customHeight="1">
      <c r="A63" s="19" t="s">
        <v>120</v>
      </c>
      <c r="B63" s="21">
        <v>0.0</v>
      </c>
      <c r="C63" s="23">
        <f>IFERROR(B63/B148, "NA")</f>
        <v>0</v>
      </c>
      <c r="D63" s="21">
        <v>0.0</v>
      </c>
      <c r="E63" s="23">
        <f>IFERROR(D63/D148, "NA")</f>
        <v>0</v>
      </c>
      <c r="F63" s="21">
        <v>0.0</v>
      </c>
      <c r="G63" s="23">
        <f>IFERROR(F63/F148, "NA")</f>
        <v>0</v>
      </c>
      <c r="H63" s="21">
        <v>0.0</v>
      </c>
      <c r="I63" s="23">
        <f>IFERROR(H63/H148, "NA")</f>
        <v>0</v>
      </c>
      <c r="J63" s="21">
        <v>0.0</v>
      </c>
      <c r="K63" s="23">
        <f>IFERROR(J63/J148, "NA")</f>
        <v>0</v>
      </c>
      <c r="L63" s="21">
        <v>0.0</v>
      </c>
      <c r="M63" s="23">
        <f>IFERROR(L63/L148, "NA")</f>
        <v>0</v>
      </c>
      <c r="N63" s="21">
        <v>0.0</v>
      </c>
      <c r="O63" s="23">
        <f>IFERROR(N63/N148, "NA")</f>
        <v>0</v>
      </c>
      <c r="P63" s="21">
        <v>0.0</v>
      </c>
      <c r="Q63" s="23">
        <f>IFERROR(P63/P148, "NA")</f>
        <v>0</v>
      </c>
      <c r="R63" s="21">
        <v>0.0</v>
      </c>
      <c r="S63" s="23">
        <f>IFERROR(R63/R148, "NA")</f>
        <v>0</v>
      </c>
      <c r="T63" s="21">
        <v>0.0</v>
      </c>
      <c r="U63" s="23">
        <f>IFERROR(T63/T148, "NA")</f>
        <v>0</v>
      </c>
      <c r="V63" s="21">
        <v>0.0</v>
      </c>
      <c r="W63" s="23">
        <f>IFERROR(V63/V148, "NA")</f>
        <v>0</v>
      </c>
      <c r="X63" s="21">
        <v>0.0</v>
      </c>
      <c r="Y63" s="23">
        <f>IFERROR(X63/X148, "NA")</f>
        <v>0</v>
      </c>
      <c r="Z63" s="21">
        <v>0.0</v>
      </c>
      <c r="AA63" s="23">
        <f>IFERROR(Z63/Z148, "NA")</f>
        <v>0</v>
      </c>
      <c r="AB63" s="28">
        <f>IFERROR((R63+T63+V63+X63)/4, "NA")</f>
        <v>0</v>
      </c>
      <c r="AC63" s="23">
        <f>IFERROR(AB63/AB148, "NA")</f>
        <v>0</v>
      </c>
      <c r="AD63" s="29">
        <f>IFERROR(X63-AB63, "NA")</f>
        <v>0</v>
      </c>
      <c r="AE63" s="30">
        <f>IFERROR(AD63/AD148, "NA")</f>
        <v>0</v>
      </c>
      <c r="AF63" s="29" t="str">
        <f>IFERROR((X63-AB63)/AB63, "NA")</f>
        <v>NA</v>
      </c>
      <c r="AG63" s="28">
        <f>IFERROR((J63+L63+N63+P63+R63+T63+V63+X63)/8, "NA")</f>
        <v>0</v>
      </c>
      <c r="AH63" s="23">
        <f>IFERROR(AG63/AG148, "NA")</f>
        <v>0</v>
      </c>
      <c r="AI63" s="29">
        <f>IFERROR(X63-AG63, "NA")</f>
        <v>0</v>
      </c>
      <c r="AJ63" s="30">
        <f>IFERROR(AI63/AI148, "NA")</f>
        <v>0</v>
      </c>
      <c r="AK63" s="29" t="str">
        <f>IFERROR((X63-AG63)/AG63, "NA")</f>
        <v>NA</v>
      </c>
      <c r="AL63" s="30" t="str">
        <f>IFERROR(AK63/AK148, "NA")</f>
        <v>NA</v>
      </c>
    </row>
    <row r="64" ht="16.5" customHeight="1">
      <c r="A64" s="13" t="s">
        <v>121</v>
      </c>
      <c r="B64" s="14"/>
      <c r="C64" s="12"/>
      <c r="D64" s="14"/>
      <c r="E64" s="12"/>
      <c r="F64" s="14"/>
      <c r="G64" s="12"/>
      <c r="H64" s="14"/>
      <c r="I64" s="12"/>
      <c r="J64" s="14"/>
      <c r="K64" s="12"/>
      <c r="L64" s="14"/>
      <c r="M64" s="12"/>
      <c r="N64" s="14"/>
      <c r="O64" s="12"/>
      <c r="P64" s="14"/>
      <c r="Q64" s="12"/>
      <c r="R64" s="14"/>
      <c r="S64" s="12"/>
      <c r="T64" s="14"/>
      <c r="U64" s="12"/>
      <c r="V64" s="14"/>
      <c r="W64" s="12"/>
      <c r="X64" s="14"/>
      <c r="Y64" s="12"/>
      <c r="Z64" s="14"/>
      <c r="AA64" s="12"/>
      <c r="AB64" s="14"/>
      <c r="AC64" s="12"/>
      <c r="AD64" s="17"/>
      <c r="AE64" s="18"/>
      <c r="AF64" s="17"/>
      <c r="AG64" s="14"/>
      <c r="AH64" s="12"/>
      <c r="AI64" s="17"/>
      <c r="AJ64" s="18"/>
      <c r="AK64" s="17"/>
      <c r="AL64" s="18"/>
    </row>
    <row r="65" ht="16.5" hidden="1" customHeight="1">
      <c r="A65" s="19" t="s">
        <v>122</v>
      </c>
      <c r="B65" s="21">
        <v>0.0</v>
      </c>
      <c r="C65" s="23">
        <f>IFERROR(B65/B148, "NA")</f>
        <v>0</v>
      </c>
      <c r="D65" s="21">
        <v>0.0</v>
      </c>
      <c r="E65" s="23">
        <f>IFERROR(D65/D148, "NA")</f>
        <v>0</v>
      </c>
      <c r="F65" s="21">
        <v>0.0</v>
      </c>
      <c r="G65" s="23">
        <f>IFERROR(F65/F148, "NA")</f>
        <v>0</v>
      </c>
      <c r="H65" s="21">
        <v>0.0</v>
      </c>
      <c r="I65" s="23">
        <f>IFERROR(H65/H148, "NA")</f>
        <v>0</v>
      </c>
      <c r="J65" s="21">
        <v>0.0</v>
      </c>
      <c r="K65" s="23">
        <f>IFERROR(J65/J148, "NA")</f>
        <v>0</v>
      </c>
      <c r="L65" s="21">
        <v>0.0</v>
      </c>
      <c r="M65" s="23">
        <f>IFERROR(L65/L148, "NA")</f>
        <v>0</v>
      </c>
      <c r="N65" s="21">
        <v>0.0</v>
      </c>
      <c r="O65" s="23">
        <f>IFERROR(N65/N148, "NA")</f>
        <v>0</v>
      </c>
      <c r="P65" s="21">
        <v>0.0</v>
      </c>
      <c r="Q65" s="23">
        <f>IFERROR(P65/P148, "NA")</f>
        <v>0</v>
      </c>
      <c r="R65" s="21">
        <v>0.0</v>
      </c>
      <c r="S65" s="23">
        <f>IFERROR(R65/R148, "NA")</f>
        <v>0</v>
      </c>
      <c r="T65" s="21">
        <v>0.0</v>
      </c>
      <c r="U65" s="23">
        <f>IFERROR(T65/T148, "NA")</f>
        <v>0</v>
      </c>
      <c r="V65" s="21">
        <v>0.0</v>
      </c>
      <c r="W65" s="23">
        <f>IFERROR(V65/V148, "NA")</f>
        <v>0</v>
      </c>
      <c r="X65" s="21">
        <v>0.0</v>
      </c>
      <c r="Y65" s="23">
        <f>IFERROR(X65/X148, "NA")</f>
        <v>0</v>
      </c>
      <c r="Z65" s="21">
        <v>0.0</v>
      </c>
      <c r="AA65" s="23">
        <f>IFERROR(Z65/Z148, "NA")</f>
        <v>0</v>
      </c>
      <c r="AB65" s="28">
        <f t="shared" ref="AB65:AB72" si="31">IFERROR((R65+T65+V65+X65)/4, "NA")</f>
        <v>0</v>
      </c>
      <c r="AC65" s="23">
        <f>IFERROR(AB65/AB148, "NA")</f>
        <v>0</v>
      </c>
      <c r="AD65" s="29">
        <f t="shared" ref="AD65:AD72" si="32">IFERROR(X65-AB65, "NA")</f>
        <v>0</v>
      </c>
      <c r="AE65" s="30">
        <f>IFERROR(AD65/AD148, "NA")</f>
        <v>0</v>
      </c>
      <c r="AF65" s="29" t="str">
        <f t="shared" ref="AF65:AF72" si="33">IFERROR((X65-AB65)/AB65, "NA")</f>
        <v>NA</v>
      </c>
      <c r="AG65" s="28">
        <f t="shared" ref="AG65:AG72" si="34">IFERROR((J65+L65+N65+P65+R65+T65+V65+X65)/8, "NA")</f>
        <v>0</v>
      </c>
      <c r="AH65" s="23">
        <f>IFERROR(AG65/AG148, "NA")</f>
        <v>0</v>
      </c>
      <c r="AI65" s="29">
        <f t="shared" ref="AI65:AI72" si="35">IFERROR(X65-AG65, "NA")</f>
        <v>0</v>
      </c>
      <c r="AJ65" s="30">
        <f>IFERROR(AI65/AI148, "NA")</f>
        <v>0</v>
      </c>
      <c r="AK65" s="29" t="str">
        <f t="shared" ref="AK65:AK72" si="36">IFERROR((X65-AG65)/AG65, "NA")</f>
        <v>NA</v>
      </c>
      <c r="AL65" s="30" t="str">
        <f>IFERROR(AK65/AK148, "NA")</f>
        <v>NA</v>
      </c>
    </row>
    <row r="66" ht="16.5" customHeight="1">
      <c r="A66" s="19" t="s">
        <v>125</v>
      </c>
      <c r="B66" s="21">
        <v>1298.08</v>
      </c>
      <c r="C66" s="23">
        <f>IFERROR(B66/B148, "NA")</f>
        <v>0.04868807234</v>
      </c>
      <c r="D66" s="21">
        <v>1298.08</v>
      </c>
      <c r="E66" s="23">
        <f>IFERROR(D66/D148, "NA")</f>
        <v>0.05287682293</v>
      </c>
      <c r="F66" s="21">
        <v>1298.08</v>
      </c>
      <c r="G66" s="23">
        <f>IFERROR(F66/F148, "NA")</f>
        <v>0.051786525</v>
      </c>
      <c r="H66" s="21">
        <v>1298.08</v>
      </c>
      <c r="I66" s="23">
        <f>IFERROR(H66/H148, "NA")</f>
        <v>0.07912627544</v>
      </c>
      <c r="J66" s="21">
        <v>1298.08</v>
      </c>
      <c r="K66" s="23">
        <f>IFERROR(J66/J148, "NA")</f>
        <v>0.05176403594</v>
      </c>
      <c r="L66" s="21">
        <v>1298.08</v>
      </c>
      <c r="M66" s="23">
        <f>IFERROR(L66/L148, "NA")</f>
        <v>0.04847947051</v>
      </c>
      <c r="N66" s="21">
        <v>1298.08</v>
      </c>
      <c r="O66" s="23">
        <f>IFERROR(N66/N148, "NA")</f>
        <v>0.06213329019</v>
      </c>
      <c r="P66" s="21">
        <v>1298.08</v>
      </c>
      <c r="Q66" s="23">
        <f>IFERROR(P66/P148, "NA")</f>
        <v>0.08771901372</v>
      </c>
      <c r="R66" s="21">
        <v>1298.08</v>
      </c>
      <c r="S66" s="23">
        <f>IFERROR(R66/R148, "NA")</f>
        <v>0.07647645548</v>
      </c>
      <c r="T66" s="21">
        <v>1298.08</v>
      </c>
      <c r="U66" s="23">
        <f>IFERROR(T66/T148, "NA")</f>
        <v>0.06353059558</v>
      </c>
      <c r="V66" s="21">
        <v>1298.08</v>
      </c>
      <c r="W66" s="23">
        <f>IFERROR(V66/V148, "NA")</f>
        <v>0.04412949066</v>
      </c>
      <c r="X66" s="21">
        <v>1298.08</v>
      </c>
      <c r="Y66" s="23">
        <f>IFERROR(X66/X148, "NA")</f>
        <v>0.05779143475</v>
      </c>
      <c r="Z66" s="21">
        <v>5192.32</v>
      </c>
      <c r="AA66" s="23">
        <f>IFERROR(Z66/Z148, "NA")</f>
        <v>0.0581559734</v>
      </c>
      <c r="AB66" s="28">
        <f t="shared" si="31"/>
        <v>1298.08</v>
      </c>
      <c r="AC66" s="23">
        <f>IFERROR(AB66/AB148, "NA")</f>
        <v>0.0581559734</v>
      </c>
      <c r="AD66" s="29">
        <f t="shared" si="32"/>
        <v>0</v>
      </c>
      <c r="AE66" s="30">
        <f>IFERROR(AD66/AD148, "NA")</f>
        <v>0</v>
      </c>
      <c r="AF66" s="29">
        <f t="shared" si="33"/>
        <v>0</v>
      </c>
      <c r="AG66" s="28">
        <f t="shared" si="34"/>
        <v>1298.08</v>
      </c>
      <c r="AH66" s="23">
        <f>IFERROR(AG66/AG148, "NA")</f>
        <v>0.05872820774</v>
      </c>
      <c r="AI66" s="29">
        <f t="shared" si="35"/>
        <v>0</v>
      </c>
      <c r="AJ66" s="30">
        <f>IFERROR(AI66/AI148, "NA")</f>
        <v>0</v>
      </c>
      <c r="AK66" s="29">
        <f t="shared" si="36"/>
        <v>0</v>
      </c>
      <c r="AL66" s="30">
        <f>IFERROR(AK66/AK148, "NA")</f>
        <v>0</v>
      </c>
    </row>
    <row r="67" ht="16.5" hidden="1" customHeight="1">
      <c r="A67" s="19" t="s">
        <v>126</v>
      </c>
      <c r="B67" s="21">
        <v>0.0</v>
      </c>
      <c r="C67" s="23">
        <f>IFERROR(B67/B148, "NA")</f>
        <v>0</v>
      </c>
      <c r="D67" s="21">
        <v>0.0</v>
      </c>
      <c r="E67" s="23">
        <f>IFERROR(D67/D148, "NA")</f>
        <v>0</v>
      </c>
      <c r="F67" s="21">
        <v>0.0</v>
      </c>
      <c r="G67" s="23">
        <f>IFERROR(F67/F148, "NA")</f>
        <v>0</v>
      </c>
      <c r="H67" s="21">
        <v>0.0</v>
      </c>
      <c r="I67" s="23">
        <f>IFERROR(H67/H148, "NA")</f>
        <v>0</v>
      </c>
      <c r="J67" s="21">
        <v>0.0</v>
      </c>
      <c r="K67" s="23">
        <f>IFERROR(J67/J148, "NA")</f>
        <v>0</v>
      </c>
      <c r="L67" s="21">
        <v>0.0</v>
      </c>
      <c r="M67" s="23">
        <f>IFERROR(L67/L148, "NA")</f>
        <v>0</v>
      </c>
      <c r="N67" s="21">
        <v>0.0</v>
      </c>
      <c r="O67" s="23">
        <f>IFERROR(N67/N148, "NA")</f>
        <v>0</v>
      </c>
      <c r="P67" s="21">
        <v>0.0</v>
      </c>
      <c r="Q67" s="23">
        <f>IFERROR(P67/P148, "NA")</f>
        <v>0</v>
      </c>
      <c r="R67" s="21">
        <v>0.0</v>
      </c>
      <c r="S67" s="23">
        <f>IFERROR(R67/R148, "NA")</f>
        <v>0</v>
      </c>
      <c r="T67" s="21">
        <v>0.0</v>
      </c>
      <c r="U67" s="23">
        <f>IFERROR(T67/T148, "NA")</f>
        <v>0</v>
      </c>
      <c r="V67" s="21">
        <v>0.0</v>
      </c>
      <c r="W67" s="23">
        <f>IFERROR(V67/V148, "NA")</f>
        <v>0</v>
      </c>
      <c r="X67" s="21">
        <v>0.0</v>
      </c>
      <c r="Y67" s="23">
        <f>IFERROR(X67/X148, "NA")</f>
        <v>0</v>
      </c>
      <c r="Z67" s="21">
        <v>0.0</v>
      </c>
      <c r="AA67" s="23">
        <f>IFERROR(Z67/Z148, "NA")</f>
        <v>0</v>
      </c>
      <c r="AB67" s="28">
        <f t="shared" si="31"/>
        <v>0</v>
      </c>
      <c r="AC67" s="23">
        <f>IFERROR(AB67/AB148, "NA")</f>
        <v>0</v>
      </c>
      <c r="AD67" s="29">
        <f t="shared" si="32"/>
        <v>0</v>
      </c>
      <c r="AE67" s="30">
        <f>IFERROR(AD67/AD148, "NA")</f>
        <v>0</v>
      </c>
      <c r="AF67" s="29" t="str">
        <f t="shared" si="33"/>
        <v>NA</v>
      </c>
      <c r="AG67" s="28">
        <f t="shared" si="34"/>
        <v>0</v>
      </c>
      <c r="AH67" s="23">
        <f>IFERROR(AG67/AG148, "NA")</f>
        <v>0</v>
      </c>
      <c r="AI67" s="29">
        <f t="shared" si="35"/>
        <v>0</v>
      </c>
      <c r="AJ67" s="30">
        <f>IFERROR(AI67/AI148, "NA")</f>
        <v>0</v>
      </c>
      <c r="AK67" s="29" t="str">
        <f t="shared" si="36"/>
        <v>NA</v>
      </c>
      <c r="AL67" s="30" t="str">
        <f>IFERROR(AK67/AK148, "NA")</f>
        <v>NA</v>
      </c>
    </row>
    <row r="68" ht="16.5" customHeight="1">
      <c r="A68" s="19" t="s">
        <v>127</v>
      </c>
      <c r="B68" s="21">
        <v>5333.75</v>
      </c>
      <c r="C68" s="23">
        <f>IFERROR(B68/B148, "NA")</f>
        <v>0.2000570118</v>
      </c>
      <c r="D68" s="21">
        <v>5306.5</v>
      </c>
      <c r="E68" s="23">
        <f>IFERROR(D68/D148, "NA")</f>
        <v>0.216158373</v>
      </c>
      <c r="F68" s="21">
        <v>5123.56</v>
      </c>
      <c r="G68" s="23">
        <f>IFERROR(F68/F148, "NA")</f>
        <v>0.2044029398</v>
      </c>
      <c r="H68" s="21">
        <v>4554.48</v>
      </c>
      <c r="I68" s="23">
        <f>IFERROR(H68/H148, "NA")</f>
        <v>0.2776246756</v>
      </c>
      <c r="J68" s="21">
        <v>4849.19</v>
      </c>
      <c r="K68" s="23">
        <f>IFERROR(J68/J148, "NA")</f>
        <v>0.1933730166</v>
      </c>
      <c r="L68" s="21">
        <v>5252.57</v>
      </c>
      <c r="M68" s="23">
        <f>IFERROR(L68/L148, "NA")</f>
        <v>0.1961680423</v>
      </c>
      <c r="N68" s="21">
        <v>5083.94</v>
      </c>
      <c r="O68" s="23">
        <f>IFERROR(N68/N148, "NA")</f>
        <v>0.2433454944</v>
      </c>
      <c r="P68" s="21">
        <v>4172.14</v>
      </c>
      <c r="Q68" s="23">
        <f>IFERROR(P68/P148, "NA")</f>
        <v>0.2819364029</v>
      </c>
      <c r="R68" s="21">
        <v>4843.65</v>
      </c>
      <c r="S68" s="23">
        <f>IFERROR(R68/R148, "NA")</f>
        <v>0.2853639095</v>
      </c>
      <c r="T68" s="21">
        <v>5200.01</v>
      </c>
      <c r="U68" s="23">
        <f>IFERROR(T68/T148, "NA")</f>
        <v>0.2544987461</v>
      </c>
      <c r="V68" s="21">
        <v>5742.01</v>
      </c>
      <c r="W68" s="23">
        <f>IFERROR(V68/V148, "NA")</f>
        <v>0.1952052082</v>
      </c>
      <c r="X68" s="21">
        <v>4398.98</v>
      </c>
      <c r="Y68" s="23">
        <f>IFERROR(X68/X148, "NA")</f>
        <v>0.1958456841</v>
      </c>
      <c r="Z68" s="21">
        <v>20184.65</v>
      </c>
      <c r="AA68" s="23">
        <f>IFERROR(Z68/Z148, "NA")</f>
        <v>0.2260758136</v>
      </c>
      <c r="AB68" s="28">
        <f t="shared" si="31"/>
        <v>5046.1625</v>
      </c>
      <c r="AC68" s="23">
        <f>IFERROR(AB68/AB148, "NA")</f>
        <v>0.2260758136</v>
      </c>
      <c r="AD68" s="29">
        <f t="shared" si="32"/>
        <v>-647.1825</v>
      </c>
      <c r="AE68" s="30">
        <f>IFERROR(AD68/AD148, "NA")</f>
        <v>-4.596629852</v>
      </c>
      <c r="AF68" s="29">
        <f t="shared" si="33"/>
        <v>-0.1282524096</v>
      </c>
      <c r="AG68" s="28">
        <f t="shared" si="34"/>
        <v>4942.81125</v>
      </c>
      <c r="AH68" s="23">
        <f>IFERROR(AG68/AG148, "NA")</f>
        <v>0.2236244653</v>
      </c>
      <c r="AI68" s="29">
        <f t="shared" si="35"/>
        <v>-543.83125</v>
      </c>
      <c r="AJ68" s="30">
        <f>IFERROR(AI68/AI148, "NA")</f>
        <v>-1.517883932</v>
      </c>
      <c r="AK68" s="29">
        <f t="shared" si="36"/>
        <v>-0.1100246848</v>
      </c>
      <c r="AL68" s="30">
        <f>IFERROR(AK68/AK148, "NA")</f>
        <v>-6.787647006</v>
      </c>
    </row>
    <row r="69" ht="16.5" customHeight="1">
      <c r="A69" s="19" t="s">
        <v>128</v>
      </c>
      <c r="B69" s="21">
        <v>122.41</v>
      </c>
      <c r="C69" s="23">
        <f>IFERROR(B69/B148, "NA")</f>
        <v>0.00459132483</v>
      </c>
      <c r="D69" s="21">
        <v>211.25</v>
      </c>
      <c r="E69" s="23">
        <f>IFERROR(D69/D148, "NA")</f>
        <v>0.008605192934</v>
      </c>
      <c r="F69" s="21">
        <v>0.0</v>
      </c>
      <c r="G69" s="23">
        <f>IFERROR(F69/F148, "NA")</f>
        <v>0</v>
      </c>
      <c r="H69" s="21">
        <v>0.0</v>
      </c>
      <c r="I69" s="23">
        <f>IFERROR(H69/H148, "NA")</f>
        <v>0</v>
      </c>
      <c r="J69" s="21">
        <v>0.0</v>
      </c>
      <c r="K69" s="23">
        <f>IFERROR(J69/J148, "NA")</f>
        <v>0</v>
      </c>
      <c r="L69" s="21">
        <v>0.0</v>
      </c>
      <c r="M69" s="23">
        <f>IFERROR(L69/L148, "NA")</f>
        <v>0</v>
      </c>
      <c r="N69" s="21">
        <v>0.0</v>
      </c>
      <c r="O69" s="23">
        <f>IFERROR(N69/N148, "NA")</f>
        <v>0</v>
      </c>
      <c r="P69" s="21">
        <v>0.0</v>
      </c>
      <c r="Q69" s="23">
        <f>IFERROR(P69/P148, "NA")</f>
        <v>0</v>
      </c>
      <c r="R69" s="21">
        <v>0.0</v>
      </c>
      <c r="S69" s="23">
        <f>IFERROR(R69/R148, "NA")</f>
        <v>0</v>
      </c>
      <c r="T69" s="21">
        <v>0.0</v>
      </c>
      <c r="U69" s="23">
        <f>IFERROR(T69/T148, "NA")</f>
        <v>0</v>
      </c>
      <c r="V69" s="21">
        <v>0.0</v>
      </c>
      <c r="W69" s="23">
        <f>IFERROR(V69/V148, "NA")</f>
        <v>0</v>
      </c>
      <c r="X69" s="21">
        <v>0.0</v>
      </c>
      <c r="Y69" s="23">
        <f>IFERROR(X69/X148, "NA")</f>
        <v>0</v>
      </c>
      <c r="Z69" s="21">
        <v>0.0</v>
      </c>
      <c r="AA69" s="23">
        <f>IFERROR(Z69/Z148, "NA")</f>
        <v>0</v>
      </c>
      <c r="AB69" s="28">
        <f t="shared" si="31"/>
        <v>0</v>
      </c>
      <c r="AC69" s="23">
        <f>IFERROR(AB69/AB148, "NA")</f>
        <v>0</v>
      </c>
      <c r="AD69" s="29">
        <f t="shared" si="32"/>
        <v>0</v>
      </c>
      <c r="AE69" s="30">
        <f>IFERROR(AD69/AD148, "NA")</f>
        <v>0</v>
      </c>
      <c r="AF69" s="29" t="str">
        <f t="shared" si="33"/>
        <v>NA</v>
      </c>
      <c r="AG69" s="28">
        <f t="shared" si="34"/>
        <v>0</v>
      </c>
      <c r="AH69" s="23">
        <f>IFERROR(AG69/AG148, "NA")</f>
        <v>0</v>
      </c>
      <c r="AI69" s="29">
        <f t="shared" si="35"/>
        <v>0</v>
      </c>
      <c r="AJ69" s="30">
        <f>IFERROR(AI69/AI148, "NA")</f>
        <v>0</v>
      </c>
      <c r="AK69" s="29" t="str">
        <f t="shared" si="36"/>
        <v>NA</v>
      </c>
      <c r="AL69" s="30" t="str">
        <f>IFERROR(AK69/AK148, "NA")</f>
        <v>NA</v>
      </c>
    </row>
    <row r="70" ht="16.5" customHeight="1">
      <c r="A70" s="65" t="s">
        <v>129</v>
      </c>
      <c r="B70" s="66">
        <f>IFERROR(B65+B66+B67+B68+B69, "NA")</f>
        <v>6754.24</v>
      </c>
      <c r="C70" s="67">
        <f>IFERROR(B70/B148, "NA")</f>
        <v>0.253336409</v>
      </c>
      <c r="D70" s="66">
        <f>IFERROR(D65+D66+D67+D68+D69, "NA")</f>
        <v>6815.83</v>
      </c>
      <c r="E70" s="67">
        <f>IFERROR(D70/D148, "NA")</f>
        <v>0.2776403889</v>
      </c>
      <c r="F70" s="66">
        <f>IFERROR(F65+F66+F67+F68+F69, "NA")</f>
        <v>6421.64</v>
      </c>
      <c r="G70" s="67">
        <f>IFERROR(F70/F148, "NA")</f>
        <v>0.2561894648</v>
      </c>
      <c r="H70" s="66">
        <f>IFERROR(H65+H66+H67+H68+H69, "NA")</f>
        <v>5852.56</v>
      </c>
      <c r="I70" s="67">
        <f>IFERROR(H70/H148, "NA")</f>
        <v>0.3567509511</v>
      </c>
      <c r="J70" s="66">
        <f>IFERROR(J65+J66+J67+J68+J69, "NA")</f>
        <v>6147.27</v>
      </c>
      <c r="K70" s="67">
        <f>IFERROR(J70/J148, "NA")</f>
        <v>0.2451370526</v>
      </c>
      <c r="L70" s="66">
        <f>IFERROR(L65+L66+L67+L68+L69, "NA")</f>
        <v>6550.65</v>
      </c>
      <c r="M70" s="67">
        <f>IFERROR(L70/L148, "NA")</f>
        <v>0.2446475129</v>
      </c>
      <c r="N70" s="66">
        <f>IFERROR(N65+N66+N67+N68+N69, "NA")</f>
        <v>6382.02</v>
      </c>
      <c r="O70" s="67">
        <f>IFERROR(N70/N148, "NA")</f>
        <v>0.3054787846</v>
      </c>
      <c r="P70" s="66">
        <f>IFERROR(P65+P66+P67+P68+P69, "NA")</f>
        <v>5470.22</v>
      </c>
      <c r="Q70" s="67">
        <f>IFERROR(P70/P148, "NA")</f>
        <v>0.3696554166</v>
      </c>
      <c r="R70" s="66">
        <f>IFERROR(R65+R66+R67+R68+R69, "NA")</f>
        <v>6141.73</v>
      </c>
      <c r="S70" s="67">
        <f>IFERROR(R70/R148, "NA")</f>
        <v>0.3618403649</v>
      </c>
      <c r="T70" s="66">
        <f>IFERROR(T65+T66+T67+T68+T69, "NA")</f>
        <v>6498.09</v>
      </c>
      <c r="U70" s="67">
        <f>IFERROR(T70/T148, "NA")</f>
        <v>0.3180293417</v>
      </c>
      <c r="V70" s="66">
        <f>IFERROR(V65+V66+V67+V68+V69, "NA")</f>
        <v>7040.09</v>
      </c>
      <c r="W70" s="67">
        <f>IFERROR(V70/V148, "NA")</f>
        <v>0.2393346988</v>
      </c>
      <c r="X70" s="66">
        <f>IFERROR(X65+X66+X67+X68+X69, "NA")</f>
        <v>5697.06</v>
      </c>
      <c r="Y70" s="67">
        <f>IFERROR(X70/X148, "NA")</f>
        <v>0.2536371189</v>
      </c>
      <c r="Z70" s="66">
        <f>IFERROR(Z65+Z66+Z67+Z68+Z69, "NA")</f>
        <v>25376.97</v>
      </c>
      <c r="AA70" s="67">
        <f>IFERROR(Z70/Z148, "NA")</f>
        <v>0.284231787</v>
      </c>
      <c r="AB70" s="66">
        <f t="shared" si="31"/>
        <v>6344.2425</v>
      </c>
      <c r="AC70" s="67">
        <f>IFERROR(AB70/AB148, "NA")</f>
        <v>0.284231787</v>
      </c>
      <c r="AD70" s="75">
        <f t="shared" si="32"/>
        <v>-647.1825</v>
      </c>
      <c r="AE70" s="76">
        <f>IFERROR(AD70/AD148, "NA")</f>
        <v>-4.596629852</v>
      </c>
      <c r="AF70" s="75">
        <f t="shared" si="33"/>
        <v>-0.1020109966</v>
      </c>
      <c r="AG70" s="66">
        <f t="shared" si="34"/>
        <v>6240.89125</v>
      </c>
      <c r="AH70" s="67">
        <f>IFERROR(AG70/AG148, "NA")</f>
        <v>0.282352673</v>
      </c>
      <c r="AI70" s="75">
        <f t="shared" si="35"/>
        <v>-543.83125</v>
      </c>
      <c r="AJ70" s="76">
        <f>IFERROR(AI70/AI148, "NA")</f>
        <v>-1.517883932</v>
      </c>
      <c r="AK70" s="75">
        <f t="shared" si="36"/>
        <v>-0.08713999783</v>
      </c>
      <c r="AL70" s="76">
        <f>IFERROR(AK70/AK148, "NA")</f>
        <v>-5.375844032</v>
      </c>
    </row>
    <row r="71" ht="16.5" hidden="1" customHeight="1">
      <c r="A71" s="19" t="s">
        <v>130</v>
      </c>
      <c r="B71" s="21">
        <v>0.0</v>
      </c>
      <c r="C71" s="23">
        <f>IFERROR(B71/B148, "NA")</f>
        <v>0</v>
      </c>
      <c r="D71" s="21">
        <v>0.0</v>
      </c>
      <c r="E71" s="23">
        <f>IFERROR(D71/D148, "NA")</f>
        <v>0</v>
      </c>
      <c r="F71" s="21">
        <v>0.0</v>
      </c>
      <c r="G71" s="23">
        <f>IFERROR(F71/F148, "NA")</f>
        <v>0</v>
      </c>
      <c r="H71" s="21">
        <v>0.0</v>
      </c>
      <c r="I71" s="23">
        <f>IFERROR(H71/H148, "NA")</f>
        <v>0</v>
      </c>
      <c r="J71" s="21">
        <v>0.0</v>
      </c>
      <c r="K71" s="23">
        <f>IFERROR(J71/J148, "NA")</f>
        <v>0</v>
      </c>
      <c r="L71" s="21">
        <v>0.0</v>
      </c>
      <c r="M71" s="23">
        <f>IFERROR(L71/L148, "NA")</f>
        <v>0</v>
      </c>
      <c r="N71" s="21">
        <v>0.0</v>
      </c>
      <c r="O71" s="23">
        <f>IFERROR(N71/N148, "NA")</f>
        <v>0</v>
      </c>
      <c r="P71" s="21">
        <v>0.0</v>
      </c>
      <c r="Q71" s="23">
        <f>IFERROR(P71/P148, "NA")</f>
        <v>0</v>
      </c>
      <c r="R71" s="21">
        <v>0.0</v>
      </c>
      <c r="S71" s="23">
        <f>IFERROR(R71/R148, "NA")</f>
        <v>0</v>
      </c>
      <c r="T71" s="21">
        <v>0.0</v>
      </c>
      <c r="U71" s="23">
        <f>IFERROR(T71/T148, "NA")</f>
        <v>0</v>
      </c>
      <c r="V71" s="21">
        <v>0.0</v>
      </c>
      <c r="W71" s="23">
        <f>IFERROR(V71/V148, "NA")</f>
        <v>0</v>
      </c>
      <c r="X71" s="21">
        <v>0.0</v>
      </c>
      <c r="Y71" s="23">
        <f>IFERROR(X71/X148, "NA")</f>
        <v>0</v>
      </c>
      <c r="Z71" s="21">
        <v>0.0</v>
      </c>
      <c r="AA71" s="23">
        <f>IFERROR(Z71/Z148, "NA")</f>
        <v>0</v>
      </c>
      <c r="AB71" s="28">
        <f t="shared" si="31"/>
        <v>0</v>
      </c>
      <c r="AC71" s="23">
        <f>IFERROR(AB71/AB148, "NA")</f>
        <v>0</v>
      </c>
      <c r="AD71" s="29">
        <f t="shared" si="32"/>
        <v>0</v>
      </c>
      <c r="AE71" s="30">
        <f>IFERROR(AD71/AD148, "NA")</f>
        <v>0</v>
      </c>
      <c r="AF71" s="29" t="str">
        <f t="shared" si="33"/>
        <v>NA</v>
      </c>
      <c r="AG71" s="28">
        <f t="shared" si="34"/>
        <v>0</v>
      </c>
      <c r="AH71" s="23">
        <f>IFERROR(AG71/AG148, "NA")</f>
        <v>0</v>
      </c>
      <c r="AI71" s="29">
        <f t="shared" si="35"/>
        <v>0</v>
      </c>
      <c r="AJ71" s="30">
        <f>IFERROR(AI71/AI148, "NA")</f>
        <v>0</v>
      </c>
      <c r="AK71" s="29" t="str">
        <f t="shared" si="36"/>
        <v>NA</v>
      </c>
      <c r="AL71" s="30" t="str">
        <f>IFERROR(AK71/AK148, "NA")</f>
        <v>NA</v>
      </c>
    </row>
    <row r="72" ht="16.5" customHeight="1">
      <c r="A72" s="19" t="s">
        <v>131</v>
      </c>
      <c r="B72" s="21">
        <v>0.0</v>
      </c>
      <c r="C72" s="23">
        <f>IFERROR(B72/B148, "NA")</f>
        <v>0</v>
      </c>
      <c r="D72" s="21">
        <v>0.0</v>
      </c>
      <c r="E72" s="23">
        <f>IFERROR(D72/D148, "NA")</f>
        <v>0</v>
      </c>
      <c r="F72" s="21">
        <v>-1000.0</v>
      </c>
      <c r="G72" s="23">
        <f>IFERROR(F72/F148, "NA")</f>
        <v>-0.03989470988</v>
      </c>
      <c r="H72" s="21">
        <v>0.0</v>
      </c>
      <c r="I72" s="23">
        <f>IFERROR(H72/H148, "NA")</f>
        <v>0</v>
      </c>
      <c r="J72" s="21">
        <v>0.0</v>
      </c>
      <c r="K72" s="23">
        <f>IFERROR(J72/J148, "NA")</f>
        <v>0</v>
      </c>
      <c r="L72" s="21">
        <v>0.0</v>
      </c>
      <c r="M72" s="23">
        <f>IFERROR(L72/L148, "NA")</f>
        <v>0</v>
      </c>
      <c r="N72" s="21">
        <v>0.0</v>
      </c>
      <c r="O72" s="23">
        <f>IFERROR(N72/N148, "NA")</f>
        <v>0</v>
      </c>
      <c r="P72" s="21">
        <v>500.0</v>
      </c>
      <c r="Q72" s="23">
        <f>IFERROR(P72/P148, "NA")</f>
        <v>0.03378798445</v>
      </c>
      <c r="R72" s="21">
        <v>0.0</v>
      </c>
      <c r="S72" s="23">
        <f>IFERROR(R72/R148, "NA")</f>
        <v>0</v>
      </c>
      <c r="T72" s="21">
        <v>0.0</v>
      </c>
      <c r="U72" s="23">
        <f>IFERROR(T72/T148, "NA")</f>
        <v>0</v>
      </c>
      <c r="V72" s="21">
        <v>0.0</v>
      </c>
      <c r="W72" s="23">
        <f>IFERROR(V72/V148, "NA")</f>
        <v>0</v>
      </c>
      <c r="X72" s="21">
        <v>500.0</v>
      </c>
      <c r="Y72" s="23">
        <f>IFERROR(X72/X148, "NA")</f>
        <v>0.02226035173</v>
      </c>
      <c r="Z72" s="21">
        <v>500.0</v>
      </c>
      <c r="AA72" s="23">
        <f>IFERROR(Z72/Z148, "NA")</f>
        <v>0.005600191571</v>
      </c>
      <c r="AB72" s="28">
        <f t="shared" si="31"/>
        <v>125</v>
      </c>
      <c r="AC72" s="23">
        <f>IFERROR(AB72/AB148, "NA")</f>
        <v>0.005600191571</v>
      </c>
      <c r="AD72" s="29">
        <f t="shared" si="32"/>
        <v>375</v>
      </c>
      <c r="AE72" s="30">
        <f>IFERROR(AD72/AD148, "NA")</f>
        <v>2.663446855</v>
      </c>
      <c r="AF72" s="29">
        <f t="shared" si="33"/>
        <v>3</v>
      </c>
      <c r="AG72" s="28">
        <f t="shared" si="34"/>
        <v>125</v>
      </c>
      <c r="AH72" s="23">
        <f>IFERROR(AG72/AG148, "NA")</f>
        <v>0.005655295489</v>
      </c>
      <c r="AI72" s="29">
        <f t="shared" si="35"/>
        <v>375</v>
      </c>
      <c r="AJ72" s="30">
        <f>IFERROR(AI72/AI148, "NA")</f>
        <v>1.046660108</v>
      </c>
      <c r="AK72" s="29">
        <f t="shared" si="36"/>
        <v>3</v>
      </c>
      <c r="AL72" s="30">
        <f>IFERROR(AK72/AK148, "NA")</f>
        <v>185.0761131</v>
      </c>
    </row>
    <row r="73" ht="16.5" customHeight="1">
      <c r="A73" s="13" t="s">
        <v>132</v>
      </c>
      <c r="B73" s="14"/>
      <c r="C73" s="12"/>
      <c r="D73" s="14"/>
      <c r="E73" s="12"/>
      <c r="F73" s="14"/>
      <c r="G73" s="12"/>
      <c r="H73" s="14"/>
      <c r="I73" s="12"/>
      <c r="J73" s="14"/>
      <c r="K73" s="12"/>
      <c r="L73" s="14"/>
      <c r="M73" s="12"/>
      <c r="N73" s="14"/>
      <c r="O73" s="12"/>
      <c r="P73" s="14"/>
      <c r="Q73" s="12"/>
      <c r="R73" s="14"/>
      <c r="S73" s="12"/>
      <c r="T73" s="14"/>
      <c r="U73" s="12"/>
      <c r="V73" s="14"/>
      <c r="W73" s="12"/>
      <c r="X73" s="14"/>
      <c r="Y73" s="12"/>
      <c r="Z73" s="14"/>
      <c r="AA73" s="12"/>
      <c r="AB73" s="14"/>
      <c r="AC73" s="12"/>
      <c r="AD73" s="17"/>
      <c r="AE73" s="18"/>
      <c r="AF73" s="17"/>
      <c r="AG73" s="14"/>
      <c r="AH73" s="12"/>
      <c r="AI73" s="17"/>
      <c r="AJ73" s="18"/>
      <c r="AK73" s="17"/>
      <c r="AL73" s="18"/>
    </row>
    <row r="74" ht="16.5" customHeight="1">
      <c r="A74" s="19" t="s">
        <v>133</v>
      </c>
      <c r="B74" s="21">
        <v>604.47</v>
      </c>
      <c r="C74" s="23">
        <f>IFERROR(B74/B148, "NA")</f>
        <v>0.02267231534</v>
      </c>
      <c r="D74" s="21">
        <v>589.88</v>
      </c>
      <c r="E74" s="23">
        <f>IFERROR(D74/D148, "NA")</f>
        <v>0.0240285501</v>
      </c>
      <c r="F74" s="21">
        <v>446.19</v>
      </c>
      <c r="G74" s="23">
        <f>IFERROR(F74/F148, "NA")</f>
        <v>0.0178006206</v>
      </c>
      <c r="H74" s="21">
        <v>503.02</v>
      </c>
      <c r="I74" s="23">
        <f>IFERROR(H74/H148, "NA")</f>
        <v>0.03066228512</v>
      </c>
      <c r="J74" s="21">
        <v>547.92</v>
      </c>
      <c r="K74" s="23">
        <f>IFERROR(J74/J148, "NA")</f>
        <v>0.0218496168</v>
      </c>
      <c r="L74" s="21">
        <v>591.46</v>
      </c>
      <c r="M74" s="23">
        <f>IFERROR(L74/L148, "NA")</f>
        <v>0.02208929159</v>
      </c>
      <c r="N74" s="21">
        <v>585.64</v>
      </c>
      <c r="O74" s="23">
        <f>IFERROR(N74/N148, "NA")</f>
        <v>0.02803197035</v>
      </c>
      <c r="P74" s="21">
        <v>521.59</v>
      </c>
      <c r="Q74" s="23">
        <f>IFERROR(P74/P148, "NA")</f>
        <v>0.03524694962</v>
      </c>
      <c r="R74" s="21">
        <v>582.73</v>
      </c>
      <c r="S74" s="23">
        <f>IFERROR(R74/R148, "NA")</f>
        <v>0.0343315704</v>
      </c>
      <c r="T74" s="21">
        <v>630.91</v>
      </c>
      <c r="U74" s="23">
        <f>IFERROR(T74/T148, "NA")</f>
        <v>0.03087797983</v>
      </c>
      <c r="V74" s="21">
        <v>682.97</v>
      </c>
      <c r="W74" s="23">
        <f>IFERROR(V74/V148, "NA")</f>
        <v>0.02321822864</v>
      </c>
      <c r="X74" s="21">
        <v>568.43</v>
      </c>
      <c r="Y74" s="23">
        <f>IFERROR(X74/X148, "NA")</f>
        <v>0.02530690347</v>
      </c>
      <c r="Z74" s="21">
        <v>2465.04</v>
      </c>
      <c r="AA74" s="23">
        <f>IFERROR(Z74/Z148, "NA")</f>
        <v>0.02760939246</v>
      </c>
      <c r="AB74" s="28">
        <f t="shared" ref="AB74:AB85" si="37">IFERROR((R74+T74+V74+X74)/4, "NA")</f>
        <v>616.26</v>
      </c>
      <c r="AC74" s="23">
        <f>IFERROR(AB74/AB148, "NA")</f>
        <v>0.02760939246</v>
      </c>
      <c r="AD74" s="29">
        <f t="shared" ref="AD74:AD85" si="38">IFERROR(X74-AB74, "NA")</f>
        <v>-47.83</v>
      </c>
      <c r="AE74" s="30">
        <f>IFERROR(AD74/AD148, "NA")</f>
        <v>-0.3397137682</v>
      </c>
      <c r="AF74" s="29">
        <f t="shared" ref="AF74:AF85" si="39">IFERROR((X74-AB74)/AB74, "NA")</f>
        <v>-0.07761334502</v>
      </c>
      <c r="AG74" s="28">
        <f t="shared" ref="AG74:AG85" si="40">IFERROR((J74+L74+N74+P74+R74+T74+V74+X74)/8, "NA")</f>
        <v>588.95625</v>
      </c>
      <c r="AH74" s="23">
        <f>IFERROR(AG74/AG148, "NA")</f>
        <v>0.02664577299</v>
      </c>
      <c r="AI74" s="29">
        <f t="shared" ref="AI74:AI85" si="41">IFERROR(X74-AG74, "NA")</f>
        <v>-20.52625</v>
      </c>
      <c r="AJ74" s="30">
        <f>IFERROR(AI74/AI148, "NA")</f>
        <v>-0.05729068542</v>
      </c>
      <c r="AK74" s="29">
        <f t="shared" ref="AK74:AK85" si="42">IFERROR((X74-AG74)/AG74, "NA")</f>
        <v>-0.03485190963</v>
      </c>
      <c r="AL74" s="30">
        <f>IFERROR(AK74/AK148, "NA")</f>
        <v>-2.150085323</v>
      </c>
    </row>
    <row r="75" ht="16.5" hidden="1" customHeight="1">
      <c r="A75" s="19" t="s">
        <v>134</v>
      </c>
      <c r="B75" s="21">
        <v>0.0</v>
      </c>
      <c r="C75" s="23">
        <f>IFERROR(B75/B148, "NA")</f>
        <v>0</v>
      </c>
      <c r="D75" s="21">
        <v>0.0</v>
      </c>
      <c r="E75" s="23">
        <f>IFERROR(D75/D148, "NA")</f>
        <v>0</v>
      </c>
      <c r="F75" s="21">
        <v>0.0</v>
      </c>
      <c r="G75" s="23">
        <f>IFERROR(F75/F148, "NA")</f>
        <v>0</v>
      </c>
      <c r="H75" s="21">
        <v>0.0</v>
      </c>
      <c r="I75" s="23">
        <f>IFERROR(H75/H148, "NA")</f>
        <v>0</v>
      </c>
      <c r="J75" s="21">
        <v>0.0</v>
      </c>
      <c r="K75" s="23">
        <f>IFERROR(J75/J148, "NA")</f>
        <v>0</v>
      </c>
      <c r="L75" s="21">
        <v>0.0</v>
      </c>
      <c r="M75" s="23">
        <f>IFERROR(L75/L148, "NA")</f>
        <v>0</v>
      </c>
      <c r="N75" s="21">
        <v>0.0</v>
      </c>
      <c r="O75" s="23">
        <f>IFERROR(N75/N148, "NA")</f>
        <v>0</v>
      </c>
      <c r="P75" s="21">
        <v>0.0</v>
      </c>
      <c r="Q75" s="23">
        <f>IFERROR(P75/P148, "NA")</f>
        <v>0</v>
      </c>
      <c r="R75" s="21">
        <v>0.0</v>
      </c>
      <c r="S75" s="23">
        <f>IFERROR(R75/R148, "NA")</f>
        <v>0</v>
      </c>
      <c r="T75" s="21">
        <v>0.0</v>
      </c>
      <c r="U75" s="23">
        <f>IFERROR(T75/T148, "NA")</f>
        <v>0</v>
      </c>
      <c r="V75" s="21">
        <v>0.0</v>
      </c>
      <c r="W75" s="23">
        <f>IFERROR(V75/V148, "NA")</f>
        <v>0</v>
      </c>
      <c r="X75" s="21">
        <v>0.0</v>
      </c>
      <c r="Y75" s="23">
        <f>IFERROR(X75/X148, "NA")</f>
        <v>0</v>
      </c>
      <c r="Z75" s="21">
        <v>0.0</v>
      </c>
      <c r="AA75" s="23">
        <f>IFERROR(Z75/Z148, "NA")</f>
        <v>0</v>
      </c>
      <c r="AB75" s="28">
        <f t="shared" si="37"/>
        <v>0</v>
      </c>
      <c r="AC75" s="23">
        <f>IFERROR(AB75/AB148, "NA")</f>
        <v>0</v>
      </c>
      <c r="AD75" s="29">
        <f t="shared" si="38"/>
        <v>0</v>
      </c>
      <c r="AE75" s="30">
        <f>IFERROR(AD75/AD148, "NA")</f>
        <v>0</v>
      </c>
      <c r="AF75" s="29" t="str">
        <f t="shared" si="39"/>
        <v>NA</v>
      </c>
      <c r="AG75" s="28">
        <f t="shared" si="40"/>
        <v>0</v>
      </c>
      <c r="AH75" s="23">
        <f>IFERROR(AG75/AG148, "NA")</f>
        <v>0</v>
      </c>
      <c r="AI75" s="29">
        <f t="shared" si="41"/>
        <v>0</v>
      </c>
      <c r="AJ75" s="30">
        <f>IFERROR(AI75/AI148, "NA")</f>
        <v>0</v>
      </c>
      <c r="AK75" s="29" t="str">
        <f t="shared" si="42"/>
        <v>NA</v>
      </c>
      <c r="AL75" s="30" t="str">
        <f>IFERROR(AK75/AK148, "NA")</f>
        <v>NA</v>
      </c>
    </row>
    <row r="76" ht="16.5" hidden="1" customHeight="1">
      <c r="A76" s="19" t="s">
        <v>135</v>
      </c>
      <c r="B76" s="21">
        <v>0.0</v>
      </c>
      <c r="C76" s="23">
        <f>IFERROR(B76/B148, "NA")</f>
        <v>0</v>
      </c>
      <c r="D76" s="21">
        <v>0.0</v>
      </c>
      <c r="E76" s="23">
        <f>IFERROR(D76/D148, "NA")</f>
        <v>0</v>
      </c>
      <c r="F76" s="21">
        <v>0.0</v>
      </c>
      <c r="G76" s="23">
        <f>IFERROR(F76/F148, "NA")</f>
        <v>0</v>
      </c>
      <c r="H76" s="21">
        <v>0.0</v>
      </c>
      <c r="I76" s="23">
        <f>IFERROR(H76/H148, "NA")</f>
        <v>0</v>
      </c>
      <c r="J76" s="21">
        <v>0.0</v>
      </c>
      <c r="K76" s="23">
        <f>IFERROR(J76/J148, "NA")</f>
        <v>0</v>
      </c>
      <c r="L76" s="21">
        <v>0.0</v>
      </c>
      <c r="M76" s="23">
        <f>IFERROR(L76/L148, "NA")</f>
        <v>0</v>
      </c>
      <c r="N76" s="21">
        <v>0.0</v>
      </c>
      <c r="O76" s="23">
        <f>IFERROR(N76/N148, "NA")</f>
        <v>0</v>
      </c>
      <c r="P76" s="21">
        <v>0.0</v>
      </c>
      <c r="Q76" s="23">
        <f>IFERROR(P76/P148, "NA")</f>
        <v>0</v>
      </c>
      <c r="R76" s="21">
        <v>0.0</v>
      </c>
      <c r="S76" s="23">
        <f>IFERROR(R76/R148, "NA")</f>
        <v>0</v>
      </c>
      <c r="T76" s="21">
        <v>0.0</v>
      </c>
      <c r="U76" s="23">
        <f>IFERROR(T76/T148, "NA")</f>
        <v>0</v>
      </c>
      <c r="V76" s="21">
        <v>0.0</v>
      </c>
      <c r="W76" s="23">
        <f>IFERROR(V76/V148, "NA")</f>
        <v>0</v>
      </c>
      <c r="X76" s="21">
        <v>0.0</v>
      </c>
      <c r="Y76" s="23">
        <f>IFERROR(X76/X148, "NA")</f>
        <v>0</v>
      </c>
      <c r="Z76" s="21">
        <v>0.0</v>
      </c>
      <c r="AA76" s="23">
        <f>IFERROR(Z76/Z148, "NA")</f>
        <v>0</v>
      </c>
      <c r="AB76" s="28">
        <f t="shared" si="37"/>
        <v>0</v>
      </c>
      <c r="AC76" s="23">
        <f>IFERROR(AB76/AB148, "NA")</f>
        <v>0</v>
      </c>
      <c r="AD76" s="29">
        <f t="shared" si="38"/>
        <v>0</v>
      </c>
      <c r="AE76" s="30">
        <f>IFERROR(AD76/AD148, "NA")</f>
        <v>0</v>
      </c>
      <c r="AF76" s="29" t="str">
        <f t="shared" si="39"/>
        <v>NA</v>
      </c>
      <c r="AG76" s="28">
        <f t="shared" si="40"/>
        <v>0</v>
      </c>
      <c r="AH76" s="23">
        <f>IFERROR(AG76/AG148, "NA")</f>
        <v>0</v>
      </c>
      <c r="AI76" s="29">
        <f t="shared" si="41"/>
        <v>0</v>
      </c>
      <c r="AJ76" s="30">
        <f>IFERROR(AI76/AI148, "NA")</f>
        <v>0</v>
      </c>
      <c r="AK76" s="29" t="str">
        <f t="shared" si="42"/>
        <v>NA</v>
      </c>
      <c r="AL76" s="30" t="str">
        <f>IFERROR(AK76/AK148, "NA")</f>
        <v>NA</v>
      </c>
    </row>
    <row r="77" ht="16.5" hidden="1" customHeight="1">
      <c r="A77" s="19" t="s">
        <v>136</v>
      </c>
      <c r="B77" s="21">
        <v>0.0</v>
      </c>
      <c r="C77" s="23">
        <f>IFERROR(B77/B148, "NA")</f>
        <v>0</v>
      </c>
      <c r="D77" s="21">
        <v>0.0</v>
      </c>
      <c r="E77" s="23">
        <f>IFERROR(D77/D148, "NA")</f>
        <v>0</v>
      </c>
      <c r="F77" s="21">
        <v>0.0</v>
      </c>
      <c r="G77" s="23">
        <f>IFERROR(F77/F148, "NA")</f>
        <v>0</v>
      </c>
      <c r="H77" s="21">
        <v>0.0</v>
      </c>
      <c r="I77" s="23">
        <f>IFERROR(H77/H148, "NA")</f>
        <v>0</v>
      </c>
      <c r="J77" s="21">
        <v>0.0</v>
      </c>
      <c r="K77" s="23">
        <f>IFERROR(J77/J148, "NA")</f>
        <v>0</v>
      </c>
      <c r="L77" s="21">
        <v>0.0</v>
      </c>
      <c r="M77" s="23">
        <f>IFERROR(L77/L148, "NA")</f>
        <v>0</v>
      </c>
      <c r="N77" s="21">
        <v>0.0</v>
      </c>
      <c r="O77" s="23">
        <f>IFERROR(N77/N148, "NA")</f>
        <v>0</v>
      </c>
      <c r="P77" s="21">
        <v>0.0</v>
      </c>
      <c r="Q77" s="23">
        <f>IFERROR(P77/P148, "NA")</f>
        <v>0</v>
      </c>
      <c r="R77" s="21">
        <v>0.0</v>
      </c>
      <c r="S77" s="23">
        <f>IFERROR(R77/R148, "NA")</f>
        <v>0</v>
      </c>
      <c r="T77" s="21">
        <v>0.0</v>
      </c>
      <c r="U77" s="23">
        <f>IFERROR(T77/T148, "NA")</f>
        <v>0</v>
      </c>
      <c r="V77" s="21">
        <v>0.0</v>
      </c>
      <c r="W77" s="23">
        <f>IFERROR(V77/V148, "NA")</f>
        <v>0</v>
      </c>
      <c r="X77" s="21">
        <v>0.0</v>
      </c>
      <c r="Y77" s="23">
        <f>IFERROR(X77/X148, "NA")</f>
        <v>0</v>
      </c>
      <c r="Z77" s="21">
        <v>0.0</v>
      </c>
      <c r="AA77" s="23">
        <f>IFERROR(Z77/Z148, "NA")</f>
        <v>0</v>
      </c>
      <c r="AB77" s="28">
        <f t="shared" si="37"/>
        <v>0</v>
      </c>
      <c r="AC77" s="23">
        <f>IFERROR(AB77/AB148, "NA")</f>
        <v>0</v>
      </c>
      <c r="AD77" s="29">
        <f t="shared" si="38"/>
        <v>0</v>
      </c>
      <c r="AE77" s="30">
        <f>IFERROR(AD77/AD148, "NA")</f>
        <v>0</v>
      </c>
      <c r="AF77" s="29" t="str">
        <f t="shared" si="39"/>
        <v>NA</v>
      </c>
      <c r="AG77" s="28">
        <f t="shared" si="40"/>
        <v>0</v>
      </c>
      <c r="AH77" s="23">
        <f>IFERROR(AG77/AG148, "NA")</f>
        <v>0</v>
      </c>
      <c r="AI77" s="29">
        <f t="shared" si="41"/>
        <v>0</v>
      </c>
      <c r="AJ77" s="30">
        <f>IFERROR(AI77/AI148, "NA")</f>
        <v>0</v>
      </c>
      <c r="AK77" s="29" t="str">
        <f t="shared" si="42"/>
        <v>NA</v>
      </c>
      <c r="AL77" s="30" t="str">
        <f>IFERROR(AK77/AK148, "NA")</f>
        <v>NA</v>
      </c>
    </row>
    <row r="78" ht="16.5" hidden="1" customHeight="1">
      <c r="A78" s="19" t="s">
        <v>137</v>
      </c>
      <c r="B78" s="21">
        <v>0.0</v>
      </c>
      <c r="C78" s="23">
        <f>IFERROR(B78/B148, "NA")</f>
        <v>0</v>
      </c>
      <c r="D78" s="21">
        <v>0.0</v>
      </c>
      <c r="E78" s="23">
        <f>IFERROR(D78/D148, "NA")</f>
        <v>0</v>
      </c>
      <c r="F78" s="21">
        <v>0.0</v>
      </c>
      <c r="G78" s="23">
        <f>IFERROR(F78/F148, "NA")</f>
        <v>0</v>
      </c>
      <c r="H78" s="21">
        <v>0.0</v>
      </c>
      <c r="I78" s="23">
        <f>IFERROR(H78/H148, "NA")</f>
        <v>0</v>
      </c>
      <c r="J78" s="21">
        <v>0.0</v>
      </c>
      <c r="K78" s="23">
        <f>IFERROR(J78/J148, "NA")</f>
        <v>0</v>
      </c>
      <c r="L78" s="21">
        <v>0.0</v>
      </c>
      <c r="M78" s="23">
        <f>IFERROR(L78/L148, "NA")</f>
        <v>0</v>
      </c>
      <c r="N78" s="21">
        <v>0.0</v>
      </c>
      <c r="O78" s="23">
        <f>IFERROR(N78/N148, "NA")</f>
        <v>0</v>
      </c>
      <c r="P78" s="21">
        <v>0.0</v>
      </c>
      <c r="Q78" s="23">
        <f>IFERROR(P78/P148, "NA")</f>
        <v>0</v>
      </c>
      <c r="R78" s="21">
        <v>0.0</v>
      </c>
      <c r="S78" s="23">
        <f>IFERROR(R78/R148, "NA")</f>
        <v>0</v>
      </c>
      <c r="T78" s="21">
        <v>0.0</v>
      </c>
      <c r="U78" s="23">
        <f>IFERROR(T78/T148, "NA")</f>
        <v>0</v>
      </c>
      <c r="V78" s="21">
        <v>0.0</v>
      </c>
      <c r="W78" s="23">
        <f>IFERROR(V78/V148, "NA")</f>
        <v>0</v>
      </c>
      <c r="X78" s="21">
        <v>0.0</v>
      </c>
      <c r="Y78" s="23">
        <f>IFERROR(X78/X148, "NA")</f>
        <v>0</v>
      </c>
      <c r="Z78" s="21">
        <v>0.0</v>
      </c>
      <c r="AA78" s="23">
        <f>IFERROR(Z78/Z148, "NA")</f>
        <v>0</v>
      </c>
      <c r="AB78" s="28">
        <f t="shared" si="37"/>
        <v>0</v>
      </c>
      <c r="AC78" s="23">
        <f>IFERROR(AB78/AB148, "NA")</f>
        <v>0</v>
      </c>
      <c r="AD78" s="29">
        <f t="shared" si="38"/>
        <v>0</v>
      </c>
      <c r="AE78" s="30">
        <f>IFERROR(AD78/AD148, "NA")</f>
        <v>0</v>
      </c>
      <c r="AF78" s="29" t="str">
        <f t="shared" si="39"/>
        <v>NA</v>
      </c>
      <c r="AG78" s="28">
        <f t="shared" si="40"/>
        <v>0</v>
      </c>
      <c r="AH78" s="23">
        <f>IFERROR(AG78/AG148, "NA")</f>
        <v>0</v>
      </c>
      <c r="AI78" s="29">
        <f t="shared" si="41"/>
        <v>0</v>
      </c>
      <c r="AJ78" s="30">
        <f>IFERROR(AI78/AI148, "NA")</f>
        <v>0</v>
      </c>
      <c r="AK78" s="29" t="str">
        <f t="shared" si="42"/>
        <v>NA</v>
      </c>
      <c r="AL78" s="30" t="str">
        <f>IFERROR(AK78/AK148, "NA")</f>
        <v>NA</v>
      </c>
    </row>
    <row r="79" ht="16.5" hidden="1" customHeight="1">
      <c r="A79" s="19" t="s">
        <v>139</v>
      </c>
      <c r="B79" s="21">
        <v>0.0</v>
      </c>
      <c r="C79" s="23">
        <f>IFERROR(B79/B148, "NA")</f>
        <v>0</v>
      </c>
      <c r="D79" s="21">
        <v>0.0</v>
      </c>
      <c r="E79" s="23">
        <f>IFERROR(D79/D148, "NA")</f>
        <v>0</v>
      </c>
      <c r="F79" s="21">
        <v>0.0</v>
      </c>
      <c r="G79" s="23">
        <f>IFERROR(F79/F148, "NA")</f>
        <v>0</v>
      </c>
      <c r="H79" s="21">
        <v>0.0</v>
      </c>
      <c r="I79" s="23">
        <f>IFERROR(H79/H148, "NA")</f>
        <v>0</v>
      </c>
      <c r="J79" s="21">
        <v>0.0</v>
      </c>
      <c r="K79" s="23">
        <f>IFERROR(J79/J148, "NA")</f>
        <v>0</v>
      </c>
      <c r="L79" s="21">
        <v>0.0</v>
      </c>
      <c r="M79" s="23">
        <f>IFERROR(L79/L148, "NA")</f>
        <v>0</v>
      </c>
      <c r="N79" s="21">
        <v>0.0</v>
      </c>
      <c r="O79" s="23">
        <f>IFERROR(N79/N148, "NA")</f>
        <v>0</v>
      </c>
      <c r="P79" s="21">
        <v>0.0</v>
      </c>
      <c r="Q79" s="23">
        <f>IFERROR(P79/P148, "NA")</f>
        <v>0</v>
      </c>
      <c r="R79" s="21">
        <v>0.0</v>
      </c>
      <c r="S79" s="23">
        <f>IFERROR(R79/R148, "NA")</f>
        <v>0</v>
      </c>
      <c r="T79" s="21">
        <v>0.0</v>
      </c>
      <c r="U79" s="23">
        <f>IFERROR(T79/T148, "NA")</f>
        <v>0</v>
      </c>
      <c r="V79" s="21">
        <v>0.0</v>
      </c>
      <c r="W79" s="23">
        <f>IFERROR(V79/V148, "NA")</f>
        <v>0</v>
      </c>
      <c r="X79" s="21">
        <v>0.0</v>
      </c>
      <c r="Y79" s="23">
        <f>IFERROR(X79/X148, "NA")</f>
        <v>0</v>
      </c>
      <c r="Z79" s="21">
        <v>0.0</v>
      </c>
      <c r="AA79" s="23">
        <f>IFERROR(Z79/Z148, "NA")</f>
        <v>0</v>
      </c>
      <c r="AB79" s="28">
        <f t="shared" si="37"/>
        <v>0</v>
      </c>
      <c r="AC79" s="23">
        <f>IFERROR(AB79/AB148, "NA")</f>
        <v>0</v>
      </c>
      <c r="AD79" s="29">
        <f t="shared" si="38"/>
        <v>0</v>
      </c>
      <c r="AE79" s="30">
        <f>IFERROR(AD79/AD148, "NA")</f>
        <v>0</v>
      </c>
      <c r="AF79" s="29" t="str">
        <f t="shared" si="39"/>
        <v>NA</v>
      </c>
      <c r="AG79" s="28">
        <f t="shared" si="40"/>
        <v>0</v>
      </c>
      <c r="AH79" s="23">
        <f>IFERROR(AG79/AG148, "NA")</f>
        <v>0</v>
      </c>
      <c r="AI79" s="29">
        <f t="shared" si="41"/>
        <v>0</v>
      </c>
      <c r="AJ79" s="30">
        <f>IFERROR(AI79/AI148, "NA")</f>
        <v>0</v>
      </c>
      <c r="AK79" s="29" t="str">
        <f t="shared" si="42"/>
        <v>NA</v>
      </c>
      <c r="AL79" s="30" t="str">
        <f>IFERROR(AK79/AK148, "NA")</f>
        <v>NA</v>
      </c>
    </row>
    <row r="80" ht="16.5" hidden="1" customHeight="1">
      <c r="A80" s="19" t="s">
        <v>141</v>
      </c>
      <c r="B80" s="21">
        <v>0.0</v>
      </c>
      <c r="C80" s="23">
        <f>IFERROR(B80/B148, "NA")</f>
        <v>0</v>
      </c>
      <c r="D80" s="21">
        <v>0.0</v>
      </c>
      <c r="E80" s="23">
        <f>IFERROR(D80/D148, "NA")</f>
        <v>0</v>
      </c>
      <c r="F80" s="21">
        <v>0.0</v>
      </c>
      <c r="G80" s="23">
        <f>IFERROR(F80/F148, "NA")</f>
        <v>0</v>
      </c>
      <c r="H80" s="21">
        <v>0.0</v>
      </c>
      <c r="I80" s="23">
        <f>IFERROR(H80/H148, "NA")</f>
        <v>0</v>
      </c>
      <c r="J80" s="21">
        <v>0.0</v>
      </c>
      <c r="K80" s="23">
        <f>IFERROR(J80/J148, "NA")</f>
        <v>0</v>
      </c>
      <c r="L80" s="21">
        <v>0.0</v>
      </c>
      <c r="M80" s="23">
        <f>IFERROR(L80/L148, "NA")</f>
        <v>0</v>
      </c>
      <c r="N80" s="21">
        <v>0.0</v>
      </c>
      <c r="O80" s="23">
        <f>IFERROR(N80/N148, "NA")</f>
        <v>0</v>
      </c>
      <c r="P80" s="21">
        <v>0.0</v>
      </c>
      <c r="Q80" s="23">
        <f>IFERROR(P80/P148, "NA")</f>
        <v>0</v>
      </c>
      <c r="R80" s="21">
        <v>0.0</v>
      </c>
      <c r="S80" s="23">
        <f>IFERROR(R80/R148, "NA")</f>
        <v>0</v>
      </c>
      <c r="T80" s="21">
        <v>0.0</v>
      </c>
      <c r="U80" s="23">
        <f>IFERROR(T80/T148, "NA")</f>
        <v>0</v>
      </c>
      <c r="V80" s="21">
        <v>0.0</v>
      </c>
      <c r="W80" s="23">
        <f>IFERROR(V80/V148, "NA")</f>
        <v>0</v>
      </c>
      <c r="X80" s="21">
        <v>0.0</v>
      </c>
      <c r="Y80" s="23">
        <f>IFERROR(X80/X148, "NA")</f>
        <v>0</v>
      </c>
      <c r="Z80" s="21">
        <v>0.0</v>
      </c>
      <c r="AA80" s="23">
        <f>IFERROR(Z80/Z148, "NA")</f>
        <v>0</v>
      </c>
      <c r="AB80" s="28">
        <f t="shared" si="37"/>
        <v>0</v>
      </c>
      <c r="AC80" s="23">
        <f>IFERROR(AB80/AB148, "NA")</f>
        <v>0</v>
      </c>
      <c r="AD80" s="29">
        <f t="shared" si="38"/>
        <v>0</v>
      </c>
      <c r="AE80" s="30">
        <f>IFERROR(AD80/AD148, "NA")</f>
        <v>0</v>
      </c>
      <c r="AF80" s="29" t="str">
        <f t="shared" si="39"/>
        <v>NA</v>
      </c>
      <c r="AG80" s="28">
        <f t="shared" si="40"/>
        <v>0</v>
      </c>
      <c r="AH80" s="23">
        <f>IFERROR(AG80/AG148, "NA")</f>
        <v>0</v>
      </c>
      <c r="AI80" s="29">
        <f t="shared" si="41"/>
        <v>0</v>
      </c>
      <c r="AJ80" s="30">
        <f>IFERROR(AI80/AI148, "NA")</f>
        <v>0</v>
      </c>
      <c r="AK80" s="29" t="str">
        <f t="shared" si="42"/>
        <v>NA</v>
      </c>
      <c r="AL80" s="30" t="str">
        <f>IFERROR(AK80/AK148, "NA")</f>
        <v>NA</v>
      </c>
    </row>
    <row r="81" ht="16.5" customHeight="1">
      <c r="A81" s="65" t="s">
        <v>142</v>
      </c>
      <c r="B81" s="66">
        <f>IFERROR(B74+B75+B76+B77+B78+B79+B80, "NA")</f>
        <v>604.47</v>
      </c>
      <c r="C81" s="67">
        <f>IFERROR(B81/B148, "NA")</f>
        <v>0.02267231534</v>
      </c>
      <c r="D81" s="66">
        <f>IFERROR(D74+D75+D76+D77+D78+D79+D80, "NA")</f>
        <v>589.88</v>
      </c>
      <c r="E81" s="67">
        <f>IFERROR(D81/D148, "NA")</f>
        <v>0.0240285501</v>
      </c>
      <c r="F81" s="66">
        <f>IFERROR(F74+F75+F76+F77+F78+F79+F80, "NA")</f>
        <v>446.19</v>
      </c>
      <c r="G81" s="67">
        <f>IFERROR(F81/F148, "NA")</f>
        <v>0.0178006206</v>
      </c>
      <c r="H81" s="66">
        <f>IFERROR(H74+H75+H76+H77+H78+H79+H80, "NA")</f>
        <v>503.02</v>
      </c>
      <c r="I81" s="67">
        <f>IFERROR(H81/H148, "NA")</f>
        <v>0.03066228512</v>
      </c>
      <c r="J81" s="66">
        <f>IFERROR(J74+J75+J76+J77+J78+J79+J80, "NA")</f>
        <v>547.92</v>
      </c>
      <c r="K81" s="67">
        <f>IFERROR(J81/J148, "NA")</f>
        <v>0.0218496168</v>
      </c>
      <c r="L81" s="66">
        <f>IFERROR(L74+L75+L76+L77+L78+L79+L80, "NA")</f>
        <v>591.46</v>
      </c>
      <c r="M81" s="67">
        <f>IFERROR(L81/L148, "NA")</f>
        <v>0.02208929159</v>
      </c>
      <c r="N81" s="66">
        <f>IFERROR(N74+N75+N76+N77+N78+N79+N80, "NA")</f>
        <v>585.64</v>
      </c>
      <c r="O81" s="67">
        <f>IFERROR(N81/N148, "NA")</f>
        <v>0.02803197035</v>
      </c>
      <c r="P81" s="66">
        <f>IFERROR(P74+P75+P76+P77+P78+P79+P80, "NA")</f>
        <v>521.59</v>
      </c>
      <c r="Q81" s="67">
        <f>IFERROR(P81/P148, "NA")</f>
        <v>0.03524694962</v>
      </c>
      <c r="R81" s="66">
        <f>IFERROR(R74+R75+R76+R77+R78+R79+R80, "NA")</f>
        <v>582.73</v>
      </c>
      <c r="S81" s="67">
        <f>IFERROR(R81/R148, "NA")</f>
        <v>0.0343315704</v>
      </c>
      <c r="T81" s="66">
        <f>IFERROR(T74+T75+T76+T77+T78+T79+T80, "NA")</f>
        <v>630.91</v>
      </c>
      <c r="U81" s="67">
        <f>IFERROR(T81/T148, "NA")</f>
        <v>0.03087797983</v>
      </c>
      <c r="V81" s="66">
        <f>IFERROR(V74+V75+V76+V77+V78+V79+V80, "NA")</f>
        <v>682.97</v>
      </c>
      <c r="W81" s="67">
        <f>IFERROR(V81/V148, "NA")</f>
        <v>0.02321822864</v>
      </c>
      <c r="X81" s="66">
        <f>IFERROR(X74+X75+X76+X77+X78+X79+X80, "NA")</f>
        <v>568.43</v>
      </c>
      <c r="Y81" s="67">
        <f>IFERROR(X81/X148, "NA")</f>
        <v>0.02530690347</v>
      </c>
      <c r="Z81" s="66">
        <f>IFERROR(Z74+Z75+Z76+Z77+Z78+Z79+Z80, "NA")</f>
        <v>2465.04</v>
      </c>
      <c r="AA81" s="67">
        <f>IFERROR(Z81/Z148, "NA")</f>
        <v>0.02760939246</v>
      </c>
      <c r="AB81" s="66">
        <f t="shared" si="37"/>
        <v>616.26</v>
      </c>
      <c r="AC81" s="67">
        <f>IFERROR(AB81/AB148, "NA")</f>
        <v>0.02760939246</v>
      </c>
      <c r="AD81" s="75">
        <f t="shared" si="38"/>
        <v>-47.83</v>
      </c>
      <c r="AE81" s="76">
        <f>IFERROR(AD81/AD148, "NA")</f>
        <v>-0.3397137682</v>
      </c>
      <c r="AF81" s="75">
        <f t="shared" si="39"/>
        <v>-0.07761334502</v>
      </c>
      <c r="AG81" s="66">
        <f t="shared" si="40"/>
        <v>588.95625</v>
      </c>
      <c r="AH81" s="67">
        <f>IFERROR(AG81/AG148, "NA")</f>
        <v>0.02664577299</v>
      </c>
      <c r="AI81" s="75">
        <f t="shared" si="41"/>
        <v>-20.52625</v>
      </c>
      <c r="AJ81" s="76">
        <f>IFERROR(AI81/AI148, "NA")</f>
        <v>-0.05729068542</v>
      </c>
      <c r="AK81" s="75">
        <f t="shared" si="42"/>
        <v>-0.03485190963</v>
      </c>
      <c r="AL81" s="76">
        <f>IFERROR(AK81/AK148, "NA")</f>
        <v>-2.150085323</v>
      </c>
    </row>
    <row r="82" ht="16.5" customHeight="1">
      <c r="A82" s="19" t="s">
        <v>145</v>
      </c>
      <c r="B82" s="21">
        <v>0.0</v>
      </c>
      <c r="C82" s="23">
        <f>IFERROR(B82/B148, "NA")</f>
        <v>0</v>
      </c>
      <c r="D82" s="21">
        <v>0.0</v>
      </c>
      <c r="E82" s="23">
        <f>IFERROR(D82/D148, "NA")</f>
        <v>0</v>
      </c>
      <c r="F82" s="21">
        <v>0.0</v>
      </c>
      <c r="G82" s="23">
        <f>IFERROR(F82/F148, "NA")</f>
        <v>0</v>
      </c>
      <c r="H82" s="21">
        <v>275.6</v>
      </c>
      <c r="I82" s="23">
        <f>IFERROR(H82/H148, "NA")</f>
        <v>0.01679958208</v>
      </c>
      <c r="J82" s="21">
        <v>0.0</v>
      </c>
      <c r="K82" s="23">
        <f>IFERROR(J82/J148, "NA")</f>
        <v>0</v>
      </c>
      <c r="L82" s="21">
        <v>0.0</v>
      </c>
      <c r="M82" s="23">
        <f>IFERROR(L82/L148, "NA")</f>
        <v>0</v>
      </c>
      <c r="N82" s="21">
        <v>0.0</v>
      </c>
      <c r="O82" s="23">
        <f>IFERROR(N82/N148, "NA")</f>
        <v>0</v>
      </c>
      <c r="P82" s="21">
        <v>0.0</v>
      </c>
      <c r="Q82" s="23">
        <f>IFERROR(P82/P148, "NA")</f>
        <v>0</v>
      </c>
      <c r="R82" s="21">
        <v>275.6</v>
      </c>
      <c r="S82" s="23">
        <f>IFERROR(R82/R148, "NA")</f>
        <v>0.01623698935</v>
      </c>
      <c r="T82" s="21">
        <v>0.0</v>
      </c>
      <c r="U82" s="23">
        <f>IFERROR(T82/T148, "NA")</f>
        <v>0</v>
      </c>
      <c r="V82" s="21">
        <v>0.0</v>
      </c>
      <c r="W82" s="23">
        <f>IFERROR(V82/V148, "NA")</f>
        <v>0</v>
      </c>
      <c r="X82" s="21">
        <v>0.0</v>
      </c>
      <c r="Y82" s="23">
        <f>IFERROR(X82/X148, "NA")</f>
        <v>0</v>
      </c>
      <c r="Z82" s="21">
        <v>275.6</v>
      </c>
      <c r="AA82" s="23">
        <f>IFERROR(Z82/Z148, "NA")</f>
        <v>0.003086825594</v>
      </c>
      <c r="AB82" s="28">
        <f t="shared" si="37"/>
        <v>68.9</v>
      </c>
      <c r="AC82" s="23">
        <f>IFERROR(AB82/AB148, "NA")</f>
        <v>0.003086825594</v>
      </c>
      <c r="AD82" s="29">
        <f t="shared" si="38"/>
        <v>-68.9</v>
      </c>
      <c r="AE82" s="30">
        <f>IFERROR(AD82/AD148, "NA")</f>
        <v>-0.4893639689</v>
      </c>
      <c r="AF82" s="29">
        <f t="shared" si="39"/>
        <v>-1</v>
      </c>
      <c r="AG82" s="28">
        <f t="shared" si="40"/>
        <v>34.45</v>
      </c>
      <c r="AH82" s="23">
        <f>IFERROR(AG82/AG148, "NA")</f>
        <v>0.001558599437</v>
      </c>
      <c r="AI82" s="29">
        <f t="shared" si="41"/>
        <v>-34.45</v>
      </c>
      <c r="AJ82" s="30">
        <f>IFERROR(AI82/AI148, "NA")</f>
        <v>-0.09615317522</v>
      </c>
      <c r="AK82" s="29">
        <f t="shared" si="42"/>
        <v>-1</v>
      </c>
      <c r="AL82" s="30">
        <f>IFERROR(AK82/AK148, "NA")</f>
        <v>-61.69203771</v>
      </c>
    </row>
    <row r="83" ht="16.5" customHeight="1">
      <c r="A83" s="19" t="s">
        <v>147</v>
      </c>
      <c r="B83" s="21">
        <v>-110.42</v>
      </c>
      <c r="C83" s="23">
        <f>IFERROR(B83/B148, "NA")</f>
        <v>-0.004141606795</v>
      </c>
      <c r="D83" s="21">
        <v>73.69</v>
      </c>
      <c r="E83" s="23">
        <f>IFERROR(D83/D148, "NA")</f>
        <v>0.003001735703</v>
      </c>
      <c r="F83" s="21">
        <v>-110.42</v>
      </c>
      <c r="G83" s="23">
        <f>IFERROR(F83/F148, "NA")</f>
        <v>-0.004405173865</v>
      </c>
      <c r="H83" s="21">
        <v>-110.42</v>
      </c>
      <c r="I83" s="23">
        <f>IFERROR(H83/H148, "NA")</f>
        <v>-0.006730804984</v>
      </c>
      <c r="J83" s="21">
        <v>0.0</v>
      </c>
      <c r="K83" s="23">
        <f>IFERROR(J83/J148, "NA")</f>
        <v>0</v>
      </c>
      <c r="L83" s="21">
        <v>0.0</v>
      </c>
      <c r="M83" s="23">
        <f>IFERROR(L83/L148, "NA")</f>
        <v>0</v>
      </c>
      <c r="N83" s="21">
        <v>0.0</v>
      </c>
      <c r="O83" s="23">
        <f>IFERROR(N83/N148, "NA")</f>
        <v>0</v>
      </c>
      <c r="P83" s="21">
        <v>0.0</v>
      </c>
      <c r="Q83" s="23">
        <f>IFERROR(P83/P148, "NA")</f>
        <v>0</v>
      </c>
      <c r="R83" s="21">
        <v>0.0</v>
      </c>
      <c r="S83" s="23">
        <f>IFERROR(R83/R148, "NA")</f>
        <v>0</v>
      </c>
      <c r="T83" s="21">
        <v>0.0</v>
      </c>
      <c r="U83" s="23">
        <f>IFERROR(T83/T148, "NA")</f>
        <v>0</v>
      </c>
      <c r="V83" s="21">
        <v>0.0</v>
      </c>
      <c r="W83" s="23">
        <f>IFERROR(V83/V148, "NA")</f>
        <v>0</v>
      </c>
      <c r="X83" s="21">
        <v>0.0</v>
      </c>
      <c r="Y83" s="23">
        <f>IFERROR(X83/X148, "NA")</f>
        <v>0</v>
      </c>
      <c r="Z83" s="21">
        <v>0.0</v>
      </c>
      <c r="AA83" s="23">
        <f>IFERROR(Z83/Z148, "NA")</f>
        <v>0</v>
      </c>
      <c r="AB83" s="28">
        <f t="shared" si="37"/>
        <v>0</v>
      </c>
      <c r="AC83" s="23">
        <f>IFERROR(AB83/AB148, "NA")</f>
        <v>0</v>
      </c>
      <c r="AD83" s="29">
        <f t="shared" si="38"/>
        <v>0</v>
      </c>
      <c r="AE83" s="30">
        <f>IFERROR(AD83/AD148, "NA")</f>
        <v>0</v>
      </c>
      <c r="AF83" s="29" t="str">
        <f t="shared" si="39"/>
        <v>NA</v>
      </c>
      <c r="AG83" s="28">
        <f t="shared" si="40"/>
        <v>0</v>
      </c>
      <c r="AH83" s="23">
        <f>IFERROR(AG83/AG148, "NA")</f>
        <v>0</v>
      </c>
      <c r="AI83" s="29">
        <f t="shared" si="41"/>
        <v>0</v>
      </c>
      <c r="AJ83" s="30">
        <f>IFERROR(AI83/AI148, "NA")</f>
        <v>0</v>
      </c>
      <c r="AK83" s="29" t="str">
        <f t="shared" si="42"/>
        <v>NA</v>
      </c>
      <c r="AL83" s="30" t="str">
        <f>IFERROR(AK83/AK148, "NA")</f>
        <v>NA</v>
      </c>
    </row>
    <row r="84" ht="16.5" customHeight="1">
      <c r="A84" s="65" t="s">
        <v>56</v>
      </c>
      <c r="B84" s="66">
        <f>IFERROR(B63+B65+B66+B67+B68+B69+B71+B72+B74+B75+B76+B77+B78+B79+B80+B82+B83, "NA")</f>
        <v>7248.29</v>
      </c>
      <c r="C84" s="67">
        <f>IFERROR(B84/B148, "NA")</f>
        <v>0.2718671175</v>
      </c>
      <c r="D84" s="66">
        <f>IFERROR(D63+D65+D66+D67+D68+D69+D71+D72+D74+D75+D76+D77+D78+D79+D80+D82+D83, "NA")</f>
        <v>7479.4</v>
      </c>
      <c r="E84" s="67">
        <f>IFERROR(D84/D148, "NA")</f>
        <v>0.3046706747</v>
      </c>
      <c r="F84" s="66">
        <f>IFERROR(F63+F65+F66+F67+F68+F69+F71+F72+F74+F75+F76+F77+F78+F79+F80+F82+F83, "NA")</f>
        <v>5757.41</v>
      </c>
      <c r="G84" s="67">
        <f>IFERROR(F84/F148, "NA")</f>
        <v>0.2296902016</v>
      </c>
      <c r="H84" s="66">
        <f>IFERROR(H63+H65+H66+H67+H68+H69+H71+H72+H74+H75+H76+H77+H78+H79+H80+H82+H83, "NA")</f>
        <v>6520.76</v>
      </c>
      <c r="I84" s="67">
        <f>IFERROR(H84/H148, "NA")</f>
        <v>0.3974820133</v>
      </c>
      <c r="J84" s="66">
        <f>IFERROR(J63+J65+J66+J67+J68+J69+J71+J72+J74+J75+J76+J77+J78+J79+J80+J82+J83, "NA")</f>
        <v>6695.19</v>
      </c>
      <c r="K84" s="67">
        <f>IFERROR(J84/J148, "NA")</f>
        <v>0.2669866694</v>
      </c>
      <c r="L84" s="66">
        <f>IFERROR(L63+L65+L66+L67+L68+L69+L71+L72+L74+L75+L76+L77+L78+L79+L80+L82+L83, "NA")</f>
        <v>7142.11</v>
      </c>
      <c r="M84" s="67">
        <f>IFERROR(L84/L148, "NA")</f>
        <v>0.2667368044</v>
      </c>
      <c r="N84" s="66">
        <f>IFERROR(N63+N65+N66+N67+N68+N69+N71+N72+N74+N75+N76+N77+N78+N79+N80+N82+N83, "NA")</f>
        <v>6967.66</v>
      </c>
      <c r="O84" s="67">
        <f>IFERROR(N84/N148, "NA")</f>
        <v>0.3335107549</v>
      </c>
      <c r="P84" s="66">
        <f>IFERROR(P63+P65+P66+P67+P68+P69+P71+P72+P74+P75+P76+P77+P78+P79+P80+P82+P83, "NA")</f>
        <v>6491.81</v>
      </c>
      <c r="Q84" s="67">
        <f>IFERROR(P84/P148, "NA")</f>
        <v>0.4386903507</v>
      </c>
      <c r="R84" s="66">
        <f>IFERROR(R63+R65+R66+R67+R68+R69+R71+R72+R74+R75+R76+R77+R78+R79+R80+R82+R83, "NA")</f>
        <v>7000.06</v>
      </c>
      <c r="S84" s="67">
        <f>IFERROR(R84/R148, "NA")</f>
        <v>0.4124089247</v>
      </c>
      <c r="T84" s="66">
        <f>IFERROR(T63+T65+T66+T67+T68+T69+T71+T72+T74+T75+T76+T77+T78+T79+T80+T82+T83, "NA")</f>
        <v>7129</v>
      </c>
      <c r="U84" s="67">
        <f>IFERROR(T84/T148, "NA")</f>
        <v>0.3489073215</v>
      </c>
      <c r="V84" s="66">
        <f>IFERROR(V63+V65+V66+V67+V68+V69+V71+V72+V74+V75+V76+V77+V78+V79+V80+V82+V83, "NA")</f>
        <v>7723.06</v>
      </c>
      <c r="W84" s="67">
        <f>IFERROR(V84/V148, "NA")</f>
        <v>0.2625529275</v>
      </c>
      <c r="X84" s="66">
        <f>IFERROR(X63+X65+X66+X67+X68+X69+X71+X72+X74+X75+X76+X77+X78+X79+X80+X82+X83, "NA")</f>
        <v>6765.49</v>
      </c>
      <c r="Y84" s="67">
        <f>IFERROR(X84/X148, "NA")</f>
        <v>0.3012043741</v>
      </c>
      <c r="Z84" s="66">
        <f>IFERROR(Z63+Z65+Z66+Z67+Z68+Z69+Z71+Z72+Z74+Z75+Z76+Z77+Z78+Z79+Z80+Z82+Z83, "NA")</f>
        <v>28617.61</v>
      </c>
      <c r="AA84" s="67">
        <f>IFERROR(Z84/Z148, "NA")</f>
        <v>0.3205281966</v>
      </c>
      <c r="AB84" s="66">
        <f t="shared" si="37"/>
        <v>7154.4025</v>
      </c>
      <c r="AC84" s="67">
        <f>IFERROR(AB84/AB148, "NA")</f>
        <v>0.3205281966</v>
      </c>
      <c r="AD84" s="75">
        <f t="shared" si="38"/>
        <v>-388.9125</v>
      </c>
      <c r="AE84" s="76">
        <f>IFERROR(AD84/AD148, "NA")</f>
        <v>-2.762260734</v>
      </c>
      <c r="AF84" s="75">
        <f t="shared" si="39"/>
        <v>-0.0543598854</v>
      </c>
      <c r="AG84" s="66">
        <f t="shared" si="40"/>
        <v>6989.2975</v>
      </c>
      <c r="AH84" s="67">
        <f>IFERROR(AG84/AG148, "NA")</f>
        <v>0.316212341</v>
      </c>
      <c r="AI84" s="75">
        <f t="shared" si="41"/>
        <v>-223.8075</v>
      </c>
      <c r="AJ84" s="76">
        <f>IFERROR(AI84/AI148, "NA")</f>
        <v>-0.6246676854</v>
      </c>
      <c r="AK84" s="75">
        <f t="shared" si="42"/>
        <v>-0.03202145852</v>
      </c>
      <c r="AL84" s="76">
        <f>IFERROR(AK84/AK148, "NA")</f>
        <v>-1.975469027</v>
      </c>
    </row>
    <row r="85" ht="16.5" customHeight="1">
      <c r="A85" s="65" t="s">
        <v>56</v>
      </c>
      <c r="B85" s="118">
        <f>IFERROR(B63+B65+B66+B67+B68+B69+B71+B72+B74+B75+B76+B77+B78+B79+B80+B82+B83, "NA")</f>
        <v>7248.29</v>
      </c>
      <c r="C85" s="92">
        <f>IFERROR(B85/B148, "NA")</f>
        <v>0.2718671175</v>
      </c>
      <c r="D85" s="118">
        <f>IFERROR(D63+D65+D66+D67+D68+D69+D71+D72+D74+D75+D76+D77+D78+D79+D80+D82+D83, "NA")</f>
        <v>7479.4</v>
      </c>
      <c r="E85" s="92">
        <f>IFERROR(D85/D148, "NA")</f>
        <v>0.3046706747</v>
      </c>
      <c r="F85" s="118">
        <f>IFERROR(F63+F65+F66+F67+F68+F69+F71+F72+F74+F75+F76+F77+F78+F79+F80+F82+F83, "NA")</f>
        <v>5757.41</v>
      </c>
      <c r="G85" s="92">
        <f>IFERROR(F85/F148, "NA")</f>
        <v>0.2296902016</v>
      </c>
      <c r="H85" s="118">
        <f>IFERROR(H63+H65+H66+H67+H68+H69+H71+H72+H74+H75+H76+H77+H78+H79+H80+H82+H83, "NA")</f>
        <v>6520.76</v>
      </c>
      <c r="I85" s="92">
        <f>IFERROR(H85/H148, "NA")</f>
        <v>0.3974820133</v>
      </c>
      <c r="J85" s="118">
        <f>IFERROR(J63+J65+J66+J67+J68+J69+J71+J72+J74+J75+J76+J77+J78+J79+J80+J82+J83, "NA")</f>
        <v>6695.19</v>
      </c>
      <c r="K85" s="92">
        <f>IFERROR(J85/J148, "NA")</f>
        <v>0.2669866694</v>
      </c>
      <c r="L85" s="118">
        <f>IFERROR(L63+L65+L66+L67+L68+L69+L71+L72+L74+L75+L76+L77+L78+L79+L80+L82+L83, "NA")</f>
        <v>7142.11</v>
      </c>
      <c r="M85" s="92">
        <f>IFERROR(L85/L148, "NA")</f>
        <v>0.2667368044</v>
      </c>
      <c r="N85" s="118">
        <f>IFERROR(N63+N65+N66+N67+N68+N69+N71+N72+N74+N75+N76+N77+N78+N79+N80+N82+N83, "NA")</f>
        <v>6967.66</v>
      </c>
      <c r="O85" s="92">
        <f>IFERROR(N85/N148, "NA")</f>
        <v>0.3335107549</v>
      </c>
      <c r="P85" s="118">
        <f>IFERROR(P63+P65+P66+P67+P68+P69+P71+P72+P74+P75+P76+P77+P78+P79+P80+P82+P83, "NA")</f>
        <v>6491.81</v>
      </c>
      <c r="Q85" s="92">
        <f>IFERROR(P85/P148, "NA")</f>
        <v>0.4386903507</v>
      </c>
      <c r="R85" s="118">
        <f>IFERROR(R63+R65+R66+R67+R68+R69+R71+R72+R74+R75+R76+R77+R78+R79+R80+R82+R83, "NA")</f>
        <v>7000.06</v>
      </c>
      <c r="S85" s="92">
        <f>IFERROR(R85/R148, "NA")</f>
        <v>0.4124089247</v>
      </c>
      <c r="T85" s="118">
        <f>IFERROR(T63+T65+T66+T67+T68+T69+T71+T72+T74+T75+T76+T77+T78+T79+T80+T82+T83, "NA")</f>
        <v>7129</v>
      </c>
      <c r="U85" s="92">
        <f>IFERROR(T85/T148, "NA")</f>
        <v>0.3489073215</v>
      </c>
      <c r="V85" s="118">
        <f>IFERROR(V63+V65+V66+V67+V68+V69+V71+V72+V74+V75+V76+V77+V78+V79+V80+V82+V83, "NA")</f>
        <v>7723.06</v>
      </c>
      <c r="W85" s="92">
        <f>IFERROR(V85/V148, "NA")</f>
        <v>0.2625529275</v>
      </c>
      <c r="X85" s="118">
        <f>IFERROR(X63+X65+X66+X67+X68+X69+X71+X72+X74+X75+X76+X77+X78+X79+X80+X82+X83, "NA")</f>
        <v>6765.49</v>
      </c>
      <c r="Y85" s="92">
        <f>IFERROR(X85/X148, "NA")</f>
        <v>0.3012043741</v>
      </c>
      <c r="Z85" s="118">
        <f>IFERROR(Z63+Z65+Z66+Z67+Z68+Z69+Z71+Z72+Z74+Z75+Z76+Z77+Z78+Z79+Z80+Z82+Z83, "NA")</f>
        <v>28617.61</v>
      </c>
      <c r="AA85" s="92">
        <f>IFERROR(Z85/Z148, "NA")</f>
        <v>0.3205281966</v>
      </c>
      <c r="AB85" s="118">
        <f t="shared" si="37"/>
        <v>7154.4025</v>
      </c>
      <c r="AC85" s="92">
        <f>IFERROR(AB85/AB148, "NA")</f>
        <v>0.3205281966</v>
      </c>
      <c r="AD85" s="119">
        <f t="shared" si="38"/>
        <v>-388.9125</v>
      </c>
      <c r="AE85" s="120">
        <f>IFERROR(AD85/AD148, "NA")</f>
        <v>-2.762260734</v>
      </c>
      <c r="AF85" s="119">
        <f t="shared" si="39"/>
        <v>-0.0543598854</v>
      </c>
      <c r="AG85" s="118">
        <f t="shared" si="40"/>
        <v>6989.2975</v>
      </c>
      <c r="AH85" s="92">
        <f>IFERROR(AG85/AG148, "NA")</f>
        <v>0.316212341</v>
      </c>
      <c r="AI85" s="119">
        <f t="shared" si="41"/>
        <v>-223.8075</v>
      </c>
      <c r="AJ85" s="120">
        <f>IFERROR(AI85/AI148, "NA")</f>
        <v>-0.6246676854</v>
      </c>
      <c r="AK85" s="119">
        <f t="shared" si="42"/>
        <v>-0.03202145852</v>
      </c>
      <c r="AL85" s="120">
        <f>IFERROR(AK85/AK148, "NA")</f>
        <v>-1.975469027</v>
      </c>
    </row>
    <row r="86" ht="3.75" customHeight="1">
      <c r="A86" s="123"/>
      <c r="B86" s="124"/>
      <c r="C86" s="74"/>
      <c r="D86" s="124"/>
      <c r="E86" s="74"/>
      <c r="F86" s="124"/>
      <c r="G86" s="74"/>
      <c r="H86" s="124"/>
      <c r="I86" s="74"/>
      <c r="J86" s="124"/>
      <c r="K86" s="74"/>
      <c r="L86" s="124"/>
      <c r="M86" s="74"/>
      <c r="N86" s="124"/>
      <c r="O86" s="74"/>
      <c r="P86" s="124"/>
      <c r="Q86" s="74"/>
      <c r="R86" s="124"/>
      <c r="S86" s="74"/>
      <c r="T86" s="124"/>
      <c r="U86" s="74"/>
      <c r="V86" s="124"/>
      <c r="W86" s="74"/>
      <c r="X86" s="124"/>
      <c r="Y86" s="74"/>
      <c r="Z86" s="124"/>
      <c r="AA86" s="74"/>
      <c r="AB86" s="124"/>
      <c r="AC86" s="74"/>
      <c r="AD86" s="125"/>
      <c r="AE86" s="80"/>
      <c r="AF86" s="125"/>
      <c r="AG86" s="124"/>
      <c r="AH86" s="74"/>
      <c r="AI86" s="125"/>
      <c r="AJ86" s="80"/>
      <c r="AK86" s="125"/>
      <c r="AL86" s="80"/>
    </row>
    <row r="87" ht="16.5" customHeight="1">
      <c r="A87" s="121" t="s">
        <v>57</v>
      </c>
      <c r="B87" s="122">
        <f>IFERROR(B59-B85, "NA")</f>
        <v>12378.32</v>
      </c>
      <c r="C87" s="94">
        <f>IFERROR(B87/B148, "NA")</f>
        <v>0.4642830486</v>
      </c>
      <c r="D87" s="122">
        <f>IFERROR(D59-D85, "NA")</f>
        <v>8979.79</v>
      </c>
      <c r="E87" s="94">
        <f>IFERROR(D87/D148, "NA")</f>
        <v>0.3657885229</v>
      </c>
      <c r="F87" s="122">
        <f>IFERROR(F59-F85, "NA")</f>
        <v>12562.64</v>
      </c>
      <c r="G87" s="94">
        <f>IFERROR(F87/F148, "NA")</f>
        <v>0.5011828781</v>
      </c>
      <c r="H87" s="122">
        <f>IFERROR(H59-H85, "NA")</f>
        <v>5104.34</v>
      </c>
      <c r="I87" s="94">
        <f>IFERROR(H87/H148, "NA")</f>
        <v>0.3111421582</v>
      </c>
      <c r="J87" s="122">
        <f>IFERROR(J59-J85, "NA")</f>
        <v>11272.15</v>
      </c>
      <c r="K87" s="94">
        <f>IFERROR(J87/J148, "NA")</f>
        <v>0.4495038655</v>
      </c>
      <c r="L87" s="122">
        <f>IFERROR(L59-L85, "NA")</f>
        <v>12345.26</v>
      </c>
      <c r="M87" s="94">
        <f>IFERROR(L87/L148, "NA")</f>
        <v>0.4610591551</v>
      </c>
      <c r="N87" s="122">
        <f>IFERROR(N59-N85, "NA")</f>
        <v>7258.81</v>
      </c>
      <c r="O87" s="94">
        <f>IFERROR(N87/N148, "NA")</f>
        <v>0.3474468046</v>
      </c>
      <c r="P87" s="122">
        <f>IFERROR(P59-P85, "NA")</f>
        <v>4037.06</v>
      </c>
      <c r="Q87" s="94">
        <f>IFERROR(P87/P148, "NA")</f>
        <v>0.272808241</v>
      </c>
      <c r="R87" s="122">
        <f>IFERROR(R59-R85, "NA")</f>
        <v>4391.14</v>
      </c>
      <c r="S87" s="94">
        <f>IFERROR(R87/R148, "NA")</f>
        <v>0.2587042576</v>
      </c>
      <c r="T87" s="122">
        <f>IFERROR(T59-T85, "NA")</f>
        <v>6657.61</v>
      </c>
      <c r="U87" s="94">
        <f>IFERROR(T87/T148, "NA")</f>
        <v>0.3258365651</v>
      </c>
      <c r="V87" s="122">
        <f>IFERROR(V59-V85, "NA")</f>
        <v>13963.77</v>
      </c>
      <c r="W87" s="94">
        <f>IFERROR(V87/V148, "NA")</f>
        <v>0.4747119266</v>
      </c>
      <c r="X87" s="122">
        <f>IFERROR(X59-X85, "NA")</f>
        <v>8680.92</v>
      </c>
      <c r="Y87" s="94">
        <f>IFERROR(X87/X148, "NA")</f>
        <v>0.3864806651</v>
      </c>
      <c r="Z87" s="122">
        <f>IFERROR(Z59-Z85, "NA")</f>
        <v>33693.44</v>
      </c>
      <c r="AA87" s="94">
        <f>IFERROR(Z87/Z148, "NA")</f>
        <v>0.3773794374</v>
      </c>
      <c r="AB87" s="122">
        <f>IFERROR((R87+T87+V87+X87)/4, "NA")</f>
        <v>8423.36</v>
      </c>
      <c r="AC87" s="94">
        <f>IFERROR(AB87/AB148, "NA")</f>
        <v>0.3773794374</v>
      </c>
      <c r="AD87" s="75">
        <f>IFERROR(X87-AB87, "NA")</f>
        <v>257.56</v>
      </c>
      <c r="AE87" s="76">
        <f>IFERROR(AD87/AD148, "NA")</f>
        <v>1.829326326</v>
      </c>
      <c r="AF87" s="75">
        <f>IFERROR((X87-AB87)/AB87, "NA")</f>
        <v>0.03057687194</v>
      </c>
      <c r="AG87" s="122">
        <f>IFERROR((J87+L87+N87+P87+R87+T87+V87+X87)/8, "NA")</f>
        <v>8575.84</v>
      </c>
      <c r="AH87" s="94">
        <f>IFERROR(AG87/AG148, "NA")</f>
        <v>0.3879912741</v>
      </c>
      <c r="AI87" s="75">
        <f>IFERROR(X87-AG87, "NA")</f>
        <v>105.08</v>
      </c>
      <c r="AJ87" s="76">
        <f>IFERROR(AI87/AI148, "NA")</f>
        <v>0.2932881176</v>
      </c>
      <c r="AK87" s="75">
        <f>IFERROR((X87-AG87)/AG87, "NA")</f>
        <v>0.01225302711</v>
      </c>
      <c r="AL87" s="76">
        <f>IFERROR(AK87/AK148, "NA")</f>
        <v>0.7559142104</v>
      </c>
    </row>
    <row r="88" ht="3.75" customHeight="1">
      <c r="A88" s="123"/>
      <c r="B88" s="124"/>
      <c r="C88" s="74"/>
      <c r="D88" s="124"/>
      <c r="E88" s="74"/>
      <c r="F88" s="124"/>
      <c r="G88" s="74"/>
      <c r="H88" s="124"/>
      <c r="I88" s="74"/>
      <c r="J88" s="124"/>
      <c r="K88" s="74"/>
      <c r="L88" s="124"/>
      <c r="M88" s="74"/>
      <c r="N88" s="124"/>
      <c r="O88" s="74"/>
      <c r="P88" s="124"/>
      <c r="Q88" s="74"/>
      <c r="R88" s="124"/>
      <c r="S88" s="74"/>
      <c r="T88" s="124"/>
      <c r="U88" s="74"/>
      <c r="V88" s="124"/>
      <c r="W88" s="74"/>
      <c r="X88" s="124"/>
      <c r="Y88" s="74"/>
      <c r="Z88" s="124"/>
      <c r="AA88" s="74"/>
      <c r="AB88" s="124"/>
      <c r="AC88" s="74"/>
      <c r="AD88" s="125"/>
      <c r="AE88" s="80"/>
      <c r="AF88" s="125"/>
      <c r="AG88" s="124"/>
      <c r="AH88" s="74"/>
      <c r="AI88" s="125"/>
      <c r="AJ88" s="80"/>
      <c r="AK88" s="125"/>
      <c r="AL88" s="80"/>
    </row>
    <row r="89" ht="16.5" hidden="1" customHeight="1">
      <c r="A89" s="13" t="s">
        <v>203</v>
      </c>
      <c r="B89" s="14"/>
      <c r="C89" s="12"/>
      <c r="D89" s="14"/>
      <c r="E89" s="12"/>
      <c r="F89" s="14"/>
      <c r="G89" s="12"/>
      <c r="H89" s="14"/>
      <c r="I89" s="12"/>
      <c r="J89" s="14"/>
      <c r="K89" s="12"/>
      <c r="L89" s="14"/>
      <c r="M89" s="12"/>
      <c r="N89" s="14"/>
      <c r="O89" s="12"/>
      <c r="P89" s="14"/>
      <c r="Q89" s="12"/>
      <c r="R89" s="14"/>
      <c r="S89" s="12"/>
      <c r="T89" s="14"/>
      <c r="U89" s="12"/>
      <c r="V89" s="14"/>
      <c r="W89" s="12"/>
      <c r="X89" s="14"/>
      <c r="Y89" s="12"/>
      <c r="Z89" s="14"/>
      <c r="AA89" s="12"/>
      <c r="AB89" s="14"/>
      <c r="AC89" s="12"/>
      <c r="AD89" s="17"/>
      <c r="AE89" s="18"/>
      <c r="AF89" s="17"/>
      <c r="AG89" s="14"/>
      <c r="AH89" s="12"/>
      <c r="AI89" s="17"/>
      <c r="AJ89" s="18"/>
      <c r="AK89" s="17"/>
      <c r="AL89" s="18"/>
    </row>
    <row r="90" ht="16.5" hidden="1" customHeight="1">
      <c r="A90" s="19" t="s">
        <v>204</v>
      </c>
      <c r="B90" s="21">
        <v>320.78</v>
      </c>
      <c r="C90" s="23">
        <f>IFERROR(B90/B148, "NA")</f>
        <v>0.01203173907</v>
      </c>
      <c r="D90" s="21">
        <v>567.3</v>
      </c>
      <c r="E90" s="23">
        <f>IFERROR(D90/D148, "NA")</f>
        <v>0.0231087619</v>
      </c>
      <c r="F90" s="21">
        <v>736.38</v>
      </c>
      <c r="G90" s="23">
        <f>IFERROR(F90/F148, "NA")</f>
        <v>0.02937766646</v>
      </c>
      <c r="H90" s="21">
        <v>696.94</v>
      </c>
      <c r="I90" s="23">
        <f>IFERROR(H90/H148, "NA")</f>
        <v>0.04248294897</v>
      </c>
      <c r="J90" s="21">
        <v>584.29</v>
      </c>
      <c r="K90" s="23">
        <f>IFERROR(J90/J148, "NA")</f>
        <v>0.02329995729</v>
      </c>
      <c r="L90" s="21">
        <v>531.85</v>
      </c>
      <c r="M90" s="23">
        <f>IFERROR(L90/L148, "NA")</f>
        <v>0.0198630334</v>
      </c>
      <c r="N90" s="21">
        <v>457.67</v>
      </c>
      <c r="O90" s="23">
        <f>IFERROR(N90/N148, "NA")</f>
        <v>0.02190661818</v>
      </c>
      <c r="P90" s="21">
        <v>325.57</v>
      </c>
      <c r="Q90" s="23">
        <f>IFERROR(P90/P148, "NA")</f>
        <v>0.0220007082</v>
      </c>
      <c r="R90" s="21">
        <v>539.79</v>
      </c>
      <c r="S90" s="23">
        <f>IFERROR(R90/R148, "NA")</f>
        <v>0.03180175791</v>
      </c>
      <c r="T90" s="21">
        <v>574.99</v>
      </c>
      <c r="U90" s="23">
        <f>IFERROR(T90/T148, "NA")</f>
        <v>0.02814114473</v>
      </c>
      <c r="V90" s="21">
        <v>295.89</v>
      </c>
      <c r="W90" s="23">
        <f>IFERROR(V90/V148, "NA")</f>
        <v>0.010059068</v>
      </c>
      <c r="X90" s="21">
        <v>483.67</v>
      </c>
      <c r="Y90" s="23">
        <f>IFERROR(X90/X148, "NA")</f>
        <v>0.02153332864</v>
      </c>
      <c r="Z90" s="21">
        <v>1894.34</v>
      </c>
      <c r="AA90" s="23">
        <f>IFERROR(Z90/Z148, "NA")</f>
        <v>0.0212173338</v>
      </c>
      <c r="AB90" s="28">
        <f t="shared" ref="AB90:AB99" si="43">IFERROR((R90+T90+V90+X90)/4, "NA")</f>
        <v>473.585</v>
      </c>
      <c r="AC90" s="23">
        <f>IFERROR(AB90/AB148, "NA")</f>
        <v>0.0212173338</v>
      </c>
      <c r="AD90" s="29">
        <f t="shared" ref="AD90:AD99" si="44">IFERROR(X90-AB90, "NA")</f>
        <v>10.085</v>
      </c>
      <c r="AE90" s="30">
        <f>IFERROR(AD90/AD148, "NA")</f>
        <v>0.0716289641</v>
      </c>
      <c r="AF90" s="29">
        <f t="shared" ref="AF90:AF99" si="45">IFERROR((X90-AB90)/AB90, "NA")</f>
        <v>0.02129501568</v>
      </c>
      <c r="AG90" s="28">
        <f t="shared" ref="AG90:AG99" si="46">IFERROR((J90+L90+N90+P90+R90+T90+V90+X90)/8, "NA")</f>
        <v>474.215</v>
      </c>
      <c r="AH90" s="23">
        <f>IFERROR(AG90/AG148, "NA")</f>
        <v>0.0214546076</v>
      </c>
      <c r="AI90" s="29">
        <f t="shared" ref="AI90:AI99" si="47">IFERROR(X90-AG90, "NA")</f>
        <v>9.455</v>
      </c>
      <c r="AJ90" s="30">
        <f>IFERROR(AI90/AI148, "NA")</f>
        <v>0.02638979018</v>
      </c>
      <c r="AK90" s="29">
        <f t="shared" ref="AK90:AK99" si="48">IFERROR((X90-AG90)/AG90, "NA")</f>
        <v>0.01993821368</v>
      </c>
      <c r="AL90" s="30">
        <f>IFERROR(AK90/AK148, "NA")</f>
        <v>1.23002903</v>
      </c>
    </row>
    <row r="91" ht="16.5" hidden="1" customHeight="1">
      <c r="A91" s="19" t="s">
        <v>205</v>
      </c>
      <c r="B91" s="21">
        <v>769.13</v>
      </c>
      <c r="C91" s="23">
        <f>IFERROR(B91/B148, "NA")</f>
        <v>0.028848343</v>
      </c>
      <c r="D91" s="21">
        <v>666.15</v>
      </c>
      <c r="E91" s="23">
        <f>IFERROR(D91/D148, "NA")</f>
        <v>0.02713538117</v>
      </c>
      <c r="F91" s="21">
        <v>779.57</v>
      </c>
      <c r="G91" s="23">
        <f>IFERROR(F91/F148, "NA")</f>
        <v>0.03110071898</v>
      </c>
      <c r="H91" s="21">
        <v>646.68</v>
      </c>
      <c r="I91" s="23">
        <f>IFERROR(H91/H148, "NA")</f>
        <v>0.03941928063</v>
      </c>
      <c r="J91" s="21">
        <v>723.04</v>
      </c>
      <c r="K91" s="23">
        <f>IFERROR(J91/J148, "NA")</f>
        <v>0.02883294446</v>
      </c>
      <c r="L91" s="21">
        <v>974.61</v>
      </c>
      <c r="M91" s="23">
        <f>IFERROR(L91/L148, "NA")</f>
        <v>0.03639881729</v>
      </c>
      <c r="N91" s="21">
        <v>640.52</v>
      </c>
      <c r="O91" s="23">
        <f>IFERROR(N91/N148, "NA")</f>
        <v>0.03065883076</v>
      </c>
      <c r="P91" s="21">
        <v>168.67</v>
      </c>
      <c r="Q91" s="23">
        <f>IFERROR(P91/P148, "NA")</f>
        <v>0.01139803868</v>
      </c>
      <c r="R91" s="21">
        <v>393.84</v>
      </c>
      <c r="S91" s="23">
        <f>IFERROR(R91/R148, "NA")</f>
        <v>0.02320310553</v>
      </c>
      <c r="T91" s="21">
        <v>407.31</v>
      </c>
      <c r="U91" s="23">
        <f>IFERROR(T91/T148, "NA")</f>
        <v>0.01993455479</v>
      </c>
      <c r="V91" s="21">
        <v>660.78</v>
      </c>
      <c r="W91" s="23">
        <f>IFERROR(V91/V148, "NA")</f>
        <v>0.02246385803</v>
      </c>
      <c r="X91" s="21">
        <v>503.54</v>
      </c>
      <c r="Y91" s="23">
        <f>IFERROR(X91/X148, "NA")</f>
        <v>0.02241795502</v>
      </c>
      <c r="Z91" s="21">
        <v>1965.47</v>
      </c>
      <c r="AA91" s="23">
        <f>IFERROR(Z91/Z148, "NA")</f>
        <v>0.02201401706</v>
      </c>
      <c r="AB91" s="28">
        <f t="shared" si="43"/>
        <v>491.3675</v>
      </c>
      <c r="AC91" s="23">
        <f>IFERROR(AB91/AB148, "NA")</f>
        <v>0.02201401706</v>
      </c>
      <c r="AD91" s="29">
        <f t="shared" si="44"/>
        <v>12.1725</v>
      </c>
      <c r="AE91" s="30">
        <f>IFERROR(AD91/AD148, "NA")</f>
        <v>0.08645548492</v>
      </c>
      <c r="AF91" s="29">
        <f t="shared" si="45"/>
        <v>0.02477270068</v>
      </c>
      <c r="AG91" s="28">
        <f t="shared" si="46"/>
        <v>559.03875</v>
      </c>
      <c r="AH91" s="23">
        <f>IFERROR(AG91/AG148, "NA")</f>
        <v>0.02529223457</v>
      </c>
      <c r="AI91" s="29">
        <f t="shared" si="47"/>
        <v>-55.49875</v>
      </c>
      <c r="AJ91" s="30">
        <f>IFERROR(AI91/AI148, "NA")</f>
        <v>-0.1549022071</v>
      </c>
      <c r="AK91" s="29">
        <f t="shared" si="48"/>
        <v>-0.09927531857</v>
      </c>
      <c r="AL91" s="30">
        <f>IFERROR(AK91/AK148, "NA")</f>
        <v>-6.124496697</v>
      </c>
    </row>
    <row r="92" ht="16.5" hidden="1" customHeight="1">
      <c r="A92" s="19" t="s">
        <v>206</v>
      </c>
      <c r="B92" s="21">
        <v>611.72</v>
      </c>
      <c r="C92" s="23">
        <f>IFERROR(B92/B148, "NA")</f>
        <v>0.02294424659</v>
      </c>
      <c r="D92" s="21">
        <v>-68.87</v>
      </c>
      <c r="E92" s="23">
        <f>IFERROR(D92/D148, "NA")</f>
        <v>-0.002805394733</v>
      </c>
      <c r="F92" s="21">
        <v>222.87</v>
      </c>
      <c r="G92" s="23">
        <f>IFERROR(F92/F148, "NA")</f>
        <v>0.008891333991</v>
      </c>
      <c r="H92" s="21">
        <v>394.4</v>
      </c>
      <c r="I92" s="23">
        <f>IFERROR(H92/H148, "NA")</f>
        <v>0.02404120165</v>
      </c>
      <c r="J92" s="21">
        <v>295.46</v>
      </c>
      <c r="K92" s="23">
        <f>IFERROR(J92/J148, "NA")</f>
        <v>0.01178217218</v>
      </c>
      <c r="L92" s="21">
        <v>370.18</v>
      </c>
      <c r="M92" s="23">
        <f>IFERROR(L92/L148, "NA")</f>
        <v>0.01382513435</v>
      </c>
      <c r="N92" s="21">
        <v>171.61</v>
      </c>
      <c r="O92" s="23">
        <f>IFERROR(N92/N148, "NA")</f>
        <v>0.008214204001</v>
      </c>
      <c r="P92" s="21">
        <v>67.36</v>
      </c>
      <c r="Q92" s="23">
        <f>IFERROR(P92/P148, "NA")</f>
        <v>0.004551917265</v>
      </c>
      <c r="R92" s="21">
        <v>311.25</v>
      </c>
      <c r="S92" s="23">
        <f>IFERROR(R92/R148, "NA")</f>
        <v>0.01833731108</v>
      </c>
      <c r="T92" s="21">
        <v>85.05</v>
      </c>
      <c r="U92" s="23">
        <f>IFERROR(T92/T148, "NA")</f>
        <v>0.004162514756</v>
      </c>
      <c r="V92" s="21">
        <v>495.33</v>
      </c>
      <c r="W92" s="23">
        <f>IFERROR(V92/V148, "NA")</f>
        <v>0.01683922455</v>
      </c>
      <c r="X92" s="21">
        <v>428.2</v>
      </c>
      <c r="Y92" s="23">
        <f>IFERROR(X92/X148, "NA")</f>
        <v>0.01906376522</v>
      </c>
      <c r="Z92" s="21">
        <v>1319.83</v>
      </c>
      <c r="AA92" s="23">
        <f>IFERROR(Z92/Z148, "NA")</f>
        <v>0.01478260168</v>
      </c>
      <c r="AB92" s="28">
        <f t="shared" si="43"/>
        <v>329.9575</v>
      </c>
      <c r="AC92" s="23">
        <f>IFERROR(AB92/AB148, "NA")</f>
        <v>0.01478260168</v>
      </c>
      <c r="AD92" s="29">
        <f t="shared" si="44"/>
        <v>98.2425</v>
      </c>
      <c r="AE92" s="30">
        <f>IFERROR(AD92/AD148, "NA")</f>
        <v>0.6977698072</v>
      </c>
      <c r="AF92" s="29">
        <f t="shared" si="45"/>
        <v>0.2977428911</v>
      </c>
      <c r="AG92" s="28">
        <f t="shared" si="46"/>
        <v>278.055</v>
      </c>
      <c r="AH92" s="23">
        <f>IFERROR(AG92/AG148, "NA")</f>
        <v>0.0125798655</v>
      </c>
      <c r="AI92" s="29">
        <f t="shared" si="47"/>
        <v>150.145</v>
      </c>
      <c r="AJ92" s="30">
        <f>IFERROR(AI92/AI148, "NA")</f>
        <v>0.4190687516</v>
      </c>
      <c r="AK92" s="29">
        <f t="shared" si="48"/>
        <v>0.5399830969</v>
      </c>
      <c r="AL92" s="30">
        <f>IFERROR(AK92/AK148, "NA")</f>
        <v>33.31265757</v>
      </c>
    </row>
    <row r="93" ht="16.5" hidden="1" customHeight="1">
      <c r="A93" s="19" t="s">
        <v>207</v>
      </c>
      <c r="B93" s="21">
        <v>1728.36</v>
      </c>
      <c r="C93" s="23">
        <f>IFERROR(B93/B148, "NA")</f>
        <v>0.06482691107</v>
      </c>
      <c r="D93" s="21">
        <v>1443.03</v>
      </c>
      <c r="E93" s="23">
        <f>IFERROR(D93/D148, "NA")</f>
        <v>0.05878130915</v>
      </c>
      <c r="F93" s="21">
        <v>1510.93</v>
      </c>
      <c r="G93" s="23">
        <f>IFERROR(F93/F148, "NA")</f>
        <v>0.060278114</v>
      </c>
      <c r="H93" s="21">
        <v>869.53</v>
      </c>
      <c r="I93" s="23">
        <f>IFERROR(H93/H148, "NA")</f>
        <v>0.05300341295</v>
      </c>
      <c r="J93" s="21">
        <v>1783.03</v>
      </c>
      <c r="K93" s="23">
        <f>IFERROR(J93/J148, "NA")</f>
        <v>0.07110257381</v>
      </c>
      <c r="L93" s="21">
        <v>1728.77</v>
      </c>
      <c r="M93" s="23">
        <f>IFERROR(L93/L148, "NA")</f>
        <v>0.0645644754</v>
      </c>
      <c r="N93" s="21">
        <v>935.59</v>
      </c>
      <c r="O93" s="23">
        <f>IFERROR(N93/N148, "NA")</f>
        <v>0.04478251338</v>
      </c>
      <c r="P93" s="21">
        <v>913.87</v>
      </c>
      <c r="Q93" s="23">
        <f>IFERROR(P93/P148, "NA")</f>
        <v>0.0617556507</v>
      </c>
      <c r="R93" s="21">
        <v>779.7</v>
      </c>
      <c r="S93" s="23">
        <f>IFERROR(R93/R148, "NA")</f>
        <v>0.04593606892</v>
      </c>
      <c r="T93" s="21">
        <v>1160.08</v>
      </c>
      <c r="U93" s="23">
        <f>IFERROR(T93/T148, "NA")</f>
        <v>0.05677660339</v>
      </c>
      <c r="V93" s="21">
        <v>2615.85</v>
      </c>
      <c r="W93" s="23">
        <f>IFERROR(V93/V148, "NA")</f>
        <v>0.08892836199</v>
      </c>
      <c r="X93" s="21">
        <v>1301.31</v>
      </c>
      <c r="Y93" s="23">
        <f>IFERROR(X93/X148, "NA")</f>
        <v>0.05793523662</v>
      </c>
      <c r="Z93" s="21">
        <v>5856.94</v>
      </c>
      <c r="AA93" s="23">
        <f>IFERROR(Z93/Z148, "NA")</f>
        <v>0.06559997204</v>
      </c>
      <c r="AB93" s="28">
        <f t="shared" si="43"/>
        <v>1464.235</v>
      </c>
      <c r="AC93" s="23">
        <f>IFERROR(AB93/AB148, "NA")</f>
        <v>0.06559997204</v>
      </c>
      <c r="AD93" s="29">
        <f t="shared" si="44"/>
        <v>-162.925</v>
      </c>
      <c r="AE93" s="30">
        <f>IFERROR(AD93/AD148, "NA")</f>
        <v>-1.157178877</v>
      </c>
      <c r="AF93" s="29">
        <f t="shared" si="45"/>
        <v>-0.1112697074</v>
      </c>
      <c r="AG93" s="28">
        <f t="shared" si="46"/>
        <v>1402.275</v>
      </c>
      <c r="AH93" s="23">
        <f>IFERROR(AG93/AG148, "NA")</f>
        <v>0.06344223585</v>
      </c>
      <c r="AI93" s="29">
        <f t="shared" si="47"/>
        <v>-100.965</v>
      </c>
      <c r="AJ93" s="30">
        <f>IFERROR(AI93/AI148, "NA")</f>
        <v>-0.2818027674</v>
      </c>
      <c r="AK93" s="29">
        <f t="shared" si="48"/>
        <v>-0.07200085575</v>
      </c>
      <c r="AL93" s="30">
        <f>IFERROR(AK93/AK148, "NA")</f>
        <v>-4.441879508</v>
      </c>
    </row>
    <row r="94" ht="16.5" hidden="1" customHeight="1">
      <c r="A94" s="19" t="s">
        <v>208</v>
      </c>
      <c r="B94" s="21">
        <v>787.03</v>
      </c>
      <c r="C94" s="23">
        <f>IFERROR(B94/B148, "NA")</f>
        <v>0.02951973189</v>
      </c>
      <c r="D94" s="21">
        <v>664.06</v>
      </c>
      <c r="E94" s="23">
        <f>IFERROR(D94/D148, "NA")</f>
        <v>0.02705024577</v>
      </c>
      <c r="F94" s="21">
        <v>573.25</v>
      </c>
      <c r="G94" s="23">
        <f>IFERROR(F94/F148, "NA")</f>
        <v>0.02286964244</v>
      </c>
      <c r="H94" s="21">
        <v>470.53</v>
      </c>
      <c r="I94" s="23">
        <f>IFERROR(H94/H148, "NA")</f>
        <v>0.02868181189</v>
      </c>
      <c r="J94" s="21">
        <v>780.54</v>
      </c>
      <c r="K94" s="23">
        <f>IFERROR(J94/J148, "NA")</f>
        <v>0.0311258941</v>
      </c>
      <c r="L94" s="21">
        <v>706.79</v>
      </c>
      <c r="M94" s="23">
        <f>IFERROR(L94/L148, "NA")</f>
        <v>0.02639652792</v>
      </c>
      <c r="N94" s="21">
        <v>540.39</v>
      </c>
      <c r="O94" s="23">
        <f>IFERROR(N94/N148, "NA")</f>
        <v>0.02586605501</v>
      </c>
      <c r="P94" s="21">
        <v>409.24</v>
      </c>
      <c r="Q94" s="23">
        <f>IFERROR(P94/P148, "NA")</f>
        <v>0.02765478951</v>
      </c>
      <c r="R94" s="21">
        <v>448.49</v>
      </c>
      <c r="S94" s="23">
        <f>IFERROR(R94/R148, "NA")</f>
        <v>0.02642281332</v>
      </c>
      <c r="T94" s="21">
        <v>608.79</v>
      </c>
      <c r="U94" s="23">
        <f>IFERROR(T94/T148, "NA")</f>
        <v>0.0297953834</v>
      </c>
      <c r="V94" s="21">
        <v>647.96</v>
      </c>
      <c r="W94" s="23">
        <f>IFERROR(V94/V148, "NA")</f>
        <v>0.02202802968</v>
      </c>
      <c r="X94" s="21">
        <v>583.56</v>
      </c>
      <c r="Y94" s="23">
        <f>IFERROR(X94/X148, "NA")</f>
        <v>0.02598050171</v>
      </c>
      <c r="Z94" s="21">
        <v>2288.8</v>
      </c>
      <c r="AA94" s="23">
        <f>IFERROR(Z94/Z148, "NA")</f>
        <v>0.02563543694</v>
      </c>
      <c r="AB94" s="28">
        <f t="shared" si="43"/>
        <v>572.2</v>
      </c>
      <c r="AC94" s="23">
        <f>IFERROR(AB94/AB148, "NA")</f>
        <v>0.02563543694</v>
      </c>
      <c r="AD94" s="29">
        <f t="shared" si="44"/>
        <v>11.36</v>
      </c>
      <c r="AE94" s="30">
        <f>IFERROR(AD94/AD148, "NA")</f>
        <v>0.0806846834</v>
      </c>
      <c r="AF94" s="29">
        <f t="shared" si="45"/>
        <v>0.01985319818</v>
      </c>
      <c r="AG94" s="28">
        <f t="shared" si="46"/>
        <v>590.72</v>
      </c>
      <c r="AH94" s="23">
        <f>IFERROR(AG94/AG148, "NA")</f>
        <v>0.02672556921</v>
      </c>
      <c r="AI94" s="29">
        <f t="shared" si="47"/>
        <v>-7.16</v>
      </c>
      <c r="AJ94" s="30">
        <f>IFERROR(AI94/AI148, "NA")</f>
        <v>-0.01998423032</v>
      </c>
      <c r="AK94" s="29">
        <f t="shared" si="48"/>
        <v>-0.01212080173</v>
      </c>
      <c r="AL94" s="30">
        <f>IFERROR(AK94/AK148, "NA")</f>
        <v>-0.7477569576</v>
      </c>
    </row>
    <row r="95" ht="16.5" hidden="1" customHeight="1">
      <c r="A95" s="19" t="s">
        <v>209</v>
      </c>
      <c r="B95" s="21">
        <v>0.0</v>
      </c>
      <c r="C95" s="23">
        <f>IFERROR(B95/B148, "NA")</f>
        <v>0</v>
      </c>
      <c r="D95" s="21">
        <v>0.0</v>
      </c>
      <c r="E95" s="23">
        <f>IFERROR(D95/D148, "NA")</f>
        <v>0</v>
      </c>
      <c r="F95" s="21">
        <v>1273.54</v>
      </c>
      <c r="G95" s="23">
        <f>IFERROR(F95/F148, "NA")</f>
        <v>0.05080750882</v>
      </c>
      <c r="H95" s="21">
        <v>0.0</v>
      </c>
      <c r="I95" s="23">
        <f>IFERROR(H95/H148, "NA")</f>
        <v>0</v>
      </c>
      <c r="J95" s="21">
        <v>0.0</v>
      </c>
      <c r="K95" s="23">
        <f>IFERROR(J95/J148, "NA")</f>
        <v>0</v>
      </c>
      <c r="L95" s="21">
        <v>0.0</v>
      </c>
      <c r="M95" s="23">
        <f>IFERROR(L95/L148, "NA")</f>
        <v>0</v>
      </c>
      <c r="N95" s="21">
        <v>0.0</v>
      </c>
      <c r="O95" s="23">
        <f>IFERROR(N95/N148, "NA")</f>
        <v>0</v>
      </c>
      <c r="P95" s="21">
        <v>1472.81</v>
      </c>
      <c r="Q95" s="23">
        <f>IFERROR(P95/P148, "NA")</f>
        <v>0.09952656276</v>
      </c>
      <c r="R95" s="21">
        <v>0.0</v>
      </c>
      <c r="S95" s="23">
        <f>IFERROR(R95/R148, "NA")</f>
        <v>0</v>
      </c>
      <c r="T95" s="21">
        <v>0.0</v>
      </c>
      <c r="U95" s="23">
        <f>IFERROR(T95/T148, "NA")</f>
        <v>0</v>
      </c>
      <c r="V95" s="21">
        <v>0.0</v>
      </c>
      <c r="W95" s="23">
        <f>IFERROR(V95/V148, "NA")</f>
        <v>0</v>
      </c>
      <c r="X95" s="21">
        <v>0.0</v>
      </c>
      <c r="Y95" s="23">
        <f>IFERROR(X95/X148, "NA")</f>
        <v>0</v>
      </c>
      <c r="Z95" s="21">
        <v>0.0</v>
      </c>
      <c r="AA95" s="23">
        <f>IFERROR(Z95/Z148, "NA")</f>
        <v>0</v>
      </c>
      <c r="AB95" s="28">
        <f t="shared" si="43"/>
        <v>0</v>
      </c>
      <c r="AC95" s="23">
        <f>IFERROR(AB95/AB148, "NA")</f>
        <v>0</v>
      </c>
      <c r="AD95" s="29">
        <f t="shared" si="44"/>
        <v>0</v>
      </c>
      <c r="AE95" s="30">
        <f>IFERROR(AD95/AD148, "NA")</f>
        <v>0</v>
      </c>
      <c r="AF95" s="29" t="str">
        <f t="shared" si="45"/>
        <v>NA</v>
      </c>
      <c r="AG95" s="28">
        <f t="shared" si="46"/>
        <v>184.10125</v>
      </c>
      <c r="AH95" s="23">
        <f>IFERROR(AG95/AG148, "NA")</f>
        <v>0.008329175749</v>
      </c>
      <c r="AI95" s="29">
        <f t="shared" si="47"/>
        <v>-184.10125</v>
      </c>
      <c r="AJ95" s="30">
        <f>IFERROR(AI95/AI148, "NA")</f>
        <v>-0.5138438244</v>
      </c>
      <c r="AK95" s="29">
        <f t="shared" si="48"/>
        <v>-1</v>
      </c>
      <c r="AL95" s="30">
        <f>IFERROR(AK95/AK148, "NA")</f>
        <v>-61.69203771</v>
      </c>
    </row>
    <row r="96" ht="16.5" hidden="1" customHeight="1">
      <c r="A96" s="19" t="s">
        <v>210</v>
      </c>
      <c r="B96" s="21">
        <v>0.0</v>
      </c>
      <c r="C96" s="23">
        <f>IFERROR(B96/B148, "NA")</f>
        <v>0</v>
      </c>
      <c r="D96" s="21">
        <v>0.0</v>
      </c>
      <c r="E96" s="23">
        <f>IFERROR(D96/D148, "NA")</f>
        <v>0</v>
      </c>
      <c r="F96" s="21">
        <v>0.0</v>
      </c>
      <c r="G96" s="23">
        <f>IFERROR(F96/F148, "NA")</f>
        <v>0</v>
      </c>
      <c r="H96" s="21">
        <v>0.0</v>
      </c>
      <c r="I96" s="23">
        <f>IFERROR(H96/H148, "NA")</f>
        <v>0</v>
      </c>
      <c r="J96" s="21">
        <v>0.0</v>
      </c>
      <c r="K96" s="23">
        <f>IFERROR(J96/J148, "NA")</f>
        <v>0</v>
      </c>
      <c r="L96" s="21">
        <v>0.0</v>
      </c>
      <c r="M96" s="23">
        <f>IFERROR(L96/L148, "NA")</f>
        <v>0</v>
      </c>
      <c r="N96" s="21">
        <v>0.0</v>
      </c>
      <c r="O96" s="23">
        <f>IFERROR(N96/N148, "NA")</f>
        <v>0</v>
      </c>
      <c r="P96" s="21">
        <v>0.0</v>
      </c>
      <c r="Q96" s="23">
        <f>IFERROR(P96/P148, "NA")</f>
        <v>0</v>
      </c>
      <c r="R96" s="21">
        <v>0.0</v>
      </c>
      <c r="S96" s="23">
        <f>IFERROR(R96/R148, "NA")</f>
        <v>0</v>
      </c>
      <c r="T96" s="21">
        <v>0.0</v>
      </c>
      <c r="U96" s="23">
        <f>IFERROR(T96/T148, "NA")</f>
        <v>0</v>
      </c>
      <c r="V96" s="21">
        <v>0.0</v>
      </c>
      <c r="W96" s="23">
        <f>IFERROR(V96/V148, "NA")</f>
        <v>0</v>
      </c>
      <c r="X96" s="21">
        <v>0.0</v>
      </c>
      <c r="Y96" s="23">
        <f>IFERROR(X96/X148, "NA")</f>
        <v>0</v>
      </c>
      <c r="Z96" s="21">
        <v>0.0</v>
      </c>
      <c r="AA96" s="23">
        <f>IFERROR(Z96/Z148, "NA")</f>
        <v>0</v>
      </c>
      <c r="AB96" s="28">
        <f t="shared" si="43"/>
        <v>0</v>
      </c>
      <c r="AC96" s="23">
        <f>IFERROR(AB96/AB148, "NA")</f>
        <v>0</v>
      </c>
      <c r="AD96" s="29">
        <f t="shared" si="44"/>
        <v>0</v>
      </c>
      <c r="AE96" s="30">
        <f>IFERROR(AD96/AD148, "NA")</f>
        <v>0</v>
      </c>
      <c r="AF96" s="29" t="str">
        <f t="shared" si="45"/>
        <v>NA</v>
      </c>
      <c r="AG96" s="28">
        <f t="shared" si="46"/>
        <v>0</v>
      </c>
      <c r="AH96" s="23">
        <f>IFERROR(AG96/AG148, "NA")</f>
        <v>0</v>
      </c>
      <c r="AI96" s="29">
        <f t="shared" si="47"/>
        <v>0</v>
      </c>
      <c r="AJ96" s="30">
        <f>IFERROR(AI96/AI148, "NA")</f>
        <v>0</v>
      </c>
      <c r="AK96" s="29" t="str">
        <f t="shared" si="48"/>
        <v>NA</v>
      </c>
      <c r="AL96" s="30" t="str">
        <f>IFERROR(AK96/AK148, "NA")</f>
        <v>NA</v>
      </c>
    </row>
    <row r="97" ht="16.5" hidden="1" customHeight="1">
      <c r="A97" s="19" t="s">
        <v>211</v>
      </c>
      <c r="B97" s="21">
        <v>0.0</v>
      </c>
      <c r="C97" s="23">
        <f>IFERROR(B97/B148, "NA")</f>
        <v>0</v>
      </c>
      <c r="D97" s="21">
        <v>233.3</v>
      </c>
      <c r="E97" s="23">
        <f>IFERROR(D97/D148, "NA")</f>
        <v>0.00950339177</v>
      </c>
      <c r="F97" s="21">
        <v>483.33</v>
      </c>
      <c r="G97" s="23">
        <f>IFERROR(F97/F148, "NA")</f>
        <v>0.01928231013</v>
      </c>
      <c r="H97" s="21">
        <v>0.0</v>
      </c>
      <c r="I97" s="23">
        <f>IFERROR(H97/H148, "NA")</f>
        <v>0</v>
      </c>
      <c r="J97" s="21">
        <v>0.0</v>
      </c>
      <c r="K97" s="23">
        <f>IFERROR(J97/J148, "NA")</f>
        <v>0</v>
      </c>
      <c r="L97" s="21">
        <v>0.0</v>
      </c>
      <c r="M97" s="23">
        <f>IFERROR(L97/L148, "NA")</f>
        <v>0</v>
      </c>
      <c r="N97" s="21">
        <v>233.3</v>
      </c>
      <c r="O97" s="23">
        <f>IFERROR(N97/N148, "NA")</f>
        <v>0.01116702869</v>
      </c>
      <c r="P97" s="21">
        <v>483.32</v>
      </c>
      <c r="Q97" s="23">
        <f>IFERROR(P97/P148, "NA")</f>
        <v>0.03266081729</v>
      </c>
      <c r="R97" s="21">
        <v>0.0</v>
      </c>
      <c r="S97" s="23">
        <f>IFERROR(R97/R148, "NA")</f>
        <v>0</v>
      </c>
      <c r="T97" s="21">
        <v>0.0</v>
      </c>
      <c r="U97" s="23">
        <f>IFERROR(T97/T148, "NA")</f>
        <v>0</v>
      </c>
      <c r="V97" s="21">
        <v>547.3</v>
      </c>
      <c r="W97" s="23">
        <f>IFERROR(V97/V148, "NA")</f>
        <v>0.01860599519</v>
      </c>
      <c r="X97" s="21">
        <v>0.0</v>
      </c>
      <c r="Y97" s="23">
        <f>IFERROR(X97/X148, "NA")</f>
        <v>0</v>
      </c>
      <c r="Z97" s="21">
        <v>547.3</v>
      </c>
      <c r="AA97" s="23">
        <f>IFERROR(Z97/Z148, "NA")</f>
        <v>0.006129969694</v>
      </c>
      <c r="AB97" s="28">
        <f t="shared" si="43"/>
        <v>136.825</v>
      </c>
      <c r="AC97" s="23">
        <f>IFERROR(AB97/AB148, "NA")</f>
        <v>0.006129969694</v>
      </c>
      <c r="AD97" s="29">
        <f t="shared" si="44"/>
        <v>-136.825</v>
      </c>
      <c r="AE97" s="30">
        <f>IFERROR(AD97/AD148, "NA")</f>
        <v>-0.971802976</v>
      </c>
      <c r="AF97" s="29">
        <f t="shared" si="45"/>
        <v>-1</v>
      </c>
      <c r="AG97" s="28">
        <f t="shared" si="46"/>
        <v>157.99</v>
      </c>
      <c r="AH97" s="23">
        <f>IFERROR(AG97/AG148, "NA")</f>
        <v>0.007147841074</v>
      </c>
      <c r="AI97" s="29">
        <f t="shared" si="47"/>
        <v>-157.99</v>
      </c>
      <c r="AJ97" s="30">
        <f>IFERROR(AI97/AI148, "NA")</f>
        <v>-0.4409648811</v>
      </c>
      <c r="AK97" s="29">
        <f t="shared" si="48"/>
        <v>-1</v>
      </c>
      <c r="AL97" s="30">
        <f>IFERROR(AK97/AK148, "NA")</f>
        <v>-61.69203771</v>
      </c>
    </row>
    <row r="98" ht="16.5" hidden="1" customHeight="1">
      <c r="A98" s="19" t="s">
        <v>212</v>
      </c>
      <c r="B98" s="21">
        <v>321.63</v>
      </c>
      <c r="C98" s="23">
        <f>IFERROR(B98/B148, "NA")</f>
        <v>0.01206362066</v>
      </c>
      <c r="D98" s="21">
        <v>2365.22</v>
      </c>
      <c r="E98" s="23">
        <f>IFERROR(D98/D148, "NA")</f>
        <v>0.09634638784</v>
      </c>
      <c r="F98" s="21">
        <v>1221.51</v>
      </c>
      <c r="G98" s="23">
        <f>IFERROR(F98/F148, "NA")</f>
        <v>0.04873178707</v>
      </c>
      <c r="H98" s="21">
        <v>220.46</v>
      </c>
      <c r="I98" s="23">
        <f>IFERROR(H98/H148, "NA")</f>
        <v>0.01343844654</v>
      </c>
      <c r="J98" s="21">
        <v>820.51</v>
      </c>
      <c r="K98" s="23">
        <f>IFERROR(J98/J148, "NA")</f>
        <v>0.03271979318</v>
      </c>
      <c r="L98" s="21">
        <v>500.46</v>
      </c>
      <c r="M98" s="23">
        <f>IFERROR(L98/L148, "NA")</f>
        <v>0.01869070921</v>
      </c>
      <c r="N98" s="21">
        <v>2384.56</v>
      </c>
      <c r="O98" s="23">
        <f>IFERROR(N98/N148, "NA")</f>
        <v>0.1141382337</v>
      </c>
      <c r="P98" s="21">
        <v>1314.33</v>
      </c>
      <c r="Q98" s="23">
        <f>IFERROR(P98/P148, "NA")</f>
        <v>0.08881712321</v>
      </c>
      <c r="R98" s="21">
        <v>274.79</v>
      </c>
      <c r="S98" s="23">
        <f>IFERROR(R98/R148, "NA")</f>
        <v>0.01618926815</v>
      </c>
      <c r="T98" s="21">
        <v>662.03</v>
      </c>
      <c r="U98" s="23">
        <f>IFERROR(T98/T148, "NA")</f>
        <v>0.03240105401</v>
      </c>
      <c r="V98" s="21">
        <v>2243.76</v>
      </c>
      <c r="W98" s="23">
        <f>IFERROR(V98/V148, "NA")</f>
        <v>0.07627880096</v>
      </c>
      <c r="X98" s="21">
        <v>635.43</v>
      </c>
      <c r="Y98" s="23">
        <f>IFERROR(X98/X148, "NA")</f>
        <v>0.0282897906</v>
      </c>
      <c r="Z98" s="21">
        <v>3816.01</v>
      </c>
      <c r="AA98" s="23">
        <f>IFERROR(Z98/Z148, "NA")</f>
        <v>0.04274077408</v>
      </c>
      <c r="AB98" s="28">
        <f t="shared" si="43"/>
        <v>954.0025</v>
      </c>
      <c r="AC98" s="23">
        <f>IFERROR(AB98/AB148, "NA")</f>
        <v>0.04274077408</v>
      </c>
      <c r="AD98" s="29">
        <f t="shared" si="44"/>
        <v>-318.5725</v>
      </c>
      <c r="AE98" s="30">
        <f>IFERROR(AD98/AD148, "NA")</f>
        <v>-2.262669129</v>
      </c>
      <c r="AF98" s="29">
        <f t="shared" si="45"/>
        <v>-0.3339325631</v>
      </c>
      <c r="AG98" s="28">
        <f t="shared" si="46"/>
        <v>1104.48375</v>
      </c>
      <c r="AH98" s="23">
        <f>IFERROR(AG98/AG148, "NA")</f>
        <v>0.04996945575</v>
      </c>
      <c r="AI98" s="29">
        <f t="shared" si="47"/>
        <v>-469.05375</v>
      </c>
      <c r="AJ98" s="30">
        <f>IFERROR(AI98/AI148, "NA")</f>
        <v>-1.309172929</v>
      </c>
      <c r="AK98" s="29">
        <f t="shared" si="48"/>
        <v>-0.4246814405</v>
      </c>
      <c r="AL98" s="30">
        <f>IFERROR(AK98/AK148, "NA")</f>
        <v>-26.19946344</v>
      </c>
    </row>
    <row r="99" ht="16.5" hidden="1" customHeight="1">
      <c r="A99" s="65" t="s">
        <v>213</v>
      </c>
      <c r="B99" s="66">
        <f>IFERROR(B90+B91+B92+B93+B94+B95+B96+B97+B98, "NA")</f>
        <v>4538.65</v>
      </c>
      <c r="C99" s="67">
        <f>IFERROR(B99/B148, "NA")</f>
        <v>0.1702345923</v>
      </c>
      <c r="D99" s="66">
        <f>IFERROR(D90+D91+D92+D93+D94+D95+D96+D97+D98, "NA")</f>
        <v>5870.19</v>
      </c>
      <c r="E99" s="67">
        <f>IFERROR(D99/D148, "NA")</f>
        <v>0.2391200829</v>
      </c>
      <c r="F99" s="66">
        <f>IFERROR(F90+F91+F92+F93+F94+F95+F96+F97+F98, "NA")</f>
        <v>6801.38</v>
      </c>
      <c r="G99" s="67">
        <f>IFERROR(F99/F148, "NA")</f>
        <v>0.2713390819</v>
      </c>
      <c r="H99" s="66">
        <f>IFERROR(H90+H91+H92+H93+H94+H95+H96+H97+H98, "NA")</f>
        <v>3298.54</v>
      </c>
      <c r="I99" s="67">
        <f>IFERROR(H99/H148, "NA")</f>
        <v>0.2010671026</v>
      </c>
      <c r="J99" s="66">
        <f>IFERROR(J90+J91+J92+J93+J94+J95+J96+J97+J98, "NA")</f>
        <v>4986.87</v>
      </c>
      <c r="K99" s="67">
        <f>IFERROR(J99/J148, "NA")</f>
        <v>0.198863335</v>
      </c>
      <c r="L99" s="66">
        <f>IFERROR(L90+L91+L92+L93+L94+L95+L96+L97+L98, "NA")</f>
        <v>4812.66</v>
      </c>
      <c r="M99" s="67">
        <f>IFERROR(L99/L148, "NA")</f>
        <v>0.1797386976</v>
      </c>
      <c r="N99" s="66">
        <f>IFERROR(N90+N91+N92+N93+N94+N95+N96+N97+N98, "NA")</f>
        <v>5363.64</v>
      </c>
      <c r="O99" s="67">
        <f>IFERROR(N99/N148, "NA")</f>
        <v>0.2567334838</v>
      </c>
      <c r="P99" s="66">
        <f>IFERROR(P90+P91+P92+P93+P94+P95+P96+P97+P98, "NA")</f>
        <v>5155.17</v>
      </c>
      <c r="Q99" s="67">
        <f>IFERROR(P99/P148, "NA")</f>
        <v>0.3483656076</v>
      </c>
      <c r="R99" s="66">
        <f>IFERROR(R90+R91+R92+R93+R94+R95+R96+R97+R98, "NA")</f>
        <v>2747.86</v>
      </c>
      <c r="S99" s="67">
        <f>IFERROR(R99/R148, "NA")</f>
        <v>0.1618903249</v>
      </c>
      <c r="T99" s="66">
        <f>IFERROR(T90+T91+T92+T93+T94+T95+T96+T97+T98, "NA")</f>
        <v>3498.25</v>
      </c>
      <c r="U99" s="67">
        <f>IFERROR(T99/T148, "NA")</f>
        <v>0.1712112551</v>
      </c>
      <c r="V99" s="66">
        <f>IFERROR(V90+V91+V92+V93+V94+V95+V96+V97+V98, "NA")</f>
        <v>7506.87</v>
      </c>
      <c r="W99" s="67">
        <f>IFERROR(V99/V148, "NA")</f>
        <v>0.2552033384</v>
      </c>
      <c r="X99" s="66">
        <f>IFERROR(X90+X91+X92+X93+X94+X95+X96+X97+X98, "NA")</f>
        <v>3935.71</v>
      </c>
      <c r="Y99" s="67">
        <f>IFERROR(X99/X148, "NA")</f>
        <v>0.1752205778</v>
      </c>
      <c r="Z99" s="66">
        <f>IFERROR(Z90+Z91+Z92+Z93+Z94+Z95+Z96+Z97+Z98, "NA")</f>
        <v>17688.69</v>
      </c>
      <c r="AA99" s="67">
        <f>IFERROR(Z99/Z148, "NA")</f>
        <v>0.1981201053</v>
      </c>
      <c r="AB99" s="66">
        <f t="shared" si="43"/>
        <v>4422.1725</v>
      </c>
      <c r="AC99" s="67">
        <f>IFERROR(AB99/AB148, "NA")</f>
        <v>0.1981201053</v>
      </c>
      <c r="AD99" s="75">
        <f t="shared" si="44"/>
        <v>-486.4625</v>
      </c>
      <c r="AE99" s="76">
        <f>IFERROR(AD99/AD148, "NA")</f>
        <v>-3.455112042</v>
      </c>
      <c r="AF99" s="75">
        <f t="shared" si="45"/>
        <v>-0.1100053198</v>
      </c>
      <c r="AG99" s="66">
        <f t="shared" si="46"/>
        <v>4750.87875</v>
      </c>
      <c r="AH99" s="67">
        <f>IFERROR(AG99/AG148, "NA")</f>
        <v>0.2149409853</v>
      </c>
      <c r="AI99" s="75">
        <f t="shared" si="47"/>
        <v>-815.16875</v>
      </c>
      <c r="AJ99" s="76">
        <f>IFERROR(AI99/AI148, "NA")</f>
        <v>-2.275212298</v>
      </c>
      <c r="AK99" s="75">
        <f t="shared" si="48"/>
        <v>-0.1715827309</v>
      </c>
      <c r="AL99" s="76">
        <f>IFERROR(AK99/AK148, "NA")</f>
        <v>-10.5852883</v>
      </c>
    </row>
    <row r="100" ht="16.5" hidden="1" customHeight="1">
      <c r="A100" s="123"/>
      <c r="B100" s="124"/>
      <c r="C100" s="74"/>
      <c r="D100" s="124"/>
      <c r="E100" s="74"/>
      <c r="F100" s="124"/>
      <c r="G100" s="74"/>
      <c r="H100" s="124"/>
      <c r="I100" s="74"/>
      <c r="J100" s="124"/>
      <c r="K100" s="74"/>
      <c r="L100" s="124"/>
      <c r="M100" s="74"/>
      <c r="N100" s="124"/>
      <c r="O100" s="74"/>
      <c r="P100" s="124"/>
      <c r="Q100" s="74"/>
      <c r="R100" s="124"/>
      <c r="S100" s="74"/>
      <c r="T100" s="124"/>
      <c r="U100" s="74"/>
      <c r="V100" s="124"/>
      <c r="W100" s="74"/>
      <c r="X100" s="124"/>
      <c r="Y100" s="74"/>
      <c r="Z100" s="124"/>
      <c r="AA100" s="74"/>
      <c r="AB100" s="124"/>
      <c r="AC100" s="74"/>
      <c r="AD100" s="125"/>
      <c r="AE100" s="80"/>
      <c r="AF100" s="125"/>
      <c r="AG100" s="124"/>
      <c r="AH100" s="74"/>
      <c r="AI100" s="125"/>
      <c r="AJ100" s="80"/>
      <c r="AK100" s="125"/>
      <c r="AL100" s="80"/>
    </row>
    <row r="101" ht="16.5" hidden="1" customHeight="1">
      <c r="A101" s="121" t="s">
        <v>214</v>
      </c>
      <c r="B101" s="122">
        <f>IFERROR(B87-B99, "NA")</f>
        <v>7839.67</v>
      </c>
      <c r="C101" s="94">
        <f>IFERROR(B101/B148, "NA")</f>
        <v>0.2940484563</v>
      </c>
      <c r="D101" s="122">
        <f>IFERROR(D87-D99, "NA")</f>
        <v>3109.6</v>
      </c>
      <c r="E101" s="94">
        <f>IFERROR(D101/D148, "NA")</f>
        <v>0.12666844</v>
      </c>
      <c r="F101" s="122">
        <f>IFERROR(F87-F99, "NA")</f>
        <v>5761.26</v>
      </c>
      <c r="G101" s="94">
        <f>IFERROR(F101/F148, "NA")</f>
        <v>0.2298437963</v>
      </c>
      <c r="H101" s="122">
        <f>IFERROR(H87-H99, "NA")</f>
        <v>1805.8</v>
      </c>
      <c r="I101" s="94">
        <f>IFERROR(H101/H148, "NA")</f>
        <v>0.1100750556</v>
      </c>
      <c r="J101" s="122">
        <f>IFERROR(J87-J99, "NA")</f>
        <v>6285.28</v>
      </c>
      <c r="K101" s="94">
        <f>IFERROR(J101/J148, "NA")</f>
        <v>0.2506405305</v>
      </c>
      <c r="L101" s="122">
        <f>IFERROR(L87-L99, "NA")</f>
        <v>7532.6</v>
      </c>
      <c r="M101" s="94">
        <f>IFERROR(L101/L148, "NA")</f>
        <v>0.2813204576</v>
      </c>
      <c r="N101" s="122">
        <f>IFERROR(N87-N99, "NA")</f>
        <v>1895.17</v>
      </c>
      <c r="O101" s="94">
        <f>IFERROR(N101/N148, "NA")</f>
        <v>0.09071332088</v>
      </c>
      <c r="P101" s="122">
        <f>IFERROR(P87-P99, "NA")</f>
        <v>-1118.11</v>
      </c>
      <c r="Q101" s="94">
        <f>IFERROR(P101/P148, "NA")</f>
        <v>-0.07555736659</v>
      </c>
      <c r="R101" s="122">
        <f>IFERROR(R87-R99, "NA")</f>
        <v>1643.28</v>
      </c>
      <c r="S101" s="94">
        <f>IFERROR(R101/R148, "NA")</f>
        <v>0.0968139327</v>
      </c>
      <c r="T101" s="122">
        <f>IFERROR(T87-T99, "NA")</f>
        <v>3159.36</v>
      </c>
      <c r="U101" s="94">
        <f>IFERROR(T101/T148, "NA")</f>
        <v>0.15462531</v>
      </c>
      <c r="V101" s="122">
        <f>IFERROR(V87-V99, "NA")</f>
        <v>6456.9</v>
      </c>
      <c r="W101" s="94">
        <f>IFERROR(V101/V148, "NA")</f>
        <v>0.2195085882</v>
      </c>
      <c r="X101" s="122">
        <f>IFERROR(X87-X99, "NA")</f>
        <v>4745.21</v>
      </c>
      <c r="Y101" s="94">
        <f>IFERROR(X101/X148, "NA")</f>
        <v>0.2112600873</v>
      </c>
      <c r="Z101" s="122">
        <f>IFERROR(Z87-Z99, "NA")</f>
        <v>16004.75</v>
      </c>
      <c r="AA101" s="94">
        <f>IFERROR(Z101/Z148, "NA")</f>
        <v>0.1792593321</v>
      </c>
      <c r="AB101" s="122">
        <f>IFERROR((R101+T101+V101+X101)/4, "NA")</f>
        <v>4001.1875</v>
      </c>
      <c r="AC101" s="94">
        <f>IFERROR(AB101/AB148, "NA")</f>
        <v>0.1792593321</v>
      </c>
      <c r="AD101" s="75">
        <f>IFERROR(X101-AB101, "NA")</f>
        <v>744.0225</v>
      </c>
      <c r="AE101" s="76">
        <f>IFERROR(AD101/AD148, "NA")</f>
        <v>5.284438368</v>
      </c>
      <c r="AF101" s="75">
        <f>IFERROR((X101-AB101)/AB101, "NA")</f>
        <v>0.185950421</v>
      </c>
      <c r="AG101" s="122">
        <f>IFERROR((J101+L101+N101+P101+R101+T101+V101+X101)/8, "NA")</f>
        <v>3824.96125</v>
      </c>
      <c r="AH101" s="94">
        <f>IFERROR(AG101/AG148, "NA")</f>
        <v>0.1730502888</v>
      </c>
      <c r="AI101" s="75">
        <f>IFERROR(X101-AG101, "NA")</f>
        <v>920.24875</v>
      </c>
      <c r="AJ101" s="76">
        <f>IFERROR(AI101/AI148, "NA")</f>
        <v>2.568500415</v>
      </c>
      <c r="AK101" s="75">
        <f>IFERROR((X101-AG101)/AG101, "NA")</f>
        <v>0.2405903458</v>
      </c>
      <c r="AL101" s="76">
        <f>IFERROR(AK101/AK148, "NA")</f>
        <v>14.84250869</v>
      </c>
    </row>
    <row r="102" ht="3.75" hidden="1" customHeight="1">
      <c r="A102" s="123"/>
      <c r="B102" s="124"/>
      <c r="C102" s="74"/>
      <c r="D102" s="124"/>
      <c r="E102" s="74"/>
      <c r="F102" s="124"/>
      <c r="G102" s="74"/>
      <c r="H102" s="124"/>
      <c r="I102" s="74"/>
      <c r="J102" s="124"/>
      <c r="K102" s="74"/>
      <c r="L102" s="124"/>
      <c r="M102" s="74"/>
      <c r="N102" s="124"/>
      <c r="O102" s="74"/>
      <c r="P102" s="124"/>
      <c r="Q102" s="74"/>
      <c r="R102" s="124"/>
      <c r="S102" s="74"/>
      <c r="T102" s="124"/>
      <c r="U102" s="74"/>
      <c r="V102" s="124"/>
      <c r="W102" s="74"/>
      <c r="X102" s="124"/>
      <c r="Y102" s="74"/>
      <c r="Z102" s="124"/>
      <c r="AA102" s="74"/>
      <c r="AB102" s="124"/>
      <c r="AC102" s="74"/>
      <c r="AD102" s="125"/>
      <c r="AE102" s="80"/>
      <c r="AF102" s="125"/>
      <c r="AG102" s="124"/>
      <c r="AH102" s="74"/>
      <c r="AI102" s="125"/>
      <c r="AJ102" s="80"/>
      <c r="AK102" s="125"/>
      <c r="AL102" s="80"/>
    </row>
    <row r="103" ht="16.5" hidden="1" customHeight="1">
      <c r="A103" s="13" t="s">
        <v>215</v>
      </c>
      <c r="B103" s="14"/>
      <c r="C103" s="12"/>
      <c r="D103" s="14"/>
      <c r="E103" s="12"/>
      <c r="F103" s="14"/>
      <c r="G103" s="12"/>
      <c r="H103" s="14"/>
      <c r="I103" s="12"/>
      <c r="J103" s="14"/>
      <c r="K103" s="12"/>
      <c r="L103" s="14"/>
      <c r="M103" s="12"/>
      <c r="N103" s="14"/>
      <c r="O103" s="12"/>
      <c r="P103" s="14"/>
      <c r="Q103" s="12"/>
      <c r="R103" s="14"/>
      <c r="S103" s="12"/>
      <c r="T103" s="14"/>
      <c r="U103" s="12"/>
      <c r="V103" s="14"/>
      <c r="W103" s="12"/>
      <c r="X103" s="14"/>
      <c r="Y103" s="12"/>
      <c r="Z103" s="14"/>
      <c r="AA103" s="12"/>
      <c r="AB103" s="14"/>
      <c r="AC103" s="12"/>
      <c r="AD103" s="17"/>
      <c r="AE103" s="18"/>
      <c r="AF103" s="17"/>
      <c r="AG103" s="14"/>
      <c r="AH103" s="12"/>
      <c r="AI103" s="17"/>
      <c r="AJ103" s="18"/>
      <c r="AK103" s="17"/>
      <c r="AL103" s="18"/>
    </row>
    <row r="104" ht="16.5" hidden="1" customHeight="1">
      <c r="A104" s="126" t="s">
        <v>216</v>
      </c>
      <c r="B104" s="127">
        <v>0.0</v>
      </c>
      <c r="C104" s="94">
        <f>IFERROR(B104/B148, "NA")</f>
        <v>0</v>
      </c>
      <c r="D104" s="127">
        <v>3654.23</v>
      </c>
      <c r="E104" s="94">
        <f>IFERROR(D104/D148, "NA")</f>
        <v>0.1488537476</v>
      </c>
      <c r="F104" s="127">
        <v>20158.93</v>
      </c>
      <c r="G104" s="94">
        <f>IFERROR(F104/F148, "NA")</f>
        <v>0.8042346639</v>
      </c>
      <c r="H104" s="127">
        <v>820.72</v>
      </c>
      <c r="I104" s="94">
        <f>IFERROR(H104/H148, "NA")</f>
        <v>0.05002813138</v>
      </c>
      <c r="J104" s="127">
        <v>0.0</v>
      </c>
      <c r="K104" s="94">
        <f>IFERROR(J104/J148, "NA")</f>
        <v>0</v>
      </c>
      <c r="L104" s="127">
        <v>0.0</v>
      </c>
      <c r="M104" s="94">
        <f>IFERROR(L104/L148, "NA")</f>
        <v>0</v>
      </c>
      <c r="N104" s="127">
        <v>4249.92</v>
      </c>
      <c r="O104" s="94">
        <f>IFERROR(N104/N148, "NA")</f>
        <v>0.2034246831</v>
      </c>
      <c r="P104" s="127">
        <v>24539.86</v>
      </c>
      <c r="Q104" s="94">
        <f>IFERROR(P104/P148, "NA")</f>
        <v>1.658304816</v>
      </c>
      <c r="R104" s="127">
        <v>819.94</v>
      </c>
      <c r="S104" s="94">
        <f>IFERROR(R104/R148, "NA")</f>
        <v>0.04830681076</v>
      </c>
      <c r="T104" s="127">
        <v>0.0</v>
      </c>
      <c r="U104" s="94">
        <f>IFERROR(T104/T148, "NA")</f>
        <v>0</v>
      </c>
      <c r="V104" s="127">
        <v>1617.5</v>
      </c>
      <c r="W104" s="94">
        <f>IFERROR(V104/V148, "NA")</f>
        <v>0.05498848386</v>
      </c>
      <c r="X104" s="127">
        <v>20028.93</v>
      </c>
      <c r="Y104" s="94">
        <f>IFERROR(X104/X148, "NA")</f>
        <v>0.8917020532</v>
      </c>
      <c r="Z104" s="127">
        <v>22466.37</v>
      </c>
      <c r="AA104" s="94">
        <f>IFERROR(Z104/Z148, "NA")</f>
        <v>0.2516319518</v>
      </c>
      <c r="AB104" s="122">
        <f t="shared" ref="AB104:AB105" si="49">IFERROR((R104+T104+V104+X104)/4, "NA")</f>
        <v>5616.5925</v>
      </c>
      <c r="AC104" s="94">
        <f>IFERROR(AB104/AB148, "NA")</f>
        <v>0.2516319518</v>
      </c>
      <c r="AD104" s="75">
        <f t="shared" ref="AD104:AD105" si="50">IFERROR(X104-AB104, "NA")</f>
        <v>14412.3375</v>
      </c>
      <c r="AE104" s="76">
        <f>IFERROR(AD104/AD148, "NA")</f>
        <v>102.3639866</v>
      </c>
      <c r="AF104" s="75">
        <f t="shared" ref="AF104:AF105" si="51">IFERROR((X104-AB104)/AB104, "NA")</f>
        <v>2.566028691</v>
      </c>
      <c r="AG104" s="122">
        <f t="shared" ref="AG104:AG105" si="52">IFERROR((J104+L104+N104+P104+R104+T104+V104+X104)/8, "NA")</f>
        <v>6407.01875</v>
      </c>
      <c r="AH104" s="94">
        <f>IFERROR(AG104/AG148, "NA")</f>
        <v>0.2898686739</v>
      </c>
      <c r="AI104" s="75">
        <f t="shared" ref="AI104:AI105" si="53">IFERROR(X104-AG104, "NA")</f>
        <v>13621.91125</v>
      </c>
      <c r="AJ104" s="76">
        <f>IFERROR(AI104/AI148, "NA")</f>
        <v>38.02002959</v>
      </c>
      <c r="AK104" s="75">
        <f t="shared" ref="AK104:AK105" si="54">IFERROR((X104-AG104)/AG104, "NA")</f>
        <v>2.126091991</v>
      </c>
      <c r="AL104" s="76">
        <f>IFERROR(AK104/AK148, "NA")</f>
        <v>131.1629473</v>
      </c>
    </row>
    <row r="105" ht="16.5" hidden="1" customHeight="1">
      <c r="A105" s="65" t="s">
        <v>217</v>
      </c>
      <c r="B105" s="66">
        <f>IFERROR(B104, "NA")</f>
        <v>0</v>
      </c>
      <c r="C105" s="67">
        <f>IFERROR(B105/B148, "NA")</f>
        <v>0</v>
      </c>
      <c r="D105" s="66">
        <f>IFERROR(D104, "NA")</f>
        <v>3654.23</v>
      </c>
      <c r="E105" s="67">
        <f>IFERROR(D105/D148, "NA")</f>
        <v>0.1488537476</v>
      </c>
      <c r="F105" s="66">
        <f>IFERROR(F104, "NA")</f>
        <v>20158.93</v>
      </c>
      <c r="G105" s="67">
        <f>IFERROR(F105/F148, "NA")</f>
        <v>0.8042346639</v>
      </c>
      <c r="H105" s="66">
        <f>IFERROR(H104, "NA")</f>
        <v>820.72</v>
      </c>
      <c r="I105" s="67">
        <f>IFERROR(H105/H148, "NA")</f>
        <v>0.05002813138</v>
      </c>
      <c r="J105" s="66">
        <f>IFERROR(J104, "NA")</f>
        <v>0</v>
      </c>
      <c r="K105" s="67">
        <f>IFERROR(J105/J148, "NA")</f>
        <v>0</v>
      </c>
      <c r="L105" s="66">
        <f>IFERROR(L104, "NA")</f>
        <v>0</v>
      </c>
      <c r="M105" s="67">
        <f>IFERROR(L105/L148, "NA")</f>
        <v>0</v>
      </c>
      <c r="N105" s="66">
        <f>IFERROR(N104, "NA")</f>
        <v>4249.92</v>
      </c>
      <c r="O105" s="67">
        <f>IFERROR(N105/N148, "NA")</f>
        <v>0.2034246831</v>
      </c>
      <c r="P105" s="66">
        <f>IFERROR(P104, "NA")</f>
        <v>24539.86</v>
      </c>
      <c r="Q105" s="67">
        <f>IFERROR(P105/P148, "NA")</f>
        <v>1.658304816</v>
      </c>
      <c r="R105" s="66">
        <f>IFERROR(R104, "NA")</f>
        <v>819.94</v>
      </c>
      <c r="S105" s="67">
        <f>IFERROR(R105/R148, "NA")</f>
        <v>0.04830681076</v>
      </c>
      <c r="T105" s="66">
        <f>IFERROR(T104, "NA")</f>
        <v>0</v>
      </c>
      <c r="U105" s="67">
        <f>IFERROR(T105/T148, "NA")</f>
        <v>0</v>
      </c>
      <c r="V105" s="66">
        <f>IFERROR(V104, "NA")</f>
        <v>1617.5</v>
      </c>
      <c r="W105" s="67">
        <f>IFERROR(V105/V148, "NA")</f>
        <v>0.05498848386</v>
      </c>
      <c r="X105" s="66">
        <f>IFERROR(X104, "NA")</f>
        <v>20028.93</v>
      </c>
      <c r="Y105" s="67">
        <f>IFERROR(X105/X148, "NA")</f>
        <v>0.8917020532</v>
      </c>
      <c r="Z105" s="66">
        <f>IFERROR(Z104, "NA")</f>
        <v>22466.37</v>
      </c>
      <c r="AA105" s="67">
        <f>IFERROR(Z105/Z148, "NA")</f>
        <v>0.2516319518</v>
      </c>
      <c r="AB105" s="66">
        <f t="shared" si="49"/>
        <v>5616.5925</v>
      </c>
      <c r="AC105" s="67">
        <f>IFERROR(AB105/AB148, "NA")</f>
        <v>0.2516319518</v>
      </c>
      <c r="AD105" s="75">
        <f t="shared" si="50"/>
        <v>14412.3375</v>
      </c>
      <c r="AE105" s="76">
        <f>IFERROR(AD105/AD148, "NA")</f>
        <v>102.3639866</v>
      </c>
      <c r="AF105" s="75">
        <f t="shared" si="51"/>
        <v>2.566028691</v>
      </c>
      <c r="AG105" s="66">
        <f t="shared" si="52"/>
        <v>6407.01875</v>
      </c>
      <c r="AH105" s="67">
        <f>IFERROR(AG105/AG148, "NA")</f>
        <v>0.2898686739</v>
      </c>
      <c r="AI105" s="75">
        <f t="shared" si="53"/>
        <v>13621.91125</v>
      </c>
      <c r="AJ105" s="76">
        <f>IFERROR(AI105/AI148, "NA")</f>
        <v>38.02002959</v>
      </c>
      <c r="AK105" s="75">
        <f t="shared" si="54"/>
        <v>2.126091991</v>
      </c>
      <c r="AL105" s="76">
        <f>IFERROR(AK105/AK148, "NA")</f>
        <v>131.1629473</v>
      </c>
    </row>
    <row r="106" ht="16.5" hidden="1" customHeight="1">
      <c r="A106" s="123"/>
      <c r="B106" s="124"/>
      <c r="C106" s="74"/>
      <c r="D106" s="124"/>
      <c r="E106" s="74"/>
      <c r="F106" s="124"/>
      <c r="G106" s="74"/>
      <c r="H106" s="124"/>
      <c r="I106" s="74"/>
      <c r="J106" s="124"/>
      <c r="K106" s="74"/>
      <c r="L106" s="124"/>
      <c r="M106" s="74"/>
      <c r="N106" s="124"/>
      <c r="O106" s="74"/>
      <c r="P106" s="124"/>
      <c r="Q106" s="74"/>
      <c r="R106" s="124"/>
      <c r="S106" s="74"/>
      <c r="T106" s="124"/>
      <c r="U106" s="74"/>
      <c r="V106" s="124"/>
      <c r="W106" s="74"/>
      <c r="X106" s="124"/>
      <c r="Y106" s="74"/>
      <c r="Z106" s="124"/>
      <c r="AA106" s="74"/>
      <c r="AB106" s="124"/>
      <c r="AC106" s="74"/>
      <c r="AD106" s="125"/>
      <c r="AE106" s="80"/>
      <c r="AF106" s="125"/>
      <c r="AG106" s="124"/>
      <c r="AH106" s="74"/>
      <c r="AI106" s="125"/>
      <c r="AJ106" s="80"/>
      <c r="AK106" s="125"/>
      <c r="AL106" s="80"/>
    </row>
    <row r="107" ht="16.5" hidden="1" customHeight="1">
      <c r="A107" s="121" t="s">
        <v>218</v>
      </c>
      <c r="B107" s="122">
        <f>IFERROR(B87-B99-B105, "NA")</f>
        <v>7839.67</v>
      </c>
      <c r="C107" s="94">
        <f>IFERROR(B107/B148, "NA")</f>
        <v>0.2940484563</v>
      </c>
      <c r="D107" s="122">
        <f>IFERROR(D87-D99-D105, "NA")</f>
        <v>-544.63</v>
      </c>
      <c r="E107" s="94">
        <f>IFERROR(D107/D148, "NA")</f>
        <v>-0.02218530759</v>
      </c>
      <c r="F107" s="122">
        <f>IFERROR(F87-F99-F105, "NA")</f>
        <v>-14397.67</v>
      </c>
      <c r="G107" s="94">
        <f>IFERROR(F107/F148, "NA")</f>
        <v>-0.5743908676</v>
      </c>
      <c r="H107" s="122">
        <f>IFERROR(H87-H99-H105, "NA")</f>
        <v>985.08</v>
      </c>
      <c r="I107" s="94">
        <f>IFERROR(H107/H148, "NA")</f>
        <v>0.06004692423</v>
      </c>
      <c r="J107" s="122">
        <f>IFERROR(J87-J99-J105, "NA")</f>
        <v>6285.28</v>
      </c>
      <c r="K107" s="94">
        <f>IFERROR(J107/J148, "NA")</f>
        <v>0.2506405305</v>
      </c>
      <c r="L107" s="122">
        <f>IFERROR(L87-L99-L105, "NA")</f>
        <v>7532.6</v>
      </c>
      <c r="M107" s="94">
        <f>IFERROR(L107/L148, "NA")</f>
        <v>0.2813204576</v>
      </c>
      <c r="N107" s="122">
        <f>IFERROR(N87-N99-N105, "NA")</f>
        <v>-2354.75</v>
      </c>
      <c r="O107" s="94">
        <f>IFERROR(N107/N148, "NA")</f>
        <v>-0.1127113622</v>
      </c>
      <c r="P107" s="122">
        <f>IFERROR(P87-P99-P105, "NA")</f>
        <v>-25657.97</v>
      </c>
      <c r="Q107" s="94">
        <f>IFERROR(P107/P148, "NA")</f>
        <v>-1.733862183</v>
      </c>
      <c r="R107" s="122">
        <f>IFERROR(R87-R99-R105, "NA")</f>
        <v>823.34</v>
      </c>
      <c r="S107" s="94">
        <f>IFERROR(R107/R148, "NA")</f>
        <v>0.04850712195</v>
      </c>
      <c r="T107" s="122">
        <f>IFERROR(T87-T99-T105, "NA")</f>
        <v>3159.36</v>
      </c>
      <c r="U107" s="94">
        <f>IFERROR(T107/T148, "NA")</f>
        <v>0.15462531</v>
      </c>
      <c r="V107" s="122">
        <f>IFERROR(V87-V99-V105, "NA")</f>
        <v>4839.4</v>
      </c>
      <c r="W107" s="94">
        <f>IFERROR(V107/V148, "NA")</f>
        <v>0.1645201044</v>
      </c>
      <c r="X107" s="122">
        <f>IFERROR(X87-X99-X105, "NA")</f>
        <v>-15283.72</v>
      </c>
      <c r="Y107" s="94">
        <f>IFERROR(X107/X148, "NA")</f>
        <v>-0.6804419659</v>
      </c>
      <c r="Z107" s="122">
        <f>IFERROR(Z87-Z99-Z105, "NA")</f>
        <v>-6461.62</v>
      </c>
      <c r="AA107" s="94">
        <f>IFERROR(Z107/Z148, "NA")</f>
        <v>-0.07237261972</v>
      </c>
      <c r="AB107" s="122">
        <f>IFERROR((R107+T107+V107+X107)/4, "NA")</f>
        <v>-1615.405</v>
      </c>
      <c r="AC107" s="94">
        <f>IFERROR(AB107/AB148, "NA")</f>
        <v>-0.07237261972</v>
      </c>
      <c r="AD107" s="75">
        <f>IFERROR(X107-AB107, "NA")</f>
        <v>-13668.315</v>
      </c>
      <c r="AE107" s="76">
        <f>IFERROR(AD107/AD148, "NA")</f>
        <v>-97.07954828</v>
      </c>
      <c r="AF107" s="75">
        <f>IFERROR((X107-AB107)/AB107, "NA")</f>
        <v>8.461231084</v>
      </c>
      <c r="AG107" s="122">
        <f>IFERROR((J107+L107+N107+P107+R107+T107+V107+X107)/8, "NA")</f>
        <v>-2582.0575</v>
      </c>
      <c r="AH107" s="94">
        <f>IFERROR(AG107/AG148, "NA")</f>
        <v>-0.116818385</v>
      </c>
      <c r="AI107" s="75">
        <f>IFERROR(X107-AG107, "NA")</f>
        <v>-12701.6625</v>
      </c>
      <c r="AJ107" s="76">
        <f>IFERROR(AI107/AI148, "NA")</f>
        <v>-35.45152917</v>
      </c>
      <c r="AK107" s="75">
        <f>IFERROR((X107-AG107)/AG107, "NA")</f>
        <v>4.919202032</v>
      </c>
      <c r="AL107" s="76">
        <f>IFERROR(AK107/AK148, "NA")</f>
        <v>303.4755972</v>
      </c>
    </row>
    <row r="108" ht="3.75" hidden="1" customHeight="1">
      <c r="A108" s="123"/>
      <c r="B108" s="124"/>
      <c r="C108" s="74"/>
      <c r="D108" s="124"/>
      <c r="E108" s="74"/>
      <c r="F108" s="124"/>
      <c r="G108" s="74"/>
      <c r="H108" s="124"/>
      <c r="I108" s="74"/>
      <c r="J108" s="124"/>
      <c r="K108" s="74"/>
      <c r="L108" s="124"/>
      <c r="M108" s="74"/>
      <c r="N108" s="124"/>
      <c r="O108" s="74"/>
      <c r="P108" s="124"/>
      <c r="Q108" s="74"/>
      <c r="R108" s="124"/>
      <c r="S108" s="74"/>
      <c r="T108" s="124"/>
      <c r="U108" s="74"/>
      <c r="V108" s="124"/>
      <c r="W108" s="74"/>
      <c r="X108" s="124"/>
      <c r="Y108" s="74"/>
      <c r="Z108" s="124"/>
      <c r="AA108" s="74"/>
      <c r="AB108" s="124"/>
      <c r="AC108" s="74"/>
      <c r="AD108" s="125"/>
      <c r="AE108" s="80"/>
      <c r="AF108" s="125"/>
      <c r="AG108" s="124"/>
      <c r="AH108" s="74"/>
      <c r="AI108" s="125"/>
      <c r="AJ108" s="80"/>
      <c r="AK108" s="125"/>
      <c r="AL108" s="80"/>
    </row>
    <row r="109" ht="16.5" hidden="1" customHeight="1">
      <c r="A109" s="13" t="s">
        <v>219</v>
      </c>
      <c r="B109" s="14"/>
      <c r="C109" s="12"/>
      <c r="D109" s="14"/>
      <c r="E109" s="12"/>
      <c r="F109" s="14"/>
      <c r="G109" s="12"/>
      <c r="H109" s="14"/>
      <c r="I109" s="12"/>
      <c r="J109" s="14"/>
      <c r="K109" s="12"/>
      <c r="L109" s="14"/>
      <c r="M109" s="12"/>
      <c r="N109" s="14"/>
      <c r="O109" s="12"/>
      <c r="P109" s="14"/>
      <c r="Q109" s="12"/>
      <c r="R109" s="14"/>
      <c r="S109" s="12"/>
      <c r="T109" s="14"/>
      <c r="U109" s="12"/>
      <c r="V109" s="14"/>
      <c r="W109" s="12"/>
      <c r="X109" s="14"/>
      <c r="Y109" s="12"/>
      <c r="Z109" s="14"/>
      <c r="AA109" s="12"/>
      <c r="AB109" s="14"/>
      <c r="AC109" s="12"/>
      <c r="AD109" s="17"/>
      <c r="AE109" s="18"/>
      <c r="AF109" s="17"/>
      <c r="AG109" s="14"/>
      <c r="AH109" s="12"/>
      <c r="AI109" s="17"/>
      <c r="AJ109" s="18"/>
      <c r="AK109" s="17"/>
      <c r="AL109" s="18"/>
    </row>
    <row r="110" ht="16.5" hidden="1" customHeight="1">
      <c r="A110" s="19" t="s">
        <v>220</v>
      </c>
      <c r="B110" s="21">
        <v>0.0</v>
      </c>
      <c r="C110" s="23">
        <f>IFERROR(B110/B148, "NA")</f>
        <v>0</v>
      </c>
      <c r="D110" s="21">
        <v>0.0</v>
      </c>
      <c r="E110" s="23">
        <f>IFERROR(D110/D148, "NA")</f>
        <v>0</v>
      </c>
      <c r="F110" s="21">
        <v>0.0</v>
      </c>
      <c r="G110" s="23">
        <f>IFERROR(F110/F148, "NA")</f>
        <v>0</v>
      </c>
      <c r="H110" s="21">
        <v>0.0</v>
      </c>
      <c r="I110" s="23">
        <f>IFERROR(H110/H148, "NA")</f>
        <v>0</v>
      </c>
      <c r="J110" s="21">
        <v>0.0</v>
      </c>
      <c r="K110" s="23">
        <f>IFERROR(J110/J148, "NA")</f>
        <v>0</v>
      </c>
      <c r="L110" s="21">
        <v>0.0</v>
      </c>
      <c r="M110" s="23">
        <f>IFERROR(L110/L148, "NA")</f>
        <v>0</v>
      </c>
      <c r="N110" s="21">
        <v>0.0</v>
      </c>
      <c r="O110" s="23">
        <f>IFERROR(N110/N148, "NA")</f>
        <v>0</v>
      </c>
      <c r="P110" s="21">
        <v>0.0</v>
      </c>
      <c r="Q110" s="23">
        <f>IFERROR(P110/P148, "NA")</f>
        <v>0</v>
      </c>
      <c r="R110" s="21">
        <v>0.0</v>
      </c>
      <c r="S110" s="23">
        <f>IFERROR(R110/R148, "NA")</f>
        <v>0</v>
      </c>
      <c r="T110" s="21">
        <v>0.0</v>
      </c>
      <c r="U110" s="23">
        <f>IFERROR(T110/T148, "NA")</f>
        <v>0</v>
      </c>
      <c r="V110" s="21">
        <v>0.0</v>
      </c>
      <c r="W110" s="23">
        <f>IFERROR(V110/V148, "NA")</f>
        <v>0</v>
      </c>
      <c r="X110" s="21">
        <v>0.0</v>
      </c>
      <c r="Y110" s="23">
        <f>IFERROR(X110/X148, "NA")</f>
        <v>0</v>
      </c>
      <c r="Z110" s="21">
        <v>0.0</v>
      </c>
      <c r="AA110" s="23">
        <f>IFERROR(Z110/Z148, "NA")</f>
        <v>0</v>
      </c>
      <c r="AB110" s="28">
        <f t="shared" ref="AB110:AB135" si="55">IFERROR((R110+T110+V110+X110)/4, "NA")</f>
        <v>0</v>
      </c>
      <c r="AC110" s="23">
        <f>IFERROR(AB110/AB148, "NA")</f>
        <v>0</v>
      </c>
      <c r="AD110" s="29">
        <f t="shared" ref="AD110:AD135" si="56">IFERROR(X110-AB110, "NA")</f>
        <v>0</v>
      </c>
      <c r="AE110" s="30">
        <f>IFERROR(AD110/AD148, "NA")</f>
        <v>0</v>
      </c>
      <c r="AF110" s="29" t="str">
        <f t="shared" ref="AF110:AF135" si="57">IFERROR((X110-AB110)/AB110, "NA")</f>
        <v>NA</v>
      </c>
      <c r="AG110" s="28">
        <f t="shared" ref="AG110:AG135" si="58">IFERROR((J110+L110+N110+P110+R110+T110+V110+X110)/8, "NA")</f>
        <v>0</v>
      </c>
      <c r="AH110" s="23">
        <f>IFERROR(AG110/AG148, "NA")</f>
        <v>0</v>
      </c>
      <c r="AI110" s="29">
        <f t="shared" ref="AI110:AI135" si="59">IFERROR(X110-AG110, "NA")</f>
        <v>0</v>
      </c>
      <c r="AJ110" s="30">
        <f>IFERROR(AI110/AI148, "NA")</f>
        <v>0</v>
      </c>
      <c r="AK110" s="29" t="str">
        <f t="shared" ref="AK110:AK135" si="60">IFERROR((X110-AG110)/AG110, "NA")</f>
        <v>NA</v>
      </c>
      <c r="AL110" s="30" t="str">
        <f>IFERROR(AK110/AK148, "NA")</f>
        <v>NA</v>
      </c>
    </row>
    <row r="111" ht="16.5" hidden="1" customHeight="1">
      <c r="A111" s="19" t="s">
        <v>221</v>
      </c>
      <c r="B111" s="21">
        <v>0.0</v>
      </c>
      <c r="C111" s="23">
        <f>IFERROR(B111/B148, "NA")</f>
        <v>0</v>
      </c>
      <c r="D111" s="21">
        <v>0.0</v>
      </c>
      <c r="E111" s="23">
        <f>IFERROR(D111/D148, "NA")</f>
        <v>0</v>
      </c>
      <c r="F111" s="21">
        <v>0.0</v>
      </c>
      <c r="G111" s="23">
        <f>IFERROR(F111/F148, "NA")</f>
        <v>0</v>
      </c>
      <c r="H111" s="21">
        <v>0.0</v>
      </c>
      <c r="I111" s="23">
        <f>IFERROR(H111/H148, "NA")</f>
        <v>0</v>
      </c>
      <c r="J111" s="21">
        <v>0.0</v>
      </c>
      <c r="K111" s="23">
        <f>IFERROR(J111/J148, "NA")</f>
        <v>0</v>
      </c>
      <c r="L111" s="21">
        <v>0.0</v>
      </c>
      <c r="M111" s="23">
        <f>IFERROR(L111/L148, "NA")</f>
        <v>0</v>
      </c>
      <c r="N111" s="21">
        <v>0.0</v>
      </c>
      <c r="O111" s="23">
        <f>IFERROR(N111/N148, "NA")</f>
        <v>0</v>
      </c>
      <c r="P111" s="21">
        <v>0.0</v>
      </c>
      <c r="Q111" s="23">
        <f>IFERROR(P111/P148, "NA")</f>
        <v>0</v>
      </c>
      <c r="R111" s="21">
        <v>0.0</v>
      </c>
      <c r="S111" s="23">
        <f>IFERROR(R111/R148, "NA")</f>
        <v>0</v>
      </c>
      <c r="T111" s="21">
        <v>0.0</v>
      </c>
      <c r="U111" s="23">
        <f>IFERROR(T111/T148, "NA")</f>
        <v>0</v>
      </c>
      <c r="V111" s="21">
        <v>0.0</v>
      </c>
      <c r="W111" s="23">
        <f>IFERROR(V111/V148, "NA")</f>
        <v>0</v>
      </c>
      <c r="X111" s="21">
        <v>0.0</v>
      </c>
      <c r="Y111" s="23">
        <f>IFERROR(X111/X148, "NA")</f>
        <v>0</v>
      </c>
      <c r="Z111" s="21">
        <v>0.0</v>
      </c>
      <c r="AA111" s="23">
        <f>IFERROR(Z111/Z148, "NA")</f>
        <v>0</v>
      </c>
      <c r="AB111" s="28">
        <f t="shared" si="55"/>
        <v>0</v>
      </c>
      <c r="AC111" s="23">
        <f>IFERROR(AB111/AB148, "NA")</f>
        <v>0</v>
      </c>
      <c r="AD111" s="29">
        <f t="shared" si="56"/>
        <v>0</v>
      </c>
      <c r="AE111" s="30">
        <f>IFERROR(AD111/AD148, "NA")</f>
        <v>0</v>
      </c>
      <c r="AF111" s="29" t="str">
        <f t="shared" si="57"/>
        <v>NA</v>
      </c>
      <c r="AG111" s="28">
        <f t="shared" si="58"/>
        <v>0</v>
      </c>
      <c r="AH111" s="23">
        <f>IFERROR(AG111/AG148, "NA")</f>
        <v>0</v>
      </c>
      <c r="AI111" s="29">
        <f t="shared" si="59"/>
        <v>0</v>
      </c>
      <c r="AJ111" s="30">
        <f>IFERROR(AI111/AI148, "NA")</f>
        <v>0</v>
      </c>
      <c r="AK111" s="29" t="str">
        <f t="shared" si="60"/>
        <v>NA</v>
      </c>
      <c r="AL111" s="30" t="str">
        <f>IFERROR(AK111/AK148, "NA")</f>
        <v>NA</v>
      </c>
    </row>
    <row r="112" ht="16.5" hidden="1" customHeight="1">
      <c r="A112" s="19" t="s">
        <v>222</v>
      </c>
      <c r="B112" s="21">
        <v>0.0</v>
      </c>
      <c r="C112" s="23">
        <f>IFERROR(B112/B148, "NA")</f>
        <v>0</v>
      </c>
      <c r="D112" s="21">
        <v>0.0</v>
      </c>
      <c r="E112" s="23">
        <f>IFERROR(D112/D148, "NA")</f>
        <v>0</v>
      </c>
      <c r="F112" s="21">
        <v>0.0</v>
      </c>
      <c r="G112" s="23">
        <f>IFERROR(F112/F148, "NA")</f>
        <v>0</v>
      </c>
      <c r="H112" s="21">
        <v>0.0</v>
      </c>
      <c r="I112" s="23">
        <f>IFERROR(H112/H148, "NA")</f>
        <v>0</v>
      </c>
      <c r="J112" s="21">
        <v>0.0</v>
      </c>
      <c r="K112" s="23">
        <f>IFERROR(J112/J148, "NA")</f>
        <v>0</v>
      </c>
      <c r="L112" s="21">
        <v>0.0</v>
      </c>
      <c r="M112" s="23">
        <f>IFERROR(L112/L148, "NA")</f>
        <v>0</v>
      </c>
      <c r="N112" s="21">
        <v>0.0</v>
      </c>
      <c r="O112" s="23">
        <f>IFERROR(N112/N148, "NA")</f>
        <v>0</v>
      </c>
      <c r="P112" s="21">
        <v>0.0</v>
      </c>
      <c r="Q112" s="23">
        <f>IFERROR(P112/P148, "NA")</f>
        <v>0</v>
      </c>
      <c r="R112" s="21">
        <v>0.0</v>
      </c>
      <c r="S112" s="23">
        <f>IFERROR(R112/R148, "NA")</f>
        <v>0</v>
      </c>
      <c r="T112" s="21">
        <v>0.0</v>
      </c>
      <c r="U112" s="23">
        <f>IFERROR(T112/T148, "NA")</f>
        <v>0</v>
      </c>
      <c r="V112" s="21">
        <v>0.0</v>
      </c>
      <c r="W112" s="23">
        <f>IFERROR(V112/V148, "NA")</f>
        <v>0</v>
      </c>
      <c r="X112" s="21">
        <v>0.0</v>
      </c>
      <c r="Y112" s="23">
        <f>IFERROR(X112/X148, "NA")</f>
        <v>0</v>
      </c>
      <c r="Z112" s="21">
        <v>0.0</v>
      </c>
      <c r="AA112" s="23">
        <f>IFERROR(Z112/Z148, "NA")</f>
        <v>0</v>
      </c>
      <c r="AB112" s="28">
        <f t="shared" si="55"/>
        <v>0</v>
      </c>
      <c r="AC112" s="23">
        <f>IFERROR(AB112/AB148, "NA")</f>
        <v>0</v>
      </c>
      <c r="AD112" s="29">
        <f t="shared" si="56"/>
        <v>0</v>
      </c>
      <c r="AE112" s="30">
        <f>IFERROR(AD112/AD148, "NA")</f>
        <v>0</v>
      </c>
      <c r="AF112" s="29" t="str">
        <f t="shared" si="57"/>
        <v>NA</v>
      </c>
      <c r="AG112" s="28">
        <f t="shared" si="58"/>
        <v>0</v>
      </c>
      <c r="AH112" s="23">
        <f>IFERROR(AG112/AG148, "NA")</f>
        <v>0</v>
      </c>
      <c r="AI112" s="29">
        <f t="shared" si="59"/>
        <v>0</v>
      </c>
      <c r="AJ112" s="30">
        <f>IFERROR(AI112/AI148, "NA")</f>
        <v>0</v>
      </c>
      <c r="AK112" s="29" t="str">
        <f t="shared" si="60"/>
        <v>NA</v>
      </c>
      <c r="AL112" s="30" t="str">
        <f>IFERROR(AK112/AK148, "NA")</f>
        <v>NA</v>
      </c>
    </row>
    <row r="113" ht="16.5" hidden="1" customHeight="1">
      <c r="A113" s="19" t="s">
        <v>223</v>
      </c>
      <c r="B113" s="21">
        <v>0.0</v>
      </c>
      <c r="C113" s="23">
        <f>IFERROR(B113/B148, "NA")</f>
        <v>0</v>
      </c>
      <c r="D113" s="21">
        <v>0.0</v>
      </c>
      <c r="E113" s="23">
        <f>IFERROR(D113/D148, "NA")</f>
        <v>0</v>
      </c>
      <c r="F113" s="21">
        <v>0.0</v>
      </c>
      <c r="G113" s="23">
        <f>IFERROR(F113/F148, "NA")</f>
        <v>0</v>
      </c>
      <c r="H113" s="21">
        <v>0.0</v>
      </c>
      <c r="I113" s="23">
        <f>IFERROR(H113/H148, "NA")</f>
        <v>0</v>
      </c>
      <c r="J113" s="21">
        <v>0.0</v>
      </c>
      <c r="K113" s="23">
        <f>IFERROR(J113/J148, "NA")</f>
        <v>0</v>
      </c>
      <c r="L113" s="21">
        <v>0.0</v>
      </c>
      <c r="M113" s="23">
        <f>IFERROR(L113/L148, "NA")</f>
        <v>0</v>
      </c>
      <c r="N113" s="21">
        <v>0.0</v>
      </c>
      <c r="O113" s="23">
        <f>IFERROR(N113/N148, "NA")</f>
        <v>0</v>
      </c>
      <c r="P113" s="21">
        <v>0.0</v>
      </c>
      <c r="Q113" s="23">
        <f>IFERROR(P113/P148, "NA")</f>
        <v>0</v>
      </c>
      <c r="R113" s="21">
        <v>0.0</v>
      </c>
      <c r="S113" s="23">
        <f>IFERROR(R113/R148, "NA")</f>
        <v>0</v>
      </c>
      <c r="T113" s="21">
        <v>0.0</v>
      </c>
      <c r="U113" s="23">
        <f>IFERROR(T113/T148, "NA")</f>
        <v>0</v>
      </c>
      <c r="V113" s="21">
        <v>0.0</v>
      </c>
      <c r="W113" s="23">
        <f>IFERROR(V113/V148, "NA")</f>
        <v>0</v>
      </c>
      <c r="X113" s="21">
        <v>0.0</v>
      </c>
      <c r="Y113" s="23">
        <f>IFERROR(X113/X148, "NA")</f>
        <v>0</v>
      </c>
      <c r="Z113" s="21">
        <v>0.0</v>
      </c>
      <c r="AA113" s="23">
        <f>IFERROR(Z113/Z148, "NA")</f>
        <v>0</v>
      </c>
      <c r="AB113" s="28">
        <f t="shared" si="55"/>
        <v>0</v>
      </c>
      <c r="AC113" s="23">
        <f>IFERROR(AB113/AB148, "NA")</f>
        <v>0</v>
      </c>
      <c r="AD113" s="29">
        <f t="shared" si="56"/>
        <v>0</v>
      </c>
      <c r="AE113" s="30">
        <f>IFERROR(AD113/AD148, "NA")</f>
        <v>0</v>
      </c>
      <c r="AF113" s="29" t="str">
        <f t="shared" si="57"/>
        <v>NA</v>
      </c>
      <c r="AG113" s="28">
        <f t="shared" si="58"/>
        <v>0</v>
      </c>
      <c r="AH113" s="23">
        <f>IFERROR(AG113/AG148, "NA")</f>
        <v>0</v>
      </c>
      <c r="AI113" s="29">
        <f t="shared" si="59"/>
        <v>0</v>
      </c>
      <c r="AJ113" s="30">
        <f>IFERROR(AI113/AI148, "NA")</f>
        <v>0</v>
      </c>
      <c r="AK113" s="29" t="str">
        <f t="shared" si="60"/>
        <v>NA</v>
      </c>
      <c r="AL113" s="30" t="str">
        <f>IFERROR(AK113/AK148, "NA")</f>
        <v>NA</v>
      </c>
    </row>
    <row r="114" ht="16.5" hidden="1" customHeight="1">
      <c r="A114" s="19" t="s">
        <v>224</v>
      </c>
      <c r="B114" s="21">
        <v>0.0</v>
      </c>
      <c r="C114" s="23">
        <f>IFERROR(B114/B148, "NA")</f>
        <v>0</v>
      </c>
      <c r="D114" s="21">
        <v>0.0</v>
      </c>
      <c r="E114" s="23">
        <f>IFERROR(D114/D148, "NA")</f>
        <v>0</v>
      </c>
      <c r="F114" s="21">
        <v>0.0</v>
      </c>
      <c r="G114" s="23">
        <f>IFERROR(F114/F148, "NA")</f>
        <v>0</v>
      </c>
      <c r="H114" s="21">
        <v>0.0</v>
      </c>
      <c r="I114" s="23">
        <f>IFERROR(H114/H148, "NA")</f>
        <v>0</v>
      </c>
      <c r="J114" s="21">
        <v>0.0</v>
      </c>
      <c r="K114" s="23">
        <f>IFERROR(J114/J148, "NA")</f>
        <v>0</v>
      </c>
      <c r="L114" s="21">
        <v>0.0</v>
      </c>
      <c r="M114" s="23">
        <f>IFERROR(L114/L148, "NA")</f>
        <v>0</v>
      </c>
      <c r="N114" s="21">
        <v>0.0</v>
      </c>
      <c r="O114" s="23">
        <f>IFERROR(N114/N148, "NA")</f>
        <v>0</v>
      </c>
      <c r="P114" s="21">
        <v>0.0</v>
      </c>
      <c r="Q114" s="23">
        <f>IFERROR(P114/P148, "NA")</f>
        <v>0</v>
      </c>
      <c r="R114" s="21">
        <v>0.0</v>
      </c>
      <c r="S114" s="23">
        <f>IFERROR(R114/R148, "NA")</f>
        <v>0</v>
      </c>
      <c r="T114" s="21">
        <v>0.0</v>
      </c>
      <c r="U114" s="23">
        <f>IFERROR(T114/T148, "NA")</f>
        <v>0</v>
      </c>
      <c r="V114" s="21">
        <v>0.0</v>
      </c>
      <c r="W114" s="23">
        <f>IFERROR(V114/V148, "NA")</f>
        <v>0</v>
      </c>
      <c r="X114" s="21">
        <v>0.0</v>
      </c>
      <c r="Y114" s="23">
        <f>IFERROR(X114/X148, "NA")</f>
        <v>0</v>
      </c>
      <c r="Z114" s="21">
        <v>0.0</v>
      </c>
      <c r="AA114" s="23">
        <f>IFERROR(Z114/Z148, "NA")</f>
        <v>0</v>
      </c>
      <c r="AB114" s="28">
        <f t="shared" si="55"/>
        <v>0</v>
      </c>
      <c r="AC114" s="23">
        <f>IFERROR(AB114/AB148, "NA")</f>
        <v>0</v>
      </c>
      <c r="AD114" s="29">
        <f t="shared" si="56"/>
        <v>0</v>
      </c>
      <c r="AE114" s="30">
        <f>IFERROR(AD114/AD148, "NA")</f>
        <v>0</v>
      </c>
      <c r="AF114" s="29" t="str">
        <f t="shared" si="57"/>
        <v>NA</v>
      </c>
      <c r="AG114" s="28">
        <f t="shared" si="58"/>
        <v>0</v>
      </c>
      <c r="AH114" s="23">
        <f>IFERROR(AG114/AG148, "NA")</f>
        <v>0</v>
      </c>
      <c r="AI114" s="29">
        <f t="shared" si="59"/>
        <v>0</v>
      </c>
      <c r="AJ114" s="30">
        <f>IFERROR(AI114/AI148, "NA")</f>
        <v>0</v>
      </c>
      <c r="AK114" s="29" t="str">
        <f t="shared" si="60"/>
        <v>NA</v>
      </c>
      <c r="AL114" s="30" t="str">
        <f>IFERROR(AK114/AK148, "NA")</f>
        <v>NA</v>
      </c>
    </row>
    <row r="115" ht="16.5" hidden="1" customHeight="1">
      <c r="A115" s="19" t="s">
        <v>225</v>
      </c>
      <c r="B115" s="21">
        <v>0.0</v>
      </c>
      <c r="C115" s="23">
        <f>IFERROR(B115/B148, "NA")</f>
        <v>0</v>
      </c>
      <c r="D115" s="21">
        <v>0.0</v>
      </c>
      <c r="E115" s="23">
        <f>IFERROR(D115/D148, "NA")</f>
        <v>0</v>
      </c>
      <c r="F115" s="21">
        <v>0.0</v>
      </c>
      <c r="G115" s="23">
        <f>IFERROR(F115/F148, "NA")</f>
        <v>0</v>
      </c>
      <c r="H115" s="21">
        <v>0.0</v>
      </c>
      <c r="I115" s="23">
        <f>IFERROR(H115/H148, "NA")</f>
        <v>0</v>
      </c>
      <c r="J115" s="21">
        <v>0.0</v>
      </c>
      <c r="K115" s="23">
        <f>IFERROR(J115/J148, "NA")</f>
        <v>0</v>
      </c>
      <c r="L115" s="21">
        <v>0.0</v>
      </c>
      <c r="M115" s="23">
        <f>IFERROR(L115/L148, "NA")</f>
        <v>0</v>
      </c>
      <c r="N115" s="21">
        <v>0.0</v>
      </c>
      <c r="O115" s="23">
        <f>IFERROR(N115/N148, "NA")</f>
        <v>0</v>
      </c>
      <c r="P115" s="21">
        <v>0.0</v>
      </c>
      <c r="Q115" s="23">
        <f>IFERROR(P115/P148, "NA")</f>
        <v>0</v>
      </c>
      <c r="R115" s="21">
        <v>0.0</v>
      </c>
      <c r="S115" s="23">
        <f>IFERROR(R115/R148, "NA")</f>
        <v>0</v>
      </c>
      <c r="T115" s="21">
        <v>0.0</v>
      </c>
      <c r="U115" s="23">
        <f>IFERROR(T115/T148, "NA")</f>
        <v>0</v>
      </c>
      <c r="V115" s="21">
        <v>0.0</v>
      </c>
      <c r="W115" s="23">
        <f>IFERROR(V115/V148, "NA")</f>
        <v>0</v>
      </c>
      <c r="X115" s="21">
        <v>0.0</v>
      </c>
      <c r="Y115" s="23">
        <f>IFERROR(X115/X148, "NA")</f>
        <v>0</v>
      </c>
      <c r="Z115" s="21">
        <v>0.0</v>
      </c>
      <c r="AA115" s="23">
        <f>IFERROR(Z115/Z148, "NA")</f>
        <v>0</v>
      </c>
      <c r="AB115" s="28">
        <f t="shared" si="55"/>
        <v>0</v>
      </c>
      <c r="AC115" s="23">
        <f>IFERROR(AB115/AB148, "NA")</f>
        <v>0</v>
      </c>
      <c r="AD115" s="29">
        <f t="shared" si="56"/>
        <v>0</v>
      </c>
      <c r="AE115" s="30">
        <f>IFERROR(AD115/AD148, "NA")</f>
        <v>0</v>
      </c>
      <c r="AF115" s="29" t="str">
        <f t="shared" si="57"/>
        <v>NA</v>
      </c>
      <c r="AG115" s="28">
        <f t="shared" si="58"/>
        <v>0</v>
      </c>
      <c r="AH115" s="23">
        <f>IFERROR(AG115/AG148, "NA")</f>
        <v>0</v>
      </c>
      <c r="AI115" s="29">
        <f t="shared" si="59"/>
        <v>0</v>
      </c>
      <c r="AJ115" s="30">
        <f>IFERROR(AI115/AI148, "NA")</f>
        <v>0</v>
      </c>
      <c r="AK115" s="29" t="str">
        <f t="shared" si="60"/>
        <v>NA</v>
      </c>
      <c r="AL115" s="30" t="str">
        <f>IFERROR(AK115/AK148, "NA")</f>
        <v>NA</v>
      </c>
    </row>
    <row r="116" ht="16.5" hidden="1" customHeight="1">
      <c r="A116" s="19" t="s">
        <v>226</v>
      </c>
      <c r="B116" s="21">
        <v>0.0</v>
      </c>
      <c r="C116" s="23">
        <f>IFERROR(B116/B148, "NA")</f>
        <v>0</v>
      </c>
      <c r="D116" s="21">
        <v>0.0</v>
      </c>
      <c r="E116" s="23">
        <f>IFERROR(D116/D148, "NA")</f>
        <v>0</v>
      </c>
      <c r="F116" s="21">
        <v>0.0</v>
      </c>
      <c r="G116" s="23">
        <f>IFERROR(F116/F148, "NA")</f>
        <v>0</v>
      </c>
      <c r="H116" s="21">
        <v>0.0</v>
      </c>
      <c r="I116" s="23">
        <f>IFERROR(H116/H148, "NA")</f>
        <v>0</v>
      </c>
      <c r="J116" s="21">
        <v>0.0</v>
      </c>
      <c r="K116" s="23">
        <f>IFERROR(J116/J148, "NA")</f>
        <v>0</v>
      </c>
      <c r="L116" s="21">
        <v>0.0</v>
      </c>
      <c r="M116" s="23">
        <f>IFERROR(L116/L148, "NA")</f>
        <v>0</v>
      </c>
      <c r="N116" s="21">
        <v>0.0</v>
      </c>
      <c r="O116" s="23">
        <f>IFERROR(N116/N148, "NA")</f>
        <v>0</v>
      </c>
      <c r="P116" s="21">
        <v>0.0</v>
      </c>
      <c r="Q116" s="23">
        <f>IFERROR(P116/P148, "NA")</f>
        <v>0</v>
      </c>
      <c r="R116" s="21">
        <v>0.0</v>
      </c>
      <c r="S116" s="23">
        <f>IFERROR(R116/R148, "NA")</f>
        <v>0</v>
      </c>
      <c r="T116" s="21">
        <v>0.0</v>
      </c>
      <c r="U116" s="23">
        <f>IFERROR(T116/T148, "NA")</f>
        <v>0</v>
      </c>
      <c r="V116" s="21">
        <v>0.0</v>
      </c>
      <c r="W116" s="23">
        <f>IFERROR(V116/V148, "NA")</f>
        <v>0</v>
      </c>
      <c r="X116" s="21">
        <v>0.0</v>
      </c>
      <c r="Y116" s="23">
        <f>IFERROR(X116/X148, "NA")</f>
        <v>0</v>
      </c>
      <c r="Z116" s="21">
        <v>0.0</v>
      </c>
      <c r="AA116" s="23">
        <f>IFERROR(Z116/Z148, "NA")</f>
        <v>0</v>
      </c>
      <c r="AB116" s="28">
        <f t="shared" si="55"/>
        <v>0</v>
      </c>
      <c r="AC116" s="23">
        <f>IFERROR(AB116/AB148, "NA")</f>
        <v>0</v>
      </c>
      <c r="AD116" s="29">
        <f t="shared" si="56"/>
        <v>0</v>
      </c>
      <c r="AE116" s="30">
        <f>IFERROR(AD116/AD148, "NA")</f>
        <v>0</v>
      </c>
      <c r="AF116" s="29" t="str">
        <f t="shared" si="57"/>
        <v>NA</v>
      </c>
      <c r="AG116" s="28">
        <f t="shared" si="58"/>
        <v>0</v>
      </c>
      <c r="AH116" s="23">
        <f>IFERROR(AG116/AG148, "NA")</f>
        <v>0</v>
      </c>
      <c r="AI116" s="29">
        <f t="shared" si="59"/>
        <v>0</v>
      </c>
      <c r="AJ116" s="30">
        <f>IFERROR(AI116/AI148, "NA")</f>
        <v>0</v>
      </c>
      <c r="AK116" s="29" t="str">
        <f t="shared" si="60"/>
        <v>NA</v>
      </c>
      <c r="AL116" s="30" t="str">
        <f>IFERROR(AK116/AK148, "NA")</f>
        <v>NA</v>
      </c>
    </row>
    <row r="117" ht="16.5" hidden="1" customHeight="1">
      <c r="A117" s="19" t="s">
        <v>227</v>
      </c>
      <c r="B117" s="21">
        <v>0.0</v>
      </c>
      <c r="C117" s="23">
        <f>IFERROR(B117/B148, "NA")</f>
        <v>0</v>
      </c>
      <c r="D117" s="21">
        <v>0.0</v>
      </c>
      <c r="E117" s="23">
        <f>IFERROR(D117/D148, "NA")</f>
        <v>0</v>
      </c>
      <c r="F117" s="21">
        <v>0.0</v>
      </c>
      <c r="G117" s="23">
        <f>IFERROR(F117/F148, "NA")</f>
        <v>0</v>
      </c>
      <c r="H117" s="21">
        <v>0.0</v>
      </c>
      <c r="I117" s="23">
        <f>IFERROR(H117/H148, "NA")</f>
        <v>0</v>
      </c>
      <c r="J117" s="21">
        <v>0.0</v>
      </c>
      <c r="K117" s="23">
        <f>IFERROR(J117/J148, "NA")</f>
        <v>0</v>
      </c>
      <c r="L117" s="21">
        <v>0.0</v>
      </c>
      <c r="M117" s="23">
        <f>IFERROR(L117/L148, "NA")</f>
        <v>0</v>
      </c>
      <c r="N117" s="21">
        <v>0.0</v>
      </c>
      <c r="O117" s="23">
        <f>IFERROR(N117/N148, "NA")</f>
        <v>0</v>
      </c>
      <c r="P117" s="21">
        <v>0.0</v>
      </c>
      <c r="Q117" s="23">
        <f>IFERROR(P117/P148, "NA")</f>
        <v>0</v>
      </c>
      <c r="R117" s="21">
        <v>0.0</v>
      </c>
      <c r="S117" s="23">
        <f>IFERROR(R117/R148, "NA")</f>
        <v>0</v>
      </c>
      <c r="T117" s="21">
        <v>0.0</v>
      </c>
      <c r="U117" s="23">
        <f>IFERROR(T117/T148, "NA")</f>
        <v>0</v>
      </c>
      <c r="V117" s="21">
        <v>0.0</v>
      </c>
      <c r="W117" s="23">
        <f>IFERROR(V117/V148, "NA")</f>
        <v>0</v>
      </c>
      <c r="X117" s="21">
        <v>0.0</v>
      </c>
      <c r="Y117" s="23">
        <f>IFERROR(X117/X148, "NA")</f>
        <v>0</v>
      </c>
      <c r="Z117" s="21">
        <v>0.0</v>
      </c>
      <c r="AA117" s="23">
        <f>IFERROR(Z117/Z148, "NA")</f>
        <v>0</v>
      </c>
      <c r="AB117" s="28">
        <f t="shared" si="55"/>
        <v>0</v>
      </c>
      <c r="AC117" s="23">
        <f>IFERROR(AB117/AB148, "NA")</f>
        <v>0</v>
      </c>
      <c r="AD117" s="29">
        <f t="shared" si="56"/>
        <v>0</v>
      </c>
      <c r="AE117" s="30">
        <f>IFERROR(AD117/AD148, "NA")</f>
        <v>0</v>
      </c>
      <c r="AF117" s="29" t="str">
        <f t="shared" si="57"/>
        <v>NA</v>
      </c>
      <c r="AG117" s="28">
        <f t="shared" si="58"/>
        <v>0</v>
      </c>
      <c r="AH117" s="23">
        <f>IFERROR(AG117/AG148, "NA")</f>
        <v>0</v>
      </c>
      <c r="AI117" s="29">
        <f t="shared" si="59"/>
        <v>0</v>
      </c>
      <c r="AJ117" s="30">
        <f>IFERROR(AI117/AI148, "NA")</f>
        <v>0</v>
      </c>
      <c r="AK117" s="29" t="str">
        <f t="shared" si="60"/>
        <v>NA</v>
      </c>
      <c r="AL117" s="30" t="str">
        <f>IFERROR(AK117/AK148, "NA")</f>
        <v>NA</v>
      </c>
    </row>
    <row r="118" ht="16.5" hidden="1" customHeight="1">
      <c r="A118" s="19" t="s">
        <v>228</v>
      </c>
      <c r="B118" s="21">
        <v>0.0</v>
      </c>
      <c r="C118" s="23">
        <f>IFERROR(B118/B148, "NA")</f>
        <v>0</v>
      </c>
      <c r="D118" s="21">
        <v>0.0</v>
      </c>
      <c r="E118" s="23">
        <f>IFERROR(D118/D148, "NA")</f>
        <v>0</v>
      </c>
      <c r="F118" s="21">
        <v>0.0</v>
      </c>
      <c r="G118" s="23">
        <f>IFERROR(F118/F148, "NA")</f>
        <v>0</v>
      </c>
      <c r="H118" s="21">
        <v>0.0</v>
      </c>
      <c r="I118" s="23">
        <f>IFERROR(H118/H148, "NA")</f>
        <v>0</v>
      </c>
      <c r="J118" s="21">
        <v>0.0</v>
      </c>
      <c r="K118" s="23">
        <f>IFERROR(J118/J148, "NA")</f>
        <v>0</v>
      </c>
      <c r="L118" s="21">
        <v>0.0</v>
      </c>
      <c r="M118" s="23">
        <f>IFERROR(L118/L148, "NA")</f>
        <v>0</v>
      </c>
      <c r="N118" s="21">
        <v>0.0</v>
      </c>
      <c r="O118" s="23">
        <f>IFERROR(N118/N148, "NA")</f>
        <v>0</v>
      </c>
      <c r="P118" s="21">
        <v>0.0</v>
      </c>
      <c r="Q118" s="23">
        <f>IFERROR(P118/P148, "NA")</f>
        <v>0</v>
      </c>
      <c r="R118" s="21">
        <v>0.0</v>
      </c>
      <c r="S118" s="23">
        <f>IFERROR(R118/R148, "NA")</f>
        <v>0</v>
      </c>
      <c r="T118" s="21">
        <v>0.0</v>
      </c>
      <c r="U118" s="23">
        <f>IFERROR(T118/T148, "NA")</f>
        <v>0</v>
      </c>
      <c r="V118" s="21">
        <v>0.0</v>
      </c>
      <c r="W118" s="23">
        <f>IFERROR(V118/V148, "NA")</f>
        <v>0</v>
      </c>
      <c r="X118" s="21">
        <v>0.0</v>
      </c>
      <c r="Y118" s="23">
        <f>IFERROR(X118/X148, "NA")</f>
        <v>0</v>
      </c>
      <c r="Z118" s="21">
        <v>0.0</v>
      </c>
      <c r="AA118" s="23">
        <f>IFERROR(Z118/Z148, "NA")</f>
        <v>0</v>
      </c>
      <c r="AB118" s="28">
        <f t="shared" si="55"/>
        <v>0</v>
      </c>
      <c r="AC118" s="23">
        <f>IFERROR(AB118/AB148, "NA")</f>
        <v>0</v>
      </c>
      <c r="AD118" s="29">
        <f t="shared" si="56"/>
        <v>0</v>
      </c>
      <c r="AE118" s="30">
        <f>IFERROR(AD118/AD148, "NA")</f>
        <v>0</v>
      </c>
      <c r="AF118" s="29" t="str">
        <f t="shared" si="57"/>
        <v>NA</v>
      </c>
      <c r="AG118" s="28">
        <f t="shared" si="58"/>
        <v>0</v>
      </c>
      <c r="AH118" s="23">
        <f>IFERROR(AG118/AG148, "NA")</f>
        <v>0</v>
      </c>
      <c r="AI118" s="29">
        <f t="shared" si="59"/>
        <v>0</v>
      </c>
      <c r="AJ118" s="30">
        <f>IFERROR(AI118/AI148, "NA")</f>
        <v>0</v>
      </c>
      <c r="AK118" s="29" t="str">
        <f t="shared" si="60"/>
        <v>NA</v>
      </c>
      <c r="AL118" s="30" t="str">
        <f>IFERROR(AK118/AK148, "NA")</f>
        <v>NA</v>
      </c>
    </row>
    <row r="119" ht="16.5" hidden="1" customHeight="1">
      <c r="A119" s="19" t="s">
        <v>229</v>
      </c>
      <c r="B119" s="21">
        <v>0.0</v>
      </c>
      <c r="C119" s="23">
        <f>IFERROR(B119/B148, "NA")</f>
        <v>0</v>
      </c>
      <c r="D119" s="21">
        <v>0.0</v>
      </c>
      <c r="E119" s="23">
        <f>IFERROR(D119/D148, "NA")</f>
        <v>0</v>
      </c>
      <c r="F119" s="21">
        <v>0.0</v>
      </c>
      <c r="G119" s="23">
        <f>IFERROR(F119/F148, "NA")</f>
        <v>0</v>
      </c>
      <c r="H119" s="21">
        <v>0.0</v>
      </c>
      <c r="I119" s="23">
        <f>IFERROR(H119/H148, "NA")</f>
        <v>0</v>
      </c>
      <c r="J119" s="21">
        <v>0.0</v>
      </c>
      <c r="K119" s="23">
        <f>IFERROR(J119/J148, "NA")</f>
        <v>0</v>
      </c>
      <c r="L119" s="21">
        <v>0.0</v>
      </c>
      <c r="M119" s="23">
        <f>IFERROR(L119/L148, "NA")</f>
        <v>0</v>
      </c>
      <c r="N119" s="21">
        <v>0.0</v>
      </c>
      <c r="O119" s="23">
        <f>IFERROR(N119/N148, "NA")</f>
        <v>0</v>
      </c>
      <c r="P119" s="21">
        <v>0.0</v>
      </c>
      <c r="Q119" s="23">
        <f>IFERROR(P119/P148, "NA")</f>
        <v>0</v>
      </c>
      <c r="R119" s="21">
        <v>0.0</v>
      </c>
      <c r="S119" s="23">
        <f>IFERROR(R119/R148, "NA")</f>
        <v>0</v>
      </c>
      <c r="T119" s="21">
        <v>0.0</v>
      </c>
      <c r="U119" s="23">
        <f>IFERROR(T119/T148, "NA")</f>
        <v>0</v>
      </c>
      <c r="V119" s="21">
        <v>0.0</v>
      </c>
      <c r="W119" s="23">
        <f>IFERROR(V119/V148, "NA")</f>
        <v>0</v>
      </c>
      <c r="X119" s="21">
        <v>0.0</v>
      </c>
      <c r="Y119" s="23">
        <f>IFERROR(X119/X148, "NA")</f>
        <v>0</v>
      </c>
      <c r="Z119" s="21">
        <v>0.0</v>
      </c>
      <c r="AA119" s="23">
        <f>IFERROR(Z119/Z148, "NA")</f>
        <v>0</v>
      </c>
      <c r="AB119" s="28">
        <f t="shared" si="55"/>
        <v>0</v>
      </c>
      <c r="AC119" s="23">
        <f>IFERROR(AB119/AB148, "NA")</f>
        <v>0</v>
      </c>
      <c r="AD119" s="29">
        <f t="shared" si="56"/>
        <v>0</v>
      </c>
      <c r="AE119" s="30">
        <f>IFERROR(AD119/AD148, "NA")</f>
        <v>0</v>
      </c>
      <c r="AF119" s="29" t="str">
        <f t="shared" si="57"/>
        <v>NA</v>
      </c>
      <c r="AG119" s="28">
        <f t="shared" si="58"/>
        <v>0</v>
      </c>
      <c r="AH119" s="23">
        <f>IFERROR(AG119/AG148, "NA")</f>
        <v>0</v>
      </c>
      <c r="AI119" s="29">
        <f t="shared" si="59"/>
        <v>0</v>
      </c>
      <c r="AJ119" s="30">
        <f>IFERROR(AI119/AI148, "NA")</f>
        <v>0</v>
      </c>
      <c r="AK119" s="29" t="str">
        <f t="shared" si="60"/>
        <v>NA</v>
      </c>
      <c r="AL119" s="30" t="str">
        <f>IFERROR(AK119/AK148, "NA")</f>
        <v>NA</v>
      </c>
    </row>
    <row r="120" ht="16.5" hidden="1" customHeight="1">
      <c r="A120" s="19" t="s">
        <v>230</v>
      </c>
      <c r="B120" s="21">
        <v>0.0</v>
      </c>
      <c r="C120" s="23">
        <f>IFERROR(B120/B148, "NA")</f>
        <v>0</v>
      </c>
      <c r="D120" s="21">
        <v>0.0</v>
      </c>
      <c r="E120" s="23">
        <f>IFERROR(D120/D148, "NA")</f>
        <v>0</v>
      </c>
      <c r="F120" s="21">
        <v>0.0</v>
      </c>
      <c r="G120" s="23">
        <f>IFERROR(F120/F148, "NA")</f>
        <v>0</v>
      </c>
      <c r="H120" s="21">
        <v>0.0</v>
      </c>
      <c r="I120" s="23">
        <f>IFERROR(H120/H148, "NA")</f>
        <v>0</v>
      </c>
      <c r="J120" s="21">
        <v>0.0</v>
      </c>
      <c r="K120" s="23">
        <f>IFERROR(J120/J148, "NA")</f>
        <v>0</v>
      </c>
      <c r="L120" s="21">
        <v>0.0</v>
      </c>
      <c r="M120" s="23">
        <f>IFERROR(L120/L148, "NA")</f>
        <v>0</v>
      </c>
      <c r="N120" s="21">
        <v>0.0</v>
      </c>
      <c r="O120" s="23">
        <f>IFERROR(N120/N148, "NA")</f>
        <v>0</v>
      </c>
      <c r="P120" s="21">
        <v>0.0</v>
      </c>
      <c r="Q120" s="23">
        <f>IFERROR(P120/P148, "NA")</f>
        <v>0</v>
      </c>
      <c r="R120" s="21">
        <v>0.0</v>
      </c>
      <c r="S120" s="23">
        <f>IFERROR(R120/R148, "NA")</f>
        <v>0</v>
      </c>
      <c r="T120" s="21">
        <v>0.0</v>
      </c>
      <c r="U120" s="23">
        <f>IFERROR(T120/T148, "NA")</f>
        <v>0</v>
      </c>
      <c r="V120" s="21">
        <v>0.0</v>
      </c>
      <c r="W120" s="23">
        <f>IFERROR(V120/V148, "NA")</f>
        <v>0</v>
      </c>
      <c r="X120" s="21">
        <v>0.0</v>
      </c>
      <c r="Y120" s="23">
        <f>IFERROR(X120/X148, "NA")</f>
        <v>0</v>
      </c>
      <c r="Z120" s="21">
        <v>0.0</v>
      </c>
      <c r="AA120" s="23">
        <f>IFERROR(Z120/Z148, "NA")</f>
        <v>0</v>
      </c>
      <c r="AB120" s="28">
        <f t="shared" si="55"/>
        <v>0</v>
      </c>
      <c r="AC120" s="23">
        <f>IFERROR(AB120/AB148, "NA")</f>
        <v>0</v>
      </c>
      <c r="AD120" s="29">
        <f t="shared" si="56"/>
        <v>0</v>
      </c>
      <c r="AE120" s="30">
        <f>IFERROR(AD120/AD148, "NA")</f>
        <v>0</v>
      </c>
      <c r="AF120" s="29" t="str">
        <f t="shared" si="57"/>
        <v>NA</v>
      </c>
      <c r="AG120" s="28">
        <f t="shared" si="58"/>
        <v>0</v>
      </c>
      <c r="AH120" s="23">
        <f>IFERROR(AG120/AG148, "NA")</f>
        <v>0</v>
      </c>
      <c r="AI120" s="29">
        <f t="shared" si="59"/>
        <v>0</v>
      </c>
      <c r="AJ120" s="30">
        <f>IFERROR(AI120/AI148, "NA")</f>
        <v>0</v>
      </c>
      <c r="AK120" s="29" t="str">
        <f t="shared" si="60"/>
        <v>NA</v>
      </c>
      <c r="AL120" s="30" t="str">
        <f>IFERROR(AK120/AK148, "NA")</f>
        <v>NA</v>
      </c>
    </row>
    <row r="121" ht="16.5" hidden="1" customHeight="1">
      <c r="A121" s="19" t="s">
        <v>231</v>
      </c>
      <c r="B121" s="21">
        <v>0.0</v>
      </c>
      <c r="C121" s="23">
        <f>IFERROR(B121/B148, "NA")</f>
        <v>0</v>
      </c>
      <c r="D121" s="21">
        <v>0.0</v>
      </c>
      <c r="E121" s="23">
        <f>IFERROR(D121/D148, "NA")</f>
        <v>0</v>
      </c>
      <c r="F121" s="21">
        <v>0.0</v>
      </c>
      <c r="G121" s="23">
        <f>IFERROR(F121/F148, "NA")</f>
        <v>0</v>
      </c>
      <c r="H121" s="21">
        <v>0.0</v>
      </c>
      <c r="I121" s="23">
        <f>IFERROR(H121/H148, "NA")</f>
        <v>0</v>
      </c>
      <c r="J121" s="21">
        <v>0.0</v>
      </c>
      <c r="K121" s="23">
        <f>IFERROR(J121/J148, "NA")</f>
        <v>0</v>
      </c>
      <c r="L121" s="21">
        <v>0.0</v>
      </c>
      <c r="M121" s="23">
        <f>IFERROR(L121/L148, "NA")</f>
        <v>0</v>
      </c>
      <c r="N121" s="21">
        <v>0.0</v>
      </c>
      <c r="O121" s="23">
        <f>IFERROR(N121/N148, "NA")</f>
        <v>0</v>
      </c>
      <c r="P121" s="21">
        <v>0.0</v>
      </c>
      <c r="Q121" s="23">
        <f>IFERROR(P121/P148, "NA")</f>
        <v>0</v>
      </c>
      <c r="R121" s="21">
        <v>0.0</v>
      </c>
      <c r="S121" s="23">
        <f>IFERROR(R121/R148, "NA")</f>
        <v>0</v>
      </c>
      <c r="T121" s="21">
        <v>0.0</v>
      </c>
      <c r="U121" s="23">
        <f>IFERROR(T121/T148, "NA")</f>
        <v>0</v>
      </c>
      <c r="V121" s="21">
        <v>0.0</v>
      </c>
      <c r="W121" s="23">
        <f>IFERROR(V121/V148, "NA")</f>
        <v>0</v>
      </c>
      <c r="X121" s="21">
        <v>0.0</v>
      </c>
      <c r="Y121" s="23">
        <f>IFERROR(X121/X148, "NA")</f>
        <v>0</v>
      </c>
      <c r="Z121" s="21">
        <v>0.0</v>
      </c>
      <c r="AA121" s="23">
        <f>IFERROR(Z121/Z148, "NA")</f>
        <v>0</v>
      </c>
      <c r="AB121" s="28">
        <f t="shared" si="55"/>
        <v>0</v>
      </c>
      <c r="AC121" s="23">
        <f>IFERROR(AB121/AB148, "NA")</f>
        <v>0</v>
      </c>
      <c r="AD121" s="29">
        <f t="shared" si="56"/>
        <v>0</v>
      </c>
      <c r="AE121" s="30">
        <f>IFERROR(AD121/AD148, "NA")</f>
        <v>0</v>
      </c>
      <c r="AF121" s="29" t="str">
        <f t="shared" si="57"/>
        <v>NA</v>
      </c>
      <c r="AG121" s="28">
        <f t="shared" si="58"/>
        <v>0</v>
      </c>
      <c r="AH121" s="23">
        <f>IFERROR(AG121/AG148, "NA")</f>
        <v>0</v>
      </c>
      <c r="AI121" s="29">
        <f t="shared" si="59"/>
        <v>0</v>
      </c>
      <c r="AJ121" s="30">
        <f>IFERROR(AI121/AI148, "NA")</f>
        <v>0</v>
      </c>
      <c r="AK121" s="29" t="str">
        <f t="shared" si="60"/>
        <v>NA</v>
      </c>
      <c r="AL121" s="30" t="str">
        <f>IFERROR(AK121/AK148, "NA")</f>
        <v>NA</v>
      </c>
    </row>
    <row r="122" ht="16.5" hidden="1" customHeight="1">
      <c r="A122" s="19" t="s">
        <v>232</v>
      </c>
      <c r="B122" s="21">
        <v>0.0</v>
      </c>
      <c r="C122" s="23">
        <f>IFERROR(B122/B148, "NA")</f>
        <v>0</v>
      </c>
      <c r="D122" s="21">
        <v>0.0</v>
      </c>
      <c r="E122" s="23">
        <f>IFERROR(D122/D148, "NA")</f>
        <v>0</v>
      </c>
      <c r="F122" s="21">
        <v>0.0</v>
      </c>
      <c r="G122" s="23">
        <f>IFERROR(F122/F148, "NA")</f>
        <v>0</v>
      </c>
      <c r="H122" s="21">
        <v>0.0</v>
      </c>
      <c r="I122" s="23">
        <f>IFERROR(H122/H148, "NA")</f>
        <v>0</v>
      </c>
      <c r="J122" s="21">
        <v>0.0</v>
      </c>
      <c r="K122" s="23">
        <f>IFERROR(J122/J148, "NA")</f>
        <v>0</v>
      </c>
      <c r="L122" s="21">
        <v>0.0</v>
      </c>
      <c r="M122" s="23">
        <f>IFERROR(L122/L148, "NA")</f>
        <v>0</v>
      </c>
      <c r="N122" s="21">
        <v>0.0</v>
      </c>
      <c r="O122" s="23">
        <f>IFERROR(N122/N148, "NA")</f>
        <v>0</v>
      </c>
      <c r="P122" s="21">
        <v>0.0</v>
      </c>
      <c r="Q122" s="23">
        <f>IFERROR(P122/P148, "NA")</f>
        <v>0</v>
      </c>
      <c r="R122" s="21">
        <v>0.0</v>
      </c>
      <c r="S122" s="23">
        <f>IFERROR(R122/R148, "NA")</f>
        <v>0</v>
      </c>
      <c r="T122" s="21">
        <v>0.0</v>
      </c>
      <c r="U122" s="23">
        <f>IFERROR(T122/T148, "NA")</f>
        <v>0</v>
      </c>
      <c r="V122" s="21">
        <v>0.0</v>
      </c>
      <c r="W122" s="23">
        <f>IFERROR(V122/V148, "NA")</f>
        <v>0</v>
      </c>
      <c r="X122" s="21">
        <v>0.0</v>
      </c>
      <c r="Y122" s="23">
        <f>IFERROR(X122/X148, "NA")</f>
        <v>0</v>
      </c>
      <c r="Z122" s="21">
        <v>0.0</v>
      </c>
      <c r="AA122" s="23">
        <f>IFERROR(Z122/Z148, "NA")</f>
        <v>0</v>
      </c>
      <c r="AB122" s="28">
        <f t="shared" si="55"/>
        <v>0</v>
      </c>
      <c r="AC122" s="23">
        <f>IFERROR(AB122/AB148, "NA")</f>
        <v>0</v>
      </c>
      <c r="AD122" s="29">
        <f t="shared" si="56"/>
        <v>0</v>
      </c>
      <c r="AE122" s="30">
        <f>IFERROR(AD122/AD148, "NA")</f>
        <v>0</v>
      </c>
      <c r="AF122" s="29" t="str">
        <f t="shared" si="57"/>
        <v>NA</v>
      </c>
      <c r="AG122" s="28">
        <f t="shared" si="58"/>
        <v>0</v>
      </c>
      <c r="AH122" s="23">
        <f>IFERROR(AG122/AG148, "NA")</f>
        <v>0</v>
      </c>
      <c r="AI122" s="29">
        <f t="shared" si="59"/>
        <v>0</v>
      </c>
      <c r="AJ122" s="30">
        <f>IFERROR(AI122/AI148, "NA")</f>
        <v>0</v>
      </c>
      <c r="AK122" s="29" t="str">
        <f t="shared" si="60"/>
        <v>NA</v>
      </c>
      <c r="AL122" s="30" t="str">
        <f>IFERROR(AK122/AK148, "NA")</f>
        <v>NA</v>
      </c>
    </row>
    <row r="123" ht="16.5" hidden="1" customHeight="1">
      <c r="A123" s="19" t="s">
        <v>233</v>
      </c>
      <c r="B123" s="21">
        <v>0.0</v>
      </c>
      <c r="C123" s="23">
        <f>IFERROR(B123/B148, "NA")</f>
        <v>0</v>
      </c>
      <c r="D123" s="21">
        <v>0.0</v>
      </c>
      <c r="E123" s="23">
        <f>IFERROR(D123/D148, "NA")</f>
        <v>0</v>
      </c>
      <c r="F123" s="21">
        <v>0.0</v>
      </c>
      <c r="G123" s="23">
        <f>IFERROR(F123/F148, "NA")</f>
        <v>0</v>
      </c>
      <c r="H123" s="21">
        <v>0.0</v>
      </c>
      <c r="I123" s="23">
        <f>IFERROR(H123/H148, "NA")</f>
        <v>0</v>
      </c>
      <c r="J123" s="21">
        <v>0.0</v>
      </c>
      <c r="K123" s="23">
        <f>IFERROR(J123/J148, "NA")</f>
        <v>0</v>
      </c>
      <c r="L123" s="21">
        <v>0.0</v>
      </c>
      <c r="M123" s="23">
        <f>IFERROR(L123/L148, "NA")</f>
        <v>0</v>
      </c>
      <c r="N123" s="21">
        <v>0.0</v>
      </c>
      <c r="O123" s="23">
        <f>IFERROR(N123/N148, "NA")</f>
        <v>0</v>
      </c>
      <c r="P123" s="21">
        <v>0.0</v>
      </c>
      <c r="Q123" s="23">
        <f>IFERROR(P123/P148, "NA")</f>
        <v>0</v>
      </c>
      <c r="R123" s="21">
        <v>0.0</v>
      </c>
      <c r="S123" s="23">
        <f>IFERROR(R123/R148, "NA")</f>
        <v>0</v>
      </c>
      <c r="T123" s="21">
        <v>0.0</v>
      </c>
      <c r="U123" s="23">
        <f>IFERROR(T123/T148, "NA")</f>
        <v>0</v>
      </c>
      <c r="V123" s="21">
        <v>0.0</v>
      </c>
      <c r="W123" s="23">
        <f>IFERROR(V123/V148, "NA")</f>
        <v>0</v>
      </c>
      <c r="X123" s="21">
        <v>0.0</v>
      </c>
      <c r="Y123" s="23">
        <f>IFERROR(X123/X148, "NA")</f>
        <v>0</v>
      </c>
      <c r="Z123" s="21">
        <v>0.0</v>
      </c>
      <c r="AA123" s="23">
        <f>IFERROR(Z123/Z148, "NA")</f>
        <v>0</v>
      </c>
      <c r="AB123" s="28">
        <f t="shared" si="55"/>
        <v>0</v>
      </c>
      <c r="AC123" s="23">
        <f>IFERROR(AB123/AB148, "NA")</f>
        <v>0</v>
      </c>
      <c r="AD123" s="29">
        <f t="shared" si="56"/>
        <v>0</v>
      </c>
      <c r="AE123" s="30">
        <f>IFERROR(AD123/AD148, "NA")</f>
        <v>0</v>
      </c>
      <c r="AF123" s="29" t="str">
        <f t="shared" si="57"/>
        <v>NA</v>
      </c>
      <c r="AG123" s="28">
        <f t="shared" si="58"/>
        <v>0</v>
      </c>
      <c r="AH123" s="23">
        <f>IFERROR(AG123/AG148, "NA")</f>
        <v>0</v>
      </c>
      <c r="AI123" s="29">
        <f t="shared" si="59"/>
        <v>0</v>
      </c>
      <c r="AJ123" s="30">
        <f>IFERROR(AI123/AI148, "NA")</f>
        <v>0</v>
      </c>
      <c r="AK123" s="29" t="str">
        <f t="shared" si="60"/>
        <v>NA</v>
      </c>
      <c r="AL123" s="30" t="str">
        <f>IFERROR(AK123/AK148, "NA")</f>
        <v>NA</v>
      </c>
    </row>
    <row r="124" ht="16.5" hidden="1" customHeight="1">
      <c r="A124" s="19" t="s">
        <v>234</v>
      </c>
      <c r="B124" s="21">
        <v>0.0</v>
      </c>
      <c r="C124" s="23">
        <f>IFERROR(B124/B148, "NA")</f>
        <v>0</v>
      </c>
      <c r="D124" s="21">
        <v>0.0</v>
      </c>
      <c r="E124" s="23">
        <f>IFERROR(D124/D148, "NA")</f>
        <v>0</v>
      </c>
      <c r="F124" s="21">
        <v>0.0</v>
      </c>
      <c r="G124" s="23">
        <f>IFERROR(F124/F148, "NA")</f>
        <v>0</v>
      </c>
      <c r="H124" s="21">
        <v>0.0</v>
      </c>
      <c r="I124" s="23">
        <f>IFERROR(H124/H148, "NA")</f>
        <v>0</v>
      </c>
      <c r="J124" s="21">
        <v>0.0</v>
      </c>
      <c r="K124" s="23">
        <f>IFERROR(J124/J148, "NA")</f>
        <v>0</v>
      </c>
      <c r="L124" s="21">
        <v>0.0</v>
      </c>
      <c r="M124" s="23">
        <f>IFERROR(L124/L148, "NA")</f>
        <v>0</v>
      </c>
      <c r="N124" s="21">
        <v>0.0</v>
      </c>
      <c r="O124" s="23">
        <f>IFERROR(N124/N148, "NA")</f>
        <v>0</v>
      </c>
      <c r="P124" s="21">
        <v>0.0</v>
      </c>
      <c r="Q124" s="23">
        <f>IFERROR(P124/P148, "NA")</f>
        <v>0</v>
      </c>
      <c r="R124" s="21">
        <v>0.0</v>
      </c>
      <c r="S124" s="23">
        <f>IFERROR(R124/R148, "NA")</f>
        <v>0</v>
      </c>
      <c r="T124" s="21">
        <v>0.0</v>
      </c>
      <c r="U124" s="23">
        <f>IFERROR(T124/T148, "NA")</f>
        <v>0</v>
      </c>
      <c r="V124" s="21">
        <v>0.0</v>
      </c>
      <c r="W124" s="23">
        <f>IFERROR(V124/V148, "NA")</f>
        <v>0</v>
      </c>
      <c r="X124" s="21">
        <v>0.0</v>
      </c>
      <c r="Y124" s="23">
        <f>IFERROR(X124/X148, "NA")</f>
        <v>0</v>
      </c>
      <c r="Z124" s="21">
        <v>0.0</v>
      </c>
      <c r="AA124" s="23">
        <f>IFERROR(Z124/Z148, "NA")</f>
        <v>0</v>
      </c>
      <c r="AB124" s="28">
        <f t="shared" si="55"/>
        <v>0</v>
      </c>
      <c r="AC124" s="23">
        <f>IFERROR(AB124/AB148, "NA")</f>
        <v>0</v>
      </c>
      <c r="AD124" s="29">
        <f t="shared" si="56"/>
        <v>0</v>
      </c>
      <c r="AE124" s="30">
        <f>IFERROR(AD124/AD148, "NA")</f>
        <v>0</v>
      </c>
      <c r="AF124" s="29" t="str">
        <f t="shared" si="57"/>
        <v>NA</v>
      </c>
      <c r="AG124" s="28">
        <f t="shared" si="58"/>
        <v>0</v>
      </c>
      <c r="AH124" s="23">
        <f>IFERROR(AG124/AG148, "NA")</f>
        <v>0</v>
      </c>
      <c r="AI124" s="29">
        <f t="shared" si="59"/>
        <v>0</v>
      </c>
      <c r="AJ124" s="30">
        <f>IFERROR(AI124/AI148, "NA")</f>
        <v>0</v>
      </c>
      <c r="AK124" s="29" t="str">
        <f t="shared" si="60"/>
        <v>NA</v>
      </c>
      <c r="AL124" s="30" t="str">
        <f>IFERROR(AK124/AK148, "NA")</f>
        <v>NA</v>
      </c>
    </row>
    <row r="125" ht="16.5" hidden="1" customHeight="1">
      <c r="A125" s="19" t="s">
        <v>235</v>
      </c>
      <c r="B125" s="21">
        <v>0.0</v>
      </c>
      <c r="C125" s="23">
        <f>IFERROR(B125/B148, "NA")</f>
        <v>0</v>
      </c>
      <c r="D125" s="21">
        <v>0.0</v>
      </c>
      <c r="E125" s="23">
        <f>IFERROR(D125/D148, "NA")</f>
        <v>0</v>
      </c>
      <c r="F125" s="21">
        <v>0.0</v>
      </c>
      <c r="G125" s="23">
        <f>IFERROR(F125/F148, "NA")</f>
        <v>0</v>
      </c>
      <c r="H125" s="21">
        <v>0.0</v>
      </c>
      <c r="I125" s="23">
        <f>IFERROR(H125/H148, "NA")</f>
        <v>0</v>
      </c>
      <c r="J125" s="21">
        <v>0.0</v>
      </c>
      <c r="K125" s="23">
        <f>IFERROR(J125/J148, "NA")</f>
        <v>0</v>
      </c>
      <c r="L125" s="21">
        <v>0.0</v>
      </c>
      <c r="M125" s="23">
        <f>IFERROR(L125/L148, "NA")</f>
        <v>0</v>
      </c>
      <c r="N125" s="21">
        <v>0.0</v>
      </c>
      <c r="O125" s="23">
        <f>IFERROR(N125/N148, "NA")</f>
        <v>0</v>
      </c>
      <c r="P125" s="21">
        <v>0.0</v>
      </c>
      <c r="Q125" s="23">
        <f>IFERROR(P125/P148, "NA")</f>
        <v>0</v>
      </c>
      <c r="R125" s="21">
        <v>0.0</v>
      </c>
      <c r="S125" s="23">
        <f>IFERROR(R125/R148, "NA")</f>
        <v>0</v>
      </c>
      <c r="T125" s="21">
        <v>0.0</v>
      </c>
      <c r="U125" s="23">
        <f>IFERROR(T125/T148, "NA")</f>
        <v>0</v>
      </c>
      <c r="V125" s="21">
        <v>0.0</v>
      </c>
      <c r="W125" s="23">
        <f>IFERROR(V125/V148, "NA")</f>
        <v>0</v>
      </c>
      <c r="X125" s="21">
        <v>0.0</v>
      </c>
      <c r="Y125" s="23">
        <f>IFERROR(X125/X148, "NA")</f>
        <v>0</v>
      </c>
      <c r="Z125" s="21">
        <v>0.0</v>
      </c>
      <c r="AA125" s="23">
        <f>IFERROR(Z125/Z148, "NA")</f>
        <v>0</v>
      </c>
      <c r="AB125" s="28">
        <f t="shared" si="55"/>
        <v>0</v>
      </c>
      <c r="AC125" s="23">
        <f>IFERROR(AB125/AB148, "NA")</f>
        <v>0</v>
      </c>
      <c r="AD125" s="29">
        <f t="shared" si="56"/>
        <v>0</v>
      </c>
      <c r="AE125" s="30">
        <f>IFERROR(AD125/AD148, "NA")</f>
        <v>0</v>
      </c>
      <c r="AF125" s="29" t="str">
        <f t="shared" si="57"/>
        <v>NA</v>
      </c>
      <c r="AG125" s="28">
        <f t="shared" si="58"/>
        <v>0</v>
      </c>
      <c r="AH125" s="23">
        <f>IFERROR(AG125/AG148, "NA")</f>
        <v>0</v>
      </c>
      <c r="AI125" s="29">
        <f t="shared" si="59"/>
        <v>0</v>
      </c>
      <c r="AJ125" s="30">
        <f>IFERROR(AI125/AI148, "NA")</f>
        <v>0</v>
      </c>
      <c r="AK125" s="29" t="str">
        <f t="shared" si="60"/>
        <v>NA</v>
      </c>
      <c r="AL125" s="30" t="str">
        <f>IFERROR(AK125/AK148, "NA")</f>
        <v>NA</v>
      </c>
    </row>
    <row r="126" ht="16.5" hidden="1" customHeight="1">
      <c r="A126" s="19" t="s">
        <v>236</v>
      </c>
      <c r="B126" s="21">
        <v>0.0</v>
      </c>
      <c r="C126" s="23">
        <f>IFERROR(B126/B148, "NA")</f>
        <v>0</v>
      </c>
      <c r="D126" s="21">
        <v>0.0</v>
      </c>
      <c r="E126" s="23">
        <f>IFERROR(D126/D148, "NA")</f>
        <v>0</v>
      </c>
      <c r="F126" s="21">
        <v>0.0</v>
      </c>
      <c r="G126" s="23">
        <f>IFERROR(F126/F148, "NA")</f>
        <v>0</v>
      </c>
      <c r="H126" s="21">
        <v>0.0</v>
      </c>
      <c r="I126" s="23">
        <f>IFERROR(H126/H148, "NA")</f>
        <v>0</v>
      </c>
      <c r="J126" s="21">
        <v>0.0</v>
      </c>
      <c r="K126" s="23">
        <f>IFERROR(J126/J148, "NA")</f>
        <v>0</v>
      </c>
      <c r="L126" s="21">
        <v>0.0</v>
      </c>
      <c r="M126" s="23">
        <f>IFERROR(L126/L148, "NA")</f>
        <v>0</v>
      </c>
      <c r="N126" s="21">
        <v>0.0</v>
      </c>
      <c r="O126" s="23">
        <f>IFERROR(N126/N148, "NA")</f>
        <v>0</v>
      </c>
      <c r="P126" s="21">
        <v>0.0</v>
      </c>
      <c r="Q126" s="23">
        <f>IFERROR(P126/P148, "NA")</f>
        <v>0</v>
      </c>
      <c r="R126" s="21">
        <v>0.0</v>
      </c>
      <c r="S126" s="23">
        <f>IFERROR(R126/R148, "NA")</f>
        <v>0</v>
      </c>
      <c r="T126" s="21">
        <v>0.0</v>
      </c>
      <c r="U126" s="23">
        <f>IFERROR(T126/T148, "NA")</f>
        <v>0</v>
      </c>
      <c r="V126" s="21">
        <v>0.0</v>
      </c>
      <c r="W126" s="23">
        <f>IFERROR(V126/V148, "NA")</f>
        <v>0</v>
      </c>
      <c r="X126" s="21">
        <v>0.0</v>
      </c>
      <c r="Y126" s="23">
        <f>IFERROR(X126/X148, "NA")</f>
        <v>0</v>
      </c>
      <c r="Z126" s="21">
        <v>0.0</v>
      </c>
      <c r="AA126" s="23">
        <f>IFERROR(Z126/Z148, "NA")</f>
        <v>0</v>
      </c>
      <c r="AB126" s="28">
        <f t="shared" si="55"/>
        <v>0</v>
      </c>
      <c r="AC126" s="23">
        <f>IFERROR(AB126/AB148, "NA")</f>
        <v>0</v>
      </c>
      <c r="AD126" s="29">
        <f t="shared" si="56"/>
        <v>0</v>
      </c>
      <c r="AE126" s="30">
        <f>IFERROR(AD126/AD148, "NA")</f>
        <v>0</v>
      </c>
      <c r="AF126" s="29" t="str">
        <f t="shared" si="57"/>
        <v>NA</v>
      </c>
      <c r="AG126" s="28">
        <f t="shared" si="58"/>
        <v>0</v>
      </c>
      <c r="AH126" s="23">
        <f>IFERROR(AG126/AG148, "NA")</f>
        <v>0</v>
      </c>
      <c r="AI126" s="29">
        <f t="shared" si="59"/>
        <v>0</v>
      </c>
      <c r="AJ126" s="30">
        <f>IFERROR(AI126/AI148, "NA")</f>
        <v>0</v>
      </c>
      <c r="AK126" s="29" t="str">
        <f t="shared" si="60"/>
        <v>NA</v>
      </c>
      <c r="AL126" s="30" t="str">
        <f>IFERROR(AK126/AK148, "NA")</f>
        <v>NA</v>
      </c>
    </row>
    <row r="127" ht="16.5" hidden="1" customHeight="1">
      <c r="A127" s="19" t="s">
        <v>237</v>
      </c>
      <c r="B127" s="21">
        <v>0.0</v>
      </c>
      <c r="C127" s="23">
        <f>IFERROR(B127/B148, "NA")</f>
        <v>0</v>
      </c>
      <c r="D127" s="21">
        <v>0.0</v>
      </c>
      <c r="E127" s="23">
        <f>IFERROR(D127/D148, "NA")</f>
        <v>0</v>
      </c>
      <c r="F127" s="21">
        <v>0.0</v>
      </c>
      <c r="G127" s="23">
        <f>IFERROR(F127/F148, "NA")</f>
        <v>0</v>
      </c>
      <c r="H127" s="21">
        <v>0.0</v>
      </c>
      <c r="I127" s="23">
        <f>IFERROR(H127/H148, "NA")</f>
        <v>0</v>
      </c>
      <c r="J127" s="21">
        <v>0.0</v>
      </c>
      <c r="K127" s="23">
        <f>IFERROR(J127/J148, "NA")</f>
        <v>0</v>
      </c>
      <c r="L127" s="21">
        <v>0.0</v>
      </c>
      <c r="M127" s="23">
        <f>IFERROR(L127/L148, "NA")</f>
        <v>0</v>
      </c>
      <c r="N127" s="21">
        <v>0.0</v>
      </c>
      <c r="O127" s="23">
        <f>IFERROR(N127/N148, "NA")</f>
        <v>0</v>
      </c>
      <c r="P127" s="21">
        <v>0.0</v>
      </c>
      <c r="Q127" s="23">
        <f>IFERROR(P127/P148, "NA")</f>
        <v>0</v>
      </c>
      <c r="R127" s="21">
        <v>0.0</v>
      </c>
      <c r="S127" s="23">
        <f>IFERROR(R127/R148, "NA")</f>
        <v>0</v>
      </c>
      <c r="T127" s="21">
        <v>0.0</v>
      </c>
      <c r="U127" s="23">
        <f>IFERROR(T127/T148, "NA")</f>
        <v>0</v>
      </c>
      <c r="V127" s="21">
        <v>0.0</v>
      </c>
      <c r="W127" s="23">
        <f>IFERROR(V127/V148, "NA")</f>
        <v>0</v>
      </c>
      <c r="X127" s="21">
        <v>0.0</v>
      </c>
      <c r="Y127" s="23">
        <f>IFERROR(X127/X148, "NA")</f>
        <v>0</v>
      </c>
      <c r="Z127" s="21">
        <v>0.0</v>
      </c>
      <c r="AA127" s="23">
        <f>IFERROR(Z127/Z148, "NA")</f>
        <v>0</v>
      </c>
      <c r="AB127" s="28">
        <f t="shared" si="55"/>
        <v>0</v>
      </c>
      <c r="AC127" s="23">
        <f>IFERROR(AB127/AB148, "NA")</f>
        <v>0</v>
      </c>
      <c r="AD127" s="29">
        <f t="shared" si="56"/>
        <v>0</v>
      </c>
      <c r="AE127" s="30">
        <f>IFERROR(AD127/AD148, "NA")</f>
        <v>0</v>
      </c>
      <c r="AF127" s="29" t="str">
        <f t="shared" si="57"/>
        <v>NA</v>
      </c>
      <c r="AG127" s="28">
        <f t="shared" si="58"/>
        <v>0</v>
      </c>
      <c r="AH127" s="23">
        <f>IFERROR(AG127/AG148, "NA")</f>
        <v>0</v>
      </c>
      <c r="AI127" s="29">
        <f t="shared" si="59"/>
        <v>0</v>
      </c>
      <c r="AJ127" s="30">
        <f>IFERROR(AI127/AI148, "NA")</f>
        <v>0</v>
      </c>
      <c r="AK127" s="29" t="str">
        <f t="shared" si="60"/>
        <v>NA</v>
      </c>
      <c r="AL127" s="30" t="str">
        <f>IFERROR(AK127/AK148, "NA")</f>
        <v>NA</v>
      </c>
    </row>
    <row r="128" ht="16.5" hidden="1" customHeight="1">
      <c r="A128" s="19" t="s">
        <v>238</v>
      </c>
      <c r="B128" s="21">
        <v>440.08</v>
      </c>
      <c r="C128" s="23">
        <f>IFERROR(B128/B148, "NA")</f>
        <v>0.01650641476</v>
      </c>
      <c r="D128" s="21">
        <v>427.17</v>
      </c>
      <c r="E128" s="23">
        <f>IFERROR(D128/D148, "NA")</f>
        <v>0.01740061664</v>
      </c>
      <c r="F128" s="21">
        <v>-1320.69</v>
      </c>
      <c r="G128" s="23">
        <f>IFERROR(F128/F148, "NA")</f>
        <v>-0.05268854439</v>
      </c>
      <c r="H128" s="21">
        <v>331.54</v>
      </c>
      <c r="I128" s="23">
        <f>IFERROR(H128/H148, "NA")</f>
        <v>0.02020948274</v>
      </c>
      <c r="J128" s="21">
        <v>376.57</v>
      </c>
      <c r="K128" s="23">
        <f>IFERROR(J128/J148, "NA")</f>
        <v>0.01501662688</v>
      </c>
      <c r="L128" s="21">
        <v>596.26</v>
      </c>
      <c r="M128" s="23">
        <f>IFERROR(L128/L148, "NA")</f>
        <v>0.02226855747</v>
      </c>
      <c r="N128" s="21">
        <v>465.37</v>
      </c>
      <c r="O128" s="23">
        <f>IFERROR(N128/N148, "NA")</f>
        <v>0.02227518277</v>
      </c>
      <c r="P128" s="21">
        <v>-1769.74</v>
      </c>
      <c r="Q128" s="23">
        <f>IFERROR(P128/P148, "NA")</f>
        <v>-0.1195918952</v>
      </c>
      <c r="R128" s="21">
        <v>608.5</v>
      </c>
      <c r="S128" s="23">
        <f>IFERROR(R128/R148, "NA")</f>
        <v>0.03584981138</v>
      </c>
      <c r="T128" s="21">
        <v>530.74</v>
      </c>
      <c r="U128" s="23">
        <f>IFERROR(T128/T148, "NA")</f>
        <v>0.02597546245</v>
      </c>
      <c r="V128" s="21">
        <v>499.92</v>
      </c>
      <c r="W128" s="23">
        <f>IFERROR(V128/V148, "NA")</f>
        <v>0.01699526606</v>
      </c>
      <c r="X128" s="21">
        <v>342.84</v>
      </c>
      <c r="Y128" s="23">
        <f>IFERROR(X128/X148, "NA")</f>
        <v>0.01526347798</v>
      </c>
      <c r="Z128" s="21">
        <v>1982.0</v>
      </c>
      <c r="AA128" s="23">
        <f>IFERROR(Z128/Z148, "NA")</f>
        <v>0.02219915939</v>
      </c>
      <c r="AB128" s="28">
        <f t="shared" si="55"/>
        <v>495.5</v>
      </c>
      <c r="AC128" s="23">
        <f>IFERROR(AB128/AB148, "NA")</f>
        <v>0.02219915939</v>
      </c>
      <c r="AD128" s="29">
        <f t="shared" si="56"/>
        <v>-152.66</v>
      </c>
      <c r="AE128" s="30">
        <f>IFERROR(AD128/AD148, "NA")</f>
        <v>-1.084271459</v>
      </c>
      <c r="AF128" s="29">
        <f t="shared" si="57"/>
        <v>-0.3080928355</v>
      </c>
      <c r="AG128" s="28">
        <f t="shared" si="58"/>
        <v>206.3075</v>
      </c>
      <c r="AH128" s="23">
        <f>IFERROR(AG128/AG148, "NA")</f>
        <v>0.009333838992</v>
      </c>
      <c r="AI128" s="29">
        <f t="shared" si="59"/>
        <v>136.5325</v>
      </c>
      <c r="AJ128" s="30">
        <f>IFERROR(AI128/AI148, "NA")</f>
        <v>0.3810749897</v>
      </c>
      <c r="AK128" s="29">
        <f t="shared" si="60"/>
        <v>0.6617912582</v>
      </c>
      <c r="AL128" s="30">
        <f>IFERROR(AK128/AK148, "NA")</f>
        <v>40.82725126</v>
      </c>
    </row>
    <row r="129" ht="16.5" hidden="1" customHeight="1">
      <c r="A129" s="19" t="s">
        <v>239</v>
      </c>
      <c r="B129" s="21">
        <v>0.0</v>
      </c>
      <c r="C129" s="23">
        <f>IFERROR(B129/B148, "NA")</f>
        <v>0</v>
      </c>
      <c r="D129" s="21">
        <v>0.0</v>
      </c>
      <c r="E129" s="23">
        <f>IFERROR(D129/D148, "NA")</f>
        <v>0</v>
      </c>
      <c r="F129" s="21">
        <v>0.0</v>
      </c>
      <c r="G129" s="23">
        <f>IFERROR(F129/F148, "NA")</f>
        <v>0</v>
      </c>
      <c r="H129" s="21">
        <v>0.0</v>
      </c>
      <c r="I129" s="23">
        <f>IFERROR(H129/H148, "NA")</f>
        <v>0</v>
      </c>
      <c r="J129" s="21">
        <v>0.0</v>
      </c>
      <c r="K129" s="23">
        <f>IFERROR(J129/J148, "NA")</f>
        <v>0</v>
      </c>
      <c r="L129" s="21">
        <v>0.0</v>
      </c>
      <c r="M129" s="23">
        <f>IFERROR(L129/L148, "NA")</f>
        <v>0</v>
      </c>
      <c r="N129" s="21">
        <v>0.0</v>
      </c>
      <c r="O129" s="23">
        <f>IFERROR(N129/N148, "NA")</f>
        <v>0</v>
      </c>
      <c r="P129" s="21">
        <v>0.0</v>
      </c>
      <c r="Q129" s="23">
        <f>IFERROR(P129/P148, "NA")</f>
        <v>0</v>
      </c>
      <c r="R129" s="21">
        <v>0.0</v>
      </c>
      <c r="S129" s="23">
        <f>IFERROR(R129/R148, "NA")</f>
        <v>0</v>
      </c>
      <c r="T129" s="21">
        <v>0.0</v>
      </c>
      <c r="U129" s="23">
        <f>IFERROR(T129/T148, "NA")</f>
        <v>0</v>
      </c>
      <c r="V129" s="21">
        <v>0.0</v>
      </c>
      <c r="W129" s="23">
        <f>IFERROR(V129/V148, "NA")</f>
        <v>0</v>
      </c>
      <c r="X129" s="21">
        <v>0.0</v>
      </c>
      <c r="Y129" s="23">
        <f>IFERROR(X129/X148, "NA")</f>
        <v>0</v>
      </c>
      <c r="Z129" s="21">
        <v>0.0</v>
      </c>
      <c r="AA129" s="23">
        <f>IFERROR(Z129/Z148, "NA")</f>
        <v>0</v>
      </c>
      <c r="AB129" s="28">
        <f t="shared" si="55"/>
        <v>0</v>
      </c>
      <c r="AC129" s="23">
        <f>IFERROR(AB129/AB148, "NA")</f>
        <v>0</v>
      </c>
      <c r="AD129" s="29">
        <f t="shared" si="56"/>
        <v>0</v>
      </c>
      <c r="AE129" s="30">
        <f>IFERROR(AD129/AD148, "NA")</f>
        <v>0</v>
      </c>
      <c r="AF129" s="29" t="str">
        <f t="shared" si="57"/>
        <v>NA</v>
      </c>
      <c r="AG129" s="28">
        <f t="shared" si="58"/>
        <v>0</v>
      </c>
      <c r="AH129" s="23">
        <f>IFERROR(AG129/AG148, "NA")</f>
        <v>0</v>
      </c>
      <c r="AI129" s="29">
        <f t="shared" si="59"/>
        <v>0</v>
      </c>
      <c r="AJ129" s="30">
        <f>IFERROR(AI129/AI148, "NA")</f>
        <v>0</v>
      </c>
      <c r="AK129" s="29" t="str">
        <f t="shared" si="60"/>
        <v>NA</v>
      </c>
      <c r="AL129" s="30" t="str">
        <f>IFERROR(AK129/AK148, "NA")</f>
        <v>NA</v>
      </c>
    </row>
    <row r="130" ht="16.5" hidden="1" customHeight="1">
      <c r="A130" s="19" t="s">
        <v>240</v>
      </c>
      <c r="B130" s="21">
        <v>0.0</v>
      </c>
      <c r="C130" s="23">
        <f>IFERROR(B130/B148, "NA")</f>
        <v>0</v>
      </c>
      <c r="D130" s="21">
        <v>0.0</v>
      </c>
      <c r="E130" s="23">
        <f>IFERROR(D130/D148, "NA")</f>
        <v>0</v>
      </c>
      <c r="F130" s="21">
        <v>0.0</v>
      </c>
      <c r="G130" s="23">
        <f>IFERROR(F130/F148, "NA")</f>
        <v>0</v>
      </c>
      <c r="H130" s="21">
        <v>0.0</v>
      </c>
      <c r="I130" s="23">
        <f>IFERROR(H130/H148, "NA")</f>
        <v>0</v>
      </c>
      <c r="J130" s="21">
        <v>0.0</v>
      </c>
      <c r="K130" s="23">
        <f>IFERROR(J130/J148, "NA")</f>
        <v>0</v>
      </c>
      <c r="L130" s="21">
        <v>0.0</v>
      </c>
      <c r="M130" s="23">
        <f>IFERROR(L130/L148, "NA")</f>
        <v>0</v>
      </c>
      <c r="N130" s="21">
        <v>0.0</v>
      </c>
      <c r="O130" s="23">
        <f>IFERROR(N130/N148, "NA")</f>
        <v>0</v>
      </c>
      <c r="P130" s="21">
        <v>0.0</v>
      </c>
      <c r="Q130" s="23">
        <f>IFERROR(P130/P148, "NA")</f>
        <v>0</v>
      </c>
      <c r="R130" s="21">
        <v>0.0</v>
      </c>
      <c r="S130" s="23">
        <f>IFERROR(R130/R148, "NA")</f>
        <v>0</v>
      </c>
      <c r="T130" s="21">
        <v>0.0</v>
      </c>
      <c r="U130" s="23">
        <f>IFERROR(T130/T148, "NA")</f>
        <v>0</v>
      </c>
      <c r="V130" s="21">
        <v>0.0</v>
      </c>
      <c r="W130" s="23">
        <f>IFERROR(V130/V148, "NA")</f>
        <v>0</v>
      </c>
      <c r="X130" s="21">
        <v>0.0</v>
      </c>
      <c r="Y130" s="23">
        <f>IFERROR(X130/X148, "NA")</f>
        <v>0</v>
      </c>
      <c r="Z130" s="21">
        <v>0.0</v>
      </c>
      <c r="AA130" s="23">
        <f>IFERROR(Z130/Z148, "NA")</f>
        <v>0</v>
      </c>
      <c r="AB130" s="28">
        <f t="shared" si="55"/>
        <v>0</v>
      </c>
      <c r="AC130" s="23">
        <f>IFERROR(AB130/AB148, "NA")</f>
        <v>0</v>
      </c>
      <c r="AD130" s="29">
        <f t="shared" si="56"/>
        <v>0</v>
      </c>
      <c r="AE130" s="30">
        <f>IFERROR(AD130/AD148, "NA")</f>
        <v>0</v>
      </c>
      <c r="AF130" s="29" t="str">
        <f t="shared" si="57"/>
        <v>NA</v>
      </c>
      <c r="AG130" s="28">
        <f t="shared" si="58"/>
        <v>0</v>
      </c>
      <c r="AH130" s="23">
        <f>IFERROR(AG130/AG148, "NA")</f>
        <v>0</v>
      </c>
      <c r="AI130" s="29">
        <f t="shared" si="59"/>
        <v>0</v>
      </c>
      <c r="AJ130" s="30">
        <f>IFERROR(AI130/AI148, "NA")</f>
        <v>0</v>
      </c>
      <c r="AK130" s="29" t="str">
        <f t="shared" si="60"/>
        <v>NA</v>
      </c>
      <c r="AL130" s="30" t="str">
        <f>IFERROR(AK130/AK148, "NA")</f>
        <v>NA</v>
      </c>
    </row>
    <row r="131" ht="16.5" hidden="1" customHeight="1">
      <c r="A131" s="19" t="s">
        <v>241</v>
      </c>
      <c r="B131" s="21">
        <v>0.0</v>
      </c>
      <c r="C131" s="23">
        <f>IFERROR(B131/B148, "NA")</f>
        <v>0</v>
      </c>
      <c r="D131" s="21">
        <v>0.0</v>
      </c>
      <c r="E131" s="23">
        <f>IFERROR(D131/D148, "NA")</f>
        <v>0</v>
      </c>
      <c r="F131" s="21">
        <v>0.0</v>
      </c>
      <c r="G131" s="23">
        <f>IFERROR(F131/F148, "NA")</f>
        <v>0</v>
      </c>
      <c r="H131" s="21">
        <v>0.0</v>
      </c>
      <c r="I131" s="23">
        <f>IFERROR(H131/H148, "NA")</f>
        <v>0</v>
      </c>
      <c r="J131" s="21">
        <v>0.0</v>
      </c>
      <c r="K131" s="23">
        <f>IFERROR(J131/J148, "NA")</f>
        <v>0</v>
      </c>
      <c r="L131" s="21">
        <v>0.0</v>
      </c>
      <c r="M131" s="23">
        <f>IFERROR(L131/L148, "NA")</f>
        <v>0</v>
      </c>
      <c r="N131" s="21">
        <v>0.0</v>
      </c>
      <c r="O131" s="23">
        <f>IFERROR(N131/N148, "NA")</f>
        <v>0</v>
      </c>
      <c r="P131" s="21">
        <v>0.0</v>
      </c>
      <c r="Q131" s="23">
        <f>IFERROR(P131/P148, "NA")</f>
        <v>0</v>
      </c>
      <c r="R131" s="21">
        <v>0.0</v>
      </c>
      <c r="S131" s="23">
        <f>IFERROR(R131/R148, "NA")</f>
        <v>0</v>
      </c>
      <c r="T131" s="21">
        <v>0.0</v>
      </c>
      <c r="U131" s="23">
        <f>IFERROR(T131/T148, "NA")</f>
        <v>0</v>
      </c>
      <c r="V131" s="21">
        <v>0.0</v>
      </c>
      <c r="W131" s="23">
        <f>IFERROR(V131/V148, "NA")</f>
        <v>0</v>
      </c>
      <c r="X131" s="21">
        <v>0.0</v>
      </c>
      <c r="Y131" s="23">
        <f>IFERROR(X131/X148, "NA")</f>
        <v>0</v>
      </c>
      <c r="Z131" s="21">
        <v>0.0</v>
      </c>
      <c r="AA131" s="23">
        <f>IFERROR(Z131/Z148, "NA")</f>
        <v>0</v>
      </c>
      <c r="AB131" s="28">
        <f t="shared" si="55"/>
        <v>0</v>
      </c>
      <c r="AC131" s="23">
        <f>IFERROR(AB131/AB148, "NA")</f>
        <v>0</v>
      </c>
      <c r="AD131" s="29">
        <f t="shared" si="56"/>
        <v>0</v>
      </c>
      <c r="AE131" s="30">
        <f>IFERROR(AD131/AD148, "NA")</f>
        <v>0</v>
      </c>
      <c r="AF131" s="29" t="str">
        <f t="shared" si="57"/>
        <v>NA</v>
      </c>
      <c r="AG131" s="28">
        <f t="shared" si="58"/>
        <v>0</v>
      </c>
      <c r="AH131" s="23">
        <f>IFERROR(AG131/AG148, "NA")</f>
        <v>0</v>
      </c>
      <c r="AI131" s="29">
        <f t="shared" si="59"/>
        <v>0</v>
      </c>
      <c r="AJ131" s="30">
        <f>IFERROR(AI131/AI148, "NA")</f>
        <v>0</v>
      </c>
      <c r="AK131" s="29" t="str">
        <f t="shared" si="60"/>
        <v>NA</v>
      </c>
      <c r="AL131" s="30" t="str">
        <f>IFERROR(AK131/AK148, "NA")</f>
        <v>NA</v>
      </c>
    </row>
    <row r="132" ht="16.5" hidden="1" customHeight="1">
      <c r="A132" s="19" t="s">
        <v>242</v>
      </c>
      <c r="B132" s="21">
        <v>0.0</v>
      </c>
      <c r="C132" s="23">
        <f>IFERROR(B132/B148, "NA")</f>
        <v>0</v>
      </c>
      <c r="D132" s="21">
        <v>0.0</v>
      </c>
      <c r="E132" s="23">
        <f>IFERROR(D132/D148, "NA")</f>
        <v>0</v>
      </c>
      <c r="F132" s="21">
        <v>0.0</v>
      </c>
      <c r="G132" s="23">
        <f>IFERROR(F132/F148, "NA")</f>
        <v>0</v>
      </c>
      <c r="H132" s="21">
        <v>0.0</v>
      </c>
      <c r="I132" s="23">
        <f>IFERROR(H132/H148, "NA")</f>
        <v>0</v>
      </c>
      <c r="J132" s="21">
        <v>0.0</v>
      </c>
      <c r="K132" s="23">
        <f>IFERROR(J132/J148, "NA")</f>
        <v>0</v>
      </c>
      <c r="L132" s="21">
        <v>0.0</v>
      </c>
      <c r="M132" s="23">
        <f>IFERROR(L132/L148, "NA")</f>
        <v>0</v>
      </c>
      <c r="N132" s="21">
        <v>0.0</v>
      </c>
      <c r="O132" s="23">
        <f>IFERROR(N132/N148, "NA")</f>
        <v>0</v>
      </c>
      <c r="P132" s="21">
        <v>0.0</v>
      </c>
      <c r="Q132" s="23">
        <f>IFERROR(P132/P148, "NA")</f>
        <v>0</v>
      </c>
      <c r="R132" s="21">
        <v>0.0</v>
      </c>
      <c r="S132" s="23">
        <f>IFERROR(R132/R148, "NA")</f>
        <v>0</v>
      </c>
      <c r="T132" s="21">
        <v>0.0</v>
      </c>
      <c r="U132" s="23">
        <f>IFERROR(T132/T148, "NA")</f>
        <v>0</v>
      </c>
      <c r="V132" s="21">
        <v>0.0</v>
      </c>
      <c r="W132" s="23">
        <f>IFERROR(V132/V148, "NA")</f>
        <v>0</v>
      </c>
      <c r="X132" s="21">
        <v>0.0</v>
      </c>
      <c r="Y132" s="23">
        <f>IFERROR(X132/X148, "NA")</f>
        <v>0</v>
      </c>
      <c r="Z132" s="21">
        <v>0.0</v>
      </c>
      <c r="AA132" s="23">
        <f>IFERROR(Z132/Z148, "NA")</f>
        <v>0</v>
      </c>
      <c r="AB132" s="28">
        <f t="shared" si="55"/>
        <v>0</v>
      </c>
      <c r="AC132" s="23">
        <f>IFERROR(AB132/AB148, "NA")</f>
        <v>0</v>
      </c>
      <c r="AD132" s="29">
        <f t="shared" si="56"/>
        <v>0</v>
      </c>
      <c r="AE132" s="30">
        <f>IFERROR(AD132/AD148, "NA")</f>
        <v>0</v>
      </c>
      <c r="AF132" s="29" t="str">
        <f t="shared" si="57"/>
        <v>NA</v>
      </c>
      <c r="AG132" s="28">
        <f t="shared" si="58"/>
        <v>0</v>
      </c>
      <c r="AH132" s="23">
        <f>IFERROR(AG132/AG148, "NA")</f>
        <v>0</v>
      </c>
      <c r="AI132" s="29">
        <f t="shared" si="59"/>
        <v>0</v>
      </c>
      <c r="AJ132" s="30">
        <f>IFERROR(AI132/AI148, "NA")</f>
        <v>0</v>
      </c>
      <c r="AK132" s="29" t="str">
        <f t="shared" si="60"/>
        <v>NA</v>
      </c>
      <c r="AL132" s="30" t="str">
        <f>IFERROR(AK132/AK148, "NA")</f>
        <v>NA</v>
      </c>
    </row>
    <row r="133" ht="16.5" hidden="1" customHeight="1">
      <c r="A133" s="19" t="s">
        <v>243</v>
      </c>
      <c r="B133" s="21">
        <v>0.0</v>
      </c>
      <c r="C133" s="23">
        <f>IFERROR(B133/B148, "NA")</f>
        <v>0</v>
      </c>
      <c r="D133" s="21">
        <v>0.0</v>
      </c>
      <c r="E133" s="23">
        <f>IFERROR(D133/D148, "NA")</f>
        <v>0</v>
      </c>
      <c r="F133" s="21">
        <v>0.0</v>
      </c>
      <c r="G133" s="23">
        <f>IFERROR(F133/F148, "NA")</f>
        <v>0</v>
      </c>
      <c r="H133" s="21">
        <v>0.0</v>
      </c>
      <c r="I133" s="23">
        <f>IFERROR(H133/H148, "NA")</f>
        <v>0</v>
      </c>
      <c r="J133" s="21">
        <v>0.0</v>
      </c>
      <c r="K133" s="23">
        <f>IFERROR(J133/J148, "NA")</f>
        <v>0</v>
      </c>
      <c r="L133" s="21">
        <v>0.0</v>
      </c>
      <c r="M133" s="23">
        <f>IFERROR(L133/L148, "NA")</f>
        <v>0</v>
      </c>
      <c r="N133" s="21">
        <v>0.0</v>
      </c>
      <c r="O133" s="23">
        <f>IFERROR(N133/N148, "NA")</f>
        <v>0</v>
      </c>
      <c r="P133" s="21">
        <v>0.0</v>
      </c>
      <c r="Q133" s="23">
        <f>IFERROR(P133/P148, "NA")</f>
        <v>0</v>
      </c>
      <c r="R133" s="21">
        <v>0.0</v>
      </c>
      <c r="S133" s="23">
        <f>IFERROR(R133/R148, "NA")</f>
        <v>0</v>
      </c>
      <c r="T133" s="21">
        <v>0.0</v>
      </c>
      <c r="U133" s="23">
        <f>IFERROR(T133/T148, "NA")</f>
        <v>0</v>
      </c>
      <c r="V133" s="21">
        <v>0.0</v>
      </c>
      <c r="W133" s="23">
        <f>IFERROR(V133/V148, "NA")</f>
        <v>0</v>
      </c>
      <c r="X133" s="21">
        <v>0.0</v>
      </c>
      <c r="Y133" s="23">
        <f>IFERROR(X133/X148, "NA")</f>
        <v>0</v>
      </c>
      <c r="Z133" s="21">
        <v>0.0</v>
      </c>
      <c r="AA133" s="23">
        <f>IFERROR(Z133/Z148, "NA")</f>
        <v>0</v>
      </c>
      <c r="AB133" s="28">
        <f t="shared" si="55"/>
        <v>0</v>
      </c>
      <c r="AC133" s="23">
        <f>IFERROR(AB133/AB148, "NA")</f>
        <v>0</v>
      </c>
      <c r="AD133" s="29">
        <f t="shared" si="56"/>
        <v>0</v>
      </c>
      <c r="AE133" s="30">
        <f>IFERROR(AD133/AD148, "NA")</f>
        <v>0</v>
      </c>
      <c r="AF133" s="29" t="str">
        <f t="shared" si="57"/>
        <v>NA</v>
      </c>
      <c r="AG133" s="28">
        <f t="shared" si="58"/>
        <v>0</v>
      </c>
      <c r="AH133" s="23">
        <f>IFERROR(AG133/AG148, "NA")</f>
        <v>0</v>
      </c>
      <c r="AI133" s="29">
        <f t="shared" si="59"/>
        <v>0</v>
      </c>
      <c r="AJ133" s="30">
        <f>IFERROR(AI133/AI148, "NA")</f>
        <v>0</v>
      </c>
      <c r="AK133" s="29" t="str">
        <f t="shared" si="60"/>
        <v>NA</v>
      </c>
      <c r="AL133" s="30" t="str">
        <f>IFERROR(AK133/AK148, "NA")</f>
        <v>NA</v>
      </c>
    </row>
    <row r="134" ht="16.5" hidden="1" customHeight="1">
      <c r="A134" s="19" t="s">
        <v>244</v>
      </c>
      <c r="B134" s="21">
        <v>0.0</v>
      </c>
      <c r="C134" s="23">
        <f>IFERROR(B134/B148, "NA")</f>
        <v>0</v>
      </c>
      <c r="D134" s="21">
        <v>0.0</v>
      </c>
      <c r="E134" s="23">
        <f>IFERROR(D134/D148, "NA")</f>
        <v>0</v>
      </c>
      <c r="F134" s="21">
        <v>0.0</v>
      </c>
      <c r="G134" s="23">
        <f>IFERROR(F134/F148, "NA")</f>
        <v>0</v>
      </c>
      <c r="H134" s="21">
        <v>0.0</v>
      </c>
      <c r="I134" s="23">
        <f>IFERROR(H134/H148, "NA")</f>
        <v>0</v>
      </c>
      <c r="J134" s="21">
        <v>0.0</v>
      </c>
      <c r="K134" s="23">
        <f>IFERROR(J134/J148, "NA")</f>
        <v>0</v>
      </c>
      <c r="L134" s="21">
        <v>0.0</v>
      </c>
      <c r="M134" s="23">
        <f>IFERROR(L134/L148, "NA")</f>
        <v>0</v>
      </c>
      <c r="N134" s="21">
        <v>0.0</v>
      </c>
      <c r="O134" s="23">
        <f>IFERROR(N134/N148, "NA")</f>
        <v>0</v>
      </c>
      <c r="P134" s="21">
        <v>0.0</v>
      </c>
      <c r="Q134" s="23">
        <f>IFERROR(P134/P148, "NA")</f>
        <v>0</v>
      </c>
      <c r="R134" s="21">
        <v>0.0</v>
      </c>
      <c r="S134" s="23">
        <f>IFERROR(R134/R148, "NA")</f>
        <v>0</v>
      </c>
      <c r="T134" s="21">
        <v>0.0</v>
      </c>
      <c r="U134" s="23">
        <f>IFERROR(T134/T148, "NA")</f>
        <v>0</v>
      </c>
      <c r="V134" s="21">
        <v>0.0</v>
      </c>
      <c r="W134" s="23">
        <f>IFERROR(V134/V148, "NA")</f>
        <v>0</v>
      </c>
      <c r="X134" s="21">
        <v>0.0</v>
      </c>
      <c r="Y134" s="23">
        <f>IFERROR(X134/X148, "NA")</f>
        <v>0</v>
      </c>
      <c r="Z134" s="21">
        <v>0.0</v>
      </c>
      <c r="AA134" s="23">
        <f>IFERROR(Z134/Z148, "NA")</f>
        <v>0</v>
      </c>
      <c r="AB134" s="28">
        <f t="shared" si="55"/>
        <v>0</v>
      </c>
      <c r="AC134" s="23">
        <f>IFERROR(AB134/AB148, "NA")</f>
        <v>0</v>
      </c>
      <c r="AD134" s="29">
        <f t="shared" si="56"/>
        <v>0</v>
      </c>
      <c r="AE134" s="30">
        <f>IFERROR(AD134/AD148, "NA")</f>
        <v>0</v>
      </c>
      <c r="AF134" s="29" t="str">
        <f t="shared" si="57"/>
        <v>NA</v>
      </c>
      <c r="AG134" s="28">
        <f t="shared" si="58"/>
        <v>0</v>
      </c>
      <c r="AH134" s="23">
        <f>IFERROR(AG134/AG148, "NA")</f>
        <v>0</v>
      </c>
      <c r="AI134" s="29">
        <f t="shared" si="59"/>
        <v>0</v>
      </c>
      <c r="AJ134" s="30">
        <f>IFERROR(AI134/AI148, "NA")</f>
        <v>0</v>
      </c>
      <c r="AK134" s="29" t="str">
        <f t="shared" si="60"/>
        <v>NA</v>
      </c>
      <c r="AL134" s="30" t="str">
        <f>IFERROR(AK134/AK148, "NA")</f>
        <v>NA</v>
      </c>
    </row>
    <row r="135" ht="16.5" hidden="1" customHeight="1">
      <c r="A135" s="65" t="s">
        <v>245</v>
      </c>
      <c r="B135" s="66">
        <f>IFERROR(B110+B111+B112+B113+B114+B115+B116+B117+B118+B119+B120+B121+B122+B123+B124+B125+B126+B127+B128+B129+B130+B131+B132+B133+B134, "NA")</f>
        <v>440.08</v>
      </c>
      <c r="C135" s="67">
        <f>IFERROR(B135/B148, "NA")</f>
        <v>0.01650641476</v>
      </c>
      <c r="D135" s="66">
        <f>IFERROR(D110+D111+D112+D113+D114+D115+D116+D117+D118+D119+D120+D121+D122+D123+D124+D125+D126+D127+D128+D129+D130+D131+D132+D133+D134, "NA")</f>
        <v>427.17</v>
      </c>
      <c r="E135" s="67">
        <f>IFERROR(D135/D148, "NA")</f>
        <v>0.01740061664</v>
      </c>
      <c r="F135" s="66">
        <f>IFERROR(F110+F111+F112+F113+F114+F115+F116+F117+F118+F119+F120+F121+F122+F123+F124+F125+F126+F127+F128+F129+F130+F131+F132+F133+F134, "NA")</f>
        <v>-1320.69</v>
      </c>
      <c r="G135" s="67">
        <f>IFERROR(F135/F148, "NA")</f>
        <v>-0.05268854439</v>
      </c>
      <c r="H135" s="66">
        <f>IFERROR(H110+H111+H112+H113+H114+H115+H116+H117+H118+H119+H120+H121+H122+H123+H124+H125+H126+H127+H128+H129+H130+H131+H132+H133+H134, "NA")</f>
        <v>331.54</v>
      </c>
      <c r="I135" s="67">
        <f>IFERROR(H135/H148, "NA")</f>
        <v>0.02020948274</v>
      </c>
      <c r="J135" s="66">
        <f>IFERROR(J110+J111+J112+J113+J114+J115+J116+J117+J118+J119+J120+J121+J122+J123+J124+J125+J126+J127+J128+J129+J130+J131+J132+J133+J134, "NA")</f>
        <v>376.57</v>
      </c>
      <c r="K135" s="67">
        <f>IFERROR(J135/J148, "NA")</f>
        <v>0.01501662688</v>
      </c>
      <c r="L135" s="66">
        <f>IFERROR(L110+L111+L112+L113+L114+L115+L116+L117+L118+L119+L120+L121+L122+L123+L124+L125+L126+L127+L128+L129+L130+L131+L132+L133+L134, "NA")</f>
        <v>596.26</v>
      </c>
      <c r="M135" s="67">
        <f>IFERROR(L135/L148, "NA")</f>
        <v>0.02226855747</v>
      </c>
      <c r="N135" s="66">
        <f>IFERROR(N110+N111+N112+N113+N114+N115+N116+N117+N118+N119+N120+N121+N122+N123+N124+N125+N126+N127+N128+N129+N130+N131+N132+N133+N134, "NA")</f>
        <v>465.37</v>
      </c>
      <c r="O135" s="67">
        <f>IFERROR(N135/N148, "NA")</f>
        <v>0.02227518277</v>
      </c>
      <c r="P135" s="66">
        <f>IFERROR(P110+P111+P112+P113+P114+P115+P116+P117+P118+P119+P120+P121+P122+P123+P124+P125+P126+P127+P128+P129+P130+P131+P132+P133+P134, "NA")</f>
        <v>-1769.74</v>
      </c>
      <c r="Q135" s="67">
        <f>IFERROR(P135/P148, "NA")</f>
        <v>-0.1195918952</v>
      </c>
      <c r="R135" s="66">
        <f>IFERROR(R110+R111+R112+R113+R114+R115+R116+R117+R118+R119+R120+R121+R122+R123+R124+R125+R126+R127+R128+R129+R130+R131+R132+R133+R134, "NA")</f>
        <v>608.5</v>
      </c>
      <c r="S135" s="67">
        <f>IFERROR(R135/R148, "NA")</f>
        <v>0.03584981138</v>
      </c>
      <c r="T135" s="66">
        <f>IFERROR(T110+T111+T112+T113+T114+T115+T116+T117+T118+T119+T120+T121+T122+T123+T124+T125+T126+T127+T128+T129+T130+T131+T132+T133+T134, "NA")</f>
        <v>530.74</v>
      </c>
      <c r="U135" s="67">
        <f>IFERROR(T135/T148, "NA")</f>
        <v>0.02597546245</v>
      </c>
      <c r="V135" s="66">
        <f>IFERROR(V110+V111+V112+V113+V114+V115+V116+V117+V118+V119+V120+V121+V122+V123+V124+V125+V126+V127+V128+V129+V130+V131+V132+V133+V134, "NA")</f>
        <v>499.92</v>
      </c>
      <c r="W135" s="67">
        <f>IFERROR(V135/V148, "NA")</f>
        <v>0.01699526606</v>
      </c>
      <c r="X135" s="66">
        <f>IFERROR(X110+X111+X112+X113+X114+X115+X116+X117+X118+X119+X120+X121+X122+X123+X124+X125+X126+X127+X128+X129+X130+X131+X132+X133+X134, "NA")</f>
        <v>342.84</v>
      </c>
      <c r="Y135" s="67">
        <f>IFERROR(X135/X148, "NA")</f>
        <v>0.01526347798</v>
      </c>
      <c r="Z135" s="66">
        <f>IFERROR(Z110+Z111+Z112+Z113+Z114+Z115+Z116+Z117+Z118+Z119+Z120+Z121+Z122+Z123+Z124+Z125+Z126+Z127+Z128+Z129+Z130+Z131+Z132+Z133+Z134, "NA")</f>
        <v>1982</v>
      </c>
      <c r="AA135" s="67">
        <f>IFERROR(Z135/Z148, "NA")</f>
        <v>0.02219915939</v>
      </c>
      <c r="AB135" s="66">
        <f t="shared" si="55"/>
        <v>495.5</v>
      </c>
      <c r="AC135" s="67">
        <f>IFERROR(AB135/AB148, "NA")</f>
        <v>0.02219915939</v>
      </c>
      <c r="AD135" s="75">
        <f t="shared" si="56"/>
        <v>-152.66</v>
      </c>
      <c r="AE135" s="76">
        <f>IFERROR(AD135/AD148, "NA")</f>
        <v>-1.084271459</v>
      </c>
      <c r="AF135" s="75">
        <f t="shared" si="57"/>
        <v>-0.3080928355</v>
      </c>
      <c r="AG135" s="66">
        <f t="shared" si="58"/>
        <v>206.3075</v>
      </c>
      <c r="AH135" s="67">
        <f>IFERROR(AG135/AG148, "NA")</f>
        <v>0.009333838992</v>
      </c>
      <c r="AI135" s="75">
        <f t="shared" si="59"/>
        <v>136.5325</v>
      </c>
      <c r="AJ135" s="76">
        <f>IFERROR(AI135/AI148, "NA")</f>
        <v>0.3810749897</v>
      </c>
      <c r="AK135" s="75">
        <f t="shared" si="60"/>
        <v>0.6617912582</v>
      </c>
      <c r="AL135" s="76">
        <f>IFERROR(AK135/AK148, "NA")</f>
        <v>40.82725126</v>
      </c>
    </row>
    <row r="136" ht="16.5" hidden="1" customHeight="1">
      <c r="A136" s="123"/>
      <c r="B136" s="124"/>
      <c r="C136" s="74"/>
      <c r="D136" s="124"/>
      <c r="E136" s="74"/>
      <c r="F136" s="124"/>
      <c r="G136" s="74"/>
      <c r="H136" s="124"/>
      <c r="I136" s="74"/>
      <c r="J136" s="124"/>
      <c r="K136" s="74"/>
      <c r="L136" s="124"/>
      <c r="M136" s="74"/>
      <c r="N136" s="124"/>
      <c r="O136" s="74"/>
      <c r="P136" s="124"/>
      <c r="Q136" s="74"/>
      <c r="R136" s="124"/>
      <c r="S136" s="74"/>
      <c r="T136" s="124"/>
      <c r="U136" s="74"/>
      <c r="V136" s="124"/>
      <c r="W136" s="74"/>
      <c r="X136" s="124"/>
      <c r="Y136" s="74"/>
      <c r="Z136" s="124"/>
      <c r="AA136" s="74"/>
      <c r="AB136" s="124"/>
      <c r="AC136" s="74"/>
      <c r="AD136" s="125"/>
      <c r="AE136" s="80"/>
      <c r="AF136" s="125"/>
      <c r="AG136" s="124"/>
      <c r="AH136" s="74"/>
      <c r="AI136" s="125"/>
      <c r="AJ136" s="80"/>
      <c r="AK136" s="125"/>
      <c r="AL136" s="80"/>
    </row>
    <row r="137" ht="16.5" hidden="1" customHeight="1">
      <c r="A137" s="121" t="s">
        <v>246</v>
      </c>
      <c r="B137" s="122">
        <f>IFERROR(B107-B135, "NA")</f>
        <v>7399.59</v>
      </c>
      <c r="C137" s="94">
        <f>IFERROR(B137/B148, "NA")</f>
        <v>0.2775420415</v>
      </c>
      <c r="D137" s="122">
        <f>IFERROR(D107-D135, "NA")</f>
        <v>-971.8</v>
      </c>
      <c r="E137" s="94">
        <f>IFERROR(D137/D148, "NA")</f>
        <v>-0.03958592423</v>
      </c>
      <c r="F137" s="122">
        <f>IFERROR(F107-F135, "NA")</f>
        <v>-13076.98</v>
      </c>
      <c r="G137" s="94">
        <f>IFERROR(F137/F148, "NA")</f>
        <v>-0.5217023232</v>
      </c>
      <c r="H137" s="122">
        <f>IFERROR(H107-H135, "NA")</f>
        <v>653.54</v>
      </c>
      <c r="I137" s="94">
        <f>IFERROR(H137/H148, "NA")</f>
        <v>0.03983744149</v>
      </c>
      <c r="J137" s="122">
        <f>IFERROR(J107-J135, "NA")</f>
        <v>5908.71</v>
      </c>
      <c r="K137" s="94">
        <f>IFERROR(J137/J148, "NA")</f>
        <v>0.2356239036</v>
      </c>
      <c r="L137" s="122">
        <f>IFERROR(L107-L135, "NA")</f>
        <v>6936.34</v>
      </c>
      <c r="M137" s="94">
        <f>IFERROR(L137/L148, "NA")</f>
        <v>0.2590519001</v>
      </c>
      <c r="N137" s="122">
        <f>IFERROR(N107-N135, "NA")</f>
        <v>-2820.12</v>
      </c>
      <c r="O137" s="94">
        <f>IFERROR(N137/N148, "NA")</f>
        <v>-0.134986545</v>
      </c>
      <c r="P137" s="122">
        <f>IFERROR(P107-P135, "NA")</f>
        <v>-23888.23</v>
      </c>
      <c r="Q137" s="94">
        <f>IFERROR(P137/P148, "NA")</f>
        <v>-1.614270288</v>
      </c>
      <c r="R137" s="122">
        <f>IFERROR(R107-R135, "NA")</f>
        <v>214.84</v>
      </c>
      <c r="S137" s="94">
        <f>IFERROR(R137/R148, "NA")</f>
        <v>0.01265731056</v>
      </c>
      <c r="T137" s="122">
        <f>IFERROR(T107-T135, "NA")</f>
        <v>2628.62</v>
      </c>
      <c r="U137" s="94">
        <f>IFERROR(T137/T148, "NA")</f>
        <v>0.1286498476</v>
      </c>
      <c r="V137" s="122">
        <f>IFERROR(V107-V135, "NA")</f>
        <v>4339.48</v>
      </c>
      <c r="W137" s="94">
        <f>IFERROR(V137/V148, "NA")</f>
        <v>0.1475248383</v>
      </c>
      <c r="X137" s="122">
        <f>IFERROR(X107-X135, "NA")</f>
        <v>-15626.56</v>
      </c>
      <c r="Y137" s="94">
        <f>IFERROR(X137/X148, "NA")</f>
        <v>-0.6957054439</v>
      </c>
      <c r="Z137" s="122">
        <f>IFERROR(Z107-Z135, "NA")</f>
        <v>-8443.62</v>
      </c>
      <c r="AA137" s="94">
        <f>IFERROR(Z137/Z148, "NA")</f>
        <v>-0.09457177911</v>
      </c>
      <c r="AB137" s="122">
        <f>IFERROR((R137+T137+V137+X137)/4, "NA")</f>
        <v>-2110.905</v>
      </c>
      <c r="AC137" s="94">
        <f>IFERROR(AB137/AB148, "NA")</f>
        <v>-0.09457177911</v>
      </c>
      <c r="AD137" s="75">
        <f>IFERROR(X137-AB137, "NA")</f>
        <v>-13515.655</v>
      </c>
      <c r="AE137" s="76">
        <f>IFERROR(AD137/AD148, "NA")</f>
        <v>-95.99527682</v>
      </c>
      <c r="AF137" s="75">
        <f>IFERROR((X137-AB137)/AB137, "NA")</f>
        <v>6.402777482</v>
      </c>
      <c r="AG137" s="122">
        <f>IFERROR((J137+L137+N137+P137+R137+T137+V137+X137)/8, "NA")</f>
        <v>-2788.365</v>
      </c>
      <c r="AH137" s="94">
        <f>IFERROR(AG137/AG148, "NA")</f>
        <v>-0.126152224</v>
      </c>
      <c r="AI137" s="75">
        <f>IFERROR(X137-AG137, "NA")</f>
        <v>-12838.195</v>
      </c>
      <c r="AJ137" s="76">
        <f>IFERROR(AI137/AI148, "NA")</f>
        <v>-35.83260416</v>
      </c>
      <c r="AK137" s="75">
        <f>IFERROR((X137-AG137)/AG137, "NA")</f>
        <v>4.604201745</v>
      </c>
      <c r="AL137" s="76">
        <f>IFERROR(AK137/AK148, "NA")</f>
        <v>284.0425877</v>
      </c>
    </row>
    <row r="138" ht="3.75" hidden="1" customHeight="1">
      <c r="A138" s="123"/>
      <c r="B138" s="124"/>
      <c r="C138" s="74"/>
      <c r="D138" s="124"/>
      <c r="E138" s="74"/>
      <c r="F138" s="124"/>
      <c r="G138" s="74"/>
      <c r="H138" s="124"/>
      <c r="I138" s="74"/>
      <c r="J138" s="124"/>
      <c r="K138" s="74"/>
      <c r="L138" s="124"/>
      <c r="M138" s="74"/>
      <c r="N138" s="124"/>
      <c r="O138" s="74"/>
      <c r="P138" s="124"/>
      <c r="Q138" s="74"/>
      <c r="R138" s="124"/>
      <c r="S138" s="74"/>
      <c r="T138" s="124"/>
      <c r="U138" s="74"/>
      <c r="V138" s="124"/>
      <c r="W138" s="74"/>
      <c r="X138" s="124"/>
      <c r="Y138" s="74"/>
      <c r="Z138" s="124"/>
      <c r="AA138" s="74"/>
      <c r="AB138" s="124"/>
      <c r="AC138" s="74"/>
      <c r="AD138" s="125"/>
      <c r="AE138" s="80"/>
      <c r="AF138" s="125"/>
      <c r="AG138" s="124"/>
      <c r="AH138" s="74"/>
      <c r="AI138" s="125"/>
      <c r="AJ138" s="80"/>
      <c r="AK138" s="125"/>
      <c r="AL138" s="80"/>
    </row>
    <row r="139" ht="16.5" hidden="1" customHeight="1">
      <c r="A139" s="13" t="s">
        <v>247</v>
      </c>
      <c r="B139" s="14"/>
      <c r="C139" s="12"/>
      <c r="D139" s="14"/>
      <c r="E139" s="12"/>
      <c r="F139" s="14"/>
      <c r="G139" s="12"/>
      <c r="H139" s="14"/>
      <c r="I139" s="12"/>
      <c r="J139" s="14"/>
      <c r="K139" s="12"/>
      <c r="L139" s="14"/>
      <c r="M139" s="12"/>
      <c r="N139" s="14"/>
      <c r="O139" s="12"/>
      <c r="P139" s="14"/>
      <c r="Q139" s="12"/>
      <c r="R139" s="14"/>
      <c r="S139" s="12"/>
      <c r="T139" s="14"/>
      <c r="U139" s="12"/>
      <c r="V139" s="14"/>
      <c r="W139" s="12"/>
      <c r="X139" s="14"/>
      <c r="Y139" s="12"/>
      <c r="Z139" s="14"/>
      <c r="AA139" s="12"/>
      <c r="AB139" s="14"/>
      <c r="AC139" s="12"/>
      <c r="AD139" s="17"/>
      <c r="AE139" s="18"/>
      <c r="AF139" s="17"/>
      <c r="AG139" s="14"/>
      <c r="AH139" s="12"/>
      <c r="AI139" s="17"/>
      <c r="AJ139" s="18"/>
      <c r="AK139" s="17"/>
      <c r="AL139" s="18"/>
    </row>
    <row r="140" ht="16.5" hidden="1" customHeight="1">
      <c r="A140" s="19" t="s">
        <v>248</v>
      </c>
      <c r="B140" s="21">
        <v>0.0</v>
      </c>
      <c r="C140" s="23">
        <f>IFERROR(B140/B148, "NA")</f>
        <v>0</v>
      </c>
      <c r="D140" s="21">
        <v>0.0</v>
      </c>
      <c r="E140" s="23">
        <f>IFERROR(D140/D148, "NA")</f>
        <v>0</v>
      </c>
      <c r="F140" s="21">
        <v>10588.11</v>
      </c>
      <c r="G140" s="23">
        <f>IFERROR(F140/F148, "NA")</f>
        <v>0.4224095766</v>
      </c>
      <c r="H140" s="21">
        <v>-33.2</v>
      </c>
      <c r="I140" s="23">
        <f>IFERROR(H140/H148, "NA")</f>
        <v>-0.002023752268</v>
      </c>
      <c r="J140" s="21">
        <v>0.0</v>
      </c>
      <c r="K140" s="23">
        <f>IFERROR(J140/J148, "NA")</f>
        <v>0</v>
      </c>
      <c r="L140" s="21">
        <v>0.0</v>
      </c>
      <c r="M140" s="23">
        <f>IFERROR(L140/L148, "NA")</f>
        <v>0</v>
      </c>
      <c r="N140" s="21">
        <v>-51.17</v>
      </c>
      <c r="O140" s="23">
        <f>IFERROR(N140/N148, "NA")</f>
        <v>-0.002449279289</v>
      </c>
      <c r="P140" s="21">
        <v>10648.87</v>
      </c>
      <c r="Q140" s="23">
        <f>IFERROR(P140/P148, "NA")</f>
        <v>0.719607708</v>
      </c>
      <c r="R140" s="21">
        <v>-5.73</v>
      </c>
      <c r="S140" s="23">
        <f>IFERROR(R140/R148, "NA")</f>
        <v>-0.0003375832691</v>
      </c>
      <c r="T140" s="21">
        <v>0.0</v>
      </c>
      <c r="U140" s="23">
        <f>IFERROR(T140/T148, "NA")</f>
        <v>0</v>
      </c>
      <c r="V140" s="21">
        <v>-0.52</v>
      </c>
      <c r="W140" s="23">
        <f>IFERROR(V140/V148, "NA")</f>
        <v>-0.00001767790517</v>
      </c>
      <c r="X140" s="21">
        <v>-48.44</v>
      </c>
      <c r="Y140" s="23">
        <f>IFERROR(X140/X148, "NA")</f>
        <v>-0.002156582876</v>
      </c>
      <c r="Z140" s="21">
        <v>-54.69</v>
      </c>
      <c r="AA140" s="23">
        <f>IFERROR(Z140/Z148, "NA")</f>
        <v>-0.0006125489541</v>
      </c>
      <c r="AB140" s="28">
        <f t="shared" ref="AB140:AB141" si="61">IFERROR((R140+T140+V140+X140)/4, "NA")</f>
        <v>-13.6725</v>
      </c>
      <c r="AC140" s="23">
        <f>IFERROR(AB140/AB148, "NA")</f>
        <v>-0.0006125489541</v>
      </c>
      <c r="AD140" s="29">
        <f t="shared" ref="AD140:AD141" si="62">IFERROR(X140-AB140, "NA")</f>
        <v>-34.7675</v>
      </c>
      <c r="AE140" s="30">
        <f>IFERROR(AD140/AD148, "NA")</f>
        <v>-0.2469370361</v>
      </c>
      <c r="AF140" s="29">
        <f t="shared" ref="AF140:AF141" si="63">IFERROR((X140-AB140)/AB140, "NA")</f>
        <v>2.54287804</v>
      </c>
      <c r="AG140" s="28">
        <f t="shared" ref="AG140:AG141" si="64">IFERROR((J140+L140+N140+P140+R140+T140+V140+X140)/8, "NA")</f>
        <v>1317.87625</v>
      </c>
      <c r="AH140" s="23">
        <f>IFERROR(AG140/AG148, "NA")</f>
        <v>0.05962383689</v>
      </c>
      <c r="AI140" s="29">
        <f t="shared" ref="AI140:AI141" si="65">IFERROR(X140-AG140, "NA")</f>
        <v>-1366.31625</v>
      </c>
      <c r="AJ140" s="30">
        <f>IFERROR(AI140/AI148, "NA")</f>
        <v>-3.813516569</v>
      </c>
      <c r="AK140" s="29">
        <f t="shared" ref="AK140:AK141" si="66">IFERROR((X140-AG140)/AG140, "NA")</f>
        <v>-1.036756107</v>
      </c>
      <c r="AL140" s="30">
        <f>IFERROR(AK140/AK148, "NA")</f>
        <v>-63.95959683</v>
      </c>
    </row>
    <row r="141" ht="16.5" hidden="1" customHeight="1">
      <c r="A141" s="65" t="s">
        <v>249</v>
      </c>
      <c r="B141" s="66">
        <f>IFERROR(B140, "NA")</f>
        <v>0</v>
      </c>
      <c r="C141" s="67">
        <f>IFERROR(B141/B148, "NA")</f>
        <v>0</v>
      </c>
      <c r="D141" s="66">
        <f>IFERROR(D140, "NA")</f>
        <v>0</v>
      </c>
      <c r="E141" s="67">
        <f>IFERROR(D141/D148, "NA")</f>
        <v>0</v>
      </c>
      <c r="F141" s="66">
        <f>IFERROR(F140, "NA")</f>
        <v>10588.11</v>
      </c>
      <c r="G141" s="67">
        <f>IFERROR(F141/F148, "NA")</f>
        <v>0.4224095766</v>
      </c>
      <c r="H141" s="66">
        <f>IFERROR(H140, "NA")</f>
        <v>-33.2</v>
      </c>
      <c r="I141" s="67">
        <f>IFERROR(H141/H148, "NA")</f>
        <v>-0.002023752268</v>
      </c>
      <c r="J141" s="66">
        <f>IFERROR(J140, "NA")</f>
        <v>0</v>
      </c>
      <c r="K141" s="67">
        <f>IFERROR(J141/J148, "NA")</f>
        <v>0</v>
      </c>
      <c r="L141" s="66">
        <f>IFERROR(L140, "NA")</f>
        <v>0</v>
      </c>
      <c r="M141" s="67">
        <f>IFERROR(L141/L148, "NA")</f>
        <v>0</v>
      </c>
      <c r="N141" s="66">
        <f>IFERROR(N140, "NA")</f>
        <v>-51.17</v>
      </c>
      <c r="O141" s="67">
        <f>IFERROR(N141/N148, "NA")</f>
        <v>-0.002449279289</v>
      </c>
      <c r="P141" s="66">
        <f>IFERROR(P140, "NA")</f>
        <v>10648.87</v>
      </c>
      <c r="Q141" s="67">
        <f>IFERROR(P141/P148, "NA")</f>
        <v>0.719607708</v>
      </c>
      <c r="R141" s="66">
        <f>IFERROR(R140, "NA")</f>
        <v>-5.73</v>
      </c>
      <c r="S141" s="67">
        <f>IFERROR(R141/R148, "NA")</f>
        <v>-0.0003375832691</v>
      </c>
      <c r="T141" s="66">
        <f>IFERROR(T140, "NA")</f>
        <v>0</v>
      </c>
      <c r="U141" s="67">
        <f>IFERROR(T141/T148, "NA")</f>
        <v>0</v>
      </c>
      <c r="V141" s="66">
        <f>IFERROR(V140, "NA")</f>
        <v>-0.52</v>
      </c>
      <c r="W141" s="67">
        <f>IFERROR(V141/V148, "NA")</f>
        <v>-0.00001767790517</v>
      </c>
      <c r="X141" s="66">
        <f>IFERROR(X140, "NA")</f>
        <v>-48.44</v>
      </c>
      <c r="Y141" s="67">
        <f>IFERROR(X141/X148, "NA")</f>
        <v>-0.002156582876</v>
      </c>
      <c r="Z141" s="66">
        <f>IFERROR(Z140, "NA")</f>
        <v>-54.69</v>
      </c>
      <c r="AA141" s="67">
        <f>IFERROR(Z141/Z148, "NA")</f>
        <v>-0.0006125489541</v>
      </c>
      <c r="AB141" s="66">
        <f t="shared" si="61"/>
        <v>-13.6725</v>
      </c>
      <c r="AC141" s="67">
        <f>IFERROR(AB141/AB148, "NA")</f>
        <v>-0.0006125489541</v>
      </c>
      <c r="AD141" s="75">
        <f t="shared" si="62"/>
        <v>-34.7675</v>
      </c>
      <c r="AE141" s="76">
        <f>IFERROR(AD141/AD148, "NA")</f>
        <v>-0.2469370361</v>
      </c>
      <c r="AF141" s="75">
        <f t="shared" si="63"/>
        <v>2.54287804</v>
      </c>
      <c r="AG141" s="66">
        <f t="shared" si="64"/>
        <v>1317.87625</v>
      </c>
      <c r="AH141" s="67">
        <f>IFERROR(AG141/AG148, "NA")</f>
        <v>0.05962383689</v>
      </c>
      <c r="AI141" s="75">
        <f t="shared" si="65"/>
        <v>-1366.31625</v>
      </c>
      <c r="AJ141" s="76">
        <f>IFERROR(AI141/AI148, "NA")</f>
        <v>-3.813516569</v>
      </c>
      <c r="AK141" s="75">
        <f t="shared" si="66"/>
        <v>-1.036756107</v>
      </c>
      <c r="AL141" s="76">
        <f>IFERROR(AK141/AK148, "NA")</f>
        <v>-63.95959683</v>
      </c>
    </row>
    <row r="142" ht="3.75" hidden="1" customHeight="1">
      <c r="A142" s="123"/>
      <c r="B142" s="124"/>
      <c r="C142" s="74"/>
      <c r="D142" s="124"/>
      <c r="E142" s="74"/>
      <c r="F142" s="124"/>
      <c r="G142" s="74"/>
      <c r="H142" s="124"/>
      <c r="I142" s="74"/>
      <c r="J142" s="124"/>
      <c r="K142" s="74"/>
      <c r="L142" s="124"/>
      <c r="M142" s="74"/>
      <c r="N142" s="124"/>
      <c r="O142" s="74"/>
      <c r="P142" s="124"/>
      <c r="Q142" s="74"/>
      <c r="R142" s="124"/>
      <c r="S142" s="74"/>
      <c r="T142" s="124"/>
      <c r="U142" s="74"/>
      <c r="V142" s="124"/>
      <c r="W142" s="74"/>
      <c r="X142" s="124"/>
      <c r="Y142" s="74"/>
      <c r="Z142" s="124"/>
      <c r="AA142" s="74"/>
      <c r="AB142" s="124"/>
      <c r="AC142" s="74"/>
      <c r="AD142" s="125"/>
      <c r="AE142" s="80"/>
      <c r="AF142" s="125"/>
      <c r="AG142" s="124"/>
      <c r="AH142" s="74"/>
      <c r="AI142" s="125"/>
      <c r="AJ142" s="80"/>
      <c r="AK142" s="125"/>
      <c r="AL142" s="80"/>
    </row>
    <row r="143" ht="16.5" hidden="1" customHeight="1">
      <c r="A143" s="13" t="s">
        <v>250</v>
      </c>
      <c r="B143" s="14"/>
      <c r="C143" s="12"/>
      <c r="D143" s="14"/>
      <c r="E143" s="12"/>
      <c r="F143" s="14"/>
      <c r="G143" s="12"/>
      <c r="H143" s="14"/>
      <c r="I143" s="12"/>
      <c r="J143" s="14"/>
      <c r="K143" s="12"/>
      <c r="L143" s="14"/>
      <c r="M143" s="12"/>
      <c r="N143" s="14"/>
      <c r="O143" s="12"/>
      <c r="P143" s="14"/>
      <c r="Q143" s="12"/>
      <c r="R143" s="14"/>
      <c r="S143" s="12"/>
      <c r="T143" s="14"/>
      <c r="U143" s="12"/>
      <c r="V143" s="14"/>
      <c r="W143" s="12"/>
      <c r="X143" s="14"/>
      <c r="Y143" s="12"/>
      <c r="Z143" s="14"/>
      <c r="AA143" s="12"/>
      <c r="AB143" s="14"/>
      <c r="AC143" s="12"/>
      <c r="AD143" s="17"/>
      <c r="AE143" s="18"/>
      <c r="AF143" s="17"/>
      <c r="AG143" s="14"/>
      <c r="AH143" s="12"/>
      <c r="AI143" s="17"/>
      <c r="AJ143" s="18"/>
      <c r="AK143" s="17"/>
      <c r="AL143" s="18"/>
    </row>
    <row r="144" ht="16.5" hidden="1" customHeight="1">
      <c r="A144" s="19" t="s">
        <v>251</v>
      </c>
      <c r="B144" s="21">
        <v>0.0</v>
      </c>
      <c r="C144" s="23">
        <f>IFERROR(B144/B148, "NA")</f>
        <v>0</v>
      </c>
      <c r="D144" s="21">
        <v>0.0</v>
      </c>
      <c r="E144" s="23">
        <f>IFERROR(D144/D148, "NA")</f>
        <v>0</v>
      </c>
      <c r="F144" s="21">
        <v>0.0</v>
      </c>
      <c r="G144" s="23">
        <f>IFERROR(F144/F148, "NA")</f>
        <v>0</v>
      </c>
      <c r="H144" s="21">
        <v>0.0</v>
      </c>
      <c r="I144" s="23">
        <f>IFERROR(H144/H148, "NA")</f>
        <v>0</v>
      </c>
      <c r="J144" s="21">
        <v>0.0</v>
      </c>
      <c r="K144" s="23">
        <f>IFERROR(J144/J148, "NA")</f>
        <v>0</v>
      </c>
      <c r="L144" s="21">
        <v>0.0</v>
      </c>
      <c r="M144" s="23">
        <f>IFERROR(L144/L148, "NA")</f>
        <v>0</v>
      </c>
      <c r="N144" s="21">
        <v>0.0</v>
      </c>
      <c r="O144" s="23">
        <f>IFERROR(N144/N148, "NA")</f>
        <v>0</v>
      </c>
      <c r="P144" s="21">
        <v>0.0</v>
      </c>
      <c r="Q144" s="23">
        <f>IFERROR(P144/P148, "NA")</f>
        <v>0</v>
      </c>
      <c r="R144" s="21">
        <v>0.0</v>
      </c>
      <c r="S144" s="23">
        <f>IFERROR(R144/R148, "NA")</f>
        <v>0</v>
      </c>
      <c r="T144" s="21">
        <v>0.0</v>
      </c>
      <c r="U144" s="23">
        <f>IFERROR(T144/T148, "NA")</f>
        <v>0</v>
      </c>
      <c r="V144" s="21">
        <v>0.0</v>
      </c>
      <c r="W144" s="23">
        <f>IFERROR(V144/V148, "NA")</f>
        <v>0</v>
      </c>
      <c r="X144" s="21">
        <v>0.0</v>
      </c>
      <c r="Y144" s="23">
        <f>IFERROR(X144/X148, "NA")</f>
        <v>0</v>
      </c>
      <c r="Z144" s="21">
        <v>0.0</v>
      </c>
      <c r="AA144" s="23">
        <f>IFERROR(Z144/Z148, "NA")</f>
        <v>0</v>
      </c>
      <c r="AB144" s="28">
        <f t="shared" ref="AB144:AB145" si="67">IFERROR((R144+T144+V144+X144)/4, "NA")</f>
        <v>0</v>
      </c>
      <c r="AC144" s="23">
        <f>IFERROR(AB144/AB148, "NA")</f>
        <v>0</v>
      </c>
      <c r="AD144" s="29">
        <f t="shared" ref="AD144:AD145" si="68">IFERROR(X144-AB144, "NA")</f>
        <v>0</v>
      </c>
      <c r="AE144" s="30">
        <f>IFERROR(AD144/AD148, "NA")</f>
        <v>0</v>
      </c>
      <c r="AF144" s="29" t="str">
        <f t="shared" ref="AF144:AF145" si="69">IFERROR((X144-AB144)/AB144, "NA")</f>
        <v>NA</v>
      </c>
      <c r="AG144" s="28">
        <f t="shared" ref="AG144:AG145" si="70">IFERROR((J144+L144+N144+P144+R144+T144+V144+X144)/8, "NA")</f>
        <v>0</v>
      </c>
      <c r="AH144" s="23">
        <f>IFERROR(AG144/AG148, "NA")</f>
        <v>0</v>
      </c>
      <c r="AI144" s="29">
        <f t="shared" ref="AI144:AI145" si="71">IFERROR(X144-AG144, "NA")</f>
        <v>0</v>
      </c>
      <c r="AJ144" s="30">
        <f>IFERROR(AI144/AI148, "NA")</f>
        <v>0</v>
      </c>
      <c r="AK144" s="29" t="str">
        <f t="shared" ref="AK144:AK145" si="72">IFERROR((X144-AG144)/AG144, "NA")</f>
        <v>NA</v>
      </c>
      <c r="AL144" s="30" t="str">
        <f>IFERROR(AK144/AK148, "NA")</f>
        <v>NA</v>
      </c>
    </row>
    <row r="145" ht="16.5" hidden="1" customHeight="1">
      <c r="A145" s="65" t="s">
        <v>252</v>
      </c>
      <c r="B145" s="66">
        <f>IFERROR(B144, "NA")</f>
        <v>0</v>
      </c>
      <c r="C145" s="67">
        <f>IFERROR(B145/B148, "NA")</f>
        <v>0</v>
      </c>
      <c r="D145" s="66">
        <f>IFERROR(D144, "NA")</f>
        <v>0</v>
      </c>
      <c r="E145" s="67">
        <f>IFERROR(D145/D148, "NA")</f>
        <v>0</v>
      </c>
      <c r="F145" s="66">
        <f>IFERROR(F144, "NA")</f>
        <v>0</v>
      </c>
      <c r="G145" s="67">
        <f>IFERROR(F145/F148, "NA")</f>
        <v>0</v>
      </c>
      <c r="H145" s="66">
        <f>IFERROR(H144, "NA")</f>
        <v>0</v>
      </c>
      <c r="I145" s="67">
        <f>IFERROR(H145/H148, "NA")</f>
        <v>0</v>
      </c>
      <c r="J145" s="66">
        <f>IFERROR(J144, "NA")</f>
        <v>0</v>
      </c>
      <c r="K145" s="67">
        <f>IFERROR(J145/J148, "NA")</f>
        <v>0</v>
      </c>
      <c r="L145" s="66">
        <f>IFERROR(L144, "NA")</f>
        <v>0</v>
      </c>
      <c r="M145" s="67">
        <f>IFERROR(L145/L148, "NA")</f>
        <v>0</v>
      </c>
      <c r="N145" s="66">
        <f>IFERROR(N144, "NA")</f>
        <v>0</v>
      </c>
      <c r="O145" s="67">
        <f>IFERROR(N145/N148, "NA")</f>
        <v>0</v>
      </c>
      <c r="P145" s="66">
        <f>IFERROR(P144, "NA")</f>
        <v>0</v>
      </c>
      <c r="Q145" s="67">
        <f>IFERROR(P145/P148, "NA")</f>
        <v>0</v>
      </c>
      <c r="R145" s="66">
        <f>IFERROR(R144, "NA")</f>
        <v>0</v>
      </c>
      <c r="S145" s="67">
        <f>IFERROR(R145/R148, "NA")</f>
        <v>0</v>
      </c>
      <c r="T145" s="66">
        <f>IFERROR(T144, "NA")</f>
        <v>0</v>
      </c>
      <c r="U145" s="67">
        <f>IFERROR(T145/T148, "NA")</f>
        <v>0</v>
      </c>
      <c r="V145" s="66">
        <f>IFERROR(V144, "NA")</f>
        <v>0</v>
      </c>
      <c r="W145" s="67">
        <f>IFERROR(V145/V148, "NA")</f>
        <v>0</v>
      </c>
      <c r="X145" s="66">
        <f>IFERROR(X144, "NA")</f>
        <v>0</v>
      </c>
      <c r="Y145" s="67">
        <f>IFERROR(X145/X148, "NA")</f>
        <v>0</v>
      </c>
      <c r="Z145" s="66">
        <f>IFERROR(Z144, "NA")</f>
        <v>0</v>
      </c>
      <c r="AA145" s="67">
        <f>IFERROR(Z145/Z148, "NA")</f>
        <v>0</v>
      </c>
      <c r="AB145" s="66">
        <f t="shared" si="67"/>
        <v>0</v>
      </c>
      <c r="AC145" s="67">
        <f>IFERROR(AB145/AB148, "NA")</f>
        <v>0</v>
      </c>
      <c r="AD145" s="75">
        <f t="shared" si="68"/>
        <v>0</v>
      </c>
      <c r="AE145" s="76">
        <f>IFERROR(AD145/AD148, "NA")</f>
        <v>0</v>
      </c>
      <c r="AF145" s="75" t="str">
        <f t="shared" si="69"/>
        <v>NA</v>
      </c>
      <c r="AG145" s="66">
        <f t="shared" si="70"/>
        <v>0</v>
      </c>
      <c r="AH145" s="67">
        <f>IFERROR(AG145/AG148, "NA")</f>
        <v>0</v>
      </c>
      <c r="AI145" s="75">
        <f t="shared" si="71"/>
        <v>0</v>
      </c>
      <c r="AJ145" s="76">
        <f>IFERROR(AI145/AI148, "NA")</f>
        <v>0</v>
      </c>
      <c r="AK145" s="75" t="str">
        <f t="shared" si="72"/>
        <v>NA</v>
      </c>
      <c r="AL145" s="76" t="str">
        <f>IFERROR(AK145/AK148, "NA")</f>
        <v>NA</v>
      </c>
    </row>
    <row r="146" ht="3.75" hidden="1" customHeight="1">
      <c r="A146" s="123"/>
      <c r="B146" s="124"/>
      <c r="C146" s="74"/>
      <c r="D146" s="124"/>
      <c r="E146" s="74"/>
      <c r="F146" s="124"/>
      <c r="G146" s="74"/>
      <c r="H146" s="124"/>
      <c r="I146" s="74"/>
      <c r="J146" s="124"/>
      <c r="K146" s="74"/>
      <c r="L146" s="124"/>
      <c r="M146" s="74"/>
      <c r="N146" s="124"/>
      <c r="O146" s="74"/>
      <c r="P146" s="124"/>
      <c r="Q146" s="74"/>
      <c r="R146" s="124"/>
      <c r="S146" s="74"/>
      <c r="T146" s="124"/>
      <c r="U146" s="74"/>
      <c r="V146" s="124"/>
      <c r="W146" s="74"/>
      <c r="X146" s="124"/>
      <c r="Y146" s="74"/>
      <c r="Z146" s="124"/>
      <c r="AA146" s="74"/>
      <c r="AB146" s="124"/>
      <c r="AC146" s="74"/>
      <c r="AD146" s="125"/>
      <c r="AE146" s="80"/>
      <c r="AF146" s="125"/>
      <c r="AG146" s="124"/>
      <c r="AH146" s="74"/>
      <c r="AI146" s="125"/>
      <c r="AJ146" s="80"/>
      <c r="AK146" s="125"/>
      <c r="AL146" s="80"/>
    </row>
    <row r="147" ht="16.5" hidden="1" customHeight="1">
      <c r="A147" s="121" t="s">
        <v>253</v>
      </c>
      <c r="B147" s="122">
        <f>IFERROR(B137-B141-B145, "NA")</f>
        <v>7399.59</v>
      </c>
      <c r="C147" s="94">
        <f>IFERROR(B147/B148, "NA")</f>
        <v>0.2775420415</v>
      </c>
      <c r="D147" s="122">
        <f>IFERROR(D137-D141-D145, "NA")</f>
        <v>-971.8</v>
      </c>
      <c r="E147" s="94">
        <f>IFERROR(D147/D148, "NA")</f>
        <v>-0.03958592423</v>
      </c>
      <c r="F147" s="122">
        <f>IFERROR(F137-F141-F145, "NA")</f>
        <v>-23665.09</v>
      </c>
      <c r="G147" s="94">
        <f>IFERROR(F147/F148, "NA")</f>
        <v>-0.9441118999</v>
      </c>
      <c r="H147" s="122">
        <f>IFERROR(H137-H141-H145, "NA")</f>
        <v>686.74</v>
      </c>
      <c r="I147" s="94">
        <f>IFERROR(H147/H148, "NA")</f>
        <v>0.04186119376</v>
      </c>
      <c r="J147" s="122">
        <f>IFERROR(J137-J141-J145, "NA")</f>
        <v>5908.71</v>
      </c>
      <c r="K147" s="94">
        <f>IFERROR(J147/J148, "NA")</f>
        <v>0.2356239036</v>
      </c>
      <c r="L147" s="122">
        <f>IFERROR(L137-L141-L145, "NA")</f>
        <v>6936.34</v>
      </c>
      <c r="M147" s="94">
        <f>IFERROR(L147/L148, "NA")</f>
        <v>0.2590519001</v>
      </c>
      <c r="N147" s="122">
        <f>IFERROR(N137-N141-N145, "NA")</f>
        <v>-2768.95</v>
      </c>
      <c r="O147" s="94">
        <f>IFERROR(N147/N148, "NA")</f>
        <v>-0.1325372657</v>
      </c>
      <c r="P147" s="122">
        <f>IFERROR(P137-P141-P145, "NA")</f>
        <v>-34537.1</v>
      </c>
      <c r="Q147" s="94">
        <f>IFERROR(P147/P148, "NA")</f>
        <v>-2.333877996</v>
      </c>
      <c r="R147" s="122">
        <f>IFERROR(R137-R141-R145, "NA")</f>
        <v>220.57</v>
      </c>
      <c r="S147" s="94">
        <f>IFERROR(R147/R148, "NA")</f>
        <v>0.01299489383</v>
      </c>
      <c r="T147" s="122">
        <f>IFERROR(T137-T141-T145, "NA")</f>
        <v>2628.62</v>
      </c>
      <c r="U147" s="94">
        <f>IFERROR(T147/T148, "NA")</f>
        <v>0.1286498476</v>
      </c>
      <c r="V147" s="122">
        <f>IFERROR(V137-V141-V145, "NA")</f>
        <v>4340</v>
      </c>
      <c r="W147" s="94">
        <f>IFERROR(V147/V148, "NA")</f>
        <v>0.1475425162</v>
      </c>
      <c r="X147" s="122">
        <f>IFERROR(X137-X141-X145, "NA")</f>
        <v>-15578.12</v>
      </c>
      <c r="Y147" s="94">
        <f>IFERROR(X147/X148, "NA")</f>
        <v>-0.693548861</v>
      </c>
      <c r="Z147" s="122">
        <f>IFERROR(Z137-Z141-Z145, "NA")</f>
        <v>-8388.93</v>
      </c>
      <c r="AA147" s="94">
        <f>IFERROR(Z147/Z148, "NA")</f>
        <v>-0.09395923016</v>
      </c>
      <c r="AB147" s="122">
        <f t="shared" ref="AB147:AB148" si="73">IFERROR((R147+T147+V147+X147)/4, "NA")</f>
        <v>-2097.2325</v>
      </c>
      <c r="AC147" s="94">
        <f>IFERROR(AB147/AB148, "NA")</f>
        <v>-0.09395923016</v>
      </c>
      <c r="AD147" s="75">
        <f t="shared" ref="AD147:AD148" si="74">IFERROR(X147-AB147, "NA")</f>
        <v>-13480.8875</v>
      </c>
      <c r="AE147" s="76">
        <f>IFERROR(AD147/AD148, "NA")</f>
        <v>-95.74833978</v>
      </c>
      <c r="AF147" s="75">
        <f t="shared" ref="AF147:AF148" si="75">IFERROR((X147-AB147)/AB147, "NA")</f>
        <v>6.427941347</v>
      </c>
      <c r="AG147" s="122">
        <f t="shared" ref="AG147:AG148" si="76">IFERROR((J147+L147+N147+P147+R147+T147+V147+X147)/8, "NA")</f>
        <v>-4106.24125</v>
      </c>
      <c r="AH147" s="94">
        <f>IFERROR(AG147/AG148, "NA")</f>
        <v>-0.1857760609</v>
      </c>
      <c r="AI147" s="75">
        <f t="shared" ref="AI147:AI148" si="77">IFERROR(X147-AG147, "NA")</f>
        <v>-11471.87875</v>
      </c>
      <c r="AJ147" s="76">
        <f>IFERROR(AI147/AI148, "NA")</f>
        <v>-32.01908759</v>
      </c>
      <c r="AK147" s="75">
        <f t="shared" ref="AK147:AK148" si="78">IFERROR((X147-AG147)/AG147, "NA")</f>
        <v>2.793766379</v>
      </c>
      <c r="AL147" s="76">
        <f>IFERROR(AK147/AK148, "NA")</f>
        <v>172.3531408</v>
      </c>
    </row>
    <row r="148" ht="14.25" hidden="1" customHeight="1">
      <c r="A148" s="19" t="s">
        <v>54</v>
      </c>
      <c r="B148" s="21">
        <v>26661.15</v>
      </c>
      <c r="C148" s="128"/>
      <c r="D148" s="21">
        <v>24549.13</v>
      </c>
      <c r="E148" s="128"/>
      <c r="F148" s="21">
        <v>25065.98</v>
      </c>
      <c r="G148" s="128"/>
      <c r="H148" s="21">
        <v>16405.17</v>
      </c>
      <c r="I148" s="128"/>
      <c r="J148" s="21">
        <v>25076.87</v>
      </c>
      <c r="K148" s="128"/>
      <c r="L148" s="21">
        <v>26775.87</v>
      </c>
      <c r="M148" s="128"/>
      <c r="N148" s="21">
        <v>20891.86</v>
      </c>
      <c r="O148" s="128"/>
      <c r="P148" s="21">
        <v>14798.16</v>
      </c>
      <c r="Q148" s="128"/>
      <c r="R148" s="21">
        <v>16973.59</v>
      </c>
      <c r="S148" s="128"/>
      <c r="T148" s="21">
        <v>20432.36</v>
      </c>
      <c r="U148" s="128"/>
      <c r="V148" s="21">
        <v>29415.25</v>
      </c>
      <c r="W148" s="128"/>
      <c r="X148" s="21">
        <v>22461.46</v>
      </c>
      <c r="Y148" s="128"/>
      <c r="Z148" s="21">
        <v>89282.66</v>
      </c>
      <c r="AA148" s="128"/>
      <c r="AB148" s="28">
        <f t="shared" si="73"/>
        <v>22320.665</v>
      </c>
      <c r="AC148" s="128"/>
      <c r="AD148" s="29">
        <f t="shared" si="74"/>
        <v>140.795</v>
      </c>
      <c r="AE148" s="129"/>
      <c r="AF148" s="29">
        <f t="shared" si="75"/>
        <v>0.006307831778</v>
      </c>
      <c r="AG148" s="28">
        <f t="shared" si="76"/>
        <v>22103.1775</v>
      </c>
      <c r="AH148" s="128"/>
      <c r="AI148" s="29">
        <f t="shared" si="77"/>
        <v>358.2825</v>
      </c>
      <c r="AJ148" s="129"/>
      <c r="AK148" s="29">
        <f t="shared" si="78"/>
        <v>0.01620954725</v>
      </c>
      <c r="AL148" s="129"/>
    </row>
    <row r="149" ht="14.25" customHeight="1"/>
    <row r="150" ht="14.25" customHeight="1"/>
    <row r="151" ht="14.25" customHeight="1">
      <c r="A151" s="130" t="s">
        <v>254</v>
      </c>
    </row>
    <row r="152" ht="14.25" customHeight="1">
      <c r="A152" s="130" t="s">
        <v>255</v>
      </c>
    </row>
    <row r="153" ht="14.25" customHeight="1">
      <c r="A153" s="130" t="s">
        <v>256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