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ppriver3651009033.sharepoint.com/sites/DT-Rasa/Shared Documents/General/Weekly Prime Cost Reports/2026/"/>
    </mc:Choice>
  </mc:AlternateContent>
  <xr:revisionPtr revIDLastSave="13" documentId="8_{A24C42F3-DEC1-4BB4-84FD-42D0A6760D34}" xr6:coauthVersionLast="47" xr6:coauthVersionMax="47" xr10:uidLastSave="{1B29ACFE-5853-4EFF-B15D-8795FAF39E66}"/>
  <bookViews>
    <workbookView xWindow="28680" yWindow="-120" windowWidth="29040" windowHeight="1572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4" i="3" l="1"/>
  <c r="A2" i="7"/>
  <c r="AO51" i="6"/>
  <c r="AM51" i="6"/>
  <c r="AN51" i="6" s="1"/>
  <c r="AO50" i="6"/>
  <c r="AM50" i="6"/>
  <c r="AN50" i="6" s="1"/>
  <c r="AO49" i="6"/>
  <c r="AM49" i="6"/>
  <c r="AN49" i="6" s="1"/>
  <c r="AO48" i="6"/>
  <c r="AN48" i="6"/>
  <c r="AM48" i="6"/>
  <c r="AO47" i="6"/>
  <c r="AM47" i="6"/>
  <c r="AN47" i="6" s="1"/>
  <c r="AO46" i="6"/>
  <c r="AN46" i="6"/>
  <c r="AM46" i="6"/>
  <c r="AO45" i="6"/>
  <c r="AN45" i="6"/>
  <c r="AM45" i="6"/>
  <c r="AO44" i="6"/>
  <c r="AN44" i="6"/>
  <c r="AM44" i="6"/>
  <c r="AO43" i="6"/>
  <c r="AM43" i="6"/>
  <c r="AN43" i="6" s="1"/>
  <c r="AO42" i="6"/>
  <c r="AN42" i="6"/>
  <c r="AM42" i="6"/>
  <c r="AO41" i="6"/>
  <c r="AM41" i="6"/>
  <c r="AN41" i="6" s="1"/>
  <c r="AO40" i="6"/>
  <c r="AM40" i="6"/>
  <c r="AN40" i="6" s="1"/>
  <c r="AO39" i="6"/>
  <c r="AM39" i="6"/>
  <c r="AN39" i="6" s="1"/>
  <c r="AO38" i="6"/>
  <c r="AN38" i="6"/>
  <c r="AM38" i="6"/>
  <c r="AO37" i="6"/>
  <c r="AM37" i="6"/>
  <c r="AN37" i="6" s="1"/>
  <c r="AO36" i="6"/>
  <c r="AN36" i="6"/>
  <c r="AM36" i="6"/>
  <c r="AO35" i="6"/>
  <c r="AM35" i="6"/>
  <c r="AN35" i="6" s="1"/>
  <c r="AO34" i="6"/>
  <c r="AM34" i="6"/>
  <c r="AN34" i="6" s="1"/>
  <c r="AO33" i="6"/>
  <c r="AM33" i="6"/>
  <c r="AN33" i="6" s="1"/>
  <c r="AO32" i="6"/>
  <c r="AN32" i="6"/>
  <c r="AM32" i="6"/>
  <c r="AO31" i="6"/>
  <c r="AM31" i="6"/>
  <c r="AN31" i="6" s="1"/>
  <c r="AO30" i="6"/>
  <c r="AN30" i="6"/>
  <c r="AM30" i="6"/>
  <c r="AO29" i="6"/>
  <c r="AN29" i="6"/>
  <c r="AM29" i="6"/>
  <c r="AO28" i="6"/>
  <c r="AN28" i="6"/>
  <c r="AM28" i="6"/>
  <c r="AO27" i="6"/>
  <c r="AM27" i="6"/>
  <c r="AN27" i="6" s="1"/>
  <c r="AO26" i="6"/>
  <c r="AN26" i="6"/>
  <c r="AM26" i="6"/>
  <c r="AO25" i="6"/>
  <c r="AM25" i="6"/>
  <c r="AN25" i="6" s="1"/>
  <c r="AO24" i="6"/>
  <c r="AM24" i="6"/>
  <c r="AN24" i="6" s="1"/>
  <c r="AO23" i="6"/>
  <c r="AM23" i="6"/>
  <c r="AN23" i="6" s="1"/>
  <c r="AO22" i="6"/>
  <c r="AN22" i="6"/>
  <c r="AM22" i="6"/>
  <c r="AO21" i="6"/>
  <c r="AM21" i="6"/>
  <c r="AN21" i="6" s="1"/>
  <c r="AO20" i="6"/>
  <c r="AN20" i="6"/>
  <c r="AM20" i="6"/>
  <c r="AO19" i="6"/>
  <c r="AN19" i="6"/>
  <c r="AM19" i="6"/>
  <c r="AO18" i="6"/>
  <c r="AM18" i="6"/>
  <c r="AN18" i="6" s="1"/>
  <c r="AO17" i="6"/>
  <c r="AM17" i="6"/>
  <c r="AN17" i="6" s="1"/>
  <c r="AO16" i="6"/>
  <c r="AN16" i="6"/>
  <c r="AM16" i="6"/>
  <c r="AO15" i="6"/>
  <c r="AM15" i="6"/>
  <c r="AN15" i="6" s="1"/>
  <c r="AO14" i="6"/>
  <c r="AN14" i="6"/>
  <c r="AM14" i="6"/>
  <c r="AO13" i="6"/>
  <c r="AN13" i="6"/>
  <c r="AM13" i="6"/>
  <c r="AO12" i="6"/>
  <c r="AN12" i="6"/>
  <c r="AM12" i="6"/>
  <c r="AO11" i="6"/>
  <c r="AM11" i="6"/>
  <c r="AN11" i="6" s="1"/>
  <c r="AO10" i="6"/>
  <c r="AN10" i="6"/>
  <c r="AM10" i="6"/>
  <c r="AO9" i="6"/>
  <c r="AM9" i="6"/>
  <c r="AN9" i="6" s="1"/>
  <c r="AO8" i="6"/>
  <c r="AM8" i="6"/>
  <c r="AN8" i="6" s="1"/>
  <c r="B8" i="6"/>
  <c r="AO7" i="6"/>
  <c r="AN7" i="6"/>
  <c r="AM7" i="6"/>
  <c r="B7" i="6"/>
  <c r="AO6" i="6"/>
  <c r="AN6" i="6"/>
  <c r="AM6" i="6"/>
  <c r="B6" i="6"/>
  <c r="AO5" i="6"/>
  <c r="AN5" i="6"/>
  <c r="AM5" i="6"/>
  <c r="B5" i="6"/>
  <c r="C1" i="6"/>
  <c r="AG148" i="5"/>
  <c r="AK148" i="5" s="1"/>
  <c r="AF148" i="5"/>
  <c r="AD148" i="5"/>
  <c r="AB148" i="5"/>
  <c r="Z145" i="5"/>
  <c r="AA145" i="5" s="1"/>
  <c r="X145" i="5"/>
  <c r="V145" i="5"/>
  <c r="W145" i="5" s="1"/>
  <c r="T145" i="5"/>
  <c r="U145" i="5" s="1"/>
  <c r="R145" i="5"/>
  <c r="P145" i="5"/>
  <c r="Q145" i="5" s="1"/>
  <c r="N145" i="5"/>
  <c r="O145" i="5" s="1"/>
  <c r="M145" i="5"/>
  <c r="L145" i="5"/>
  <c r="J145" i="5"/>
  <c r="H145" i="5"/>
  <c r="I145" i="5" s="1"/>
  <c r="F145" i="5"/>
  <c r="G145" i="5" s="1"/>
  <c r="D145" i="5"/>
  <c r="E145" i="5" s="1"/>
  <c r="B145" i="5"/>
  <c r="C145" i="5" s="1"/>
  <c r="AI144" i="5"/>
  <c r="AH144" i="5"/>
  <c r="AG144" i="5"/>
  <c r="AK144" i="5" s="1"/>
  <c r="AL144" i="5" s="1"/>
  <c r="AB144" i="5"/>
  <c r="AF144" i="5" s="1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AG141" i="5"/>
  <c r="AE141" i="5"/>
  <c r="Z141" i="5"/>
  <c r="AA141" i="5" s="1"/>
  <c r="X141" i="5"/>
  <c r="AD141" i="5" s="1"/>
  <c r="W141" i="5"/>
  <c r="V141" i="5"/>
  <c r="T141" i="5"/>
  <c r="U141" i="5" s="1"/>
  <c r="S141" i="5"/>
  <c r="R141" i="5"/>
  <c r="AB141" i="5" s="1"/>
  <c r="Q141" i="5"/>
  <c r="P141" i="5"/>
  <c r="O141" i="5"/>
  <c r="N141" i="5"/>
  <c r="L141" i="5"/>
  <c r="M141" i="5" s="1"/>
  <c r="J141" i="5"/>
  <c r="K141" i="5" s="1"/>
  <c r="H141" i="5"/>
  <c r="I141" i="5" s="1"/>
  <c r="G141" i="5"/>
  <c r="F141" i="5"/>
  <c r="D141" i="5"/>
  <c r="E141" i="5" s="1"/>
  <c r="C141" i="5"/>
  <c r="B141" i="5"/>
  <c r="AL140" i="5"/>
  <c r="AK140" i="5"/>
  <c r="AG140" i="5"/>
  <c r="AI140" i="5" s="1"/>
  <c r="AB140" i="5"/>
  <c r="AF140" i="5" s="1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AI135" i="5"/>
  <c r="AG135" i="5"/>
  <c r="Z135" i="5"/>
  <c r="AA135" i="5" s="1"/>
  <c r="X135" i="5"/>
  <c r="V135" i="5"/>
  <c r="W135" i="5" s="1"/>
  <c r="U135" i="5"/>
  <c r="T135" i="5"/>
  <c r="S135" i="5"/>
  <c r="R135" i="5"/>
  <c r="AB135" i="5" s="1"/>
  <c r="AC135" i="5" s="1"/>
  <c r="Q135" i="5"/>
  <c r="P135" i="5"/>
  <c r="N135" i="5"/>
  <c r="O135" i="5" s="1"/>
  <c r="L135" i="5"/>
  <c r="M135" i="5" s="1"/>
  <c r="J135" i="5"/>
  <c r="K135" i="5" s="1"/>
  <c r="H135" i="5"/>
  <c r="I135" i="5" s="1"/>
  <c r="F135" i="5"/>
  <c r="G135" i="5" s="1"/>
  <c r="E135" i="5"/>
  <c r="D135" i="5"/>
  <c r="C135" i="5"/>
  <c r="B135" i="5"/>
  <c r="AL134" i="5"/>
  <c r="AG134" i="5"/>
  <c r="AK134" i="5" s="1"/>
  <c r="AB134" i="5"/>
  <c r="AF134" i="5" s="1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H133" i="5"/>
  <c r="AG133" i="5"/>
  <c r="AK133" i="5" s="1"/>
  <c r="AL133" i="5" s="1"/>
  <c r="AF133" i="5"/>
  <c r="AD133" i="5"/>
  <c r="AE133" i="5" s="1"/>
  <c r="AC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L132" i="5"/>
  <c r="AG132" i="5"/>
  <c r="AK132" i="5" s="1"/>
  <c r="AB132" i="5"/>
  <c r="AF132" i="5" s="1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H131" i="5"/>
  <c r="AG131" i="5"/>
  <c r="AK131" i="5" s="1"/>
  <c r="AL131" i="5" s="1"/>
  <c r="AF131" i="5"/>
  <c r="AD131" i="5"/>
  <c r="AE131" i="5" s="1"/>
  <c r="AC131" i="5"/>
  <c r="AB131" i="5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G130" i="5"/>
  <c r="AK130" i="5" s="1"/>
  <c r="AL130" i="5" s="1"/>
  <c r="AB130" i="5"/>
  <c r="AF130" i="5" s="1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H129" i="5"/>
  <c r="AG129" i="5"/>
  <c r="AK129" i="5" s="1"/>
  <c r="AL129" i="5" s="1"/>
  <c r="AF129" i="5"/>
  <c r="AD129" i="5"/>
  <c r="AE129" i="5" s="1"/>
  <c r="AB129" i="5"/>
  <c r="AC129" i="5" s="1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G128" i="5"/>
  <c r="AK128" i="5" s="1"/>
  <c r="AL128" i="5" s="1"/>
  <c r="AB128" i="5"/>
  <c r="AF128" i="5" s="1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I127" i="5"/>
  <c r="AH127" i="5"/>
  <c r="AG127" i="5"/>
  <c r="AK127" i="5" s="1"/>
  <c r="AL127" i="5" s="1"/>
  <c r="AF127" i="5"/>
  <c r="AD127" i="5"/>
  <c r="AE127" i="5" s="1"/>
  <c r="AB127" i="5"/>
  <c r="AC127" i="5" s="1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G126" i="5"/>
  <c r="AK126" i="5" s="1"/>
  <c r="AL126" i="5" s="1"/>
  <c r="AB126" i="5"/>
  <c r="AF126" i="5" s="1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I125" i="5"/>
  <c r="AH125" i="5"/>
  <c r="AG125" i="5"/>
  <c r="AK125" i="5" s="1"/>
  <c r="AL125" i="5" s="1"/>
  <c r="AF125" i="5"/>
  <c r="AD125" i="5"/>
  <c r="AE125" i="5" s="1"/>
  <c r="AB125" i="5"/>
  <c r="AC125" i="5" s="1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G124" i="5"/>
  <c r="AK124" i="5" s="1"/>
  <c r="AL124" i="5" s="1"/>
  <c r="AB124" i="5"/>
  <c r="AF124" i="5" s="1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I123" i="5"/>
  <c r="AH123" i="5"/>
  <c r="AG123" i="5"/>
  <c r="AK123" i="5" s="1"/>
  <c r="AL123" i="5" s="1"/>
  <c r="AF123" i="5"/>
  <c r="AD123" i="5"/>
  <c r="AE123" i="5" s="1"/>
  <c r="AB123" i="5"/>
  <c r="AC123" i="5" s="1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G122" i="5"/>
  <c r="AK122" i="5" s="1"/>
  <c r="AL122" i="5" s="1"/>
  <c r="AB122" i="5"/>
  <c r="AF122" i="5" s="1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H121" i="5"/>
  <c r="AG121" i="5"/>
  <c r="AK121" i="5" s="1"/>
  <c r="AL121" i="5" s="1"/>
  <c r="AF121" i="5"/>
  <c r="AD121" i="5"/>
  <c r="AE121" i="5" s="1"/>
  <c r="AB121" i="5"/>
  <c r="AC121" i="5" s="1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L120" i="5"/>
  <c r="AG120" i="5"/>
  <c r="AK120" i="5" s="1"/>
  <c r="AB120" i="5"/>
  <c r="AF120" i="5" s="1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H119" i="5"/>
  <c r="AG119" i="5"/>
  <c r="AK119" i="5" s="1"/>
  <c r="AL119" i="5" s="1"/>
  <c r="AF119" i="5"/>
  <c r="AD119" i="5"/>
  <c r="AE119" i="5" s="1"/>
  <c r="AB119" i="5"/>
  <c r="AC119" i="5" s="1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L118" i="5"/>
  <c r="AG118" i="5"/>
  <c r="AK118" i="5" s="1"/>
  <c r="AB118" i="5"/>
  <c r="AF118" i="5" s="1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H117" i="5"/>
  <c r="AG117" i="5"/>
  <c r="AK117" i="5" s="1"/>
  <c r="AL117" i="5" s="1"/>
  <c r="AF117" i="5"/>
  <c r="AD117" i="5"/>
  <c r="AE117" i="5" s="1"/>
  <c r="AB117" i="5"/>
  <c r="AC117" i="5" s="1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L116" i="5"/>
  <c r="AG116" i="5"/>
  <c r="AK116" i="5" s="1"/>
  <c r="AB116" i="5"/>
  <c r="AF116" i="5" s="1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H115" i="5"/>
  <c r="AG115" i="5"/>
  <c r="AK115" i="5" s="1"/>
  <c r="AL115" i="5" s="1"/>
  <c r="AF115" i="5"/>
  <c r="AD115" i="5"/>
  <c r="AE115" i="5" s="1"/>
  <c r="AB115" i="5"/>
  <c r="AC115" i="5" s="1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G114" i="5"/>
  <c r="AK114" i="5" s="1"/>
  <c r="AL114" i="5" s="1"/>
  <c r="AB114" i="5"/>
  <c r="AF114" i="5" s="1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H113" i="5"/>
  <c r="AG113" i="5"/>
  <c r="AK113" i="5" s="1"/>
  <c r="AL113" i="5" s="1"/>
  <c r="AF113" i="5"/>
  <c r="AD113" i="5"/>
  <c r="AE113" i="5" s="1"/>
  <c r="AB113" i="5"/>
  <c r="AC113" i="5" s="1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G112" i="5"/>
  <c r="AK112" i="5" s="1"/>
  <c r="AL112" i="5" s="1"/>
  <c r="AB112" i="5"/>
  <c r="AF112" i="5" s="1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H111" i="5"/>
  <c r="AG111" i="5"/>
  <c r="AK111" i="5" s="1"/>
  <c r="AL111" i="5" s="1"/>
  <c r="AF111" i="5"/>
  <c r="AD111" i="5"/>
  <c r="AE111" i="5" s="1"/>
  <c r="AB111" i="5"/>
  <c r="AC111" i="5" s="1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L110" i="5"/>
  <c r="AG110" i="5"/>
  <c r="AK110" i="5" s="1"/>
  <c r="AB110" i="5"/>
  <c r="AF110" i="5" s="1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AI105" i="5"/>
  <c r="AA105" i="5"/>
  <c r="Z105" i="5"/>
  <c r="X105" i="5"/>
  <c r="AF105" i="5" s="1"/>
  <c r="W105" i="5"/>
  <c r="V105" i="5"/>
  <c r="U105" i="5"/>
  <c r="T105" i="5"/>
  <c r="AB105" i="5" s="1"/>
  <c r="S105" i="5"/>
  <c r="R105" i="5"/>
  <c r="Q105" i="5"/>
  <c r="P105" i="5"/>
  <c r="N105" i="5"/>
  <c r="O105" i="5" s="1"/>
  <c r="L105" i="5"/>
  <c r="M105" i="5" s="1"/>
  <c r="K105" i="5"/>
  <c r="J105" i="5"/>
  <c r="AG105" i="5" s="1"/>
  <c r="AH105" i="5" s="1"/>
  <c r="H105" i="5"/>
  <c r="I105" i="5" s="1"/>
  <c r="G105" i="5"/>
  <c r="F105" i="5"/>
  <c r="E105" i="5"/>
  <c r="D105" i="5"/>
  <c r="C105" i="5"/>
  <c r="B105" i="5"/>
  <c r="AI104" i="5"/>
  <c r="AG104" i="5"/>
  <c r="AK104" i="5" s="1"/>
  <c r="AL104" i="5" s="1"/>
  <c r="AB104" i="5"/>
  <c r="AF104" i="5" s="1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Z99" i="5"/>
  <c r="AA99" i="5" s="1"/>
  <c r="Y99" i="5"/>
  <c r="X99" i="5"/>
  <c r="W99" i="5"/>
  <c r="V99" i="5"/>
  <c r="AB99" i="5" s="1"/>
  <c r="U99" i="5"/>
  <c r="T99" i="5"/>
  <c r="R99" i="5"/>
  <c r="S99" i="5" s="1"/>
  <c r="P99" i="5"/>
  <c r="Q99" i="5" s="1"/>
  <c r="N99" i="5"/>
  <c r="O99" i="5" s="1"/>
  <c r="L99" i="5"/>
  <c r="M99" i="5" s="1"/>
  <c r="J99" i="5"/>
  <c r="AG99" i="5" s="1"/>
  <c r="AH99" i="5" s="1"/>
  <c r="I99" i="5"/>
  <c r="H99" i="5"/>
  <c r="G99" i="5"/>
  <c r="F99" i="5"/>
  <c r="E99" i="5"/>
  <c r="D99" i="5"/>
  <c r="B99" i="5"/>
  <c r="C99" i="5" s="1"/>
  <c r="AK98" i="5"/>
  <c r="AL98" i="5" s="1"/>
  <c r="AG98" i="5"/>
  <c r="AI98" i="5" s="1"/>
  <c r="AB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K97" i="5"/>
  <c r="AI97" i="5"/>
  <c r="AH97" i="5"/>
  <c r="AG97" i="5"/>
  <c r="AF97" i="5"/>
  <c r="AD97" i="5"/>
  <c r="AE97" i="5" s="1"/>
  <c r="AC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K96" i="5"/>
  <c r="AL96" i="5" s="1"/>
  <c r="AG96" i="5"/>
  <c r="AI96" i="5" s="1"/>
  <c r="AB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K95" i="5"/>
  <c r="AI95" i="5"/>
  <c r="AH95" i="5"/>
  <c r="AG95" i="5"/>
  <c r="AF95" i="5"/>
  <c r="AD95" i="5"/>
  <c r="AE95" i="5" s="1"/>
  <c r="AC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K94" i="5"/>
  <c r="AL94" i="5" s="1"/>
  <c r="AG94" i="5"/>
  <c r="AI94" i="5" s="1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K93" i="5"/>
  <c r="AI93" i="5"/>
  <c r="AH93" i="5"/>
  <c r="AG93" i="5"/>
  <c r="AF93" i="5"/>
  <c r="AC93" i="5"/>
  <c r="AB93" i="5"/>
  <c r="AD93" i="5" s="1"/>
  <c r="AE93" i="5" s="1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K92" i="5"/>
  <c r="AL92" i="5" s="1"/>
  <c r="AG92" i="5"/>
  <c r="AI92" i="5" s="1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K91" i="5"/>
  <c r="AI91" i="5"/>
  <c r="AH91" i="5"/>
  <c r="AG91" i="5"/>
  <c r="AF91" i="5"/>
  <c r="AC91" i="5"/>
  <c r="AB91" i="5"/>
  <c r="AD91" i="5" s="1"/>
  <c r="AE91" i="5" s="1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K90" i="5"/>
  <c r="AL90" i="5" s="1"/>
  <c r="AG90" i="5"/>
  <c r="AI90" i="5" s="1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B87" i="5"/>
  <c r="AA85" i="5"/>
  <c r="Z85" i="5"/>
  <c r="Y85" i="5"/>
  <c r="X85" i="5"/>
  <c r="AK85" i="5" s="1"/>
  <c r="AL85" i="5" s="1"/>
  <c r="W85" i="5"/>
  <c r="V85" i="5"/>
  <c r="U85" i="5"/>
  <c r="T85" i="5"/>
  <c r="R85" i="5"/>
  <c r="S85" i="5" s="1"/>
  <c r="P85" i="5"/>
  <c r="Q85" i="5" s="1"/>
  <c r="N85" i="5"/>
  <c r="O85" i="5" s="1"/>
  <c r="L85" i="5"/>
  <c r="M85" i="5" s="1"/>
  <c r="K85" i="5"/>
  <c r="J85" i="5"/>
  <c r="AG85" i="5" s="1"/>
  <c r="AH85" i="5" s="1"/>
  <c r="I85" i="5"/>
  <c r="H85" i="5"/>
  <c r="G85" i="5"/>
  <c r="F85" i="5"/>
  <c r="E85" i="5"/>
  <c r="D85" i="5"/>
  <c r="B85" i="5"/>
  <c r="C85" i="5" s="1"/>
  <c r="AB84" i="5"/>
  <c r="AA84" i="5"/>
  <c r="Z84" i="5"/>
  <c r="Y84" i="5"/>
  <c r="X84" i="5"/>
  <c r="W84" i="5"/>
  <c r="V84" i="5"/>
  <c r="T84" i="5"/>
  <c r="U84" i="5" s="1"/>
  <c r="S84" i="5"/>
  <c r="R84" i="5"/>
  <c r="P84" i="5"/>
  <c r="Q84" i="5" s="1"/>
  <c r="N84" i="5"/>
  <c r="O84" i="5" s="1"/>
  <c r="L84" i="5"/>
  <c r="K84" i="5"/>
  <c r="J84" i="5"/>
  <c r="I84" i="5"/>
  <c r="H84" i="5"/>
  <c r="G84" i="5"/>
  <c r="F84" i="5"/>
  <c r="D84" i="5"/>
  <c r="E84" i="5" s="1"/>
  <c r="C84" i="5"/>
  <c r="B84" i="5"/>
  <c r="AI83" i="5"/>
  <c r="AG83" i="5"/>
  <c r="AB83" i="5"/>
  <c r="AF83" i="5" s="1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G82" i="5"/>
  <c r="AK82" i="5" s="1"/>
  <c r="AL82" i="5" s="1"/>
  <c r="AC82" i="5"/>
  <c r="AB82" i="5"/>
  <c r="AF82" i="5" s="1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AI81" i="5"/>
  <c r="AG81" i="5"/>
  <c r="AB81" i="5"/>
  <c r="AC81" i="5" s="1"/>
  <c r="Z81" i="5"/>
  <c r="AA81" i="5" s="1"/>
  <c r="X81" i="5"/>
  <c r="AF81" i="5" s="1"/>
  <c r="V81" i="5"/>
  <c r="W81" i="5" s="1"/>
  <c r="U81" i="5"/>
  <c r="T81" i="5"/>
  <c r="S81" i="5"/>
  <c r="R81" i="5"/>
  <c r="Q81" i="5"/>
  <c r="P81" i="5"/>
  <c r="O81" i="5"/>
  <c r="N81" i="5"/>
  <c r="L81" i="5"/>
  <c r="M81" i="5" s="1"/>
  <c r="J81" i="5"/>
  <c r="K81" i="5" s="1"/>
  <c r="H81" i="5"/>
  <c r="I81" i="5" s="1"/>
  <c r="F81" i="5"/>
  <c r="G81" i="5" s="1"/>
  <c r="E81" i="5"/>
  <c r="D81" i="5"/>
  <c r="C81" i="5"/>
  <c r="B81" i="5"/>
  <c r="AL80" i="5"/>
  <c r="AG80" i="5"/>
  <c r="AK80" i="5" s="1"/>
  <c r="AC80" i="5"/>
  <c r="AB80" i="5"/>
  <c r="AF80" i="5" s="1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H79" i="5"/>
  <c r="AG79" i="5"/>
  <c r="AK79" i="5" s="1"/>
  <c r="AL79" i="5" s="1"/>
  <c r="AF79" i="5"/>
  <c r="AD79" i="5"/>
  <c r="AE79" i="5" s="1"/>
  <c r="AC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G78" i="5"/>
  <c r="AK78" i="5" s="1"/>
  <c r="AL78" i="5" s="1"/>
  <c r="AC78" i="5"/>
  <c r="AB78" i="5"/>
  <c r="AF78" i="5" s="1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H77" i="5"/>
  <c r="AG77" i="5"/>
  <c r="AK77" i="5" s="1"/>
  <c r="AL77" i="5" s="1"/>
  <c r="AF77" i="5"/>
  <c r="AD77" i="5"/>
  <c r="AE77" i="5" s="1"/>
  <c r="AC77" i="5"/>
  <c r="AB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L76" i="5"/>
  <c r="AG76" i="5"/>
  <c r="AK76" i="5" s="1"/>
  <c r="AC76" i="5"/>
  <c r="AB76" i="5"/>
  <c r="AF76" i="5" s="1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H75" i="5"/>
  <c r="AG75" i="5"/>
  <c r="AK75" i="5" s="1"/>
  <c r="AL75" i="5" s="1"/>
  <c r="AF75" i="5"/>
  <c r="AD75" i="5"/>
  <c r="AE75" i="5" s="1"/>
  <c r="AC75" i="5"/>
  <c r="AB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G74" i="5"/>
  <c r="AK74" i="5" s="1"/>
  <c r="AL74" i="5" s="1"/>
  <c r="AC74" i="5"/>
  <c r="AB74" i="5"/>
  <c r="AF74" i="5" s="1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H72" i="5"/>
  <c r="AG72" i="5"/>
  <c r="AK72" i="5" s="1"/>
  <c r="AL72" i="5" s="1"/>
  <c r="AF72" i="5"/>
  <c r="AD72" i="5"/>
  <c r="AE72" i="5" s="1"/>
  <c r="AC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L71" i="5"/>
  <c r="AG71" i="5"/>
  <c r="AK71" i="5" s="1"/>
  <c r="AC71" i="5"/>
  <c r="AB71" i="5"/>
  <c r="AF71" i="5" s="1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AA70" i="5"/>
  <c r="Z70" i="5"/>
  <c r="Y70" i="5"/>
  <c r="X70" i="5"/>
  <c r="V70" i="5"/>
  <c r="W70" i="5" s="1"/>
  <c r="U70" i="5"/>
  <c r="T70" i="5"/>
  <c r="R70" i="5"/>
  <c r="AB70" i="5" s="1"/>
  <c r="AC70" i="5" s="1"/>
  <c r="P70" i="5"/>
  <c r="Q70" i="5" s="1"/>
  <c r="N70" i="5"/>
  <c r="M70" i="5"/>
  <c r="L70" i="5"/>
  <c r="K70" i="5"/>
  <c r="J70" i="5"/>
  <c r="I70" i="5"/>
  <c r="H70" i="5"/>
  <c r="F70" i="5"/>
  <c r="G70" i="5" s="1"/>
  <c r="E70" i="5"/>
  <c r="D70" i="5"/>
  <c r="B70" i="5"/>
  <c r="C70" i="5" s="1"/>
  <c r="AK69" i="5"/>
  <c r="AL69" i="5" s="1"/>
  <c r="AI69" i="5"/>
  <c r="AH69" i="5"/>
  <c r="AG69" i="5"/>
  <c r="AD69" i="5"/>
  <c r="AE69" i="5" s="1"/>
  <c r="AB69" i="5"/>
  <c r="AF69" i="5" s="1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L68" i="5"/>
  <c r="AH68" i="5"/>
  <c r="AG68" i="5"/>
  <c r="AK68" i="5" s="1"/>
  <c r="AF68" i="5"/>
  <c r="AE68" i="5"/>
  <c r="AD68" i="5"/>
  <c r="AC68" i="5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K67" i="5"/>
  <c r="AL67" i="5" s="1"/>
  <c r="AI67" i="5"/>
  <c r="AH67" i="5"/>
  <c r="AG67" i="5"/>
  <c r="AD67" i="5"/>
  <c r="AE67" i="5" s="1"/>
  <c r="AB67" i="5"/>
  <c r="AF67" i="5" s="1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H66" i="5"/>
  <c r="AG66" i="5"/>
  <c r="AK66" i="5" s="1"/>
  <c r="AL66" i="5" s="1"/>
  <c r="AF66" i="5"/>
  <c r="AE66" i="5"/>
  <c r="AD66" i="5"/>
  <c r="AC66" i="5"/>
  <c r="AB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K65" i="5"/>
  <c r="AL65" i="5" s="1"/>
  <c r="AI65" i="5"/>
  <c r="AH65" i="5"/>
  <c r="AG65" i="5"/>
  <c r="AD65" i="5"/>
  <c r="AE65" i="5" s="1"/>
  <c r="AB65" i="5"/>
  <c r="AF65" i="5" s="1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L63" i="5"/>
  <c r="AH63" i="5"/>
  <c r="AG63" i="5"/>
  <c r="AK63" i="5" s="1"/>
  <c r="AF63" i="5"/>
  <c r="AE63" i="5"/>
  <c r="AD63" i="5"/>
  <c r="AC63" i="5"/>
  <c r="AB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N59" i="5"/>
  <c r="C59" i="5"/>
  <c r="AB57" i="5"/>
  <c r="AC57" i="5" s="1"/>
  <c r="Z57" i="5"/>
  <c r="AA57" i="5" s="1"/>
  <c r="X57" i="5"/>
  <c r="W57" i="5"/>
  <c r="V57" i="5"/>
  <c r="U57" i="5"/>
  <c r="T57" i="5"/>
  <c r="S57" i="5"/>
  <c r="R57" i="5"/>
  <c r="P57" i="5"/>
  <c r="Q57" i="5" s="1"/>
  <c r="O57" i="5"/>
  <c r="N57" i="5"/>
  <c r="L57" i="5"/>
  <c r="M57" i="5" s="1"/>
  <c r="J57" i="5"/>
  <c r="H57" i="5"/>
  <c r="I57" i="5" s="1"/>
  <c r="G57" i="5"/>
  <c r="F57" i="5"/>
  <c r="E57" i="5"/>
  <c r="D57" i="5"/>
  <c r="C57" i="5"/>
  <c r="B57" i="5"/>
  <c r="AA56" i="5"/>
  <c r="Z56" i="5"/>
  <c r="X56" i="5"/>
  <c r="V56" i="5"/>
  <c r="W56" i="5" s="1"/>
  <c r="T56" i="5"/>
  <c r="U56" i="5" s="1"/>
  <c r="R56" i="5"/>
  <c r="AB56" i="5" s="1"/>
  <c r="AC56" i="5" s="1"/>
  <c r="Q56" i="5"/>
  <c r="P56" i="5"/>
  <c r="O56" i="5"/>
  <c r="N56" i="5"/>
  <c r="M56" i="5"/>
  <c r="L56" i="5"/>
  <c r="K56" i="5"/>
  <c r="J56" i="5"/>
  <c r="H56" i="5"/>
  <c r="I56" i="5" s="1"/>
  <c r="F56" i="5"/>
  <c r="G56" i="5" s="1"/>
  <c r="D56" i="5"/>
  <c r="E56" i="5" s="1"/>
  <c r="B56" i="5"/>
  <c r="C56" i="5" s="1"/>
  <c r="AL55" i="5"/>
  <c r="AK55" i="5"/>
  <c r="AH55" i="5"/>
  <c r="AG55" i="5"/>
  <c r="AI55" i="5" s="1"/>
  <c r="AF55" i="5"/>
  <c r="AC55" i="5"/>
  <c r="AB55" i="5"/>
  <c r="AD55" i="5" s="1"/>
  <c r="AE55" i="5" s="1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K54" i="5"/>
  <c r="AL54" i="5" s="1"/>
  <c r="AG54" i="5"/>
  <c r="AI54" i="5" s="1"/>
  <c r="AB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L53" i="5"/>
  <c r="AK53" i="5"/>
  <c r="AH53" i="5"/>
  <c r="AG53" i="5"/>
  <c r="AI53" i="5" s="1"/>
  <c r="AF53" i="5"/>
  <c r="AC53" i="5"/>
  <c r="AB53" i="5"/>
  <c r="AD53" i="5" s="1"/>
  <c r="AE53" i="5" s="1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AD52" i="5"/>
  <c r="AE52" i="5" s="1"/>
  <c r="AB52" i="5"/>
  <c r="AC52" i="5" s="1"/>
  <c r="Z52" i="5"/>
  <c r="AA52" i="5" s="1"/>
  <c r="X52" i="5"/>
  <c r="Y52" i="5" s="1"/>
  <c r="W52" i="5"/>
  <c r="V52" i="5"/>
  <c r="U52" i="5"/>
  <c r="T52" i="5"/>
  <c r="R52" i="5"/>
  <c r="S52" i="5" s="1"/>
  <c r="Q52" i="5"/>
  <c r="P52" i="5"/>
  <c r="N52" i="5"/>
  <c r="O52" i="5" s="1"/>
  <c r="L52" i="5"/>
  <c r="M52" i="5" s="1"/>
  <c r="J52" i="5"/>
  <c r="H52" i="5"/>
  <c r="I52" i="5" s="1"/>
  <c r="G52" i="5"/>
  <c r="F52" i="5"/>
  <c r="E52" i="5"/>
  <c r="D52" i="5"/>
  <c r="B52" i="5"/>
  <c r="C52" i="5" s="1"/>
  <c r="AG51" i="5"/>
  <c r="AF51" i="5"/>
  <c r="AE51" i="5"/>
  <c r="AD51" i="5"/>
  <c r="AC51" i="5"/>
  <c r="AB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K50" i="5"/>
  <c r="AL50" i="5" s="1"/>
  <c r="AH50" i="5"/>
  <c r="AG50" i="5"/>
  <c r="AI50" i="5" s="1"/>
  <c r="AB50" i="5"/>
  <c r="AF50" i="5" s="1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G49" i="5"/>
  <c r="AF49" i="5"/>
  <c r="AE49" i="5"/>
  <c r="AD49" i="5"/>
  <c r="AC49" i="5"/>
  <c r="AB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K48" i="5"/>
  <c r="AL48" i="5" s="1"/>
  <c r="AI48" i="5"/>
  <c r="AH48" i="5"/>
  <c r="AG48" i="5"/>
  <c r="AB48" i="5"/>
  <c r="AF48" i="5" s="1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G47" i="5"/>
  <c r="AF47" i="5"/>
  <c r="AE47" i="5"/>
  <c r="AD47" i="5"/>
  <c r="AC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K46" i="5"/>
  <c r="AL46" i="5" s="1"/>
  <c r="AI46" i="5"/>
  <c r="AH46" i="5"/>
  <c r="AG46" i="5"/>
  <c r="AB46" i="5"/>
  <c r="AF46" i="5" s="1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Z44" i="5"/>
  <c r="AA44" i="5" s="1"/>
  <c r="X44" i="5"/>
  <c r="Y44" i="5" s="1"/>
  <c r="V44" i="5"/>
  <c r="W44" i="5" s="1"/>
  <c r="T44" i="5"/>
  <c r="U44" i="5" s="1"/>
  <c r="S44" i="5"/>
  <c r="R44" i="5"/>
  <c r="AB44" i="5" s="1"/>
  <c r="Q44" i="5"/>
  <c r="P44" i="5"/>
  <c r="O44" i="5"/>
  <c r="N44" i="5"/>
  <c r="M44" i="5"/>
  <c r="L44" i="5"/>
  <c r="J44" i="5"/>
  <c r="K44" i="5" s="1"/>
  <c r="H44" i="5"/>
  <c r="I44" i="5" s="1"/>
  <c r="F44" i="5"/>
  <c r="G44" i="5" s="1"/>
  <c r="D44" i="5"/>
  <c r="E44" i="5" s="1"/>
  <c r="C44" i="5"/>
  <c r="B44" i="5"/>
  <c r="AL43" i="5"/>
  <c r="AK43" i="5"/>
  <c r="AI43" i="5"/>
  <c r="AH43" i="5"/>
  <c r="AG43" i="5"/>
  <c r="AB43" i="5"/>
  <c r="AF43" i="5" s="1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G42" i="5"/>
  <c r="AK42" i="5" s="1"/>
  <c r="AL42" i="5" s="1"/>
  <c r="AF42" i="5"/>
  <c r="AD42" i="5"/>
  <c r="AE42" i="5" s="1"/>
  <c r="AB42" i="5"/>
  <c r="AC42" i="5" s="1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L41" i="5"/>
  <c r="AK41" i="5"/>
  <c r="AI41" i="5"/>
  <c r="AH41" i="5"/>
  <c r="AG41" i="5"/>
  <c r="AB41" i="5"/>
  <c r="AF41" i="5" s="1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F40" i="5"/>
  <c r="AD40" i="5"/>
  <c r="AE40" i="5" s="1"/>
  <c r="AC40" i="5"/>
  <c r="AB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L39" i="5"/>
  <c r="AK39" i="5"/>
  <c r="AI39" i="5"/>
  <c r="AH39" i="5"/>
  <c r="AG39" i="5"/>
  <c r="AB39" i="5"/>
  <c r="AF39" i="5" s="1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G37" i="5"/>
  <c r="AB37" i="5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AA35" i="5"/>
  <c r="Z35" i="5"/>
  <c r="X35" i="5"/>
  <c r="V35" i="5"/>
  <c r="W35" i="5" s="1"/>
  <c r="T35" i="5"/>
  <c r="U35" i="5" s="1"/>
  <c r="R35" i="5"/>
  <c r="Q35" i="5"/>
  <c r="P35" i="5"/>
  <c r="O35" i="5"/>
  <c r="N35" i="5"/>
  <c r="L35" i="5"/>
  <c r="K35" i="5"/>
  <c r="J35" i="5"/>
  <c r="H35" i="5"/>
  <c r="I35" i="5" s="1"/>
  <c r="F35" i="5"/>
  <c r="G35" i="5" s="1"/>
  <c r="E35" i="5"/>
  <c r="D35" i="5"/>
  <c r="B35" i="5"/>
  <c r="C35" i="5" s="1"/>
  <c r="Z34" i="5"/>
  <c r="AA34" i="5" s="1"/>
  <c r="Y34" i="5"/>
  <c r="X34" i="5"/>
  <c r="W34" i="5"/>
  <c r="V34" i="5"/>
  <c r="T34" i="5"/>
  <c r="S34" i="5"/>
  <c r="R34" i="5"/>
  <c r="Q34" i="5"/>
  <c r="P34" i="5"/>
  <c r="N34" i="5"/>
  <c r="O34" i="5" s="1"/>
  <c r="M34" i="5"/>
  <c r="L34" i="5"/>
  <c r="K34" i="5"/>
  <c r="J34" i="5"/>
  <c r="H34" i="5"/>
  <c r="I34" i="5" s="1"/>
  <c r="G34" i="5"/>
  <c r="F34" i="5"/>
  <c r="D34" i="5"/>
  <c r="E34" i="5" s="1"/>
  <c r="C34" i="5"/>
  <c r="B34" i="5"/>
  <c r="AL33" i="5"/>
  <c r="AI33" i="5"/>
  <c r="AH33" i="5"/>
  <c r="AG33" i="5"/>
  <c r="AK33" i="5" s="1"/>
  <c r="AC33" i="5"/>
  <c r="AB33" i="5"/>
  <c r="AF33" i="5" s="1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K32" i="5"/>
  <c r="AL32" i="5" s="1"/>
  <c r="AG32" i="5"/>
  <c r="AD32" i="5"/>
  <c r="AE32" i="5" s="1"/>
  <c r="AB32" i="5"/>
  <c r="AF32" i="5" s="1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H31" i="5"/>
  <c r="AG31" i="5"/>
  <c r="AK31" i="5" s="1"/>
  <c r="AL31" i="5" s="1"/>
  <c r="AF31" i="5"/>
  <c r="AE31" i="5"/>
  <c r="AD31" i="5"/>
  <c r="AC31" i="5"/>
  <c r="AB31" i="5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K30" i="5"/>
  <c r="AL30" i="5" s="1"/>
  <c r="AI30" i="5"/>
  <c r="AG30" i="5"/>
  <c r="AH30" i="5" s="1"/>
  <c r="AB30" i="5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L29" i="5"/>
  <c r="AI29" i="5"/>
  <c r="AG29" i="5"/>
  <c r="AK29" i="5" s="1"/>
  <c r="AC29" i="5"/>
  <c r="AB29" i="5"/>
  <c r="AF29" i="5" s="1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AB27" i="5"/>
  <c r="Z27" i="5"/>
  <c r="AA27" i="5" s="1"/>
  <c r="Y27" i="5"/>
  <c r="X27" i="5"/>
  <c r="W27" i="5"/>
  <c r="V27" i="5"/>
  <c r="U27" i="5"/>
  <c r="T27" i="5"/>
  <c r="S27" i="5"/>
  <c r="R27" i="5"/>
  <c r="Q27" i="5"/>
  <c r="P27" i="5"/>
  <c r="N27" i="5"/>
  <c r="O27" i="5" s="1"/>
  <c r="L27" i="5"/>
  <c r="M27" i="5" s="1"/>
  <c r="J27" i="5"/>
  <c r="H27" i="5"/>
  <c r="I27" i="5" s="1"/>
  <c r="G27" i="5"/>
  <c r="F27" i="5"/>
  <c r="E27" i="5"/>
  <c r="D27" i="5"/>
  <c r="C27" i="5"/>
  <c r="B27" i="5"/>
  <c r="AG26" i="5"/>
  <c r="AB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H25" i="5"/>
  <c r="AG25" i="5"/>
  <c r="AK25" i="5" s="1"/>
  <c r="AL25" i="5" s="1"/>
  <c r="AF25" i="5"/>
  <c r="AD25" i="5"/>
  <c r="AE25" i="5" s="1"/>
  <c r="AC25" i="5"/>
  <c r="AB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G24" i="5"/>
  <c r="AC24" i="5"/>
  <c r="AB24" i="5"/>
  <c r="AF24" i="5" s="1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K23" i="5"/>
  <c r="AL23" i="5" s="1"/>
  <c r="AH23" i="5"/>
  <c r="AG23" i="5"/>
  <c r="AI23" i="5" s="1"/>
  <c r="AF23" i="5"/>
  <c r="AD23" i="5"/>
  <c r="AE23" i="5" s="1"/>
  <c r="AC23" i="5"/>
  <c r="AB23" i="5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L22" i="5"/>
  <c r="AI22" i="5"/>
  <c r="AH22" i="5"/>
  <c r="AG22" i="5"/>
  <c r="AK22" i="5" s="1"/>
  <c r="AF22" i="5"/>
  <c r="AD22" i="5"/>
  <c r="AE22" i="5" s="1"/>
  <c r="AC22" i="5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H21" i="5"/>
  <c r="AG21" i="5"/>
  <c r="AK21" i="5" s="1"/>
  <c r="AL21" i="5" s="1"/>
  <c r="AF21" i="5"/>
  <c r="AD21" i="5"/>
  <c r="AE21" i="5" s="1"/>
  <c r="AC21" i="5"/>
  <c r="AB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G20" i="5"/>
  <c r="AF20" i="5"/>
  <c r="AD20" i="5"/>
  <c r="AE20" i="5" s="1"/>
  <c r="AB20" i="5"/>
  <c r="AC20" i="5" s="1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I19" i="5"/>
  <c r="AG19" i="5"/>
  <c r="AK19" i="5" s="1"/>
  <c r="AL19" i="5" s="1"/>
  <c r="AF19" i="5"/>
  <c r="AD19" i="5"/>
  <c r="AE19" i="5" s="1"/>
  <c r="AC19" i="5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G18" i="5"/>
  <c r="AB18" i="5"/>
  <c r="AD18" i="5" s="1"/>
  <c r="AE18" i="5" s="1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H17" i="5"/>
  <c r="AG17" i="5"/>
  <c r="AK17" i="5" s="1"/>
  <c r="AL17" i="5" s="1"/>
  <c r="AF17" i="5"/>
  <c r="AD17" i="5"/>
  <c r="AE17" i="5" s="1"/>
  <c r="AC17" i="5"/>
  <c r="AB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L16" i="5"/>
  <c r="AK16" i="5"/>
  <c r="AH16" i="5"/>
  <c r="AG16" i="5"/>
  <c r="AI16" i="5" s="1"/>
  <c r="AF16" i="5"/>
  <c r="AD16" i="5"/>
  <c r="AE16" i="5" s="1"/>
  <c r="AC16" i="5"/>
  <c r="AB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L15" i="5"/>
  <c r="AK15" i="5"/>
  <c r="AI15" i="5"/>
  <c r="AG15" i="5"/>
  <c r="AH15" i="5" s="1"/>
  <c r="AF15" i="5"/>
  <c r="AD15" i="5"/>
  <c r="AE15" i="5" s="1"/>
  <c r="AC15" i="5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K13" i="5"/>
  <c r="AL13" i="5" s="1"/>
  <c r="AI13" i="5"/>
  <c r="AG13" i="5"/>
  <c r="AH13" i="5" s="1"/>
  <c r="AC13" i="5"/>
  <c r="AB13" i="5"/>
  <c r="AF13" i="5" s="1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AA9" i="5"/>
  <c r="Z9" i="5"/>
  <c r="Z59" i="5" s="1"/>
  <c r="X9" i="5"/>
  <c r="X59" i="5" s="1"/>
  <c r="V9" i="5"/>
  <c r="T9" i="5"/>
  <c r="S9" i="5"/>
  <c r="R9" i="5"/>
  <c r="Q9" i="5"/>
  <c r="P9" i="5"/>
  <c r="P59" i="5" s="1"/>
  <c r="O9" i="5"/>
  <c r="N9" i="5"/>
  <c r="M9" i="5"/>
  <c r="L9" i="5"/>
  <c r="L59" i="5" s="1"/>
  <c r="K9" i="5"/>
  <c r="J9" i="5"/>
  <c r="H9" i="5"/>
  <c r="H59" i="5" s="1"/>
  <c r="F9" i="5"/>
  <c r="D9" i="5"/>
  <c r="C9" i="5"/>
  <c r="B9" i="5"/>
  <c r="B59" i="5" s="1"/>
  <c r="AI8" i="5"/>
  <c r="AG8" i="5"/>
  <c r="AK8" i="5" s="1"/>
  <c r="AL8" i="5" s="1"/>
  <c r="AF8" i="5"/>
  <c r="AC8" i="5"/>
  <c r="AB8" i="5"/>
  <c r="AD8" i="5" s="1"/>
  <c r="AE8" i="5" s="1"/>
  <c r="AA8" i="5"/>
  <c r="Y8" i="5"/>
  <c r="W8" i="5"/>
  <c r="U8" i="5"/>
  <c r="S8" i="5"/>
  <c r="Q8" i="5"/>
  <c r="O8" i="5"/>
  <c r="M8" i="5"/>
  <c r="K8" i="5"/>
  <c r="I8" i="5"/>
  <c r="G8" i="5"/>
  <c r="E8" i="5"/>
  <c r="C8" i="5"/>
  <c r="AG7" i="5"/>
  <c r="AF7" i="5"/>
  <c r="AD7" i="5"/>
  <c r="AE7" i="5" s="1"/>
  <c r="AB7" i="5"/>
  <c r="AC7" i="5" s="1"/>
  <c r="AA7" i="5"/>
  <c r="Y7" i="5"/>
  <c r="W7" i="5"/>
  <c r="U7" i="5"/>
  <c r="S7" i="5"/>
  <c r="Q7" i="5"/>
  <c r="O7" i="5"/>
  <c r="M7" i="5"/>
  <c r="K7" i="5"/>
  <c r="I7" i="5"/>
  <c r="G7" i="5"/>
  <c r="E7" i="5"/>
  <c r="C7" i="5"/>
  <c r="AK148" i="4"/>
  <c r="AG148" i="4"/>
  <c r="AI148" i="4" s="1"/>
  <c r="AF148" i="4"/>
  <c r="AB148" i="4"/>
  <c r="AD148" i="4" s="1"/>
  <c r="AE94" i="4" s="1"/>
  <c r="AA145" i="4"/>
  <c r="Z145" i="4"/>
  <c r="X145" i="4"/>
  <c r="V145" i="4"/>
  <c r="W145" i="4" s="1"/>
  <c r="T145" i="4"/>
  <c r="S145" i="4"/>
  <c r="R145" i="4"/>
  <c r="Q145" i="4"/>
  <c r="P145" i="4"/>
  <c r="O145" i="4"/>
  <c r="N145" i="4"/>
  <c r="L145" i="4"/>
  <c r="M145" i="4" s="1"/>
  <c r="K145" i="4"/>
  <c r="J145" i="4"/>
  <c r="H145" i="4"/>
  <c r="I145" i="4" s="1"/>
  <c r="F145" i="4"/>
  <c r="G145" i="4" s="1"/>
  <c r="D145" i="4"/>
  <c r="E145" i="4" s="1"/>
  <c r="C145" i="4"/>
  <c r="B145" i="4"/>
  <c r="AI144" i="4"/>
  <c r="AG144" i="4"/>
  <c r="AK144" i="4" s="1"/>
  <c r="AL144" i="4" s="1"/>
  <c r="AF144" i="4"/>
  <c r="AC144" i="4"/>
  <c r="AB144" i="4"/>
  <c r="AD144" i="4" s="1"/>
  <c r="AE144" i="4" s="1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AG141" i="4"/>
  <c r="AH141" i="4" s="1"/>
  <c r="AA141" i="4"/>
  <c r="Z141" i="4"/>
  <c r="X141" i="4"/>
  <c r="W141" i="4"/>
  <c r="V141" i="4"/>
  <c r="U141" i="4"/>
  <c r="T141" i="4"/>
  <c r="S141" i="4"/>
  <c r="R141" i="4"/>
  <c r="Q141" i="4"/>
  <c r="P141" i="4"/>
  <c r="N141" i="4"/>
  <c r="O141" i="4" s="1"/>
  <c r="L141" i="4"/>
  <c r="M141" i="4" s="1"/>
  <c r="K141" i="4"/>
  <c r="J141" i="4"/>
  <c r="H141" i="4"/>
  <c r="I141" i="4" s="1"/>
  <c r="G141" i="4"/>
  <c r="F141" i="4"/>
  <c r="E141" i="4"/>
  <c r="D141" i="4"/>
  <c r="C141" i="4"/>
  <c r="B141" i="4"/>
  <c r="AL140" i="4"/>
  <c r="AK140" i="4"/>
  <c r="AI140" i="4"/>
  <c r="AG140" i="4"/>
  <c r="AH140" i="4" s="1"/>
  <c r="AC140" i="4"/>
  <c r="AB140" i="4"/>
  <c r="AF140" i="4" s="1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Z135" i="4"/>
  <c r="AA135" i="4" s="1"/>
  <c r="Y135" i="4"/>
  <c r="X135" i="4"/>
  <c r="W135" i="4"/>
  <c r="V135" i="4"/>
  <c r="U135" i="4"/>
  <c r="T135" i="4"/>
  <c r="S135" i="4"/>
  <c r="R135" i="4"/>
  <c r="AB135" i="4" s="1"/>
  <c r="P135" i="4"/>
  <c r="Q135" i="4" s="1"/>
  <c r="N135" i="4"/>
  <c r="O135" i="4" s="1"/>
  <c r="M135" i="4"/>
  <c r="L135" i="4"/>
  <c r="J135" i="4"/>
  <c r="I135" i="4"/>
  <c r="H135" i="4"/>
  <c r="G135" i="4"/>
  <c r="F135" i="4"/>
  <c r="E135" i="4"/>
  <c r="D135" i="4"/>
  <c r="C135" i="4"/>
  <c r="B135" i="4"/>
  <c r="AK134" i="4"/>
  <c r="AL134" i="4" s="1"/>
  <c r="AI134" i="4"/>
  <c r="AJ134" i="4" s="1"/>
  <c r="AH134" i="4"/>
  <c r="AG134" i="4"/>
  <c r="AD134" i="4"/>
  <c r="AB134" i="4"/>
  <c r="AF134" i="4" s="1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I133" i="4"/>
  <c r="AH133" i="4"/>
  <c r="AG133" i="4"/>
  <c r="AK133" i="4" s="1"/>
  <c r="AL133" i="4" s="1"/>
  <c r="AF133" i="4"/>
  <c r="AC133" i="4"/>
  <c r="AB133" i="4"/>
  <c r="AD133" i="4" s="1"/>
  <c r="AE133" i="4" s="1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K132" i="4"/>
  <c r="AL132" i="4" s="1"/>
  <c r="AI132" i="4"/>
  <c r="AJ132" i="4" s="1"/>
  <c r="AH132" i="4"/>
  <c r="AG132" i="4"/>
  <c r="AE132" i="4"/>
  <c r="AD132" i="4"/>
  <c r="AB132" i="4"/>
  <c r="AF132" i="4" s="1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I131" i="4"/>
  <c r="AH131" i="4"/>
  <c r="AG131" i="4"/>
  <c r="AK131" i="4" s="1"/>
  <c r="AL131" i="4" s="1"/>
  <c r="AF131" i="4"/>
  <c r="AC131" i="4"/>
  <c r="AB131" i="4"/>
  <c r="AD131" i="4" s="1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K130" i="4"/>
  <c r="AL130" i="4" s="1"/>
  <c r="AI130" i="4"/>
  <c r="AH130" i="4"/>
  <c r="AG130" i="4"/>
  <c r="AD130" i="4"/>
  <c r="AB130" i="4"/>
  <c r="AF130" i="4" s="1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I129" i="4"/>
  <c r="AH129" i="4"/>
  <c r="AG129" i="4"/>
  <c r="AK129" i="4" s="1"/>
  <c r="AL129" i="4" s="1"/>
  <c r="AF129" i="4"/>
  <c r="AC129" i="4"/>
  <c r="AB129" i="4"/>
  <c r="AD129" i="4" s="1"/>
  <c r="AE129" i="4" s="1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K128" i="4"/>
  <c r="AL128" i="4" s="1"/>
  <c r="AI128" i="4"/>
  <c r="AJ128" i="4" s="1"/>
  <c r="AH128" i="4"/>
  <c r="AG128" i="4"/>
  <c r="AE128" i="4"/>
  <c r="AD128" i="4"/>
  <c r="AB128" i="4"/>
  <c r="AF128" i="4" s="1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I127" i="4"/>
  <c r="AJ127" i="4" s="1"/>
  <c r="AH127" i="4"/>
  <c r="AG127" i="4"/>
  <c r="AK127" i="4" s="1"/>
  <c r="AL127" i="4" s="1"/>
  <c r="AF127" i="4"/>
  <c r="AC127" i="4"/>
  <c r="AB127" i="4"/>
  <c r="AD127" i="4" s="1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K126" i="4"/>
  <c r="AL126" i="4" s="1"/>
  <c r="AI126" i="4"/>
  <c r="AH126" i="4"/>
  <c r="AG126" i="4"/>
  <c r="AB126" i="4"/>
  <c r="AF126" i="4" s="1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I125" i="4"/>
  <c r="AH125" i="4"/>
  <c r="AG125" i="4"/>
  <c r="AK125" i="4" s="1"/>
  <c r="AL125" i="4" s="1"/>
  <c r="AF125" i="4"/>
  <c r="AC125" i="4"/>
  <c r="AB125" i="4"/>
  <c r="AD125" i="4" s="1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K124" i="4"/>
  <c r="AL124" i="4" s="1"/>
  <c r="AI124" i="4"/>
  <c r="AH124" i="4"/>
  <c r="AG124" i="4"/>
  <c r="AB124" i="4"/>
  <c r="AF124" i="4" s="1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I123" i="4"/>
  <c r="AH123" i="4"/>
  <c r="AG123" i="4"/>
  <c r="AK123" i="4" s="1"/>
  <c r="AL123" i="4" s="1"/>
  <c r="AF123" i="4"/>
  <c r="AC123" i="4"/>
  <c r="AB123" i="4"/>
  <c r="AD123" i="4" s="1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K122" i="4"/>
  <c r="AL122" i="4" s="1"/>
  <c r="AI122" i="4"/>
  <c r="AJ122" i="4" s="1"/>
  <c r="AH122" i="4"/>
  <c r="AG122" i="4"/>
  <c r="AB122" i="4"/>
  <c r="AF122" i="4" s="1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I121" i="4"/>
  <c r="AJ121" i="4" s="1"/>
  <c r="AH121" i="4"/>
  <c r="AG121" i="4"/>
  <c r="AK121" i="4" s="1"/>
  <c r="AL121" i="4" s="1"/>
  <c r="AF121" i="4"/>
  <c r="AC121" i="4"/>
  <c r="AB121" i="4"/>
  <c r="AD121" i="4" s="1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K120" i="4"/>
  <c r="AL120" i="4" s="1"/>
  <c r="AI120" i="4"/>
  <c r="AH120" i="4"/>
  <c r="AG120" i="4"/>
  <c r="AB120" i="4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J119" i="4"/>
  <c r="AI119" i="4"/>
  <c r="AH119" i="4"/>
  <c r="AG119" i="4"/>
  <c r="AK119" i="4" s="1"/>
  <c r="AL119" i="4" s="1"/>
  <c r="AF119" i="4"/>
  <c r="AC119" i="4"/>
  <c r="AB119" i="4"/>
  <c r="AD119" i="4" s="1"/>
  <c r="AE119" i="4" s="1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K118" i="4"/>
  <c r="AL118" i="4" s="1"/>
  <c r="AI118" i="4"/>
  <c r="AJ118" i="4" s="1"/>
  <c r="AH118" i="4"/>
  <c r="AG118" i="4"/>
  <c r="AB118" i="4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J117" i="4"/>
  <c r="AI117" i="4"/>
  <c r="AH117" i="4"/>
  <c r="AG117" i="4"/>
  <c r="AK117" i="4" s="1"/>
  <c r="AL117" i="4" s="1"/>
  <c r="AF117" i="4"/>
  <c r="AC117" i="4"/>
  <c r="AB117" i="4"/>
  <c r="AD117" i="4" s="1"/>
  <c r="AE117" i="4" s="1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K116" i="4"/>
  <c r="AL116" i="4" s="1"/>
  <c r="AI116" i="4"/>
  <c r="AJ116" i="4" s="1"/>
  <c r="AH116" i="4"/>
  <c r="AG116" i="4"/>
  <c r="AB116" i="4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J115" i="4"/>
  <c r="AI115" i="4"/>
  <c r="AH115" i="4"/>
  <c r="AG115" i="4"/>
  <c r="AK115" i="4" s="1"/>
  <c r="AL115" i="4" s="1"/>
  <c r="AF115" i="4"/>
  <c r="AC115" i="4"/>
  <c r="AB115" i="4"/>
  <c r="AD115" i="4" s="1"/>
  <c r="AE115" i="4" s="1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K114" i="4"/>
  <c r="AL114" i="4" s="1"/>
  <c r="AI114" i="4"/>
  <c r="AJ114" i="4" s="1"/>
  <c r="AH114" i="4"/>
  <c r="AG114" i="4"/>
  <c r="AD114" i="4"/>
  <c r="AE114" i="4" s="1"/>
  <c r="AB114" i="4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L113" i="4"/>
  <c r="AJ113" i="4"/>
  <c r="AI113" i="4"/>
  <c r="AH113" i="4"/>
  <c r="AG113" i="4"/>
  <c r="AK113" i="4" s="1"/>
  <c r="AF113" i="4"/>
  <c r="AC113" i="4"/>
  <c r="AB113" i="4"/>
  <c r="AD113" i="4" s="1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K112" i="4"/>
  <c r="AL112" i="4" s="1"/>
  <c r="AI112" i="4"/>
  <c r="AJ112" i="4" s="1"/>
  <c r="AH112" i="4"/>
  <c r="AG112" i="4"/>
  <c r="AB112" i="4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I111" i="4"/>
  <c r="AJ111" i="4" s="1"/>
  <c r="AH111" i="4"/>
  <c r="AG111" i="4"/>
  <c r="AK111" i="4" s="1"/>
  <c r="AL111" i="4" s="1"/>
  <c r="AF111" i="4"/>
  <c r="AC111" i="4"/>
  <c r="AB111" i="4"/>
  <c r="AD111" i="4" s="1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K110" i="4"/>
  <c r="AL110" i="4" s="1"/>
  <c r="AI110" i="4"/>
  <c r="AJ110" i="4" s="1"/>
  <c r="AH110" i="4"/>
  <c r="AG110" i="4"/>
  <c r="AB110" i="4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AA105" i="4"/>
  <c r="Z105" i="4"/>
  <c r="Y105" i="4"/>
  <c r="X105" i="4"/>
  <c r="V105" i="4"/>
  <c r="W105" i="4" s="1"/>
  <c r="T105" i="4"/>
  <c r="U105" i="4" s="1"/>
  <c r="R105" i="4"/>
  <c r="S105" i="4" s="1"/>
  <c r="P105" i="4"/>
  <c r="Q105" i="4" s="1"/>
  <c r="O105" i="4"/>
  <c r="N105" i="4"/>
  <c r="L105" i="4"/>
  <c r="M105" i="4" s="1"/>
  <c r="K105" i="4"/>
  <c r="J105" i="4"/>
  <c r="H105" i="4"/>
  <c r="I105" i="4" s="1"/>
  <c r="F105" i="4"/>
  <c r="G105" i="4" s="1"/>
  <c r="E105" i="4"/>
  <c r="D105" i="4"/>
  <c r="B105" i="4"/>
  <c r="C105" i="4" s="1"/>
  <c r="AG104" i="4"/>
  <c r="AF104" i="4"/>
  <c r="AD104" i="4"/>
  <c r="AE104" i="4" s="1"/>
  <c r="AB104" i="4"/>
  <c r="AC104" i="4" s="1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Z99" i="4"/>
  <c r="AA99" i="4" s="1"/>
  <c r="X99" i="4"/>
  <c r="V99" i="4"/>
  <c r="W99" i="4" s="1"/>
  <c r="T99" i="4"/>
  <c r="U99" i="4" s="1"/>
  <c r="R99" i="4"/>
  <c r="Q99" i="4"/>
  <c r="P99" i="4"/>
  <c r="N99" i="4"/>
  <c r="O99" i="4" s="1"/>
  <c r="M99" i="4"/>
  <c r="L99" i="4"/>
  <c r="J99" i="4"/>
  <c r="I99" i="4"/>
  <c r="H99" i="4"/>
  <c r="G99" i="4"/>
  <c r="F99" i="4"/>
  <c r="D99" i="4"/>
  <c r="E99" i="4" s="1"/>
  <c r="B99" i="4"/>
  <c r="C99" i="4" s="1"/>
  <c r="AL98" i="4"/>
  <c r="AK98" i="4"/>
  <c r="AI98" i="4"/>
  <c r="AJ98" i="4" s="1"/>
  <c r="AH98" i="4"/>
  <c r="AG98" i="4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K97" i="4"/>
  <c r="AL97" i="4" s="1"/>
  <c r="AI97" i="4"/>
  <c r="AJ97" i="4" s="1"/>
  <c r="AG97" i="4"/>
  <c r="AH97" i="4" s="1"/>
  <c r="AE97" i="4"/>
  <c r="AD97" i="4"/>
  <c r="AC97" i="4"/>
  <c r="AB97" i="4"/>
  <c r="AF97" i="4" s="1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K96" i="4"/>
  <c r="AL96" i="4" s="1"/>
  <c r="AI96" i="4"/>
  <c r="AJ96" i="4" s="1"/>
  <c r="AH96" i="4"/>
  <c r="AG96" i="4"/>
  <c r="AF96" i="4"/>
  <c r="AB96" i="4"/>
  <c r="AD96" i="4" s="1"/>
  <c r="AE96" i="4" s="1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G95" i="4"/>
  <c r="AH95" i="4" s="1"/>
  <c r="AD95" i="4"/>
  <c r="AE95" i="4" s="1"/>
  <c r="AC95" i="4"/>
  <c r="AB95" i="4"/>
  <c r="AF95" i="4" s="1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L94" i="4"/>
  <c r="AK94" i="4"/>
  <c r="AI94" i="4"/>
  <c r="AJ94" i="4" s="1"/>
  <c r="AH94" i="4"/>
  <c r="AG94" i="4"/>
  <c r="AD94" i="4"/>
  <c r="AC94" i="4"/>
  <c r="AB94" i="4"/>
  <c r="AF94" i="4" s="1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K93" i="4"/>
  <c r="AL93" i="4" s="1"/>
  <c r="AG93" i="4"/>
  <c r="AH93" i="4" s="1"/>
  <c r="AD93" i="4"/>
  <c r="AE93" i="4" s="1"/>
  <c r="AC93" i="4"/>
  <c r="AB93" i="4"/>
  <c r="AF93" i="4" s="1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K92" i="4"/>
  <c r="AL92" i="4" s="1"/>
  <c r="AI92" i="4"/>
  <c r="AJ92" i="4" s="1"/>
  <c r="AH92" i="4"/>
  <c r="AG92" i="4"/>
  <c r="AF92" i="4"/>
  <c r="AD92" i="4"/>
  <c r="AE92" i="4" s="1"/>
  <c r="AB92" i="4"/>
  <c r="AC92" i="4" s="1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G91" i="4"/>
  <c r="AH91" i="4" s="1"/>
  <c r="AD91" i="4"/>
  <c r="AC91" i="4"/>
  <c r="AB91" i="4"/>
  <c r="AF91" i="4" s="1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K90" i="4"/>
  <c r="AL90" i="4" s="1"/>
  <c r="AI90" i="4"/>
  <c r="AJ90" i="4" s="1"/>
  <c r="AH90" i="4"/>
  <c r="AG90" i="4"/>
  <c r="AF90" i="4"/>
  <c r="AE90" i="4"/>
  <c r="AD90" i="4"/>
  <c r="AC90" i="4"/>
  <c r="AB90" i="4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Z85" i="4"/>
  <c r="AA85" i="4" s="1"/>
  <c r="X85" i="4"/>
  <c r="V85" i="4"/>
  <c r="W85" i="4" s="1"/>
  <c r="T85" i="4"/>
  <c r="U85" i="4" s="1"/>
  <c r="R85" i="4"/>
  <c r="AB85" i="4" s="1"/>
  <c r="AC85" i="4" s="1"/>
  <c r="P85" i="4"/>
  <c r="Q85" i="4" s="1"/>
  <c r="N85" i="4"/>
  <c r="O85" i="4" s="1"/>
  <c r="L85" i="4"/>
  <c r="M85" i="4" s="1"/>
  <c r="K85" i="4"/>
  <c r="J85" i="4"/>
  <c r="AG85" i="4" s="1"/>
  <c r="AH85" i="4" s="1"/>
  <c r="H85" i="4"/>
  <c r="I85" i="4" s="1"/>
  <c r="F85" i="4"/>
  <c r="G85" i="4" s="1"/>
  <c r="D85" i="4"/>
  <c r="E85" i="4" s="1"/>
  <c r="C85" i="4"/>
  <c r="B85" i="4"/>
  <c r="AA84" i="4"/>
  <c r="Z84" i="4"/>
  <c r="X84" i="4"/>
  <c r="V84" i="4"/>
  <c r="W84" i="4" s="1"/>
  <c r="T84" i="4"/>
  <c r="U84" i="4" s="1"/>
  <c r="R84" i="4"/>
  <c r="P84" i="4"/>
  <c r="Q84" i="4" s="1"/>
  <c r="N84" i="4"/>
  <c r="AG84" i="4" s="1"/>
  <c r="AH84" i="4" s="1"/>
  <c r="M84" i="4"/>
  <c r="L84" i="4"/>
  <c r="K84" i="4"/>
  <c r="J84" i="4"/>
  <c r="H84" i="4"/>
  <c r="I84" i="4" s="1"/>
  <c r="G84" i="4"/>
  <c r="F84" i="4"/>
  <c r="D84" i="4"/>
  <c r="E84" i="4" s="1"/>
  <c r="B84" i="4"/>
  <c r="C84" i="4" s="1"/>
  <c r="AK83" i="4"/>
  <c r="AL83" i="4" s="1"/>
  <c r="AI83" i="4"/>
  <c r="AJ83" i="4" s="1"/>
  <c r="AH83" i="4"/>
  <c r="AG83" i="4"/>
  <c r="AB83" i="4"/>
  <c r="AF83" i="4" s="1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K82" i="4"/>
  <c r="AL82" i="4" s="1"/>
  <c r="AI82" i="4"/>
  <c r="AJ82" i="4" s="1"/>
  <c r="AH82" i="4"/>
  <c r="AG82" i="4"/>
  <c r="AF82" i="4"/>
  <c r="AD82" i="4"/>
  <c r="AE82" i="4" s="1"/>
  <c r="AB82" i="4"/>
  <c r="AC82" i="4" s="1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Z81" i="4"/>
  <c r="AA81" i="4" s="1"/>
  <c r="X81" i="4"/>
  <c r="V81" i="4"/>
  <c r="W81" i="4" s="1"/>
  <c r="T81" i="4"/>
  <c r="U81" i="4" s="1"/>
  <c r="R81" i="4"/>
  <c r="S81" i="4" s="1"/>
  <c r="P81" i="4"/>
  <c r="Q81" i="4" s="1"/>
  <c r="N81" i="4"/>
  <c r="O81" i="4" s="1"/>
  <c r="M81" i="4"/>
  <c r="L81" i="4"/>
  <c r="J81" i="4"/>
  <c r="H81" i="4"/>
  <c r="I81" i="4" s="1"/>
  <c r="F81" i="4"/>
  <c r="G81" i="4" s="1"/>
  <c r="D81" i="4"/>
  <c r="E81" i="4" s="1"/>
  <c r="B81" i="4"/>
  <c r="C81" i="4" s="1"/>
  <c r="AG80" i="4"/>
  <c r="AK80" i="4" s="1"/>
  <c r="AL80" i="4" s="1"/>
  <c r="AB80" i="4"/>
  <c r="AF80" i="4" s="1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G79" i="4"/>
  <c r="AF79" i="4"/>
  <c r="AE79" i="4"/>
  <c r="AD79" i="4"/>
  <c r="AC79" i="4"/>
  <c r="AB79" i="4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I78" i="4"/>
  <c r="AJ78" i="4" s="1"/>
  <c r="AG78" i="4"/>
  <c r="AK78" i="4" s="1"/>
  <c r="AL78" i="4" s="1"/>
  <c r="AB78" i="4"/>
  <c r="AF78" i="4" s="1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G77" i="4"/>
  <c r="AK77" i="4" s="1"/>
  <c r="AL77" i="4" s="1"/>
  <c r="AF77" i="4"/>
  <c r="AE77" i="4"/>
  <c r="AD77" i="4"/>
  <c r="AC77" i="4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I76" i="4"/>
  <c r="AJ76" i="4" s="1"/>
  <c r="AG76" i="4"/>
  <c r="AH76" i="4" s="1"/>
  <c r="AE76" i="4"/>
  <c r="AD76" i="4"/>
  <c r="AC76" i="4"/>
  <c r="AB76" i="4"/>
  <c r="AF76" i="4" s="1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K75" i="4"/>
  <c r="AL75" i="4" s="1"/>
  <c r="AG75" i="4"/>
  <c r="AI75" i="4" s="1"/>
  <c r="AJ75" i="4" s="1"/>
  <c r="AF75" i="4"/>
  <c r="AE75" i="4"/>
  <c r="AD75" i="4"/>
  <c r="AC75" i="4"/>
  <c r="AB75" i="4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K74" i="4"/>
  <c r="AL74" i="4" s="1"/>
  <c r="AI74" i="4"/>
  <c r="AJ74" i="4" s="1"/>
  <c r="AG74" i="4"/>
  <c r="AH74" i="4" s="1"/>
  <c r="AC74" i="4"/>
  <c r="AB74" i="4"/>
  <c r="AF74" i="4" s="1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K72" i="4"/>
  <c r="AL72" i="4" s="1"/>
  <c r="AI72" i="4"/>
  <c r="AJ72" i="4" s="1"/>
  <c r="AG72" i="4"/>
  <c r="AH72" i="4" s="1"/>
  <c r="AF72" i="4"/>
  <c r="AD72" i="4"/>
  <c r="AE72" i="4" s="1"/>
  <c r="AC72" i="4"/>
  <c r="AB72" i="4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K71" i="4"/>
  <c r="AL71" i="4" s="1"/>
  <c r="AI71" i="4"/>
  <c r="AJ71" i="4" s="1"/>
  <c r="AH71" i="4"/>
  <c r="AG71" i="4"/>
  <c r="AF71" i="4"/>
  <c r="AD71" i="4"/>
  <c r="AE71" i="4" s="1"/>
  <c r="AB71" i="4"/>
  <c r="AC71" i="4" s="1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AC70" i="4"/>
  <c r="Z70" i="4"/>
  <c r="AA70" i="4" s="1"/>
  <c r="Y70" i="4"/>
  <c r="X70" i="4"/>
  <c r="W70" i="4"/>
  <c r="V70" i="4"/>
  <c r="U70" i="4"/>
  <c r="T70" i="4"/>
  <c r="S70" i="4"/>
  <c r="R70" i="4"/>
  <c r="AB70" i="4" s="1"/>
  <c r="Q70" i="4"/>
  <c r="P70" i="4"/>
  <c r="N70" i="4"/>
  <c r="O70" i="4" s="1"/>
  <c r="M70" i="4"/>
  <c r="L70" i="4"/>
  <c r="J70" i="4"/>
  <c r="I70" i="4"/>
  <c r="H70" i="4"/>
  <c r="G70" i="4"/>
  <c r="F70" i="4"/>
  <c r="E70" i="4"/>
  <c r="D70" i="4"/>
  <c r="C70" i="4"/>
  <c r="B70" i="4"/>
  <c r="AL69" i="4"/>
  <c r="AK69" i="4"/>
  <c r="AI69" i="4"/>
  <c r="AJ69" i="4" s="1"/>
  <c r="AH69" i="4"/>
  <c r="AG69" i="4"/>
  <c r="AE69" i="4"/>
  <c r="AD69" i="4"/>
  <c r="AB69" i="4"/>
  <c r="AF69" i="4" s="1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L68" i="4"/>
  <c r="AK68" i="4"/>
  <c r="AH68" i="4"/>
  <c r="AG68" i="4"/>
  <c r="AI68" i="4" s="1"/>
  <c r="AJ68" i="4" s="1"/>
  <c r="AF68" i="4"/>
  <c r="AD68" i="4"/>
  <c r="AE68" i="4" s="1"/>
  <c r="AB68" i="4"/>
  <c r="AC68" i="4" s="1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L67" i="4"/>
  <c r="AK67" i="4"/>
  <c r="AI67" i="4"/>
  <c r="AJ67" i="4" s="1"/>
  <c r="AH67" i="4"/>
  <c r="AG67" i="4"/>
  <c r="AE67" i="4"/>
  <c r="AD67" i="4"/>
  <c r="AB67" i="4"/>
  <c r="AF67" i="4" s="1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L66" i="4"/>
  <c r="AK66" i="4"/>
  <c r="AH66" i="4"/>
  <c r="AG66" i="4"/>
  <c r="AI66" i="4" s="1"/>
  <c r="AJ66" i="4" s="1"/>
  <c r="AF66" i="4"/>
  <c r="AD66" i="4"/>
  <c r="AE66" i="4" s="1"/>
  <c r="AB66" i="4"/>
  <c r="AC66" i="4" s="1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L65" i="4"/>
  <c r="AK65" i="4"/>
  <c r="AJ65" i="4"/>
  <c r="AI65" i="4"/>
  <c r="AH65" i="4"/>
  <c r="AG65" i="4"/>
  <c r="AD65" i="4"/>
  <c r="AE65" i="4" s="1"/>
  <c r="AB65" i="4"/>
  <c r="AF65" i="4" s="1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L63" i="4"/>
  <c r="AK63" i="4"/>
  <c r="AH63" i="4"/>
  <c r="AG63" i="4"/>
  <c r="AI63" i="4" s="1"/>
  <c r="AJ63" i="4" s="1"/>
  <c r="AF63" i="4"/>
  <c r="AD63" i="4"/>
  <c r="AE63" i="4" s="1"/>
  <c r="AB63" i="4"/>
  <c r="AC63" i="4" s="1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AA57" i="4"/>
  <c r="Z57" i="4"/>
  <c r="X57" i="4"/>
  <c r="V57" i="4"/>
  <c r="W57" i="4" s="1"/>
  <c r="T57" i="4"/>
  <c r="S57" i="4"/>
  <c r="R57" i="4"/>
  <c r="Q57" i="4"/>
  <c r="P57" i="4"/>
  <c r="O57" i="4"/>
  <c r="N57" i="4"/>
  <c r="L57" i="4"/>
  <c r="M57" i="4" s="1"/>
  <c r="K57" i="4"/>
  <c r="J57" i="4"/>
  <c r="H57" i="4"/>
  <c r="I57" i="4" s="1"/>
  <c r="F57" i="4"/>
  <c r="G57" i="4" s="1"/>
  <c r="D57" i="4"/>
  <c r="E57" i="4" s="1"/>
  <c r="C57" i="4"/>
  <c r="B57" i="4"/>
  <c r="Z56" i="4"/>
  <c r="AA56" i="4" s="1"/>
  <c r="Y56" i="4"/>
  <c r="X56" i="4"/>
  <c r="V56" i="4"/>
  <c r="W56" i="4" s="1"/>
  <c r="T56" i="4"/>
  <c r="U56" i="4" s="1"/>
  <c r="R56" i="4"/>
  <c r="S56" i="4" s="1"/>
  <c r="P56" i="4"/>
  <c r="Q56" i="4" s="1"/>
  <c r="O56" i="4"/>
  <c r="N56" i="4"/>
  <c r="M56" i="4"/>
  <c r="L56" i="4"/>
  <c r="J56" i="4"/>
  <c r="I56" i="4"/>
  <c r="H56" i="4"/>
  <c r="F56" i="4"/>
  <c r="G56" i="4" s="1"/>
  <c r="D56" i="4"/>
  <c r="E56" i="4" s="1"/>
  <c r="B56" i="4"/>
  <c r="C56" i="4" s="1"/>
  <c r="AK55" i="4"/>
  <c r="AL55" i="4" s="1"/>
  <c r="AJ55" i="4"/>
  <c r="AI55" i="4"/>
  <c r="AH55" i="4"/>
  <c r="AG55" i="4"/>
  <c r="AF55" i="4"/>
  <c r="AD55" i="4"/>
  <c r="AE55" i="4" s="1"/>
  <c r="AC55" i="4"/>
  <c r="AB55" i="4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K54" i="4"/>
  <c r="AL54" i="4" s="1"/>
  <c r="AI54" i="4"/>
  <c r="AJ54" i="4" s="1"/>
  <c r="AG54" i="4"/>
  <c r="AH54" i="4" s="1"/>
  <c r="AD54" i="4"/>
  <c r="AE54" i="4" s="1"/>
  <c r="AC54" i="4"/>
  <c r="AB54" i="4"/>
  <c r="AF54" i="4" s="1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K53" i="4"/>
  <c r="AL53" i="4" s="1"/>
  <c r="AJ53" i="4"/>
  <c r="AI53" i="4"/>
  <c r="AH53" i="4"/>
  <c r="AG53" i="4"/>
  <c r="AF53" i="4"/>
  <c r="AD53" i="4"/>
  <c r="AE53" i="4" s="1"/>
  <c r="AC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Z52" i="4"/>
  <c r="AA52" i="4" s="1"/>
  <c r="X52" i="4"/>
  <c r="V52" i="4"/>
  <c r="U52" i="4"/>
  <c r="T52" i="4"/>
  <c r="S52" i="4"/>
  <c r="R52" i="4"/>
  <c r="Q52" i="4"/>
  <c r="P52" i="4"/>
  <c r="N52" i="4"/>
  <c r="O52" i="4" s="1"/>
  <c r="M52" i="4"/>
  <c r="L52" i="4"/>
  <c r="J52" i="4"/>
  <c r="K52" i="4" s="1"/>
  <c r="H52" i="4"/>
  <c r="I52" i="4" s="1"/>
  <c r="F52" i="4"/>
  <c r="G52" i="4" s="1"/>
  <c r="E52" i="4"/>
  <c r="D52" i="4"/>
  <c r="C52" i="4"/>
  <c r="B52" i="4"/>
  <c r="AI51" i="4"/>
  <c r="AJ51" i="4" s="1"/>
  <c r="AH51" i="4"/>
  <c r="AG51" i="4"/>
  <c r="AK51" i="4" s="1"/>
  <c r="AL51" i="4" s="1"/>
  <c r="AB51" i="4"/>
  <c r="AF51" i="4" s="1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K50" i="4"/>
  <c r="AL50" i="4" s="1"/>
  <c r="AI50" i="4"/>
  <c r="AJ50" i="4" s="1"/>
  <c r="AH50" i="4"/>
  <c r="AG50" i="4"/>
  <c r="AF50" i="4"/>
  <c r="AD50" i="4"/>
  <c r="AE50" i="4" s="1"/>
  <c r="AB50" i="4"/>
  <c r="AC50" i="4" s="1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I49" i="4"/>
  <c r="AJ49" i="4" s="1"/>
  <c r="AH49" i="4"/>
  <c r="AG49" i="4"/>
  <c r="AK49" i="4" s="1"/>
  <c r="AL49" i="4" s="1"/>
  <c r="AB49" i="4"/>
  <c r="AF49" i="4" s="1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K48" i="4"/>
  <c r="AL48" i="4" s="1"/>
  <c r="AI48" i="4"/>
  <c r="AJ48" i="4" s="1"/>
  <c r="AH48" i="4"/>
  <c r="AG48" i="4"/>
  <c r="AF48" i="4"/>
  <c r="AD48" i="4"/>
  <c r="AE48" i="4" s="1"/>
  <c r="AB48" i="4"/>
  <c r="AC48" i="4" s="1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I47" i="4"/>
  <c r="AJ47" i="4" s="1"/>
  <c r="AH47" i="4"/>
  <c r="AG47" i="4"/>
  <c r="AK47" i="4" s="1"/>
  <c r="AL47" i="4" s="1"/>
  <c r="AB47" i="4"/>
  <c r="AF47" i="4" s="1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I46" i="4"/>
  <c r="AJ46" i="4" s="1"/>
  <c r="AH46" i="4"/>
  <c r="AG46" i="4"/>
  <c r="AK46" i="4" s="1"/>
  <c r="AL46" i="4" s="1"/>
  <c r="AF46" i="4"/>
  <c r="AD46" i="4"/>
  <c r="AE46" i="4" s="1"/>
  <c r="AB46" i="4"/>
  <c r="AC46" i="4" s="1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Z44" i="4"/>
  <c r="AA44" i="4" s="1"/>
  <c r="X44" i="4"/>
  <c r="V44" i="4"/>
  <c r="W44" i="4" s="1"/>
  <c r="T44" i="4"/>
  <c r="U44" i="4" s="1"/>
  <c r="R44" i="4"/>
  <c r="S44" i="4" s="1"/>
  <c r="Q44" i="4"/>
  <c r="P44" i="4"/>
  <c r="O44" i="4"/>
  <c r="N44" i="4"/>
  <c r="L44" i="4"/>
  <c r="M44" i="4" s="1"/>
  <c r="J44" i="4"/>
  <c r="H44" i="4"/>
  <c r="I44" i="4" s="1"/>
  <c r="F44" i="4"/>
  <c r="G44" i="4" s="1"/>
  <c r="D44" i="4"/>
  <c r="E44" i="4" s="1"/>
  <c r="B44" i="4"/>
  <c r="C44" i="4" s="1"/>
  <c r="AG43" i="4"/>
  <c r="AK43" i="4" s="1"/>
  <c r="AL43" i="4" s="1"/>
  <c r="AF43" i="4"/>
  <c r="AE43" i="4"/>
  <c r="AD43" i="4"/>
  <c r="AC43" i="4"/>
  <c r="AB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K42" i="4"/>
  <c r="AL42" i="4" s="1"/>
  <c r="AI42" i="4"/>
  <c r="AJ42" i="4" s="1"/>
  <c r="AG42" i="4"/>
  <c r="AH42" i="4" s="1"/>
  <c r="AB42" i="4"/>
  <c r="AF42" i="4" s="1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G41" i="4"/>
  <c r="AK41" i="4" s="1"/>
  <c r="AL41" i="4" s="1"/>
  <c r="AF41" i="4"/>
  <c r="AE41" i="4"/>
  <c r="AD41" i="4"/>
  <c r="AC41" i="4"/>
  <c r="AB41" i="4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K40" i="4"/>
  <c r="AL40" i="4" s="1"/>
  <c r="AI40" i="4"/>
  <c r="AJ40" i="4" s="1"/>
  <c r="AG40" i="4"/>
  <c r="AH40" i="4" s="1"/>
  <c r="AB40" i="4"/>
  <c r="AF40" i="4" s="1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G39" i="4"/>
  <c r="AK39" i="4" s="1"/>
  <c r="AL39" i="4" s="1"/>
  <c r="AF39" i="4"/>
  <c r="AE39" i="4"/>
  <c r="AD39" i="4"/>
  <c r="AC39" i="4"/>
  <c r="AB39" i="4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K37" i="4"/>
  <c r="AL37" i="4" s="1"/>
  <c r="AI37" i="4"/>
  <c r="AJ37" i="4" s="1"/>
  <c r="AG37" i="4"/>
  <c r="AH37" i="4" s="1"/>
  <c r="AB37" i="4"/>
  <c r="AF37" i="4" s="1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AG35" i="4"/>
  <c r="AH35" i="4" s="1"/>
  <c r="AA35" i="4"/>
  <c r="Z35" i="4"/>
  <c r="X35" i="4"/>
  <c r="Y35" i="4" s="1"/>
  <c r="W35" i="4"/>
  <c r="V35" i="4"/>
  <c r="T35" i="4"/>
  <c r="U35" i="4" s="1"/>
  <c r="R35" i="4"/>
  <c r="AB35" i="4" s="1"/>
  <c r="AC35" i="4" s="1"/>
  <c r="Q35" i="4"/>
  <c r="P35" i="4"/>
  <c r="O35" i="4"/>
  <c r="N35" i="4"/>
  <c r="M35" i="4"/>
  <c r="L35" i="4"/>
  <c r="K35" i="4"/>
  <c r="J35" i="4"/>
  <c r="H35" i="4"/>
  <c r="I35" i="4" s="1"/>
  <c r="G35" i="4"/>
  <c r="F35" i="4"/>
  <c r="D35" i="4"/>
  <c r="E35" i="4" s="1"/>
  <c r="B35" i="4"/>
  <c r="C35" i="4" s="1"/>
  <c r="AA34" i="4"/>
  <c r="Z34" i="4"/>
  <c r="Y34" i="4"/>
  <c r="X34" i="4"/>
  <c r="V34" i="4"/>
  <c r="W34" i="4" s="1"/>
  <c r="U34" i="4"/>
  <c r="T34" i="4"/>
  <c r="R34" i="4"/>
  <c r="P34" i="4"/>
  <c r="Q34" i="4" s="1"/>
  <c r="N34" i="4"/>
  <c r="O34" i="4" s="1"/>
  <c r="L34" i="4"/>
  <c r="M34" i="4" s="1"/>
  <c r="K34" i="4"/>
  <c r="J34" i="4"/>
  <c r="I34" i="4"/>
  <c r="H34" i="4"/>
  <c r="F34" i="4"/>
  <c r="G34" i="4" s="1"/>
  <c r="D34" i="4"/>
  <c r="E34" i="4" s="1"/>
  <c r="B34" i="4"/>
  <c r="C34" i="4" s="1"/>
  <c r="AK33" i="4"/>
  <c r="AL33" i="4" s="1"/>
  <c r="AG33" i="4"/>
  <c r="AI33" i="4" s="1"/>
  <c r="AJ33" i="4" s="1"/>
  <c r="AF33" i="4"/>
  <c r="AD33" i="4"/>
  <c r="AE33" i="4" s="1"/>
  <c r="AB33" i="4"/>
  <c r="AC33" i="4" s="1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I32" i="4"/>
  <c r="AJ32" i="4" s="1"/>
  <c r="AG32" i="4"/>
  <c r="AK32" i="4" s="1"/>
  <c r="AL32" i="4" s="1"/>
  <c r="AF32" i="4"/>
  <c r="AC32" i="4"/>
  <c r="AB32" i="4"/>
  <c r="AD32" i="4" s="1"/>
  <c r="AE32" i="4" s="1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G31" i="4"/>
  <c r="AK31" i="4" s="1"/>
  <c r="AL31" i="4" s="1"/>
  <c r="AF31" i="4"/>
  <c r="AD31" i="4"/>
  <c r="AE31" i="4" s="1"/>
  <c r="AB31" i="4"/>
  <c r="AC31" i="4" s="1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G30" i="4"/>
  <c r="AK30" i="4" s="1"/>
  <c r="AL30" i="4" s="1"/>
  <c r="AF30" i="4"/>
  <c r="AC30" i="4"/>
  <c r="AB30" i="4"/>
  <c r="AD30" i="4" s="1"/>
  <c r="AE30" i="4" s="1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G29" i="4"/>
  <c r="AK29" i="4" s="1"/>
  <c r="AL29" i="4" s="1"/>
  <c r="AF29" i="4"/>
  <c r="AD29" i="4"/>
  <c r="AE29" i="4" s="1"/>
  <c r="AB29" i="4"/>
  <c r="AC29" i="4" s="1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AG27" i="4"/>
  <c r="AE27" i="4"/>
  <c r="Z27" i="4"/>
  <c r="AA27" i="4" s="1"/>
  <c r="Y27" i="4"/>
  <c r="X27" i="4"/>
  <c r="AD27" i="4" s="1"/>
  <c r="V27" i="4"/>
  <c r="W27" i="4" s="1"/>
  <c r="T27" i="4"/>
  <c r="U27" i="4" s="1"/>
  <c r="S27" i="4"/>
  <c r="R27" i="4"/>
  <c r="AB27" i="4" s="1"/>
  <c r="AC27" i="4" s="1"/>
  <c r="Q27" i="4"/>
  <c r="P27" i="4"/>
  <c r="O27" i="4"/>
  <c r="N27" i="4"/>
  <c r="M27" i="4"/>
  <c r="L27" i="4"/>
  <c r="J27" i="4"/>
  <c r="K27" i="4" s="1"/>
  <c r="I27" i="4"/>
  <c r="H27" i="4"/>
  <c r="F27" i="4"/>
  <c r="G27" i="4" s="1"/>
  <c r="D27" i="4"/>
  <c r="E27" i="4" s="1"/>
  <c r="C27" i="4"/>
  <c r="B27" i="4"/>
  <c r="AL26" i="4"/>
  <c r="AK26" i="4"/>
  <c r="AH26" i="4"/>
  <c r="AG26" i="4"/>
  <c r="AI26" i="4" s="1"/>
  <c r="AJ26" i="4" s="1"/>
  <c r="AF26" i="4"/>
  <c r="AD26" i="4"/>
  <c r="AE26" i="4" s="1"/>
  <c r="AC26" i="4"/>
  <c r="AB26" i="4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L25" i="4"/>
  <c r="AK25" i="4"/>
  <c r="AI25" i="4"/>
  <c r="AJ25" i="4" s="1"/>
  <c r="AG25" i="4"/>
  <c r="AH25" i="4" s="1"/>
  <c r="AF25" i="4"/>
  <c r="AD25" i="4"/>
  <c r="AE25" i="4" s="1"/>
  <c r="AB25" i="4"/>
  <c r="AC25" i="4" s="1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L24" i="4"/>
  <c r="AK24" i="4"/>
  <c r="AJ24" i="4"/>
  <c r="AH24" i="4"/>
  <c r="AG24" i="4"/>
  <c r="AI24" i="4" s="1"/>
  <c r="AF24" i="4"/>
  <c r="AE24" i="4"/>
  <c r="AD24" i="4"/>
  <c r="AC24" i="4"/>
  <c r="AB24" i="4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L23" i="4"/>
  <c r="AK23" i="4"/>
  <c r="AI23" i="4"/>
  <c r="AJ23" i="4" s="1"/>
  <c r="AG23" i="4"/>
  <c r="AH23" i="4" s="1"/>
  <c r="AB23" i="4"/>
  <c r="AC23" i="4" s="1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L22" i="4"/>
  <c r="AK22" i="4"/>
  <c r="AH22" i="4"/>
  <c r="AG22" i="4"/>
  <c r="AI22" i="4" s="1"/>
  <c r="AJ22" i="4" s="1"/>
  <c r="AF22" i="4"/>
  <c r="AE22" i="4"/>
  <c r="AD22" i="4"/>
  <c r="AC22" i="4"/>
  <c r="AB22" i="4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L21" i="4"/>
  <c r="AK21" i="4"/>
  <c r="AI21" i="4"/>
  <c r="AJ21" i="4" s="1"/>
  <c r="AG21" i="4"/>
  <c r="AH21" i="4" s="1"/>
  <c r="AB21" i="4"/>
  <c r="AC21" i="4" s="1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L20" i="4"/>
  <c r="AK20" i="4"/>
  <c r="AJ20" i="4"/>
  <c r="AH20" i="4"/>
  <c r="AG20" i="4"/>
  <c r="AI20" i="4" s="1"/>
  <c r="AF20" i="4"/>
  <c r="AD20" i="4"/>
  <c r="AE20" i="4" s="1"/>
  <c r="AC20" i="4"/>
  <c r="AB20" i="4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K19" i="4"/>
  <c r="AL19" i="4" s="1"/>
  <c r="AI19" i="4"/>
  <c r="AJ19" i="4" s="1"/>
  <c r="AG19" i="4"/>
  <c r="AH19" i="4" s="1"/>
  <c r="AF19" i="4"/>
  <c r="AB19" i="4"/>
  <c r="AC19" i="4" s="1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L18" i="4"/>
  <c r="AK18" i="4"/>
  <c r="AJ18" i="4"/>
  <c r="AH18" i="4"/>
  <c r="AG18" i="4"/>
  <c r="AI18" i="4" s="1"/>
  <c r="AF18" i="4"/>
  <c r="AE18" i="4"/>
  <c r="AD18" i="4"/>
  <c r="AC18" i="4"/>
  <c r="AB18" i="4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K17" i="4"/>
  <c r="AL17" i="4" s="1"/>
  <c r="AI17" i="4"/>
  <c r="AJ17" i="4" s="1"/>
  <c r="AG17" i="4"/>
  <c r="AH17" i="4" s="1"/>
  <c r="AF17" i="4"/>
  <c r="AE17" i="4"/>
  <c r="AD17" i="4"/>
  <c r="AB17" i="4"/>
  <c r="AC17" i="4" s="1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J16" i="4"/>
  <c r="AH16" i="4"/>
  <c r="AG16" i="4"/>
  <c r="AI16" i="4" s="1"/>
  <c r="AF16" i="4"/>
  <c r="AD16" i="4"/>
  <c r="AE16" i="4" s="1"/>
  <c r="AC16" i="4"/>
  <c r="AB16" i="4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L15" i="4"/>
  <c r="AK15" i="4"/>
  <c r="AI15" i="4"/>
  <c r="AJ15" i="4" s="1"/>
  <c r="AG15" i="4"/>
  <c r="AH15" i="4" s="1"/>
  <c r="AF15" i="4"/>
  <c r="AD15" i="4"/>
  <c r="AE15" i="4" s="1"/>
  <c r="AB15" i="4"/>
  <c r="AC15" i="4" s="1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L13" i="4"/>
  <c r="AK13" i="4"/>
  <c r="AH13" i="4"/>
  <c r="AG13" i="4"/>
  <c r="AI13" i="4" s="1"/>
  <c r="AJ13" i="4" s="1"/>
  <c r="AF13" i="4"/>
  <c r="AE13" i="4"/>
  <c r="AD13" i="4"/>
  <c r="AC13" i="4"/>
  <c r="AB13" i="4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Z9" i="4"/>
  <c r="X9" i="4"/>
  <c r="V9" i="4"/>
  <c r="V59" i="4" s="1"/>
  <c r="W59" i="4" s="1"/>
  <c r="U9" i="4"/>
  <c r="T9" i="4"/>
  <c r="T59" i="4" s="1"/>
  <c r="S9" i="4"/>
  <c r="R9" i="4"/>
  <c r="R59" i="4" s="1"/>
  <c r="P9" i="4"/>
  <c r="O9" i="4"/>
  <c r="N9" i="4"/>
  <c r="N59" i="4" s="1"/>
  <c r="L9" i="4"/>
  <c r="L59" i="4" s="1"/>
  <c r="J9" i="4"/>
  <c r="H9" i="4"/>
  <c r="F9" i="4"/>
  <c r="F59" i="4" s="1"/>
  <c r="E9" i="4"/>
  <c r="D9" i="4"/>
  <c r="D59" i="4" s="1"/>
  <c r="E59" i="4" s="1"/>
  <c r="C9" i="4"/>
  <c r="B9" i="4"/>
  <c r="B59" i="4" s="1"/>
  <c r="AK8" i="4"/>
  <c r="AL8" i="4" s="1"/>
  <c r="AI8" i="4"/>
  <c r="AJ8" i="4" s="1"/>
  <c r="AH8" i="4"/>
  <c r="AG8" i="4"/>
  <c r="AB8" i="4"/>
  <c r="AA8" i="4"/>
  <c r="Y8" i="4"/>
  <c r="W8" i="4"/>
  <c r="U8" i="4"/>
  <c r="S8" i="4"/>
  <c r="Q8" i="4"/>
  <c r="O8" i="4"/>
  <c r="M8" i="4"/>
  <c r="K8" i="4"/>
  <c r="I8" i="4"/>
  <c r="G8" i="4"/>
  <c r="E8" i="4"/>
  <c r="C8" i="4"/>
  <c r="AK7" i="4"/>
  <c r="AL7" i="4" s="1"/>
  <c r="AI7" i="4"/>
  <c r="AJ7" i="4" s="1"/>
  <c r="AH7" i="4"/>
  <c r="AG7" i="4"/>
  <c r="AF7" i="4"/>
  <c r="AC7" i="4"/>
  <c r="AB7" i="4"/>
  <c r="AD7" i="4" s="1"/>
  <c r="AE7" i="4" s="1"/>
  <c r="AA7" i="4"/>
  <c r="Y7" i="4"/>
  <c r="W7" i="4"/>
  <c r="U7" i="4"/>
  <c r="S7" i="4"/>
  <c r="Q7" i="4"/>
  <c r="O7" i="4"/>
  <c r="M7" i="4"/>
  <c r="K7" i="4"/>
  <c r="I7" i="4"/>
  <c r="G7" i="4"/>
  <c r="E7" i="4"/>
  <c r="C7" i="4"/>
  <c r="AG148" i="3"/>
  <c r="AK148" i="3" s="1"/>
  <c r="AL140" i="3" s="1"/>
  <c r="AB148" i="3"/>
  <c r="AF148" i="3" s="1"/>
  <c r="AB145" i="3"/>
  <c r="AF145" i="3" s="1"/>
  <c r="Z145" i="3"/>
  <c r="AA145" i="3" s="1"/>
  <c r="Y145" i="3"/>
  <c r="X145" i="3"/>
  <c r="V145" i="3"/>
  <c r="W145" i="3" s="1"/>
  <c r="U145" i="3"/>
  <c r="T145" i="3"/>
  <c r="S145" i="3"/>
  <c r="R145" i="3"/>
  <c r="P145" i="3"/>
  <c r="Q145" i="3" s="1"/>
  <c r="N145" i="3"/>
  <c r="O145" i="3" s="1"/>
  <c r="L145" i="3"/>
  <c r="M145" i="3" s="1"/>
  <c r="J145" i="3"/>
  <c r="I145" i="3"/>
  <c r="H145" i="3"/>
  <c r="G145" i="3"/>
  <c r="F145" i="3"/>
  <c r="E145" i="3"/>
  <c r="D145" i="3"/>
  <c r="C145" i="3"/>
  <c r="B145" i="3"/>
  <c r="AG144" i="3"/>
  <c r="AK144" i="3" s="1"/>
  <c r="AL144" i="3" s="1"/>
  <c r="AB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AK141" i="3"/>
  <c r="AL141" i="3" s="1"/>
  <c r="Z141" i="3"/>
  <c r="AA141" i="3" s="1"/>
  <c r="Y141" i="3"/>
  <c r="X141" i="3"/>
  <c r="V141" i="3"/>
  <c r="W141" i="3" s="1"/>
  <c r="U141" i="3"/>
  <c r="T141" i="3"/>
  <c r="S141" i="3"/>
  <c r="R141" i="3"/>
  <c r="AB141" i="3" s="1"/>
  <c r="Q141" i="3"/>
  <c r="P141" i="3"/>
  <c r="N141" i="3"/>
  <c r="O141" i="3" s="1"/>
  <c r="M141" i="3"/>
  <c r="L141" i="3"/>
  <c r="J141" i="3"/>
  <c r="AG141" i="3" s="1"/>
  <c r="I141" i="3"/>
  <c r="H141" i="3"/>
  <c r="F141" i="3"/>
  <c r="G141" i="3" s="1"/>
  <c r="D141" i="3"/>
  <c r="E141" i="3" s="1"/>
  <c r="B141" i="3"/>
  <c r="C141" i="3" s="1"/>
  <c r="AK140" i="3"/>
  <c r="AG140" i="3"/>
  <c r="AI140" i="3" s="1"/>
  <c r="AB140" i="3"/>
  <c r="AC140" i="3" s="1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AB135" i="3"/>
  <c r="AF135" i="3" s="1"/>
  <c r="AA135" i="3"/>
  <c r="Z135" i="3"/>
  <c r="X135" i="3"/>
  <c r="Y135" i="3" s="1"/>
  <c r="W135" i="3"/>
  <c r="V135" i="3"/>
  <c r="T135" i="3"/>
  <c r="U135" i="3" s="1"/>
  <c r="S135" i="3"/>
  <c r="R135" i="3"/>
  <c r="P135" i="3"/>
  <c r="Q135" i="3" s="1"/>
  <c r="N135" i="3"/>
  <c r="O135" i="3" s="1"/>
  <c r="L135" i="3"/>
  <c r="M135" i="3" s="1"/>
  <c r="K135" i="3"/>
  <c r="J135" i="3"/>
  <c r="I135" i="3"/>
  <c r="H135" i="3"/>
  <c r="F135" i="3"/>
  <c r="G135" i="3" s="1"/>
  <c r="D135" i="3"/>
  <c r="E135" i="3" s="1"/>
  <c r="B135" i="3"/>
  <c r="C135" i="3" s="1"/>
  <c r="AG134" i="3"/>
  <c r="AF134" i="3"/>
  <c r="AD134" i="3"/>
  <c r="AB134" i="3"/>
  <c r="AC134" i="3" s="1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L133" i="3"/>
  <c r="AK133" i="3"/>
  <c r="AG133" i="3"/>
  <c r="AI133" i="3" s="1"/>
  <c r="AB133" i="3"/>
  <c r="AD133" i="3" s="1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I132" i="3"/>
  <c r="AG132" i="3"/>
  <c r="AK132" i="3" s="1"/>
  <c r="AL132" i="3" s="1"/>
  <c r="AC132" i="3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K131" i="3"/>
  <c r="AL131" i="3" s="1"/>
  <c r="AI131" i="3"/>
  <c r="AG131" i="3"/>
  <c r="AH131" i="3" s="1"/>
  <c r="AF131" i="3"/>
  <c r="AC131" i="3"/>
  <c r="AB131" i="3"/>
  <c r="AD131" i="3" s="1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G130" i="3"/>
  <c r="AK130" i="3" s="1"/>
  <c r="AL130" i="3" s="1"/>
  <c r="AF130" i="3"/>
  <c r="AB130" i="3"/>
  <c r="AD130" i="3" s="1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H129" i="3"/>
  <c r="AG129" i="3"/>
  <c r="AF129" i="3"/>
  <c r="AC129" i="3"/>
  <c r="AB129" i="3"/>
  <c r="AD129" i="3" s="1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K128" i="3"/>
  <c r="AL128" i="3" s="1"/>
  <c r="AG128" i="3"/>
  <c r="AI128" i="3" s="1"/>
  <c r="AC128" i="3"/>
  <c r="AB128" i="3"/>
  <c r="AF128" i="3" s="1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K127" i="3"/>
  <c r="AL127" i="3" s="1"/>
  <c r="AG127" i="3"/>
  <c r="AI127" i="3" s="1"/>
  <c r="AF127" i="3"/>
  <c r="AC127" i="3"/>
  <c r="AB127" i="3"/>
  <c r="AD127" i="3" s="1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K126" i="3"/>
  <c r="AL126" i="3" s="1"/>
  <c r="AI126" i="3"/>
  <c r="AH126" i="3"/>
  <c r="AG126" i="3"/>
  <c r="AB126" i="3"/>
  <c r="AF126" i="3" s="1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I125" i="3"/>
  <c r="AG125" i="3"/>
  <c r="AK125" i="3" s="1"/>
  <c r="AL125" i="3" s="1"/>
  <c r="AB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I124" i="3"/>
  <c r="AH124" i="3"/>
  <c r="AG124" i="3"/>
  <c r="AK124" i="3" s="1"/>
  <c r="AL124" i="3" s="1"/>
  <c r="AF124" i="3"/>
  <c r="AD124" i="3"/>
  <c r="AC124" i="3"/>
  <c r="AB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G123" i="3"/>
  <c r="AK123" i="3" s="1"/>
  <c r="AL123" i="3" s="1"/>
  <c r="AB123" i="3"/>
  <c r="AD123" i="3" s="1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G122" i="3"/>
  <c r="AF122" i="3"/>
  <c r="AD122" i="3"/>
  <c r="AB122" i="3"/>
  <c r="AC122" i="3" s="1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I121" i="3"/>
  <c r="AG121" i="3"/>
  <c r="AK121" i="3" s="1"/>
  <c r="AL121" i="3" s="1"/>
  <c r="AB121" i="3"/>
  <c r="AF121" i="3" s="1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F120" i="3"/>
  <c r="AD120" i="3"/>
  <c r="AB120" i="3"/>
  <c r="AC120" i="3" s="1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I119" i="3"/>
  <c r="AG119" i="3"/>
  <c r="AK119" i="3" s="1"/>
  <c r="AL119" i="3" s="1"/>
  <c r="AB119" i="3"/>
  <c r="AF119" i="3" s="1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F118" i="3"/>
  <c r="AD118" i="3"/>
  <c r="AB118" i="3"/>
  <c r="AC118" i="3" s="1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I117" i="3"/>
  <c r="AG117" i="3"/>
  <c r="AK117" i="3" s="1"/>
  <c r="AL117" i="3" s="1"/>
  <c r="AB117" i="3"/>
  <c r="AF117" i="3" s="1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G116" i="3"/>
  <c r="AF116" i="3"/>
  <c r="AD116" i="3"/>
  <c r="AB116" i="3"/>
  <c r="AC116" i="3" s="1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I115" i="3"/>
  <c r="AG115" i="3"/>
  <c r="AK115" i="3" s="1"/>
  <c r="AL115" i="3" s="1"/>
  <c r="AB115" i="3"/>
  <c r="AF115" i="3" s="1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G114" i="3"/>
  <c r="AF114" i="3"/>
  <c r="AD114" i="3"/>
  <c r="AB114" i="3"/>
  <c r="AC114" i="3" s="1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I113" i="3"/>
  <c r="AG113" i="3"/>
  <c r="AK113" i="3" s="1"/>
  <c r="AL113" i="3" s="1"/>
  <c r="AB113" i="3"/>
  <c r="AF113" i="3" s="1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H112" i="3"/>
  <c r="AG112" i="3"/>
  <c r="AF112" i="3"/>
  <c r="AD112" i="3"/>
  <c r="AB112" i="3"/>
  <c r="AC112" i="3" s="1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I111" i="3"/>
  <c r="AG111" i="3"/>
  <c r="AK111" i="3" s="1"/>
  <c r="AL111" i="3" s="1"/>
  <c r="AB111" i="3"/>
  <c r="AF111" i="3" s="1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H110" i="3"/>
  <c r="AG110" i="3"/>
  <c r="AF110" i="3"/>
  <c r="AD110" i="3"/>
  <c r="AB110" i="3"/>
  <c r="AC110" i="3" s="1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AA105" i="3"/>
  <c r="Z105" i="3"/>
  <c r="X105" i="3"/>
  <c r="Y105" i="3" s="1"/>
  <c r="V105" i="3"/>
  <c r="W105" i="3" s="1"/>
  <c r="T105" i="3"/>
  <c r="U105" i="3" s="1"/>
  <c r="R105" i="3"/>
  <c r="S105" i="3" s="1"/>
  <c r="P105" i="3"/>
  <c r="Q105" i="3" s="1"/>
  <c r="O105" i="3"/>
  <c r="N105" i="3"/>
  <c r="M105" i="3"/>
  <c r="L105" i="3"/>
  <c r="K105" i="3"/>
  <c r="J105" i="3"/>
  <c r="H105" i="3"/>
  <c r="I105" i="3" s="1"/>
  <c r="F105" i="3"/>
  <c r="G105" i="3" s="1"/>
  <c r="D105" i="3"/>
  <c r="E105" i="3" s="1"/>
  <c r="B105" i="3"/>
  <c r="C105" i="3" s="1"/>
  <c r="AI104" i="3"/>
  <c r="AH104" i="3"/>
  <c r="AG104" i="3"/>
  <c r="AK104" i="3" s="1"/>
  <c r="AL104" i="3" s="1"/>
  <c r="AF104" i="3"/>
  <c r="AD104" i="3"/>
  <c r="AC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Z99" i="3"/>
  <c r="AA99" i="3" s="1"/>
  <c r="X99" i="3"/>
  <c r="Y99" i="3" s="1"/>
  <c r="V99" i="3"/>
  <c r="W99" i="3" s="1"/>
  <c r="T99" i="3"/>
  <c r="U99" i="3" s="1"/>
  <c r="R99" i="3"/>
  <c r="AB99" i="3" s="1"/>
  <c r="P99" i="3"/>
  <c r="O99" i="3"/>
  <c r="N99" i="3"/>
  <c r="M99" i="3"/>
  <c r="L99" i="3"/>
  <c r="J99" i="3"/>
  <c r="K99" i="3" s="1"/>
  <c r="H99" i="3"/>
  <c r="I99" i="3" s="1"/>
  <c r="F99" i="3"/>
  <c r="G99" i="3" s="1"/>
  <c r="D99" i="3"/>
  <c r="E99" i="3" s="1"/>
  <c r="B99" i="3"/>
  <c r="C99" i="3" s="1"/>
  <c r="AK98" i="3"/>
  <c r="AL98" i="3" s="1"/>
  <c r="AI98" i="3"/>
  <c r="AH98" i="3"/>
  <c r="AG98" i="3"/>
  <c r="AC98" i="3"/>
  <c r="AB98" i="3"/>
  <c r="AF98" i="3" s="1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K97" i="3"/>
  <c r="AL97" i="3" s="1"/>
  <c r="AI97" i="3"/>
  <c r="AG97" i="3"/>
  <c r="AH97" i="3" s="1"/>
  <c r="AD97" i="3"/>
  <c r="AC97" i="3"/>
  <c r="AB97" i="3"/>
  <c r="AF97" i="3" s="1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L96" i="3"/>
  <c r="AK96" i="3"/>
  <c r="AI96" i="3"/>
  <c r="AH96" i="3"/>
  <c r="AG96" i="3"/>
  <c r="AC96" i="3"/>
  <c r="AB96" i="3"/>
  <c r="AF96" i="3" s="1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K95" i="3"/>
  <c r="AL95" i="3" s="1"/>
  <c r="AI95" i="3"/>
  <c r="AG95" i="3"/>
  <c r="AH95" i="3" s="1"/>
  <c r="AC95" i="3"/>
  <c r="AB95" i="3"/>
  <c r="AF95" i="3" s="1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K94" i="3"/>
  <c r="AL94" i="3" s="1"/>
  <c r="AI94" i="3"/>
  <c r="AH94" i="3"/>
  <c r="AG94" i="3"/>
  <c r="AC94" i="3"/>
  <c r="AB94" i="3"/>
  <c r="AF94" i="3" s="1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K93" i="3"/>
  <c r="AL93" i="3" s="1"/>
  <c r="AI93" i="3"/>
  <c r="AG93" i="3"/>
  <c r="AH93" i="3" s="1"/>
  <c r="AD93" i="3"/>
  <c r="AC93" i="3"/>
  <c r="AB93" i="3"/>
  <c r="AF93" i="3" s="1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L92" i="3"/>
  <c r="AK92" i="3"/>
  <c r="AI92" i="3"/>
  <c r="AH92" i="3"/>
  <c r="AG92" i="3"/>
  <c r="AC92" i="3"/>
  <c r="AB92" i="3"/>
  <c r="AF92" i="3" s="1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K91" i="3"/>
  <c r="AL91" i="3" s="1"/>
  <c r="AI91" i="3"/>
  <c r="AG91" i="3"/>
  <c r="AH91" i="3" s="1"/>
  <c r="AC91" i="3"/>
  <c r="AB91" i="3"/>
  <c r="AF91" i="3" s="1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K90" i="3"/>
  <c r="AL90" i="3" s="1"/>
  <c r="AI90" i="3"/>
  <c r="AH90" i="3"/>
  <c r="AG90" i="3"/>
  <c r="AC90" i="3"/>
  <c r="AB90" i="3"/>
  <c r="AF90" i="3" s="1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Z85" i="3"/>
  <c r="AA85" i="3" s="1"/>
  <c r="X85" i="3"/>
  <c r="V85" i="3"/>
  <c r="W85" i="3" s="1"/>
  <c r="T85" i="3"/>
  <c r="U85" i="3" s="1"/>
  <c r="R85" i="3"/>
  <c r="Q85" i="3"/>
  <c r="P85" i="3"/>
  <c r="O85" i="3"/>
  <c r="N85" i="3"/>
  <c r="L85" i="3"/>
  <c r="M85" i="3" s="1"/>
  <c r="J85" i="3"/>
  <c r="K85" i="3" s="1"/>
  <c r="H85" i="3"/>
  <c r="I85" i="3" s="1"/>
  <c r="F85" i="3"/>
  <c r="G85" i="3" s="1"/>
  <c r="D85" i="3"/>
  <c r="E85" i="3" s="1"/>
  <c r="C85" i="3"/>
  <c r="B85" i="3"/>
  <c r="Z84" i="3"/>
  <c r="AA84" i="3" s="1"/>
  <c r="X84" i="3"/>
  <c r="V84" i="3"/>
  <c r="W84" i="3" s="1"/>
  <c r="U84" i="3"/>
  <c r="T84" i="3"/>
  <c r="S84" i="3"/>
  <c r="R84" i="3"/>
  <c r="Q84" i="3"/>
  <c r="P84" i="3"/>
  <c r="O84" i="3"/>
  <c r="N84" i="3"/>
  <c r="M84" i="3"/>
  <c r="L84" i="3"/>
  <c r="J84" i="3"/>
  <c r="H84" i="3"/>
  <c r="I84" i="3" s="1"/>
  <c r="F84" i="3"/>
  <c r="G84" i="3" s="1"/>
  <c r="E84" i="3"/>
  <c r="D84" i="3"/>
  <c r="C84" i="3"/>
  <c r="B84" i="3"/>
  <c r="AH83" i="3"/>
  <c r="AG83" i="3"/>
  <c r="AK83" i="3" s="1"/>
  <c r="AL83" i="3" s="1"/>
  <c r="AC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K82" i="3"/>
  <c r="AL82" i="3" s="1"/>
  <c r="AI82" i="3"/>
  <c r="AH82" i="3"/>
  <c r="AG82" i="3"/>
  <c r="AD82" i="3"/>
  <c r="AB82" i="3"/>
  <c r="AF82" i="3" s="1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AB81" i="3"/>
  <c r="AA81" i="3"/>
  <c r="Z81" i="3"/>
  <c r="Y81" i="3"/>
  <c r="X81" i="3"/>
  <c r="AK81" i="3" s="1"/>
  <c r="AL81" i="3" s="1"/>
  <c r="V81" i="3"/>
  <c r="W81" i="3" s="1"/>
  <c r="T81" i="3"/>
  <c r="U81" i="3" s="1"/>
  <c r="R81" i="3"/>
  <c r="S81" i="3" s="1"/>
  <c r="P81" i="3"/>
  <c r="Q81" i="3" s="1"/>
  <c r="N81" i="3"/>
  <c r="O81" i="3" s="1"/>
  <c r="M81" i="3"/>
  <c r="L81" i="3"/>
  <c r="K81" i="3"/>
  <c r="J81" i="3"/>
  <c r="AG81" i="3" s="1"/>
  <c r="AH81" i="3" s="1"/>
  <c r="I81" i="3"/>
  <c r="H81" i="3"/>
  <c r="F81" i="3"/>
  <c r="G81" i="3" s="1"/>
  <c r="D81" i="3"/>
  <c r="E81" i="3" s="1"/>
  <c r="B81" i="3"/>
  <c r="C81" i="3" s="1"/>
  <c r="AH80" i="3"/>
  <c r="AG80" i="3"/>
  <c r="AF80" i="3"/>
  <c r="AD80" i="3"/>
  <c r="AC80" i="3"/>
  <c r="AB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I79" i="3"/>
  <c r="AG79" i="3"/>
  <c r="AK79" i="3" s="1"/>
  <c r="AL79" i="3" s="1"/>
  <c r="AB79" i="3"/>
  <c r="AF79" i="3" s="1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G78" i="3"/>
  <c r="AF78" i="3"/>
  <c r="AD78" i="3"/>
  <c r="AC78" i="3"/>
  <c r="AB78" i="3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I77" i="3"/>
  <c r="AG77" i="3"/>
  <c r="AK77" i="3" s="1"/>
  <c r="AL77" i="3" s="1"/>
  <c r="AB77" i="3"/>
  <c r="AF77" i="3" s="1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G76" i="3"/>
  <c r="AF76" i="3"/>
  <c r="AD76" i="3"/>
  <c r="AC76" i="3"/>
  <c r="AB76" i="3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I75" i="3"/>
  <c r="AG75" i="3"/>
  <c r="AK75" i="3" s="1"/>
  <c r="AL75" i="3" s="1"/>
  <c r="AB75" i="3"/>
  <c r="AF75" i="3" s="1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H74" i="3"/>
  <c r="AG74" i="3"/>
  <c r="AF74" i="3"/>
  <c r="AD74" i="3"/>
  <c r="AC74" i="3"/>
  <c r="AB74" i="3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I72" i="3"/>
  <c r="AG72" i="3"/>
  <c r="AK72" i="3" s="1"/>
  <c r="AL72" i="3" s="1"/>
  <c r="AB72" i="3"/>
  <c r="AF72" i="3" s="1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H71" i="3"/>
  <c r="AG71" i="3"/>
  <c r="AF71" i="3"/>
  <c r="AD71" i="3"/>
  <c r="AC71" i="3"/>
  <c r="AB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Z70" i="3"/>
  <c r="AA70" i="3" s="1"/>
  <c r="Y70" i="3"/>
  <c r="X70" i="3"/>
  <c r="W70" i="3"/>
  <c r="V70" i="3"/>
  <c r="AB70" i="3" s="1"/>
  <c r="AC70" i="3" s="1"/>
  <c r="U70" i="3"/>
  <c r="T70" i="3"/>
  <c r="S70" i="3"/>
  <c r="R70" i="3"/>
  <c r="Q70" i="3"/>
  <c r="P70" i="3"/>
  <c r="O70" i="3"/>
  <c r="N70" i="3"/>
  <c r="L70" i="3"/>
  <c r="M70" i="3" s="1"/>
  <c r="J70" i="3"/>
  <c r="I70" i="3"/>
  <c r="H70" i="3"/>
  <c r="G70" i="3"/>
  <c r="F70" i="3"/>
  <c r="E70" i="3"/>
  <c r="D70" i="3"/>
  <c r="C70" i="3"/>
  <c r="B70" i="3"/>
  <c r="AG69" i="3"/>
  <c r="AK69" i="3" s="1"/>
  <c r="AL69" i="3" s="1"/>
  <c r="AD69" i="3"/>
  <c r="AB69" i="3"/>
  <c r="AF69" i="3" s="1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L68" i="3"/>
  <c r="AK68" i="3"/>
  <c r="AI68" i="3"/>
  <c r="AH68" i="3"/>
  <c r="AG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G67" i="3"/>
  <c r="AK67" i="3" s="1"/>
  <c r="AL67" i="3" s="1"/>
  <c r="AD67" i="3"/>
  <c r="AB67" i="3"/>
  <c r="AF67" i="3" s="1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L66" i="3"/>
  <c r="AK66" i="3"/>
  <c r="AI66" i="3"/>
  <c r="AH66" i="3"/>
  <c r="AG66" i="3"/>
  <c r="AB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G65" i="3"/>
  <c r="AK65" i="3" s="1"/>
  <c r="AL65" i="3" s="1"/>
  <c r="AC65" i="3"/>
  <c r="AB65" i="3"/>
  <c r="AF65" i="3" s="1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K63" i="3"/>
  <c r="AL63" i="3" s="1"/>
  <c r="AI63" i="3"/>
  <c r="AH63" i="3"/>
  <c r="AG63" i="3"/>
  <c r="AF63" i="3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K59" i="3"/>
  <c r="H59" i="3"/>
  <c r="AA57" i="3"/>
  <c r="Z57" i="3"/>
  <c r="Y57" i="3"/>
  <c r="X57" i="3"/>
  <c r="V57" i="3"/>
  <c r="W57" i="3" s="1"/>
  <c r="T57" i="3"/>
  <c r="U57" i="3" s="1"/>
  <c r="R57" i="3"/>
  <c r="P57" i="3"/>
  <c r="Q57" i="3" s="1"/>
  <c r="O57" i="3"/>
  <c r="N57" i="3"/>
  <c r="M57" i="3"/>
  <c r="L57" i="3"/>
  <c r="K57" i="3"/>
  <c r="J57" i="3"/>
  <c r="I57" i="3"/>
  <c r="H57" i="3"/>
  <c r="F57" i="3"/>
  <c r="G57" i="3" s="1"/>
  <c r="D57" i="3"/>
  <c r="E57" i="3" s="1"/>
  <c r="C57" i="3"/>
  <c r="B57" i="3"/>
  <c r="Z56" i="3"/>
  <c r="AA56" i="3" s="1"/>
  <c r="X56" i="3"/>
  <c r="W56" i="3"/>
  <c r="V56" i="3"/>
  <c r="U56" i="3"/>
  <c r="T56" i="3"/>
  <c r="R56" i="3"/>
  <c r="P56" i="3"/>
  <c r="Q56" i="3" s="1"/>
  <c r="N56" i="3"/>
  <c r="O56" i="3" s="1"/>
  <c r="L56" i="3"/>
  <c r="M56" i="3" s="1"/>
  <c r="J56" i="3"/>
  <c r="I56" i="3"/>
  <c r="H56" i="3"/>
  <c r="F56" i="3"/>
  <c r="G56" i="3" s="1"/>
  <c r="E56" i="3"/>
  <c r="D56" i="3"/>
  <c r="B56" i="3"/>
  <c r="C56" i="3" s="1"/>
  <c r="AK55" i="3"/>
  <c r="AL55" i="3" s="1"/>
  <c r="AI55" i="3"/>
  <c r="AG55" i="3"/>
  <c r="AH55" i="3" s="1"/>
  <c r="AF55" i="3"/>
  <c r="AD55" i="3"/>
  <c r="AC55" i="3"/>
  <c r="AB55" i="3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K54" i="3"/>
  <c r="AL54" i="3" s="1"/>
  <c r="AI54" i="3"/>
  <c r="AH54" i="3"/>
  <c r="AG54" i="3"/>
  <c r="AC54" i="3"/>
  <c r="AB54" i="3"/>
  <c r="AF54" i="3" s="1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K53" i="3"/>
  <c r="AL53" i="3" s="1"/>
  <c r="AI53" i="3"/>
  <c r="AG53" i="3"/>
  <c r="AH53" i="3" s="1"/>
  <c r="AC53" i="3"/>
  <c r="AB53" i="3"/>
  <c r="AF53" i="3" s="1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AC52" i="3"/>
  <c r="AA52" i="3"/>
  <c r="Z52" i="3"/>
  <c r="X52" i="3"/>
  <c r="W52" i="3"/>
  <c r="V52" i="3"/>
  <c r="T52" i="3"/>
  <c r="U52" i="3" s="1"/>
  <c r="R52" i="3"/>
  <c r="AB52" i="3" s="1"/>
  <c r="Q52" i="3"/>
  <c r="P52" i="3"/>
  <c r="O52" i="3"/>
  <c r="N52" i="3"/>
  <c r="M52" i="3"/>
  <c r="L52" i="3"/>
  <c r="K52" i="3"/>
  <c r="J52" i="3"/>
  <c r="H52" i="3"/>
  <c r="I52" i="3" s="1"/>
  <c r="G52" i="3"/>
  <c r="F52" i="3"/>
  <c r="D52" i="3"/>
  <c r="E52" i="3" s="1"/>
  <c r="B52" i="3"/>
  <c r="C52" i="3" s="1"/>
  <c r="AH51" i="3"/>
  <c r="AG51" i="3"/>
  <c r="AK51" i="3" s="1"/>
  <c r="AL51" i="3" s="1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G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H49" i="3"/>
  <c r="AG49" i="3"/>
  <c r="AK49" i="3" s="1"/>
  <c r="AL49" i="3" s="1"/>
  <c r="AB49" i="3"/>
  <c r="AD49" i="3" s="1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G48" i="3"/>
  <c r="AK48" i="3" s="1"/>
  <c r="AL48" i="3" s="1"/>
  <c r="AB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H47" i="3"/>
  <c r="AG47" i="3"/>
  <c r="AK47" i="3" s="1"/>
  <c r="AL47" i="3" s="1"/>
  <c r="AC47" i="3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K46" i="3"/>
  <c r="AL46" i="3" s="1"/>
  <c r="AI46" i="3"/>
  <c r="AH46" i="3"/>
  <c r="AG46" i="3"/>
  <c r="AF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Z44" i="3"/>
  <c r="AA44" i="3" s="1"/>
  <c r="Y44" i="3"/>
  <c r="X44" i="3"/>
  <c r="W44" i="3"/>
  <c r="V44" i="3"/>
  <c r="T44" i="3"/>
  <c r="U44" i="3" s="1"/>
  <c r="R44" i="3"/>
  <c r="P44" i="3"/>
  <c r="Q44" i="3" s="1"/>
  <c r="N44" i="3"/>
  <c r="O44" i="3" s="1"/>
  <c r="M44" i="3"/>
  <c r="L44" i="3"/>
  <c r="K44" i="3"/>
  <c r="J44" i="3"/>
  <c r="H44" i="3"/>
  <c r="I44" i="3" s="1"/>
  <c r="F44" i="3"/>
  <c r="G44" i="3" s="1"/>
  <c r="D44" i="3"/>
  <c r="E44" i="3" s="1"/>
  <c r="B44" i="3"/>
  <c r="C44" i="3" s="1"/>
  <c r="AK43" i="3"/>
  <c r="AL43" i="3" s="1"/>
  <c r="AI43" i="3"/>
  <c r="AG43" i="3"/>
  <c r="AH43" i="3" s="1"/>
  <c r="AF43" i="3"/>
  <c r="AC43" i="3"/>
  <c r="AB43" i="3"/>
  <c r="AD43" i="3" s="1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G42" i="3"/>
  <c r="AH42" i="3" s="1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F41" i="3"/>
  <c r="AD41" i="3"/>
  <c r="AC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I40" i="3"/>
  <c r="AG40" i="3"/>
  <c r="AH40" i="3" s="1"/>
  <c r="AC40" i="3"/>
  <c r="AB40" i="3"/>
  <c r="AF40" i="3" s="1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H39" i="3"/>
  <c r="AG39" i="3"/>
  <c r="AB39" i="3"/>
  <c r="AD39" i="3" s="1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K37" i="3"/>
  <c r="AL37" i="3" s="1"/>
  <c r="AI37" i="3"/>
  <c r="AG37" i="3"/>
  <c r="AH37" i="3" s="1"/>
  <c r="AB37" i="3"/>
  <c r="AF37" i="3" s="1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AF35" i="3"/>
  <c r="AC35" i="3"/>
  <c r="AA35" i="3"/>
  <c r="Z35" i="3"/>
  <c r="Y35" i="3"/>
  <c r="X35" i="3"/>
  <c r="W35" i="3"/>
  <c r="V35" i="3"/>
  <c r="T35" i="3"/>
  <c r="U35" i="3" s="1"/>
  <c r="R35" i="3"/>
  <c r="AB35" i="3" s="1"/>
  <c r="AD35" i="3" s="1"/>
  <c r="P35" i="3"/>
  <c r="O35" i="3"/>
  <c r="N35" i="3"/>
  <c r="M35" i="3"/>
  <c r="L35" i="3"/>
  <c r="J35" i="3"/>
  <c r="K35" i="3" s="1"/>
  <c r="I35" i="3"/>
  <c r="H35" i="3"/>
  <c r="G35" i="3"/>
  <c r="F35" i="3"/>
  <c r="D35" i="3"/>
  <c r="E35" i="3" s="1"/>
  <c r="B35" i="3"/>
  <c r="C35" i="3" s="1"/>
  <c r="AA34" i="3"/>
  <c r="Z34" i="3"/>
  <c r="X34" i="3"/>
  <c r="V34" i="3"/>
  <c r="W34" i="3" s="1"/>
  <c r="T34" i="3"/>
  <c r="U34" i="3" s="1"/>
  <c r="S34" i="3"/>
  <c r="R34" i="3"/>
  <c r="Q34" i="3"/>
  <c r="P34" i="3"/>
  <c r="N34" i="3"/>
  <c r="AG34" i="3" s="1"/>
  <c r="AH34" i="3" s="1"/>
  <c r="M34" i="3"/>
  <c r="L34" i="3"/>
  <c r="K34" i="3"/>
  <c r="J34" i="3"/>
  <c r="H34" i="3"/>
  <c r="I34" i="3" s="1"/>
  <c r="F34" i="3"/>
  <c r="G34" i="3" s="1"/>
  <c r="D34" i="3"/>
  <c r="E34" i="3" s="1"/>
  <c r="C34" i="3"/>
  <c r="B34" i="3"/>
  <c r="AL33" i="3"/>
  <c r="AK33" i="3"/>
  <c r="AI33" i="3"/>
  <c r="AH33" i="3"/>
  <c r="AG33" i="3"/>
  <c r="AB33" i="3"/>
  <c r="AF33" i="3" s="1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G32" i="3"/>
  <c r="AF32" i="3"/>
  <c r="AD32" i="3"/>
  <c r="AB32" i="3"/>
  <c r="AC32" i="3" s="1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L31" i="3"/>
  <c r="AK31" i="3"/>
  <c r="AI31" i="3"/>
  <c r="AH31" i="3"/>
  <c r="AG31" i="3"/>
  <c r="AB31" i="3"/>
  <c r="AF31" i="3" s="1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G30" i="3"/>
  <c r="AF30" i="3"/>
  <c r="AD30" i="3"/>
  <c r="AB30" i="3"/>
  <c r="AC30" i="3" s="1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L29" i="3"/>
  <c r="AK29" i="3"/>
  <c r="AI29" i="3"/>
  <c r="AH29" i="3"/>
  <c r="AG29" i="3"/>
  <c r="AB29" i="3"/>
  <c r="AF29" i="3" s="1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AG27" i="3"/>
  <c r="AA27" i="3"/>
  <c r="Z27" i="3"/>
  <c r="X27" i="3"/>
  <c r="Y27" i="3" s="1"/>
  <c r="V27" i="3"/>
  <c r="W27" i="3" s="1"/>
  <c r="T27" i="3"/>
  <c r="U27" i="3" s="1"/>
  <c r="S27" i="3"/>
  <c r="R27" i="3"/>
  <c r="AB27" i="3" s="1"/>
  <c r="AC27" i="3" s="1"/>
  <c r="P27" i="3"/>
  <c r="Q27" i="3" s="1"/>
  <c r="N27" i="3"/>
  <c r="O27" i="3" s="1"/>
  <c r="L27" i="3"/>
  <c r="M27" i="3" s="1"/>
  <c r="K27" i="3"/>
  <c r="J27" i="3"/>
  <c r="H27" i="3"/>
  <c r="I27" i="3" s="1"/>
  <c r="F27" i="3"/>
  <c r="G27" i="3" s="1"/>
  <c r="D27" i="3"/>
  <c r="E27" i="3" s="1"/>
  <c r="B27" i="3"/>
  <c r="C27" i="3" s="1"/>
  <c r="AL26" i="3"/>
  <c r="AK26" i="3"/>
  <c r="AI26" i="3"/>
  <c r="AG26" i="3"/>
  <c r="AH26" i="3" s="1"/>
  <c r="AF26" i="3"/>
  <c r="AC26" i="3"/>
  <c r="AB26" i="3"/>
  <c r="AD26" i="3" s="1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G25" i="3"/>
  <c r="AK25" i="3" s="1"/>
  <c r="AL25" i="3" s="1"/>
  <c r="AF25" i="3"/>
  <c r="AD25" i="3"/>
  <c r="AC25" i="3"/>
  <c r="AB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K24" i="3"/>
  <c r="AL24" i="3" s="1"/>
  <c r="AI24" i="3"/>
  <c r="AG24" i="3"/>
  <c r="AH24" i="3" s="1"/>
  <c r="AF24" i="3"/>
  <c r="AC24" i="3"/>
  <c r="AB24" i="3"/>
  <c r="AD24" i="3" s="1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G23" i="3"/>
  <c r="AK23" i="3" s="1"/>
  <c r="AL23" i="3" s="1"/>
  <c r="AF23" i="3"/>
  <c r="AD23" i="3"/>
  <c r="AC23" i="3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L22" i="3"/>
  <c r="AK22" i="3"/>
  <c r="AI22" i="3"/>
  <c r="AG22" i="3"/>
  <c r="AH22" i="3" s="1"/>
  <c r="AF22" i="3"/>
  <c r="AC22" i="3"/>
  <c r="AB22" i="3"/>
  <c r="AD22" i="3" s="1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G21" i="3"/>
  <c r="AK21" i="3" s="1"/>
  <c r="AL21" i="3" s="1"/>
  <c r="AF21" i="3"/>
  <c r="AD21" i="3"/>
  <c r="AC21" i="3"/>
  <c r="AB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L20" i="3"/>
  <c r="AK20" i="3"/>
  <c r="AI20" i="3"/>
  <c r="AG20" i="3"/>
  <c r="AH20" i="3" s="1"/>
  <c r="AF20" i="3"/>
  <c r="AC20" i="3"/>
  <c r="AB20" i="3"/>
  <c r="AD20" i="3" s="1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G19" i="3"/>
  <c r="AK19" i="3" s="1"/>
  <c r="AL19" i="3" s="1"/>
  <c r="AF19" i="3"/>
  <c r="AD19" i="3"/>
  <c r="AC19" i="3"/>
  <c r="AB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K18" i="3"/>
  <c r="AL18" i="3" s="1"/>
  <c r="AI18" i="3"/>
  <c r="AG18" i="3"/>
  <c r="AH18" i="3" s="1"/>
  <c r="AF18" i="3"/>
  <c r="AC18" i="3"/>
  <c r="AB18" i="3"/>
  <c r="AD18" i="3" s="1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G17" i="3"/>
  <c r="AK17" i="3" s="1"/>
  <c r="AL17" i="3" s="1"/>
  <c r="AF17" i="3"/>
  <c r="AD17" i="3"/>
  <c r="AC17" i="3"/>
  <c r="AB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K16" i="3"/>
  <c r="AL16" i="3" s="1"/>
  <c r="AI16" i="3"/>
  <c r="AG16" i="3"/>
  <c r="AH16" i="3" s="1"/>
  <c r="AF16" i="3"/>
  <c r="AC16" i="3"/>
  <c r="AB16" i="3"/>
  <c r="AD16" i="3" s="1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G15" i="3"/>
  <c r="AK15" i="3" s="1"/>
  <c r="AL15" i="3" s="1"/>
  <c r="AF15" i="3"/>
  <c r="AD15" i="3"/>
  <c r="AC15" i="3"/>
  <c r="AB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K13" i="3"/>
  <c r="AL13" i="3" s="1"/>
  <c r="AI13" i="3"/>
  <c r="AG13" i="3"/>
  <c r="AH13" i="3" s="1"/>
  <c r="AF13" i="3"/>
  <c r="AC13" i="3"/>
  <c r="AB13" i="3"/>
  <c r="AD13" i="3" s="1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AD9" i="3"/>
  <c r="AC9" i="3"/>
  <c r="AA9" i="3"/>
  <c r="Z9" i="3"/>
  <c r="Z59" i="3" s="1"/>
  <c r="Z87" i="3" s="1"/>
  <c r="AA87" i="3" s="1"/>
  <c r="X9" i="3"/>
  <c r="Y9" i="3" s="1"/>
  <c r="W9" i="3"/>
  <c r="V9" i="3"/>
  <c r="V59" i="3" s="1"/>
  <c r="U9" i="3"/>
  <c r="T9" i="3"/>
  <c r="T59" i="3" s="1"/>
  <c r="R9" i="3"/>
  <c r="AB9" i="3" s="1"/>
  <c r="AF9" i="3" s="1"/>
  <c r="P9" i="3"/>
  <c r="P59" i="3" s="1"/>
  <c r="N9" i="3"/>
  <c r="M9" i="3"/>
  <c r="L9" i="3"/>
  <c r="L59" i="3" s="1"/>
  <c r="K9" i="3"/>
  <c r="J9" i="3"/>
  <c r="J59" i="3" s="1"/>
  <c r="J87" i="3" s="1"/>
  <c r="J107" i="3" s="1"/>
  <c r="H9" i="3"/>
  <c r="I9" i="3" s="1"/>
  <c r="G9" i="3"/>
  <c r="F9" i="3"/>
  <c r="F59" i="3" s="1"/>
  <c r="E9" i="3"/>
  <c r="D9" i="3"/>
  <c r="D59" i="3" s="1"/>
  <c r="B9" i="3"/>
  <c r="B59" i="3" s="1"/>
  <c r="AK8" i="3"/>
  <c r="AL8" i="3" s="1"/>
  <c r="AI8" i="3"/>
  <c r="AH8" i="3"/>
  <c r="AG8" i="3"/>
  <c r="AF8" i="3"/>
  <c r="AD8" i="3"/>
  <c r="AC8" i="3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K7" i="3"/>
  <c r="AL7" i="3" s="1"/>
  <c r="AH7" i="3"/>
  <c r="AG7" i="3"/>
  <c r="AI7" i="3" s="1"/>
  <c r="AD7" i="3"/>
  <c r="AC7" i="3"/>
  <c r="AB7" i="3"/>
  <c r="AF7" i="3" s="1"/>
  <c r="AA7" i="3"/>
  <c r="Y7" i="3"/>
  <c r="W7" i="3"/>
  <c r="U7" i="3"/>
  <c r="S7" i="3"/>
  <c r="Q7" i="3"/>
  <c r="O7" i="3"/>
  <c r="M7" i="3"/>
  <c r="K7" i="3"/>
  <c r="I7" i="3"/>
  <c r="G7" i="3"/>
  <c r="E7" i="3"/>
  <c r="C7" i="3"/>
  <c r="AK148" i="2"/>
  <c r="AI148" i="2"/>
  <c r="AJ127" i="2" s="1"/>
  <c r="AG148" i="2"/>
  <c r="AF148" i="2"/>
  <c r="AD148" i="2"/>
  <c r="AB148" i="2"/>
  <c r="AG145" i="2"/>
  <c r="AH145" i="2" s="1"/>
  <c r="AA145" i="2"/>
  <c r="Z145" i="2"/>
  <c r="X145" i="2"/>
  <c r="Y145" i="2" s="1"/>
  <c r="W145" i="2"/>
  <c r="V145" i="2"/>
  <c r="U145" i="2"/>
  <c r="T145" i="2"/>
  <c r="R145" i="2"/>
  <c r="S145" i="2" s="1"/>
  <c r="Q145" i="2"/>
  <c r="P145" i="2"/>
  <c r="N145" i="2"/>
  <c r="O145" i="2" s="1"/>
  <c r="M145" i="2"/>
  <c r="L145" i="2"/>
  <c r="K145" i="2"/>
  <c r="J145" i="2"/>
  <c r="H145" i="2"/>
  <c r="I145" i="2" s="1"/>
  <c r="G145" i="2"/>
  <c r="F145" i="2"/>
  <c r="E145" i="2"/>
  <c r="D145" i="2"/>
  <c r="B145" i="2"/>
  <c r="C145" i="2" s="1"/>
  <c r="AL144" i="2"/>
  <c r="AK144" i="2"/>
  <c r="AI144" i="2"/>
  <c r="AH144" i="2"/>
  <c r="AG144" i="2"/>
  <c r="AF144" i="2"/>
  <c r="AD144" i="2"/>
  <c r="AC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Z141" i="2"/>
  <c r="AA141" i="2" s="1"/>
  <c r="X141" i="2"/>
  <c r="V141" i="2"/>
  <c r="W141" i="2" s="1"/>
  <c r="U141" i="2"/>
  <c r="T141" i="2"/>
  <c r="R141" i="2"/>
  <c r="S141" i="2" s="1"/>
  <c r="P141" i="2"/>
  <c r="Q141" i="2" s="1"/>
  <c r="N141" i="2"/>
  <c r="O141" i="2" s="1"/>
  <c r="M141" i="2"/>
  <c r="L141" i="2"/>
  <c r="K141" i="2"/>
  <c r="J141" i="2"/>
  <c r="H141" i="2"/>
  <c r="I141" i="2" s="1"/>
  <c r="F141" i="2"/>
  <c r="G141" i="2" s="1"/>
  <c r="E141" i="2"/>
  <c r="D141" i="2"/>
  <c r="B141" i="2"/>
  <c r="C141" i="2" s="1"/>
  <c r="AI140" i="2"/>
  <c r="AJ140" i="2" s="1"/>
  <c r="AH140" i="2"/>
  <c r="AG140" i="2"/>
  <c r="AK140" i="2" s="1"/>
  <c r="AL140" i="2" s="1"/>
  <c r="AF140" i="2"/>
  <c r="AD140" i="2"/>
  <c r="AC140" i="2"/>
  <c r="AB140" i="2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AF135" i="2"/>
  <c r="AD135" i="2"/>
  <c r="AC135" i="2"/>
  <c r="AB135" i="2"/>
  <c r="Z135" i="2"/>
  <c r="AA135" i="2" s="1"/>
  <c r="X135" i="2"/>
  <c r="Y135" i="2" s="1"/>
  <c r="W135" i="2"/>
  <c r="V135" i="2"/>
  <c r="T135" i="2"/>
  <c r="U135" i="2" s="1"/>
  <c r="R135" i="2"/>
  <c r="S135" i="2" s="1"/>
  <c r="P135" i="2"/>
  <c r="Q135" i="2" s="1"/>
  <c r="N135" i="2"/>
  <c r="O135" i="2" s="1"/>
  <c r="L135" i="2"/>
  <c r="M135" i="2" s="1"/>
  <c r="J135" i="2"/>
  <c r="H135" i="2"/>
  <c r="I135" i="2" s="1"/>
  <c r="G135" i="2"/>
  <c r="F135" i="2"/>
  <c r="D135" i="2"/>
  <c r="E135" i="2" s="1"/>
  <c r="B135" i="2"/>
  <c r="C135" i="2" s="1"/>
  <c r="AK134" i="2"/>
  <c r="AL134" i="2" s="1"/>
  <c r="AI134" i="2"/>
  <c r="AJ134" i="2" s="1"/>
  <c r="AH134" i="2"/>
  <c r="AG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K133" i="2"/>
  <c r="AL133" i="2" s="1"/>
  <c r="AG133" i="2"/>
  <c r="AI133" i="2" s="1"/>
  <c r="AJ133" i="2" s="1"/>
  <c r="AC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K132" i="2"/>
  <c r="AL132" i="2" s="1"/>
  <c r="AI132" i="2"/>
  <c r="AJ132" i="2" s="1"/>
  <c r="AH132" i="2"/>
  <c r="AG132" i="2"/>
  <c r="AB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K131" i="2"/>
  <c r="AL131" i="2" s="1"/>
  <c r="AJ131" i="2"/>
  <c r="AG131" i="2"/>
  <c r="AI131" i="2" s="1"/>
  <c r="AB131" i="2"/>
  <c r="AF131" i="2" s="1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K130" i="2"/>
  <c r="AL130" i="2" s="1"/>
  <c r="AH130" i="2"/>
  <c r="AG130" i="2"/>
  <c r="AI130" i="2" s="1"/>
  <c r="AJ130" i="2" s="1"/>
  <c r="AB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K129" i="2"/>
  <c r="AL129" i="2" s="1"/>
  <c r="AG129" i="2"/>
  <c r="AI129" i="2" s="1"/>
  <c r="AJ129" i="2" s="1"/>
  <c r="AD129" i="2"/>
  <c r="AC129" i="2"/>
  <c r="AB129" i="2"/>
  <c r="AF129" i="2" s="1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K128" i="2"/>
  <c r="AL128" i="2" s="1"/>
  <c r="AI128" i="2"/>
  <c r="AJ128" i="2" s="1"/>
  <c r="AH128" i="2"/>
  <c r="AG128" i="2"/>
  <c r="AC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K127" i="2"/>
  <c r="AL127" i="2" s="1"/>
  <c r="AG127" i="2"/>
  <c r="AI127" i="2" s="1"/>
  <c r="AD127" i="2"/>
  <c r="AC127" i="2"/>
  <c r="AB127" i="2"/>
  <c r="AF127" i="2" s="1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K126" i="2"/>
  <c r="AL126" i="2" s="1"/>
  <c r="AI126" i="2"/>
  <c r="AJ126" i="2" s="1"/>
  <c r="AH126" i="2"/>
  <c r="AG126" i="2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K125" i="2"/>
  <c r="AL125" i="2" s="1"/>
  <c r="AG125" i="2"/>
  <c r="AI125" i="2" s="1"/>
  <c r="AJ125" i="2" s="1"/>
  <c r="AB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K124" i="2"/>
  <c r="AL124" i="2" s="1"/>
  <c r="AJ124" i="2"/>
  <c r="AI124" i="2"/>
  <c r="AH124" i="2"/>
  <c r="AG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K123" i="2"/>
  <c r="AL123" i="2" s="1"/>
  <c r="AG123" i="2"/>
  <c r="AI123" i="2" s="1"/>
  <c r="AJ123" i="2" s="1"/>
  <c r="AC123" i="2"/>
  <c r="AB123" i="2"/>
  <c r="AF123" i="2" s="1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K122" i="2" s="1"/>
  <c r="AL122" i="2" s="1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K121" i="2"/>
  <c r="AL121" i="2" s="1"/>
  <c r="AG121" i="2"/>
  <c r="AI121" i="2" s="1"/>
  <c r="AJ121" i="2" s="1"/>
  <c r="AD121" i="2"/>
  <c r="AB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L120" i="2"/>
  <c r="AK120" i="2"/>
  <c r="AG120" i="2"/>
  <c r="AI120" i="2" s="1"/>
  <c r="AJ120" i="2" s="1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K119" i="2"/>
  <c r="AL119" i="2" s="1"/>
  <c r="AG119" i="2"/>
  <c r="AB119" i="2"/>
  <c r="AF119" i="2" s="1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I118" i="2"/>
  <c r="AJ118" i="2" s="1"/>
  <c r="AH118" i="2"/>
  <c r="AG118" i="2"/>
  <c r="AK118" i="2" s="1"/>
  <c r="AL118" i="2" s="1"/>
  <c r="AC118" i="2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G117" i="2"/>
  <c r="AB117" i="2"/>
  <c r="AF117" i="2" s="1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I116" i="2"/>
  <c r="AJ116" i="2" s="1"/>
  <c r="AG116" i="2"/>
  <c r="AK116" i="2" s="1"/>
  <c r="AL116" i="2" s="1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G115" i="2"/>
  <c r="AH115" i="2" s="1"/>
  <c r="AB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I114" i="2"/>
  <c r="AJ114" i="2" s="1"/>
  <c r="AG114" i="2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G113" i="2"/>
  <c r="AH113" i="2" s="1"/>
  <c r="AD113" i="2"/>
  <c r="AC113" i="2"/>
  <c r="AB113" i="2"/>
  <c r="AF113" i="2" s="1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H112" i="2"/>
  <c r="AG112" i="2"/>
  <c r="AK112" i="2" s="1"/>
  <c r="AL112" i="2" s="1"/>
  <c r="AF112" i="2"/>
  <c r="AC112" i="2"/>
  <c r="AB112" i="2"/>
  <c r="AD112" i="2" s="1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K111" i="2"/>
  <c r="AL111" i="2" s="1"/>
  <c r="AG111" i="2"/>
  <c r="AB111" i="2"/>
  <c r="AF111" i="2" s="1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K110" i="2"/>
  <c r="AL110" i="2" s="1"/>
  <c r="AH110" i="2"/>
  <c r="AG110" i="2"/>
  <c r="AI110" i="2" s="1"/>
  <c r="AJ110" i="2" s="1"/>
  <c r="AC110" i="2"/>
  <c r="AB110" i="2"/>
  <c r="AD110" i="2" s="1"/>
  <c r="AE110" i="2" s="1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Z105" i="2"/>
  <c r="AA105" i="2" s="1"/>
  <c r="Y105" i="2"/>
  <c r="X105" i="2"/>
  <c r="V105" i="2"/>
  <c r="W105" i="2" s="1"/>
  <c r="T105" i="2"/>
  <c r="U105" i="2" s="1"/>
  <c r="R105" i="2"/>
  <c r="S105" i="2" s="1"/>
  <c r="Q105" i="2"/>
  <c r="P105" i="2"/>
  <c r="N105" i="2"/>
  <c r="O105" i="2" s="1"/>
  <c r="M105" i="2"/>
  <c r="L105" i="2"/>
  <c r="J105" i="2"/>
  <c r="I105" i="2"/>
  <c r="H105" i="2"/>
  <c r="F105" i="2"/>
  <c r="G105" i="2" s="1"/>
  <c r="D105" i="2"/>
  <c r="E105" i="2" s="1"/>
  <c r="B105" i="2"/>
  <c r="C105" i="2" s="1"/>
  <c r="AG104" i="2"/>
  <c r="AK104" i="2" s="1"/>
  <c r="AL104" i="2" s="1"/>
  <c r="AD104" i="2"/>
  <c r="AC104" i="2"/>
  <c r="AB104" i="2"/>
  <c r="AF104" i="2" s="1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AF99" i="2"/>
  <c r="AD99" i="2"/>
  <c r="AE99" i="2" s="1"/>
  <c r="Z99" i="2"/>
  <c r="AA99" i="2" s="1"/>
  <c r="Y99" i="2"/>
  <c r="X99" i="2"/>
  <c r="V99" i="2"/>
  <c r="W99" i="2" s="1"/>
  <c r="U99" i="2"/>
  <c r="T99" i="2"/>
  <c r="R99" i="2"/>
  <c r="AB99" i="2" s="1"/>
  <c r="AC99" i="2" s="1"/>
  <c r="Q99" i="2"/>
  <c r="P99" i="2"/>
  <c r="N99" i="2"/>
  <c r="O99" i="2" s="1"/>
  <c r="L99" i="2"/>
  <c r="M99" i="2" s="1"/>
  <c r="K99" i="2"/>
  <c r="J99" i="2"/>
  <c r="H99" i="2"/>
  <c r="I99" i="2" s="1"/>
  <c r="F99" i="2"/>
  <c r="G99" i="2" s="1"/>
  <c r="D99" i="2"/>
  <c r="E99" i="2" s="1"/>
  <c r="C99" i="2"/>
  <c r="B99" i="2"/>
  <c r="AG98" i="2"/>
  <c r="AF98" i="2"/>
  <c r="AD98" i="2"/>
  <c r="AC98" i="2"/>
  <c r="AB98" i="2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G97" i="2"/>
  <c r="AK97" i="2" s="1"/>
  <c r="AL97" i="2" s="1"/>
  <c r="AB97" i="2"/>
  <c r="AF97" i="2" s="1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I96" i="2"/>
  <c r="AJ96" i="2" s="1"/>
  <c r="AG96" i="2"/>
  <c r="AH96" i="2" s="1"/>
  <c r="AF96" i="2"/>
  <c r="AD96" i="2"/>
  <c r="AE96" i="2" s="1"/>
  <c r="AC96" i="2"/>
  <c r="AB96" i="2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L95" i="2"/>
  <c r="AK95" i="2"/>
  <c r="AI95" i="2"/>
  <c r="AJ95" i="2" s="1"/>
  <c r="AH95" i="2"/>
  <c r="AG95" i="2"/>
  <c r="AF95" i="2"/>
  <c r="AC95" i="2"/>
  <c r="AB95" i="2"/>
  <c r="AD95" i="2" s="1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G94" i="2"/>
  <c r="AK94" i="2" s="1"/>
  <c r="AL94" i="2" s="1"/>
  <c r="AF94" i="2"/>
  <c r="AD94" i="2"/>
  <c r="AC94" i="2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K93" i="2"/>
  <c r="AL93" i="2" s="1"/>
  <c r="AI93" i="2"/>
  <c r="AJ93" i="2" s="1"/>
  <c r="AH93" i="2"/>
  <c r="AG93" i="2"/>
  <c r="AF93" i="2"/>
  <c r="AC93" i="2"/>
  <c r="AB93" i="2"/>
  <c r="AD93" i="2" s="1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G92" i="2"/>
  <c r="AK92" i="2" s="1"/>
  <c r="AL92" i="2" s="1"/>
  <c r="AF92" i="2"/>
  <c r="AD92" i="2"/>
  <c r="AC92" i="2"/>
  <c r="AB92" i="2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L91" i="2"/>
  <c r="AK91" i="2"/>
  <c r="AI91" i="2"/>
  <c r="AJ91" i="2" s="1"/>
  <c r="AH91" i="2"/>
  <c r="AG91" i="2"/>
  <c r="AF91" i="2"/>
  <c r="AC91" i="2"/>
  <c r="AB91" i="2"/>
  <c r="AD91" i="2" s="1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G90" i="2"/>
  <c r="AK90" i="2" s="1"/>
  <c r="AL90" i="2" s="1"/>
  <c r="AF90" i="2"/>
  <c r="AD90" i="2"/>
  <c r="AC90" i="2"/>
  <c r="AB90" i="2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AA85" i="2"/>
  <c r="Z85" i="2"/>
  <c r="X85" i="2"/>
  <c r="W85" i="2"/>
  <c r="V85" i="2"/>
  <c r="T85" i="2"/>
  <c r="U85" i="2" s="1"/>
  <c r="R85" i="2"/>
  <c r="S85" i="2" s="1"/>
  <c r="Q85" i="2"/>
  <c r="P85" i="2"/>
  <c r="N85" i="2"/>
  <c r="O85" i="2" s="1"/>
  <c r="M85" i="2"/>
  <c r="L85" i="2"/>
  <c r="J85" i="2"/>
  <c r="H85" i="2"/>
  <c r="I85" i="2" s="1"/>
  <c r="G85" i="2"/>
  <c r="F85" i="2"/>
  <c r="D85" i="2"/>
  <c r="E85" i="2" s="1"/>
  <c r="B85" i="2"/>
  <c r="C85" i="2" s="1"/>
  <c r="AF84" i="2"/>
  <c r="AC84" i="2"/>
  <c r="Z84" i="2"/>
  <c r="AA84" i="2" s="1"/>
  <c r="Y84" i="2"/>
  <c r="X84" i="2"/>
  <c r="W84" i="2"/>
  <c r="V84" i="2"/>
  <c r="T84" i="2"/>
  <c r="U84" i="2" s="1"/>
  <c r="S84" i="2"/>
  <c r="R84" i="2"/>
  <c r="AB84" i="2" s="1"/>
  <c r="AD84" i="2" s="1"/>
  <c r="P84" i="2"/>
  <c r="Q84" i="2" s="1"/>
  <c r="O84" i="2"/>
  <c r="N84" i="2"/>
  <c r="M84" i="2"/>
  <c r="L84" i="2"/>
  <c r="J84" i="2"/>
  <c r="K84" i="2" s="1"/>
  <c r="I84" i="2"/>
  <c r="H84" i="2"/>
  <c r="G84" i="2"/>
  <c r="F84" i="2"/>
  <c r="D84" i="2"/>
  <c r="E84" i="2" s="1"/>
  <c r="C84" i="2"/>
  <c r="B84" i="2"/>
  <c r="AK83" i="2"/>
  <c r="AL83" i="2" s="1"/>
  <c r="AJ83" i="2"/>
  <c r="AI83" i="2"/>
  <c r="AH83" i="2"/>
  <c r="AG83" i="2"/>
  <c r="AD83" i="2"/>
  <c r="AB83" i="2"/>
  <c r="AF83" i="2" s="1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K82" i="2" s="1"/>
  <c r="AL82" i="2" s="1"/>
  <c r="AC82" i="2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AA81" i="2"/>
  <c r="Z81" i="2"/>
  <c r="X81" i="2"/>
  <c r="W81" i="2"/>
  <c r="V81" i="2"/>
  <c r="T81" i="2"/>
  <c r="U81" i="2" s="1"/>
  <c r="R81" i="2"/>
  <c r="Q81" i="2"/>
  <c r="P81" i="2"/>
  <c r="N81" i="2"/>
  <c r="O81" i="2" s="1"/>
  <c r="L81" i="2"/>
  <c r="M81" i="2" s="1"/>
  <c r="K81" i="2"/>
  <c r="J81" i="2"/>
  <c r="H81" i="2"/>
  <c r="I81" i="2" s="1"/>
  <c r="G81" i="2"/>
  <c r="F81" i="2"/>
  <c r="E81" i="2"/>
  <c r="D81" i="2"/>
  <c r="B81" i="2"/>
  <c r="C81" i="2" s="1"/>
  <c r="AI80" i="2"/>
  <c r="AJ80" i="2" s="1"/>
  <c r="AG80" i="2"/>
  <c r="AK80" i="2" s="1"/>
  <c r="AL80" i="2" s="1"/>
  <c r="AC80" i="2"/>
  <c r="AB80" i="2"/>
  <c r="AF80" i="2" s="1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G79" i="2"/>
  <c r="AB79" i="2"/>
  <c r="AD79" i="2" s="1"/>
  <c r="AE79" i="2" s="1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I78" i="2"/>
  <c r="AJ78" i="2" s="1"/>
  <c r="AG78" i="2"/>
  <c r="AK78" i="2" s="1"/>
  <c r="AL78" i="2" s="1"/>
  <c r="AC78" i="2"/>
  <c r="AB78" i="2"/>
  <c r="AF78" i="2" s="1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G77" i="2"/>
  <c r="AB77" i="2"/>
  <c r="AD77" i="2" s="1"/>
  <c r="AE77" i="2" s="1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I76" i="2"/>
  <c r="AJ76" i="2" s="1"/>
  <c r="AG76" i="2"/>
  <c r="AK76" i="2" s="1"/>
  <c r="AL76" i="2" s="1"/>
  <c r="AC76" i="2"/>
  <c r="AB76" i="2"/>
  <c r="AF76" i="2" s="1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G75" i="2"/>
  <c r="AB75" i="2"/>
  <c r="AD75" i="2" s="1"/>
  <c r="AE75" i="2" s="1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I74" i="2"/>
  <c r="AJ74" i="2" s="1"/>
  <c r="AG74" i="2"/>
  <c r="AK74" i="2" s="1"/>
  <c r="AL74" i="2" s="1"/>
  <c r="AC74" i="2"/>
  <c r="AB74" i="2"/>
  <c r="AF74" i="2" s="1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G72" i="2"/>
  <c r="AB72" i="2"/>
  <c r="AD72" i="2" s="1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I71" i="2"/>
  <c r="AJ71" i="2" s="1"/>
  <c r="AG71" i="2"/>
  <c r="AK71" i="2" s="1"/>
  <c r="AL71" i="2" s="1"/>
  <c r="AC71" i="2"/>
  <c r="AB71" i="2"/>
  <c r="AF71" i="2" s="1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AA70" i="2"/>
  <c r="Z70" i="2"/>
  <c r="Y70" i="2"/>
  <c r="X70" i="2"/>
  <c r="V70" i="2"/>
  <c r="W70" i="2" s="1"/>
  <c r="U70" i="2"/>
  <c r="T70" i="2"/>
  <c r="R70" i="2"/>
  <c r="Q70" i="2"/>
  <c r="P70" i="2"/>
  <c r="O70" i="2"/>
  <c r="N70" i="2"/>
  <c r="L70" i="2"/>
  <c r="M70" i="2" s="1"/>
  <c r="K70" i="2"/>
  <c r="J70" i="2"/>
  <c r="I70" i="2"/>
  <c r="H70" i="2"/>
  <c r="F70" i="2"/>
  <c r="G70" i="2" s="1"/>
  <c r="E70" i="2"/>
  <c r="D70" i="2"/>
  <c r="B70" i="2"/>
  <c r="C70" i="2" s="1"/>
  <c r="AJ69" i="2"/>
  <c r="AG69" i="2"/>
  <c r="AI69" i="2" s="1"/>
  <c r="AF69" i="2"/>
  <c r="AD69" i="2"/>
  <c r="AC69" i="2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H68" i="2"/>
  <c r="AG68" i="2"/>
  <c r="AK68" i="2" s="1"/>
  <c r="AL68" i="2" s="1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G67" i="2"/>
  <c r="AI67" i="2" s="1"/>
  <c r="AJ67" i="2" s="1"/>
  <c r="AF67" i="2"/>
  <c r="AD67" i="2"/>
  <c r="AC67" i="2"/>
  <c r="AB67" i="2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H66" i="2"/>
  <c r="AG66" i="2"/>
  <c r="AK66" i="2" s="1"/>
  <c r="AL66" i="2" s="1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G65" i="2"/>
  <c r="AI65" i="2" s="1"/>
  <c r="AJ65" i="2" s="1"/>
  <c r="AF65" i="2"/>
  <c r="AD65" i="2"/>
  <c r="AC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H63" i="2"/>
  <c r="AG63" i="2"/>
  <c r="AK63" i="2" s="1"/>
  <c r="AL63" i="2" s="1"/>
  <c r="AD63" i="2"/>
  <c r="AE63" i="2" s="1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F59" i="2"/>
  <c r="F87" i="2" s="1"/>
  <c r="AB57" i="2"/>
  <c r="AA57" i="2"/>
  <c r="Z57" i="2"/>
  <c r="Y57" i="2"/>
  <c r="X57" i="2"/>
  <c r="V57" i="2"/>
  <c r="W57" i="2" s="1"/>
  <c r="U57" i="2"/>
  <c r="T57" i="2"/>
  <c r="S57" i="2"/>
  <c r="R57" i="2"/>
  <c r="P57" i="2"/>
  <c r="Q57" i="2" s="1"/>
  <c r="O57" i="2"/>
  <c r="N57" i="2"/>
  <c r="L57" i="2"/>
  <c r="M57" i="2" s="1"/>
  <c r="K57" i="2"/>
  <c r="J57" i="2"/>
  <c r="AG57" i="2" s="1"/>
  <c r="I57" i="2"/>
  <c r="H57" i="2"/>
  <c r="F57" i="2"/>
  <c r="G57" i="2" s="1"/>
  <c r="E57" i="2"/>
  <c r="D57" i="2"/>
  <c r="B57" i="2"/>
  <c r="C57" i="2" s="1"/>
  <c r="AG56" i="2"/>
  <c r="AF56" i="2"/>
  <c r="AD56" i="2"/>
  <c r="Z56" i="2"/>
  <c r="AA56" i="2" s="1"/>
  <c r="Y56" i="2"/>
  <c r="X56" i="2"/>
  <c r="W56" i="2"/>
  <c r="V56" i="2"/>
  <c r="T56" i="2"/>
  <c r="U56" i="2" s="1"/>
  <c r="S56" i="2"/>
  <c r="R56" i="2"/>
  <c r="AB56" i="2" s="1"/>
  <c r="AC56" i="2" s="1"/>
  <c r="P56" i="2"/>
  <c r="Q56" i="2" s="1"/>
  <c r="N56" i="2"/>
  <c r="O56" i="2" s="1"/>
  <c r="M56" i="2"/>
  <c r="L56" i="2"/>
  <c r="J56" i="2"/>
  <c r="K56" i="2" s="1"/>
  <c r="I56" i="2"/>
  <c r="H56" i="2"/>
  <c r="G56" i="2"/>
  <c r="F56" i="2"/>
  <c r="D56" i="2"/>
  <c r="E56" i="2" s="1"/>
  <c r="C56" i="2"/>
  <c r="B56" i="2"/>
  <c r="AL55" i="2"/>
  <c r="AK55" i="2"/>
  <c r="AI55" i="2"/>
  <c r="AJ55" i="2" s="1"/>
  <c r="AH55" i="2"/>
  <c r="AG55" i="2"/>
  <c r="AF55" i="2"/>
  <c r="AB55" i="2"/>
  <c r="AD55" i="2" s="1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G54" i="2"/>
  <c r="AF54" i="2"/>
  <c r="AD54" i="2"/>
  <c r="AC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K53" i="2"/>
  <c r="AL53" i="2" s="1"/>
  <c r="AI53" i="2"/>
  <c r="AJ53" i="2" s="1"/>
  <c r="AH53" i="2"/>
  <c r="AG53" i="2"/>
  <c r="AF53" i="2"/>
  <c r="AB53" i="2"/>
  <c r="AD53" i="2" s="1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AG52" i="2"/>
  <c r="AH52" i="2" s="1"/>
  <c r="AA52" i="2"/>
  <c r="Z52" i="2"/>
  <c r="X52" i="2"/>
  <c r="Y52" i="2" s="1"/>
  <c r="W52" i="2"/>
  <c r="V52" i="2"/>
  <c r="T52" i="2"/>
  <c r="U52" i="2" s="1"/>
  <c r="R52" i="2"/>
  <c r="S52" i="2" s="1"/>
  <c r="Q52" i="2"/>
  <c r="P52" i="2"/>
  <c r="N52" i="2"/>
  <c r="O52" i="2" s="1"/>
  <c r="M52" i="2"/>
  <c r="L52" i="2"/>
  <c r="K52" i="2"/>
  <c r="J52" i="2"/>
  <c r="H52" i="2"/>
  <c r="I52" i="2" s="1"/>
  <c r="G52" i="2"/>
  <c r="F52" i="2"/>
  <c r="D52" i="2"/>
  <c r="E52" i="2" s="1"/>
  <c r="B52" i="2"/>
  <c r="C52" i="2" s="1"/>
  <c r="AL51" i="2"/>
  <c r="AK51" i="2"/>
  <c r="AI51" i="2"/>
  <c r="AJ51" i="2" s="1"/>
  <c r="AH51" i="2"/>
  <c r="AG51" i="2"/>
  <c r="AF51" i="2"/>
  <c r="AB51" i="2"/>
  <c r="AD51" i="2" s="1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K50" i="2"/>
  <c r="AL50" i="2" s="1"/>
  <c r="AG50" i="2"/>
  <c r="AI50" i="2" s="1"/>
  <c r="AJ50" i="2" s="1"/>
  <c r="AD50" i="2"/>
  <c r="AC50" i="2"/>
  <c r="AB50" i="2"/>
  <c r="AF50" i="2" s="1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L49" i="2"/>
  <c r="AK49" i="2"/>
  <c r="AI49" i="2"/>
  <c r="AJ49" i="2" s="1"/>
  <c r="AH49" i="2"/>
  <c r="AG49" i="2"/>
  <c r="AF49" i="2"/>
  <c r="AB49" i="2"/>
  <c r="AD49" i="2" s="1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K48" i="2"/>
  <c r="AL48" i="2" s="1"/>
  <c r="AJ48" i="2"/>
  <c r="AG48" i="2"/>
  <c r="AI48" i="2" s="1"/>
  <c r="AD48" i="2"/>
  <c r="AC48" i="2"/>
  <c r="AB48" i="2"/>
  <c r="AF48" i="2" s="1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K47" i="2"/>
  <c r="AL47" i="2" s="1"/>
  <c r="AI47" i="2"/>
  <c r="AJ47" i="2" s="1"/>
  <c r="AH47" i="2"/>
  <c r="AG47" i="2"/>
  <c r="AF47" i="2"/>
  <c r="AB47" i="2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K46" i="2"/>
  <c r="AL46" i="2" s="1"/>
  <c r="AG46" i="2"/>
  <c r="AI46" i="2" s="1"/>
  <c r="AJ46" i="2" s="1"/>
  <c r="AD46" i="2"/>
  <c r="AC46" i="2"/>
  <c r="AB46" i="2"/>
  <c r="AF46" i="2" s="1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AB44" i="2"/>
  <c r="AA44" i="2"/>
  <c r="Z44" i="2"/>
  <c r="Y44" i="2"/>
  <c r="X44" i="2"/>
  <c r="V44" i="2"/>
  <c r="W44" i="2" s="1"/>
  <c r="U44" i="2"/>
  <c r="T44" i="2"/>
  <c r="S44" i="2"/>
  <c r="R44" i="2"/>
  <c r="P44" i="2"/>
  <c r="Q44" i="2" s="1"/>
  <c r="O44" i="2"/>
  <c r="N44" i="2"/>
  <c r="L44" i="2"/>
  <c r="K44" i="2"/>
  <c r="J44" i="2"/>
  <c r="I44" i="2"/>
  <c r="H44" i="2"/>
  <c r="F44" i="2"/>
  <c r="G44" i="2" s="1"/>
  <c r="E44" i="2"/>
  <c r="D44" i="2"/>
  <c r="B44" i="2"/>
  <c r="C44" i="2" s="1"/>
  <c r="AK43" i="2"/>
  <c r="AL43" i="2" s="1"/>
  <c r="AH43" i="2"/>
  <c r="AG43" i="2"/>
  <c r="AI43" i="2" s="1"/>
  <c r="AJ43" i="2" s="1"/>
  <c r="AF43" i="2"/>
  <c r="AD43" i="2"/>
  <c r="AB43" i="2"/>
  <c r="AC43" i="2" s="1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I42" i="2"/>
  <c r="AJ42" i="2" s="1"/>
  <c r="AH42" i="2"/>
  <c r="AG42" i="2"/>
  <c r="AK42" i="2" s="1"/>
  <c r="AL42" i="2" s="1"/>
  <c r="AF42" i="2"/>
  <c r="AD42" i="2"/>
  <c r="AC42" i="2"/>
  <c r="AB42" i="2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K41" i="2"/>
  <c r="AL41" i="2" s="1"/>
  <c r="AH41" i="2"/>
  <c r="AG41" i="2"/>
  <c r="AI41" i="2" s="1"/>
  <c r="AJ41" i="2" s="1"/>
  <c r="AF41" i="2"/>
  <c r="AD41" i="2"/>
  <c r="AB41" i="2"/>
  <c r="AC41" i="2" s="1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I40" i="2"/>
  <c r="AJ40" i="2" s="1"/>
  <c r="AH40" i="2"/>
  <c r="AG40" i="2"/>
  <c r="AK40" i="2" s="1"/>
  <c r="AL40" i="2" s="1"/>
  <c r="AF40" i="2"/>
  <c r="AD40" i="2"/>
  <c r="AC40" i="2"/>
  <c r="AB40" i="2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K39" i="2"/>
  <c r="AL39" i="2" s="1"/>
  <c r="AH39" i="2"/>
  <c r="AG39" i="2"/>
  <c r="AI39" i="2" s="1"/>
  <c r="AJ39" i="2" s="1"/>
  <c r="AF39" i="2"/>
  <c r="AD39" i="2"/>
  <c r="AB39" i="2"/>
  <c r="AC39" i="2" s="1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I37" i="2"/>
  <c r="AJ37" i="2" s="1"/>
  <c r="AH37" i="2"/>
  <c r="AG37" i="2"/>
  <c r="AK37" i="2" s="1"/>
  <c r="AL37" i="2" s="1"/>
  <c r="AF37" i="2"/>
  <c r="AD37" i="2"/>
  <c r="AC37" i="2"/>
  <c r="AB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AA35" i="2"/>
  <c r="Z35" i="2"/>
  <c r="X35" i="2"/>
  <c r="W35" i="2"/>
  <c r="V35" i="2"/>
  <c r="U35" i="2"/>
  <c r="T35" i="2"/>
  <c r="R35" i="2"/>
  <c r="Q35" i="2"/>
  <c r="P35" i="2"/>
  <c r="N35" i="2"/>
  <c r="O35" i="2" s="1"/>
  <c r="L35" i="2"/>
  <c r="M35" i="2" s="1"/>
  <c r="J35" i="2"/>
  <c r="K35" i="2" s="1"/>
  <c r="H35" i="2"/>
  <c r="I35" i="2" s="1"/>
  <c r="G35" i="2"/>
  <c r="F35" i="2"/>
  <c r="E35" i="2"/>
  <c r="D35" i="2"/>
  <c r="B35" i="2"/>
  <c r="C35" i="2" s="1"/>
  <c r="Z34" i="2"/>
  <c r="AA34" i="2" s="1"/>
  <c r="Y34" i="2"/>
  <c r="X34" i="2"/>
  <c r="V34" i="2"/>
  <c r="AB34" i="2" s="1"/>
  <c r="U34" i="2"/>
  <c r="T34" i="2"/>
  <c r="S34" i="2"/>
  <c r="R34" i="2"/>
  <c r="P34" i="2"/>
  <c r="Q34" i="2" s="1"/>
  <c r="O34" i="2"/>
  <c r="N34" i="2"/>
  <c r="M34" i="2"/>
  <c r="L34" i="2"/>
  <c r="J34" i="2"/>
  <c r="I34" i="2"/>
  <c r="H34" i="2"/>
  <c r="F34" i="2"/>
  <c r="G34" i="2" s="1"/>
  <c r="E34" i="2"/>
  <c r="D34" i="2"/>
  <c r="C34" i="2"/>
  <c r="B34" i="2"/>
  <c r="AK33" i="2"/>
  <c r="AL33" i="2" s="1"/>
  <c r="AG33" i="2"/>
  <c r="AI33" i="2" s="1"/>
  <c r="AJ33" i="2" s="1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I32" i="2"/>
  <c r="AJ32" i="2" s="1"/>
  <c r="AH32" i="2"/>
  <c r="AG32" i="2"/>
  <c r="AK32" i="2" s="1"/>
  <c r="AL32" i="2" s="1"/>
  <c r="AC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G31" i="2"/>
  <c r="AI31" i="2" s="1"/>
  <c r="AJ31" i="2" s="1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J30" i="2"/>
  <c r="AI30" i="2"/>
  <c r="AH30" i="2"/>
  <c r="AG30" i="2"/>
  <c r="AK30" i="2" s="1"/>
  <c r="AL30" i="2" s="1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J29" i="2"/>
  <c r="AH29" i="2"/>
  <c r="AG29" i="2"/>
  <c r="AI29" i="2" s="1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Z27" i="2"/>
  <c r="AA27" i="2" s="1"/>
  <c r="Y27" i="2"/>
  <c r="X27" i="2"/>
  <c r="W27" i="2"/>
  <c r="V27" i="2"/>
  <c r="T27" i="2"/>
  <c r="U27" i="2" s="1"/>
  <c r="S27" i="2"/>
  <c r="R27" i="2"/>
  <c r="P27" i="2"/>
  <c r="Q27" i="2" s="1"/>
  <c r="N27" i="2"/>
  <c r="O27" i="2" s="1"/>
  <c r="L27" i="2"/>
  <c r="M27" i="2" s="1"/>
  <c r="J27" i="2"/>
  <c r="I27" i="2"/>
  <c r="H27" i="2"/>
  <c r="G27" i="2"/>
  <c r="F27" i="2"/>
  <c r="D27" i="2"/>
  <c r="E27" i="2" s="1"/>
  <c r="C27" i="2"/>
  <c r="B27" i="2"/>
  <c r="AG26" i="2"/>
  <c r="AB26" i="2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G25" i="2"/>
  <c r="AF25" i="2"/>
  <c r="AD25" i="2"/>
  <c r="AC25" i="2"/>
  <c r="AB25" i="2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G24" i="2"/>
  <c r="AD24" i="2"/>
  <c r="AE24" i="2" s="1"/>
  <c r="AB24" i="2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G23" i="2"/>
  <c r="AF23" i="2"/>
  <c r="AD23" i="2"/>
  <c r="AC23" i="2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G22" i="2"/>
  <c r="AI22" i="2" s="1"/>
  <c r="AJ22" i="2" s="1"/>
  <c r="AB22" i="2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G21" i="2"/>
  <c r="AF21" i="2"/>
  <c r="AD21" i="2"/>
  <c r="AC21" i="2"/>
  <c r="AB21" i="2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H20" i="2"/>
  <c r="AG20" i="2"/>
  <c r="AI20" i="2" s="1"/>
  <c r="AJ20" i="2" s="1"/>
  <c r="AD20" i="2"/>
  <c r="AE20" i="2" s="1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G19" i="2"/>
  <c r="AF19" i="2"/>
  <c r="AD19" i="2"/>
  <c r="AC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I18" i="2" s="1"/>
  <c r="AJ18" i="2" s="1"/>
  <c r="AD18" i="2"/>
  <c r="AB18" i="2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G17" i="2"/>
  <c r="AF17" i="2"/>
  <c r="AD17" i="2"/>
  <c r="AC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G16" i="2"/>
  <c r="AI16" i="2" s="1"/>
  <c r="AJ16" i="2" s="1"/>
  <c r="AD16" i="2"/>
  <c r="AB16" i="2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L15" i="2"/>
  <c r="AK15" i="2"/>
  <c r="AG15" i="2"/>
  <c r="AH15" i="2" s="1"/>
  <c r="AF15" i="2"/>
  <c r="AD15" i="2"/>
  <c r="AC15" i="2"/>
  <c r="AB15" i="2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K13" i="2"/>
  <c r="AL13" i="2" s="1"/>
  <c r="AH13" i="2"/>
  <c r="AG13" i="2"/>
  <c r="AI13" i="2" s="1"/>
  <c r="AJ13" i="2" s="1"/>
  <c r="AD13" i="2"/>
  <c r="AE13" i="2" s="1"/>
  <c r="AB13" i="2"/>
  <c r="AF13" i="2" s="1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Z9" i="2"/>
  <c r="Y9" i="2"/>
  <c r="X9" i="2"/>
  <c r="X59" i="2" s="1"/>
  <c r="V9" i="2"/>
  <c r="V59" i="2" s="1"/>
  <c r="W59" i="2" s="1"/>
  <c r="U9" i="2"/>
  <c r="T9" i="2"/>
  <c r="S9" i="2"/>
  <c r="R9" i="2"/>
  <c r="R59" i="2" s="1"/>
  <c r="P9" i="2"/>
  <c r="P59" i="2" s="1"/>
  <c r="O9" i="2"/>
  <c r="N9" i="2"/>
  <c r="N59" i="2" s="1"/>
  <c r="M9" i="2"/>
  <c r="L9" i="2"/>
  <c r="L59" i="2" s="1"/>
  <c r="J9" i="2"/>
  <c r="I9" i="2"/>
  <c r="H9" i="2"/>
  <c r="H59" i="2" s="1"/>
  <c r="F9" i="2"/>
  <c r="G9" i="2" s="1"/>
  <c r="E9" i="2"/>
  <c r="D9" i="2"/>
  <c r="D59" i="2" s="1"/>
  <c r="C9" i="2"/>
  <c r="B9" i="2"/>
  <c r="B59" i="2" s="1"/>
  <c r="AL8" i="2"/>
  <c r="AK8" i="2"/>
  <c r="AJ8" i="2"/>
  <c r="AI8" i="2"/>
  <c r="AH8" i="2"/>
  <c r="AG8" i="2"/>
  <c r="AD8" i="2"/>
  <c r="AE8" i="2" s="1"/>
  <c r="AB8" i="2"/>
  <c r="AA8" i="2"/>
  <c r="Y8" i="2"/>
  <c r="W8" i="2"/>
  <c r="U8" i="2"/>
  <c r="S8" i="2"/>
  <c r="Q8" i="2"/>
  <c r="O8" i="2"/>
  <c r="M8" i="2"/>
  <c r="K8" i="2"/>
  <c r="I8" i="2"/>
  <c r="G8" i="2"/>
  <c r="E8" i="2"/>
  <c r="C8" i="2"/>
  <c r="AL7" i="2"/>
  <c r="AH7" i="2"/>
  <c r="AG7" i="2"/>
  <c r="AK7" i="2" s="1"/>
  <c r="AF7" i="2"/>
  <c r="AD7" i="2"/>
  <c r="AC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K148" i="1"/>
  <c r="AI148" i="1"/>
  <c r="AG148" i="1"/>
  <c r="AF148" i="1"/>
  <c r="AD148" i="1"/>
  <c r="AB148" i="1"/>
  <c r="Z145" i="1"/>
  <c r="AA145" i="1" s="1"/>
  <c r="Y145" i="1"/>
  <c r="X145" i="1"/>
  <c r="AD145" i="1" s="1"/>
  <c r="AE145" i="1" s="1"/>
  <c r="V145" i="1"/>
  <c r="W145" i="1" s="1"/>
  <c r="T145" i="1"/>
  <c r="U145" i="1" s="1"/>
  <c r="R145" i="1"/>
  <c r="AB145" i="1" s="1"/>
  <c r="AC145" i="1" s="1"/>
  <c r="Q145" i="1"/>
  <c r="P145" i="1"/>
  <c r="O145" i="1"/>
  <c r="N145" i="1"/>
  <c r="L145" i="1"/>
  <c r="M145" i="1" s="1"/>
  <c r="J145" i="1"/>
  <c r="K145" i="1" s="1"/>
  <c r="I145" i="1"/>
  <c r="H145" i="1"/>
  <c r="F145" i="1"/>
  <c r="G145" i="1" s="1"/>
  <c r="D145" i="1"/>
  <c r="E145" i="1" s="1"/>
  <c r="B145" i="1"/>
  <c r="C145" i="1" s="1"/>
  <c r="AL144" i="1"/>
  <c r="AK144" i="1"/>
  <c r="AG144" i="1"/>
  <c r="AI144" i="1" s="1"/>
  <c r="AJ144" i="1" s="1"/>
  <c r="AE144" i="1"/>
  <c r="AD144" i="1"/>
  <c r="AB144" i="1"/>
  <c r="AF144" i="1" s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AB141" i="1"/>
  <c r="Z141" i="1"/>
  <c r="AA141" i="1" s="1"/>
  <c r="X141" i="1"/>
  <c r="Y141" i="1" s="1"/>
  <c r="W141" i="1"/>
  <c r="V141" i="1"/>
  <c r="T141" i="1"/>
  <c r="U141" i="1" s="1"/>
  <c r="S141" i="1"/>
  <c r="R141" i="1"/>
  <c r="P141" i="1"/>
  <c r="Q141" i="1" s="1"/>
  <c r="N141" i="1"/>
  <c r="O141" i="1" s="1"/>
  <c r="L141" i="1"/>
  <c r="J141" i="1"/>
  <c r="K141" i="1" s="1"/>
  <c r="H141" i="1"/>
  <c r="I141" i="1" s="1"/>
  <c r="G141" i="1"/>
  <c r="F141" i="1"/>
  <c r="D141" i="1"/>
  <c r="E141" i="1" s="1"/>
  <c r="C141" i="1"/>
  <c r="B141" i="1"/>
  <c r="AG140" i="1"/>
  <c r="AI140" i="1" s="1"/>
  <c r="AJ140" i="1" s="1"/>
  <c r="AB140" i="1"/>
  <c r="AF140" i="1" s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Z135" i="1"/>
  <c r="AA135" i="1" s="1"/>
  <c r="Y135" i="1"/>
  <c r="X135" i="1"/>
  <c r="V135" i="1"/>
  <c r="W135" i="1" s="1"/>
  <c r="U135" i="1"/>
  <c r="T135" i="1"/>
  <c r="R135" i="1"/>
  <c r="AB135" i="1" s="1"/>
  <c r="AC135" i="1" s="1"/>
  <c r="P135" i="1"/>
  <c r="Q135" i="1" s="1"/>
  <c r="N135" i="1"/>
  <c r="L135" i="1"/>
  <c r="M135" i="1" s="1"/>
  <c r="J135" i="1"/>
  <c r="K135" i="1" s="1"/>
  <c r="I135" i="1"/>
  <c r="H135" i="1"/>
  <c r="F135" i="1"/>
  <c r="G135" i="1" s="1"/>
  <c r="E135" i="1"/>
  <c r="D135" i="1"/>
  <c r="B135" i="1"/>
  <c r="C135" i="1" s="1"/>
  <c r="AK134" i="1"/>
  <c r="AL134" i="1" s="1"/>
  <c r="AI134" i="1"/>
  <c r="AJ134" i="1" s="1"/>
  <c r="AG134" i="1"/>
  <c r="AH134" i="1" s="1"/>
  <c r="AD134" i="1"/>
  <c r="AE134" i="1" s="1"/>
  <c r="AC134" i="1"/>
  <c r="AB134" i="1"/>
  <c r="AF134" i="1" s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H133" i="1"/>
  <c r="AG133" i="1"/>
  <c r="AK133" i="1" s="1"/>
  <c r="AL133" i="1" s="1"/>
  <c r="AD133" i="1"/>
  <c r="AE133" i="1" s="1"/>
  <c r="AC133" i="1"/>
  <c r="AB133" i="1"/>
  <c r="AF133" i="1" s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K132" i="1"/>
  <c r="AL132" i="1" s="1"/>
  <c r="AI132" i="1"/>
  <c r="AJ132" i="1" s="1"/>
  <c r="AG132" i="1"/>
  <c r="AH132" i="1" s="1"/>
  <c r="AD132" i="1"/>
  <c r="AE132" i="1" s="1"/>
  <c r="AC132" i="1"/>
  <c r="AB132" i="1"/>
  <c r="AF132" i="1" s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H131" i="1"/>
  <c r="AG131" i="1"/>
  <c r="AK131" i="1" s="1"/>
  <c r="AL131" i="1" s="1"/>
  <c r="AD131" i="1"/>
  <c r="AE131" i="1" s="1"/>
  <c r="AC131" i="1"/>
  <c r="AB131" i="1"/>
  <c r="AF131" i="1" s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K130" i="1"/>
  <c r="AL130" i="1" s="1"/>
  <c r="AI130" i="1"/>
  <c r="AJ130" i="1" s="1"/>
  <c r="AG130" i="1"/>
  <c r="AH130" i="1" s="1"/>
  <c r="AD130" i="1"/>
  <c r="AE130" i="1" s="1"/>
  <c r="AC130" i="1"/>
  <c r="AB130" i="1"/>
  <c r="AF130" i="1" s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H129" i="1"/>
  <c r="AG129" i="1"/>
  <c r="AK129" i="1" s="1"/>
  <c r="AL129" i="1" s="1"/>
  <c r="AD129" i="1"/>
  <c r="AE129" i="1" s="1"/>
  <c r="AC129" i="1"/>
  <c r="AB129" i="1"/>
  <c r="AF129" i="1" s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K128" i="1"/>
  <c r="AL128" i="1" s="1"/>
  <c r="AI128" i="1"/>
  <c r="AJ128" i="1" s="1"/>
  <c r="AG128" i="1"/>
  <c r="AH128" i="1" s="1"/>
  <c r="AD128" i="1"/>
  <c r="AE128" i="1" s="1"/>
  <c r="AC128" i="1"/>
  <c r="AB128" i="1"/>
  <c r="AF128" i="1" s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H127" i="1"/>
  <c r="AG127" i="1"/>
  <c r="AK127" i="1" s="1"/>
  <c r="AL127" i="1" s="1"/>
  <c r="AD127" i="1"/>
  <c r="AE127" i="1" s="1"/>
  <c r="AC127" i="1"/>
  <c r="AB127" i="1"/>
  <c r="AF127" i="1" s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K126" i="1"/>
  <c r="AL126" i="1" s="1"/>
  <c r="AI126" i="1"/>
  <c r="AJ126" i="1" s="1"/>
  <c r="AG126" i="1"/>
  <c r="AH126" i="1" s="1"/>
  <c r="AD126" i="1"/>
  <c r="AE126" i="1" s="1"/>
  <c r="AC126" i="1"/>
  <c r="AB126" i="1"/>
  <c r="AF126" i="1" s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H125" i="1"/>
  <c r="AG125" i="1"/>
  <c r="AK125" i="1" s="1"/>
  <c r="AL125" i="1" s="1"/>
  <c r="AD125" i="1"/>
  <c r="AE125" i="1" s="1"/>
  <c r="AC125" i="1"/>
  <c r="AB125" i="1"/>
  <c r="AF125" i="1" s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K124" i="1"/>
  <c r="AL124" i="1" s="1"/>
  <c r="AI124" i="1"/>
  <c r="AJ124" i="1" s="1"/>
  <c r="AG124" i="1"/>
  <c r="AH124" i="1" s="1"/>
  <c r="AD124" i="1"/>
  <c r="AE124" i="1" s="1"/>
  <c r="AC124" i="1"/>
  <c r="AB124" i="1"/>
  <c r="AF124" i="1" s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H123" i="1"/>
  <c r="AG123" i="1"/>
  <c r="AK123" i="1" s="1"/>
  <c r="AL123" i="1" s="1"/>
  <c r="AD123" i="1"/>
  <c r="AE123" i="1" s="1"/>
  <c r="AC123" i="1"/>
  <c r="AB123" i="1"/>
  <c r="AF123" i="1" s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K122" i="1"/>
  <c r="AL122" i="1" s="1"/>
  <c r="AI122" i="1"/>
  <c r="AJ122" i="1" s="1"/>
  <c r="AG122" i="1"/>
  <c r="AH122" i="1" s="1"/>
  <c r="AD122" i="1"/>
  <c r="AE122" i="1" s="1"/>
  <c r="AC122" i="1"/>
  <c r="AB122" i="1"/>
  <c r="AF122" i="1" s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H121" i="1"/>
  <c r="AG121" i="1"/>
  <c r="AK121" i="1" s="1"/>
  <c r="AL121" i="1" s="1"/>
  <c r="AD121" i="1"/>
  <c r="AE121" i="1" s="1"/>
  <c r="AC121" i="1"/>
  <c r="AB121" i="1"/>
  <c r="AF121" i="1" s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K120" i="1"/>
  <c r="AL120" i="1" s="1"/>
  <c r="AI120" i="1"/>
  <c r="AJ120" i="1" s="1"/>
  <c r="AG120" i="1"/>
  <c r="AH120" i="1" s="1"/>
  <c r="AD120" i="1"/>
  <c r="AE120" i="1" s="1"/>
  <c r="AC120" i="1"/>
  <c r="AB120" i="1"/>
  <c r="AF120" i="1" s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H119" i="1"/>
  <c r="AG119" i="1"/>
  <c r="AK119" i="1" s="1"/>
  <c r="AL119" i="1" s="1"/>
  <c r="AD119" i="1"/>
  <c r="AE119" i="1" s="1"/>
  <c r="AC119" i="1"/>
  <c r="AB119" i="1"/>
  <c r="AF119" i="1" s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K118" i="1"/>
  <c r="AL118" i="1" s="1"/>
  <c r="AI118" i="1"/>
  <c r="AJ118" i="1" s="1"/>
  <c r="AG118" i="1"/>
  <c r="AH118" i="1" s="1"/>
  <c r="AD118" i="1"/>
  <c r="AE118" i="1" s="1"/>
  <c r="AC118" i="1"/>
  <c r="AB118" i="1"/>
  <c r="AF118" i="1" s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H117" i="1"/>
  <c r="AG117" i="1"/>
  <c r="AK117" i="1" s="1"/>
  <c r="AL117" i="1" s="1"/>
  <c r="AD117" i="1"/>
  <c r="AE117" i="1" s="1"/>
  <c r="AC117" i="1"/>
  <c r="AB117" i="1"/>
  <c r="AF117" i="1" s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K116" i="1"/>
  <c r="AL116" i="1" s="1"/>
  <c r="AI116" i="1"/>
  <c r="AJ116" i="1" s="1"/>
  <c r="AG116" i="1"/>
  <c r="AH116" i="1" s="1"/>
  <c r="AD116" i="1"/>
  <c r="AE116" i="1" s="1"/>
  <c r="AC116" i="1"/>
  <c r="AB116" i="1"/>
  <c r="AF116" i="1" s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H115" i="1"/>
  <c r="AG115" i="1"/>
  <c r="AK115" i="1" s="1"/>
  <c r="AL115" i="1" s="1"/>
  <c r="AD115" i="1"/>
  <c r="AE115" i="1" s="1"/>
  <c r="AC115" i="1"/>
  <c r="AB115" i="1"/>
  <c r="AF115" i="1" s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K114" i="1"/>
  <c r="AL114" i="1" s="1"/>
  <c r="AI114" i="1"/>
  <c r="AJ114" i="1" s="1"/>
  <c r="AG114" i="1"/>
  <c r="AH114" i="1" s="1"/>
  <c r="AD114" i="1"/>
  <c r="AE114" i="1" s="1"/>
  <c r="AC114" i="1"/>
  <c r="AB114" i="1"/>
  <c r="AF114" i="1" s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H113" i="1"/>
  <c r="AG113" i="1"/>
  <c r="AK113" i="1" s="1"/>
  <c r="AL113" i="1" s="1"/>
  <c r="AD113" i="1"/>
  <c r="AE113" i="1" s="1"/>
  <c r="AC113" i="1"/>
  <c r="AB113" i="1"/>
  <c r="AF113" i="1" s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K112" i="1"/>
  <c r="AL112" i="1" s="1"/>
  <c r="AI112" i="1"/>
  <c r="AJ112" i="1" s="1"/>
  <c r="AG112" i="1"/>
  <c r="AH112" i="1" s="1"/>
  <c r="AD112" i="1"/>
  <c r="AE112" i="1" s="1"/>
  <c r="AC112" i="1"/>
  <c r="AB112" i="1"/>
  <c r="AF112" i="1" s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H111" i="1"/>
  <c r="AG111" i="1"/>
  <c r="AK111" i="1" s="1"/>
  <c r="AL111" i="1" s="1"/>
  <c r="AD111" i="1"/>
  <c r="AE111" i="1" s="1"/>
  <c r="AC111" i="1"/>
  <c r="AB111" i="1"/>
  <c r="AF111" i="1" s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K110" i="1"/>
  <c r="AL110" i="1" s="1"/>
  <c r="AI110" i="1"/>
  <c r="AJ110" i="1" s="1"/>
  <c r="AG110" i="1"/>
  <c r="AH110" i="1" s="1"/>
  <c r="AD110" i="1"/>
  <c r="AE110" i="1" s="1"/>
  <c r="AC110" i="1"/>
  <c r="AB110" i="1"/>
  <c r="AF110" i="1" s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AA105" i="1"/>
  <c r="Z105" i="1"/>
  <c r="X105" i="1"/>
  <c r="Y105" i="1" s="1"/>
  <c r="W105" i="1"/>
  <c r="V105" i="1"/>
  <c r="T105" i="1"/>
  <c r="U105" i="1" s="1"/>
  <c r="R105" i="1"/>
  <c r="P105" i="1"/>
  <c r="N105" i="1"/>
  <c r="O105" i="1" s="1"/>
  <c r="L105" i="1"/>
  <c r="M105" i="1" s="1"/>
  <c r="K105" i="1"/>
  <c r="J105" i="1"/>
  <c r="H105" i="1"/>
  <c r="I105" i="1" s="1"/>
  <c r="G105" i="1"/>
  <c r="F105" i="1"/>
  <c r="D105" i="1"/>
  <c r="E105" i="1" s="1"/>
  <c r="B105" i="1"/>
  <c r="C105" i="1" s="1"/>
  <c r="AK104" i="1"/>
  <c r="AL104" i="1" s="1"/>
  <c r="AI104" i="1"/>
  <c r="AJ104" i="1" s="1"/>
  <c r="AG104" i="1"/>
  <c r="AH104" i="1" s="1"/>
  <c r="AB104" i="1"/>
  <c r="AF104" i="1" s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AH99" i="1"/>
  <c r="Z99" i="1"/>
  <c r="AA99" i="1" s="1"/>
  <c r="Y99" i="1"/>
  <c r="X99" i="1"/>
  <c r="V99" i="1"/>
  <c r="W99" i="1" s="1"/>
  <c r="T99" i="1"/>
  <c r="U99" i="1" s="1"/>
  <c r="R99" i="1"/>
  <c r="P99" i="1"/>
  <c r="Q99" i="1" s="1"/>
  <c r="N99" i="1"/>
  <c r="O99" i="1" s="1"/>
  <c r="M99" i="1"/>
  <c r="L99" i="1"/>
  <c r="J99" i="1"/>
  <c r="AG99" i="1" s="1"/>
  <c r="I99" i="1"/>
  <c r="H99" i="1"/>
  <c r="F99" i="1"/>
  <c r="G99" i="1" s="1"/>
  <c r="D99" i="1"/>
  <c r="E99" i="1" s="1"/>
  <c r="B99" i="1"/>
  <c r="C99" i="1" s="1"/>
  <c r="AH98" i="1"/>
  <c r="AG98" i="1"/>
  <c r="AK98" i="1" s="1"/>
  <c r="AL98" i="1" s="1"/>
  <c r="AD98" i="1"/>
  <c r="AE98" i="1" s="1"/>
  <c r="AC98" i="1"/>
  <c r="AB98" i="1"/>
  <c r="AF98" i="1" s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G97" i="1"/>
  <c r="AF97" i="1"/>
  <c r="AC97" i="1"/>
  <c r="AB97" i="1"/>
  <c r="AD97" i="1" s="1"/>
  <c r="AE97" i="1" s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H96" i="1"/>
  <c r="AG96" i="1"/>
  <c r="AK96" i="1" s="1"/>
  <c r="AL96" i="1" s="1"/>
  <c r="AD96" i="1"/>
  <c r="AE96" i="1" s="1"/>
  <c r="AC96" i="1"/>
  <c r="AB96" i="1"/>
  <c r="AF96" i="1" s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H95" i="1"/>
  <c r="AG95" i="1"/>
  <c r="AF95" i="1"/>
  <c r="AC95" i="1"/>
  <c r="AB95" i="1"/>
  <c r="AD95" i="1" s="1"/>
  <c r="AE95" i="1" s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H94" i="1"/>
  <c r="AG94" i="1"/>
  <c r="AK94" i="1" s="1"/>
  <c r="AL94" i="1" s="1"/>
  <c r="AD94" i="1"/>
  <c r="AE94" i="1" s="1"/>
  <c r="AC94" i="1"/>
  <c r="AB94" i="1"/>
  <c r="AF94" i="1" s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H93" i="1"/>
  <c r="AG93" i="1"/>
  <c r="AF93" i="1"/>
  <c r="AE93" i="1"/>
  <c r="AC93" i="1"/>
  <c r="AB93" i="1"/>
  <c r="AD93" i="1" s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H92" i="1"/>
  <c r="AG92" i="1"/>
  <c r="AK92" i="1" s="1"/>
  <c r="AL92" i="1" s="1"/>
  <c r="AD92" i="1"/>
  <c r="AE92" i="1" s="1"/>
  <c r="AC92" i="1"/>
  <c r="AB92" i="1"/>
  <c r="AF92" i="1" s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G91" i="1"/>
  <c r="AF91" i="1"/>
  <c r="AC91" i="1"/>
  <c r="AB91" i="1"/>
  <c r="AD91" i="1" s="1"/>
  <c r="AE91" i="1" s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H90" i="1"/>
  <c r="AG90" i="1"/>
  <c r="AK90" i="1" s="1"/>
  <c r="AL90" i="1" s="1"/>
  <c r="AD90" i="1"/>
  <c r="AE90" i="1" s="1"/>
  <c r="AC90" i="1"/>
  <c r="AB90" i="1"/>
  <c r="AF90" i="1" s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AA85" i="1"/>
  <c r="Z85" i="1"/>
  <c r="X85" i="1"/>
  <c r="W85" i="1"/>
  <c r="V85" i="1"/>
  <c r="T85" i="1"/>
  <c r="U85" i="1" s="1"/>
  <c r="R85" i="1"/>
  <c r="S85" i="1" s="1"/>
  <c r="P85" i="1"/>
  <c r="Q85" i="1" s="1"/>
  <c r="O85" i="1"/>
  <c r="N85" i="1"/>
  <c r="L85" i="1"/>
  <c r="M85" i="1" s="1"/>
  <c r="K85" i="1"/>
  <c r="J85" i="1"/>
  <c r="AG85" i="1" s="1"/>
  <c r="H85" i="1"/>
  <c r="I85" i="1" s="1"/>
  <c r="F85" i="1"/>
  <c r="G85" i="1" s="1"/>
  <c r="D85" i="1"/>
  <c r="E85" i="1" s="1"/>
  <c r="B85" i="1"/>
  <c r="C85" i="1" s="1"/>
  <c r="AB84" i="1"/>
  <c r="AA84" i="1"/>
  <c r="Z84" i="1"/>
  <c r="Y84" i="1"/>
  <c r="X84" i="1"/>
  <c r="W84" i="1"/>
  <c r="V84" i="1"/>
  <c r="T84" i="1"/>
  <c r="U84" i="1" s="1"/>
  <c r="S84" i="1"/>
  <c r="R84" i="1"/>
  <c r="P84" i="1"/>
  <c r="Q84" i="1" s="1"/>
  <c r="O84" i="1"/>
  <c r="N84" i="1"/>
  <c r="L84" i="1"/>
  <c r="M84" i="1" s="1"/>
  <c r="K84" i="1"/>
  <c r="J84" i="1"/>
  <c r="AG84" i="1" s="1"/>
  <c r="I84" i="1"/>
  <c r="H84" i="1"/>
  <c r="G84" i="1"/>
  <c r="F84" i="1"/>
  <c r="D84" i="1"/>
  <c r="E84" i="1" s="1"/>
  <c r="C84" i="1"/>
  <c r="B84" i="1"/>
  <c r="AG83" i="1"/>
  <c r="AF83" i="1"/>
  <c r="AD83" i="1"/>
  <c r="AE83" i="1" s="1"/>
  <c r="AB83" i="1"/>
  <c r="AC83" i="1" s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L82" i="1"/>
  <c r="AG82" i="1"/>
  <c r="AK82" i="1" s="1"/>
  <c r="AC82" i="1"/>
  <c r="AB82" i="1"/>
  <c r="AF82" i="1" s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AF81" i="1"/>
  <c r="AD81" i="1"/>
  <c r="AE81" i="1" s="1"/>
  <c r="Z81" i="1"/>
  <c r="AA81" i="1" s="1"/>
  <c r="Y81" i="1"/>
  <c r="X81" i="1"/>
  <c r="V81" i="1"/>
  <c r="W81" i="1" s="1"/>
  <c r="U81" i="1"/>
  <c r="T81" i="1"/>
  <c r="R81" i="1"/>
  <c r="AB81" i="1" s="1"/>
  <c r="AC81" i="1" s="1"/>
  <c r="P81" i="1"/>
  <c r="Q81" i="1" s="1"/>
  <c r="N81" i="1"/>
  <c r="O81" i="1" s="1"/>
  <c r="L81" i="1"/>
  <c r="M81" i="1" s="1"/>
  <c r="J81" i="1"/>
  <c r="K81" i="1" s="1"/>
  <c r="I81" i="1"/>
  <c r="H81" i="1"/>
  <c r="F81" i="1"/>
  <c r="G81" i="1" s="1"/>
  <c r="E81" i="1"/>
  <c r="D81" i="1"/>
  <c r="B81" i="1"/>
  <c r="C81" i="1" s="1"/>
  <c r="AK80" i="1"/>
  <c r="AL80" i="1" s="1"/>
  <c r="AI80" i="1"/>
  <c r="AJ80" i="1" s="1"/>
  <c r="AG80" i="1"/>
  <c r="AH80" i="1" s="1"/>
  <c r="AD80" i="1"/>
  <c r="AE80" i="1" s="1"/>
  <c r="AC80" i="1"/>
  <c r="AB80" i="1"/>
  <c r="AF80" i="1" s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H79" i="1"/>
  <c r="AG79" i="1"/>
  <c r="AK79" i="1" s="1"/>
  <c r="AL79" i="1" s="1"/>
  <c r="AD79" i="1"/>
  <c r="AE79" i="1" s="1"/>
  <c r="AC79" i="1"/>
  <c r="AB79" i="1"/>
  <c r="AF79" i="1" s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K78" i="1"/>
  <c r="AL78" i="1" s="1"/>
  <c r="AI78" i="1"/>
  <c r="AJ78" i="1" s="1"/>
  <c r="AG78" i="1"/>
  <c r="AH78" i="1" s="1"/>
  <c r="AD78" i="1"/>
  <c r="AE78" i="1" s="1"/>
  <c r="AC78" i="1"/>
  <c r="AB78" i="1"/>
  <c r="AF78" i="1" s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H77" i="1"/>
  <c r="AG77" i="1"/>
  <c r="AK77" i="1" s="1"/>
  <c r="AL77" i="1" s="1"/>
  <c r="AD77" i="1"/>
  <c r="AE77" i="1" s="1"/>
  <c r="AC77" i="1"/>
  <c r="AB77" i="1"/>
  <c r="AF77" i="1" s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K76" i="1"/>
  <c r="AL76" i="1" s="1"/>
  <c r="AI76" i="1"/>
  <c r="AJ76" i="1" s="1"/>
  <c r="AG76" i="1"/>
  <c r="AH76" i="1" s="1"/>
  <c r="AD76" i="1"/>
  <c r="AE76" i="1" s="1"/>
  <c r="AC76" i="1"/>
  <c r="AB76" i="1"/>
  <c r="AF76" i="1" s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H75" i="1"/>
  <c r="AG75" i="1"/>
  <c r="AK75" i="1" s="1"/>
  <c r="AL75" i="1" s="1"/>
  <c r="AD75" i="1"/>
  <c r="AE75" i="1" s="1"/>
  <c r="AC75" i="1"/>
  <c r="AB75" i="1"/>
  <c r="AF75" i="1" s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K74" i="1"/>
  <c r="AL74" i="1" s="1"/>
  <c r="AI74" i="1"/>
  <c r="AJ74" i="1" s="1"/>
  <c r="AG74" i="1"/>
  <c r="AH74" i="1" s="1"/>
  <c r="AD74" i="1"/>
  <c r="AE74" i="1" s="1"/>
  <c r="AC74" i="1"/>
  <c r="AB74" i="1"/>
  <c r="AF74" i="1" s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H72" i="1"/>
  <c r="AG72" i="1"/>
  <c r="AK72" i="1" s="1"/>
  <c r="AL72" i="1" s="1"/>
  <c r="AD72" i="1"/>
  <c r="AE72" i="1" s="1"/>
  <c r="AC72" i="1"/>
  <c r="AB72" i="1"/>
  <c r="AF72" i="1" s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L71" i="1"/>
  <c r="AK71" i="1"/>
  <c r="AI71" i="1"/>
  <c r="AJ71" i="1" s="1"/>
  <c r="AG71" i="1"/>
  <c r="AH71" i="1" s="1"/>
  <c r="AD71" i="1"/>
  <c r="AE71" i="1" s="1"/>
  <c r="AC71" i="1"/>
  <c r="AB71" i="1"/>
  <c r="AF71" i="1" s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AA70" i="1"/>
  <c r="Z70" i="1"/>
  <c r="Y70" i="1"/>
  <c r="X70" i="1"/>
  <c r="V70" i="1"/>
  <c r="W70" i="1" s="1"/>
  <c r="U70" i="1"/>
  <c r="T70" i="1"/>
  <c r="R70" i="1"/>
  <c r="S70" i="1" s="1"/>
  <c r="Q70" i="1"/>
  <c r="P70" i="1"/>
  <c r="N70" i="1"/>
  <c r="O70" i="1" s="1"/>
  <c r="M70" i="1"/>
  <c r="L70" i="1"/>
  <c r="K70" i="1"/>
  <c r="J70" i="1"/>
  <c r="I70" i="1"/>
  <c r="H70" i="1"/>
  <c r="F70" i="1"/>
  <c r="G70" i="1" s="1"/>
  <c r="E70" i="1"/>
  <c r="D70" i="1"/>
  <c r="B70" i="1"/>
  <c r="C70" i="1" s="1"/>
  <c r="AI69" i="1"/>
  <c r="AJ69" i="1" s="1"/>
  <c r="AH69" i="1"/>
  <c r="AG69" i="1"/>
  <c r="AK69" i="1" s="1"/>
  <c r="AL69" i="1" s="1"/>
  <c r="AF69" i="1"/>
  <c r="AD69" i="1"/>
  <c r="AE69" i="1" s="1"/>
  <c r="AB69" i="1"/>
  <c r="AC69" i="1" s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I68" i="1"/>
  <c r="AJ68" i="1" s="1"/>
  <c r="AH68" i="1"/>
  <c r="AG68" i="1"/>
  <c r="AK68" i="1" s="1"/>
  <c r="AL68" i="1" s="1"/>
  <c r="AB68" i="1"/>
  <c r="AF68" i="1" s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I67" i="1"/>
  <c r="AJ67" i="1" s="1"/>
  <c r="AH67" i="1"/>
  <c r="AG67" i="1"/>
  <c r="AK67" i="1" s="1"/>
  <c r="AL67" i="1" s="1"/>
  <c r="AF67" i="1"/>
  <c r="AD67" i="1"/>
  <c r="AE67" i="1" s="1"/>
  <c r="AB67" i="1"/>
  <c r="AC67" i="1" s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I66" i="1"/>
  <c r="AJ66" i="1" s="1"/>
  <c r="AH66" i="1"/>
  <c r="AG66" i="1"/>
  <c r="AK66" i="1" s="1"/>
  <c r="AL66" i="1" s="1"/>
  <c r="AB66" i="1"/>
  <c r="AF66" i="1" s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I65" i="1"/>
  <c r="AJ65" i="1" s="1"/>
  <c r="AH65" i="1"/>
  <c r="AG65" i="1"/>
  <c r="AK65" i="1" s="1"/>
  <c r="AL65" i="1" s="1"/>
  <c r="AF65" i="1"/>
  <c r="AD65" i="1"/>
  <c r="AE65" i="1" s="1"/>
  <c r="AB65" i="1"/>
  <c r="AC65" i="1" s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I63" i="1"/>
  <c r="AJ63" i="1" s="1"/>
  <c r="AH63" i="1"/>
  <c r="AG63" i="1"/>
  <c r="AK63" i="1" s="1"/>
  <c r="AL63" i="1" s="1"/>
  <c r="AB63" i="1"/>
  <c r="AF63" i="1" s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AF57" i="1"/>
  <c r="AB57" i="1"/>
  <c r="AC57" i="1" s="1"/>
  <c r="AA57" i="1"/>
  <c r="Z57" i="1"/>
  <c r="X57" i="1"/>
  <c r="W57" i="1"/>
  <c r="V57" i="1"/>
  <c r="U57" i="1"/>
  <c r="T57" i="1"/>
  <c r="R57" i="1"/>
  <c r="S57" i="1" s="1"/>
  <c r="P57" i="1"/>
  <c r="Q57" i="1" s="1"/>
  <c r="O57" i="1"/>
  <c r="N57" i="1"/>
  <c r="L57" i="1"/>
  <c r="M57" i="1" s="1"/>
  <c r="K57" i="1"/>
  <c r="J57" i="1"/>
  <c r="AG57" i="1" s="1"/>
  <c r="AH57" i="1" s="1"/>
  <c r="H57" i="1"/>
  <c r="I57" i="1" s="1"/>
  <c r="G57" i="1"/>
  <c r="F57" i="1"/>
  <c r="E57" i="1"/>
  <c r="D57" i="1"/>
  <c r="B57" i="1"/>
  <c r="C57" i="1" s="1"/>
  <c r="AB56" i="1"/>
  <c r="Z56" i="1"/>
  <c r="AA56" i="1" s="1"/>
  <c r="Y56" i="1"/>
  <c r="X56" i="1"/>
  <c r="W56" i="1"/>
  <c r="V56" i="1"/>
  <c r="U56" i="1"/>
  <c r="T56" i="1"/>
  <c r="S56" i="1"/>
  <c r="R56" i="1"/>
  <c r="Q56" i="1"/>
  <c r="P56" i="1"/>
  <c r="N56" i="1"/>
  <c r="O56" i="1" s="1"/>
  <c r="L56" i="1"/>
  <c r="M56" i="1" s="1"/>
  <c r="K56" i="1"/>
  <c r="J56" i="1"/>
  <c r="AG56" i="1" s="1"/>
  <c r="H56" i="1"/>
  <c r="I56" i="1" s="1"/>
  <c r="G56" i="1"/>
  <c r="F56" i="1"/>
  <c r="E56" i="1"/>
  <c r="D56" i="1"/>
  <c r="C56" i="1"/>
  <c r="B56" i="1"/>
  <c r="AG55" i="1"/>
  <c r="AF55" i="1"/>
  <c r="AC55" i="1"/>
  <c r="AB55" i="1"/>
  <c r="AD55" i="1" s="1"/>
  <c r="AE55" i="1" s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H54" i="1"/>
  <c r="AG54" i="1"/>
  <c r="AK54" i="1" s="1"/>
  <c r="AL54" i="1" s="1"/>
  <c r="AD54" i="1"/>
  <c r="AE54" i="1" s="1"/>
  <c r="AC54" i="1"/>
  <c r="AB54" i="1"/>
  <c r="AF54" i="1" s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H53" i="1"/>
  <c r="AG53" i="1"/>
  <c r="AF53" i="1"/>
  <c r="AC53" i="1"/>
  <c r="AB53" i="1"/>
  <c r="AD53" i="1" s="1"/>
  <c r="AE53" i="1" s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AA52" i="1"/>
  <c r="Z52" i="1"/>
  <c r="Y52" i="1"/>
  <c r="X52" i="1"/>
  <c r="W52" i="1"/>
  <c r="V52" i="1"/>
  <c r="U52" i="1"/>
  <c r="T52" i="1"/>
  <c r="R52" i="1"/>
  <c r="Q52" i="1"/>
  <c r="P52" i="1"/>
  <c r="N52" i="1"/>
  <c r="O52" i="1" s="1"/>
  <c r="M52" i="1"/>
  <c r="L52" i="1"/>
  <c r="J52" i="1"/>
  <c r="I52" i="1"/>
  <c r="H52" i="1"/>
  <c r="G52" i="1"/>
  <c r="F52" i="1"/>
  <c r="E52" i="1"/>
  <c r="D52" i="1"/>
  <c r="B52" i="1"/>
  <c r="C52" i="1" s="1"/>
  <c r="AI51" i="1"/>
  <c r="AJ51" i="1" s="1"/>
  <c r="AH51" i="1"/>
  <c r="AG51" i="1"/>
  <c r="AK51" i="1" s="1"/>
  <c r="AL51" i="1" s="1"/>
  <c r="AF51" i="1"/>
  <c r="AE51" i="1"/>
  <c r="AD51" i="1"/>
  <c r="AC51" i="1"/>
  <c r="AB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K50" i="1"/>
  <c r="AL50" i="1" s="1"/>
  <c r="AH50" i="1"/>
  <c r="AG50" i="1"/>
  <c r="AI50" i="1" s="1"/>
  <c r="AJ50" i="1" s="1"/>
  <c r="AE50" i="1"/>
  <c r="AD50" i="1"/>
  <c r="AC50" i="1"/>
  <c r="AB50" i="1"/>
  <c r="AF50" i="1" s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I49" i="1"/>
  <c r="AJ49" i="1" s="1"/>
  <c r="AH49" i="1"/>
  <c r="AG49" i="1"/>
  <c r="AK49" i="1" s="1"/>
  <c r="AL49" i="1" s="1"/>
  <c r="AB49" i="1"/>
  <c r="AF49" i="1" s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L48" i="1"/>
  <c r="AK48" i="1"/>
  <c r="AH48" i="1"/>
  <c r="AG48" i="1"/>
  <c r="AI48" i="1" s="1"/>
  <c r="AJ48" i="1" s="1"/>
  <c r="AE48" i="1"/>
  <c r="AD48" i="1"/>
  <c r="AB48" i="1"/>
  <c r="AF48" i="1" s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I47" i="1"/>
  <c r="AJ47" i="1" s="1"/>
  <c r="AH47" i="1"/>
  <c r="AG47" i="1"/>
  <c r="AK47" i="1" s="1"/>
  <c r="AL47" i="1" s="1"/>
  <c r="AF47" i="1"/>
  <c r="AE47" i="1"/>
  <c r="AD47" i="1"/>
  <c r="AC47" i="1"/>
  <c r="AB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K46" i="1"/>
  <c r="AL46" i="1" s="1"/>
  <c r="AJ46" i="1"/>
  <c r="AH46" i="1"/>
  <c r="AG46" i="1"/>
  <c r="AI46" i="1" s="1"/>
  <c r="AE46" i="1"/>
  <c r="AD46" i="1"/>
  <c r="AB46" i="1"/>
  <c r="AF46" i="1" s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Z44" i="1"/>
  <c r="AA44" i="1" s="1"/>
  <c r="Y44" i="1"/>
  <c r="X44" i="1"/>
  <c r="W44" i="1"/>
  <c r="V44" i="1"/>
  <c r="T44" i="1"/>
  <c r="U44" i="1" s="1"/>
  <c r="R44" i="1"/>
  <c r="AB44" i="1" s="1"/>
  <c r="P44" i="1"/>
  <c r="Q44" i="1" s="1"/>
  <c r="O44" i="1"/>
  <c r="N44" i="1"/>
  <c r="L44" i="1"/>
  <c r="M44" i="1" s="1"/>
  <c r="J44" i="1"/>
  <c r="K44" i="1" s="1"/>
  <c r="I44" i="1"/>
  <c r="H44" i="1"/>
  <c r="G44" i="1"/>
  <c r="F44" i="1"/>
  <c r="D44" i="1"/>
  <c r="E44" i="1" s="1"/>
  <c r="C44" i="1"/>
  <c r="B44" i="1"/>
  <c r="AK43" i="1"/>
  <c r="AL43" i="1" s="1"/>
  <c r="AI43" i="1"/>
  <c r="AJ43" i="1" s="1"/>
  <c r="AG43" i="1"/>
  <c r="AH43" i="1" s="1"/>
  <c r="AB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J42" i="1"/>
  <c r="AI42" i="1"/>
  <c r="AG42" i="1"/>
  <c r="AK42" i="1" s="1"/>
  <c r="AL42" i="1" s="1"/>
  <c r="AF42" i="1"/>
  <c r="AE42" i="1"/>
  <c r="AC42" i="1"/>
  <c r="AB42" i="1"/>
  <c r="AD42" i="1" s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K41" i="1"/>
  <c r="AL41" i="1" s="1"/>
  <c r="AG41" i="1"/>
  <c r="AI41" i="1" s="1"/>
  <c r="AJ41" i="1" s="1"/>
  <c r="AB41" i="1"/>
  <c r="AD41" i="1" s="1"/>
  <c r="AE41" i="1" s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L40" i="1"/>
  <c r="AK40" i="1"/>
  <c r="AJ40" i="1"/>
  <c r="AI40" i="1"/>
  <c r="AH40" i="1"/>
  <c r="AG40" i="1"/>
  <c r="AC40" i="1"/>
  <c r="AB40" i="1"/>
  <c r="AF40" i="1" s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I39" i="1"/>
  <c r="AJ39" i="1" s="1"/>
  <c r="AG39" i="1"/>
  <c r="AK39" i="1" s="1"/>
  <c r="AL39" i="1" s="1"/>
  <c r="AB39" i="1"/>
  <c r="AF39" i="1" s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L37" i="1"/>
  <c r="AK37" i="1"/>
  <c r="AJ37" i="1"/>
  <c r="AI37" i="1"/>
  <c r="AH37" i="1"/>
  <c r="AG37" i="1"/>
  <c r="AC37" i="1"/>
  <c r="AB37" i="1"/>
  <c r="AF37" i="1" s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AB35" i="1"/>
  <c r="AD35" i="1" s="1"/>
  <c r="AE35" i="1" s="1"/>
  <c r="Z35" i="1"/>
  <c r="AA35" i="1" s="1"/>
  <c r="X35" i="1"/>
  <c r="Y35" i="1" s="1"/>
  <c r="V35" i="1"/>
  <c r="W35" i="1" s="1"/>
  <c r="T35" i="1"/>
  <c r="U35" i="1" s="1"/>
  <c r="S35" i="1"/>
  <c r="R35" i="1"/>
  <c r="Q35" i="1"/>
  <c r="P35" i="1"/>
  <c r="N35" i="1"/>
  <c r="O35" i="1" s="1"/>
  <c r="L35" i="1"/>
  <c r="M35" i="1" s="1"/>
  <c r="J35" i="1"/>
  <c r="AG35" i="1" s="1"/>
  <c r="H35" i="1"/>
  <c r="I35" i="1" s="1"/>
  <c r="F35" i="1"/>
  <c r="G35" i="1" s="1"/>
  <c r="D35" i="1"/>
  <c r="E35" i="1" s="1"/>
  <c r="C35" i="1"/>
  <c r="B35" i="1"/>
  <c r="AG34" i="1"/>
  <c r="AI34" i="1" s="1"/>
  <c r="AJ34" i="1" s="1"/>
  <c r="Z34" i="1"/>
  <c r="AA34" i="1" s="1"/>
  <c r="X34" i="1"/>
  <c r="V34" i="1"/>
  <c r="W34" i="1" s="1"/>
  <c r="T34" i="1"/>
  <c r="U34" i="1" s="1"/>
  <c r="S34" i="1"/>
  <c r="R34" i="1"/>
  <c r="AB34" i="1" s="1"/>
  <c r="AC34" i="1" s="1"/>
  <c r="Q34" i="1"/>
  <c r="P34" i="1"/>
  <c r="O34" i="1"/>
  <c r="N34" i="1"/>
  <c r="M34" i="1"/>
  <c r="L34" i="1"/>
  <c r="J34" i="1"/>
  <c r="K34" i="1" s="1"/>
  <c r="H34" i="1"/>
  <c r="I34" i="1" s="1"/>
  <c r="F34" i="1"/>
  <c r="G34" i="1" s="1"/>
  <c r="D34" i="1"/>
  <c r="E34" i="1" s="1"/>
  <c r="C34" i="1"/>
  <c r="B34" i="1"/>
  <c r="AL33" i="1"/>
  <c r="AK33" i="1"/>
  <c r="AH33" i="1"/>
  <c r="AG33" i="1"/>
  <c r="AI33" i="1" s="1"/>
  <c r="AJ33" i="1" s="1"/>
  <c r="AE33" i="1"/>
  <c r="AD33" i="1"/>
  <c r="AC33" i="1"/>
  <c r="AB33" i="1"/>
  <c r="AF33" i="1" s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K32" i="1"/>
  <c r="AL32" i="1" s="1"/>
  <c r="AG32" i="1"/>
  <c r="AI32" i="1" s="1"/>
  <c r="AJ32" i="1" s="1"/>
  <c r="AB32" i="1"/>
  <c r="AD32" i="1" s="1"/>
  <c r="AE32" i="1" s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L31" i="1"/>
  <c r="AK31" i="1"/>
  <c r="AH31" i="1"/>
  <c r="AG31" i="1"/>
  <c r="AI31" i="1" s="1"/>
  <c r="AJ31" i="1" s="1"/>
  <c r="AE31" i="1"/>
  <c r="AD31" i="1"/>
  <c r="AC31" i="1"/>
  <c r="AB31" i="1"/>
  <c r="AF31" i="1" s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K30" i="1"/>
  <c r="AL30" i="1" s="1"/>
  <c r="AG30" i="1"/>
  <c r="AI30" i="1" s="1"/>
  <c r="AJ30" i="1" s="1"/>
  <c r="AB30" i="1"/>
  <c r="AF30" i="1" s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L29" i="1"/>
  <c r="AK29" i="1"/>
  <c r="AH29" i="1"/>
  <c r="AG29" i="1"/>
  <c r="AI29" i="1" s="1"/>
  <c r="AJ29" i="1" s="1"/>
  <c r="AE29" i="1"/>
  <c r="AD29" i="1"/>
  <c r="AC29" i="1"/>
  <c r="AB29" i="1"/>
  <c r="AF29" i="1" s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AB27" i="1"/>
  <c r="AD27" i="1" s="1"/>
  <c r="AE27" i="1" s="1"/>
  <c r="Z27" i="1"/>
  <c r="AA27" i="1" s="1"/>
  <c r="Y27" i="1"/>
  <c r="X27" i="1"/>
  <c r="W27" i="1"/>
  <c r="V27" i="1"/>
  <c r="U27" i="1"/>
  <c r="T27" i="1"/>
  <c r="S27" i="1"/>
  <c r="R27" i="1"/>
  <c r="P27" i="1"/>
  <c r="Q27" i="1" s="1"/>
  <c r="N27" i="1"/>
  <c r="O27" i="1" s="1"/>
  <c r="L27" i="1"/>
  <c r="AG27" i="1" s="1"/>
  <c r="J27" i="1"/>
  <c r="K27" i="1" s="1"/>
  <c r="I27" i="1"/>
  <c r="H27" i="1"/>
  <c r="G27" i="1"/>
  <c r="F27" i="1"/>
  <c r="E27" i="1"/>
  <c r="D27" i="1"/>
  <c r="C27" i="1"/>
  <c r="B27" i="1"/>
  <c r="AG26" i="1"/>
  <c r="AK26" i="1" s="1"/>
  <c r="AL26" i="1" s="1"/>
  <c r="AB26" i="1"/>
  <c r="AF26" i="1" s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J25" i="1"/>
  <c r="AI25" i="1"/>
  <c r="AH25" i="1"/>
  <c r="AG25" i="1"/>
  <c r="AK25" i="1" s="1"/>
  <c r="AL25" i="1" s="1"/>
  <c r="AC25" i="1"/>
  <c r="AB25" i="1"/>
  <c r="AF25" i="1" s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G24" i="1"/>
  <c r="AK24" i="1" s="1"/>
  <c r="AL24" i="1" s="1"/>
  <c r="AB24" i="1"/>
  <c r="AF24" i="1" s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H23" i="1"/>
  <c r="AG23" i="1"/>
  <c r="AK23" i="1" s="1"/>
  <c r="AL23" i="1" s="1"/>
  <c r="AC23" i="1"/>
  <c r="AB23" i="1"/>
  <c r="AF23" i="1" s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G22" i="1"/>
  <c r="AK22" i="1" s="1"/>
  <c r="AL22" i="1" s="1"/>
  <c r="AB22" i="1"/>
  <c r="AF22" i="1" s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H21" i="1"/>
  <c r="AG21" i="1"/>
  <c r="AK21" i="1" s="1"/>
  <c r="AL21" i="1" s="1"/>
  <c r="AC21" i="1"/>
  <c r="AB21" i="1"/>
  <c r="AF21" i="1" s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G20" i="1"/>
  <c r="AK20" i="1" s="1"/>
  <c r="AL20" i="1" s="1"/>
  <c r="AB20" i="1"/>
  <c r="AF20" i="1" s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H19" i="1"/>
  <c r="AG19" i="1"/>
  <c r="AK19" i="1" s="1"/>
  <c r="AL19" i="1" s="1"/>
  <c r="AC19" i="1"/>
  <c r="AB19" i="1"/>
  <c r="AF19" i="1" s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G18" i="1"/>
  <c r="AK18" i="1" s="1"/>
  <c r="AL18" i="1" s="1"/>
  <c r="AB18" i="1"/>
  <c r="AF18" i="1" s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H17" i="1"/>
  <c r="AG17" i="1"/>
  <c r="AK17" i="1" s="1"/>
  <c r="AL17" i="1" s="1"/>
  <c r="AC17" i="1"/>
  <c r="AB17" i="1"/>
  <c r="AF17" i="1" s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G16" i="1"/>
  <c r="AK16" i="1" s="1"/>
  <c r="AL16" i="1" s="1"/>
  <c r="AB16" i="1"/>
  <c r="AF16" i="1" s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H15" i="1"/>
  <c r="AG15" i="1"/>
  <c r="AK15" i="1" s="1"/>
  <c r="AL15" i="1" s="1"/>
  <c r="AC15" i="1"/>
  <c r="AB15" i="1"/>
  <c r="AF15" i="1" s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G13" i="1"/>
  <c r="AK13" i="1" s="1"/>
  <c r="AL13" i="1" s="1"/>
  <c r="AB13" i="1"/>
  <c r="AF13" i="1" s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AC9" i="1"/>
  <c r="AB9" i="1"/>
  <c r="AF9" i="1" s="1"/>
  <c r="AA9" i="1"/>
  <c r="Z9" i="1"/>
  <c r="Z59" i="1" s="1"/>
  <c r="Z87" i="1" s="1"/>
  <c r="Y9" i="1"/>
  <c r="X9" i="1"/>
  <c r="X59" i="1" s="1"/>
  <c r="W9" i="1"/>
  <c r="V9" i="1"/>
  <c r="V59" i="1" s="1"/>
  <c r="V87" i="1" s="1"/>
  <c r="T9" i="1"/>
  <c r="T59" i="1" s="1"/>
  <c r="R9" i="1"/>
  <c r="S9" i="1" s="1"/>
  <c r="Q9" i="1"/>
  <c r="P9" i="1"/>
  <c r="P59" i="1" s="1"/>
  <c r="N9" i="1"/>
  <c r="N59" i="1" s="1"/>
  <c r="M9" i="1"/>
  <c r="L9" i="1"/>
  <c r="L59" i="1" s="1"/>
  <c r="K9" i="1"/>
  <c r="J9" i="1"/>
  <c r="J59" i="1" s="1"/>
  <c r="I9" i="1"/>
  <c r="H9" i="1"/>
  <c r="G9" i="1"/>
  <c r="F9" i="1"/>
  <c r="F59" i="1" s="1"/>
  <c r="G59" i="1" s="1"/>
  <c r="D9" i="1"/>
  <c r="D59" i="1" s="1"/>
  <c r="B9" i="1"/>
  <c r="C9" i="1" s="1"/>
  <c r="AG8" i="1"/>
  <c r="AK8" i="1" s="1"/>
  <c r="AL8" i="1" s="1"/>
  <c r="AF8" i="1"/>
  <c r="AD8" i="1"/>
  <c r="AE8" i="1" s="1"/>
  <c r="AB8" i="1"/>
  <c r="AC8" i="1" s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K7" i="1" s="1"/>
  <c r="AL7" i="1" s="1"/>
  <c r="AF7" i="1"/>
  <c r="AD7" i="1"/>
  <c r="AE7" i="1" s="1"/>
  <c r="AC7" i="1"/>
  <c r="AB7" i="1"/>
  <c r="AA7" i="1"/>
  <c r="Y7" i="1"/>
  <c r="W7" i="1"/>
  <c r="U7" i="1"/>
  <c r="S7" i="1"/>
  <c r="Q7" i="1"/>
  <c r="O7" i="1"/>
  <c r="M7" i="1"/>
  <c r="K7" i="1"/>
  <c r="I7" i="1"/>
  <c r="G7" i="1"/>
  <c r="E7" i="1"/>
  <c r="C7" i="1"/>
  <c r="N9" i="6" a="1"/>
  <c r="R8" i="6"/>
  <c r="H8" i="6" a="1"/>
  <c r="K7" i="6"/>
  <c r="I5" i="6" a="1"/>
  <c r="H84" i="7"/>
  <c r="B63" i="7"/>
  <c r="H56" i="7"/>
  <c r="B38" i="7"/>
  <c r="D14" i="7"/>
  <c r="D6" i="7"/>
  <c r="G8" i="6"/>
  <c r="U7" i="6" a="1"/>
  <c r="N6" i="6" a="1"/>
  <c r="S5" i="6" a="1"/>
  <c r="M9" i="6" a="1"/>
  <c r="J7" i="6" a="1"/>
  <c r="R5" i="6"/>
  <c r="H5" i="6" a="1"/>
  <c r="T7" i="6" a="1"/>
  <c r="M6" i="6" a="1"/>
  <c r="G5" i="6"/>
  <c r="D72" i="7"/>
  <c r="L9" i="6" a="1"/>
  <c r="I7" i="6" a="1"/>
  <c r="B11" i="7"/>
  <c r="K9" i="6"/>
  <c r="N8" i="6" a="1"/>
  <c r="S7" i="6" a="1"/>
  <c r="L6" i="6" a="1"/>
  <c r="F81" i="7"/>
  <c r="U9" i="6" a="1"/>
  <c r="R7" i="6"/>
  <c r="H7" i="6" a="1"/>
  <c r="K6" i="6"/>
  <c r="H64" i="7"/>
  <c r="D58" i="7"/>
  <c r="D41" i="7"/>
  <c r="H12" i="7"/>
  <c r="J9" i="6" a="1"/>
  <c r="M8" i="6" a="1"/>
  <c r="G7" i="6"/>
  <c r="U6" i="6" a="1"/>
  <c r="N5" i="6" a="1"/>
  <c r="B83" i="7"/>
  <c r="T9" i="6" a="1"/>
  <c r="J6" i="6" a="1"/>
  <c r="H92" i="7"/>
  <c r="F61" i="7"/>
  <c r="B55" i="7"/>
  <c r="H39" i="7"/>
  <c r="F22" i="7"/>
  <c r="F9" i="7"/>
  <c r="I9" i="6" a="1"/>
  <c r="L8" i="6" a="1"/>
  <c r="T6" i="6" a="1"/>
  <c r="M5" i="6" a="1"/>
  <c r="D86" i="7"/>
  <c r="S9" i="6" a="1"/>
  <c r="K8" i="6"/>
  <c r="I6" i="6" a="1"/>
  <c r="D91" i="7"/>
  <c r="H89" i="7"/>
  <c r="B88" i="7"/>
  <c r="F86" i="7"/>
  <c r="D83" i="7"/>
  <c r="H81" i="7"/>
  <c r="B79" i="7"/>
  <c r="F72" i="7"/>
  <c r="D63" i="7"/>
  <c r="H61" i="7"/>
  <c r="B60" i="7"/>
  <c r="F58" i="7"/>
  <c r="D55" i="7"/>
  <c r="B46" i="7"/>
  <c r="F41" i="7"/>
  <c r="D38" i="7"/>
  <c r="H22" i="7"/>
  <c r="B16" i="7"/>
  <c r="F14" i="7"/>
  <c r="D11" i="7"/>
  <c r="H9" i="7"/>
  <c r="B8" i="7"/>
  <c r="F6" i="7"/>
  <c r="R9" i="6"/>
  <c r="H9" i="6" a="1"/>
  <c r="U8" i="6" a="1"/>
  <c r="N7" i="6" a="1"/>
  <c r="S6" i="6" a="1"/>
  <c r="L5" i="6" a="1"/>
  <c r="F89" i="7"/>
  <c r="D77" i="7"/>
  <c r="H75" i="7"/>
  <c r="B74" i="7"/>
  <c r="F53" i="7"/>
  <c r="D49" i="7"/>
  <c r="H47" i="7"/>
  <c r="F36" i="7"/>
  <c r="D32" i="7"/>
  <c r="H30" i="7"/>
  <c r="B29" i="7"/>
  <c r="F27" i="7"/>
  <c r="D24" i="7"/>
  <c r="G9" i="6"/>
  <c r="J8" i="6" a="1"/>
  <c r="R6" i="6"/>
  <c r="H6" i="6" a="1"/>
  <c r="K5" i="6"/>
  <c r="B91" i="7"/>
  <c r="D36" i="7"/>
  <c r="H33" i="7"/>
  <c r="B32" i="7"/>
  <c r="F30" i="7"/>
  <c r="D27" i="7"/>
  <c r="H25" i="7"/>
  <c r="B24" i="7"/>
  <c r="I8" i="6" a="1"/>
  <c r="J5" i="6" a="1"/>
  <c r="F92" i="7"/>
  <c r="D89" i="7"/>
  <c r="H87" i="7"/>
  <c r="B86" i="7"/>
  <c r="F84" i="7"/>
  <c r="D81" i="7"/>
  <c r="B72" i="7"/>
  <c r="F64" i="7"/>
  <c r="D61" i="7"/>
  <c r="H59" i="7"/>
  <c r="B58" i="7"/>
  <c r="F56" i="7"/>
  <c r="H42" i="7"/>
  <c r="B41" i="7"/>
  <c r="F39" i="7"/>
  <c r="D22" i="7"/>
  <c r="U5" i="6" a="1"/>
  <c r="H15" i="7"/>
  <c r="M7" i="6" a="1"/>
  <c r="T5" i="6" a="1"/>
  <c r="B14" i="7"/>
  <c r="L7" i="6" a="1"/>
  <c r="F12" i="7"/>
  <c r="D9" i="7"/>
  <c r="H7" i="7"/>
  <c r="B6" i="7"/>
  <c r="T8" i="6" a="1"/>
  <c r="F78" i="7"/>
  <c r="S8" i="6" a="1"/>
  <c r="G6" i="6"/>
  <c r="S8" i="6" l="1"/>
  <c r="T8" i="6"/>
  <c r="C6" i="7"/>
  <c r="L7" i="6"/>
  <c r="C14" i="7"/>
  <c r="T5" i="6"/>
  <c r="M7" i="6"/>
  <c r="U5" i="6"/>
  <c r="C41" i="7"/>
  <c r="C58" i="7"/>
  <c r="C72" i="7"/>
  <c r="C86" i="7"/>
  <c r="J5" i="6"/>
  <c r="I8" i="6"/>
  <c r="C24" i="7"/>
  <c r="C32" i="7"/>
  <c r="C91" i="7"/>
  <c r="H6" i="6"/>
  <c r="J8" i="6"/>
  <c r="C29" i="7"/>
  <c r="C74" i="7"/>
  <c r="L5" i="6"/>
  <c r="S6" i="6"/>
  <c r="N7" i="6"/>
  <c r="U8" i="6"/>
  <c r="H9" i="6"/>
  <c r="C8" i="7"/>
  <c r="C16" i="7"/>
  <c r="C46" i="7"/>
  <c r="C60" i="7"/>
  <c r="C79" i="7"/>
  <c r="C88" i="7"/>
  <c r="I6" i="6"/>
  <c r="S9" i="6"/>
  <c r="M5" i="6"/>
  <c r="T6" i="6"/>
  <c r="L8" i="6"/>
  <c r="I9" i="6"/>
  <c r="C55" i="7"/>
  <c r="J6" i="6"/>
  <c r="T9" i="6"/>
  <c r="C83" i="7"/>
  <c r="N5" i="6"/>
  <c r="U6" i="6"/>
  <c r="M8" i="6"/>
  <c r="J9" i="6"/>
  <c r="H7" i="6"/>
  <c r="U9" i="6"/>
  <c r="L6" i="6"/>
  <c r="S7" i="6"/>
  <c r="N8" i="6"/>
  <c r="C11" i="7"/>
  <c r="I7" i="6"/>
  <c r="L9" i="6"/>
  <c r="M6" i="6"/>
  <c r="T7" i="6"/>
  <c r="H5" i="6"/>
  <c r="J7" i="6"/>
  <c r="M9" i="6"/>
  <c r="S5" i="6"/>
  <c r="N6" i="6"/>
  <c r="U7" i="6"/>
  <c r="C38" i="7"/>
  <c r="C63" i="7"/>
  <c r="I5" i="6"/>
  <c r="H8" i="6"/>
  <c r="N9" i="6"/>
  <c r="D1" i="6"/>
  <c r="AK27" i="1"/>
  <c r="AL27" i="1" s="1"/>
  <c r="AI27" i="1"/>
  <c r="AJ27" i="1" s="1"/>
  <c r="AH27" i="1"/>
  <c r="P87" i="1"/>
  <c r="Q59" i="1"/>
  <c r="AH56" i="1"/>
  <c r="AK56" i="1"/>
  <c r="AL56" i="1" s="1"/>
  <c r="AK35" i="1"/>
  <c r="AL35" i="1" s="1"/>
  <c r="AI35" i="1"/>
  <c r="AJ35" i="1" s="1"/>
  <c r="AH35" i="1"/>
  <c r="AF44" i="1"/>
  <c r="AD44" i="1"/>
  <c r="AE44" i="1" s="1"/>
  <c r="AC44" i="1"/>
  <c r="AD34" i="1"/>
  <c r="AE34" i="1" s="1"/>
  <c r="AI84" i="1"/>
  <c r="AJ84" i="1" s="1"/>
  <c r="AH84" i="1"/>
  <c r="AG105" i="1"/>
  <c r="Q105" i="1"/>
  <c r="J87" i="1"/>
  <c r="Z107" i="1"/>
  <c r="Z101" i="1"/>
  <c r="AA101" i="1" s="1"/>
  <c r="AA87" i="1"/>
  <c r="AH13" i="1"/>
  <c r="AH16" i="1"/>
  <c r="AH18" i="1"/>
  <c r="AH20" i="1"/>
  <c r="AH22" i="1"/>
  <c r="AH24" i="1"/>
  <c r="AH26" i="1"/>
  <c r="M27" i="1"/>
  <c r="AC27" i="1"/>
  <c r="AC30" i="1"/>
  <c r="AC32" i="1"/>
  <c r="AF34" i="1"/>
  <c r="K35" i="1"/>
  <c r="S44" i="1"/>
  <c r="AI81" i="1"/>
  <c r="AJ81" i="1" s="1"/>
  <c r="AB105" i="1"/>
  <c r="S105" i="1"/>
  <c r="AI16" i="1"/>
  <c r="AJ16" i="1" s="1"/>
  <c r="L87" i="1"/>
  <c r="M59" i="1"/>
  <c r="AH34" i="1"/>
  <c r="AC35" i="1"/>
  <c r="AC39" i="1"/>
  <c r="AK57" i="1"/>
  <c r="AL57" i="1" s="1"/>
  <c r="AK93" i="1"/>
  <c r="AL93" i="1" s="1"/>
  <c r="AI93" i="1"/>
  <c r="AJ93" i="1" s="1"/>
  <c r="AK77" i="2"/>
  <c r="AL77" i="2" s="1"/>
  <c r="AI77" i="2"/>
  <c r="AJ77" i="2" s="1"/>
  <c r="AH77" i="2"/>
  <c r="AK79" i="2"/>
  <c r="AL79" i="2" s="1"/>
  <c r="AI79" i="2"/>
  <c r="AJ79" i="2" s="1"/>
  <c r="AH79" i="2"/>
  <c r="AF32" i="1"/>
  <c r="B59" i="1"/>
  <c r="D87" i="2"/>
  <c r="E59" i="2"/>
  <c r="AJ54" i="3"/>
  <c r="AI13" i="1"/>
  <c r="AJ13" i="1" s="1"/>
  <c r="AI20" i="1"/>
  <c r="AJ20" i="1" s="1"/>
  <c r="AD30" i="1"/>
  <c r="AE30" i="1" s="1"/>
  <c r="AF27" i="1"/>
  <c r="AI8" i="1"/>
  <c r="AJ8" i="1" s="1"/>
  <c r="AD9" i="1"/>
  <c r="AE9" i="1" s="1"/>
  <c r="AD17" i="1"/>
  <c r="AE17" i="1" s="1"/>
  <c r="AD19" i="1"/>
  <c r="AE19" i="1" s="1"/>
  <c r="AD21" i="1"/>
  <c r="AE21" i="1" s="1"/>
  <c r="AD23" i="1"/>
  <c r="AE23" i="1" s="1"/>
  <c r="AD25" i="1"/>
  <c r="AE25" i="1" s="1"/>
  <c r="AK44" i="1"/>
  <c r="AL44" i="1" s="1"/>
  <c r="AG52" i="1"/>
  <c r="AH52" i="1" s="1"/>
  <c r="AI56" i="1"/>
  <c r="AJ56" i="1" s="1"/>
  <c r="AH85" i="1"/>
  <c r="AK85" i="1"/>
  <c r="AL85" i="1" s="1"/>
  <c r="AK99" i="1"/>
  <c r="AL99" i="1" s="1"/>
  <c r="AI99" i="1"/>
  <c r="AJ99" i="1" s="1"/>
  <c r="AG135" i="1"/>
  <c r="O135" i="1"/>
  <c r="AF141" i="1"/>
  <c r="AC141" i="1"/>
  <c r="AD34" i="2"/>
  <c r="AE34" i="2" s="1"/>
  <c r="AF34" i="2"/>
  <c r="AC34" i="2"/>
  <c r="F107" i="2"/>
  <c r="F101" i="2"/>
  <c r="G101" i="2" s="1"/>
  <c r="G87" i="2"/>
  <c r="V87" i="2"/>
  <c r="D87" i="3"/>
  <c r="E59" i="3"/>
  <c r="AF92" i="5"/>
  <c r="AD92" i="5"/>
  <c r="AE92" i="5" s="1"/>
  <c r="AC92" i="5"/>
  <c r="AH8" i="1"/>
  <c r="AD39" i="1"/>
  <c r="AE39" i="1" s="1"/>
  <c r="N87" i="1"/>
  <c r="O59" i="1"/>
  <c r="AD15" i="1"/>
  <c r="AE15" i="1" s="1"/>
  <c r="O9" i="1"/>
  <c r="AH30" i="1"/>
  <c r="AH32" i="1"/>
  <c r="AK34" i="1"/>
  <c r="AL34" i="1" s="1"/>
  <c r="AF35" i="1"/>
  <c r="AH41" i="1"/>
  <c r="K52" i="1"/>
  <c r="AG81" i="1"/>
  <c r="AD141" i="1"/>
  <c r="AE141" i="1" s="1"/>
  <c r="AI18" i="1"/>
  <c r="AJ18" i="1" s="1"/>
  <c r="AI24" i="1"/>
  <c r="AJ24" i="1" s="1"/>
  <c r="AF41" i="1"/>
  <c r="AC41" i="1"/>
  <c r="K59" i="1"/>
  <c r="AG70" i="1"/>
  <c r="AC44" i="2"/>
  <c r="AF44" i="2"/>
  <c r="AB141" i="2"/>
  <c r="AC141" i="2" s="1"/>
  <c r="Y141" i="2"/>
  <c r="AE140" i="2"/>
  <c r="AE25" i="2"/>
  <c r="AE23" i="2"/>
  <c r="AE21" i="2"/>
  <c r="AE19" i="2"/>
  <c r="AE40" i="2"/>
  <c r="AE15" i="2"/>
  <c r="AE72" i="2"/>
  <c r="AE18" i="2"/>
  <c r="AE112" i="2"/>
  <c r="AE17" i="2"/>
  <c r="AE84" i="2"/>
  <c r="AE42" i="2"/>
  <c r="AE37" i="2"/>
  <c r="AG9" i="1"/>
  <c r="AH39" i="1"/>
  <c r="AK53" i="1"/>
  <c r="AL53" i="1" s="1"/>
  <c r="AI53" i="1"/>
  <c r="AJ53" i="1" s="1"/>
  <c r="AK83" i="1"/>
  <c r="AL83" i="1" s="1"/>
  <c r="AI83" i="1"/>
  <c r="AJ83" i="1" s="1"/>
  <c r="AH83" i="1"/>
  <c r="AK95" i="1"/>
  <c r="AL95" i="1" s="1"/>
  <c r="AI95" i="1"/>
  <c r="AJ95" i="1" s="1"/>
  <c r="AI22" i="1"/>
  <c r="AJ22" i="1" s="1"/>
  <c r="AF56" i="1"/>
  <c r="AD56" i="1"/>
  <c r="AE56" i="1" s="1"/>
  <c r="R59" i="1"/>
  <c r="K9" i="2"/>
  <c r="J59" i="2"/>
  <c r="AG9" i="2"/>
  <c r="AK24" i="2"/>
  <c r="AL24" i="2" s="1"/>
  <c r="AI24" i="2"/>
  <c r="AJ24" i="2" s="1"/>
  <c r="AH24" i="2"/>
  <c r="AK140" i="1"/>
  <c r="AL140" i="1" s="1"/>
  <c r="AH140" i="1"/>
  <c r="AI15" i="1"/>
  <c r="AJ15" i="1" s="1"/>
  <c r="AI17" i="1"/>
  <c r="AJ17" i="1" s="1"/>
  <c r="AI19" i="1"/>
  <c r="AJ19" i="1" s="1"/>
  <c r="AI21" i="1"/>
  <c r="AJ21" i="1" s="1"/>
  <c r="AI23" i="1"/>
  <c r="AJ23" i="1" s="1"/>
  <c r="Y34" i="1"/>
  <c r="AC56" i="1"/>
  <c r="AB99" i="1"/>
  <c r="AC99" i="1" s="1"/>
  <c r="S99" i="1"/>
  <c r="AI70" i="1"/>
  <c r="AJ70" i="1" s="1"/>
  <c r="AI26" i="1"/>
  <c r="AJ26" i="1" s="1"/>
  <c r="W59" i="1"/>
  <c r="AK84" i="1"/>
  <c r="AL84" i="1" s="1"/>
  <c r="AG141" i="1"/>
  <c r="M141" i="1"/>
  <c r="AE121" i="2"/>
  <c r="AD122" i="2"/>
  <c r="AE122" i="2" s="1"/>
  <c r="AF122" i="2"/>
  <c r="AC122" i="2"/>
  <c r="T87" i="1"/>
  <c r="U59" i="1"/>
  <c r="AH7" i="1"/>
  <c r="E9" i="1"/>
  <c r="U9" i="1"/>
  <c r="AC13" i="1"/>
  <c r="AC16" i="1"/>
  <c r="AC18" i="1"/>
  <c r="AC20" i="1"/>
  <c r="AC22" i="1"/>
  <c r="AC24" i="1"/>
  <c r="AC26" i="1"/>
  <c r="AD37" i="1"/>
  <c r="AE37" i="1" s="1"/>
  <c r="AD40" i="1"/>
  <c r="AE40" i="1" s="1"/>
  <c r="AF43" i="1"/>
  <c r="AD43" i="1"/>
  <c r="AE43" i="1" s="1"/>
  <c r="AC43" i="1"/>
  <c r="AC49" i="1"/>
  <c r="S52" i="1"/>
  <c r="AB52" i="1"/>
  <c r="AA59" i="1"/>
  <c r="AF145" i="1"/>
  <c r="D87" i="1"/>
  <c r="E59" i="1"/>
  <c r="AI7" i="1"/>
  <c r="AJ7" i="1" s="1"/>
  <c r="F87" i="1"/>
  <c r="V107" i="1"/>
  <c r="V101" i="1"/>
  <c r="W101" i="1" s="1"/>
  <c r="W87" i="1"/>
  <c r="AD13" i="1"/>
  <c r="AE13" i="1" s="1"/>
  <c r="AD16" i="1"/>
  <c r="AE16" i="1" s="1"/>
  <c r="AD18" i="1"/>
  <c r="AE18" i="1" s="1"/>
  <c r="AD20" i="1"/>
  <c r="AE20" i="1" s="1"/>
  <c r="AD22" i="1"/>
  <c r="AE22" i="1" s="1"/>
  <c r="AD24" i="1"/>
  <c r="AE24" i="1" s="1"/>
  <c r="AD26" i="1"/>
  <c r="AE26" i="1" s="1"/>
  <c r="AD49" i="1"/>
  <c r="AE49" i="1" s="1"/>
  <c r="AK97" i="1"/>
  <c r="AL97" i="1" s="1"/>
  <c r="AI97" i="1"/>
  <c r="AJ97" i="1" s="1"/>
  <c r="AH97" i="1"/>
  <c r="AF99" i="1"/>
  <c r="AF16" i="2"/>
  <c r="AC16" i="2"/>
  <c r="AK55" i="1"/>
  <c r="AL55" i="1" s="1"/>
  <c r="AI55" i="1"/>
  <c r="AJ55" i="1" s="1"/>
  <c r="AI57" i="1"/>
  <c r="AJ57" i="1" s="1"/>
  <c r="AD57" i="1"/>
  <c r="AE57" i="1" s="1"/>
  <c r="Y57" i="1"/>
  <c r="AK91" i="1"/>
  <c r="AL91" i="1" s="1"/>
  <c r="AI91" i="1"/>
  <c r="AJ91" i="1" s="1"/>
  <c r="AD135" i="1"/>
  <c r="AE135" i="1" s="1"/>
  <c r="AE16" i="2"/>
  <c r="AF30" i="2"/>
  <c r="AD30" i="2"/>
  <c r="AE30" i="2" s="1"/>
  <c r="AC30" i="2"/>
  <c r="H59" i="1"/>
  <c r="X87" i="1"/>
  <c r="Y59" i="1"/>
  <c r="AH55" i="1"/>
  <c r="AF84" i="1"/>
  <c r="AD84" i="1"/>
  <c r="AE84" i="1" s="1"/>
  <c r="AC84" i="1"/>
  <c r="AI85" i="1"/>
  <c r="AJ85" i="1" s="1"/>
  <c r="AH91" i="1"/>
  <c r="AF135" i="1"/>
  <c r="AB70" i="1"/>
  <c r="AG145" i="1"/>
  <c r="L87" i="2"/>
  <c r="M59" i="2"/>
  <c r="AI19" i="2"/>
  <c r="AJ19" i="2" s="1"/>
  <c r="AH19" i="2"/>
  <c r="AK19" i="2"/>
  <c r="AL19" i="2" s="1"/>
  <c r="AF20" i="2"/>
  <c r="AC20" i="2"/>
  <c r="AG27" i="2"/>
  <c r="K27" i="2"/>
  <c r="AG35" i="2"/>
  <c r="AE56" i="2"/>
  <c r="AB70" i="2"/>
  <c r="S70" i="2"/>
  <c r="AB81" i="2"/>
  <c r="AC81" i="2" s="1"/>
  <c r="S81" i="2"/>
  <c r="AE94" i="2"/>
  <c r="AE95" i="2"/>
  <c r="K105" i="2"/>
  <c r="AG105" i="2"/>
  <c r="N87" i="2"/>
  <c r="O59" i="2"/>
  <c r="AI56" i="2"/>
  <c r="AJ56" i="2" s="1"/>
  <c r="AH56" i="2"/>
  <c r="AE65" i="2"/>
  <c r="AE90" i="2"/>
  <c r="AE91" i="2"/>
  <c r="AF125" i="2"/>
  <c r="AD125" i="2"/>
  <c r="AE125" i="2" s="1"/>
  <c r="AJ104" i="3"/>
  <c r="S145" i="1"/>
  <c r="AK29" i="2"/>
  <c r="AL29" i="2" s="1"/>
  <c r="W34" i="2"/>
  <c r="AG99" i="2"/>
  <c r="AC125" i="2"/>
  <c r="AF144" i="3"/>
  <c r="AD144" i="3"/>
  <c r="AG44" i="1"/>
  <c r="AC63" i="1"/>
  <c r="AC66" i="1"/>
  <c r="AC68" i="1"/>
  <c r="S81" i="1"/>
  <c r="Y85" i="1"/>
  <c r="S135" i="1"/>
  <c r="P87" i="2"/>
  <c r="Q59" i="2"/>
  <c r="AH16" i="2"/>
  <c r="AI25" i="2"/>
  <c r="AJ25" i="2" s="1"/>
  <c r="AH25" i="2"/>
  <c r="AK25" i="2"/>
  <c r="AL25" i="2" s="1"/>
  <c r="AF26" i="2"/>
  <c r="AC26" i="2"/>
  <c r="AD31" i="2"/>
  <c r="AE31" i="2" s="1"/>
  <c r="AC31" i="2"/>
  <c r="AF31" i="2"/>
  <c r="M44" i="2"/>
  <c r="AG44" i="2"/>
  <c r="AE50" i="2"/>
  <c r="AE51" i="2"/>
  <c r="AE54" i="2"/>
  <c r="AE55" i="2"/>
  <c r="AF66" i="2"/>
  <c r="AC66" i="2"/>
  <c r="AD70" i="2"/>
  <c r="AE70" i="2" s="1"/>
  <c r="AH111" i="2"/>
  <c r="AI111" i="2"/>
  <c r="AJ111" i="2" s="1"/>
  <c r="AC144" i="3"/>
  <c r="AD63" i="1"/>
  <c r="AE63" i="1" s="1"/>
  <c r="AD66" i="1"/>
  <c r="AE66" i="1" s="1"/>
  <c r="AD68" i="1"/>
  <c r="AE68" i="1" s="1"/>
  <c r="Q9" i="2"/>
  <c r="AC13" i="2"/>
  <c r="AK16" i="2"/>
  <c r="AL16" i="2" s="1"/>
  <c r="AK20" i="2"/>
  <c r="AL20" i="2" s="1"/>
  <c r="AD26" i="2"/>
  <c r="AE26" i="2" s="1"/>
  <c r="AD66" i="2"/>
  <c r="AE66" i="2" s="1"/>
  <c r="AF81" i="2"/>
  <c r="AK78" i="3"/>
  <c r="AL78" i="3" s="1"/>
  <c r="AI78" i="3"/>
  <c r="AJ78" i="3" s="1"/>
  <c r="AH78" i="3"/>
  <c r="AJ111" i="3"/>
  <c r="R87" i="2"/>
  <c r="S59" i="2"/>
  <c r="AE39" i="2"/>
  <c r="AE43" i="2"/>
  <c r="AE46" i="2"/>
  <c r="AK54" i="2"/>
  <c r="AL54" i="2" s="1"/>
  <c r="AI54" i="2"/>
  <c r="AJ54" i="2" s="1"/>
  <c r="AH54" i="2"/>
  <c r="AI72" i="1"/>
  <c r="AJ72" i="1" s="1"/>
  <c r="AI75" i="1"/>
  <c r="AJ75" i="1" s="1"/>
  <c r="AI77" i="1"/>
  <c r="AJ77" i="1" s="1"/>
  <c r="AI79" i="1"/>
  <c r="AJ79" i="1" s="1"/>
  <c r="AD82" i="1"/>
  <c r="AE82" i="1" s="1"/>
  <c r="AB85" i="1"/>
  <c r="AC85" i="1" s="1"/>
  <c r="AC104" i="1"/>
  <c r="AI111" i="1"/>
  <c r="AJ111" i="1" s="1"/>
  <c r="AI113" i="1"/>
  <c r="AJ113" i="1" s="1"/>
  <c r="AI115" i="1"/>
  <c r="AJ115" i="1" s="1"/>
  <c r="AI117" i="1"/>
  <c r="AJ117" i="1" s="1"/>
  <c r="AI119" i="1"/>
  <c r="AJ119" i="1" s="1"/>
  <c r="AI121" i="1"/>
  <c r="AJ121" i="1" s="1"/>
  <c r="AI123" i="1"/>
  <c r="AJ123" i="1" s="1"/>
  <c r="AI125" i="1"/>
  <c r="AJ125" i="1" s="1"/>
  <c r="AI127" i="1"/>
  <c r="AJ127" i="1" s="1"/>
  <c r="AI129" i="1"/>
  <c r="AJ129" i="1" s="1"/>
  <c r="AI131" i="1"/>
  <c r="AJ131" i="1" s="1"/>
  <c r="AI133" i="1"/>
  <c r="AJ133" i="1" s="1"/>
  <c r="B87" i="2"/>
  <c r="C59" i="2"/>
  <c r="AI21" i="2"/>
  <c r="AJ21" i="2" s="1"/>
  <c r="AH21" i="2"/>
  <c r="AK21" i="2"/>
  <c r="AL21" i="2" s="1"/>
  <c r="AF22" i="2"/>
  <c r="AC22" i="2"/>
  <c r="AK26" i="2"/>
  <c r="AL26" i="2" s="1"/>
  <c r="AI26" i="2"/>
  <c r="AJ26" i="2" s="1"/>
  <c r="AH31" i="2"/>
  <c r="AF32" i="2"/>
  <c r="AD32" i="2"/>
  <c r="AE32" i="2" s="1"/>
  <c r="AD47" i="2"/>
  <c r="AE47" i="2" s="1"/>
  <c r="AC47" i="2"/>
  <c r="AK85" i="2"/>
  <c r="AL85" i="2" s="1"/>
  <c r="AI85" i="2"/>
  <c r="AJ85" i="2" s="1"/>
  <c r="AF85" i="2"/>
  <c r="Y85" i="2"/>
  <c r="AH42" i="1"/>
  <c r="AC46" i="1"/>
  <c r="AC48" i="1"/>
  <c r="K99" i="1"/>
  <c r="AD104" i="1"/>
  <c r="AE104" i="1" s="1"/>
  <c r="AK141" i="1"/>
  <c r="AL141" i="1" s="1"/>
  <c r="AC144" i="1"/>
  <c r="AB9" i="2"/>
  <c r="AI17" i="2"/>
  <c r="AJ17" i="2" s="1"/>
  <c r="AH17" i="2"/>
  <c r="AK17" i="2"/>
  <c r="AL17" i="2" s="1"/>
  <c r="AF18" i="2"/>
  <c r="AC18" i="2"/>
  <c r="AD22" i="2"/>
  <c r="AE22" i="2" s="1"/>
  <c r="AH26" i="2"/>
  <c r="AG34" i="2"/>
  <c r="K34" i="2"/>
  <c r="S35" i="2"/>
  <c r="AB35" i="2"/>
  <c r="AC35" i="2" s="1"/>
  <c r="AF57" i="2"/>
  <c r="AD57" i="2"/>
  <c r="AE57" i="2" s="1"/>
  <c r="AC57" i="2"/>
  <c r="AE67" i="2"/>
  <c r="AF82" i="2"/>
  <c r="AD82" i="2"/>
  <c r="AE82" i="2" s="1"/>
  <c r="AK27" i="3"/>
  <c r="AL27" i="3" s="1"/>
  <c r="AI27" i="3"/>
  <c r="AH27" i="3"/>
  <c r="AK31" i="2"/>
  <c r="AL31" i="2" s="1"/>
  <c r="AK57" i="2"/>
  <c r="AL57" i="2" s="1"/>
  <c r="AI57" i="2"/>
  <c r="AJ57" i="2" s="1"/>
  <c r="AH57" i="2"/>
  <c r="AG70" i="2"/>
  <c r="AE83" i="2"/>
  <c r="AE92" i="2"/>
  <c r="AE93" i="2"/>
  <c r="AE104" i="2"/>
  <c r="AE113" i="2"/>
  <c r="AK114" i="2"/>
  <c r="AL114" i="2" s="1"/>
  <c r="AH114" i="2"/>
  <c r="AF115" i="2"/>
  <c r="AD115" i="2"/>
  <c r="AE115" i="2" s="1"/>
  <c r="AC115" i="2"/>
  <c r="AH117" i="2"/>
  <c r="AI117" i="2"/>
  <c r="AJ117" i="2" s="1"/>
  <c r="AE135" i="2"/>
  <c r="AE7" i="2"/>
  <c r="AK27" i="2"/>
  <c r="AL27" i="2" s="1"/>
  <c r="AD33" i="2"/>
  <c r="AE33" i="2" s="1"/>
  <c r="AC33" i="2"/>
  <c r="AF33" i="2"/>
  <c r="AF68" i="2"/>
  <c r="AC68" i="2"/>
  <c r="AG81" i="2"/>
  <c r="H87" i="3"/>
  <c r="I59" i="3"/>
  <c r="AI54" i="1"/>
  <c r="AJ54" i="1" s="1"/>
  <c r="AH82" i="1"/>
  <c r="AI90" i="1"/>
  <c r="AJ90" i="1" s="1"/>
  <c r="AI92" i="1"/>
  <c r="AJ92" i="1" s="1"/>
  <c r="AI94" i="1"/>
  <c r="AJ94" i="1" s="1"/>
  <c r="AI96" i="1"/>
  <c r="AJ96" i="1" s="1"/>
  <c r="AI98" i="1"/>
  <c r="AJ98" i="1" s="1"/>
  <c r="AC140" i="1"/>
  <c r="W9" i="2"/>
  <c r="AH22" i="2"/>
  <c r="G59" i="2"/>
  <c r="AD68" i="2"/>
  <c r="AE68" i="2" s="1"/>
  <c r="AK72" i="2"/>
  <c r="AL72" i="2" s="1"/>
  <c r="AI72" i="2"/>
  <c r="AJ72" i="2" s="1"/>
  <c r="AE98" i="2"/>
  <c r="AK117" i="2"/>
  <c r="AL117" i="2" s="1"/>
  <c r="AI82" i="1"/>
  <c r="AJ82" i="1" s="1"/>
  <c r="AD140" i="1"/>
  <c r="AE140" i="1" s="1"/>
  <c r="X87" i="2"/>
  <c r="Y59" i="2"/>
  <c r="AH18" i="2"/>
  <c r="AK22" i="2"/>
  <c r="AL22" i="2" s="1"/>
  <c r="T59" i="2"/>
  <c r="AH72" i="2"/>
  <c r="AG85" i="2"/>
  <c r="AH85" i="2" s="1"/>
  <c r="AE39" i="3"/>
  <c r="AH144" i="1"/>
  <c r="H87" i="2"/>
  <c r="I59" i="2"/>
  <c r="AK18" i="2"/>
  <c r="AL18" i="2" s="1"/>
  <c r="AB27" i="2"/>
  <c r="AH33" i="2"/>
  <c r="AI35" i="2"/>
  <c r="AJ35" i="2" s="1"/>
  <c r="AF35" i="2"/>
  <c r="AD35" i="2"/>
  <c r="AE35" i="2" s="1"/>
  <c r="Y35" i="2"/>
  <c r="AD44" i="2"/>
  <c r="AE44" i="2" s="1"/>
  <c r="AE48" i="2"/>
  <c r="AK56" i="2"/>
  <c r="AL56" i="2" s="1"/>
  <c r="AK75" i="2"/>
  <c r="AL75" i="2" s="1"/>
  <c r="AI75" i="2"/>
  <c r="AJ75" i="2" s="1"/>
  <c r="K85" i="2"/>
  <c r="AH98" i="2"/>
  <c r="AK98" i="2"/>
  <c r="AL98" i="2" s="1"/>
  <c r="AI98" i="2"/>
  <c r="AJ98" i="2" s="1"/>
  <c r="AG135" i="2"/>
  <c r="AH135" i="2" s="1"/>
  <c r="K135" i="2"/>
  <c r="AI7" i="2"/>
  <c r="AJ7" i="2" s="1"/>
  <c r="AF8" i="2"/>
  <c r="AC8" i="2"/>
  <c r="AA9" i="2"/>
  <c r="Z59" i="2"/>
  <c r="AI15" i="2"/>
  <c r="AJ15" i="2" s="1"/>
  <c r="AI23" i="2"/>
  <c r="AJ23" i="2" s="1"/>
  <c r="AH23" i="2"/>
  <c r="AK23" i="2"/>
  <c r="AL23" i="2" s="1"/>
  <c r="AF24" i="2"/>
  <c r="AC24" i="2"/>
  <c r="AD29" i="2"/>
  <c r="AE29" i="2" s="1"/>
  <c r="AC29" i="2"/>
  <c r="AF29" i="2"/>
  <c r="AE41" i="2"/>
  <c r="AE49" i="2"/>
  <c r="AE53" i="2"/>
  <c r="AF63" i="2"/>
  <c r="AC63" i="2"/>
  <c r="AE69" i="2"/>
  <c r="AH75" i="2"/>
  <c r="AF121" i="2"/>
  <c r="AC121" i="2"/>
  <c r="AB52" i="2"/>
  <c r="AK65" i="2"/>
  <c r="AL65" i="2" s="1"/>
  <c r="AK67" i="2"/>
  <c r="AL67" i="2" s="1"/>
  <c r="AK69" i="2"/>
  <c r="AL69" i="2" s="1"/>
  <c r="AF72" i="2"/>
  <c r="AF75" i="2"/>
  <c r="AF77" i="2"/>
  <c r="AF79" i="2"/>
  <c r="AB105" i="2"/>
  <c r="AD118" i="2"/>
  <c r="AE118" i="2" s="1"/>
  <c r="AF118" i="2"/>
  <c r="AK34" i="3"/>
  <c r="AL34" i="3" s="1"/>
  <c r="AK76" i="3"/>
  <c r="AL76" i="3" s="1"/>
  <c r="AI76" i="3"/>
  <c r="AH76" i="3"/>
  <c r="AG84" i="2"/>
  <c r="AK84" i="2" s="1"/>
  <c r="AL84" i="2" s="1"/>
  <c r="AB85" i="2"/>
  <c r="AC85" i="2" s="1"/>
  <c r="AF133" i="2"/>
  <c r="AD133" i="2"/>
  <c r="AE133" i="2" s="1"/>
  <c r="AE9" i="3"/>
  <c r="AE20" i="3"/>
  <c r="AK30" i="3"/>
  <c r="AL30" i="3" s="1"/>
  <c r="AI30" i="3"/>
  <c r="AH30" i="3"/>
  <c r="AD47" i="3"/>
  <c r="AF47" i="3"/>
  <c r="S56" i="3"/>
  <c r="AB56" i="3"/>
  <c r="AC56" i="3" s="1"/>
  <c r="AD126" i="2"/>
  <c r="AE126" i="2" s="1"/>
  <c r="AF126" i="2"/>
  <c r="K107" i="3"/>
  <c r="J137" i="3"/>
  <c r="AJ31" i="3"/>
  <c r="AK50" i="3"/>
  <c r="AL50" i="3" s="1"/>
  <c r="AH50" i="3"/>
  <c r="AD51" i="3"/>
  <c r="AF51" i="3"/>
  <c r="AG44" i="4"/>
  <c r="AH44" i="4" s="1"/>
  <c r="K44" i="4"/>
  <c r="AC126" i="2"/>
  <c r="AE129" i="2"/>
  <c r="AD134" i="2"/>
  <c r="AE134" i="2" s="1"/>
  <c r="AC134" i="2"/>
  <c r="AF134" i="2"/>
  <c r="AE144" i="2"/>
  <c r="AE7" i="3"/>
  <c r="AJ13" i="3"/>
  <c r="AE26" i="3"/>
  <c r="AI50" i="3"/>
  <c r="AC51" i="3"/>
  <c r="AK114" i="3"/>
  <c r="AL114" i="3" s="1"/>
  <c r="AI114" i="3"/>
  <c r="AH114" i="3"/>
  <c r="AD27" i="2"/>
  <c r="AE27" i="2" s="1"/>
  <c r="AI63" i="2"/>
  <c r="AJ63" i="2" s="1"/>
  <c r="AI66" i="2"/>
  <c r="AJ66" i="2" s="1"/>
  <c r="AI68" i="2"/>
  <c r="AJ68" i="2" s="1"/>
  <c r="AD71" i="2"/>
  <c r="AE71" i="2" s="1"/>
  <c r="AD74" i="2"/>
  <c r="AE74" i="2" s="1"/>
  <c r="AD76" i="2"/>
  <c r="AE76" i="2" s="1"/>
  <c r="AD78" i="2"/>
  <c r="AE78" i="2" s="1"/>
  <c r="AD80" i="2"/>
  <c r="AE80" i="2" s="1"/>
  <c r="Y81" i="2"/>
  <c r="AH90" i="2"/>
  <c r="AH92" i="2"/>
  <c r="AH94" i="2"/>
  <c r="S99" i="2"/>
  <c r="AI112" i="2"/>
  <c r="AJ112" i="2" s="1"/>
  <c r="AI115" i="2"/>
  <c r="AJ115" i="2" s="1"/>
  <c r="AD116" i="2"/>
  <c r="AE116" i="2" s="1"/>
  <c r="AF116" i="2"/>
  <c r="AH122" i="2"/>
  <c r="AD130" i="2"/>
  <c r="AE130" i="2" s="1"/>
  <c r="AC130" i="2"/>
  <c r="AF130" i="2"/>
  <c r="AJ7" i="3"/>
  <c r="L87" i="3"/>
  <c r="M59" i="3"/>
  <c r="AG99" i="3"/>
  <c r="Q99" i="3"/>
  <c r="AI52" i="2"/>
  <c r="AJ52" i="2" s="1"/>
  <c r="AH82" i="2"/>
  <c r="AI90" i="2"/>
  <c r="AJ90" i="2" s="1"/>
  <c r="AI92" i="2"/>
  <c r="AJ92" i="2" s="1"/>
  <c r="AI94" i="2"/>
  <c r="AJ94" i="2" s="1"/>
  <c r="AK96" i="2"/>
  <c r="AL96" i="2" s="1"/>
  <c r="AC97" i="2"/>
  <c r="AH104" i="2"/>
  <c r="AF110" i="2"/>
  <c r="AC116" i="2"/>
  <c r="AC119" i="2"/>
  <c r="AI122" i="2"/>
  <c r="AJ122" i="2" s="1"/>
  <c r="AG141" i="2"/>
  <c r="AH141" i="2" s="1"/>
  <c r="AE16" i="3"/>
  <c r="AK32" i="3"/>
  <c r="AL32" i="3" s="1"/>
  <c r="AI32" i="3"/>
  <c r="AH32" i="3"/>
  <c r="AB34" i="3"/>
  <c r="AC34" i="3" s="1"/>
  <c r="AD99" i="3"/>
  <c r="AC99" i="3"/>
  <c r="AF99" i="3"/>
  <c r="AI82" i="2"/>
  <c r="AJ82" i="2" s="1"/>
  <c r="AD97" i="2"/>
  <c r="AE97" i="2" s="1"/>
  <c r="AI104" i="2"/>
  <c r="AJ104" i="2" s="1"/>
  <c r="AK115" i="2"/>
  <c r="AL115" i="2" s="1"/>
  <c r="AD119" i="2"/>
  <c r="AE119" i="2" s="1"/>
  <c r="N59" i="3"/>
  <c r="AG9" i="3"/>
  <c r="AH9" i="3" s="1"/>
  <c r="O9" i="3"/>
  <c r="AK39" i="3"/>
  <c r="AL39" i="3" s="1"/>
  <c r="AI39" i="3"/>
  <c r="AB57" i="3"/>
  <c r="S57" i="3"/>
  <c r="AG70" i="3"/>
  <c r="AH70" i="3" s="1"/>
  <c r="K70" i="3"/>
  <c r="AH46" i="2"/>
  <c r="AH48" i="2"/>
  <c r="AH50" i="2"/>
  <c r="AK52" i="2"/>
  <c r="AL52" i="2" s="1"/>
  <c r="AC53" i="2"/>
  <c r="AC55" i="2"/>
  <c r="AI119" i="2"/>
  <c r="AJ119" i="2" s="1"/>
  <c r="AH119" i="2"/>
  <c r="AD120" i="2"/>
  <c r="AE120" i="2" s="1"/>
  <c r="AF120" i="2"/>
  <c r="AJ144" i="2"/>
  <c r="P87" i="3"/>
  <c r="Q59" i="3"/>
  <c r="AH71" i="2"/>
  <c r="AH74" i="2"/>
  <c r="AH76" i="2"/>
  <c r="AH78" i="2"/>
  <c r="AH80" i="2"/>
  <c r="AC83" i="2"/>
  <c r="AH116" i="2"/>
  <c r="AC120" i="2"/>
  <c r="AD123" i="2"/>
  <c r="AE123" i="2" s="1"/>
  <c r="AD124" i="2"/>
  <c r="AE124" i="2" s="1"/>
  <c r="AF124" i="2"/>
  <c r="T87" i="3"/>
  <c r="U59" i="3"/>
  <c r="AJ16" i="3"/>
  <c r="AF34" i="3"/>
  <c r="S44" i="3"/>
  <c r="AB44" i="3"/>
  <c r="AC44" i="3" s="1"/>
  <c r="AC49" i="2"/>
  <c r="AC51" i="2"/>
  <c r="AH97" i="2"/>
  <c r="AC111" i="2"/>
  <c r="AI113" i="2"/>
  <c r="AJ113" i="2" s="1"/>
  <c r="AD114" i="2"/>
  <c r="AE114" i="2" s="1"/>
  <c r="AF114" i="2"/>
  <c r="AC124" i="2"/>
  <c r="AE127" i="2"/>
  <c r="AC131" i="2"/>
  <c r="AJ8" i="3"/>
  <c r="AG35" i="3"/>
  <c r="Q35" i="3"/>
  <c r="AK41" i="3"/>
  <c r="AL41" i="3" s="1"/>
  <c r="AH41" i="3"/>
  <c r="AF42" i="3"/>
  <c r="AD42" i="3"/>
  <c r="AC42" i="3"/>
  <c r="AB85" i="3"/>
  <c r="AC85" i="3" s="1"/>
  <c r="AG85" i="3"/>
  <c r="S85" i="3"/>
  <c r="AH65" i="2"/>
  <c r="AH67" i="2"/>
  <c r="AH69" i="2"/>
  <c r="AC72" i="2"/>
  <c r="AC75" i="2"/>
  <c r="AC77" i="2"/>
  <c r="AC79" i="2"/>
  <c r="AI97" i="2"/>
  <c r="AJ97" i="2" s="1"/>
  <c r="AK105" i="2"/>
  <c r="AL105" i="2" s="1"/>
  <c r="AD111" i="2"/>
  <c r="AE111" i="2" s="1"/>
  <c r="AC114" i="2"/>
  <c r="AC117" i="2"/>
  <c r="AH120" i="2"/>
  <c r="AD128" i="2"/>
  <c r="AE128" i="2" s="1"/>
  <c r="AF128" i="2"/>
  <c r="AD131" i="2"/>
  <c r="AE131" i="2" s="1"/>
  <c r="AD27" i="3"/>
  <c r="AI41" i="3"/>
  <c r="AJ41" i="3" s="1"/>
  <c r="AK113" i="2"/>
  <c r="AL113" i="2" s="1"/>
  <c r="AD117" i="2"/>
  <c r="AE117" i="2" s="1"/>
  <c r="AD132" i="2"/>
  <c r="AE132" i="2" s="1"/>
  <c r="AC132" i="2"/>
  <c r="AF132" i="2"/>
  <c r="AF27" i="3"/>
  <c r="AB145" i="2"/>
  <c r="AI34" i="3"/>
  <c r="AF39" i="3"/>
  <c r="AD63" i="3"/>
  <c r="AC63" i="3"/>
  <c r="AF68" i="3"/>
  <c r="AD68" i="3"/>
  <c r="AC68" i="3"/>
  <c r="AJ77" i="3"/>
  <c r="AB84" i="3"/>
  <c r="AC84" i="3" s="1"/>
  <c r="AK112" i="3"/>
  <c r="AL112" i="3" s="1"/>
  <c r="AI112" i="3"/>
  <c r="AE114" i="3"/>
  <c r="AK134" i="3"/>
  <c r="AL134" i="3" s="1"/>
  <c r="AI134" i="3"/>
  <c r="AH134" i="3"/>
  <c r="AI27" i="4"/>
  <c r="AJ27" i="4" s="1"/>
  <c r="AH27" i="4"/>
  <c r="AK44" i="3"/>
  <c r="AL44" i="3" s="1"/>
  <c r="AI141" i="3"/>
  <c r="AH141" i="3"/>
  <c r="N87" i="4"/>
  <c r="O59" i="4"/>
  <c r="AG57" i="5"/>
  <c r="AH57" i="5" s="1"/>
  <c r="K57" i="5"/>
  <c r="N87" i="5"/>
  <c r="O59" i="5"/>
  <c r="AD48" i="3"/>
  <c r="AC48" i="3"/>
  <c r="AD57" i="3"/>
  <c r="AE57" i="3" s="1"/>
  <c r="Y84" i="3"/>
  <c r="AK116" i="3"/>
  <c r="AL116" i="3" s="1"/>
  <c r="AI116" i="3"/>
  <c r="AJ116" i="3" s="1"/>
  <c r="AE118" i="3"/>
  <c r="AI81" i="4"/>
  <c r="AJ81" i="4" s="1"/>
  <c r="AD81" i="4"/>
  <c r="AE81" i="4" s="1"/>
  <c r="Y81" i="4"/>
  <c r="Q9" i="3"/>
  <c r="S35" i="3"/>
  <c r="AD53" i="3"/>
  <c r="AE53" i="3" s="1"/>
  <c r="AC69" i="3"/>
  <c r="AK71" i="3"/>
  <c r="AL71" i="3" s="1"/>
  <c r="AI71" i="3"/>
  <c r="AK80" i="3"/>
  <c r="AL80" i="3" s="1"/>
  <c r="AI80" i="3"/>
  <c r="AD91" i="3"/>
  <c r="AE91" i="3" s="1"/>
  <c r="AD95" i="3"/>
  <c r="AE95" i="3" s="1"/>
  <c r="AH116" i="3"/>
  <c r="AJ127" i="3"/>
  <c r="AC135" i="3"/>
  <c r="B87" i="3"/>
  <c r="C59" i="3"/>
  <c r="R59" i="3"/>
  <c r="AH15" i="3"/>
  <c r="AH17" i="3"/>
  <c r="AH19" i="3"/>
  <c r="AH21" i="3"/>
  <c r="AH23" i="3"/>
  <c r="AH25" i="3"/>
  <c r="AC29" i="3"/>
  <c r="AC31" i="3"/>
  <c r="AC33" i="3"/>
  <c r="AD40" i="3"/>
  <c r="AE40" i="3" s="1"/>
  <c r="AF48" i="3"/>
  <c r="AD85" i="3"/>
  <c r="AE85" i="3" s="1"/>
  <c r="AK118" i="3"/>
  <c r="AL118" i="3" s="1"/>
  <c r="AI118" i="3"/>
  <c r="AJ118" i="3" s="1"/>
  <c r="AD135" i="3"/>
  <c r="R87" i="4"/>
  <c r="S59" i="4"/>
  <c r="AI145" i="2"/>
  <c r="AJ145" i="2" s="1"/>
  <c r="C9" i="3"/>
  <c r="S9" i="3"/>
  <c r="AI9" i="3"/>
  <c r="AJ9" i="3" s="1"/>
  <c r="AI15" i="3"/>
  <c r="AJ15" i="3" s="1"/>
  <c r="AI17" i="3"/>
  <c r="AJ17" i="3" s="1"/>
  <c r="AI19" i="3"/>
  <c r="AI21" i="3"/>
  <c r="AJ21" i="3" s="1"/>
  <c r="AI23" i="3"/>
  <c r="AI25" i="3"/>
  <c r="AJ25" i="3" s="1"/>
  <c r="AD29" i="3"/>
  <c r="AD31" i="3"/>
  <c r="AD33" i="3"/>
  <c r="Y34" i="3"/>
  <c r="AC37" i="3"/>
  <c r="AI42" i="3"/>
  <c r="S52" i="3"/>
  <c r="AD65" i="3"/>
  <c r="AJ72" i="3"/>
  <c r="AG84" i="3"/>
  <c r="AH84" i="3" s="1"/>
  <c r="AJ91" i="3"/>
  <c r="AH118" i="3"/>
  <c r="AE130" i="3"/>
  <c r="AD37" i="3"/>
  <c r="AG44" i="3"/>
  <c r="AH44" i="3" s="1"/>
  <c r="AH48" i="3"/>
  <c r="Y56" i="3"/>
  <c r="AD66" i="3"/>
  <c r="AC66" i="3"/>
  <c r="AK120" i="3"/>
  <c r="AL120" i="3" s="1"/>
  <c r="AI120" i="3"/>
  <c r="AE122" i="3"/>
  <c r="AK129" i="3"/>
  <c r="AL129" i="3" s="1"/>
  <c r="AI129" i="3"/>
  <c r="AJ129" i="3" s="1"/>
  <c r="U59" i="4"/>
  <c r="T87" i="4"/>
  <c r="AK145" i="2"/>
  <c r="AL145" i="2" s="1"/>
  <c r="AK9" i="3"/>
  <c r="AL9" i="3" s="1"/>
  <c r="AK42" i="3"/>
  <c r="AL42" i="3" s="1"/>
  <c r="AD44" i="3"/>
  <c r="AI48" i="3"/>
  <c r="AE49" i="3"/>
  <c r="AF66" i="3"/>
  <c r="AF81" i="3"/>
  <c r="AD81" i="3"/>
  <c r="J101" i="3"/>
  <c r="AH120" i="3"/>
  <c r="AJ121" i="3"/>
  <c r="AF141" i="3"/>
  <c r="AD141" i="3"/>
  <c r="AC141" i="3"/>
  <c r="AH121" i="2"/>
  <c r="AH123" i="2"/>
  <c r="AH125" i="2"/>
  <c r="AH127" i="2"/>
  <c r="AH129" i="2"/>
  <c r="AH131" i="2"/>
  <c r="AH133" i="2"/>
  <c r="F87" i="3"/>
  <c r="G59" i="3"/>
  <c r="V87" i="3"/>
  <c r="W59" i="3"/>
  <c r="AC49" i="3"/>
  <c r="AG57" i="3"/>
  <c r="X59" i="3"/>
  <c r="AC81" i="3"/>
  <c r="AG105" i="3"/>
  <c r="AH105" i="3" s="1"/>
  <c r="AK122" i="3"/>
  <c r="AL122" i="3" s="1"/>
  <c r="AI122" i="3"/>
  <c r="AE124" i="3"/>
  <c r="AC145" i="3"/>
  <c r="AD34" i="3"/>
  <c r="AK40" i="3"/>
  <c r="AL40" i="3" s="1"/>
  <c r="AF44" i="3"/>
  <c r="AD46" i="3"/>
  <c r="AC46" i="3"/>
  <c r="AF49" i="3"/>
  <c r="AD56" i="3"/>
  <c r="AE56" i="3" s="1"/>
  <c r="AA59" i="3"/>
  <c r="AK74" i="3"/>
  <c r="AL74" i="3" s="1"/>
  <c r="AI74" i="3"/>
  <c r="AH122" i="3"/>
  <c r="AF132" i="3"/>
  <c r="AD132" i="3"/>
  <c r="AD145" i="3"/>
  <c r="AE145" i="3" s="1"/>
  <c r="AD50" i="3"/>
  <c r="AE50" i="3" s="1"/>
  <c r="AC50" i="3"/>
  <c r="AF52" i="3"/>
  <c r="AD52" i="3"/>
  <c r="Y52" i="3"/>
  <c r="AF56" i="3"/>
  <c r="AF83" i="3"/>
  <c r="AD83" i="3"/>
  <c r="AE83" i="3" s="1"/>
  <c r="Z101" i="3"/>
  <c r="AA101" i="3" s="1"/>
  <c r="AE133" i="3"/>
  <c r="O34" i="3"/>
  <c r="AC39" i="3"/>
  <c r="AG56" i="3"/>
  <c r="AH56" i="3" s="1"/>
  <c r="AE93" i="3"/>
  <c r="AE97" i="3"/>
  <c r="Z107" i="3"/>
  <c r="AD125" i="3"/>
  <c r="AF125" i="3"/>
  <c r="K145" i="3"/>
  <c r="AG145" i="3"/>
  <c r="K87" i="3"/>
  <c r="AF50" i="3"/>
  <c r="AG52" i="3"/>
  <c r="K56" i="3"/>
  <c r="AC67" i="3"/>
  <c r="AK70" i="3"/>
  <c r="AL70" i="3" s="1"/>
  <c r="AI70" i="3"/>
  <c r="AJ70" i="3" s="1"/>
  <c r="AF70" i="3"/>
  <c r="AD70" i="3"/>
  <c r="AK110" i="3"/>
  <c r="AL110" i="3" s="1"/>
  <c r="AI110" i="3"/>
  <c r="AC125" i="3"/>
  <c r="AJ132" i="3"/>
  <c r="AE134" i="3"/>
  <c r="AF35" i="4"/>
  <c r="AK56" i="4"/>
  <c r="AL56" i="4" s="1"/>
  <c r="AG70" i="4"/>
  <c r="K70" i="4"/>
  <c r="AF85" i="3"/>
  <c r="AB105" i="3"/>
  <c r="AG135" i="3"/>
  <c r="Q9" i="4"/>
  <c r="P59" i="4"/>
  <c r="AB57" i="4"/>
  <c r="AC57" i="4" s="1"/>
  <c r="U57" i="4"/>
  <c r="AG57" i="4"/>
  <c r="V87" i="4"/>
  <c r="B87" i="4"/>
  <c r="C59" i="4"/>
  <c r="AK47" i="5"/>
  <c r="AL47" i="5" s="1"/>
  <c r="AH47" i="5"/>
  <c r="AI47" i="5"/>
  <c r="AK85" i="3"/>
  <c r="AL85" i="3" s="1"/>
  <c r="S99" i="3"/>
  <c r="AC123" i="3"/>
  <c r="AH127" i="3"/>
  <c r="AD23" i="4"/>
  <c r="AE23" i="4" s="1"/>
  <c r="AK79" i="4"/>
  <c r="AL79" i="4" s="1"/>
  <c r="AI79" i="4"/>
  <c r="AJ79" i="4" s="1"/>
  <c r="AH65" i="3"/>
  <c r="AH67" i="3"/>
  <c r="AH69" i="3"/>
  <c r="AC72" i="3"/>
  <c r="AC75" i="3"/>
  <c r="AC77" i="3"/>
  <c r="AC79" i="3"/>
  <c r="K84" i="3"/>
  <c r="AC111" i="3"/>
  <c r="AC113" i="3"/>
  <c r="AC115" i="3"/>
  <c r="AC117" i="3"/>
  <c r="AC119" i="3"/>
  <c r="AC121" i="3"/>
  <c r="AC130" i="3"/>
  <c r="AH144" i="3"/>
  <c r="AD148" i="3"/>
  <c r="AE13" i="3" s="1"/>
  <c r="W9" i="4"/>
  <c r="AG56" i="4"/>
  <c r="AH56" i="4" s="1"/>
  <c r="AH79" i="4"/>
  <c r="AG99" i="4"/>
  <c r="AH99" i="4" s="1"/>
  <c r="K99" i="4"/>
  <c r="AK40" i="5"/>
  <c r="AL40" i="5" s="1"/>
  <c r="AI40" i="5"/>
  <c r="AH40" i="5"/>
  <c r="AI65" i="3"/>
  <c r="AI67" i="3"/>
  <c r="AI69" i="3"/>
  <c r="AJ69" i="3" s="1"/>
  <c r="AD72" i="3"/>
  <c r="AE72" i="3" s="1"/>
  <c r="AD75" i="3"/>
  <c r="AE75" i="3" s="1"/>
  <c r="AD77" i="3"/>
  <c r="AE77" i="3" s="1"/>
  <c r="AD79" i="3"/>
  <c r="AE79" i="3" s="1"/>
  <c r="AI105" i="3"/>
  <c r="AJ105" i="3" s="1"/>
  <c r="AD111" i="3"/>
  <c r="AE111" i="3" s="1"/>
  <c r="AD113" i="3"/>
  <c r="AE113" i="3" s="1"/>
  <c r="AD115" i="3"/>
  <c r="AE115" i="3" s="1"/>
  <c r="AD117" i="3"/>
  <c r="AE117" i="3" s="1"/>
  <c r="AD119" i="3"/>
  <c r="AE119" i="3" s="1"/>
  <c r="AD121" i="3"/>
  <c r="AE121" i="3" s="1"/>
  <c r="AF123" i="3"/>
  <c r="AH125" i="3"/>
  <c r="AH132" i="3"/>
  <c r="AI135" i="3"/>
  <c r="AJ135" i="3" s="1"/>
  <c r="AI144" i="3"/>
  <c r="AJ144" i="3" s="1"/>
  <c r="Y9" i="4"/>
  <c r="X59" i="4"/>
  <c r="AF23" i="4"/>
  <c r="G59" i="4"/>
  <c r="F87" i="4"/>
  <c r="AA9" i="4"/>
  <c r="Z59" i="4"/>
  <c r="AG34" i="4"/>
  <c r="AI81" i="3"/>
  <c r="AJ81" i="3" s="1"/>
  <c r="AI83" i="3"/>
  <c r="AJ83" i="3" s="1"/>
  <c r="Y85" i="3"/>
  <c r="AK105" i="3"/>
  <c r="AL105" i="3" s="1"/>
  <c r="AH123" i="3"/>
  <c r="AD128" i="3"/>
  <c r="AE128" i="3" s="1"/>
  <c r="AC133" i="3"/>
  <c r="AD140" i="3"/>
  <c r="AE140" i="3" s="1"/>
  <c r="AI148" i="3"/>
  <c r="AJ79" i="3" s="1"/>
  <c r="G9" i="4"/>
  <c r="AB9" i="4"/>
  <c r="AD21" i="4"/>
  <c r="AE21" i="4" s="1"/>
  <c r="AH30" i="4"/>
  <c r="AF26" i="5"/>
  <c r="AD26" i="5"/>
  <c r="AE26" i="5" s="1"/>
  <c r="AC26" i="5"/>
  <c r="AI123" i="3"/>
  <c r="AJ123" i="3" s="1"/>
  <c r="AC126" i="3"/>
  <c r="AH130" i="3"/>
  <c r="K141" i="3"/>
  <c r="I9" i="4"/>
  <c r="H59" i="4"/>
  <c r="AI30" i="4"/>
  <c r="AJ30" i="4" s="1"/>
  <c r="AF98" i="4"/>
  <c r="AD98" i="4"/>
  <c r="AE98" i="4" s="1"/>
  <c r="AC98" i="4"/>
  <c r="AI47" i="3"/>
  <c r="AJ47" i="3" s="1"/>
  <c r="AI49" i="3"/>
  <c r="AJ49" i="3" s="1"/>
  <c r="AI51" i="3"/>
  <c r="AJ51" i="3" s="1"/>
  <c r="AD54" i="3"/>
  <c r="AE54" i="3" s="1"/>
  <c r="AH72" i="3"/>
  <c r="AH75" i="3"/>
  <c r="AH77" i="3"/>
  <c r="AH79" i="3"/>
  <c r="AC82" i="3"/>
  <c r="AD90" i="3"/>
  <c r="AE90" i="3" s="1"/>
  <c r="AD92" i="3"/>
  <c r="AE92" i="3" s="1"/>
  <c r="AD94" i="3"/>
  <c r="AE94" i="3" s="1"/>
  <c r="AD96" i="3"/>
  <c r="AE96" i="3" s="1"/>
  <c r="AD98" i="3"/>
  <c r="AE98" i="3" s="1"/>
  <c r="AH111" i="3"/>
  <c r="AH113" i="3"/>
  <c r="AH115" i="3"/>
  <c r="AH117" i="3"/>
  <c r="AH119" i="3"/>
  <c r="AH121" i="3"/>
  <c r="AD126" i="3"/>
  <c r="AE126" i="3" s="1"/>
  <c r="AI130" i="3"/>
  <c r="AJ130" i="3" s="1"/>
  <c r="AF133" i="3"/>
  <c r="AF140" i="3"/>
  <c r="K9" i="4"/>
  <c r="J59" i="4"/>
  <c r="AG9" i="4"/>
  <c r="AD9" i="4"/>
  <c r="AE9" i="4" s="1"/>
  <c r="AF21" i="4"/>
  <c r="AK44" i="4"/>
  <c r="AL44" i="4" s="1"/>
  <c r="AI44" i="4"/>
  <c r="AJ44" i="4" s="1"/>
  <c r="AF44" i="4"/>
  <c r="AD44" i="4"/>
  <c r="AE44" i="4" s="1"/>
  <c r="AB44" i="4"/>
  <c r="AC44" i="4" s="1"/>
  <c r="Y44" i="4"/>
  <c r="AK70" i="4"/>
  <c r="AL70" i="4" s="1"/>
  <c r="AI84" i="4"/>
  <c r="AJ84" i="4" s="1"/>
  <c r="AF8" i="4"/>
  <c r="AD8" i="4"/>
  <c r="AE8" i="4" s="1"/>
  <c r="L87" i="4"/>
  <c r="M59" i="4"/>
  <c r="AG52" i="4"/>
  <c r="AB52" i="4"/>
  <c r="W52" i="4"/>
  <c r="AH128" i="3"/>
  <c r="AH133" i="3"/>
  <c r="AH140" i="3"/>
  <c r="AC8" i="4"/>
  <c r="M9" i="4"/>
  <c r="AD19" i="4"/>
  <c r="AE19" i="4" s="1"/>
  <c r="AB34" i="4"/>
  <c r="S34" i="4"/>
  <c r="AF52" i="4"/>
  <c r="AI9" i="4"/>
  <c r="AJ9" i="4" s="1"/>
  <c r="AH32" i="4"/>
  <c r="D87" i="4"/>
  <c r="AK84" i="4"/>
  <c r="AL84" i="4" s="1"/>
  <c r="AF118" i="4"/>
  <c r="AD118" i="4"/>
  <c r="AE118" i="4" s="1"/>
  <c r="AC118" i="4"/>
  <c r="AK18" i="5"/>
  <c r="AL18" i="5" s="1"/>
  <c r="AI18" i="5"/>
  <c r="AH18" i="5"/>
  <c r="AK16" i="4"/>
  <c r="AL16" i="4" s="1"/>
  <c r="AF27" i="4"/>
  <c r="AD35" i="4"/>
  <c r="AE35" i="4" s="1"/>
  <c r="AC65" i="4"/>
  <c r="AC67" i="4"/>
  <c r="AC69" i="4"/>
  <c r="AK76" i="4"/>
  <c r="AL76" i="4" s="1"/>
  <c r="S85" i="4"/>
  <c r="AE111" i="4"/>
  <c r="AE123" i="4"/>
  <c r="AD141" i="4"/>
  <c r="AE141" i="4" s="1"/>
  <c r="AB141" i="4"/>
  <c r="AC141" i="4" s="1"/>
  <c r="Y141" i="4"/>
  <c r="AK141" i="4"/>
  <c r="AL141" i="4" s="1"/>
  <c r="AK85" i="4"/>
  <c r="AL85" i="4" s="1"/>
  <c r="AI104" i="4"/>
  <c r="AJ104" i="4" s="1"/>
  <c r="AH104" i="4"/>
  <c r="AG135" i="4"/>
  <c r="K135" i="4"/>
  <c r="AK20" i="5"/>
  <c r="AL20" i="5" s="1"/>
  <c r="AH20" i="5"/>
  <c r="AK26" i="5"/>
  <c r="AL26" i="5" s="1"/>
  <c r="AH26" i="5"/>
  <c r="AI26" i="5"/>
  <c r="AH39" i="4"/>
  <c r="AH41" i="4"/>
  <c r="AH43" i="4"/>
  <c r="AC47" i="4"/>
  <c r="AC49" i="4"/>
  <c r="AC51" i="4"/>
  <c r="K56" i="4"/>
  <c r="AH77" i="4"/>
  <c r="AC83" i="4"/>
  <c r="Y84" i="4"/>
  <c r="Y85" i="4"/>
  <c r="AI95" i="4"/>
  <c r="AJ95" i="4" s="1"/>
  <c r="AF112" i="4"/>
  <c r="AC112" i="4"/>
  <c r="AI141" i="4"/>
  <c r="AJ141" i="4" s="1"/>
  <c r="AI20" i="5"/>
  <c r="AJ55" i="5"/>
  <c r="AK27" i="4"/>
  <c r="AL27" i="4" s="1"/>
  <c r="S35" i="4"/>
  <c r="AI35" i="4"/>
  <c r="AJ35" i="4" s="1"/>
  <c r="AI39" i="4"/>
  <c r="AJ39" i="4" s="1"/>
  <c r="AI41" i="4"/>
  <c r="AJ41" i="4" s="1"/>
  <c r="AI43" i="4"/>
  <c r="AJ43" i="4" s="1"/>
  <c r="AD47" i="4"/>
  <c r="AE47" i="4" s="1"/>
  <c r="AD49" i="4"/>
  <c r="AE49" i="4" s="1"/>
  <c r="AD51" i="4"/>
  <c r="AE51" i="4" s="1"/>
  <c r="Y52" i="4"/>
  <c r="AB56" i="4"/>
  <c r="AC56" i="4" s="1"/>
  <c r="AD70" i="4"/>
  <c r="AE70" i="4" s="1"/>
  <c r="AI77" i="4"/>
  <c r="AJ77" i="4" s="1"/>
  <c r="AC80" i="4"/>
  <c r="AG81" i="4"/>
  <c r="AH81" i="4" s="1"/>
  <c r="AB81" i="4"/>
  <c r="AC81" i="4" s="1"/>
  <c r="AD83" i="4"/>
  <c r="AE83" i="4" s="1"/>
  <c r="AK104" i="4"/>
  <c r="AL104" i="4" s="1"/>
  <c r="AD112" i="4"/>
  <c r="AE112" i="4" s="1"/>
  <c r="AG145" i="4"/>
  <c r="AB145" i="4"/>
  <c r="AC145" i="4" s="1"/>
  <c r="U145" i="4"/>
  <c r="AJ144" i="4"/>
  <c r="AJ133" i="4"/>
  <c r="AJ131" i="4"/>
  <c r="AJ129" i="4"/>
  <c r="AJ125" i="4"/>
  <c r="AJ123" i="4"/>
  <c r="AJ15" i="5"/>
  <c r="AH75" i="4"/>
  <c r="AD80" i="4"/>
  <c r="AE80" i="4" s="1"/>
  <c r="K81" i="4"/>
  <c r="AK95" i="4"/>
  <c r="AL95" i="4" s="1"/>
  <c r="AC96" i="4"/>
  <c r="AE125" i="4"/>
  <c r="AE134" i="4"/>
  <c r="AK35" i="4"/>
  <c r="AL35" i="4" s="1"/>
  <c r="AC37" i="4"/>
  <c r="AC40" i="4"/>
  <c r="AC42" i="4"/>
  <c r="Y57" i="4"/>
  <c r="AF70" i="4"/>
  <c r="AC78" i="4"/>
  <c r="AI93" i="4"/>
  <c r="AJ93" i="4" s="1"/>
  <c r="AF116" i="4"/>
  <c r="AD116" i="4"/>
  <c r="AE116" i="4" s="1"/>
  <c r="AC116" i="4"/>
  <c r="AF120" i="4"/>
  <c r="AD120" i="4"/>
  <c r="AE120" i="4" s="1"/>
  <c r="AC120" i="4"/>
  <c r="AJ124" i="4"/>
  <c r="AF145" i="4"/>
  <c r="AK7" i="5"/>
  <c r="AL7" i="5" s="1"/>
  <c r="AH7" i="5"/>
  <c r="AD37" i="4"/>
  <c r="AE37" i="4" s="1"/>
  <c r="AD40" i="4"/>
  <c r="AE40" i="4" s="1"/>
  <c r="AD42" i="4"/>
  <c r="AE42" i="4" s="1"/>
  <c r="AD78" i="4"/>
  <c r="AE78" i="4" s="1"/>
  <c r="AD84" i="4"/>
  <c r="AE84" i="4" s="1"/>
  <c r="AE91" i="4"/>
  <c r="AI105" i="4"/>
  <c r="AJ105" i="4" s="1"/>
  <c r="AE130" i="4"/>
  <c r="AF135" i="4"/>
  <c r="AD135" i="4"/>
  <c r="AE135" i="4" s="1"/>
  <c r="AC135" i="4"/>
  <c r="AI7" i="5"/>
  <c r="AD85" i="4"/>
  <c r="AE85" i="4" s="1"/>
  <c r="S99" i="4"/>
  <c r="AB99" i="4"/>
  <c r="AC27" i="5"/>
  <c r="AD27" i="5"/>
  <c r="AE27" i="5" s="1"/>
  <c r="AH29" i="4"/>
  <c r="AH31" i="4"/>
  <c r="AH33" i="4"/>
  <c r="AH80" i="4"/>
  <c r="O84" i="4"/>
  <c r="AF84" i="4"/>
  <c r="AI91" i="4"/>
  <c r="AJ91" i="4" s="1"/>
  <c r="AF110" i="4"/>
  <c r="AC110" i="4"/>
  <c r="AE113" i="4"/>
  <c r="AE121" i="4"/>
  <c r="AE131" i="4"/>
  <c r="AJ140" i="4"/>
  <c r="T59" i="5"/>
  <c r="U9" i="5"/>
  <c r="AF35" i="5"/>
  <c r="AD35" i="5"/>
  <c r="AE35" i="5" s="1"/>
  <c r="AK35" i="5"/>
  <c r="AL35" i="5" s="1"/>
  <c r="Y35" i="5"/>
  <c r="AI29" i="4"/>
  <c r="AJ29" i="4" s="1"/>
  <c r="AI31" i="4"/>
  <c r="AJ31" i="4" s="1"/>
  <c r="AI80" i="4"/>
  <c r="AJ80" i="4" s="1"/>
  <c r="AF85" i="4"/>
  <c r="AD110" i="4"/>
  <c r="AE110" i="4" s="1"/>
  <c r="AJ120" i="4"/>
  <c r="AJ130" i="4"/>
  <c r="V59" i="5"/>
  <c r="W9" i="5"/>
  <c r="AG27" i="5"/>
  <c r="K27" i="5"/>
  <c r="AJ29" i="5"/>
  <c r="AF37" i="5"/>
  <c r="AD37" i="5"/>
  <c r="AE37" i="5" s="1"/>
  <c r="AC37" i="5"/>
  <c r="AK51" i="5"/>
  <c r="AL51" i="5" s="1"/>
  <c r="AH51" i="5"/>
  <c r="AI51" i="5"/>
  <c r="AD57" i="4"/>
  <c r="AE57" i="4" s="1"/>
  <c r="AD74" i="4"/>
  <c r="AE74" i="4" s="1"/>
  <c r="AH78" i="4"/>
  <c r="AK91" i="4"/>
  <c r="AL91" i="4" s="1"/>
  <c r="AB105" i="4"/>
  <c r="AC105" i="4" s="1"/>
  <c r="AE127" i="4"/>
  <c r="AB84" i="4"/>
  <c r="AC84" i="4" s="1"/>
  <c r="AK99" i="4"/>
  <c r="AL99" i="4" s="1"/>
  <c r="AI99" i="4"/>
  <c r="AJ99" i="4" s="1"/>
  <c r="AF99" i="4"/>
  <c r="AG105" i="4"/>
  <c r="AJ126" i="4"/>
  <c r="D59" i="5"/>
  <c r="E9" i="5"/>
  <c r="S84" i="4"/>
  <c r="AI85" i="4"/>
  <c r="AJ85" i="4" s="1"/>
  <c r="Y99" i="4"/>
  <c r="AF105" i="4"/>
  <c r="AF114" i="4"/>
  <c r="AC114" i="4"/>
  <c r="F59" i="5"/>
  <c r="G9" i="5"/>
  <c r="AJ23" i="5"/>
  <c r="AK145" i="4"/>
  <c r="AL145" i="4" s="1"/>
  <c r="AD13" i="5"/>
  <c r="AE13" i="5" s="1"/>
  <c r="AF18" i="5"/>
  <c r="AI25" i="5"/>
  <c r="AJ25" i="5" s="1"/>
  <c r="AG44" i="5"/>
  <c r="AB145" i="5"/>
  <c r="AC145" i="5" s="1"/>
  <c r="S145" i="5"/>
  <c r="U34" i="5"/>
  <c r="AB34" i="5"/>
  <c r="AC34" i="5" s="1"/>
  <c r="Y56" i="5"/>
  <c r="AF56" i="5"/>
  <c r="AD56" i="5"/>
  <c r="AE56" i="5" s="1"/>
  <c r="AF84" i="5"/>
  <c r="AC84" i="5"/>
  <c r="AJ92" i="5"/>
  <c r="AF98" i="5"/>
  <c r="AD98" i="5"/>
  <c r="AE98" i="5" s="1"/>
  <c r="AC98" i="5"/>
  <c r="H87" i="5"/>
  <c r="I59" i="5"/>
  <c r="X87" i="5"/>
  <c r="Y59" i="5"/>
  <c r="AD84" i="5"/>
  <c r="AE84" i="5" s="1"/>
  <c r="AF99" i="5"/>
  <c r="AC99" i="5"/>
  <c r="AF145" i="5"/>
  <c r="AC122" i="4"/>
  <c r="AC124" i="4"/>
  <c r="AC126" i="4"/>
  <c r="AC128" i="4"/>
  <c r="AC130" i="4"/>
  <c r="AC132" i="4"/>
  <c r="AC134" i="4"/>
  <c r="Y145" i="4"/>
  <c r="I9" i="5"/>
  <c r="Y9" i="5"/>
  <c r="AD70" i="5"/>
  <c r="AE70" i="5" s="1"/>
  <c r="AD122" i="4"/>
  <c r="AE122" i="4" s="1"/>
  <c r="AD124" i="4"/>
  <c r="AE124" i="4" s="1"/>
  <c r="AD126" i="4"/>
  <c r="AE126" i="4" s="1"/>
  <c r="J59" i="5"/>
  <c r="Z87" i="5"/>
  <c r="AA59" i="5"/>
  <c r="AJ13" i="5"/>
  <c r="AI34" i="5"/>
  <c r="AJ34" i="5" s="1"/>
  <c r="AG35" i="5"/>
  <c r="AH35" i="5" s="1"/>
  <c r="AF70" i="5"/>
  <c r="AI99" i="5"/>
  <c r="AK105" i="5"/>
  <c r="AL105" i="5" s="1"/>
  <c r="AK141" i="5"/>
  <c r="AL141" i="5" s="1"/>
  <c r="AI141" i="5"/>
  <c r="AH141" i="5"/>
  <c r="AG84" i="5"/>
  <c r="M84" i="5"/>
  <c r="AF94" i="5"/>
  <c r="AD94" i="5"/>
  <c r="AE94" i="5" s="1"/>
  <c r="AC94" i="5"/>
  <c r="AD140" i="4"/>
  <c r="AE140" i="4" s="1"/>
  <c r="L87" i="5"/>
  <c r="M59" i="5"/>
  <c r="AI21" i="5"/>
  <c r="AD24" i="5"/>
  <c r="AE24" i="5" s="1"/>
  <c r="AD29" i="5"/>
  <c r="AE29" i="5" s="1"/>
  <c r="AI31" i="5"/>
  <c r="AJ31" i="5" s="1"/>
  <c r="AG56" i="5"/>
  <c r="AH56" i="5" s="1"/>
  <c r="AF135" i="5"/>
  <c r="AH144" i="4"/>
  <c r="AH8" i="5"/>
  <c r="AH19" i="5"/>
  <c r="AI32" i="5"/>
  <c r="AH32" i="5"/>
  <c r="AK99" i="5"/>
  <c r="AL99" i="5" s="1"/>
  <c r="AJ123" i="5"/>
  <c r="AD145" i="4"/>
  <c r="AE145" i="4" s="1"/>
  <c r="AG34" i="5"/>
  <c r="AH34" i="5" s="1"/>
  <c r="AD44" i="5"/>
  <c r="AE44" i="5" s="1"/>
  <c r="AC44" i="5"/>
  <c r="AF44" i="5"/>
  <c r="AG52" i="5"/>
  <c r="K52" i="5"/>
  <c r="B107" i="5"/>
  <c r="C87" i="5"/>
  <c r="B101" i="5"/>
  <c r="C101" i="5" s="1"/>
  <c r="AK135" i="5"/>
  <c r="AL135" i="5" s="1"/>
  <c r="AH135" i="5"/>
  <c r="AK24" i="5"/>
  <c r="AL24" i="5" s="1"/>
  <c r="AH24" i="5"/>
  <c r="AD34" i="5"/>
  <c r="AE34" i="5" s="1"/>
  <c r="AB35" i="5"/>
  <c r="AC35" i="5" s="1"/>
  <c r="AK37" i="5"/>
  <c r="AL37" i="5" s="1"/>
  <c r="AI37" i="5"/>
  <c r="AH37" i="5"/>
  <c r="AF54" i="5"/>
  <c r="AC54" i="5"/>
  <c r="AK57" i="5"/>
  <c r="AL57" i="5" s="1"/>
  <c r="AF57" i="5"/>
  <c r="AD57" i="5"/>
  <c r="AE57" i="5" s="1"/>
  <c r="Y57" i="5"/>
  <c r="AG70" i="5"/>
  <c r="O70" i="5"/>
  <c r="P87" i="5"/>
  <c r="Q59" i="5"/>
  <c r="AG9" i="5"/>
  <c r="AI9" i="5" s="1"/>
  <c r="AJ9" i="5" s="1"/>
  <c r="AI17" i="5"/>
  <c r="AI24" i="5"/>
  <c r="AH29" i="5"/>
  <c r="AD33" i="5"/>
  <c r="AE33" i="5" s="1"/>
  <c r="S35" i="5"/>
  <c r="AD54" i="5"/>
  <c r="AE54" i="5" s="1"/>
  <c r="AK81" i="5"/>
  <c r="AL81" i="5" s="1"/>
  <c r="AH81" i="5"/>
  <c r="AK83" i="5"/>
  <c r="AL83" i="5" s="1"/>
  <c r="AH83" i="5"/>
  <c r="AJ125" i="5"/>
  <c r="AG145" i="5"/>
  <c r="AF30" i="5"/>
  <c r="AC30" i="5"/>
  <c r="AK49" i="5"/>
  <c r="AL49" i="5" s="1"/>
  <c r="AH49" i="5"/>
  <c r="AJ83" i="5"/>
  <c r="AF90" i="5"/>
  <c r="AD90" i="5"/>
  <c r="AE90" i="5" s="1"/>
  <c r="AC90" i="5"/>
  <c r="AF96" i="5"/>
  <c r="AD96" i="5"/>
  <c r="AE96" i="5" s="1"/>
  <c r="AC96" i="5"/>
  <c r="R59" i="5"/>
  <c r="AB9" i="5"/>
  <c r="AC9" i="5" s="1"/>
  <c r="AC18" i="5"/>
  <c r="AF27" i="5"/>
  <c r="AD30" i="5"/>
  <c r="AE30" i="5" s="1"/>
  <c r="AI49" i="5"/>
  <c r="AI57" i="5"/>
  <c r="AJ96" i="5"/>
  <c r="AD105" i="5"/>
  <c r="AE105" i="5" s="1"/>
  <c r="AC105" i="5"/>
  <c r="AC141" i="5"/>
  <c r="AF141" i="5"/>
  <c r="AJ65" i="5"/>
  <c r="AJ69" i="5"/>
  <c r="AJ127" i="5"/>
  <c r="AL97" i="5"/>
  <c r="AL95" i="5"/>
  <c r="AL93" i="5"/>
  <c r="AL91" i="5"/>
  <c r="S70" i="5"/>
  <c r="AI72" i="5"/>
  <c r="AI75" i="5"/>
  <c r="AI77" i="5"/>
  <c r="AJ77" i="5" s="1"/>
  <c r="AI79" i="5"/>
  <c r="AD82" i="5"/>
  <c r="AE82" i="5" s="1"/>
  <c r="AB85" i="5"/>
  <c r="AC85" i="5" s="1"/>
  <c r="AC104" i="5"/>
  <c r="AI111" i="5"/>
  <c r="AI113" i="5"/>
  <c r="AJ113" i="5" s="1"/>
  <c r="AI115" i="5"/>
  <c r="AJ115" i="5" s="1"/>
  <c r="AI117" i="5"/>
  <c r="AJ117" i="5" s="1"/>
  <c r="AI119" i="5"/>
  <c r="AI121" i="5"/>
  <c r="AJ121" i="5" s="1"/>
  <c r="AI129" i="5"/>
  <c r="AI131" i="5"/>
  <c r="AJ131" i="5" s="1"/>
  <c r="AI133" i="5"/>
  <c r="AH42" i="5"/>
  <c r="AC46" i="5"/>
  <c r="AC48" i="5"/>
  <c r="AC50" i="5"/>
  <c r="AF52" i="5"/>
  <c r="S56" i="5"/>
  <c r="K99" i="5"/>
  <c r="AD104" i="5"/>
  <c r="AE104" i="5" s="1"/>
  <c r="Y105" i="5"/>
  <c r="AC144" i="5"/>
  <c r="AC32" i="5"/>
  <c r="AI42" i="5"/>
  <c r="AD46" i="5"/>
  <c r="AE46" i="5" s="1"/>
  <c r="AD48" i="5"/>
  <c r="AE48" i="5" s="1"/>
  <c r="AD50" i="5"/>
  <c r="AE50" i="5" s="1"/>
  <c r="AD85" i="5"/>
  <c r="AE85" i="5" s="1"/>
  <c r="AC110" i="5"/>
  <c r="AC112" i="5"/>
  <c r="AC114" i="5"/>
  <c r="AC116" i="5"/>
  <c r="AC118" i="5"/>
  <c r="AC120" i="5"/>
  <c r="AC122" i="5"/>
  <c r="AC124" i="5"/>
  <c r="AC126" i="5"/>
  <c r="AC128" i="5"/>
  <c r="AC130" i="5"/>
  <c r="AC132" i="5"/>
  <c r="AC134" i="5"/>
  <c r="AD144" i="5"/>
  <c r="AE144" i="5" s="1"/>
  <c r="Y145" i="5"/>
  <c r="AH54" i="5"/>
  <c r="AI63" i="5"/>
  <c r="AI66" i="5"/>
  <c r="AI68" i="5"/>
  <c r="AJ68" i="5" s="1"/>
  <c r="AD71" i="5"/>
  <c r="AE71" i="5" s="1"/>
  <c r="AD74" i="5"/>
  <c r="AE74" i="5" s="1"/>
  <c r="AD76" i="5"/>
  <c r="AE76" i="5" s="1"/>
  <c r="AD78" i="5"/>
  <c r="AE78" i="5" s="1"/>
  <c r="AD80" i="5"/>
  <c r="AE80" i="5" s="1"/>
  <c r="Y81" i="5"/>
  <c r="AH90" i="5"/>
  <c r="AH92" i="5"/>
  <c r="AH94" i="5"/>
  <c r="AH96" i="5"/>
  <c r="AH98" i="5"/>
  <c r="AD110" i="5"/>
  <c r="AE110" i="5" s="1"/>
  <c r="AD112" i="5"/>
  <c r="AE112" i="5" s="1"/>
  <c r="AD114" i="5"/>
  <c r="AE114" i="5" s="1"/>
  <c r="AD116" i="5"/>
  <c r="AE116" i="5" s="1"/>
  <c r="AD118" i="5"/>
  <c r="AE118" i="5" s="1"/>
  <c r="AD120" i="5"/>
  <c r="AE120" i="5" s="1"/>
  <c r="AD122" i="5"/>
  <c r="AE122" i="5" s="1"/>
  <c r="AD124" i="5"/>
  <c r="AE124" i="5" s="1"/>
  <c r="AD126" i="5"/>
  <c r="AE126" i="5" s="1"/>
  <c r="AD128" i="5"/>
  <c r="AE128" i="5" s="1"/>
  <c r="AD130" i="5"/>
  <c r="AE130" i="5" s="1"/>
  <c r="AD132" i="5"/>
  <c r="AE132" i="5" s="1"/>
  <c r="AD134" i="5"/>
  <c r="AE134" i="5" s="1"/>
  <c r="Y135" i="5"/>
  <c r="M35" i="5"/>
  <c r="AC39" i="5"/>
  <c r="AC41" i="5"/>
  <c r="AC43" i="5"/>
  <c r="AI52" i="5"/>
  <c r="AH82" i="5"/>
  <c r="AF85" i="5"/>
  <c r="AD99" i="5"/>
  <c r="AE99" i="5" s="1"/>
  <c r="AC140" i="5"/>
  <c r="K145" i="5"/>
  <c r="AD39" i="5"/>
  <c r="AE39" i="5" s="1"/>
  <c r="AD41" i="5"/>
  <c r="AE41" i="5" s="1"/>
  <c r="AD43" i="5"/>
  <c r="AE43" i="5" s="1"/>
  <c r="AC65" i="5"/>
  <c r="AC67" i="5"/>
  <c r="AC69" i="5"/>
  <c r="AI82" i="5"/>
  <c r="AJ82" i="5" s="1"/>
  <c r="AH104" i="5"/>
  <c r="AD140" i="5"/>
  <c r="AE140" i="5" s="1"/>
  <c r="Y141" i="5"/>
  <c r="AH71" i="5"/>
  <c r="AH74" i="5"/>
  <c r="AH76" i="5"/>
  <c r="AH78" i="5"/>
  <c r="AH80" i="5"/>
  <c r="AC83" i="5"/>
  <c r="AI85" i="5"/>
  <c r="AH110" i="5"/>
  <c r="AH112" i="5"/>
  <c r="AH114" i="5"/>
  <c r="AH116" i="5"/>
  <c r="AH118" i="5"/>
  <c r="AH120" i="5"/>
  <c r="AH122" i="5"/>
  <c r="AH124" i="5"/>
  <c r="AH126" i="5"/>
  <c r="AH128" i="5"/>
  <c r="AH130" i="5"/>
  <c r="AH132" i="5"/>
  <c r="AH134" i="5"/>
  <c r="AD145" i="5"/>
  <c r="AE145" i="5" s="1"/>
  <c r="AI71" i="5"/>
  <c r="AI74" i="5"/>
  <c r="AI76" i="5"/>
  <c r="AI78" i="5"/>
  <c r="AJ78" i="5" s="1"/>
  <c r="AI80" i="5"/>
  <c r="AJ80" i="5" s="1"/>
  <c r="AD81" i="5"/>
  <c r="AE81" i="5" s="1"/>
  <c r="AD83" i="5"/>
  <c r="AE83" i="5" s="1"/>
  <c r="AI110" i="5"/>
  <c r="AJ110" i="5" s="1"/>
  <c r="AI112" i="5"/>
  <c r="AI114" i="5"/>
  <c r="AJ114" i="5" s="1"/>
  <c r="AI116" i="5"/>
  <c r="AI118" i="5"/>
  <c r="AI120" i="5"/>
  <c r="AI122" i="5"/>
  <c r="AJ122" i="5" s="1"/>
  <c r="AI124" i="5"/>
  <c r="AJ124" i="5" s="1"/>
  <c r="AI126" i="5"/>
  <c r="AI128" i="5"/>
  <c r="AJ128" i="5" s="1"/>
  <c r="AI130" i="5"/>
  <c r="AJ130" i="5" s="1"/>
  <c r="AI132" i="5"/>
  <c r="AJ132" i="5" s="1"/>
  <c r="AI134" i="5"/>
  <c r="AJ134" i="5" s="1"/>
  <c r="AD135" i="5"/>
  <c r="AE135" i="5" s="1"/>
  <c r="AH140" i="5"/>
  <c r="AI148" i="5"/>
  <c r="B49" i="7"/>
  <c r="D74" i="7"/>
  <c r="F63" i="7"/>
  <c r="D34" i="7"/>
  <c r="B54" i="7"/>
  <c r="F26" i="7"/>
  <c r="D37" i="7"/>
  <c r="F94" i="7"/>
  <c r="B12" i="7"/>
  <c r="H85" i="7"/>
  <c r="H76" i="7"/>
  <c r="D64" i="7"/>
  <c r="B53" i="7"/>
  <c r="H50" i="7"/>
  <c r="F77" i="7"/>
  <c r="B66" i="7"/>
  <c r="B48" i="7"/>
  <c r="H55" i="7"/>
  <c r="B28" i="7"/>
  <c r="F40" i="7"/>
  <c r="F23" i="7"/>
  <c r="H13" i="7"/>
  <c r="D87" i="7"/>
  <c r="D78" i="7"/>
  <c r="B81" i="7"/>
  <c r="H73" i="7"/>
  <c r="D53" i="7"/>
  <c r="H6" i="7"/>
  <c r="H72" i="7"/>
  <c r="H49" i="7"/>
  <c r="D57" i="7"/>
  <c r="H29" i="7"/>
  <c r="B42" i="7"/>
  <c r="B25" i="7"/>
  <c r="D15" i="7"/>
  <c r="F90" i="7"/>
  <c r="F7" i="7"/>
  <c r="H82" i="7"/>
  <c r="D75" i="7"/>
  <c r="F75" i="7"/>
  <c r="D8" i="7"/>
  <c r="D79" i="7"/>
  <c r="D51" i="7"/>
  <c r="F60" i="7"/>
  <c r="D31" i="7"/>
  <c r="H46" i="7"/>
  <c r="H26" i="7"/>
  <c r="F37" i="7"/>
  <c r="B92" i="7"/>
  <c r="B9" i="7"/>
  <c r="D84" i="7"/>
  <c r="B77" i="7"/>
  <c r="F11" i="7"/>
  <c r="F83" i="7"/>
  <c r="F74" i="7"/>
  <c r="B62" i="7"/>
  <c r="F34" i="7"/>
  <c r="D54" i="7"/>
  <c r="D28" i="7"/>
  <c r="B39" i="7"/>
  <c r="H94" i="7"/>
  <c r="H10" i="7"/>
  <c r="F87" i="7"/>
  <c r="H78" i="7"/>
  <c r="B13" i="7"/>
  <c r="B85" i="7"/>
  <c r="B76" i="7"/>
  <c r="H63" i="7"/>
  <c r="D48" i="7"/>
  <c r="F57" i="7"/>
  <c r="F31" i="7"/>
  <c r="H40" i="7"/>
  <c r="H23" i="7"/>
  <c r="D12" i="7"/>
  <c r="B89" i="7"/>
  <c r="F24" i="7"/>
  <c r="H14" i="7"/>
  <c r="H86" i="7"/>
  <c r="H77" i="7"/>
  <c r="D66" i="7"/>
  <c r="F51" i="7"/>
  <c r="B59" i="7"/>
  <c r="B33" i="7"/>
  <c r="D42" i="7"/>
  <c r="D25" i="7"/>
  <c r="F15" i="7"/>
  <c r="H90" i="7"/>
  <c r="B26" i="7"/>
  <c r="D16" i="7"/>
  <c r="D88" i="7"/>
  <c r="F8" i="7"/>
  <c r="F79" i="7"/>
  <c r="B73" i="7"/>
  <c r="H60" i="7"/>
  <c r="H34" i="7"/>
  <c r="F54" i="7"/>
  <c r="F28" i="7"/>
  <c r="B22" i="7"/>
  <c r="D92" i="7"/>
  <c r="H27" i="7"/>
  <c r="F38" i="7"/>
  <c r="F91" i="7"/>
  <c r="B10" i="7"/>
  <c r="B82" i="7"/>
  <c r="H74" i="7"/>
  <c r="D62" i="7"/>
  <c r="F48" i="7"/>
  <c r="B56" i="7"/>
  <c r="B30" i="7"/>
  <c r="H37" i="7"/>
  <c r="F25" i="7"/>
  <c r="C9" i="6"/>
  <c r="D29" i="7"/>
  <c r="B40" i="7"/>
  <c r="B94" i="7"/>
  <c r="H11" i="7"/>
  <c r="H83" i="7"/>
  <c r="D76" i="7"/>
  <c r="F66" i="7"/>
  <c r="B50" i="7"/>
  <c r="H57" i="7"/>
  <c r="H31" i="7"/>
  <c r="D39" i="7"/>
  <c r="B27" i="7"/>
  <c r="C6" i="6"/>
  <c r="F32" i="7"/>
  <c r="H41" i="7"/>
  <c r="B23" i="7"/>
  <c r="D13" i="7"/>
  <c r="D85" i="7"/>
  <c r="B7" i="7"/>
  <c r="H79" i="7"/>
  <c r="H51" i="7"/>
  <c r="D59" i="7"/>
  <c r="D33" i="7"/>
  <c r="F42" i="7"/>
  <c r="H28" i="7"/>
  <c r="C8" i="6"/>
  <c r="B34" i="7"/>
  <c r="D46" i="7"/>
  <c r="H24" i="7"/>
  <c r="F16" i="7"/>
  <c r="F88" i="7"/>
  <c r="H8" i="7"/>
  <c r="D82" i="7"/>
  <c r="D73" i="7"/>
  <c r="F62" i="7"/>
  <c r="B47" i="7"/>
  <c r="H54" i="7"/>
  <c r="D30" i="7"/>
  <c r="C5" i="6"/>
  <c r="H36" i="7"/>
  <c r="F55" i="7"/>
  <c r="D26" i="7"/>
  <c r="B37" i="7"/>
  <c r="B90" i="7"/>
  <c r="D10" i="7"/>
  <c r="F85" i="7"/>
  <c r="F76" i="7"/>
  <c r="B64" i="7"/>
  <c r="H48" i="7"/>
  <c r="D56" i="7"/>
  <c r="F33" i="7"/>
  <c r="C7" i="6"/>
  <c r="F49" i="7"/>
  <c r="B57" i="7"/>
  <c r="F29" i="7"/>
  <c r="H38" i="7"/>
  <c r="H91" i="7"/>
  <c r="F13" i="7"/>
  <c r="B87" i="7"/>
  <c r="B78" i="7"/>
  <c r="H66" i="7"/>
  <c r="D50" i="7"/>
  <c r="F59" i="7"/>
  <c r="B36" i="7"/>
  <c r="D7" i="6" a="1"/>
  <c r="D5" i="6" a="1"/>
  <c r="D8" i="6" a="1"/>
  <c r="D6" i="6" a="1"/>
  <c r="D9" i="6" a="1"/>
  <c r="B51" i="7"/>
  <c r="H58" i="7"/>
  <c r="B31" i="7"/>
  <c r="D40" i="7"/>
  <c r="D94" i="7"/>
  <c r="B15" i="7"/>
  <c r="H88" i="7"/>
  <c r="D7" i="7"/>
  <c r="F82" i="7"/>
  <c r="F73" i="7"/>
  <c r="B61" i="7"/>
  <c r="D47" i="7"/>
  <c r="F47" i="7"/>
  <c r="H53" i="7"/>
  <c r="D60" i="7"/>
  <c r="H32" i="7"/>
  <c r="F46" i="7"/>
  <c r="D23" i="7"/>
  <c r="H16" i="7"/>
  <c r="D90" i="7"/>
  <c r="F10" i="7"/>
  <c r="B84" i="7"/>
  <c r="B75" i="7"/>
  <c r="H62" i="7"/>
  <c r="F50" i="7"/>
  <c r="G50" i="7" l="1"/>
  <c r="I62" i="7"/>
  <c r="J62" i="7"/>
  <c r="C75" i="7"/>
  <c r="C84" i="7"/>
  <c r="G10" i="7"/>
  <c r="E90" i="7"/>
  <c r="J16" i="7"/>
  <c r="I16" i="7"/>
  <c r="I56" i="7"/>
  <c r="I42" i="7"/>
  <c r="I30" i="7"/>
  <c r="I61" i="7"/>
  <c r="I7" i="7"/>
  <c r="I25" i="7"/>
  <c r="I84" i="7"/>
  <c r="I59" i="7"/>
  <c r="I12" i="7"/>
  <c r="I47" i="7"/>
  <c r="I9" i="7"/>
  <c r="I81" i="7"/>
  <c r="I33" i="7"/>
  <c r="I39" i="7"/>
  <c r="I64" i="7"/>
  <c r="I22" i="7"/>
  <c r="I15" i="7"/>
  <c r="I75" i="7"/>
  <c r="I89" i="7"/>
  <c r="I92" i="7"/>
  <c r="I87" i="7"/>
  <c r="E23" i="7"/>
  <c r="G46" i="7"/>
  <c r="J32" i="7"/>
  <c r="I32" i="7"/>
  <c r="E60" i="7"/>
  <c r="I53" i="7"/>
  <c r="G47" i="7"/>
  <c r="J47" i="7"/>
  <c r="E47" i="7"/>
  <c r="C61" i="7"/>
  <c r="J61" i="7"/>
  <c r="G73" i="7"/>
  <c r="G82" i="7"/>
  <c r="E7" i="7"/>
  <c r="J88" i="7"/>
  <c r="K88" i="7" s="1"/>
  <c r="I88" i="7"/>
  <c r="C15" i="7"/>
  <c r="E94" i="7"/>
  <c r="E40" i="7"/>
  <c r="C31" i="7"/>
  <c r="J58" i="7"/>
  <c r="I58" i="7"/>
  <c r="C51" i="7"/>
  <c r="D9" i="6"/>
  <c r="D6" i="6"/>
  <c r="D8" i="6"/>
  <c r="D5" i="6"/>
  <c r="D7" i="6"/>
  <c r="C36" i="7"/>
  <c r="G59" i="7"/>
  <c r="J59" i="7"/>
  <c r="K59" i="7" s="1"/>
  <c r="E50" i="7"/>
  <c r="J66" i="7"/>
  <c r="K66" i="7" s="1"/>
  <c r="I66" i="7"/>
  <c r="C78" i="7"/>
  <c r="C87" i="7"/>
  <c r="G13" i="7"/>
  <c r="J91" i="7"/>
  <c r="I91" i="7"/>
  <c r="J38" i="7"/>
  <c r="I38" i="7"/>
  <c r="G29" i="7"/>
  <c r="C57" i="7"/>
  <c r="G49" i="7"/>
  <c r="O7" i="6"/>
  <c r="V7" i="6"/>
  <c r="G33" i="7"/>
  <c r="J33" i="7"/>
  <c r="K33" i="7" s="1"/>
  <c r="E56" i="7"/>
  <c r="J56" i="7"/>
  <c r="K56" i="7" s="1"/>
  <c r="J48" i="7"/>
  <c r="I48" i="7"/>
  <c r="C64" i="7"/>
  <c r="G76" i="7"/>
  <c r="G85" i="7"/>
  <c r="E10" i="7"/>
  <c r="C90" i="7"/>
  <c r="C37" i="7"/>
  <c r="E26" i="7"/>
  <c r="G55" i="7"/>
  <c r="I36" i="7"/>
  <c r="O5" i="6"/>
  <c r="V5" i="6"/>
  <c r="E30" i="7"/>
  <c r="J30" i="7"/>
  <c r="K30" i="7" s="1"/>
  <c r="I54" i="7"/>
  <c r="J54" i="7"/>
  <c r="C47" i="7"/>
  <c r="G62" i="7"/>
  <c r="E73" i="7"/>
  <c r="E82" i="7"/>
  <c r="J8" i="7"/>
  <c r="I8" i="7"/>
  <c r="G88" i="7"/>
  <c r="G16" i="7"/>
  <c r="G39" i="7"/>
  <c r="G78" i="7"/>
  <c r="G92" i="7"/>
  <c r="G27" i="7"/>
  <c r="G58" i="7"/>
  <c r="G56" i="7"/>
  <c r="G6" i="7"/>
  <c r="G36" i="7"/>
  <c r="G72" i="7"/>
  <c r="G12" i="7"/>
  <c r="G9" i="7"/>
  <c r="G30" i="7"/>
  <c r="G22" i="7"/>
  <c r="G64" i="7"/>
  <c r="G53" i="7"/>
  <c r="G14" i="7"/>
  <c r="G86" i="7"/>
  <c r="G84" i="7"/>
  <c r="G61" i="7"/>
  <c r="G41" i="7"/>
  <c r="G81" i="7"/>
  <c r="G89" i="7"/>
  <c r="J24" i="7"/>
  <c r="K24" i="7" s="1"/>
  <c r="I24" i="7"/>
  <c r="E46" i="7"/>
  <c r="C34" i="7"/>
  <c r="O8" i="6"/>
  <c r="V8" i="6"/>
  <c r="J28" i="7"/>
  <c r="I28" i="7"/>
  <c r="G42" i="7"/>
  <c r="J42" i="7"/>
  <c r="K42" i="7" s="1"/>
  <c r="E33" i="7"/>
  <c r="E59" i="7"/>
  <c r="J51" i="7"/>
  <c r="K51" i="7" s="1"/>
  <c r="I51" i="7"/>
  <c r="J79" i="7"/>
  <c r="K79" i="7" s="1"/>
  <c r="I79" i="7"/>
  <c r="C7" i="7"/>
  <c r="E85" i="7"/>
  <c r="E13" i="7"/>
  <c r="C23" i="7"/>
  <c r="J41" i="7"/>
  <c r="I41" i="7"/>
  <c r="G32" i="7"/>
  <c r="V6" i="6"/>
  <c r="O6" i="6"/>
  <c r="C27" i="7"/>
  <c r="E39" i="7"/>
  <c r="J39" i="7"/>
  <c r="K39" i="7" s="1"/>
  <c r="J31" i="7"/>
  <c r="K31" i="7" s="1"/>
  <c r="I31" i="7"/>
  <c r="J57" i="7"/>
  <c r="K57" i="7" s="1"/>
  <c r="I57" i="7"/>
  <c r="C50" i="7"/>
  <c r="G66" i="7"/>
  <c r="E76" i="7"/>
  <c r="J83" i="7"/>
  <c r="I83" i="7"/>
  <c r="J11" i="7"/>
  <c r="I11" i="7"/>
  <c r="C94" i="7"/>
  <c r="C40" i="7"/>
  <c r="E29" i="7"/>
  <c r="V9" i="6"/>
  <c r="O9" i="6"/>
  <c r="G25" i="7"/>
  <c r="J25" i="7"/>
  <c r="K25" i="7" s="1"/>
  <c r="I37" i="7"/>
  <c r="J37" i="7"/>
  <c r="K37" i="7" s="1"/>
  <c r="C30" i="7"/>
  <c r="C56" i="7"/>
  <c r="G48" i="7"/>
  <c r="E62" i="7"/>
  <c r="J74" i="7"/>
  <c r="I74" i="7"/>
  <c r="C82" i="7"/>
  <c r="C10" i="7"/>
  <c r="G91" i="7"/>
  <c r="G38" i="7"/>
  <c r="J27" i="7"/>
  <c r="K27" i="7" s="1"/>
  <c r="I27" i="7"/>
  <c r="E92" i="7"/>
  <c r="J92" i="7"/>
  <c r="K92" i="7" s="1"/>
  <c r="C22" i="7"/>
  <c r="G28" i="7"/>
  <c r="G54" i="7"/>
  <c r="J34" i="7"/>
  <c r="I34" i="7"/>
  <c r="J60" i="7"/>
  <c r="I60" i="7"/>
  <c r="C73" i="7"/>
  <c r="G79" i="7"/>
  <c r="G8" i="7"/>
  <c r="E88" i="7"/>
  <c r="E16" i="7"/>
  <c r="E89" i="7"/>
  <c r="E24" i="7"/>
  <c r="E55" i="7"/>
  <c r="E86" i="7"/>
  <c r="E32" i="7"/>
  <c r="E63" i="7"/>
  <c r="E72" i="7"/>
  <c r="E9" i="7"/>
  <c r="E27" i="7"/>
  <c r="E61" i="7"/>
  <c r="E41" i="7"/>
  <c r="E49" i="7"/>
  <c r="E11" i="7"/>
  <c r="E58" i="7"/>
  <c r="E83" i="7"/>
  <c r="E81" i="7"/>
  <c r="E36" i="7"/>
  <c r="E38" i="7"/>
  <c r="E77" i="7"/>
  <c r="E6" i="7"/>
  <c r="E22" i="7"/>
  <c r="E91" i="7"/>
  <c r="E14" i="7"/>
  <c r="C26" i="7"/>
  <c r="I90" i="7"/>
  <c r="J90" i="7"/>
  <c r="G15" i="7"/>
  <c r="J15" i="7"/>
  <c r="E25" i="7"/>
  <c r="E42" i="7"/>
  <c r="C33" i="7"/>
  <c r="C59" i="7"/>
  <c r="G51" i="7"/>
  <c r="E66" i="7"/>
  <c r="J77" i="7"/>
  <c r="K77" i="7" s="1"/>
  <c r="I77" i="7"/>
  <c r="J86" i="7"/>
  <c r="K86" i="7" s="1"/>
  <c r="I86" i="7"/>
  <c r="J14" i="7"/>
  <c r="K14" i="7" s="1"/>
  <c r="I14" i="7"/>
  <c r="G24" i="7"/>
  <c r="C89" i="7"/>
  <c r="J89" i="7"/>
  <c r="E12" i="7"/>
  <c r="J12" i="7"/>
  <c r="K12" i="7" s="1"/>
  <c r="J23" i="7"/>
  <c r="I23" i="7"/>
  <c r="J40" i="7"/>
  <c r="K40" i="7" s="1"/>
  <c r="I40" i="7"/>
  <c r="G31" i="7"/>
  <c r="G57" i="7"/>
  <c r="E48" i="7"/>
  <c r="J63" i="7"/>
  <c r="K63" i="7" s="1"/>
  <c r="I63" i="7"/>
  <c r="C76" i="7"/>
  <c r="C85" i="7"/>
  <c r="C13" i="7"/>
  <c r="I78" i="7"/>
  <c r="G87" i="7"/>
  <c r="J87" i="7"/>
  <c r="I10" i="7"/>
  <c r="J10" i="7"/>
  <c r="J94" i="7"/>
  <c r="K94" i="7" s="1"/>
  <c r="I94" i="7"/>
  <c r="C39" i="7"/>
  <c r="E28" i="7"/>
  <c r="E54" i="7"/>
  <c r="G34" i="7"/>
  <c r="C62" i="7"/>
  <c r="G74" i="7"/>
  <c r="G83" i="7"/>
  <c r="G11" i="7"/>
  <c r="C77" i="7"/>
  <c r="E84" i="7"/>
  <c r="J84" i="7"/>
  <c r="K84" i="7" s="1"/>
  <c r="C9" i="7"/>
  <c r="J9" i="7"/>
  <c r="K9" i="7" s="1"/>
  <c r="C92" i="7"/>
  <c r="G37" i="7"/>
  <c r="J26" i="7"/>
  <c r="K26" i="7" s="1"/>
  <c r="I26" i="7"/>
  <c r="I46" i="7"/>
  <c r="E31" i="7"/>
  <c r="G60" i="7"/>
  <c r="E51" i="7"/>
  <c r="E79" i="7"/>
  <c r="E8" i="7"/>
  <c r="G75" i="7"/>
  <c r="J75" i="7"/>
  <c r="E75" i="7"/>
  <c r="I82" i="7"/>
  <c r="J82" i="7"/>
  <c r="K82" i="7" s="1"/>
  <c r="G7" i="7"/>
  <c r="J7" i="7"/>
  <c r="K7" i="7" s="1"/>
  <c r="G90" i="7"/>
  <c r="E15" i="7"/>
  <c r="C25" i="7"/>
  <c r="C42" i="7"/>
  <c r="J29" i="7"/>
  <c r="K29" i="7" s="1"/>
  <c r="I29" i="7"/>
  <c r="E57" i="7"/>
  <c r="J49" i="7"/>
  <c r="K49" i="7" s="1"/>
  <c r="I49" i="7"/>
  <c r="I72" i="7"/>
  <c r="J6" i="7"/>
  <c r="I6" i="7"/>
  <c r="E53" i="7"/>
  <c r="J73" i="7"/>
  <c r="K73" i="7" s="1"/>
  <c r="I73" i="7"/>
  <c r="C81" i="7"/>
  <c r="J81" i="7"/>
  <c r="K81" i="7" s="1"/>
  <c r="E78" i="7"/>
  <c r="E87" i="7"/>
  <c r="J13" i="7"/>
  <c r="K13" i="7" s="1"/>
  <c r="I13" i="7"/>
  <c r="G23" i="7"/>
  <c r="G40" i="7"/>
  <c r="C28" i="7"/>
  <c r="J55" i="7"/>
  <c r="K55" i="7" s="1"/>
  <c r="I55" i="7"/>
  <c r="C48" i="7"/>
  <c r="C66" i="7"/>
  <c r="G77" i="7"/>
  <c r="I50" i="7"/>
  <c r="J50" i="7"/>
  <c r="K50" i="7" s="1"/>
  <c r="C53" i="7"/>
  <c r="E64" i="7"/>
  <c r="J64" i="7"/>
  <c r="K64" i="7" s="1"/>
  <c r="J76" i="7"/>
  <c r="K76" i="7" s="1"/>
  <c r="I76" i="7"/>
  <c r="J85" i="7"/>
  <c r="K85" i="7" s="1"/>
  <c r="I85" i="7"/>
  <c r="C12" i="7"/>
  <c r="G94" i="7"/>
  <c r="E37" i="7"/>
  <c r="G26" i="7"/>
  <c r="C54" i="7"/>
  <c r="E34" i="7"/>
  <c r="G63" i="7"/>
  <c r="E74" i="7"/>
  <c r="C49" i="7"/>
  <c r="E1" i="6"/>
  <c r="T101" i="4"/>
  <c r="U101" i="4" s="1"/>
  <c r="T107" i="4"/>
  <c r="U87" i="4"/>
  <c r="N87" i="3"/>
  <c r="O59" i="3"/>
  <c r="AI99" i="3"/>
  <c r="AJ99" i="3" s="1"/>
  <c r="AH99" i="3"/>
  <c r="AK34" i="2"/>
  <c r="AL34" i="2" s="1"/>
  <c r="AI34" i="2"/>
  <c r="AJ34" i="2" s="1"/>
  <c r="AH34" i="2"/>
  <c r="AK99" i="2"/>
  <c r="AL99" i="2" s="1"/>
  <c r="AI99" i="2"/>
  <c r="AJ99" i="2" s="1"/>
  <c r="AH99" i="2"/>
  <c r="H87" i="1"/>
  <c r="I59" i="1"/>
  <c r="AH9" i="1"/>
  <c r="AK9" i="1"/>
  <c r="AL9" i="1" s="1"/>
  <c r="AI9" i="1"/>
  <c r="AJ9" i="1" s="1"/>
  <c r="AD141" i="2"/>
  <c r="AE141" i="2" s="1"/>
  <c r="AJ48" i="5"/>
  <c r="AJ46" i="5"/>
  <c r="AJ95" i="5"/>
  <c r="AJ53" i="5"/>
  <c r="AJ43" i="5"/>
  <c r="AJ19" i="5"/>
  <c r="AJ8" i="5"/>
  <c r="AJ93" i="5"/>
  <c r="AJ41" i="5"/>
  <c r="AJ97" i="5"/>
  <c r="AJ91" i="5"/>
  <c r="AJ42" i="5"/>
  <c r="AJ119" i="5"/>
  <c r="AJ135" i="5"/>
  <c r="AF9" i="5"/>
  <c r="AJ32" i="5"/>
  <c r="AJ144" i="5"/>
  <c r="AK34" i="5"/>
  <c r="AL34" i="5" s="1"/>
  <c r="AH105" i="4"/>
  <c r="AK105" i="4"/>
  <c r="AL105" i="4" s="1"/>
  <c r="AI35" i="5"/>
  <c r="AJ35" i="5" s="1"/>
  <c r="AI34" i="4"/>
  <c r="AJ34" i="4" s="1"/>
  <c r="AK34" i="4"/>
  <c r="AL34" i="4" s="1"/>
  <c r="AH34" i="4"/>
  <c r="B101" i="4"/>
  <c r="C101" i="4" s="1"/>
  <c r="B107" i="4"/>
  <c r="C87" i="4"/>
  <c r="AE123" i="3"/>
  <c r="AJ95" i="3"/>
  <c r="AJ19" i="3"/>
  <c r="AJ117" i="3"/>
  <c r="AK81" i="4"/>
  <c r="AL81" i="4" s="1"/>
  <c r="AJ112" i="3"/>
  <c r="AE43" i="3"/>
  <c r="AE8" i="3"/>
  <c r="AE15" i="3"/>
  <c r="AE25" i="3"/>
  <c r="AE19" i="3"/>
  <c r="AD85" i="2"/>
  <c r="AE85" i="2" s="1"/>
  <c r="M87" i="2"/>
  <c r="L101" i="2"/>
  <c r="M101" i="2" s="1"/>
  <c r="L107" i="2"/>
  <c r="AH9" i="2"/>
  <c r="AK9" i="2"/>
  <c r="AL9" i="2" s="1"/>
  <c r="AI9" i="2"/>
  <c r="AJ9" i="2" s="1"/>
  <c r="D107" i="3"/>
  <c r="D101" i="3"/>
  <c r="E101" i="3" s="1"/>
  <c r="E87" i="3"/>
  <c r="D101" i="2"/>
  <c r="E101" i="2" s="1"/>
  <c r="D107" i="2"/>
  <c r="E87" i="2"/>
  <c r="AB59" i="5"/>
  <c r="R87" i="5"/>
  <c r="S59" i="5"/>
  <c r="AK70" i="5"/>
  <c r="AL70" i="5" s="1"/>
  <c r="AI70" i="5"/>
  <c r="AJ70" i="5" s="1"/>
  <c r="AH70" i="5"/>
  <c r="AD9" i="5"/>
  <c r="AE9" i="5" s="1"/>
  <c r="AK57" i="4"/>
  <c r="AL57" i="4" s="1"/>
  <c r="AH57" i="4"/>
  <c r="AI57" i="4"/>
  <c r="AJ57" i="4" s="1"/>
  <c r="AH145" i="3"/>
  <c r="AK145" i="3"/>
  <c r="AL145" i="3" s="1"/>
  <c r="AI145" i="3"/>
  <c r="AJ145" i="3" s="1"/>
  <c r="V101" i="3"/>
  <c r="W101" i="3" s="1"/>
  <c r="W87" i="3"/>
  <c r="V107" i="3"/>
  <c r="N107" i="4"/>
  <c r="N101" i="4"/>
  <c r="O101" i="4" s="1"/>
  <c r="O87" i="4"/>
  <c r="AK35" i="3"/>
  <c r="AL35" i="3" s="1"/>
  <c r="AI35" i="3"/>
  <c r="AJ35" i="3" s="1"/>
  <c r="AH35" i="3"/>
  <c r="J147" i="3"/>
  <c r="K137" i="3"/>
  <c r="AF85" i="1"/>
  <c r="AD85" i="1"/>
  <c r="AE85" i="1" s="1"/>
  <c r="AD70" i="1"/>
  <c r="AE70" i="1" s="1"/>
  <c r="AC70" i="1"/>
  <c r="AF141" i="2"/>
  <c r="C59" i="1"/>
  <c r="B87" i="1"/>
  <c r="AJ76" i="5"/>
  <c r="AJ111" i="5"/>
  <c r="AG59" i="5"/>
  <c r="J87" i="5"/>
  <c r="K59" i="5"/>
  <c r="AH27" i="5"/>
  <c r="AI27" i="5"/>
  <c r="AJ27" i="5" s="1"/>
  <c r="AK27" i="5"/>
  <c r="AL27" i="5" s="1"/>
  <c r="AH135" i="4"/>
  <c r="AK135" i="4"/>
  <c r="AL135" i="4" s="1"/>
  <c r="AI135" i="4"/>
  <c r="AJ135" i="4" s="1"/>
  <c r="AK99" i="3"/>
  <c r="AL99" i="3" s="1"/>
  <c r="AE131" i="3"/>
  <c r="AE129" i="3"/>
  <c r="AE112" i="3"/>
  <c r="AE110" i="3"/>
  <c r="AE80" i="3"/>
  <c r="AE78" i="3"/>
  <c r="AE76" i="3"/>
  <c r="AE74" i="3"/>
  <c r="AE127" i="3"/>
  <c r="AE35" i="3"/>
  <c r="AE55" i="3"/>
  <c r="AJ110" i="3"/>
  <c r="AJ133" i="3"/>
  <c r="AE46" i="3"/>
  <c r="F101" i="3"/>
  <c r="G101" i="3" s="1"/>
  <c r="G87" i="3"/>
  <c r="F107" i="3"/>
  <c r="AE82" i="3"/>
  <c r="AJ120" i="3"/>
  <c r="AE65" i="3"/>
  <c r="AJ80" i="3"/>
  <c r="AK84" i="3"/>
  <c r="AL84" i="3" s="1"/>
  <c r="AJ141" i="3"/>
  <c r="AE27" i="3"/>
  <c r="T107" i="3"/>
  <c r="T101" i="3"/>
  <c r="U101" i="3" s="1"/>
  <c r="U87" i="3"/>
  <c r="AJ26" i="3"/>
  <c r="AJ97" i="3"/>
  <c r="AE24" i="3"/>
  <c r="AJ27" i="3"/>
  <c r="AJ43" i="3"/>
  <c r="AC52" i="1"/>
  <c r="AD52" i="1"/>
  <c r="AE52" i="1" s="1"/>
  <c r="AK141" i="2"/>
  <c r="AL141" i="2" s="1"/>
  <c r="F137" i="2"/>
  <c r="G107" i="2"/>
  <c r="AD105" i="1"/>
  <c r="AE105" i="1" s="1"/>
  <c r="AC105" i="1"/>
  <c r="AF105" i="1"/>
  <c r="L107" i="3"/>
  <c r="M87" i="3"/>
  <c r="L101" i="3"/>
  <c r="M101" i="3" s="1"/>
  <c r="B107" i="2"/>
  <c r="B101" i="2"/>
  <c r="C101" i="2" s="1"/>
  <c r="C87" i="2"/>
  <c r="AF34" i="4"/>
  <c r="AD34" i="4"/>
  <c r="AE34" i="4" s="1"/>
  <c r="AC34" i="4"/>
  <c r="AJ74" i="5"/>
  <c r="AJ85" i="5"/>
  <c r="B137" i="5"/>
  <c r="C107" i="5"/>
  <c r="AK84" i="5"/>
  <c r="AL84" i="5" s="1"/>
  <c r="AI84" i="5"/>
  <c r="AJ84" i="5" s="1"/>
  <c r="AH84" i="5"/>
  <c r="F87" i="5"/>
  <c r="G59" i="5"/>
  <c r="AJ30" i="5"/>
  <c r="AJ22" i="5"/>
  <c r="T87" i="5"/>
  <c r="U59" i="5"/>
  <c r="AJ16" i="5"/>
  <c r="AF9" i="4"/>
  <c r="AC9" i="4"/>
  <c r="P87" i="4"/>
  <c r="Q59" i="4"/>
  <c r="AE52" i="3"/>
  <c r="AK135" i="2"/>
  <c r="AL135" i="2" s="1"/>
  <c r="AE81" i="3"/>
  <c r="AI56" i="3"/>
  <c r="AJ56" i="3" s="1"/>
  <c r="AJ115" i="3"/>
  <c r="AE68" i="3"/>
  <c r="AJ22" i="3"/>
  <c r="AE22" i="3"/>
  <c r="AE71" i="3"/>
  <c r="AI84" i="2"/>
  <c r="AJ84" i="2" s="1"/>
  <c r="AH84" i="2"/>
  <c r="AE23" i="3"/>
  <c r="AG59" i="3"/>
  <c r="AH59" i="3" s="1"/>
  <c r="AC70" i="2"/>
  <c r="AF70" i="2"/>
  <c r="V107" i="2"/>
  <c r="V101" i="2"/>
  <c r="W101" i="2" s="1"/>
  <c r="W87" i="2"/>
  <c r="F101" i="4"/>
  <c r="G101" i="4" s="1"/>
  <c r="F107" i="4"/>
  <c r="G87" i="4"/>
  <c r="AB59" i="1"/>
  <c r="S59" i="1"/>
  <c r="R87" i="1"/>
  <c r="AJ71" i="5"/>
  <c r="AJ94" i="5"/>
  <c r="AI56" i="5"/>
  <c r="AJ56" i="5" s="1"/>
  <c r="AD99" i="4"/>
  <c r="AE99" i="4" s="1"/>
  <c r="AC99" i="4"/>
  <c r="Y59" i="4"/>
  <c r="X87" i="4"/>
  <c r="AD59" i="4"/>
  <c r="AE59" i="4" s="1"/>
  <c r="AE104" i="3"/>
  <c r="AE125" i="3"/>
  <c r="AJ71" i="3"/>
  <c r="AD84" i="3"/>
  <c r="AE84" i="3" s="1"/>
  <c r="AE18" i="3"/>
  <c r="AE21" i="3"/>
  <c r="AF52" i="2"/>
  <c r="AC52" i="2"/>
  <c r="AD52" i="2"/>
  <c r="AE52" i="2" s="1"/>
  <c r="I87" i="3"/>
  <c r="H101" i="3"/>
  <c r="I101" i="3" s="1"/>
  <c r="H107" i="3"/>
  <c r="AF52" i="1"/>
  <c r="AA59" i="4"/>
  <c r="Z87" i="4"/>
  <c r="H101" i="2"/>
  <c r="I101" i="2" s="1"/>
  <c r="H107" i="2"/>
  <c r="I87" i="2"/>
  <c r="AJ126" i="5"/>
  <c r="AH52" i="5"/>
  <c r="AK52" i="5"/>
  <c r="AL52" i="5" s="1"/>
  <c r="AJ141" i="5"/>
  <c r="AJ98" i="5"/>
  <c r="AK56" i="5"/>
  <c r="AL56" i="5" s="1"/>
  <c r="V87" i="5"/>
  <c r="W59" i="5"/>
  <c r="AJ82" i="3"/>
  <c r="AJ66" i="3"/>
  <c r="AJ131" i="3"/>
  <c r="AJ37" i="3"/>
  <c r="AJ96" i="3"/>
  <c r="AJ92" i="3"/>
  <c r="AJ68" i="3"/>
  <c r="AJ98" i="3"/>
  <c r="AJ94" i="3"/>
  <c r="AJ90" i="3"/>
  <c r="AJ124" i="3"/>
  <c r="AJ46" i="3"/>
  <c r="AJ126" i="3"/>
  <c r="AK135" i="3"/>
  <c r="AL135" i="3" s="1"/>
  <c r="AH135" i="3"/>
  <c r="AE70" i="3"/>
  <c r="AA107" i="3"/>
  <c r="Z137" i="3"/>
  <c r="AE34" i="3"/>
  <c r="AE66" i="3"/>
  <c r="AJ42" i="3"/>
  <c r="AB59" i="4"/>
  <c r="AC59" i="4" s="1"/>
  <c r="AI44" i="3"/>
  <c r="AJ44" i="3" s="1"/>
  <c r="AE17" i="3"/>
  <c r="AD81" i="2"/>
  <c r="AE81" i="2" s="1"/>
  <c r="AJ76" i="3"/>
  <c r="AE30" i="3"/>
  <c r="AD9" i="2"/>
  <c r="AE9" i="2" s="1"/>
  <c r="AF9" i="2"/>
  <c r="AC9" i="2"/>
  <c r="AK44" i="2"/>
  <c r="AL44" i="2" s="1"/>
  <c r="AI44" i="2"/>
  <c r="AJ44" i="2" s="1"/>
  <c r="AH44" i="2"/>
  <c r="AF70" i="1"/>
  <c r="AK35" i="2"/>
  <c r="AL35" i="2" s="1"/>
  <c r="AH35" i="2"/>
  <c r="T107" i="1"/>
  <c r="T101" i="1"/>
  <c r="U101" i="1" s="1"/>
  <c r="U87" i="1"/>
  <c r="AK70" i="1"/>
  <c r="AL70" i="1" s="1"/>
  <c r="AH70" i="1"/>
  <c r="AI52" i="1"/>
  <c r="AJ52" i="1" s="1"/>
  <c r="K101" i="3"/>
  <c r="AJ79" i="5"/>
  <c r="AJ104" i="5"/>
  <c r="AJ105" i="5"/>
  <c r="AI145" i="4"/>
  <c r="AJ145" i="4" s="1"/>
  <c r="AH145" i="4"/>
  <c r="AJ18" i="5"/>
  <c r="AF105" i="3"/>
  <c r="AD105" i="3"/>
  <c r="AE105" i="3" s="1"/>
  <c r="AC105" i="3"/>
  <c r="AJ53" i="3"/>
  <c r="AI84" i="3"/>
  <c r="AJ84" i="3" s="1"/>
  <c r="AE63" i="3"/>
  <c r="AJ93" i="3"/>
  <c r="AE67" i="3"/>
  <c r="P107" i="3"/>
  <c r="P101" i="3"/>
  <c r="Q101" i="3" s="1"/>
  <c r="Q87" i="3"/>
  <c r="AE99" i="3"/>
  <c r="T87" i="2"/>
  <c r="U59" i="2"/>
  <c r="AK81" i="2"/>
  <c r="AL81" i="2" s="1"/>
  <c r="AH81" i="2"/>
  <c r="N107" i="1"/>
  <c r="N101" i="1"/>
  <c r="O101" i="1" s="1"/>
  <c r="O87" i="1"/>
  <c r="AK52" i="1"/>
  <c r="AL52" i="1" s="1"/>
  <c r="Q87" i="5"/>
  <c r="P101" i="5"/>
  <c r="Q101" i="5" s="1"/>
  <c r="P107" i="5"/>
  <c r="Z107" i="5"/>
  <c r="Z101" i="5"/>
  <c r="AA101" i="5" s="1"/>
  <c r="AA87" i="5"/>
  <c r="AJ7" i="5"/>
  <c r="R107" i="4"/>
  <c r="S87" i="4"/>
  <c r="R101" i="4"/>
  <c r="AE41" i="3"/>
  <c r="AF57" i="3"/>
  <c r="AC57" i="3"/>
  <c r="AJ63" i="3"/>
  <c r="Z87" i="2"/>
  <c r="AA59" i="2"/>
  <c r="AH27" i="2"/>
  <c r="AI27" i="2"/>
  <c r="AJ27" i="2" s="1"/>
  <c r="Z137" i="1"/>
  <c r="AA107" i="1"/>
  <c r="AK57" i="3"/>
  <c r="AL57" i="3" s="1"/>
  <c r="AI57" i="3"/>
  <c r="AJ57" i="3" s="1"/>
  <c r="AH57" i="3"/>
  <c r="D107" i="1"/>
  <c r="D101" i="1"/>
  <c r="E101" i="1" s="1"/>
  <c r="E87" i="1"/>
  <c r="L101" i="1"/>
  <c r="M101" i="1" s="1"/>
  <c r="M87" i="1"/>
  <c r="L107" i="1"/>
  <c r="AJ120" i="5"/>
  <c r="AJ66" i="5"/>
  <c r="AJ75" i="5"/>
  <c r="AJ90" i="5"/>
  <c r="AJ81" i="5"/>
  <c r="AJ37" i="5"/>
  <c r="AJ99" i="5"/>
  <c r="X107" i="5"/>
  <c r="X101" i="5"/>
  <c r="Y87" i="5"/>
  <c r="I59" i="4"/>
  <c r="H87" i="4"/>
  <c r="AJ67" i="3"/>
  <c r="AJ75" i="3"/>
  <c r="AJ140" i="3"/>
  <c r="AJ122" i="3"/>
  <c r="AJ48" i="3"/>
  <c r="AE33" i="3"/>
  <c r="AE135" i="3"/>
  <c r="AJ55" i="3"/>
  <c r="AJ34" i="3"/>
  <c r="AI85" i="3"/>
  <c r="AJ85" i="3" s="1"/>
  <c r="AH85" i="3"/>
  <c r="AJ40" i="3"/>
  <c r="AJ39" i="3"/>
  <c r="AJ114" i="3"/>
  <c r="AE47" i="3"/>
  <c r="AJ29" i="3"/>
  <c r="AG59" i="1"/>
  <c r="P107" i="1"/>
  <c r="P101" i="1"/>
  <c r="Q101" i="1" s="1"/>
  <c r="Q87" i="1"/>
  <c r="AI141" i="2"/>
  <c r="AJ141" i="2" s="1"/>
  <c r="AJ118" i="5"/>
  <c r="AJ52" i="5"/>
  <c r="AJ63" i="5"/>
  <c r="AJ72" i="5"/>
  <c r="AJ57" i="5"/>
  <c r="AJ54" i="5"/>
  <c r="AJ24" i="5"/>
  <c r="AD52" i="4"/>
  <c r="AE52" i="4" s="1"/>
  <c r="AC52" i="4"/>
  <c r="AH9" i="4"/>
  <c r="AK9" i="4"/>
  <c r="AL9" i="4" s="1"/>
  <c r="AJ65" i="3"/>
  <c r="AI70" i="4"/>
  <c r="AJ70" i="4" s="1"/>
  <c r="AH70" i="4"/>
  <c r="AE132" i="3"/>
  <c r="AE44" i="3"/>
  <c r="AE37" i="3"/>
  <c r="AE31" i="3"/>
  <c r="AJ128" i="3"/>
  <c r="R87" i="3"/>
  <c r="S59" i="3"/>
  <c r="AB59" i="3"/>
  <c r="AC59" i="3" s="1"/>
  <c r="AF145" i="2"/>
  <c r="AD145" i="2"/>
  <c r="AE145" i="2" s="1"/>
  <c r="AC145" i="2"/>
  <c r="AE116" i="3"/>
  <c r="AI44" i="1"/>
  <c r="AJ44" i="1" s="1"/>
  <c r="AH44" i="1"/>
  <c r="AK135" i="1"/>
  <c r="AL135" i="1" s="1"/>
  <c r="AI135" i="1"/>
  <c r="AJ135" i="1" s="1"/>
  <c r="AH135" i="1"/>
  <c r="AJ67" i="5"/>
  <c r="J107" i="1"/>
  <c r="J101" i="1"/>
  <c r="K87" i="1"/>
  <c r="AG87" i="1"/>
  <c r="AH87" i="1" s="1"/>
  <c r="AG59" i="2"/>
  <c r="J87" i="2"/>
  <c r="K59" i="2"/>
  <c r="AJ116" i="5"/>
  <c r="AJ133" i="5"/>
  <c r="AJ49" i="5"/>
  <c r="AJ50" i="5"/>
  <c r="AJ17" i="5"/>
  <c r="AJ21" i="5"/>
  <c r="AJ39" i="5"/>
  <c r="AJ51" i="5"/>
  <c r="AJ140" i="5"/>
  <c r="AF141" i="4"/>
  <c r="AH52" i="4"/>
  <c r="AI52" i="4"/>
  <c r="AJ52" i="4" s="1"/>
  <c r="AK52" i="4"/>
  <c r="AL52" i="4" s="1"/>
  <c r="K59" i="4"/>
  <c r="J87" i="4"/>
  <c r="AG59" i="4"/>
  <c r="AH59" i="4" s="1"/>
  <c r="AJ47" i="5"/>
  <c r="AD56" i="4"/>
  <c r="AE56" i="4" s="1"/>
  <c r="AK56" i="3"/>
  <c r="AL56" i="3" s="1"/>
  <c r="AI135" i="2"/>
  <c r="AJ135" i="2" s="1"/>
  <c r="AE29" i="3"/>
  <c r="AE120" i="3"/>
  <c r="AE48" i="3"/>
  <c r="AJ134" i="3"/>
  <c r="AE69" i="3"/>
  <c r="AJ33" i="3"/>
  <c r="AJ32" i="3"/>
  <c r="AJ113" i="3"/>
  <c r="AJ30" i="3"/>
  <c r="AD99" i="1"/>
  <c r="AE99" i="1" s="1"/>
  <c r="AB59" i="2"/>
  <c r="AE144" i="3"/>
  <c r="H107" i="5"/>
  <c r="H101" i="5"/>
  <c r="I101" i="5" s="1"/>
  <c r="I87" i="5"/>
  <c r="AK44" i="5"/>
  <c r="AL44" i="5" s="1"/>
  <c r="AH44" i="5"/>
  <c r="AI44" i="5"/>
  <c r="AJ44" i="5" s="1"/>
  <c r="AJ40" i="5"/>
  <c r="AF56" i="4"/>
  <c r="B107" i="3"/>
  <c r="B101" i="3"/>
  <c r="C101" i="3" s="1"/>
  <c r="C87" i="3"/>
  <c r="AE42" i="3"/>
  <c r="AJ50" i="3"/>
  <c r="AF105" i="2"/>
  <c r="AD105" i="2"/>
  <c r="AE105" i="2" s="1"/>
  <c r="AC105" i="2"/>
  <c r="X101" i="2"/>
  <c r="AF87" i="2"/>
  <c r="X107" i="2"/>
  <c r="AD87" i="2"/>
  <c r="AE87" i="2" s="1"/>
  <c r="Y87" i="2"/>
  <c r="AK70" i="2"/>
  <c r="AL70" i="2" s="1"/>
  <c r="AI70" i="2"/>
  <c r="AJ70" i="2" s="1"/>
  <c r="AH70" i="2"/>
  <c r="O87" i="2"/>
  <c r="N107" i="2"/>
  <c r="N101" i="2"/>
  <c r="O101" i="2" s="1"/>
  <c r="X107" i="1"/>
  <c r="X101" i="1"/>
  <c r="Y87" i="1"/>
  <c r="AI87" i="1"/>
  <c r="AJ87" i="1" s="1"/>
  <c r="V137" i="1"/>
  <c r="W107" i="1"/>
  <c r="AI141" i="1"/>
  <c r="AJ141" i="1" s="1"/>
  <c r="AH141" i="1"/>
  <c r="AK105" i="1"/>
  <c r="AL105" i="1" s="1"/>
  <c r="AI105" i="1"/>
  <c r="AJ105" i="1" s="1"/>
  <c r="AH105" i="1"/>
  <c r="AK145" i="5"/>
  <c r="AL145" i="5" s="1"/>
  <c r="AI145" i="5"/>
  <c r="AJ145" i="5" s="1"/>
  <c r="AH145" i="5"/>
  <c r="V101" i="4"/>
  <c r="W101" i="4" s="1"/>
  <c r="W87" i="4"/>
  <c r="V107" i="4"/>
  <c r="AH145" i="1"/>
  <c r="AK145" i="1"/>
  <c r="AL145" i="1" s="1"/>
  <c r="AI145" i="1"/>
  <c r="AJ145" i="1" s="1"/>
  <c r="P107" i="2"/>
  <c r="Q87" i="2"/>
  <c r="P101" i="2"/>
  <c r="Q101" i="2" s="1"/>
  <c r="AH9" i="5"/>
  <c r="AK9" i="5"/>
  <c r="AL9" i="5" s="1"/>
  <c r="AJ112" i="5"/>
  <c r="AJ129" i="5"/>
  <c r="L107" i="5"/>
  <c r="L101" i="5"/>
  <c r="M101" i="5" s="1"/>
  <c r="M87" i="5"/>
  <c r="AF34" i="5"/>
  <c r="AJ33" i="5"/>
  <c r="D87" i="5"/>
  <c r="E59" i="5"/>
  <c r="AD105" i="4"/>
  <c r="AE105" i="4" s="1"/>
  <c r="AJ20" i="5"/>
  <c r="AJ26" i="5"/>
  <c r="D101" i="4"/>
  <c r="E101" i="4" s="1"/>
  <c r="D107" i="4"/>
  <c r="E87" i="4"/>
  <c r="L107" i="4"/>
  <c r="L101" i="4"/>
  <c r="M101" i="4" s="1"/>
  <c r="M87" i="4"/>
  <c r="AI56" i="4"/>
  <c r="AJ56" i="4" s="1"/>
  <c r="AK52" i="3"/>
  <c r="AL52" i="3" s="1"/>
  <c r="AI52" i="3"/>
  <c r="AJ52" i="3" s="1"/>
  <c r="AH52" i="3"/>
  <c r="AF57" i="4"/>
  <c r="AJ74" i="3"/>
  <c r="X87" i="3"/>
  <c r="Y59" i="3"/>
  <c r="AK59" i="3"/>
  <c r="AL59" i="3" s="1"/>
  <c r="AI59" i="3"/>
  <c r="AJ59" i="3" s="1"/>
  <c r="AD59" i="3"/>
  <c r="AE59" i="3" s="1"/>
  <c r="AF59" i="3"/>
  <c r="AE141" i="3"/>
  <c r="AJ119" i="3"/>
  <c r="AJ23" i="3"/>
  <c r="AF81" i="4"/>
  <c r="N101" i="5"/>
  <c r="O101" i="5" s="1"/>
  <c r="O87" i="5"/>
  <c r="N107" i="5"/>
  <c r="AJ125" i="3"/>
  <c r="AJ20" i="3"/>
  <c r="AE32" i="3"/>
  <c r="AE51" i="3"/>
  <c r="AJ24" i="3"/>
  <c r="AI81" i="2"/>
  <c r="AJ81" i="2" s="1"/>
  <c r="AF27" i="2"/>
  <c r="AC27" i="2"/>
  <c r="R107" i="2"/>
  <c r="R101" i="2"/>
  <c r="AB87" i="2"/>
  <c r="AC87" i="2" s="1"/>
  <c r="S87" i="2"/>
  <c r="AI105" i="2"/>
  <c r="AJ105" i="2" s="1"/>
  <c r="AH105" i="2"/>
  <c r="F107" i="1"/>
  <c r="F101" i="1"/>
  <c r="G101" i="1" s="1"/>
  <c r="G87" i="1"/>
  <c r="AK81" i="1"/>
  <c r="AL81" i="1" s="1"/>
  <c r="AH81" i="1"/>
  <c r="AJ18" i="3"/>
  <c r="E7" i="6" a="1"/>
  <c r="E5" i="6" a="1"/>
  <c r="E8" i="6" a="1"/>
  <c r="E6" i="6" a="1"/>
  <c r="E9" i="6" a="1"/>
  <c r="K87" i="7" l="1"/>
  <c r="K10" i="7"/>
  <c r="K23" i="7"/>
  <c r="K28" i="7"/>
  <c r="K8" i="7"/>
  <c r="K15" i="7"/>
  <c r="K89" i="7"/>
  <c r="K38" i="7"/>
  <c r="K90" i="7"/>
  <c r="K61" i="7"/>
  <c r="K60" i="7"/>
  <c r="K83" i="7"/>
  <c r="K6" i="7"/>
  <c r="K75" i="7"/>
  <c r="K47" i="7"/>
  <c r="K74" i="7"/>
  <c r="K41" i="7"/>
  <c r="K91" i="7"/>
  <c r="K58" i="7"/>
  <c r="K62" i="7"/>
  <c r="E9" i="6"/>
  <c r="E6" i="6"/>
  <c r="E8" i="6"/>
  <c r="E5" i="6"/>
  <c r="E7" i="6"/>
  <c r="P7" i="6"/>
  <c r="W7" i="6"/>
  <c r="P5" i="6"/>
  <c r="W5" i="6"/>
  <c r="P8" i="6"/>
  <c r="W8" i="6"/>
  <c r="K16" i="7"/>
  <c r="K46" i="7"/>
  <c r="K72" i="7"/>
  <c r="K53" i="7"/>
  <c r="K36" i="7"/>
  <c r="K22" i="7"/>
  <c r="K78" i="7"/>
  <c r="F1" i="6"/>
  <c r="W6" i="6"/>
  <c r="P6" i="6"/>
  <c r="W9" i="6"/>
  <c r="P9" i="6"/>
  <c r="K11" i="7"/>
  <c r="K34" i="7"/>
  <c r="K54" i="7"/>
  <c r="K48" i="7"/>
  <c r="K32" i="7"/>
  <c r="Z147" i="1"/>
  <c r="AA147" i="1" s="1"/>
  <c r="AA137" i="1"/>
  <c r="Z137" i="5"/>
  <c r="AA107" i="5"/>
  <c r="T107" i="5"/>
  <c r="T101" i="5"/>
  <c r="U101" i="5" s="1"/>
  <c r="U87" i="5"/>
  <c r="R137" i="2"/>
  <c r="S107" i="2"/>
  <c r="AB107" i="2"/>
  <c r="AC107" i="2" s="1"/>
  <c r="B137" i="2"/>
  <c r="C107" i="2"/>
  <c r="H107" i="1"/>
  <c r="H101" i="1"/>
  <c r="I101" i="1" s="1"/>
  <c r="I87" i="1"/>
  <c r="AB87" i="1"/>
  <c r="R107" i="1"/>
  <c r="R101" i="1"/>
  <c r="S87" i="1"/>
  <c r="L137" i="2"/>
  <c r="M107" i="2"/>
  <c r="B137" i="4"/>
  <c r="C107" i="4"/>
  <c r="P137" i="2"/>
  <c r="Q107" i="2"/>
  <c r="Y87" i="3"/>
  <c r="AK87" i="3"/>
  <c r="AL87" i="3" s="1"/>
  <c r="AI87" i="3"/>
  <c r="AJ87" i="3" s="1"/>
  <c r="AF87" i="3"/>
  <c r="X101" i="3"/>
  <c r="X107" i="3"/>
  <c r="AD87" i="3"/>
  <c r="AE87" i="3" s="1"/>
  <c r="AK87" i="1"/>
  <c r="AL87" i="1" s="1"/>
  <c r="P137" i="1"/>
  <c r="Q107" i="1"/>
  <c r="Z107" i="2"/>
  <c r="Z101" i="2"/>
  <c r="AA101" i="2" s="1"/>
  <c r="AA87" i="2"/>
  <c r="AC59" i="1"/>
  <c r="AF59" i="1"/>
  <c r="AD59" i="1"/>
  <c r="AE59" i="1" s="1"/>
  <c r="F107" i="5"/>
  <c r="F101" i="5"/>
  <c r="G101" i="5" s="1"/>
  <c r="G87" i="5"/>
  <c r="L137" i="3"/>
  <c r="M107" i="3"/>
  <c r="U107" i="3"/>
  <c r="T137" i="3"/>
  <c r="P137" i="5"/>
  <c r="Q107" i="5"/>
  <c r="D107" i="5"/>
  <c r="D101" i="5"/>
  <c r="E101" i="5" s="1"/>
  <c r="E87" i="5"/>
  <c r="V137" i="4"/>
  <c r="W107" i="4"/>
  <c r="Y101" i="2"/>
  <c r="H137" i="5"/>
  <c r="I107" i="5"/>
  <c r="AH59" i="1"/>
  <c r="AK59" i="1"/>
  <c r="AL59" i="1" s="1"/>
  <c r="AI59" i="1"/>
  <c r="AJ59" i="1" s="1"/>
  <c r="AG87" i="5"/>
  <c r="J107" i="5"/>
  <c r="J101" i="5"/>
  <c r="K87" i="5"/>
  <c r="K147" i="3"/>
  <c r="Y107" i="2"/>
  <c r="X137" i="2"/>
  <c r="AD107" i="2"/>
  <c r="AE107" i="2" s="1"/>
  <c r="Y101" i="1"/>
  <c r="AK101" i="1"/>
  <c r="AL101" i="1" s="1"/>
  <c r="H107" i="4"/>
  <c r="H101" i="4"/>
  <c r="I101" i="4" s="1"/>
  <c r="I87" i="4"/>
  <c r="L137" i="1"/>
  <c r="M107" i="1"/>
  <c r="T137" i="1"/>
  <c r="U107" i="1"/>
  <c r="H137" i="2"/>
  <c r="I107" i="2"/>
  <c r="F137" i="4"/>
  <c r="G107" i="4"/>
  <c r="AH59" i="5"/>
  <c r="AI59" i="5"/>
  <c r="AJ59" i="5" s="1"/>
  <c r="AK59" i="5"/>
  <c r="AL59" i="5" s="1"/>
  <c r="AB87" i="5"/>
  <c r="R107" i="5"/>
  <c r="S87" i="5"/>
  <c r="R101" i="5"/>
  <c r="J101" i="4"/>
  <c r="AG87" i="4"/>
  <c r="AH87" i="4" s="1"/>
  <c r="K87" i="4"/>
  <c r="J107" i="4"/>
  <c r="O107" i="5"/>
  <c r="N137" i="5"/>
  <c r="Z101" i="4"/>
  <c r="AA101" i="4" s="1"/>
  <c r="AA87" i="4"/>
  <c r="Z107" i="4"/>
  <c r="AF59" i="4"/>
  <c r="O107" i="4"/>
  <c r="N137" i="4"/>
  <c r="AC59" i="5"/>
  <c r="AD59" i="5"/>
  <c r="AE59" i="5" s="1"/>
  <c r="AF59" i="5"/>
  <c r="V147" i="1"/>
  <c r="W147" i="1" s="1"/>
  <c r="W137" i="1"/>
  <c r="F137" i="1"/>
  <c r="G107" i="1"/>
  <c r="S101" i="4"/>
  <c r="AF87" i="4"/>
  <c r="X107" i="4"/>
  <c r="AI87" i="4"/>
  <c r="AJ87" i="4" s="1"/>
  <c r="AD87" i="4"/>
  <c r="AE87" i="4" s="1"/>
  <c r="X101" i="4"/>
  <c r="Y87" i="4"/>
  <c r="C137" i="5"/>
  <c r="B147" i="5"/>
  <c r="C147" i="5" s="1"/>
  <c r="F147" i="2"/>
  <c r="G147" i="2" s="1"/>
  <c r="G137" i="2"/>
  <c r="B107" i="1"/>
  <c r="B101" i="1"/>
  <c r="C101" i="1" s="1"/>
  <c r="C87" i="1"/>
  <c r="V137" i="3"/>
  <c r="W107" i="3"/>
  <c r="Z147" i="3"/>
  <c r="AA147" i="3" s="1"/>
  <c r="AA137" i="3"/>
  <c r="AI59" i="4"/>
  <c r="AJ59" i="4" s="1"/>
  <c r="V137" i="2"/>
  <c r="W107" i="2"/>
  <c r="D137" i="2"/>
  <c r="E107" i="2"/>
  <c r="N137" i="1"/>
  <c r="O107" i="1"/>
  <c r="N137" i="2"/>
  <c r="O107" i="2"/>
  <c r="J101" i="2"/>
  <c r="AG87" i="2"/>
  <c r="K87" i="2"/>
  <c r="J107" i="2"/>
  <c r="AH59" i="2"/>
  <c r="AK59" i="2"/>
  <c r="AL59" i="2" s="1"/>
  <c r="AI59" i="2"/>
  <c r="AJ59" i="2" s="1"/>
  <c r="Y101" i="5"/>
  <c r="D137" i="1"/>
  <c r="E107" i="1"/>
  <c r="AB87" i="4"/>
  <c r="AC87" i="4" s="1"/>
  <c r="T101" i="2"/>
  <c r="U101" i="2" s="1"/>
  <c r="T107" i="2"/>
  <c r="U87" i="2"/>
  <c r="H137" i="3"/>
  <c r="I107" i="3"/>
  <c r="AK59" i="4"/>
  <c r="AL59" i="4" s="1"/>
  <c r="P101" i="4"/>
  <c r="Q101" i="4" s="1"/>
  <c r="Q87" i="4"/>
  <c r="P107" i="4"/>
  <c r="N107" i="3"/>
  <c r="AG107" i="3" s="1"/>
  <c r="AH107" i="3" s="1"/>
  <c r="N101" i="3"/>
  <c r="O87" i="3"/>
  <c r="AG87" i="3"/>
  <c r="AH87" i="3" s="1"/>
  <c r="F137" i="3"/>
  <c r="G107" i="3"/>
  <c r="D137" i="4"/>
  <c r="E107" i="4"/>
  <c r="X137" i="1"/>
  <c r="Y107" i="1"/>
  <c r="AK107" i="1"/>
  <c r="AL107" i="1" s="1"/>
  <c r="AI107" i="1"/>
  <c r="AJ107" i="1" s="1"/>
  <c r="AC59" i="2"/>
  <c r="AD59" i="2"/>
  <c r="AE59" i="2" s="1"/>
  <c r="AF59" i="2"/>
  <c r="R107" i="3"/>
  <c r="R101" i="3"/>
  <c r="S87" i="3"/>
  <c r="AB87" i="3"/>
  <c r="AC87" i="3" s="1"/>
  <c r="X137" i="5"/>
  <c r="Y107" i="5"/>
  <c r="L137" i="4"/>
  <c r="M107" i="4"/>
  <c r="C107" i="3"/>
  <c r="B137" i="3"/>
  <c r="V107" i="5"/>
  <c r="V101" i="5"/>
  <c r="W101" i="5" s="1"/>
  <c r="W87" i="5"/>
  <c r="T137" i="4"/>
  <c r="U107" i="4"/>
  <c r="AG107" i="1"/>
  <c r="AH107" i="1" s="1"/>
  <c r="J137" i="1"/>
  <c r="K107" i="1"/>
  <c r="Q107" i="3"/>
  <c r="P137" i="3"/>
  <c r="M107" i="5"/>
  <c r="L137" i="5"/>
  <c r="R137" i="4"/>
  <c r="S107" i="4"/>
  <c r="AB101" i="2"/>
  <c r="AC101" i="2" s="1"/>
  <c r="S101" i="2"/>
  <c r="K101" i="1"/>
  <c r="AG101" i="1"/>
  <c r="AH101" i="1" s="1"/>
  <c r="E107" i="3"/>
  <c r="D137" i="3"/>
  <c r="F6" i="6" a="1"/>
  <c r="F9" i="6" a="1"/>
  <c r="F7" i="6" a="1"/>
  <c r="F5" i="6" a="1"/>
  <c r="F8" i="6" a="1"/>
  <c r="F8" i="6" l="1"/>
  <c r="F5" i="6"/>
  <c r="F7" i="6"/>
  <c r="F9" i="6"/>
  <c r="F6" i="6"/>
  <c r="Q7" i="6"/>
  <c r="X7" i="6"/>
  <c r="Q5" i="6"/>
  <c r="X5" i="6"/>
  <c r="Q8" i="6"/>
  <c r="X8" i="6"/>
  <c r="X6" i="6"/>
  <c r="Q6" i="6"/>
  <c r="X9" i="6"/>
  <c r="Q9" i="6"/>
  <c r="T147" i="4"/>
  <c r="U147" i="4" s="1"/>
  <c r="U137" i="4"/>
  <c r="S101" i="3"/>
  <c r="AB101" i="3"/>
  <c r="AC101" i="3" s="1"/>
  <c r="D147" i="2"/>
  <c r="E147" i="2" s="1"/>
  <c r="E137" i="2"/>
  <c r="AC87" i="1"/>
  <c r="AD87" i="1"/>
  <c r="AE87" i="1" s="1"/>
  <c r="AF87" i="1"/>
  <c r="S107" i="3"/>
  <c r="R137" i="3"/>
  <c r="AB107" i="3"/>
  <c r="AC107" i="3" s="1"/>
  <c r="O101" i="3"/>
  <c r="AG101" i="3"/>
  <c r="AH101" i="3" s="1"/>
  <c r="AF101" i="4"/>
  <c r="AD101" i="4"/>
  <c r="AE101" i="4" s="1"/>
  <c r="Y101" i="4"/>
  <c r="X137" i="3"/>
  <c r="AK107" i="3"/>
  <c r="AL107" i="3" s="1"/>
  <c r="AI107" i="3"/>
  <c r="AJ107" i="3" s="1"/>
  <c r="Y107" i="3"/>
  <c r="V137" i="5"/>
  <c r="W107" i="5"/>
  <c r="Q107" i="4"/>
  <c r="P137" i="4"/>
  <c r="G137" i="4"/>
  <c r="F147" i="4"/>
  <c r="G147" i="4" s="1"/>
  <c r="L147" i="3"/>
  <c r="M137" i="3"/>
  <c r="H137" i="1"/>
  <c r="I107" i="1"/>
  <c r="O107" i="3"/>
  <c r="N137" i="3"/>
  <c r="C137" i="3"/>
  <c r="B147" i="3"/>
  <c r="C147" i="3" s="1"/>
  <c r="AD107" i="4"/>
  <c r="AE107" i="4" s="1"/>
  <c r="X137" i="4"/>
  <c r="Y107" i="4"/>
  <c r="AF107" i="4"/>
  <c r="AF101" i="2"/>
  <c r="O137" i="5"/>
  <c r="N147" i="5"/>
  <c r="O147" i="5" s="1"/>
  <c r="I137" i="2"/>
  <c r="H147" i="2"/>
  <c r="I147" i="2" s="1"/>
  <c r="Y137" i="2"/>
  <c r="X147" i="2"/>
  <c r="C137" i="2"/>
  <c r="B147" i="2"/>
  <c r="C147" i="2" s="1"/>
  <c r="V147" i="2"/>
  <c r="W147" i="2" s="1"/>
  <c r="W137" i="2"/>
  <c r="AB137" i="4"/>
  <c r="AC137" i="4" s="1"/>
  <c r="S137" i="4"/>
  <c r="R147" i="4"/>
  <c r="F137" i="5"/>
  <c r="G107" i="5"/>
  <c r="AB107" i="4"/>
  <c r="AC107" i="4" s="1"/>
  <c r="M137" i="4"/>
  <c r="L147" i="4"/>
  <c r="M147" i="4" s="1"/>
  <c r="J137" i="2"/>
  <c r="AG107" i="2"/>
  <c r="K107" i="2"/>
  <c r="V147" i="3"/>
  <c r="W147" i="3" s="1"/>
  <c r="W137" i="3"/>
  <c r="AB101" i="4"/>
  <c r="AC101" i="4" s="1"/>
  <c r="J137" i="4"/>
  <c r="K107" i="4"/>
  <c r="AG107" i="4"/>
  <c r="AH107" i="4" s="1"/>
  <c r="U137" i="1"/>
  <c r="T147" i="1"/>
  <c r="U147" i="1" s="1"/>
  <c r="AF107" i="2"/>
  <c r="AD101" i="2"/>
  <c r="AE101" i="2" s="1"/>
  <c r="L147" i="5"/>
  <c r="M147" i="5" s="1"/>
  <c r="M137" i="5"/>
  <c r="H147" i="3"/>
  <c r="I147" i="3" s="1"/>
  <c r="I137" i="3"/>
  <c r="Q137" i="2"/>
  <c r="P147" i="2"/>
  <c r="Q147" i="2" s="1"/>
  <c r="S137" i="2"/>
  <c r="R147" i="2"/>
  <c r="AH87" i="2"/>
  <c r="AK87" i="2"/>
  <c r="AL87" i="2" s="1"/>
  <c r="AI87" i="2"/>
  <c r="AJ87" i="2" s="1"/>
  <c r="F147" i="1"/>
  <c r="G147" i="1" s="1"/>
  <c r="G137" i="1"/>
  <c r="L147" i="1"/>
  <c r="M147" i="1" s="1"/>
  <c r="M137" i="1"/>
  <c r="W137" i="4"/>
  <c r="V147" i="4"/>
  <c r="W147" i="4" s="1"/>
  <c r="Z137" i="4"/>
  <c r="AA107" i="4"/>
  <c r="Q137" i="3"/>
  <c r="P147" i="3"/>
  <c r="Q147" i="3" s="1"/>
  <c r="X147" i="1"/>
  <c r="Y137" i="1"/>
  <c r="T137" i="2"/>
  <c r="U107" i="2"/>
  <c r="K101" i="2"/>
  <c r="AG101" i="2"/>
  <c r="B137" i="1"/>
  <c r="C107" i="1"/>
  <c r="K101" i="4"/>
  <c r="AG101" i="4"/>
  <c r="AH101" i="4" s="1"/>
  <c r="C137" i="4"/>
  <c r="B147" i="4"/>
  <c r="C147" i="4" s="1"/>
  <c r="AB101" i="5"/>
  <c r="S101" i="5"/>
  <c r="K101" i="5"/>
  <c r="AG101" i="5"/>
  <c r="T137" i="5"/>
  <c r="U107" i="5"/>
  <c r="D147" i="4"/>
  <c r="E147" i="4" s="1"/>
  <c r="E137" i="4"/>
  <c r="O137" i="2"/>
  <c r="N147" i="2"/>
  <c r="O147" i="2" s="1"/>
  <c r="H137" i="4"/>
  <c r="I107" i="4"/>
  <c r="J137" i="5"/>
  <c r="K107" i="5"/>
  <c r="AG107" i="5"/>
  <c r="D137" i="5"/>
  <c r="E107" i="5"/>
  <c r="AA107" i="2"/>
  <c r="Z137" i="2"/>
  <c r="M137" i="2"/>
  <c r="L147" i="2"/>
  <c r="M147" i="2" s="1"/>
  <c r="I137" i="5"/>
  <c r="H147" i="5"/>
  <c r="I147" i="5" s="1"/>
  <c r="J147" i="1"/>
  <c r="K137" i="1"/>
  <c r="Y137" i="5"/>
  <c r="X147" i="5"/>
  <c r="AB107" i="5"/>
  <c r="R137" i="5"/>
  <c r="S107" i="5"/>
  <c r="AH87" i="5"/>
  <c r="AK87" i="5"/>
  <c r="AL87" i="5" s="1"/>
  <c r="AI87" i="5"/>
  <c r="AJ87" i="5" s="1"/>
  <c r="AA137" i="5"/>
  <c r="Z147" i="5"/>
  <c r="AA147" i="5" s="1"/>
  <c r="AF101" i="3"/>
  <c r="AD101" i="3"/>
  <c r="AE101" i="3" s="1"/>
  <c r="Y101" i="3"/>
  <c r="F147" i="3"/>
  <c r="G147" i="3" s="1"/>
  <c r="G137" i="3"/>
  <c r="E137" i="1"/>
  <c r="D147" i="1"/>
  <c r="E147" i="1" s="1"/>
  <c r="O137" i="1"/>
  <c r="N147" i="1"/>
  <c r="O147" i="1" s="1"/>
  <c r="AC87" i="5"/>
  <c r="AF87" i="5"/>
  <c r="AD87" i="5"/>
  <c r="AE87" i="5" s="1"/>
  <c r="Q137" i="5"/>
  <c r="P147" i="5"/>
  <c r="Q147" i="5" s="1"/>
  <c r="Q137" i="1"/>
  <c r="P147" i="1"/>
  <c r="Q147" i="1" s="1"/>
  <c r="AB101" i="1"/>
  <c r="S101" i="1"/>
  <c r="E137" i="3"/>
  <c r="D147" i="3"/>
  <c r="E147" i="3" s="1"/>
  <c r="AK87" i="4"/>
  <c r="AL87" i="4" s="1"/>
  <c r="N147" i="4"/>
  <c r="O147" i="4" s="1"/>
  <c r="O137" i="4"/>
  <c r="AI101" i="1"/>
  <c r="AJ101" i="1" s="1"/>
  <c r="U137" i="3"/>
  <c r="T147" i="3"/>
  <c r="U147" i="3" s="1"/>
  <c r="R137" i="1"/>
  <c r="S107" i="1"/>
  <c r="AB107" i="1"/>
  <c r="K147" i="1" l="1"/>
  <c r="M147" i="3"/>
  <c r="AC107" i="1"/>
  <c r="AF107" i="1"/>
  <c r="AD107" i="1"/>
  <c r="AE107" i="1" s="1"/>
  <c r="T147" i="2"/>
  <c r="U147" i="2" s="1"/>
  <c r="U137" i="2"/>
  <c r="S137" i="1"/>
  <c r="R147" i="1"/>
  <c r="AB137" i="1"/>
  <c r="U137" i="5"/>
  <c r="T147" i="5"/>
  <c r="U147" i="5" s="1"/>
  <c r="AI107" i="4"/>
  <c r="AJ107" i="4" s="1"/>
  <c r="Q137" i="4"/>
  <c r="P147" i="4"/>
  <c r="Q147" i="4" s="1"/>
  <c r="AH101" i="5"/>
  <c r="AK101" i="5"/>
  <c r="AL101" i="5" s="1"/>
  <c r="AI101" i="5"/>
  <c r="AJ101" i="5" s="1"/>
  <c r="K137" i="4"/>
  <c r="J147" i="4"/>
  <c r="AG137" i="4"/>
  <c r="AH137" i="4" s="1"/>
  <c r="AK107" i="4"/>
  <c r="AL107" i="4" s="1"/>
  <c r="Z147" i="2"/>
  <c r="AA147" i="2" s="1"/>
  <c r="AA137" i="2"/>
  <c r="Y147" i="1"/>
  <c r="AB137" i="2"/>
  <c r="AB137" i="3"/>
  <c r="AC137" i="3" s="1"/>
  <c r="S137" i="3"/>
  <c r="R147" i="3"/>
  <c r="S137" i="5"/>
  <c r="R147" i="5"/>
  <c r="AB137" i="5"/>
  <c r="S147" i="2"/>
  <c r="AB147" i="2"/>
  <c r="AC147" i="2" s="1"/>
  <c r="Y137" i="4"/>
  <c r="X147" i="4"/>
  <c r="AI137" i="4"/>
  <c r="AJ137" i="4" s="1"/>
  <c r="AK137" i="4"/>
  <c r="AL137" i="4" s="1"/>
  <c r="AF137" i="4"/>
  <c r="AD137" i="4"/>
  <c r="AE137" i="4" s="1"/>
  <c r="W137" i="5"/>
  <c r="V147" i="5"/>
  <c r="W147" i="5" s="1"/>
  <c r="AC107" i="5"/>
  <c r="AF107" i="5"/>
  <c r="AD107" i="5"/>
  <c r="AE107" i="5" s="1"/>
  <c r="AC101" i="5"/>
  <c r="AF101" i="5"/>
  <c r="AD101" i="5"/>
  <c r="AE101" i="5" s="1"/>
  <c r="AF147" i="2"/>
  <c r="AD147" i="2"/>
  <c r="AE147" i="2" s="1"/>
  <c r="Y147" i="2"/>
  <c r="E137" i="5"/>
  <c r="D147" i="5"/>
  <c r="E147" i="5" s="1"/>
  <c r="AD107" i="3"/>
  <c r="AE107" i="3" s="1"/>
  <c r="AB147" i="4"/>
  <c r="AC147" i="4" s="1"/>
  <c r="S147" i="4"/>
  <c r="AH107" i="5"/>
  <c r="AK107" i="5"/>
  <c r="AL107" i="5" s="1"/>
  <c r="AI107" i="5"/>
  <c r="AJ107" i="5" s="1"/>
  <c r="AH107" i="2"/>
  <c r="AK107" i="2"/>
  <c r="AL107" i="2" s="1"/>
  <c r="AI107" i="2"/>
  <c r="AJ107" i="2" s="1"/>
  <c r="AF107" i="3"/>
  <c r="AG137" i="2"/>
  <c r="J147" i="2"/>
  <c r="K137" i="2"/>
  <c r="O137" i="3"/>
  <c r="N147" i="3"/>
  <c r="O147" i="3" s="1"/>
  <c r="K137" i="5"/>
  <c r="J147" i="5"/>
  <c r="AG137" i="5"/>
  <c r="AA137" i="4"/>
  <c r="Z147" i="4"/>
  <c r="AA147" i="4" s="1"/>
  <c r="Y147" i="5"/>
  <c r="X147" i="3"/>
  <c r="AF137" i="3"/>
  <c r="Y137" i="3"/>
  <c r="AD137" i="3"/>
  <c r="AE137" i="3" s="1"/>
  <c r="AC101" i="1"/>
  <c r="AF101" i="1"/>
  <c r="AD101" i="1"/>
  <c r="AE101" i="1" s="1"/>
  <c r="I137" i="4"/>
  <c r="H147" i="4"/>
  <c r="I147" i="4" s="1"/>
  <c r="C137" i="1"/>
  <c r="B147" i="1"/>
  <c r="C147" i="1" s="1"/>
  <c r="H147" i="1"/>
  <c r="I147" i="1" s="1"/>
  <c r="I137" i="1"/>
  <c r="AK101" i="4"/>
  <c r="AL101" i="4" s="1"/>
  <c r="AI101" i="3"/>
  <c r="AJ101" i="3" s="1"/>
  <c r="AH101" i="2"/>
  <c r="AK101" i="2"/>
  <c r="AL101" i="2" s="1"/>
  <c r="AI101" i="2"/>
  <c r="AJ101" i="2" s="1"/>
  <c r="AG137" i="3"/>
  <c r="AH137" i="3" s="1"/>
  <c r="AK101" i="3"/>
  <c r="AL101" i="3" s="1"/>
  <c r="AG137" i="1"/>
  <c r="G137" i="5"/>
  <c r="F147" i="5"/>
  <c r="G147" i="5" s="1"/>
  <c r="AI101" i="4"/>
  <c r="AJ101" i="4" s="1"/>
  <c r="AH137" i="5" l="1"/>
  <c r="AK137" i="5"/>
  <c r="AL137" i="5" s="1"/>
  <c r="AI137" i="5"/>
  <c r="AJ137" i="5" s="1"/>
  <c r="K147" i="5"/>
  <c r="AG147" i="5"/>
  <c r="AH137" i="1"/>
  <c r="AK137" i="1"/>
  <c r="AL137" i="1" s="1"/>
  <c r="AI137" i="1"/>
  <c r="AJ137" i="1" s="1"/>
  <c r="AC137" i="1"/>
  <c r="AF137" i="1"/>
  <c r="AD137" i="1"/>
  <c r="AE137" i="1" s="1"/>
  <c r="AB147" i="1"/>
  <c r="S147" i="1"/>
  <c r="AD147" i="4"/>
  <c r="AE147" i="4" s="1"/>
  <c r="Y147" i="4"/>
  <c r="AK147" i="4"/>
  <c r="AL147" i="4" s="1"/>
  <c r="AF147" i="4"/>
  <c r="AI137" i="3"/>
  <c r="AJ137" i="3" s="1"/>
  <c r="AG147" i="2"/>
  <c r="K147" i="2"/>
  <c r="Y147" i="3"/>
  <c r="AK147" i="3"/>
  <c r="AL147" i="3" s="1"/>
  <c r="AF147" i="3"/>
  <c r="AI147" i="3"/>
  <c r="AJ147" i="3" s="1"/>
  <c r="AH137" i="2"/>
  <c r="AI137" i="2"/>
  <c r="AJ137" i="2" s="1"/>
  <c r="AK137" i="2"/>
  <c r="AL137" i="2" s="1"/>
  <c r="AK137" i="3"/>
  <c r="AL137" i="3" s="1"/>
  <c r="AC137" i="5"/>
  <c r="AF137" i="5"/>
  <c r="AD137" i="5"/>
  <c r="AE137" i="5" s="1"/>
  <c r="K147" i="4"/>
  <c r="AG147" i="4"/>
  <c r="AH147" i="4" s="1"/>
  <c r="AB147" i="5"/>
  <c r="S147" i="5"/>
  <c r="AG147" i="3"/>
  <c r="AH147" i="3" s="1"/>
  <c r="AB147" i="3"/>
  <c r="AC147" i="3" s="1"/>
  <c r="S147" i="3"/>
  <c r="AC137" i="2"/>
  <c r="AF137" i="2"/>
  <c r="AD137" i="2"/>
  <c r="AE137" i="2" s="1"/>
  <c r="AG147" i="1"/>
  <c r="AC147" i="1" l="1"/>
  <c r="AD147" i="1"/>
  <c r="AE147" i="1" s="1"/>
  <c r="AF147" i="1"/>
  <c r="AD147" i="3"/>
  <c r="AE147" i="3" s="1"/>
  <c r="AH147" i="5"/>
  <c r="AK147" i="5"/>
  <c r="AL147" i="5" s="1"/>
  <c r="AI147" i="5"/>
  <c r="AJ147" i="5" s="1"/>
  <c r="AC147" i="5"/>
  <c r="AF147" i="5"/>
  <c r="AD147" i="5"/>
  <c r="AE147" i="5" s="1"/>
  <c r="AH147" i="2"/>
  <c r="AK147" i="2"/>
  <c r="AL147" i="2" s="1"/>
  <c r="AI147" i="2"/>
  <c r="AJ147" i="2" s="1"/>
  <c r="AH147" i="1"/>
  <c r="AI147" i="1"/>
  <c r="AJ147" i="1" s="1"/>
  <c r="AK147" i="1"/>
  <c r="AL147" i="1" s="1"/>
  <c r="AI147" i="4"/>
  <c r="AJ14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<sst xmlns="http://schemas.openxmlformats.org/spreadsheetml/2006/main" count="1743" uniqueCount="248">
  <si>
    <t>Prime Margin - Trailing 12 Week</t>
  </si>
  <si>
    <t>08/30/2026</t>
  </si>
  <si>
    <t>Consolidated</t>
  </si>
  <si>
    <t/>
  </si>
  <si>
    <t>Week Ending 06/14/2026</t>
  </si>
  <si>
    <t>Week Ending 06/21/2026</t>
  </si>
  <si>
    <t>Week Ending 06/28/2026</t>
  </si>
  <si>
    <t>Week Ending 07/05/2026</t>
  </si>
  <si>
    <t>Week Ending 07/12/2026</t>
  </si>
  <si>
    <t>Week Ending 07/19/2026</t>
  </si>
  <si>
    <t>Week Ending 07/26/2026</t>
  </si>
  <si>
    <t>Week Ending 08/02/2026</t>
  </si>
  <si>
    <t>Week Ending 08/09/2026</t>
  </si>
  <si>
    <t>Week Ending 08/16/2026</t>
  </si>
  <si>
    <t>Week Ending 08/23/2026</t>
  </si>
  <si>
    <t>Week Ending 08/30/2026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</si>
  <si>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</si>
  <si>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</si>
  <si>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</si>
  <si>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</si>
  <si>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</si>
  <si>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</si>
  <si>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</si>
  <si>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</si>
  <si>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</si>
  <si>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</si>
  <si>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</si>
  <si>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</si>
  <si>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</si>
  <si>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</si>
  <si>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</si>
  <si>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</si>
  <si>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</si>
  <si>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</si>
  <si>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</si>
  <si>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</si>
  <si>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</si>
  <si>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</si>
  <si>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</si>
  <si>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</si>
  <si>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</si>
  <si>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</si>
  <si>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</si>
  <si>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</si>
  <si>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</si>
  <si>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</si>
  <si>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</si>
  <si>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</si>
  <si>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</si>
  <si>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</si>
  <si>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</si>
  <si>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</si>
  <si>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</si>
  <si>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</si>
  <si>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</si>
  <si>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</si>
  <si>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</si>
  <si>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</si>
  <si>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</si>
  <si>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</si>
  <si>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</si>
  <si>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</si>
  <si>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</si>
  <si>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</si>
  <si>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</si>
  <si>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</si>
  <si>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</si>
  <si>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</si>
  <si>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</si>
  <si>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</si>
  <si>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</si>
  <si>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</si>
  <si>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</si>
  <si>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</si>
  <si>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</si>
  <si>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</si>
  <si>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</si>
  <si>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</si>
  <si>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</si>
  <si>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</si>
  <si>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</si>
  <si>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</si>
  <si>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</si>
  <si>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</si>
  <si>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</si>
  <si>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</si>
  <si>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</si>
  <si>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</si>
  <si>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</si>
  <si>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</si>
  <si>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</si>
  <si>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</si>
  <si>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</si>
  <si>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</si>
  <si>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</si>
  <si>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</si>
  <si>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</si>
  <si>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</si>
  <si>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</si>
  <si>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</si>
  <si>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</si>
  <si>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</si>
  <si>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</si>
  <si>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</si>
  <si>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</si>
  <si>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</si>
  <si>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</si>
  <si>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</si>
  <si>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</si>
  <si>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</si>
  <si>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</si>
  <si>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</si>
  <si>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</si>
  <si>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</si>
  <si>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</si>
  <si>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</si>
  <si>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</si>
  <si>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</si>
  <si>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</si>
  <si>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</si>
  <si>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</si>
  <si>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</si>
  <si>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</si>
  <si>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</si>
  <si>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</si>
  <si>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</si>
  <si>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</si>
  <si>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</si>
  <si>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</si>
  <si>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</si>
  <si>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</si>
  <si>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</si>
  <si>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</si>
  <si>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</si>
  <si>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</si>
  <si>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</si>
  <si>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</si>
  <si>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</si>
  <si>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</si>
  <si>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</si>
  <si>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</si>
  <si>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</si>
  <si>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</si>
  <si>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</si>
  <si>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</si>
  <si>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</si>
  <si>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</si>
  <si>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</si>
  <si>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</si>
  <si>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</si>
  <si>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</si>
  <si>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09/03/2026 11:58 AM PDT</t>
  </si>
  <si>
    <t>4 - RASA - MVT</t>
  </si>
  <si>
    <t>5 - RASA - National Landing</t>
  </si>
  <si>
    <t>6 - RASA - Mosaic</t>
  </si>
  <si>
    <t>7 - RASA - Rockville</t>
  </si>
  <si>
    <t>Period To Date</t>
  </si>
  <si>
    <t>Trailing 4 week</t>
  </si>
  <si>
    <t>Trailing 8 week</t>
  </si>
  <si>
    <t>Current Period</t>
  </si>
  <si>
    <t>4-Week Average</t>
  </si>
  <si>
    <t>4-Week Average Comparison</t>
  </si>
  <si>
    <t>8-Week Average</t>
  </si>
  <si>
    <t>8-Week Average Comparison</t>
  </si>
  <si>
    <t>Location</t>
  </si>
  <si>
    <t>COGS</t>
  </si>
  <si>
    <t>Labor</t>
  </si>
  <si>
    <t>Prime Margin</t>
  </si>
  <si>
    <t>Total Labor Cost</t>
  </si>
  <si>
    <t>Sales
 Current Week vs 4-week</t>
  </si>
  <si>
    <t>COGS
 Current Week vs 4-week</t>
  </si>
  <si>
    <t>Labor
 Current Week vs 4-week</t>
  </si>
  <si>
    <t>Sales
 Current Week vs 8-week</t>
  </si>
  <si>
    <t>COGS
 Current Week vs 8-week</t>
  </si>
  <si>
    <t>Labor
 Current Week vs 8-week</t>
  </si>
  <si>
    <t>Week 2</t>
  </si>
  <si>
    <t>5 - RASA - National Landin</t>
  </si>
  <si>
    <t>Week 3</t>
  </si>
  <si>
    <t>Week 4</t>
  </si>
  <si>
    <t>Week 5</t>
  </si>
  <si>
    <t>All</t>
  </si>
  <si>
    <t>Week 6</t>
  </si>
  <si>
    <t>Week 7</t>
  </si>
  <si>
    <t>Week 8</t>
  </si>
  <si>
    <t>Notes:</t>
  </si>
  <si>
    <t>Week 9</t>
  </si>
  <si>
    <t>Week 10</t>
  </si>
  <si>
    <t xml:space="preserve"> RASA - MVT</t>
  </si>
  <si>
    <t>Week 15</t>
  </si>
  <si>
    <t>COGS -</t>
  </si>
  <si>
    <t>Week 16</t>
  </si>
  <si>
    <t>Labor -</t>
  </si>
  <si>
    <t>Week 17</t>
  </si>
  <si>
    <t>Week 18</t>
  </si>
  <si>
    <t>RASA - National Landing</t>
  </si>
  <si>
    <t>Week 19</t>
  </si>
  <si>
    <t>Week 20</t>
  </si>
  <si>
    <t>Week 21</t>
  </si>
  <si>
    <t>Week 22</t>
  </si>
  <si>
    <t xml:space="preserve"> RASA - Mosaic</t>
  </si>
  <si>
    <t>Week 23</t>
  </si>
  <si>
    <t>Week 24</t>
  </si>
  <si>
    <t>Week 25</t>
  </si>
  <si>
    <t>Week 26</t>
  </si>
  <si>
    <t>RASA - Rockville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</si>
  <si>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</si>
  <si>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</si>
  <si>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</si>
  <si>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</si>
  <si>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</si>
  <si>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</si>
  <si>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</si>
  <si>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</si>
  <si>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</si>
  <si>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</si>
  <si>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</si>
  <si>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</si>
  <si>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</si>
  <si>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</si>
  <si>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</si>
  <si>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</si>
  <si>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</si>
  <si>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</si>
  <si>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</si>
  <si>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</si>
  <si>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</si>
  <si>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</si>
  <si>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</si>
  <si>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</si>
  <si>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</si>
  <si>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</si>
  <si>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06/04/2023</t>
  </si>
  <si>
    <t>4 - Rasa - MVT</t>
  </si>
  <si>
    <t>5 - Rasa - National Landin</t>
  </si>
  <si>
    <t>6 - Rasa - Mosaic</t>
  </si>
  <si>
    <t>Total</t>
  </si>
  <si>
    <t>Single Plate In-House Sales</t>
  </si>
  <si>
    <t>Digital Sales</t>
  </si>
  <si>
    <t>Catering Sales</t>
  </si>
  <si>
    <t>43000 - Delivery Sales - Rasa Website</t>
  </si>
  <si>
    <t>Delivery Fee Income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</si>
  <si>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</si>
  <si>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</si>
  <si>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</si>
  <si>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</si>
  <si>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</si>
  <si>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>No notes</t>
  </si>
  <si>
    <t>Sales up 5% vs 4 week comp, but total labor $s are down 8.7% vs 4 week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</si>
</sst>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#,##0.0;\(#,##0.0\)"/>
    <numFmt numFmtId="167" formatCode="#,##0.0"/>
    <numFmt numFmtId="168" formatCode="_(&quot;$&quot;* #,##0_);_(&quot;$&quot;* \(#,##0\);_(&quot;$&quot;* &quot;-&quot;??_);_(@_)"/>
    <numFmt numFmtId="169" formatCode="0.0%"/>
    <numFmt numFmtId="170" formatCode="_(* #,##0_);_(* \(#,##0\);_(* &quot;-&quot;??_);_(@_)"/>
  </numFmts>
  <fonts count="40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sz val="2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</borders>
  <cellStyleXfs count="5">
    <xf numFmtId="0" fontId="0" fillId="0" borderId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59">
    <xf numFmtId="0" fontId="0" fillId="0" borderId="0" xfId="0"/>
    <xf numFmtId="0" fontId="7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39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39" fontId="4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horizontal="right" vertical="center"/>
    </xf>
    <xf numFmtId="39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39" fontId="7" fillId="0" borderId="0" xfId="0" applyNumberFormat="1" applyFont="1" applyAlignment="1">
      <alignment horizontal="left" vertical="center" wrapText="1"/>
    </xf>
    <xf numFmtId="39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39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39" fontId="16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7" fillId="0" borderId="0" xfId="0" applyNumberFormat="1" applyFont="1" applyAlignment="1">
      <alignment horizontal="left" vertical="center" wrapText="1" indent="2"/>
    </xf>
    <xf numFmtId="39" fontId="7" fillId="0" borderId="0" xfId="0" applyNumberFormat="1" applyFont="1" applyAlignment="1">
      <alignment horizontal="left" vertical="center" wrapText="1" indent="1"/>
    </xf>
    <xf numFmtId="39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9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39" fontId="17" fillId="0" borderId="0" xfId="0" applyNumberFormat="1" applyFont="1" applyAlignment="1">
      <alignment horizontal="left" vertical="center" wrapText="1"/>
    </xf>
    <xf numFmtId="39" fontId="17" fillId="0" borderId="0" xfId="0" applyNumberFormat="1" applyFont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9" fontId="3" fillId="0" borderId="0" xfId="0" applyNumberFormat="1" applyFont="1" applyAlignment="1">
      <alignment vertical="center"/>
    </xf>
    <xf numFmtId="3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39" fontId="1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1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4" fontId="0" fillId="0" borderId="0" xfId="0" applyNumberFormat="1"/>
    <xf numFmtId="4" fontId="2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23" fillId="2" borderId="0" xfId="0" applyFont="1" applyFill="1"/>
    <xf numFmtId="0" fontId="23" fillId="2" borderId="2" xfId="0" applyFont="1" applyFill="1" applyBorder="1" applyAlignment="1">
      <alignment horizontal="center"/>
    </xf>
    <xf numFmtId="0" fontId="24" fillId="0" borderId="0" xfId="0" applyFont="1" applyAlignment="1">
      <alignment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39" fontId="25" fillId="3" borderId="4" xfId="0" applyNumberFormat="1" applyFont="1" applyFill="1" applyBorder="1" applyAlignment="1">
      <alignment horizontal="center" vertical="center" wrapText="1"/>
    </xf>
    <xf numFmtId="39" fontId="25" fillId="3" borderId="5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39" fontId="25" fillId="4" borderId="4" xfId="0" applyNumberFormat="1" applyFont="1" applyFill="1" applyBorder="1" applyAlignment="1">
      <alignment horizontal="center" vertical="center" wrapText="1"/>
    </xf>
    <xf numFmtId="39" fontId="25" fillId="4" borderId="6" xfId="0" applyNumberFormat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39" fontId="25" fillId="5" borderId="4" xfId="0" applyNumberFormat="1" applyFont="1" applyFill="1" applyBorder="1" applyAlignment="1">
      <alignment horizontal="center" vertical="center" wrapText="1"/>
    </xf>
    <xf numFmtId="39" fontId="25" fillId="5" borderId="5" xfId="0" applyNumberFormat="1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wrapText="1"/>
    </xf>
    <xf numFmtId="0" fontId="24" fillId="6" borderId="4" xfId="0" applyFont="1" applyFill="1" applyBorder="1" applyAlignment="1">
      <alignment horizontal="center" wrapText="1"/>
    </xf>
    <xf numFmtId="0" fontId="24" fillId="6" borderId="8" xfId="0" applyFont="1" applyFill="1" applyBorder="1" applyAlignment="1">
      <alignment horizont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39" fontId="25" fillId="7" borderId="4" xfId="0" applyNumberFormat="1" applyFont="1" applyFill="1" applyBorder="1" applyAlignment="1">
      <alignment horizontal="center" vertical="center" wrapText="1"/>
    </xf>
    <xf numFmtId="39" fontId="25" fillId="7" borderId="6" xfId="0" applyNumberFormat="1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wrapText="1"/>
    </xf>
    <xf numFmtId="0" fontId="24" fillId="7" borderId="4" xfId="0" applyFont="1" applyFill="1" applyBorder="1" applyAlignment="1">
      <alignment horizontal="center" wrapText="1"/>
    </xf>
    <xf numFmtId="0" fontId="24" fillId="7" borderId="8" xfId="0" applyFont="1" applyFill="1" applyBorder="1" applyAlignment="1">
      <alignment horizontal="center" wrapText="1"/>
    </xf>
    <xf numFmtId="39" fontId="26" fillId="0" borderId="0" xfId="0" applyNumberFormat="1" applyFont="1" applyAlignment="1">
      <alignment vertical="center" wrapText="1"/>
    </xf>
    <xf numFmtId="4" fontId="27" fillId="0" borderId="0" xfId="0" applyNumberFormat="1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4" fontId="26" fillId="0" borderId="10" xfId="0" applyNumberFormat="1" applyFont="1" applyBorder="1" applyAlignment="1">
      <alignment vertical="center" wrapText="1"/>
    </xf>
    <xf numFmtId="43" fontId="20" fillId="6" borderId="11" xfId="2" applyFont="1" applyFill="1" applyBorder="1" applyAlignment="1">
      <alignment horizontal="left" vertical="center"/>
    </xf>
    <xf numFmtId="168" fontId="19" fillId="8" borderId="12" xfId="3" applyNumberFormat="1" applyFont="1" applyFill="1" applyBorder="1" applyAlignment="1">
      <alignment horizontal="center" vertical="center"/>
    </xf>
    <xf numFmtId="169" fontId="19" fillId="8" borderId="13" xfId="4" applyNumberFormat="1" applyFont="1" applyFill="1" applyBorder="1" applyAlignment="1">
      <alignment horizontal="center" vertical="center"/>
    </xf>
    <xf numFmtId="169" fontId="0" fillId="8" borderId="14" xfId="4" applyNumberFormat="1" applyFont="1" applyFill="1" applyBorder="1" applyAlignment="1">
      <alignment horizontal="center" vertical="center"/>
    </xf>
    <xf numFmtId="168" fontId="0" fillId="8" borderId="12" xfId="3" applyNumberFormat="1" applyFont="1" applyFill="1" applyBorder="1" applyAlignment="1">
      <alignment horizontal="center" vertical="center"/>
    </xf>
    <xf numFmtId="169" fontId="0" fillId="8" borderId="13" xfId="4" applyNumberFormat="1" applyFont="1" applyFill="1" applyBorder="1" applyAlignment="1">
      <alignment horizontal="center" vertical="center"/>
    </xf>
    <xf numFmtId="169" fontId="0" fillId="8" borderId="15" xfId="4" applyNumberFormat="1" applyFont="1" applyFill="1" applyBorder="1" applyAlignment="1">
      <alignment horizontal="center" vertical="center"/>
    </xf>
    <xf numFmtId="9" fontId="0" fillId="8" borderId="12" xfId="4" applyFont="1" applyFill="1" applyBorder="1" applyAlignment="1">
      <alignment horizontal="center" vertical="center"/>
    </xf>
    <xf numFmtId="169" fontId="0" fillId="0" borderId="0" xfId="0" applyNumberFormat="1"/>
    <xf numFmtId="14" fontId="0" fillId="0" borderId="0" xfId="0" applyNumberFormat="1"/>
    <xf numFmtId="169" fontId="19" fillId="8" borderId="14" xfId="4" applyNumberFormat="1" applyFont="1" applyFill="1" applyBorder="1" applyAlignment="1">
      <alignment horizontal="center" vertical="center"/>
    </xf>
    <xf numFmtId="43" fontId="20" fillId="9" borderId="16" xfId="2" applyFont="1" applyFill="1" applyBorder="1" applyAlignment="1">
      <alignment horizontal="left" vertical="center"/>
    </xf>
    <xf numFmtId="168" fontId="0" fillId="9" borderId="17" xfId="3" applyNumberFormat="1" applyFont="1" applyFill="1" applyBorder="1" applyAlignment="1">
      <alignment horizontal="center" vertical="center"/>
    </xf>
    <xf numFmtId="169" fontId="0" fillId="9" borderId="18" xfId="4" applyNumberFormat="1" applyFont="1" applyFill="1" applyBorder="1" applyAlignment="1">
      <alignment horizontal="center" vertical="center"/>
    </xf>
    <xf numFmtId="169" fontId="0" fillId="9" borderId="19" xfId="4" applyNumberFormat="1" applyFont="1" applyFill="1" applyBorder="1" applyAlignment="1">
      <alignment horizontal="center" vertical="center"/>
    </xf>
    <xf numFmtId="169" fontId="0" fillId="9" borderId="20" xfId="4" applyNumberFormat="1" applyFont="1" applyFill="1" applyBorder="1" applyAlignment="1">
      <alignment horizontal="center" vertical="center"/>
    </xf>
    <xf numFmtId="9" fontId="0" fillId="9" borderId="17" xfId="4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8" fillId="0" borderId="0" xfId="0" applyFont="1"/>
    <xf numFmtId="168" fontId="28" fillId="0" borderId="0" xfId="0" applyNumberFormat="1" applyFont="1" applyAlignment="1">
      <alignment horizontal="right"/>
    </xf>
    <xf numFmtId="10" fontId="28" fillId="0" borderId="0" xfId="4" applyNumberFormat="1" applyFont="1"/>
    <xf numFmtId="10" fontId="28" fillId="0" borderId="0" xfId="0" applyNumberFormat="1" applyFont="1"/>
    <xf numFmtId="169" fontId="28" fillId="0" borderId="0" xfId="0" applyNumberFormat="1" applyFont="1"/>
    <xf numFmtId="0" fontId="28" fillId="0" borderId="0" xfId="0" applyFont="1" applyAlignment="1">
      <alignment horizontal="center"/>
    </xf>
    <xf numFmtId="0" fontId="29" fillId="0" borderId="0" xfId="0" applyFont="1"/>
    <xf numFmtId="0" fontId="28" fillId="0" borderId="0" xfId="0" applyFont="1" applyAlignment="1">
      <alignment horizontal="right"/>
    </xf>
    <xf numFmtId="169" fontId="28" fillId="0" borderId="0" xfId="0" applyNumberFormat="1" applyFont="1" applyAlignment="1">
      <alignment horizontal="center"/>
    </xf>
    <xf numFmtId="0" fontId="30" fillId="10" borderId="0" xfId="0" applyFont="1" applyFill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right"/>
    </xf>
    <xf numFmtId="0" fontId="31" fillId="0" borderId="0" xfId="0" applyFont="1"/>
    <xf numFmtId="0" fontId="32" fillId="0" borderId="0" xfId="0" applyFont="1" applyAlignment="1">
      <alignment horizontal="center" vertical="center"/>
    </xf>
    <xf numFmtId="170" fontId="0" fillId="0" borderId="0" xfId="2" applyNumberFormat="1" applyFont="1"/>
    <xf numFmtId="0" fontId="3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34" fillId="0" borderId="0" xfId="0" applyFont="1" applyAlignment="1">
      <alignment vertical="center" wrapText="1"/>
    </xf>
    <xf numFmtId="170" fontId="34" fillId="0" borderId="0" xfId="2" applyNumberFormat="1" applyFont="1" applyAlignment="1">
      <alignment vertical="center"/>
    </xf>
    <xf numFmtId="165" fontId="35" fillId="0" borderId="0" xfId="0" applyNumberFormat="1" applyFont="1" applyAlignment="1">
      <alignment vertical="center"/>
    </xf>
    <xf numFmtId="0" fontId="22" fillId="0" borderId="0" xfId="0" applyFont="1" applyAlignment="1">
      <alignment vertical="center" wrapText="1" indent="1"/>
    </xf>
    <xf numFmtId="170" fontId="22" fillId="0" borderId="0" xfId="2" applyNumberFormat="1" applyFont="1" applyAlignment="1">
      <alignment vertical="center"/>
    </xf>
    <xf numFmtId="165" fontId="36" fillId="0" borderId="0" xfId="0" applyNumberFormat="1" applyFont="1" applyAlignment="1">
      <alignment horizontal="right" vertical="center"/>
    </xf>
    <xf numFmtId="0" fontId="0" fillId="0" borderId="0" xfId="0" quotePrefix="1"/>
    <xf numFmtId="39" fontId="34" fillId="0" borderId="0" xfId="0" applyNumberFormat="1" applyFont="1" applyAlignment="1">
      <alignment vertical="center" wrapText="1"/>
    </xf>
    <xf numFmtId="170" fontId="34" fillId="0" borderId="0" xfId="2" applyNumberFormat="1" applyFont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0" fontId="37" fillId="0" borderId="0" xfId="0" applyFont="1" applyAlignment="1">
      <alignment vertical="center" wrapText="1"/>
    </xf>
    <xf numFmtId="170" fontId="37" fillId="0" borderId="0" xfId="2" applyNumberFormat="1" applyFont="1" applyAlignment="1">
      <alignment vertical="center"/>
    </xf>
    <xf numFmtId="165" fontId="38" fillId="0" borderId="0" xfId="0" applyNumberFormat="1" applyFont="1" applyAlignment="1">
      <alignment vertical="center"/>
    </xf>
    <xf numFmtId="0" fontId="34" fillId="0" borderId="0" xfId="0" applyFont="1" applyAlignment="1">
      <alignment vertical="center" wrapText="1" indent="1"/>
    </xf>
    <xf numFmtId="0" fontId="22" fillId="0" borderId="0" xfId="0" applyFont="1" applyAlignment="1">
      <alignment vertical="center" wrapText="1" indent="2"/>
    </xf>
    <xf numFmtId="0" fontId="34" fillId="0" borderId="0" xfId="0" applyFont="1" applyAlignment="1">
      <alignment vertical="center" wrapText="1" indent="2"/>
    </xf>
    <xf numFmtId="0" fontId="22" fillId="0" borderId="0" xfId="0" applyFont="1" applyAlignment="1">
      <alignment vertical="center" wrapText="1" indent="3"/>
    </xf>
    <xf numFmtId="170" fontId="22" fillId="0" borderId="0" xfId="2" applyNumberFormat="1" applyFont="1" applyAlignment="1">
      <alignment horizontal="right" vertical="center"/>
    </xf>
    <xf numFmtId="9" fontId="0" fillId="0" borderId="0" xfId="4" applyFont="1"/>
    <xf numFmtId="10" fontId="0" fillId="0" borderId="0" xfId="4" applyNumberFormat="1" applyFont="1"/>
    <xf numFmtId="39" fontId="34" fillId="0" borderId="0" xfId="0" applyNumberFormat="1" applyFont="1" applyAlignment="1">
      <alignment vertical="center" wrapText="1" indent="2"/>
    </xf>
    <xf numFmtId="39" fontId="34" fillId="0" borderId="0" xfId="0" applyNumberFormat="1" applyFont="1" applyAlignment="1">
      <alignment vertical="center" wrapText="1" indent="1"/>
    </xf>
    <xf numFmtId="0" fontId="22" fillId="0" borderId="0" xfId="0" applyFont="1" applyAlignment="1">
      <alignment horizontal="left" vertical="center" wrapText="1" indent="2"/>
    </xf>
    <xf numFmtId="170" fontId="34" fillId="0" borderId="1" xfId="2" applyNumberFormat="1" applyFont="1" applyBorder="1" applyAlignment="1">
      <alignment horizontal="right" vertical="center"/>
    </xf>
    <xf numFmtId="165" fontId="35" fillId="0" borderId="1" xfId="0" applyNumberFormat="1" applyFont="1" applyBorder="1" applyAlignment="1">
      <alignment horizontal="right" vertical="center"/>
    </xf>
    <xf numFmtId="165" fontId="35" fillId="11" borderId="1" xfId="0" applyNumberFormat="1" applyFont="1" applyFill="1" applyBorder="1" applyAlignment="1">
      <alignment horizontal="right" vertical="center"/>
    </xf>
    <xf numFmtId="170" fontId="26" fillId="0" borderId="0" xfId="2" applyNumberFormat="1" applyFont="1" applyAlignment="1">
      <alignment horizontal="right" vertical="center"/>
    </xf>
    <xf numFmtId="165" fontId="39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 wrapText="1"/>
    </xf>
    <xf numFmtId="170" fontId="27" fillId="0" borderId="0" xfId="2" applyNumberFormat="1" applyFont="1" applyAlignment="1">
      <alignment vertical="center"/>
    </xf>
    <xf numFmtId="165" fontId="39" fillId="11" borderId="0" xfId="0" applyNumberFormat="1" applyFont="1" applyFill="1" applyAlignment="1">
      <alignment horizontal="right" vertical="center"/>
    </xf>
    <xf numFmtId="169" fontId="9" fillId="0" borderId="0" xfId="1" applyNumberFormat="1" applyFont="1" applyAlignment="1">
      <alignment horizontal="right" vertical="center"/>
    </xf>
    <xf numFmtId="169" fontId="9" fillId="0" borderId="1" xfId="1" applyNumberFormat="1" applyFont="1" applyBorder="1" applyAlignment="1">
      <alignment horizontal="right" vertical="center"/>
    </xf>
  </cellXfs>
  <cellStyles count="5">
    <cellStyle name="Comma 2" xfId="2" xr:uid="{C877BCA4-DF3C-4A8F-8E66-2C6B4DFF9BBB}"/>
    <cellStyle name="Currency 2" xfId="3" xr:uid="{D995372F-C5F5-40FA-837D-FB451611D08F}"/>
    <cellStyle name="Normal" xfId="0" builtinId="0"/>
    <cellStyle name="Percent" xfId="1" builtinId="5"/>
    <cellStyle name="Percent 2" xfId="4" xr:uid="{DCF07F66-9421-4231-ACF5-503550F09279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13F0-D7A0-4BE7-8389-0C9696662096}">
  <sheetPr>
    <tabColor theme="4" tint="0.39997558519241921"/>
  </sheetPr>
  <dimension ref="A1:AP65"/>
  <sheetViews>
    <sheetView tabSelected="1" topLeftCell="B2" workbookViewId="0">
      <selection activeCell="B2" sqref="B2"/>
    </sheetView>
  </sheetViews>
  <sheetFormatPr defaultRowHeight="43.5" customHeight="1"/>
  <cols>
    <col min="1" max="1" width="23.44140625" hidden="1" customWidth="1"/>
    <col min="2" max="2" width="26.88671875" customWidth="1"/>
    <col min="3" max="3" width="11.109375" customWidth="1"/>
    <col min="4" max="4" width="6.88671875" customWidth="1"/>
    <col min="5" max="5" width="9.109375" bestFit="1" customWidth="1"/>
    <col min="6" max="6" width="9.88671875" bestFit="1" customWidth="1"/>
    <col min="7" max="7" width="10.109375" customWidth="1"/>
    <col min="8" max="8" width="8.109375" customWidth="1"/>
    <col min="9" max="9" width="9.109375" bestFit="1" customWidth="1"/>
    <col min="10" max="10" width="9.88671875" bestFit="1" customWidth="1"/>
    <col min="11" max="11" width="10.109375" customWidth="1"/>
    <col min="12" max="12" width="8.109375" customWidth="1"/>
    <col min="13" max="13" width="7.5546875" customWidth="1"/>
    <col min="14" max="14" width="7.109375" bestFit="1" customWidth="1"/>
    <col min="15" max="15" width="9.6640625" style="56" customWidth="1"/>
    <col min="16" max="16" width="9.6640625" style="56" bestFit="1" customWidth="1"/>
    <col min="17" max="17" width="11.109375" style="56" customWidth="1"/>
    <col min="18" max="18" width="10.109375" bestFit="1" customWidth="1"/>
    <col min="19" max="19" width="8.109375" bestFit="1" customWidth="1"/>
    <col min="20" max="21" width="7.109375" bestFit="1" customWidth="1"/>
    <col min="22" max="23" width="9.6640625" style="56" bestFit="1" customWidth="1"/>
    <col min="24" max="24" width="11.6640625" style="56" customWidth="1"/>
    <col min="34" max="36" width="0" hidden="1" customWidth="1"/>
    <col min="37" max="37" width="8.88671875" hidden="1" customWidth="1"/>
    <col min="38" max="38" width="10.88671875" hidden="1" customWidth="1"/>
    <col min="39" max="39" width="8.88671875" hidden="1" customWidth="1"/>
    <col min="40" max="40" width="12.5546875" hidden="1" customWidth="1"/>
    <col min="41" max="41" width="18.88671875" hidden="1" customWidth="1"/>
    <col min="42" max="42" width="8.88671875" hidden="1" customWidth="1"/>
  </cols>
  <sheetData>
    <row r="1" spans="1:41" ht="55.2" hidden="1">
      <c r="A1" s="52"/>
      <c r="B1" s="53"/>
      <c r="C1" s="54" t="str">
        <f>B2</f>
        <v>Week Ending 08/30/2026</v>
      </c>
      <c r="D1" s="55" t="str">
        <f>C1</f>
        <v>Week Ending 08/30/2026</v>
      </c>
      <c r="E1" s="55" t="str">
        <f>+D1</f>
        <v>Week Ending 08/30/2026</v>
      </c>
      <c r="F1" s="55" t="str">
        <f>+E1</f>
        <v>Week Ending 08/30/2026</v>
      </c>
      <c r="G1" s="55" t="s">
        <v>156</v>
      </c>
      <c r="H1" s="55" t="s">
        <v>156</v>
      </c>
      <c r="I1" s="55" t="s">
        <v>156</v>
      </c>
      <c r="J1" s="55" t="s">
        <v>156</v>
      </c>
      <c r="K1" s="55" t="s">
        <v>157</v>
      </c>
      <c r="L1" s="55" t="s">
        <v>157</v>
      </c>
      <c r="M1" s="55" t="s">
        <v>157</v>
      </c>
      <c r="N1" s="55" t="s">
        <v>157</v>
      </c>
      <c r="R1" s="55" t="s">
        <v>158</v>
      </c>
      <c r="S1" s="55" t="s">
        <v>158</v>
      </c>
      <c r="T1" s="55" t="s">
        <v>158</v>
      </c>
      <c r="U1" s="55" t="s">
        <v>158</v>
      </c>
    </row>
    <row r="2" spans="1:41" s="57" customFormat="1" ht="15" thickBot="1">
      <c r="B2" s="58" t="s">
        <v>15</v>
      </c>
      <c r="G2" s="59" t="s">
        <v>159</v>
      </c>
      <c r="H2" s="59"/>
      <c r="I2" s="59"/>
      <c r="J2" s="59"/>
      <c r="K2" s="59" t="s">
        <v>160</v>
      </c>
      <c r="L2" s="59"/>
      <c r="M2" s="59"/>
      <c r="N2" s="59"/>
      <c r="O2" s="59" t="s">
        <v>161</v>
      </c>
      <c r="P2" s="59"/>
      <c r="Q2" s="59"/>
      <c r="R2" s="59" t="s">
        <v>162</v>
      </c>
      <c r="S2" s="59"/>
      <c r="T2" s="59"/>
      <c r="U2" s="59"/>
      <c r="V2" s="59" t="s">
        <v>163</v>
      </c>
      <c r="W2" s="59"/>
      <c r="X2" s="59"/>
    </row>
    <row r="3" spans="1:41" s="60" customFormat="1" ht="55.8" thickBot="1">
      <c r="B3" s="61" t="s">
        <v>164</v>
      </c>
      <c r="C3" s="61" t="s">
        <v>23</v>
      </c>
      <c r="D3" s="62" t="s">
        <v>165</v>
      </c>
      <c r="E3" s="63" t="s">
        <v>166</v>
      </c>
      <c r="F3" s="64" t="s">
        <v>167</v>
      </c>
      <c r="G3" s="65" t="s">
        <v>23</v>
      </c>
      <c r="H3" s="66" t="s">
        <v>165</v>
      </c>
      <c r="I3" s="67" t="s">
        <v>168</v>
      </c>
      <c r="J3" s="68" t="s">
        <v>167</v>
      </c>
      <c r="K3" s="69" t="s">
        <v>23</v>
      </c>
      <c r="L3" s="70" t="s">
        <v>165</v>
      </c>
      <c r="M3" s="71" t="s">
        <v>168</v>
      </c>
      <c r="N3" s="72" t="s">
        <v>167</v>
      </c>
      <c r="O3" s="73" t="s">
        <v>169</v>
      </c>
      <c r="P3" s="74" t="s">
        <v>170</v>
      </c>
      <c r="Q3" s="75" t="s">
        <v>171</v>
      </c>
      <c r="R3" s="76" t="s">
        <v>23</v>
      </c>
      <c r="S3" s="77" t="s">
        <v>165</v>
      </c>
      <c r="T3" s="78" t="s">
        <v>168</v>
      </c>
      <c r="U3" s="79" t="s">
        <v>167</v>
      </c>
      <c r="V3" s="80" t="s">
        <v>172</v>
      </c>
      <c r="W3" s="81" t="s">
        <v>173</v>
      </c>
      <c r="X3" s="82" t="s">
        <v>174</v>
      </c>
    </row>
    <row r="4" spans="1:41" ht="78.599999999999994" hidden="1" thickBot="1">
      <c r="B4" s="61" t="s">
        <v>164</v>
      </c>
      <c r="C4" t="s">
        <v>25</v>
      </c>
      <c r="D4" s="83" t="s">
        <v>72</v>
      </c>
      <c r="E4" s="84" t="s">
        <v>96</v>
      </c>
      <c r="F4" s="85" t="s">
        <v>97</v>
      </c>
      <c r="G4" t="s">
        <v>25</v>
      </c>
      <c r="H4" s="83" t="s">
        <v>72</v>
      </c>
      <c r="I4" s="84" t="s">
        <v>96</v>
      </c>
      <c r="J4" s="85" t="s">
        <v>97</v>
      </c>
      <c r="K4" t="s">
        <v>25</v>
      </c>
      <c r="L4" s="83" t="s">
        <v>72</v>
      </c>
      <c r="M4" s="84" t="s">
        <v>96</v>
      </c>
      <c r="N4" s="85" t="s">
        <v>97</v>
      </c>
      <c r="O4" s="86"/>
      <c r="P4" s="86"/>
      <c r="Q4" s="87"/>
      <c r="R4" s="88" t="s">
        <v>25</v>
      </c>
      <c r="S4" s="83" t="s">
        <v>72</v>
      </c>
      <c r="T4" s="84" t="s">
        <v>96</v>
      </c>
      <c r="U4" s="89" t="s">
        <v>97</v>
      </c>
      <c r="V4" s="86"/>
      <c r="W4" s="86"/>
      <c r="X4" s="87"/>
    </row>
    <row r="5" spans="1:41" ht="15" customHeight="1">
      <c r="A5" t="s">
        <v>152</v>
      </c>
      <c r="B5" s="90" t="str">
        <f>A5</f>
        <v>4 - RASA - MVT</v>
      </c>
      <c r="C5" s="91">
        <f ca="1">INDEX(INDIRECT("'"&amp;$A5&amp;"'!$1:$1048576"),MATCH(C$4,INDIRECT("'"&amp;$A5&amp;"'!A:A"),0),MATCH(C$1,INDIRECT("'"&amp;$A5&amp;"'!$5:$5"),0))</f>
        <v>44110.16</v>
      </c>
      <c r="D5" s="92" cm="1">
        <f t="array" aca="1" ref="D5" ca="1">INDEX(INDIRECT("'"&amp;$A5&amp;"'!$1:$1048576"),MATCH(D$4,INDIRECT("'"&amp;$A5&amp;"'!A:A"),0),MATCH(D$1,INDIRECT("'"&amp;$A5&amp;"'!$5:$5"),0)+1)</f>
        <v>0.24102995772402552</v>
      </c>
      <c r="E5" s="92" cm="1">
        <f t="array" aca="1" ref="E5" ca="1">INDEX(INDIRECT("'"&amp;$A5&amp;"'!$1:$1048576"),MATCH(E$4,INDIRECT("'"&amp;$A5&amp;"'!A:A"),0),MATCH(E$1,INDIRECT("'"&amp;$A5&amp;"'!$5:$5"),0)+1)</f>
        <v>0.2391458113051505</v>
      </c>
      <c r="F5" s="93" cm="1">
        <f t="array" aca="1" ref="F5" ca="1">INDEX(INDIRECT("'"&amp;$A5&amp;"'!$1:$1048576"),MATCH(F$4,INDIRECT("'"&amp;$A5&amp;"'!A:A"),0),MATCH(F$1,INDIRECT("'"&amp;$A5&amp;"'!$5:$5"),0)+1)</f>
        <v>0.51982423097082398</v>
      </c>
      <c r="G5" s="94">
        <f ca="1">INDEX(INDIRECT("'"&amp;$A5&amp;"'!$1:$1048576"),MATCH(G$4,INDIRECT("'"&amp;$A5&amp;"'!A:A"),0),MATCH(G$1,INDIRECT("'"&amp;$A5&amp;"'!$5:$5"),0))</f>
        <v>44110.16</v>
      </c>
      <c r="H5" s="95" cm="1">
        <f t="array" aca="1" ref="H5" ca="1">INDEX(INDIRECT("'"&amp;$A5&amp;"'!$1:$1048576"),MATCH(H$4,INDIRECT("'"&amp;$A5&amp;"'!A:A"),0),MATCH(H$1,INDIRECT("'"&amp;$A5&amp;"'!$5:$5"),0)+1)</f>
        <v>0.24102995772402552</v>
      </c>
      <c r="I5" s="95" cm="1">
        <f t="array" aca="1" ref="I5" ca="1">INDEX(INDIRECT("'"&amp;$A5&amp;"'!$1:$1048576"),MATCH(I$4,INDIRECT("'"&amp;$A5&amp;"'!A:A"),0),MATCH(I$1,INDIRECT("'"&amp;$A5&amp;"'!$5:$5"),0)+1)</f>
        <v>0.2391458113051505</v>
      </c>
      <c r="J5" s="93" cm="1">
        <f t="array" aca="1" ref="J5" ca="1">INDEX(INDIRECT("'"&amp;$A5&amp;"'!$1:$1048576"),MATCH(J$4,INDIRECT("'"&amp;$A5&amp;"'!A:A"),0),MATCH(J$1,INDIRECT("'"&amp;$A5&amp;"'!$5:$5"),0)+1)</f>
        <v>0.51982423097082398</v>
      </c>
      <c r="K5" s="94">
        <f ca="1">INDEX(INDIRECT("'"&amp;$A5&amp;"'!$1:$1048576"),MATCH(K$4,INDIRECT("'"&amp;$A5&amp;"'!A:A"),0),MATCH(K$1,INDIRECT("'"&amp;$A5&amp;"'!$5:$5"),0))</f>
        <v>48128.315000000002</v>
      </c>
      <c r="L5" s="95" cm="1">
        <f t="array" aca="1" ref="L5" ca="1">INDEX(INDIRECT("'"&amp;$A5&amp;"'!$1:$1048576"),MATCH(L$4,INDIRECT("'"&amp;$A5&amp;"'!A:A"),0),MATCH(L$1,INDIRECT("'"&amp;$A5&amp;"'!$5:$5"),0)+1)</f>
        <v>0.2377161448515287</v>
      </c>
      <c r="M5" s="95" cm="1">
        <f t="array" aca="1" ref="M5" ca="1">INDEX(INDIRECT("'"&amp;$A5&amp;"'!$1:$1048576"),MATCH(M$4,INDIRECT("'"&amp;$A5&amp;"'!A:A"),0),MATCH(M$1,INDIRECT("'"&amp;$A5&amp;"'!$5:$5"),0)+1)</f>
        <v>0.23946412834108155</v>
      </c>
      <c r="N5" s="96" cm="1">
        <f t="array" aca="1" ref="N5" ca="1">INDEX(INDIRECT("'"&amp;$A5&amp;"'!$1:$1048576"),MATCH(N$4,INDIRECT("'"&amp;$A5&amp;"'!A:A"),0),MATCH(N$1,INDIRECT("'"&amp;$A5&amp;"'!$5:$5"),0)+1)</f>
        <v>0.52281972680738986</v>
      </c>
      <c r="O5" s="97">
        <f ca="1">+(C5-K5)/K5</f>
        <v>-8.3488378930365606E-2</v>
      </c>
      <c r="P5" s="95">
        <f t="shared" ref="P5:Q9" ca="1" si="0">+D5-L5</f>
        <v>3.3138128724968241E-3</v>
      </c>
      <c r="Q5" s="93">
        <f t="shared" ca="1" si="0"/>
        <v>-3.1831703593104832E-4</v>
      </c>
      <c r="R5" s="94">
        <f ca="1">INDEX(INDIRECT("'"&amp;$A5&amp;"'!$1:$1048576"),MATCH(R$4,INDIRECT("'"&amp;$A5&amp;"'!A:A"),0),MATCH(R$1,INDIRECT("'"&amp;$A5&amp;"'!$5:$5"),0))</f>
        <v>50141.184999999998</v>
      </c>
      <c r="S5" s="95" cm="1">
        <f t="array" aca="1" ref="S5" ca="1">INDEX(INDIRECT("'"&amp;$A5&amp;"'!$1:$1048576"),MATCH(S$4,INDIRECT("'"&amp;$A5&amp;"'!A:A"),0),MATCH(S$1,INDIRECT("'"&amp;$A5&amp;"'!$5:$5"),0)+1)</f>
        <v>0.23638873413143313</v>
      </c>
      <c r="T5" s="95" cm="1">
        <f t="array" aca="1" ref="T5" ca="1">INDEX(INDIRECT("'"&amp;$A5&amp;"'!$1:$1048576"),MATCH(T$4,INDIRECT("'"&amp;$A5&amp;"'!A:A"),0),MATCH(T$1,INDIRECT("'"&amp;$A5&amp;"'!$5:$5"),0)+1)</f>
        <v>0.22543127470960253</v>
      </c>
      <c r="U5" s="93" cm="1">
        <f t="array" aca="1" ref="U5" ca="1">INDEX(INDIRECT("'"&amp;$A5&amp;"'!$1:$1048576"),MATCH(U$4,INDIRECT("'"&amp;$A5&amp;"'!A:A"),0),MATCH(U$1,INDIRECT("'"&amp;$A5&amp;"'!$5:$5"),0)+1)</f>
        <v>0.53817999115896442</v>
      </c>
      <c r="V5" s="97">
        <f ca="1">+(C5-R5)/R5</f>
        <v>-0.12028086292735192</v>
      </c>
      <c r="W5" s="95">
        <f t="shared" ref="W5:X9" ca="1" si="1">+D5-S5</f>
        <v>4.6412235925923917E-3</v>
      </c>
      <c r="X5" s="93">
        <f t="shared" ca="1" si="1"/>
        <v>1.3714536595547971E-2</v>
      </c>
      <c r="Z5" s="98"/>
      <c r="AK5" t="s">
        <v>175</v>
      </c>
      <c r="AL5" s="99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>
      <c r="A6" t="s">
        <v>176</v>
      </c>
      <c r="B6" s="90" t="str">
        <f>A6</f>
        <v>5 - RASA - National Landin</v>
      </c>
      <c r="C6" s="91">
        <f ca="1">INDEX(INDIRECT("'"&amp;$A6&amp;"'!$1:$1048576"),MATCH(C$4,INDIRECT("'"&amp;$A6&amp;"'!A:A"),0),MATCH(C$1,INDIRECT("'"&amp;$A6&amp;"'!$5:$5"),0))</f>
        <v>26951.39</v>
      </c>
      <c r="D6" s="92" cm="1">
        <f t="array" aca="1" ref="D6" ca="1">INDEX(INDIRECT("'"&amp;$A6&amp;"'!$1:$1048576"),MATCH(D$4,INDIRECT("'"&amp;$A6&amp;"'!A:A"),0),MATCH(D$1,INDIRECT("'"&amp;$A6&amp;"'!$5:$5"),0)+1)</f>
        <v>0.2249650203570206</v>
      </c>
      <c r="E6" s="92" cm="1">
        <f t="array" aca="1" ref="E6" ca="1">INDEX(INDIRECT("'"&amp;$A6&amp;"'!$1:$1048576"),MATCH(E$4,INDIRECT("'"&amp;$A6&amp;"'!A:A"),0),MATCH(E$1,INDIRECT("'"&amp;$A6&amp;"'!$5:$5"),0)+1)</f>
        <v>0.25962185994859638</v>
      </c>
      <c r="F6" s="93" cm="1">
        <f t="array" aca="1" ref="F6" ca="1">INDEX(INDIRECT("'"&amp;$A6&amp;"'!$1:$1048576"),MATCH(F$4,INDIRECT("'"&amp;$A6&amp;"'!A:A"),0),MATCH(F$1,INDIRECT("'"&amp;$A6&amp;"'!$5:$5"),0)+1)</f>
        <v>0.51541311969438297</v>
      </c>
      <c r="G6" s="94">
        <f ca="1">INDEX(INDIRECT("'"&amp;$A6&amp;"'!$1:$1048576"),MATCH(G$4,INDIRECT("'"&amp;$A6&amp;"'!A:A"),0),MATCH(G$1,INDIRECT("'"&amp;$A6&amp;"'!$5:$5"),0))</f>
        <v>26951.39</v>
      </c>
      <c r="H6" s="95" cm="1">
        <f t="array" aca="1" ref="H6" ca="1">INDEX(INDIRECT("'"&amp;$A6&amp;"'!$1:$1048576"),MATCH(H$4,INDIRECT("'"&amp;$A6&amp;"'!A:A"),0),MATCH(H$1,INDIRECT("'"&amp;$A6&amp;"'!$5:$5"),0)+1)</f>
        <v>0.2249650203570206</v>
      </c>
      <c r="I6" s="95" cm="1">
        <f t="array" aca="1" ref="I6" ca="1">INDEX(INDIRECT("'"&amp;$A6&amp;"'!$1:$1048576"),MATCH(I$4,INDIRECT("'"&amp;$A6&amp;"'!A:A"),0),MATCH(I$1,INDIRECT("'"&amp;$A6&amp;"'!$5:$5"),0)+1)</f>
        <v>0.25962185994859638</v>
      </c>
      <c r="J6" s="93" cm="1">
        <f t="array" aca="1" ref="J6" ca="1">INDEX(INDIRECT("'"&amp;$A6&amp;"'!$1:$1048576"),MATCH(J$4,INDIRECT("'"&amp;$A6&amp;"'!A:A"),0),MATCH(J$1,INDIRECT("'"&amp;$A6&amp;"'!$5:$5"),0)+1)</f>
        <v>0.51541311969438297</v>
      </c>
      <c r="K6" s="94">
        <f ca="1">INDEX(INDIRECT("'"&amp;$A6&amp;"'!$1:$1048576"),MATCH(K$4,INDIRECT("'"&amp;$A6&amp;"'!A:A"),0),MATCH(K$1,INDIRECT("'"&amp;$A6&amp;"'!$5:$5"),0))</f>
        <v>25681.172500000004</v>
      </c>
      <c r="L6" s="95" cm="1">
        <f t="array" aca="1" ref="L6" ca="1">INDEX(INDIRECT("'"&amp;$A6&amp;"'!$1:$1048576"),MATCH(L$4,INDIRECT("'"&amp;$A6&amp;"'!A:A"),0),MATCH(L$1,INDIRECT("'"&amp;$A6&amp;"'!$5:$5"),0)+1)</f>
        <v>0.24102112160182718</v>
      </c>
      <c r="M6" s="95" cm="1">
        <f t="array" aca="1" ref="M6" ca="1">INDEX(INDIRECT("'"&amp;$A6&amp;"'!$1:$1048576"),MATCH(M$4,INDIRECT("'"&amp;$A6&amp;"'!A:A"),0),MATCH(M$1,INDIRECT("'"&amp;$A6&amp;"'!$5:$5"),0)+1)</f>
        <v>0.29845687536268056</v>
      </c>
      <c r="N6" s="96" cm="1">
        <f t="array" aca="1" ref="N6" ca="1">INDEX(INDIRECT("'"&amp;$A6&amp;"'!$1:$1048576"),MATCH(N$4,INDIRECT("'"&amp;$A6&amp;"'!A:A"),0),MATCH(N$1,INDIRECT("'"&amp;$A6&amp;"'!$5:$5"),0)+1)</f>
        <v>0.46052200303549229</v>
      </c>
      <c r="O6" s="97">
        <f ca="1">+(C6-K6)/K6</f>
        <v>4.9461039989509632E-2</v>
      </c>
      <c r="P6" s="95">
        <f t="shared" ca="1" si="0"/>
        <v>-1.6056101244806581E-2</v>
      </c>
      <c r="Q6" s="93">
        <f t="shared" ca="1" si="0"/>
        <v>-3.8835015414084184E-2</v>
      </c>
      <c r="R6" s="94">
        <f ca="1">INDEX(INDIRECT("'"&amp;$A6&amp;"'!$1:$1048576"),MATCH(R$4,INDIRECT("'"&amp;$A6&amp;"'!A:A"),0),MATCH(R$1,INDIRECT("'"&amp;$A6&amp;"'!$5:$5"),0))</f>
        <v>30833.4375</v>
      </c>
      <c r="S6" s="95" cm="1">
        <f t="array" aca="1" ref="S6" ca="1">INDEX(INDIRECT("'"&amp;$A6&amp;"'!$1:$1048576"),MATCH(S$4,INDIRECT("'"&amp;$A6&amp;"'!A:A"),0),MATCH(S$1,INDIRECT("'"&amp;$A6&amp;"'!$5:$5"),0)+1)</f>
        <v>0.24006952679213925</v>
      </c>
      <c r="T6" s="95" cm="1">
        <f t="array" aca="1" ref="T6" ca="1">INDEX(INDIRECT("'"&amp;$A6&amp;"'!$1:$1048576"),MATCH(T$4,INDIRECT("'"&amp;$A6&amp;"'!A:A"),0),MATCH(T$1,INDIRECT("'"&amp;$A6&amp;"'!$5:$5"),0)+1)</f>
        <v>0.27835012719551627</v>
      </c>
      <c r="U6" s="93" cm="1">
        <f t="array" aca="1" ref="U6" ca="1">INDEX(INDIRECT("'"&amp;$A6&amp;"'!$1:$1048576"),MATCH(U$4,INDIRECT("'"&amp;$A6&amp;"'!A:A"),0),MATCH(U$1,INDIRECT("'"&amp;$A6&amp;"'!$5:$5"),0)+1)</f>
        <v>0.48158034601234445</v>
      </c>
      <c r="V6" s="97">
        <f ca="1">+(C6-R6)/R6</f>
        <v>-0.12590381789250712</v>
      </c>
      <c r="W6" s="95">
        <f t="shared" ca="1" si="1"/>
        <v>-1.5104506435118653E-2</v>
      </c>
      <c r="X6" s="93">
        <f t="shared" ca="1" si="1"/>
        <v>-1.8728267246919894E-2</v>
      </c>
      <c r="Z6" s="98"/>
      <c r="AK6" t="s">
        <v>177</v>
      </c>
      <c r="AL6" s="99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4.4">
      <c r="A7" t="s">
        <v>154</v>
      </c>
      <c r="B7" s="90" t="str">
        <f>A7</f>
        <v>6 - RASA - Mosaic</v>
      </c>
      <c r="C7" s="91">
        <f ca="1">INDEX(INDIRECT("'"&amp;$A7&amp;"'!$1:$1048576"),MATCH(C$4,INDIRECT("'"&amp;$A7&amp;"'!A:A"),0),MATCH(C$1,INDIRECT("'"&amp;$A7&amp;"'!$5:$5"),0))</f>
        <v>28077.239999999998</v>
      </c>
      <c r="D7" s="92" cm="1">
        <f t="array" aca="1" ref="D7" ca="1">INDEX(INDIRECT("'"&amp;$A7&amp;"'!$1:$1048576"),MATCH(D$4,INDIRECT("'"&amp;$A7&amp;"'!A:A"),0),MATCH(D$1,INDIRECT("'"&amp;$A7&amp;"'!$5:$5"),0)+1)</f>
        <v>0.24399121851008151</v>
      </c>
      <c r="E7" s="92" cm="1">
        <f t="array" aca="1" ref="E7" ca="1">INDEX(INDIRECT("'"&amp;$A7&amp;"'!$1:$1048576"),MATCH(E$4,INDIRECT("'"&amp;$A7&amp;"'!A:A"),0),MATCH(E$1,INDIRECT("'"&amp;$A7&amp;"'!$5:$5"),0)+1)</f>
        <v>0.28063655829419132</v>
      </c>
      <c r="F7" s="93" cm="1">
        <f t="array" aca="1" ref="F7" ca="1">INDEX(INDIRECT("'"&amp;$A7&amp;"'!$1:$1048576"),MATCH(F$4,INDIRECT("'"&amp;$A7&amp;"'!A:A"),0),MATCH(F$1,INDIRECT("'"&amp;$A7&amp;"'!$5:$5"),0)+1)</f>
        <v>0.47537222319572703</v>
      </c>
      <c r="G7" s="94">
        <f ca="1">INDEX(INDIRECT("'"&amp;$A7&amp;"'!$1:$1048576"),MATCH(G$4,INDIRECT("'"&amp;$A7&amp;"'!A:A"),0),MATCH(G$1,INDIRECT("'"&amp;$A7&amp;"'!$5:$5"),0))</f>
        <v>28077.239999999998</v>
      </c>
      <c r="H7" s="95" cm="1">
        <f t="array" aca="1" ref="H7" ca="1">INDEX(INDIRECT("'"&amp;$A7&amp;"'!$1:$1048576"),MATCH(H$4,INDIRECT("'"&amp;$A7&amp;"'!A:A"),0),MATCH(H$1,INDIRECT("'"&amp;$A7&amp;"'!$5:$5"),0)+1)</f>
        <v>0.24399121851008151</v>
      </c>
      <c r="I7" s="95" cm="1">
        <f t="array" aca="1" ref="I7" ca="1">INDEX(INDIRECT("'"&amp;$A7&amp;"'!$1:$1048576"),MATCH(I$4,INDIRECT("'"&amp;$A7&amp;"'!A:A"),0),MATCH(I$1,INDIRECT("'"&amp;$A7&amp;"'!$5:$5"),0)+1)</f>
        <v>0.28063655829419132</v>
      </c>
      <c r="J7" s="93" cm="1">
        <f t="array" aca="1" ref="J7" ca="1">INDEX(INDIRECT("'"&amp;$A7&amp;"'!$1:$1048576"),MATCH(J$4,INDIRECT("'"&amp;$A7&amp;"'!A:A"),0),MATCH(J$1,INDIRECT("'"&amp;$A7&amp;"'!$5:$5"),0)+1)</f>
        <v>0.47537222319572703</v>
      </c>
      <c r="K7" s="94">
        <f ca="1">INDEX(INDIRECT("'"&amp;$A7&amp;"'!$1:$1048576"),MATCH(K$4,INDIRECT("'"&amp;$A7&amp;"'!A:A"),0),MATCH(K$1,INDIRECT("'"&amp;$A7&amp;"'!$5:$5"),0))</f>
        <v>26892.945</v>
      </c>
      <c r="L7" s="95" cm="1">
        <f t="array" aca="1" ref="L7" ca="1">INDEX(INDIRECT("'"&amp;$A7&amp;"'!$1:$1048576"),MATCH(L$4,INDIRECT("'"&amp;$A7&amp;"'!A:A"),0),MATCH(L$1,INDIRECT("'"&amp;$A7&amp;"'!$5:$5"),0)+1)</f>
        <v>0.26088208264286411</v>
      </c>
      <c r="M7" s="95" cm="1">
        <f t="array" aca="1" ref="M7" ca="1">INDEX(INDIRECT("'"&amp;$A7&amp;"'!$1:$1048576"),MATCH(M$4,INDIRECT("'"&amp;$A7&amp;"'!A:A"),0),MATCH(M$1,INDIRECT("'"&amp;$A7&amp;"'!$5:$5"),0)+1)</f>
        <v>0.27138976411843324</v>
      </c>
      <c r="N7" s="96" cm="1">
        <f t="array" aca="1" ref="N7" ca="1">INDEX(INDIRECT("'"&amp;$A7&amp;"'!$1:$1048576"),MATCH(N$4,INDIRECT("'"&amp;$A7&amp;"'!A:A"),0),MATCH(N$1,INDIRECT("'"&amp;$A7&amp;"'!$5:$5"),0)+1)</f>
        <v>0.46772815323870243</v>
      </c>
      <c r="O7" s="97">
        <f ca="1">+(C7-K7)/K7</f>
        <v>4.403738601332053E-2</v>
      </c>
      <c r="P7" s="95">
        <f t="shared" ca="1" si="0"/>
        <v>-1.6890864132782596E-2</v>
      </c>
      <c r="Q7" s="93">
        <f t="shared" ca="1" si="0"/>
        <v>9.2467941757580774E-3</v>
      </c>
      <c r="R7" s="94">
        <f ca="1">INDEX(INDIRECT("'"&amp;$A7&amp;"'!$1:$1048576"),MATCH(R$4,INDIRECT("'"&amp;$A7&amp;"'!A:A"),0),MATCH(R$1,INDIRECT("'"&amp;$A7&amp;"'!$5:$5"),0))</f>
        <v>29450.058749999997</v>
      </c>
      <c r="S7" s="95" cm="1">
        <f t="array" aca="1" ref="S7" ca="1">INDEX(INDIRECT("'"&amp;$A7&amp;"'!$1:$1048576"),MATCH(S$4,INDIRECT("'"&amp;$A7&amp;"'!A:A"),0),MATCH(S$1,INDIRECT("'"&amp;$A7&amp;"'!$5:$5"),0)+1)</f>
        <v>0.25944370993826965</v>
      </c>
      <c r="T7" s="95" cm="1">
        <f t="array" aca="1" ref="T7" ca="1">INDEX(INDIRECT("'"&amp;$A7&amp;"'!$1:$1048576"),MATCH(T$4,INDIRECT("'"&amp;$A7&amp;"'!A:A"),0),MATCH(T$1,INDIRECT("'"&amp;$A7&amp;"'!$5:$5"),0)+1)</f>
        <v>0.24260961788403906</v>
      </c>
      <c r="U7" s="93" cm="1">
        <f t="array" aca="1" ref="U7" ca="1">INDEX(INDIRECT("'"&amp;$A7&amp;"'!$1:$1048576"),MATCH(U$4,INDIRECT("'"&amp;$A7&amp;"'!A:A"),0),MATCH(U$1,INDIRECT("'"&amp;$A7&amp;"'!$5:$5"),0)+1)</f>
        <v>0.49794667217769134</v>
      </c>
      <c r="V7" s="97">
        <f ca="1">+(C7-R7)/R7</f>
        <v>-4.6615144698140841E-2</v>
      </c>
      <c r="W7" s="95">
        <f t="shared" ca="1" si="1"/>
        <v>-1.5452491428188136E-2</v>
      </c>
      <c r="X7" s="93">
        <f t="shared" ca="1" si="1"/>
        <v>3.8026940410152255E-2</v>
      </c>
      <c r="AK7" t="s">
        <v>178</v>
      </c>
      <c r="AL7" s="99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4.4">
      <c r="A8" t="s">
        <v>155</v>
      </c>
      <c r="B8" s="90" t="str">
        <f>A8</f>
        <v>7 - RASA - Rockville</v>
      </c>
      <c r="C8" s="91">
        <f ca="1">INDEX(INDIRECT("'"&amp;$A8&amp;"'!$1:$1048576"),MATCH(C$4,INDIRECT("'"&amp;$A8&amp;"'!A:A"),0),MATCH(C$1,INDIRECT("'"&amp;$A8&amp;"'!$5:$5"),0))</f>
        <v>22603.070000000003</v>
      </c>
      <c r="D8" s="92" cm="1">
        <f t="array" aca="1" ref="D8" ca="1">INDEX(INDIRECT("'"&amp;$A8&amp;"'!$1:$1048576"),MATCH(D$4,INDIRECT("'"&amp;$A8&amp;"'!A:A"),0),MATCH(D$1,INDIRECT("'"&amp;$A8&amp;"'!$5:$5"),0)+1)</f>
        <v>0.23438807206277734</v>
      </c>
      <c r="E8" s="92" cm="1">
        <f t="array" aca="1" ref="E8" ca="1">INDEX(INDIRECT("'"&amp;$A8&amp;"'!$1:$1048576"),MATCH(E$4,INDIRECT("'"&amp;$A8&amp;"'!A:A"),0),MATCH(E$1,INDIRECT("'"&amp;$A8&amp;"'!$5:$5"),0)+1)</f>
        <v>0.31525452073545762</v>
      </c>
      <c r="F8" s="100" cm="1">
        <f t="array" aca="1" ref="F8" ca="1">INDEX(INDIRECT("'"&amp;$A8&amp;"'!$1:$1048576"),MATCH(F$4,INDIRECT("'"&amp;$A8&amp;"'!A:A"),0),MATCH(F$1,INDIRECT("'"&amp;$A8&amp;"'!$5:$5"),0)+1)</f>
        <v>0.4503574072017652</v>
      </c>
      <c r="G8" s="94">
        <f ca="1">INDEX(INDIRECT("'"&amp;$A8&amp;"'!$1:$1048576"),MATCH(G$4,INDIRECT("'"&amp;$A8&amp;"'!A:A"),0),MATCH(G$1,INDIRECT("'"&amp;$A8&amp;"'!$5:$5"),0))</f>
        <v>22603.070000000003</v>
      </c>
      <c r="H8" s="95" cm="1">
        <f t="array" aca="1" ref="H8" ca="1">INDEX(INDIRECT("'"&amp;$A8&amp;"'!$1:$1048576"),MATCH(H$4,INDIRECT("'"&amp;$A8&amp;"'!A:A"),0),MATCH(H$1,INDIRECT("'"&amp;$A8&amp;"'!$5:$5"),0)+1)</f>
        <v>0.23438807206277734</v>
      </c>
      <c r="I8" s="95" cm="1">
        <f t="array" aca="1" ref="I8" ca="1">INDEX(INDIRECT("'"&amp;$A8&amp;"'!$1:$1048576"),MATCH(I$4,INDIRECT("'"&amp;$A8&amp;"'!A:A"),0),MATCH(I$1,INDIRECT("'"&amp;$A8&amp;"'!$5:$5"),0)+1)</f>
        <v>0.31525452073545762</v>
      </c>
      <c r="J8" s="93" cm="1">
        <f t="array" aca="1" ref="J8" ca="1">INDEX(INDIRECT("'"&amp;$A8&amp;"'!$1:$1048576"),MATCH(J$4,INDIRECT("'"&amp;$A8&amp;"'!A:A"),0),MATCH(J$1,INDIRECT("'"&amp;$A8&amp;"'!$5:$5"),0)+1)</f>
        <v>0.4503574072017652</v>
      </c>
      <c r="K8" s="94">
        <f ca="1">INDEX(INDIRECT("'"&amp;$A8&amp;"'!$1:$1048576"),MATCH(K$4,INDIRECT("'"&amp;$A8&amp;"'!A:A"),0),MATCH(K$1,INDIRECT("'"&amp;$A8&amp;"'!$5:$5"),0))</f>
        <v>24678.932500000003</v>
      </c>
      <c r="L8" s="95" cm="1">
        <f t="array" aca="1" ref="L8" ca="1">INDEX(INDIRECT("'"&amp;$A8&amp;"'!$1:$1048576"),MATCH(L$4,INDIRECT("'"&amp;$A8&amp;"'!A:A"),0),MATCH(L$1,INDIRECT("'"&amp;$A8&amp;"'!$5:$5"),0)+1)</f>
        <v>0.25060990786372139</v>
      </c>
      <c r="M8" s="95" cm="1">
        <f t="array" aca="1" ref="M8" ca="1">INDEX(INDIRECT("'"&amp;$A8&amp;"'!$1:$1048576"),MATCH(M$4,INDIRECT("'"&amp;$A8&amp;"'!A:A"),0),MATCH(M$1,INDIRECT("'"&amp;$A8&amp;"'!$5:$5"),0)+1)</f>
        <v>0.30138418669446093</v>
      </c>
      <c r="N8" s="96" cm="1">
        <f t="array" aca="1" ref="N8" ca="1">INDEX(INDIRECT("'"&amp;$A8&amp;"'!$1:$1048576"),MATCH(N$4,INDIRECT("'"&amp;$A8&amp;"'!A:A"),0),MATCH(N$1,INDIRECT("'"&amp;$A8&amp;"'!$5:$5"),0)+1)</f>
        <v>0.44800590544181768</v>
      </c>
      <c r="O8" s="97">
        <f ca="1">+(C8-K8)/K8</f>
        <v>-8.4114760636425381E-2</v>
      </c>
      <c r="P8" s="95">
        <f t="shared" ca="1" si="0"/>
        <v>-1.6221835800944051E-2</v>
      </c>
      <c r="Q8" s="93">
        <f t="shared" ca="1" si="0"/>
        <v>1.387033404099669E-2</v>
      </c>
      <c r="R8" s="94">
        <f ca="1">INDEX(INDIRECT("'"&amp;$A8&amp;"'!$1:$1048576"),MATCH(R$4,INDIRECT("'"&amp;$A8&amp;"'!A:A"),0),MATCH(R$1,INDIRECT("'"&amp;$A8&amp;"'!$5:$5"),0))</f>
        <v>26248.118749999998</v>
      </c>
      <c r="S8" s="95" cm="1">
        <f t="array" aca="1" ref="S8" ca="1">INDEX(INDIRECT("'"&amp;$A8&amp;"'!$1:$1048576"),MATCH(S$4,INDIRECT("'"&amp;$A8&amp;"'!A:A"),0),MATCH(S$1,INDIRECT("'"&amp;$A8&amp;"'!$5:$5"),0)+1)</f>
        <v>0.25682288183034074</v>
      </c>
      <c r="T8" s="95" cm="1">
        <f t="array" aca="1" ref="T8" ca="1">INDEX(INDIRECT("'"&amp;$A8&amp;"'!$1:$1048576"),MATCH(T$4,INDIRECT("'"&amp;$A8&amp;"'!A:A"),0),MATCH(T$1,INDIRECT("'"&amp;$A8&amp;"'!$5:$5"),0)+1)</f>
        <v>0.2910680027306719</v>
      </c>
      <c r="U8" s="93" cm="1">
        <f t="array" aca="1" ref="U8" ca="1">INDEX(INDIRECT("'"&amp;$A8&amp;"'!$1:$1048576"),MATCH(U$4,INDIRECT("'"&amp;$A8&amp;"'!A:A"),0),MATCH(U$1,INDIRECT("'"&amp;$A8&amp;"'!$5:$5"),0)+1)</f>
        <v>0.45210911543898752</v>
      </c>
      <c r="V8" s="97">
        <f ca="1">+(C8-R8)/R8</f>
        <v>-0.13886895227491283</v>
      </c>
      <c r="W8" s="95">
        <f t="shared" ca="1" si="1"/>
        <v>-2.2434809767563402E-2</v>
      </c>
      <c r="X8" s="93">
        <f t="shared" ca="1" si="1"/>
        <v>2.4186518004785718E-2</v>
      </c>
      <c r="AK8" t="s">
        <v>179</v>
      </c>
      <c r="AL8" s="99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>
      <c r="A9" t="s">
        <v>2</v>
      </c>
      <c r="B9" s="101" t="s">
        <v>180</v>
      </c>
      <c r="C9" s="102">
        <f ca="1">INDEX(INDIRECT("'"&amp;$A9&amp;"'!$1:$1048576"),MATCH(C$4,INDIRECT("'"&amp;$A9&amp;"'!A:A"),0),MATCH(C$1,INDIRECT("'"&amp;$A9&amp;"'!$5:$5"),0))</f>
        <v>121741.86000000003</v>
      </c>
      <c r="D9" s="103" cm="1">
        <f t="array" aca="1" ref="D9" ca="1">INDEX(INDIRECT("'"&amp;$A9&amp;"'!$1:$1048576"),MATCH(D$4,INDIRECT("'"&amp;$A9&amp;"'!A:A"),0),MATCH(D$1,INDIRECT("'"&amp;$A9&amp;"'!$5:$5"),0)+1)</f>
        <v>0.23692327355603074</v>
      </c>
      <c r="E9" s="103" cm="1">
        <f t="array" aca="1" ref="E9" ca="1">INDEX(INDIRECT("'"&amp;$A9&amp;"'!$1:$1048576"),MATCH(E$4,INDIRECT("'"&amp;$A9&amp;"'!A:A"),0),MATCH(E$1,INDIRECT("'"&amp;$A9&amp;"'!$5:$5"),0)+1)</f>
        <v>0.26737845142172134</v>
      </c>
      <c r="F9" s="104" cm="1">
        <f t="array" aca="1" ref="F9" ca="1">INDEX(INDIRECT("'"&amp;$A9&amp;"'!$1:$1048576"),MATCH(F$4,INDIRECT("'"&amp;$A9&amp;"'!A:A"),0),MATCH(F$1,INDIRECT("'"&amp;$A9&amp;"'!$5:$5"),0)+1)</f>
        <v>0.49569827502224811</v>
      </c>
      <c r="G9" s="102">
        <f ca="1">INDEX(INDIRECT("'"&amp;$A9&amp;"'!$1:$1048576"),MATCH(G$4,INDIRECT("'"&amp;$A9&amp;"'!A:A"),0),MATCH(G$1,INDIRECT("'"&amp;$A9&amp;"'!$5:$5"),0))</f>
        <v>121741.86000000003</v>
      </c>
      <c r="H9" s="103" cm="1">
        <f t="array" aca="1" ref="H9" ca="1">INDEX(INDIRECT("'"&amp;$A9&amp;"'!$1:$1048576"),MATCH(H$4,INDIRECT("'"&amp;$A9&amp;"'!A:A"),0),MATCH(H$1,INDIRECT("'"&amp;$A9&amp;"'!$5:$5"),0)+1)</f>
        <v>0.23692327355603074</v>
      </c>
      <c r="I9" s="103" cm="1">
        <f t="array" aca="1" ref="I9" ca="1">INDEX(INDIRECT("'"&amp;$A9&amp;"'!$1:$1048576"),MATCH(I$4,INDIRECT("'"&amp;$A9&amp;"'!A:A"),0),MATCH(I$1,INDIRECT("'"&amp;$A9&amp;"'!$5:$5"),0)+1)</f>
        <v>0.26737845142172134</v>
      </c>
      <c r="J9" s="104" cm="1">
        <f t="array" aca="1" ref="J9" ca="1">INDEX(INDIRECT("'"&amp;$A9&amp;"'!$1:$1048576"),MATCH(J$4,INDIRECT("'"&amp;$A9&amp;"'!A:A"),0),MATCH(J$1,INDIRECT("'"&amp;$A9&amp;"'!$5:$5"),0)+1)</f>
        <v>0.49569827502224811</v>
      </c>
      <c r="K9" s="102">
        <f ca="1">INDEX(INDIRECT("'"&amp;$A9&amp;"'!$1:$1048576"),MATCH(K$4,INDIRECT("'"&amp;$A9&amp;"'!A:A"),0),MATCH(K$1,INDIRECT("'"&amp;$A9&amp;"'!$5:$5"),0))</f>
        <v>125381.36500000001</v>
      </c>
      <c r="L9" s="103" cm="1">
        <f t="array" aca="1" ref="L9" ca="1">INDEX(INDIRECT("'"&amp;$A9&amp;"'!$1:$1048576"),MATCH(L$4,INDIRECT("'"&amp;$A9&amp;"'!A:A"),0),MATCH(L$1,INDIRECT("'"&amp;$A9&amp;"'!$5:$5"),0)+1)</f>
        <v>0.24589981932323038</v>
      </c>
      <c r="M9" s="103" cm="1">
        <f t="array" aca="1" ref="M9" ca="1">INDEX(INDIRECT("'"&amp;$A9&amp;"'!$1:$1048576"),MATCH(M$4,INDIRECT("'"&amp;$A9&amp;"'!A:A"),0),MATCH(M$1,INDIRECT("'"&amp;$A9&amp;"'!$5:$5"),0)+1)</f>
        <v>0.27058277360435506</v>
      </c>
      <c r="N9" s="105" cm="1">
        <f t="array" aca="1" ref="N9" ca="1">INDEX(INDIRECT("'"&amp;$A9&amp;"'!$1:$1048576"),MATCH(N$4,INDIRECT("'"&amp;$A9&amp;"'!A:A"),0),MATCH(N$1,INDIRECT("'"&amp;$A9&amp;"'!$5:$5"),0)+1)</f>
        <v>0.4835174070724147</v>
      </c>
      <c r="O9" s="106">
        <f ca="1">+(C9-K9)/K9</f>
        <v>-2.9027479482297672E-2</v>
      </c>
      <c r="P9" s="103">
        <f t="shared" ca="1" si="0"/>
        <v>-8.9765457671996396E-3</v>
      </c>
      <c r="Q9" s="104">
        <f t="shared" ca="1" si="0"/>
        <v>-3.2043221826337231E-3</v>
      </c>
      <c r="R9" s="102">
        <f ca="1">INDEX(INDIRECT("'"&amp;$A9&amp;"'!$1:$1048576"),MATCH(R$4,INDIRECT("'"&amp;$A9&amp;"'!A:A"),0),MATCH(R$1,INDIRECT("'"&amp;$A9&amp;"'!$5:$5"),0))</f>
        <v>136672.79999999999</v>
      </c>
      <c r="S9" s="103" cm="1">
        <f t="array" aca="1" ref="S9" ca="1">INDEX(INDIRECT("'"&amp;$A9&amp;"'!$1:$1048576"),MATCH(S$4,INDIRECT("'"&amp;$A9&amp;"'!A:A"),0),MATCH(S$1,INDIRECT("'"&amp;$A9&amp;"'!$5:$5"),0)+1)</f>
        <v>0.24611136963609431</v>
      </c>
      <c r="T9" s="103" cm="1">
        <f t="array" aca="1" ref="T9" ca="1">INDEX(INDIRECT("'"&amp;$A9&amp;"'!$1:$1048576"),MATCH(T$4,INDIRECT("'"&amp;$A9&amp;"'!A:A"),0),MATCH(T$1,INDIRECT("'"&amp;$A9&amp;"'!$5:$5"),0)+1)</f>
        <v>0.2536769386447047</v>
      </c>
      <c r="U9" s="104" cm="1">
        <f t="array" aca="1" ref="U9" ca="1">INDEX(INDIRECT("'"&amp;$A9&amp;"'!$1:$1048576"),MATCH(U$4,INDIRECT("'"&amp;$A9&amp;"'!A:A"),0),MATCH(U$1,INDIRECT("'"&amp;$A9&amp;"'!$5:$5"),0)+1)</f>
        <v>0.50021169171920088</v>
      </c>
      <c r="V9" s="106">
        <f ca="1">+(C9-R9)/R9</f>
        <v>-0.10924587774597404</v>
      </c>
      <c r="W9" s="103">
        <f t="shared" ca="1" si="1"/>
        <v>-9.1880960800635736E-3</v>
      </c>
      <c r="X9" s="104">
        <f t="shared" ca="1" si="1"/>
        <v>1.3701512777016644E-2</v>
      </c>
      <c r="AK9" t="s">
        <v>181</v>
      </c>
      <c r="AL9" s="99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4.4">
      <c r="E10" s="107"/>
      <c r="AK10" t="s">
        <v>182</v>
      </c>
      <c r="AL10" s="99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108" customFormat="1" ht="14.4">
      <c r="C11" s="109"/>
      <c r="E11" s="110"/>
      <c r="F11" s="111"/>
      <c r="K11" s="112"/>
      <c r="M11" s="112"/>
      <c r="O11" s="113"/>
      <c r="P11" s="113"/>
      <c r="Q11" s="113"/>
      <c r="V11" s="113"/>
      <c r="W11" s="113"/>
      <c r="X11" s="113"/>
      <c r="AK11" t="s">
        <v>183</v>
      </c>
      <c r="AL11" s="99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108" customFormat="1" ht="15.6">
      <c r="A12"/>
      <c r="B12" s="114" t="s">
        <v>184</v>
      </c>
      <c r="C12" s="115"/>
      <c r="E12" s="110"/>
      <c r="F12" s="111"/>
      <c r="H12" s="112"/>
      <c r="K12" s="112"/>
      <c r="L12" s="112"/>
      <c r="O12" s="113"/>
      <c r="P12" s="113"/>
      <c r="Q12" s="116"/>
      <c r="V12" s="113"/>
      <c r="W12" s="113"/>
      <c r="X12" s="113"/>
      <c r="AK12" t="s">
        <v>185</v>
      </c>
      <c r="AL12" s="99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108" customFormat="1" ht="14.4">
      <c r="A13"/>
      <c r="C13" s="115"/>
      <c r="E13" s="110"/>
      <c r="F13" s="111"/>
      <c r="O13" s="113"/>
      <c r="P13" s="113"/>
      <c r="Q13" s="113"/>
      <c r="V13" s="113"/>
      <c r="W13" s="113"/>
      <c r="X13" s="113"/>
      <c r="AK13" t="s">
        <v>186</v>
      </c>
      <c r="AL13" s="99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108" customFormat="1" ht="14.4">
      <c r="B14" s="117" t="s">
        <v>187</v>
      </c>
      <c r="C14" s="118"/>
      <c r="O14" s="113"/>
      <c r="P14" s="113"/>
      <c r="Q14" s="113"/>
      <c r="V14" s="113"/>
      <c r="W14" s="113"/>
      <c r="X14" s="113"/>
      <c r="AK14" t="s">
        <v>188</v>
      </c>
      <c r="AL14" s="99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108" customFormat="1" ht="14.4">
      <c r="B15" s="119" t="s">
        <v>189</v>
      </c>
      <c r="C15" s="118" t="s">
        <v>246</v>
      </c>
      <c r="O15" s="113"/>
      <c r="P15" s="113"/>
      <c r="Q15" s="113"/>
      <c r="V15" s="113"/>
      <c r="W15" s="113"/>
      <c r="X15" s="113"/>
      <c r="AK15" t="s">
        <v>190</v>
      </c>
      <c r="AL15" s="99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108" customFormat="1" ht="14.4">
      <c r="B16" s="119" t="s">
        <v>191</v>
      </c>
      <c r="C16" s="118" t="s">
        <v>246</v>
      </c>
      <c r="O16" s="113"/>
      <c r="P16" s="113"/>
      <c r="Q16" s="113"/>
      <c r="V16" s="113"/>
      <c r="W16" s="113"/>
      <c r="X16" s="113"/>
      <c r="AK16" t="s">
        <v>192</v>
      </c>
      <c r="AL16" s="99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108" customFormat="1" ht="14.4">
      <c r="B17" s="119"/>
      <c r="C17" s="118"/>
      <c r="O17" s="113"/>
      <c r="P17" s="113"/>
      <c r="Q17" s="113"/>
      <c r="V17" s="113"/>
      <c r="W17" s="113"/>
      <c r="X17" s="113"/>
      <c r="AK17" t="s">
        <v>193</v>
      </c>
      <c r="AL17" s="99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108" customFormat="1" ht="14.4">
      <c r="B18" s="117" t="s">
        <v>194</v>
      </c>
      <c r="C18" s="118"/>
      <c r="O18" s="113"/>
      <c r="P18" s="113"/>
      <c r="Q18" s="113"/>
      <c r="V18" s="113"/>
      <c r="W18" s="113"/>
      <c r="X18" s="113"/>
      <c r="AK18" t="s">
        <v>195</v>
      </c>
      <c r="AL18" s="99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108" customFormat="1" ht="14.4">
      <c r="B19" s="119" t="s">
        <v>189</v>
      </c>
      <c r="C19" s="118" t="s">
        <v>246</v>
      </c>
      <c r="O19" s="113"/>
      <c r="P19" s="113"/>
      <c r="Q19" s="113"/>
      <c r="V19" s="113"/>
      <c r="W19" s="113"/>
      <c r="X19" s="113"/>
      <c r="AK19" t="s">
        <v>196</v>
      </c>
      <c r="AL19" s="99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108" customFormat="1" ht="14.4">
      <c r="B20" s="119" t="s">
        <v>191</v>
      </c>
      <c r="C20" s="118" t="s">
        <v>247</v>
      </c>
      <c r="O20" s="113"/>
      <c r="P20" s="113"/>
      <c r="Q20" s="113"/>
      <c r="V20" s="113"/>
      <c r="W20" s="113"/>
      <c r="X20" s="113"/>
      <c r="AK20" t="s">
        <v>197</v>
      </c>
      <c r="AL20" s="99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108" customFormat="1" ht="14.4">
      <c r="B21" s="119"/>
      <c r="C21" s="118"/>
      <c r="O21" s="113"/>
      <c r="P21" s="113"/>
      <c r="Q21" s="113"/>
      <c r="V21" s="113"/>
      <c r="W21" s="113"/>
      <c r="X21" s="113"/>
      <c r="AK21" t="s">
        <v>198</v>
      </c>
      <c r="AL21" s="99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108" customFormat="1" ht="14.4">
      <c r="B22" s="117" t="s">
        <v>199</v>
      </c>
      <c r="C22" s="118"/>
      <c r="O22" s="113"/>
      <c r="P22" s="113"/>
      <c r="Q22" s="113"/>
      <c r="V22" s="113"/>
      <c r="W22" s="113"/>
      <c r="X22" s="113"/>
      <c r="AK22" t="s">
        <v>200</v>
      </c>
      <c r="AL22" s="99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108" customFormat="1" ht="14.4">
      <c r="B23" s="119" t="s">
        <v>189</v>
      </c>
      <c r="C23" s="118" t="s">
        <v>246</v>
      </c>
      <c r="O23" s="113"/>
      <c r="P23" s="113"/>
      <c r="Q23" s="113"/>
      <c r="V23" s="113"/>
      <c r="W23" s="113"/>
      <c r="X23" s="113"/>
      <c r="AK23" t="s">
        <v>201</v>
      </c>
      <c r="AL23" s="99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108" customFormat="1" ht="14.4">
      <c r="B24" s="119" t="s">
        <v>191</v>
      </c>
      <c r="C24" s="118" t="s">
        <v>246</v>
      </c>
      <c r="O24" s="113"/>
      <c r="P24" s="113"/>
      <c r="Q24" s="113"/>
      <c r="V24" s="113"/>
      <c r="W24" s="113"/>
      <c r="X24" s="113"/>
      <c r="AK24" t="s">
        <v>202</v>
      </c>
      <c r="AL24" s="99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108" customFormat="1" ht="14.4">
      <c r="B25" s="119"/>
      <c r="C25" s="118"/>
      <c r="O25" s="113"/>
      <c r="P25" s="113"/>
      <c r="Q25" s="113"/>
      <c r="V25" s="113"/>
      <c r="W25" s="113"/>
      <c r="X25" s="113"/>
      <c r="AK25" t="s">
        <v>203</v>
      </c>
      <c r="AL25" s="99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108" customFormat="1" ht="14.4">
      <c r="B26" s="117" t="s">
        <v>204</v>
      </c>
      <c r="C26" s="120"/>
      <c r="O26" s="113"/>
      <c r="P26" s="113"/>
      <c r="Q26" s="113"/>
      <c r="V26" s="113"/>
      <c r="W26" s="113"/>
      <c r="X26" s="113"/>
      <c r="AK26" t="s">
        <v>205</v>
      </c>
      <c r="AL26" s="99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108" customFormat="1" ht="14.4">
      <c r="B27" s="119" t="s">
        <v>189</v>
      </c>
      <c r="C27" s="118" t="s">
        <v>246</v>
      </c>
      <c r="O27" s="113"/>
      <c r="P27" s="113"/>
      <c r="Q27" s="113"/>
      <c r="V27" s="113"/>
      <c r="W27" s="113"/>
      <c r="X27" s="113"/>
      <c r="AK27" t="s">
        <v>206</v>
      </c>
      <c r="AL27" s="99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108" customFormat="1" ht="14.4">
      <c r="B28" s="119" t="s">
        <v>191</v>
      </c>
      <c r="C28" s="118" t="s">
        <v>246</v>
      </c>
      <c r="O28" s="113"/>
      <c r="P28" s="113"/>
      <c r="Q28" s="113"/>
      <c r="V28" s="113"/>
      <c r="W28" s="113"/>
      <c r="X28" s="113"/>
      <c r="AK28" t="s">
        <v>207</v>
      </c>
      <c r="AL28" s="99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108" customFormat="1" ht="14.4">
      <c r="B29" s="119"/>
      <c r="C29" s="118"/>
      <c r="L29"/>
      <c r="O29" s="113"/>
      <c r="P29" s="113"/>
      <c r="Q29" s="113"/>
      <c r="V29" s="113"/>
      <c r="W29" s="113"/>
      <c r="X29" s="113"/>
      <c r="AK29" t="s">
        <v>208</v>
      </c>
      <c r="AL29" s="99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4.4">
      <c r="AK30" t="s">
        <v>209</v>
      </c>
      <c r="AL30" s="99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4.4">
      <c r="AK31" t="s">
        <v>210</v>
      </c>
      <c r="AL31" s="99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4.4">
      <c r="AK32" t="s">
        <v>211</v>
      </c>
      <c r="AL32" s="99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4.4">
      <c r="AK33" t="s">
        <v>212</v>
      </c>
      <c r="AL33" s="99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4.4">
      <c r="AK34" t="s">
        <v>213</v>
      </c>
      <c r="AL34" s="99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4.4">
      <c r="AK35" t="s">
        <v>214</v>
      </c>
      <c r="AL35" s="99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4.4">
      <c r="AK36" t="s">
        <v>215</v>
      </c>
      <c r="AL36" s="99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4.4">
      <c r="AK37" t="s">
        <v>216</v>
      </c>
      <c r="AL37" s="99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4.4">
      <c r="AK38" t="s">
        <v>217</v>
      </c>
      <c r="AL38" s="99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4.4">
      <c r="AK39" t="s">
        <v>218</v>
      </c>
      <c r="AL39" s="99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4.4">
      <c r="AK40" t="s">
        <v>219</v>
      </c>
      <c r="AL40" s="99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4.4">
      <c r="AK41" t="s">
        <v>220</v>
      </c>
      <c r="AL41" s="99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4.4">
      <c r="AK42" t="s">
        <v>221</v>
      </c>
      <c r="AL42" s="99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4.4">
      <c r="AK43" t="s">
        <v>222</v>
      </c>
      <c r="AL43" s="99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4.4">
      <c r="AK44" t="s">
        <v>223</v>
      </c>
      <c r="AL44" s="99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4.4">
      <c r="AK45" t="s">
        <v>224</v>
      </c>
      <c r="AL45" s="99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4.4">
      <c r="AK46" t="s">
        <v>225</v>
      </c>
      <c r="AL46" s="99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4.4">
      <c r="AK47" t="s">
        <v>226</v>
      </c>
      <c r="AL47" s="99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4.4">
      <c r="AK48" t="s">
        <v>227</v>
      </c>
      <c r="AL48" s="99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4.4">
      <c r="AK49" t="s">
        <v>228</v>
      </c>
      <c r="AL49" s="99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4.4">
      <c r="AK50" t="s">
        <v>229</v>
      </c>
      <c r="AL50" s="99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4.4">
      <c r="AK51" t="s">
        <v>230</v>
      </c>
      <c r="AL51" s="99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>
      <c r="AL52" s="99"/>
    </row>
    <row r="53" spans="37:41" ht="43.5" customHeight="1">
      <c r="AL53" s="99"/>
    </row>
    <row r="54" spans="37:41" ht="43.5" customHeight="1">
      <c r="AL54" s="99"/>
    </row>
    <row r="55" spans="37:41" ht="43.5" customHeight="1">
      <c r="AL55" s="99"/>
    </row>
    <row r="56" spans="37:41" ht="43.5" customHeight="1">
      <c r="AL56" s="99"/>
    </row>
    <row r="57" spans="37:41" ht="43.5" customHeight="1">
      <c r="AL57" s="99"/>
    </row>
    <row r="58" spans="37:41" ht="43.5" customHeight="1">
      <c r="AL58" s="99"/>
    </row>
    <row r="59" spans="37:41" ht="43.5" customHeight="1">
      <c r="AL59" s="99"/>
    </row>
    <row r="60" spans="37:41" ht="43.5" customHeight="1">
      <c r="AL60" s="99"/>
    </row>
    <row r="61" spans="37:41" ht="43.5" customHeight="1">
      <c r="AL61" s="99"/>
    </row>
    <row r="62" spans="37:41" ht="43.5" customHeight="1">
      <c r="AL62" s="99"/>
    </row>
    <row r="63" spans="37:41" ht="43.5" customHeight="1">
      <c r="AL63" s="99"/>
    </row>
    <row r="64" spans="37:41" ht="43.5" customHeight="1">
      <c r="AL64" s="99"/>
    </row>
    <row r="65" spans="38:38" ht="43.5" customHeight="1">
      <c r="AL65" s="99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AO5:AO65" xr:uid="{79591F05-0EAE-4259-BAA7-77CE1760627D}">
      <formula1>$B$2</formula1>
    </dataValidation>
    <dataValidation type="list" allowBlank="1" showInputMessage="1" showErrorMessage="1" sqref="B2" xr:uid="{837BAE3E-58B1-4280-9C95-D985B3A94EBD}">
      <formula1>$AO$5:$AO$65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DF00-5307-4A87-BB13-8CC0D44CD317}">
  <sheetPr>
    <outlinePr summaryBelow="0"/>
  </sheetPr>
  <dimension ref="A1:M96"/>
  <sheetViews>
    <sheetView showGridLines="0" zoomScaleNormal="100" workbookViewId="0">
      <pane xSplit="1" ySplit="4" topLeftCell="B59" activePane="bottomRight" state="frozen"/>
      <selection activeCell="F28" sqref="F28"/>
      <selection pane="topRight" activeCell="F28" sqref="F28"/>
      <selection pane="bottomLeft" activeCell="F28" sqref="F28"/>
      <selection pane="bottomRight" activeCell="F28" sqref="F28"/>
    </sheetView>
  </sheetViews>
  <sheetFormatPr defaultRowHeight="14.4"/>
  <cols>
    <col min="1" max="1" width="42.88671875" customWidth="1"/>
    <col min="2" max="2" width="17.109375" style="122" customWidth="1"/>
    <col min="3" max="3" width="9.44140625" customWidth="1"/>
    <col min="4" max="4" width="17.109375" style="122" customWidth="1"/>
    <col min="5" max="5" width="9.44140625" customWidth="1"/>
    <col min="6" max="6" width="17.109375" style="122" customWidth="1"/>
    <col min="7" max="7" width="9.44140625" customWidth="1"/>
    <col min="8" max="8" width="17.109375" style="122" customWidth="1"/>
    <col min="9" max="9" width="9.44140625" customWidth="1"/>
    <col min="10" max="10" width="13.33203125" style="122" customWidth="1"/>
    <col min="11" max="11" width="8.6640625" customWidth="1"/>
    <col min="12" max="12" width="22" customWidth="1"/>
    <col min="13" max="13" width="21.33203125" bestFit="1" customWidth="1"/>
  </cols>
  <sheetData>
    <row r="1" spans="1:13" ht="33.6">
      <c r="A1" s="121" t="s">
        <v>0</v>
      </c>
      <c r="B1" s="121" t="s">
        <v>0</v>
      </c>
      <c r="C1" s="121" t="s">
        <v>0</v>
      </c>
      <c r="D1" s="121" t="s">
        <v>0</v>
      </c>
      <c r="E1" s="121" t="s">
        <v>0</v>
      </c>
      <c r="F1" s="121" t="s">
        <v>0</v>
      </c>
      <c r="G1" s="121" t="s">
        <v>0</v>
      </c>
      <c r="H1" s="121" t="s">
        <v>0</v>
      </c>
      <c r="I1" s="121" t="s">
        <v>0</v>
      </c>
    </row>
    <row r="2" spans="1:13" ht="23.4">
      <c r="A2" s="123" t="str">
        <f>+Summary!B2</f>
        <v>Week Ending 08/30/2026</v>
      </c>
      <c r="B2" s="123" t="s">
        <v>231</v>
      </c>
      <c r="C2" s="123" t="s">
        <v>231</v>
      </c>
      <c r="D2" s="123" t="s">
        <v>231</v>
      </c>
      <c r="E2" s="123" t="s">
        <v>231</v>
      </c>
      <c r="F2" s="123" t="s">
        <v>231</v>
      </c>
      <c r="G2" s="123" t="s">
        <v>231</v>
      </c>
      <c r="H2" s="123" t="s">
        <v>231</v>
      </c>
      <c r="I2" s="123" t="s">
        <v>231</v>
      </c>
    </row>
    <row r="3" spans="1:13" ht="15.6">
      <c r="A3" s="124"/>
      <c r="B3" s="124" t="s">
        <v>155</v>
      </c>
      <c r="C3" s="124" t="s">
        <v>155</v>
      </c>
      <c r="D3" s="124" t="s">
        <v>155</v>
      </c>
      <c r="E3" s="124" t="s">
        <v>155</v>
      </c>
      <c r="F3" s="124" t="s">
        <v>155</v>
      </c>
      <c r="G3" s="124" t="s">
        <v>155</v>
      </c>
      <c r="H3" s="124" t="s">
        <v>155</v>
      </c>
      <c r="I3" s="124" t="s">
        <v>155</v>
      </c>
    </row>
    <row r="4" spans="1:13">
      <c r="B4" s="125" t="s">
        <v>232</v>
      </c>
      <c r="C4" s="125"/>
      <c r="D4" s="125" t="s">
        <v>233</v>
      </c>
      <c r="E4" s="125"/>
      <c r="F4" s="125" t="s">
        <v>234</v>
      </c>
      <c r="G4" s="125"/>
      <c r="H4" s="125" t="s">
        <v>155</v>
      </c>
      <c r="I4" s="125"/>
      <c r="J4" s="125" t="s">
        <v>235</v>
      </c>
      <c r="K4" s="125"/>
    </row>
    <row r="5" spans="1:13" ht="18" customHeight="1">
      <c r="A5" s="126" t="s">
        <v>23</v>
      </c>
      <c r="B5" s="127"/>
      <c r="C5" s="128"/>
      <c r="D5" s="127"/>
      <c r="E5" s="128"/>
      <c r="F5" s="127"/>
      <c r="G5" s="128"/>
      <c r="H5" s="127"/>
      <c r="I5" s="128"/>
    </row>
    <row r="6" spans="1:13" ht="16.5" hidden="1" customHeight="1">
      <c r="A6" s="129" t="s">
        <v>236</v>
      </c>
      <c r="B6" s="130" t="e">
        <f t="shared" ref="B6:B16" ca="1" si="0">INDEX(INDIRECT("'"&amp;B$4&amp;"'!$1:$1048576"),MATCH($A6,INDIRECT("'"&amp;B$4&amp;"'!$A:$A"),0),MATCH($A$2,INDIRECT("'"&amp;B$4&amp;"'!$5:$5"),0))</f>
        <v>#N/A</v>
      </c>
      <c r="C6" s="131" t="str">
        <f ca="1">IFERROR(B6/B16, "NA")</f>
        <v>NA</v>
      </c>
      <c r="D6" s="130" t="e">
        <f t="shared" ref="D6:D16" ca="1" si="1">INDEX(INDIRECT("'"&amp;D$4&amp;"'!$1:$1048576"),MATCH($A6,INDIRECT("'"&amp;D$4&amp;"'!$A:$A"),0),MATCH($A$2,INDIRECT("'"&amp;D$4&amp;"'!$5:$5"),0))</f>
        <v>#N/A</v>
      </c>
      <c r="E6" s="131" t="str">
        <f ca="1">IFERROR(D6/D16, "NA")</f>
        <v>NA</v>
      </c>
      <c r="F6" s="130" t="e">
        <f t="shared" ref="F6:F16" ca="1" si="2">INDEX(INDIRECT("'"&amp;F$4&amp;"'!$1:$1048576"),MATCH($A6,INDIRECT("'"&amp;F$4&amp;"'!$A:$A"),0),MATCH($A$2,INDIRECT("'"&amp;F$4&amp;"'!$5:$5"),0))</f>
        <v>#N/A</v>
      </c>
      <c r="G6" s="131" t="str">
        <f ca="1">IFERROR(F6/F16, "NA")</f>
        <v>NA</v>
      </c>
      <c r="H6" s="130" t="e">
        <f t="shared" ref="H6:H16" ca="1" si="3">INDEX(INDIRECT("'"&amp;H$4&amp;"'!$1:$1048576"),MATCH($A6,INDIRECT("'"&amp;H$4&amp;"'!$A:$A"),0),MATCH($A$2,INDIRECT("'"&amp;H$4&amp;"'!$5:$5"),0))</f>
        <v>#N/A</v>
      </c>
      <c r="I6" s="131" t="str">
        <f ca="1">IFERROR(H6/H16, "NA")</f>
        <v>NA</v>
      </c>
      <c r="J6" s="130" t="e">
        <f ca="1">+H6+F6+D6+B6+#REF!</f>
        <v>#N/A</v>
      </c>
      <c r="K6" s="131" t="str">
        <f ca="1">IFERROR(J6/J16, "NA")</f>
        <v>NA</v>
      </c>
      <c r="M6" s="132"/>
    </row>
    <row r="7" spans="1:13" ht="16.5" hidden="1" customHeight="1">
      <c r="A7" s="129" t="s">
        <v>237</v>
      </c>
      <c r="B7" s="130" t="e">
        <f t="shared" ca="1" si="0"/>
        <v>#N/A</v>
      </c>
      <c r="C7" s="131" t="str">
        <f ca="1">IFERROR(B7/B16, "NA")</f>
        <v>NA</v>
      </c>
      <c r="D7" s="130" t="e">
        <f t="shared" ca="1" si="1"/>
        <v>#N/A</v>
      </c>
      <c r="E7" s="131" t="str">
        <f ca="1">IFERROR(D7/D16, "NA")</f>
        <v>NA</v>
      </c>
      <c r="F7" s="130" t="e">
        <f t="shared" ca="1" si="2"/>
        <v>#N/A</v>
      </c>
      <c r="G7" s="131" t="str">
        <f ca="1">IFERROR(F7/F16, "NA")</f>
        <v>NA</v>
      </c>
      <c r="H7" s="130" t="e">
        <f t="shared" ca="1" si="3"/>
        <v>#N/A</v>
      </c>
      <c r="I7" s="131" t="str">
        <f ca="1">IFERROR(H7/H16, "NA")</f>
        <v>NA</v>
      </c>
      <c r="J7" s="130" t="e">
        <f ca="1">+H7+F7+D7+B7+#REF!</f>
        <v>#N/A</v>
      </c>
      <c r="K7" s="131" t="str">
        <f ca="1">IFERROR(J7/J16, "NA")</f>
        <v>NA</v>
      </c>
    </row>
    <row r="8" spans="1:13" ht="16.5" hidden="1" customHeight="1">
      <c r="A8" s="129" t="s">
        <v>238</v>
      </c>
      <c r="B8" s="130" t="e">
        <f t="shared" ca="1" si="0"/>
        <v>#N/A</v>
      </c>
      <c r="C8" s="131" t="str">
        <f ca="1">IFERROR(B8/B16, "NA")</f>
        <v>NA</v>
      </c>
      <c r="D8" s="130" t="e">
        <f t="shared" ca="1" si="1"/>
        <v>#N/A</v>
      </c>
      <c r="E8" s="131" t="str">
        <f ca="1">IFERROR(D8/D16, "NA")</f>
        <v>NA</v>
      </c>
      <c r="F8" s="130" t="e">
        <f t="shared" ca="1" si="2"/>
        <v>#N/A</v>
      </c>
      <c r="G8" s="131" t="str">
        <f ca="1">IFERROR(F8/F16, "NA")</f>
        <v>NA</v>
      </c>
      <c r="H8" s="130" t="e">
        <f t="shared" ca="1" si="3"/>
        <v>#N/A</v>
      </c>
      <c r="I8" s="131" t="str">
        <f ca="1">IFERROR(H8/H16, "NA")</f>
        <v>NA</v>
      </c>
      <c r="J8" s="130" t="e">
        <f ca="1">+H8+F8+D8+B8+#REF!</f>
        <v>#N/A</v>
      </c>
      <c r="K8" s="131" t="str">
        <f ca="1">IFERROR(J8/J16, "NA")</f>
        <v>NA</v>
      </c>
    </row>
    <row r="9" spans="1:13" ht="16.5" hidden="1" customHeight="1">
      <c r="A9" s="129" t="s">
        <v>239</v>
      </c>
      <c r="B9" s="130" t="e">
        <f t="shared" ca="1" si="0"/>
        <v>#N/A</v>
      </c>
      <c r="C9" s="131" t="str">
        <f ca="1">IFERROR(B9/B16, "NA")</f>
        <v>NA</v>
      </c>
      <c r="D9" s="130" t="e">
        <f t="shared" ca="1" si="1"/>
        <v>#N/A</v>
      </c>
      <c r="E9" s="131" t="str">
        <f ca="1">IFERROR(D9/D16, "NA")</f>
        <v>NA</v>
      </c>
      <c r="F9" s="130" t="e">
        <f t="shared" ca="1" si="2"/>
        <v>#N/A</v>
      </c>
      <c r="G9" s="131" t="str">
        <f ca="1">IFERROR(F9/F16, "NA")</f>
        <v>NA</v>
      </c>
      <c r="H9" s="130" t="e">
        <f t="shared" ca="1" si="3"/>
        <v>#N/A</v>
      </c>
      <c r="I9" s="131" t="str">
        <f ca="1">IFERROR(H9/H16, "NA")</f>
        <v>NA</v>
      </c>
      <c r="J9" s="130" t="e">
        <f ca="1">+H9+F9+D9+B9+#REF!</f>
        <v>#N/A</v>
      </c>
      <c r="K9" s="131" t="str">
        <f ca="1">IFERROR(J9/J16, "NA")</f>
        <v>NA</v>
      </c>
    </row>
    <row r="10" spans="1:13" ht="16.5" hidden="1" customHeight="1">
      <c r="A10" s="129" t="s">
        <v>240</v>
      </c>
      <c r="B10" s="130" t="e">
        <f t="shared" ca="1" si="0"/>
        <v>#N/A</v>
      </c>
      <c r="C10" s="131" t="str">
        <f ca="1">IFERROR(B10/B16, "NA")</f>
        <v>NA</v>
      </c>
      <c r="D10" s="130" t="e">
        <f t="shared" ca="1" si="1"/>
        <v>#N/A</v>
      </c>
      <c r="E10" s="131" t="str">
        <f ca="1">IFERROR(D10/D16, "NA")</f>
        <v>NA</v>
      </c>
      <c r="F10" s="130" t="e">
        <f t="shared" ca="1" si="2"/>
        <v>#N/A</v>
      </c>
      <c r="G10" s="131" t="str">
        <f ca="1">IFERROR(F10/F16, "NA")</f>
        <v>NA</v>
      </c>
      <c r="H10" s="130" t="e">
        <f t="shared" ca="1" si="3"/>
        <v>#N/A</v>
      </c>
      <c r="I10" s="131" t="str">
        <f ca="1">IFERROR(H10/H16, "NA")</f>
        <v>NA</v>
      </c>
      <c r="J10" s="130" t="e">
        <f ca="1">+H10+F10+D10+B10+#REF!</f>
        <v>#N/A</v>
      </c>
      <c r="K10" s="131" t="str">
        <f ca="1">IFERROR(J10/J16, "NA")</f>
        <v>NA</v>
      </c>
    </row>
    <row r="11" spans="1:13" ht="16.5" hidden="1" customHeight="1">
      <c r="A11" s="129" t="s">
        <v>241</v>
      </c>
      <c r="B11" s="130" t="e">
        <f t="shared" ca="1" si="0"/>
        <v>#N/A</v>
      </c>
      <c r="C11" s="131" t="str">
        <f ca="1">IFERROR(B11/B16, "NA")</f>
        <v>NA</v>
      </c>
      <c r="D11" s="130" t="e">
        <f t="shared" ca="1" si="1"/>
        <v>#N/A</v>
      </c>
      <c r="E11" s="131" t="str">
        <f ca="1">IFERROR(D11/D16, "NA")</f>
        <v>NA</v>
      </c>
      <c r="F11" s="130" t="e">
        <f t="shared" ca="1" si="2"/>
        <v>#N/A</v>
      </c>
      <c r="G11" s="131" t="str">
        <f ca="1">IFERROR(F11/F16, "NA")</f>
        <v>NA</v>
      </c>
      <c r="H11" s="130" t="e">
        <f t="shared" ca="1" si="3"/>
        <v>#N/A</v>
      </c>
      <c r="I11" s="131" t="str">
        <f ca="1">IFERROR(H11/H16, "NA")</f>
        <v>NA</v>
      </c>
      <c r="J11" s="130" t="e">
        <f ca="1">+H11+F11+D11+B11+#REF!</f>
        <v>#N/A</v>
      </c>
      <c r="K11" s="131" t="str">
        <f ca="1">IFERROR(J11/J16, "NA")</f>
        <v>NA</v>
      </c>
    </row>
    <row r="12" spans="1:13" ht="16.5" hidden="1" customHeight="1">
      <c r="A12" s="129" t="s">
        <v>242</v>
      </c>
      <c r="B12" s="130" t="e">
        <f t="shared" ca="1" si="0"/>
        <v>#N/A</v>
      </c>
      <c r="C12" s="131" t="str">
        <f ca="1">IFERROR(B12/B16, "NA")</f>
        <v>NA</v>
      </c>
      <c r="D12" s="130" t="e">
        <f t="shared" ca="1" si="1"/>
        <v>#N/A</v>
      </c>
      <c r="E12" s="131" t="str">
        <f ca="1">IFERROR(D12/D16, "NA")</f>
        <v>NA</v>
      </c>
      <c r="F12" s="130" t="e">
        <f t="shared" ca="1" si="2"/>
        <v>#N/A</v>
      </c>
      <c r="G12" s="131" t="str">
        <f ca="1">IFERROR(F12/F16, "NA")</f>
        <v>NA</v>
      </c>
      <c r="H12" s="130" t="e">
        <f t="shared" ca="1" si="3"/>
        <v>#N/A</v>
      </c>
      <c r="I12" s="131" t="str">
        <f ca="1">IFERROR(H12/H16, "NA")</f>
        <v>NA</v>
      </c>
      <c r="J12" s="130" t="e">
        <f ca="1">+H12+F12+D12+B12+#REF!</f>
        <v>#N/A</v>
      </c>
      <c r="K12" s="131" t="str">
        <f ca="1">IFERROR(J12/J16, "NA")</f>
        <v>NA</v>
      </c>
    </row>
    <row r="13" spans="1:13" ht="16.5" hidden="1" customHeight="1">
      <c r="A13" s="129" t="s">
        <v>243</v>
      </c>
      <c r="B13" s="130" t="e">
        <f t="shared" ca="1" si="0"/>
        <v>#N/A</v>
      </c>
      <c r="C13" s="131" t="str">
        <f ca="1">IFERROR(B13/B16, "NA")</f>
        <v>NA</v>
      </c>
      <c r="D13" s="130" t="e">
        <f t="shared" ca="1" si="1"/>
        <v>#N/A</v>
      </c>
      <c r="E13" s="131" t="str">
        <f ca="1">IFERROR(D13/D16, "NA")</f>
        <v>NA</v>
      </c>
      <c r="F13" s="130" t="e">
        <f t="shared" ca="1" si="2"/>
        <v>#N/A</v>
      </c>
      <c r="G13" s="131" t="str">
        <f ca="1">IFERROR(F13/F16, "NA")</f>
        <v>NA</v>
      </c>
      <c r="H13" s="130" t="e">
        <f t="shared" ca="1" si="3"/>
        <v>#N/A</v>
      </c>
      <c r="I13" s="131" t="str">
        <f ca="1">IFERROR(H13/H16, "NA")</f>
        <v>NA</v>
      </c>
      <c r="J13" s="130" t="e">
        <f ca="1">+H13+F13+D13+B13+#REF!</f>
        <v>#N/A</v>
      </c>
      <c r="K13" s="131" t="str">
        <f ca="1">IFERROR(J13/J16, "NA")</f>
        <v>NA</v>
      </c>
    </row>
    <row r="14" spans="1:13" ht="16.5" hidden="1" customHeight="1">
      <c r="A14" s="129" t="s">
        <v>244</v>
      </c>
      <c r="B14" s="130" t="e">
        <f t="shared" ca="1" si="0"/>
        <v>#N/A</v>
      </c>
      <c r="C14" s="131" t="str">
        <f ca="1">IFERROR(B14/B16, "NA")</f>
        <v>NA</v>
      </c>
      <c r="D14" s="130" t="e">
        <f t="shared" ca="1" si="1"/>
        <v>#N/A</v>
      </c>
      <c r="E14" s="131" t="str">
        <f ca="1">IFERROR(D14/D16, "NA")</f>
        <v>NA</v>
      </c>
      <c r="F14" s="130" t="e">
        <f t="shared" ca="1" si="2"/>
        <v>#N/A</v>
      </c>
      <c r="G14" s="131" t="str">
        <f ca="1">IFERROR(F14/F16, "NA")</f>
        <v>NA</v>
      </c>
      <c r="H14" s="130" t="e">
        <f t="shared" ca="1" si="3"/>
        <v>#N/A</v>
      </c>
      <c r="I14" s="131" t="str">
        <f ca="1">IFERROR(H14/H16, "NA")</f>
        <v>NA</v>
      </c>
      <c r="J14" s="130" t="e">
        <f ca="1">+H14+F14+D14+B14+#REF!</f>
        <v>#N/A</v>
      </c>
      <c r="K14" s="131" t="str">
        <f ca="1">IFERROR(J14/J16, "NA")</f>
        <v>NA</v>
      </c>
    </row>
    <row r="15" spans="1:13" ht="16.5" hidden="1" customHeight="1">
      <c r="A15" s="129" t="s">
        <v>245</v>
      </c>
      <c r="B15" s="130" t="e">
        <f t="shared" ca="1" si="0"/>
        <v>#N/A</v>
      </c>
      <c r="C15" s="131" t="str">
        <f ca="1">IFERROR(B15/B16, "NA")</f>
        <v>NA</v>
      </c>
      <c r="D15" s="130" t="e">
        <f t="shared" ca="1" si="1"/>
        <v>#N/A</v>
      </c>
      <c r="E15" s="131" t="str">
        <f ca="1">IFERROR(D15/D16, "NA")</f>
        <v>NA</v>
      </c>
      <c r="F15" s="130" t="e">
        <f t="shared" ca="1" si="2"/>
        <v>#N/A</v>
      </c>
      <c r="G15" s="131" t="str">
        <f ca="1">IFERROR(F15/F16, "NA")</f>
        <v>NA</v>
      </c>
      <c r="H15" s="130" t="e">
        <f t="shared" ca="1" si="3"/>
        <v>#N/A</v>
      </c>
      <c r="I15" s="131" t="str">
        <f ca="1">IFERROR(H15/H16, "NA")</f>
        <v>NA</v>
      </c>
      <c r="J15" s="130" t="e">
        <f ca="1">+H15+F15+D15+B15+#REF!</f>
        <v>#N/A</v>
      </c>
      <c r="K15" s="131" t="str">
        <f ca="1">IFERROR(J15/J16, "NA")</f>
        <v>NA</v>
      </c>
    </row>
    <row r="16" spans="1:13" ht="16.5" customHeight="1">
      <c r="A16" s="133" t="s">
        <v>25</v>
      </c>
      <c r="B16" s="134">
        <f t="shared" ca="1" si="0"/>
        <v>44110.16</v>
      </c>
      <c r="C16" s="135">
        <f ca="1">IFERROR(B16/B16, "NA")</f>
        <v>1</v>
      </c>
      <c r="D16" s="134">
        <f t="shared" ca="1" si="1"/>
        <v>26951.39</v>
      </c>
      <c r="E16" s="135">
        <f ca="1">IFERROR(D16/D16, "NA")</f>
        <v>1</v>
      </c>
      <c r="F16" s="134">
        <f t="shared" ca="1" si="2"/>
        <v>28077.239999999998</v>
      </c>
      <c r="G16" s="135">
        <f ca="1">IFERROR(F16/F16, "NA")</f>
        <v>1</v>
      </c>
      <c r="H16" s="134">
        <f t="shared" ca="1" si="3"/>
        <v>22603.070000000003</v>
      </c>
      <c r="I16" s="135">
        <f ca="1">IFERROR(H16/H16, "NA")</f>
        <v>1</v>
      </c>
      <c r="J16" s="134">
        <f ca="1">+H16+F16+D16+B16</f>
        <v>121741.86</v>
      </c>
      <c r="K16" s="135">
        <f ca="1">IFERROR(J16/J16, "NA")</f>
        <v>1</v>
      </c>
    </row>
    <row r="17" spans="1:13" ht="3.75" customHeight="1">
      <c r="A17" s="136" t="s">
        <v>3</v>
      </c>
      <c r="B17" s="137"/>
      <c r="C17" s="138"/>
      <c r="D17" s="137"/>
      <c r="E17" s="138"/>
      <c r="F17" s="137"/>
      <c r="G17" s="138"/>
      <c r="H17" s="137"/>
      <c r="I17" s="138"/>
      <c r="J17" s="137"/>
      <c r="K17" s="138"/>
    </row>
    <row r="18" spans="1:13" ht="16.5" customHeight="1">
      <c r="A18" s="126" t="s">
        <v>26</v>
      </c>
      <c r="B18" s="127"/>
      <c r="C18" s="128"/>
      <c r="D18" s="127"/>
      <c r="E18" s="128"/>
      <c r="F18" s="127"/>
      <c r="G18" s="128"/>
      <c r="H18" s="127"/>
      <c r="I18" s="128"/>
      <c r="J18" s="127"/>
      <c r="K18" s="128"/>
    </row>
    <row r="19" spans="1:13" ht="16.5" customHeight="1">
      <c r="A19" s="139" t="s">
        <v>27</v>
      </c>
      <c r="B19" s="127"/>
      <c r="C19" s="128"/>
      <c r="D19" s="127"/>
      <c r="E19" s="128"/>
      <c r="F19" s="127"/>
      <c r="G19" s="128"/>
      <c r="H19" s="127"/>
      <c r="I19" s="128"/>
      <c r="J19" s="127"/>
      <c r="K19" s="128"/>
    </row>
    <row r="20" spans="1:13" ht="16.5" hidden="1" customHeight="1">
      <c r="A20" s="140" t="s">
        <v>28</v>
      </c>
      <c r="B20" s="130"/>
      <c r="C20" s="131"/>
      <c r="D20" s="130"/>
      <c r="E20" s="131"/>
      <c r="F20" s="130"/>
      <c r="G20" s="131"/>
      <c r="H20" s="130"/>
      <c r="I20" s="131"/>
      <c r="J20" s="130"/>
      <c r="K20" s="131"/>
    </row>
    <row r="21" spans="1:13" ht="16.5" customHeight="1">
      <c r="A21" s="141" t="s">
        <v>29</v>
      </c>
      <c r="B21" s="127"/>
      <c r="C21" s="128"/>
      <c r="D21" s="127"/>
      <c r="E21" s="128"/>
      <c r="F21" s="127"/>
      <c r="G21" s="128"/>
      <c r="H21" s="127"/>
      <c r="I21" s="128"/>
      <c r="J21" s="127"/>
      <c r="K21" s="128"/>
    </row>
    <row r="22" spans="1:13" ht="16.5" hidden="1" customHeight="1">
      <c r="A22" s="142" t="s">
        <v>30</v>
      </c>
      <c r="B22" s="130">
        <f t="shared" ref="B22:B34" ca="1" si="4">INDEX(INDIRECT("'"&amp;B$4&amp;"'!$1:$1048576"),MATCH($A22,INDIRECT("'"&amp;B$4&amp;"'!$A:$A"),0),MATCH($A$2,INDIRECT("'"&amp;B$4&amp;"'!$5:$5"),0))</f>
        <v>0</v>
      </c>
      <c r="C22" s="131">
        <f ca="1">IFERROR(B22/B16, "NA")</f>
        <v>0</v>
      </c>
      <c r="D22" s="130">
        <f t="shared" ref="D22:D34" ca="1" si="5">INDEX(INDIRECT("'"&amp;D$4&amp;"'!$1:$1048576"),MATCH($A22,INDIRECT("'"&amp;D$4&amp;"'!$A:$A"),0),MATCH($A$2,INDIRECT("'"&amp;D$4&amp;"'!$5:$5"),0))</f>
        <v>0</v>
      </c>
      <c r="E22" s="131">
        <f ca="1">IFERROR(D22/D16, "NA")</f>
        <v>0</v>
      </c>
      <c r="F22" s="130">
        <f t="shared" ref="F22:F34" ca="1" si="6">INDEX(INDIRECT("'"&amp;F$4&amp;"'!$1:$1048576"),MATCH($A22,INDIRECT("'"&amp;F$4&amp;"'!$A:$A"),0),MATCH($A$2,INDIRECT("'"&amp;F$4&amp;"'!$5:$5"),0))</f>
        <v>0</v>
      </c>
      <c r="G22" s="131">
        <f ca="1">IFERROR(F22/F16, "NA")</f>
        <v>0</v>
      </c>
      <c r="H22" s="130">
        <f t="shared" ref="H22:H34" ca="1" si="7">INDEX(INDIRECT("'"&amp;H$4&amp;"'!$1:$1048576"),MATCH($A22,INDIRECT("'"&amp;H$4&amp;"'!$A:$A"),0),MATCH($A$2,INDIRECT("'"&amp;H$4&amp;"'!$5:$5"),0))</f>
        <v>0</v>
      </c>
      <c r="I22" s="131">
        <f ca="1">IFERROR(H22/H16, "NA")</f>
        <v>0</v>
      </c>
      <c r="J22" s="130"/>
      <c r="K22" s="131">
        <f ca="1">IFERROR(J22/J16, "NA")</f>
        <v>0</v>
      </c>
    </row>
    <row r="23" spans="1:13" ht="16.5" customHeight="1">
      <c r="A23" s="142" t="s">
        <v>31</v>
      </c>
      <c r="B23" s="130">
        <f t="shared" ca="1" si="4"/>
        <v>1828.28</v>
      </c>
      <c r="C23" s="131">
        <f ca="1">IFERROR(B23/B16, "NA")</f>
        <v>4.1448047343287803E-2</v>
      </c>
      <c r="D23" s="130">
        <f t="shared" ca="1" si="5"/>
        <v>923.91</v>
      </c>
      <c r="E23" s="131">
        <f ca="1">IFERROR(D23/D16, "NA")</f>
        <v>3.428060667742925E-2</v>
      </c>
      <c r="F23" s="130">
        <f t="shared" ca="1" si="6"/>
        <v>887.71</v>
      </c>
      <c r="G23" s="131">
        <f ca="1">IFERROR(F23/F16, "NA")</f>
        <v>3.1616711614104523E-2</v>
      </c>
      <c r="H23" s="130">
        <f t="shared" ca="1" si="7"/>
        <v>620.80999999999995</v>
      </c>
      <c r="I23" s="131">
        <f ca="1">IFERROR(H23/H16, "NA")</f>
        <v>2.7465738061245658E-2</v>
      </c>
      <c r="J23" s="143">
        <f t="shared" ref="J23:J34" ca="1" si="8">+H23+F23+D23+B23</f>
        <v>4260.71</v>
      </c>
      <c r="K23" s="131">
        <f ca="1">IFERROR(J23/J16, "NA")</f>
        <v>3.4997904582696533E-2</v>
      </c>
      <c r="L23" s="144"/>
      <c r="M23" s="145"/>
    </row>
    <row r="24" spans="1:13" ht="16.5" customHeight="1">
      <c r="A24" s="142" t="s">
        <v>32</v>
      </c>
      <c r="B24" s="130">
        <f t="shared" ca="1" si="4"/>
        <v>1097.3499999999999</v>
      </c>
      <c r="C24" s="131">
        <f ca="1">IFERROR(B24/B16, "NA")</f>
        <v>2.4877488542322218E-2</v>
      </c>
      <c r="D24" s="130">
        <f t="shared" ca="1" si="5"/>
        <v>715.58</v>
      </c>
      <c r="E24" s="131">
        <f ca="1">IFERROR(D24/D16, "NA")</f>
        <v>2.6550764172089087E-2</v>
      </c>
      <c r="F24" s="130">
        <f t="shared" ca="1" si="6"/>
        <v>801.45</v>
      </c>
      <c r="G24" s="131">
        <f ca="1">IFERROR(F24/F16, "NA")</f>
        <v>2.8544472319928887E-2</v>
      </c>
      <c r="H24" s="130">
        <f t="shared" ca="1" si="7"/>
        <v>625.59</v>
      </c>
      <c r="I24" s="131">
        <f ca="1">IFERROR(H24/H16, "NA")</f>
        <v>2.7677213759015919E-2</v>
      </c>
      <c r="J24" s="143">
        <f t="shared" ca="1" si="8"/>
        <v>3239.97</v>
      </c>
      <c r="K24" s="131">
        <f ca="1">IFERROR(J24/J16, "NA")</f>
        <v>2.6613442574312564E-2</v>
      </c>
      <c r="L24" s="144"/>
      <c r="M24" s="145"/>
    </row>
    <row r="25" spans="1:13" ht="16.5" customHeight="1">
      <c r="A25" s="142" t="s">
        <v>33</v>
      </c>
      <c r="B25" s="130">
        <f t="shared" ca="1" si="4"/>
        <v>1334.53</v>
      </c>
      <c r="C25" s="131">
        <f ca="1">IFERROR(B25/B16, "NA")</f>
        <v>3.0254481053798035E-2</v>
      </c>
      <c r="D25" s="130">
        <f t="shared" ca="1" si="5"/>
        <v>834.53</v>
      </c>
      <c r="E25" s="131">
        <f ca="1">IFERROR(D25/D16, "NA")</f>
        <v>3.0964265664961993E-2</v>
      </c>
      <c r="F25" s="130">
        <f t="shared" ca="1" si="6"/>
        <v>944.58</v>
      </c>
      <c r="G25" s="131">
        <f ca="1">IFERROR(F25/F16, "NA")</f>
        <v>3.3642195600422267E-2</v>
      </c>
      <c r="H25" s="130">
        <f t="shared" ca="1" si="7"/>
        <v>658.77</v>
      </c>
      <c r="I25" s="131">
        <f ca="1">IFERROR(H25/H16, "NA")</f>
        <v>2.9145155945630389E-2</v>
      </c>
      <c r="J25" s="143">
        <f t="shared" ca="1" si="8"/>
        <v>3772.41</v>
      </c>
      <c r="K25" s="131">
        <f ca="1">IFERROR(J25/J16, "NA")</f>
        <v>3.0986958799545199E-2</v>
      </c>
      <c r="L25" s="144"/>
      <c r="M25" s="145"/>
    </row>
    <row r="26" spans="1:13" ht="16.5" customHeight="1">
      <c r="A26" s="142" t="s">
        <v>34</v>
      </c>
      <c r="B26" s="130">
        <f t="shared" ca="1" si="4"/>
        <v>924.27</v>
      </c>
      <c r="C26" s="131">
        <f ca="1">IFERROR(B26/B16, "NA")</f>
        <v>2.0953675978504723E-2</v>
      </c>
      <c r="D26" s="130">
        <f t="shared" ca="1" si="5"/>
        <v>604.47</v>
      </c>
      <c r="E26" s="131">
        <f ca="1">IFERROR(D26/D16, "NA")</f>
        <v>2.2428156766682535E-2</v>
      </c>
      <c r="F26" s="130">
        <f t="shared" ca="1" si="6"/>
        <v>706.48</v>
      </c>
      <c r="G26" s="131">
        <f ca="1">IFERROR(F26/F16, "NA")</f>
        <v>2.5162017349283621E-2</v>
      </c>
      <c r="H26" s="130">
        <f t="shared" ca="1" si="7"/>
        <v>634.34</v>
      </c>
      <c r="I26" s="131">
        <f ca="1">IFERROR(H26/H16, "NA")</f>
        <v>2.8064329314557709E-2</v>
      </c>
      <c r="J26" s="143">
        <f t="shared" ca="1" si="8"/>
        <v>2869.5600000000004</v>
      </c>
      <c r="K26" s="131">
        <f ca="1">IFERROR(J26/J16, "NA")</f>
        <v>2.3570857221994146E-2</v>
      </c>
      <c r="L26" s="144"/>
      <c r="M26" s="145"/>
    </row>
    <row r="27" spans="1:13" ht="16.5" customHeight="1">
      <c r="A27" s="142" t="s">
        <v>35</v>
      </c>
      <c r="B27" s="130">
        <f t="shared" ca="1" si="4"/>
        <v>763.72</v>
      </c>
      <c r="C27" s="131">
        <f ca="1">IFERROR(B27/B16, "NA")</f>
        <v>1.7313924955157722E-2</v>
      </c>
      <c r="D27" s="130">
        <f t="shared" ca="1" si="5"/>
        <v>336.91</v>
      </c>
      <c r="E27" s="131">
        <f ca="1">IFERROR(D27/D16, "NA")</f>
        <v>1.2500653955139236E-2</v>
      </c>
      <c r="F27" s="130">
        <f t="shared" ca="1" si="6"/>
        <v>342.37</v>
      </c>
      <c r="G27" s="131">
        <f ca="1">IFERROR(F27/F16, "NA")</f>
        <v>1.2193862359690626E-2</v>
      </c>
      <c r="H27" s="130">
        <f t="shared" ca="1" si="7"/>
        <v>341.56</v>
      </c>
      <c r="I27" s="131">
        <f ca="1">IFERROR(H27/H16, "NA")</f>
        <v>1.5111221617240487E-2</v>
      </c>
      <c r="J27" s="143">
        <f t="shared" ca="1" si="8"/>
        <v>1784.5600000000002</v>
      </c>
      <c r="K27" s="131">
        <f ca="1">IFERROR(J27/J16, "NA")</f>
        <v>1.4658557048495892E-2</v>
      </c>
      <c r="L27" s="144"/>
      <c r="M27" s="145"/>
    </row>
    <row r="28" spans="1:13" ht="16.5" customHeight="1">
      <c r="A28" s="142" t="s">
        <v>36</v>
      </c>
      <c r="B28" s="130">
        <f t="shared" ca="1" si="4"/>
        <v>338.99</v>
      </c>
      <c r="C28" s="131">
        <f ca="1">IFERROR(B28/B16, "NA")</f>
        <v>7.6850775422260993E-3</v>
      </c>
      <c r="D28" s="130">
        <f t="shared" ca="1" si="5"/>
        <v>158.71</v>
      </c>
      <c r="E28" s="131">
        <f ca="1">IFERROR(D28/D16, "NA")</f>
        <v>5.8887500793094539E-3</v>
      </c>
      <c r="F28" s="130">
        <f t="shared" ca="1" si="6"/>
        <v>167.84</v>
      </c>
      <c r="G28" s="131">
        <f ca="1">IFERROR(F28/F16, "NA")</f>
        <v>5.9777955383078967E-3</v>
      </c>
      <c r="H28" s="130">
        <f t="shared" ca="1" si="7"/>
        <v>147.18</v>
      </c>
      <c r="I28" s="131">
        <f ca="1">IFERROR(H28/H16, "NA")</f>
        <v>6.5115048531018127E-3</v>
      </c>
      <c r="J28" s="143">
        <f t="shared" ca="1" si="8"/>
        <v>812.72</v>
      </c>
      <c r="K28" s="131">
        <f ca="1">IFERROR(J28/J16, "NA")</f>
        <v>6.675764605535023E-3</v>
      </c>
      <c r="L28" s="144"/>
      <c r="M28" s="145"/>
    </row>
    <row r="29" spans="1:13" ht="16.5" customHeight="1">
      <c r="A29" s="142" t="s">
        <v>37</v>
      </c>
      <c r="B29" s="130">
        <f t="shared" ca="1" si="4"/>
        <v>0</v>
      </c>
      <c r="C29" s="131">
        <f ca="1">IFERROR(B29/B16, "NA")</f>
        <v>0</v>
      </c>
      <c r="D29" s="130">
        <f t="shared" ca="1" si="5"/>
        <v>0</v>
      </c>
      <c r="E29" s="131">
        <f ca="1">IFERROR(D29/D16, "NA")</f>
        <v>0</v>
      </c>
      <c r="F29" s="130">
        <f t="shared" ca="1" si="6"/>
        <v>0</v>
      </c>
      <c r="G29" s="131">
        <f ca="1">IFERROR(F29/F16, "NA")</f>
        <v>0</v>
      </c>
      <c r="H29" s="130">
        <f t="shared" ca="1" si="7"/>
        <v>0</v>
      </c>
      <c r="I29" s="131">
        <f ca="1">IFERROR(H29/H16, "NA")</f>
        <v>0</v>
      </c>
      <c r="J29" s="143">
        <f t="shared" ca="1" si="8"/>
        <v>0</v>
      </c>
      <c r="K29" s="131">
        <f ca="1">IFERROR(J29/J16, "NA")</f>
        <v>0</v>
      </c>
      <c r="L29" s="144"/>
      <c r="M29" s="145"/>
    </row>
    <row r="30" spans="1:13" ht="16.5" customHeight="1">
      <c r="A30" s="142" t="s">
        <v>38</v>
      </c>
      <c r="B30" s="130">
        <f t="shared" ca="1" si="4"/>
        <v>282.38</v>
      </c>
      <c r="C30" s="131">
        <f ca="1">IFERROR(B30/B16, "NA")</f>
        <v>6.4016997444579652E-3</v>
      </c>
      <c r="D30" s="130">
        <f t="shared" ca="1" si="5"/>
        <v>-619.03</v>
      </c>
      <c r="E30" s="131">
        <f ca="1">IFERROR(D30/D16, "NA")</f>
        <v>-2.2968388643405776E-2</v>
      </c>
      <c r="F30" s="130">
        <f t="shared" ca="1" si="6"/>
        <v>60.71</v>
      </c>
      <c r="G30" s="131">
        <f ca="1">IFERROR(F30/F16, "NA")</f>
        <v>2.1622495658405174E-3</v>
      </c>
      <c r="H30" s="130">
        <f t="shared" ca="1" si="7"/>
        <v>92</v>
      </c>
      <c r="I30" s="131">
        <f ca="1">IFERROR(H30/H16, "NA")</f>
        <v>4.0702435554108348E-3</v>
      </c>
      <c r="J30" s="143">
        <f t="shared" ca="1" si="8"/>
        <v>-183.93999999999994</v>
      </c>
      <c r="K30" s="131">
        <f ca="1">IFERROR(J30/J16, "NA")</f>
        <v>-1.5109018377080811E-3</v>
      </c>
      <c r="L30" s="144"/>
      <c r="M30" s="145"/>
    </row>
    <row r="31" spans="1:13" ht="16.5" customHeight="1">
      <c r="A31" s="142" t="s">
        <v>39</v>
      </c>
      <c r="B31" s="130">
        <f t="shared" ca="1" si="4"/>
        <v>2216.1999999999998</v>
      </c>
      <c r="C31" s="131">
        <f ca="1">IFERROR(B31/B16, "NA")</f>
        <v>5.0242393135731082E-2</v>
      </c>
      <c r="D31" s="130">
        <f t="shared" ca="1" si="5"/>
        <v>1680.19</v>
      </c>
      <c r="E31" s="131">
        <f ca="1">IFERROR(D31/D16, "NA")</f>
        <v>6.2341497043380698E-2</v>
      </c>
      <c r="F31" s="130">
        <f t="shared" ca="1" si="6"/>
        <v>1798.09</v>
      </c>
      <c r="G31" s="131">
        <f ca="1">IFERROR(F31/F16, "NA")</f>
        <v>6.4040838771902087E-2</v>
      </c>
      <c r="H31" s="130">
        <f t="shared" ca="1" si="7"/>
        <v>1316.19</v>
      </c>
      <c r="I31" s="131">
        <f ca="1">IFERROR(H31/H16, "NA")</f>
        <v>5.8230585491262907E-2</v>
      </c>
      <c r="J31" s="143">
        <f t="shared" ca="1" si="8"/>
        <v>7010.6699999999992</v>
      </c>
      <c r="K31" s="131">
        <f ca="1">IFERROR(J31/J16, "NA")</f>
        <v>5.7586355260220268E-2</v>
      </c>
      <c r="L31" s="144"/>
      <c r="M31" s="145"/>
    </row>
    <row r="32" spans="1:13" ht="16.5" hidden="1" customHeight="1">
      <c r="A32" s="142" t="s">
        <v>40</v>
      </c>
      <c r="B32" s="130">
        <f t="shared" ca="1" si="4"/>
        <v>0</v>
      </c>
      <c r="C32" s="131">
        <f ca="1">IFERROR(B32/B16, "NA")</f>
        <v>0</v>
      </c>
      <c r="D32" s="130">
        <f t="shared" ca="1" si="5"/>
        <v>0</v>
      </c>
      <c r="E32" s="131">
        <f ca="1">IFERROR(D32/D16, "NA")</f>
        <v>0</v>
      </c>
      <c r="F32" s="130">
        <f t="shared" ca="1" si="6"/>
        <v>0</v>
      </c>
      <c r="G32" s="131">
        <f ca="1">IFERROR(F32/F16, "NA")</f>
        <v>0</v>
      </c>
      <c r="H32" s="130">
        <f t="shared" ca="1" si="7"/>
        <v>0</v>
      </c>
      <c r="I32" s="131">
        <f ca="1">IFERROR(H32/H16, "NA")</f>
        <v>0</v>
      </c>
      <c r="J32" s="143">
        <f t="shared" ca="1" si="8"/>
        <v>0</v>
      </c>
      <c r="K32" s="131">
        <f ca="1">IFERROR(J32/J16, "NA")</f>
        <v>0</v>
      </c>
      <c r="L32" s="144"/>
      <c r="M32" s="145"/>
    </row>
    <row r="33" spans="1:13" ht="16.5" customHeight="1">
      <c r="A33" s="142" t="s">
        <v>41</v>
      </c>
      <c r="B33" s="130">
        <f t="shared" ca="1" si="4"/>
        <v>0</v>
      </c>
      <c r="C33" s="131">
        <f ca="1">IFERROR(B33/B16, "NA")</f>
        <v>0</v>
      </c>
      <c r="D33" s="130">
        <f t="shared" ca="1" si="5"/>
        <v>0</v>
      </c>
      <c r="E33" s="131">
        <f ca="1">IFERROR(D33/D16, "NA")</f>
        <v>0</v>
      </c>
      <c r="F33" s="130">
        <f t="shared" ca="1" si="6"/>
        <v>0</v>
      </c>
      <c r="G33" s="131">
        <f ca="1">IFERROR(F33/F16, "NA")</f>
        <v>0</v>
      </c>
      <c r="H33" s="130">
        <f t="shared" ca="1" si="7"/>
        <v>0</v>
      </c>
      <c r="I33" s="131">
        <f ca="1">IFERROR(H33/H16, "NA")</f>
        <v>0</v>
      </c>
      <c r="J33" s="143">
        <f t="shared" ca="1" si="8"/>
        <v>0</v>
      </c>
      <c r="K33" s="131">
        <f ca="1">IFERROR(J33/J16, "NA")</f>
        <v>0</v>
      </c>
      <c r="L33" s="144"/>
      <c r="M33" s="145"/>
    </row>
    <row r="34" spans="1:13" ht="16.5" customHeight="1">
      <c r="A34" s="146" t="s">
        <v>42</v>
      </c>
      <c r="B34" s="134">
        <f t="shared" ca="1" si="4"/>
        <v>8785.7200000000012</v>
      </c>
      <c r="C34" s="135">
        <f ca="1">IFERROR(B34/B16, "NA")</f>
        <v>0.19917678829548568</v>
      </c>
      <c r="D34" s="134">
        <f t="shared" ca="1" si="5"/>
        <v>4635.2700000000004</v>
      </c>
      <c r="E34" s="135">
        <f ca="1">IFERROR(D34/D16, "NA")</f>
        <v>0.17198630571558648</v>
      </c>
      <c r="F34" s="134">
        <f t="shared" ca="1" si="6"/>
        <v>5709.2300000000005</v>
      </c>
      <c r="G34" s="135">
        <f ca="1">IFERROR(F34/F16, "NA")</f>
        <v>0.20334014311948043</v>
      </c>
      <c r="H34" s="134">
        <f t="shared" ca="1" si="7"/>
        <v>4436.4400000000005</v>
      </c>
      <c r="I34" s="135">
        <f ca="1">IFERROR(H34/H16, "NA")</f>
        <v>0.19627599259746573</v>
      </c>
      <c r="J34" s="134">
        <f t="shared" ca="1" si="8"/>
        <v>23566.660000000003</v>
      </c>
      <c r="K34" s="135">
        <f ca="1">IFERROR(J34/J16, "NA")</f>
        <v>0.19357893825509159</v>
      </c>
      <c r="L34" s="144"/>
      <c r="M34" s="145"/>
    </row>
    <row r="35" spans="1:13" ht="16.5" customHeight="1">
      <c r="A35" s="141" t="s">
        <v>43</v>
      </c>
      <c r="B35" s="127"/>
      <c r="C35" s="128"/>
      <c r="D35" s="127"/>
      <c r="E35" s="128"/>
      <c r="F35" s="127"/>
      <c r="G35" s="128"/>
      <c r="H35" s="127"/>
      <c r="I35" s="128"/>
      <c r="J35" s="127"/>
      <c r="K35" s="128"/>
    </row>
    <row r="36" spans="1:13" ht="16.5" hidden="1" customHeight="1">
      <c r="A36" s="142" t="s">
        <v>44</v>
      </c>
      <c r="B36" s="130">
        <f t="shared" ref="B36:B42" ca="1" si="9">INDEX(INDIRECT("'"&amp;B$4&amp;"'!$1:$1048576"),MATCH($A36,INDIRECT("'"&amp;B$4&amp;"'!$A:$A"),0),MATCH($A$2,INDIRECT("'"&amp;B$4&amp;"'!$5:$5"),0))</f>
        <v>0</v>
      </c>
      <c r="C36" s="131">
        <f ca="1">IFERROR(B36/B16, "NA")</f>
        <v>0</v>
      </c>
      <c r="D36" s="130">
        <f t="shared" ref="D36:D42" ca="1" si="10">INDEX(INDIRECT("'"&amp;D$4&amp;"'!$1:$1048576"),MATCH($A36,INDIRECT("'"&amp;D$4&amp;"'!$A:$A"),0),MATCH($A$2,INDIRECT("'"&amp;D$4&amp;"'!$5:$5"),0))</f>
        <v>0</v>
      </c>
      <c r="E36" s="131">
        <f ca="1">IFERROR(D36/D16, "NA")</f>
        <v>0</v>
      </c>
      <c r="F36" s="130">
        <f t="shared" ref="F36:F42" ca="1" si="11">INDEX(INDIRECT("'"&amp;F$4&amp;"'!$1:$1048576"),MATCH($A36,INDIRECT("'"&amp;F$4&amp;"'!$A:$A"),0),MATCH($A$2,INDIRECT("'"&amp;F$4&amp;"'!$5:$5"),0))</f>
        <v>0</v>
      </c>
      <c r="G36" s="131">
        <f ca="1">IFERROR(F36/F16, "NA")</f>
        <v>0</v>
      </c>
      <c r="H36" s="130">
        <f t="shared" ref="H36:H42" ca="1" si="12">INDEX(INDIRECT("'"&amp;H$4&amp;"'!$1:$1048576"),MATCH($A36,INDIRECT("'"&amp;H$4&amp;"'!$A:$A"),0),MATCH($A$2,INDIRECT("'"&amp;H$4&amp;"'!$5:$5"),0))</f>
        <v>0</v>
      </c>
      <c r="I36" s="131">
        <f ca="1">IFERROR(H36/H16, "NA")</f>
        <v>0</v>
      </c>
      <c r="J36" s="130"/>
      <c r="K36" s="131">
        <f ca="1">IFERROR(J36/J16, "NA")</f>
        <v>0</v>
      </c>
    </row>
    <row r="37" spans="1:13" ht="16.5" customHeight="1">
      <c r="A37" s="142" t="s">
        <v>45</v>
      </c>
      <c r="B37" s="130">
        <f t="shared" ca="1" si="9"/>
        <v>347.2</v>
      </c>
      <c r="C37" s="131">
        <f ca="1">IFERROR(B37/B16, "NA")</f>
        <v>7.8712024621991842E-3</v>
      </c>
      <c r="D37" s="130">
        <f t="shared" ca="1" si="10"/>
        <v>322.70999999999998</v>
      </c>
      <c r="E37" s="131">
        <f ca="1">IFERROR(D37/D16, "NA")</f>
        <v>1.1973779459983324E-2</v>
      </c>
      <c r="F37" s="130">
        <f t="shared" ca="1" si="11"/>
        <v>295.60000000000002</v>
      </c>
      <c r="G37" s="131">
        <f ca="1">IFERROR(F37/F16, "NA")</f>
        <v>1.0528100340346845E-2</v>
      </c>
      <c r="H37" s="130">
        <f t="shared" ca="1" si="12"/>
        <v>235.09</v>
      </c>
      <c r="I37" s="131">
        <f ca="1">IFERROR(H37/H16, "NA")</f>
        <v>1.0400799537407969E-2</v>
      </c>
      <c r="J37" s="143">
        <f t="shared" ref="J37:J42" ca="1" si="13">+H37+F37+D37+B37</f>
        <v>1200.6000000000001</v>
      </c>
      <c r="K37" s="131">
        <f ca="1">IFERROR(J37/J16, "NA")</f>
        <v>9.8618503117990815E-3</v>
      </c>
    </row>
    <row r="38" spans="1:13" ht="16.5" customHeight="1">
      <c r="A38" s="142" t="s">
        <v>46</v>
      </c>
      <c r="B38" s="130">
        <f t="shared" ca="1" si="9"/>
        <v>13.7</v>
      </c>
      <c r="C38" s="131">
        <f ca="1">IFERROR(B38/B16, "NA")</f>
        <v>3.1058604185520974E-4</v>
      </c>
      <c r="D38" s="130">
        <f t="shared" ca="1" si="10"/>
        <v>27.36</v>
      </c>
      <c r="E38" s="131">
        <f ca="1">IFERROR(D38/D16, "NA")</f>
        <v>1.0151609991172997E-3</v>
      </c>
      <c r="F38" s="130">
        <f t="shared" ca="1" si="11"/>
        <v>-4.87</v>
      </c>
      <c r="G38" s="131">
        <f ca="1">IFERROR(F38/F16, "NA")</f>
        <v>-1.7345009694685093E-4</v>
      </c>
      <c r="H38" s="130">
        <f t="shared" ca="1" si="12"/>
        <v>9.98</v>
      </c>
      <c r="I38" s="131">
        <f ca="1">IFERROR(H38/H16, "NA")</f>
        <v>4.4153294220652321E-4</v>
      </c>
      <c r="J38" s="143">
        <f t="shared" ca="1" si="13"/>
        <v>46.17</v>
      </c>
      <c r="K38" s="131">
        <f ca="1">IFERROR(J38/J16, "NA")</f>
        <v>3.7924506821236344E-4</v>
      </c>
    </row>
    <row r="39" spans="1:13" ht="16.5" customHeight="1">
      <c r="A39" s="142" t="s">
        <v>47</v>
      </c>
      <c r="B39" s="130">
        <f t="shared" ca="1" si="9"/>
        <v>1.59</v>
      </c>
      <c r="C39" s="131">
        <f ca="1">IFERROR(B39/B16, "NA")</f>
        <v>3.6046117266407556E-5</v>
      </c>
      <c r="D39" s="130">
        <f t="shared" ca="1" si="10"/>
        <v>0</v>
      </c>
      <c r="E39" s="131">
        <f ca="1">IFERROR(D39/D16, "NA")</f>
        <v>0</v>
      </c>
      <c r="F39" s="130">
        <f t="shared" ca="1" si="11"/>
        <v>-29.9</v>
      </c>
      <c r="G39" s="131">
        <f ca="1">IFERROR(F39/F16, "NA")</f>
        <v>-1.0649194863882633E-3</v>
      </c>
      <c r="H39" s="130">
        <f t="shared" ca="1" si="12"/>
        <v>0</v>
      </c>
      <c r="I39" s="131">
        <f ca="1">IFERROR(H39/H16, "NA")</f>
        <v>0</v>
      </c>
      <c r="J39" s="143">
        <f t="shared" ca="1" si="13"/>
        <v>-28.31</v>
      </c>
      <c r="K39" s="131">
        <f ca="1">IFERROR(J39/J16, "NA")</f>
        <v>-2.3254121466519402E-4</v>
      </c>
    </row>
    <row r="40" spans="1:13" ht="16.5" customHeight="1">
      <c r="A40" s="142" t="s">
        <v>48</v>
      </c>
      <c r="B40" s="130">
        <f t="shared" ca="1" si="9"/>
        <v>14.34</v>
      </c>
      <c r="C40" s="131">
        <f ca="1">IFERROR(B40/B16, "NA")</f>
        <v>3.2509517081778891E-4</v>
      </c>
      <c r="D40" s="130">
        <f t="shared" ca="1" si="10"/>
        <v>0</v>
      </c>
      <c r="E40" s="131">
        <f ca="1">IFERROR(D40/D16, "NA")</f>
        <v>0</v>
      </c>
      <c r="F40" s="130">
        <f t="shared" ca="1" si="11"/>
        <v>0</v>
      </c>
      <c r="G40" s="131">
        <f ca="1">IFERROR(F40/F16, "NA")</f>
        <v>0</v>
      </c>
      <c r="H40" s="130">
        <f t="shared" ca="1" si="12"/>
        <v>0</v>
      </c>
      <c r="I40" s="131">
        <f ca="1">IFERROR(H40/H16, "NA")</f>
        <v>0</v>
      </c>
      <c r="J40" s="143">
        <f t="shared" ca="1" si="13"/>
        <v>14.34</v>
      </c>
      <c r="K40" s="131">
        <f ca="1">IFERROR(J40/J16, "NA")</f>
        <v>1.1779021611794004E-4</v>
      </c>
    </row>
    <row r="41" spans="1:13" ht="16.5" customHeight="1">
      <c r="A41" s="146" t="s">
        <v>49</v>
      </c>
      <c r="B41" s="134">
        <f t="shared" ca="1" si="9"/>
        <v>376.82999999999993</v>
      </c>
      <c r="C41" s="135">
        <f ca="1">IFERROR(B41/B16, "NA")</f>
        <v>8.5429297921385886E-3</v>
      </c>
      <c r="D41" s="134">
        <f t="shared" ca="1" si="10"/>
        <v>350.07</v>
      </c>
      <c r="E41" s="135">
        <f ca="1">IFERROR(D41/D16, "NA")</f>
        <v>1.2988940459100625E-2</v>
      </c>
      <c r="F41" s="134">
        <f t="shared" ca="1" si="11"/>
        <v>260.83000000000004</v>
      </c>
      <c r="G41" s="135">
        <f ca="1">IFERROR(F41/F16, "NA")</f>
        <v>9.2897307570117306E-3</v>
      </c>
      <c r="H41" s="134">
        <f t="shared" ca="1" si="12"/>
        <v>245.07</v>
      </c>
      <c r="I41" s="135">
        <f ca="1">IFERROR(H41/H16, "NA")</f>
        <v>1.0842332479614494E-2</v>
      </c>
      <c r="J41" s="143">
        <f t="shared" ca="1" si="13"/>
        <v>1232.8</v>
      </c>
      <c r="K41" s="135">
        <f ca="1">IFERROR(J41/J16, "NA")</f>
        <v>1.0126344381464189E-2</v>
      </c>
    </row>
    <row r="42" spans="1:13" ht="16.5" customHeight="1">
      <c r="A42" s="147" t="s">
        <v>50</v>
      </c>
      <c r="B42" s="134">
        <f t="shared" ca="1" si="9"/>
        <v>9162.5500000000029</v>
      </c>
      <c r="C42" s="135">
        <f ca="1">IFERROR(B42/B16, "NA")</f>
        <v>0.20771971808762429</v>
      </c>
      <c r="D42" s="134">
        <f t="shared" ca="1" si="10"/>
        <v>4985.34</v>
      </c>
      <c r="E42" s="135">
        <f ca="1">IFERROR(D42/D16, "NA")</f>
        <v>0.18497524617468711</v>
      </c>
      <c r="F42" s="134">
        <f t="shared" ca="1" si="11"/>
        <v>5970.0600000000013</v>
      </c>
      <c r="G42" s="135">
        <f ca="1">IFERROR(F42/F16, "NA")</f>
        <v>0.21262987387649221</v>
      </c>
      <c r="H42" s="134">
        <f t="shared" ca="1" si="12"/>
        <v>4681.51</v>
      </c>
      <c r="I42" s="135">
        <f ca="1">IFERROR(H42/H16, "NA")</f>
        <v>0.20711832507708022</v>
      </c>
      <c r="J42" s="134">
        <f t="shared" ca="1" si="13"/>
        <v>24799.460000000006</v>
      </c>
      <c r="K42" s="135">
        <f ca="1">IFERROR(J42/J16, "NA")</f>
        <v>0.2037052826365558</v>
      </c>
    </row>
    <row r="43" spans="1:13" ht="16.5" customHeight="1">
      <c r="A43" s="139" t="s">
        <v>51</v>
      </c>
      <c r="B43" s="127"/>
      <c r="C43" s="128"/>
      <c r="D43" s="127"/>
      <c r="E43" s="128"/>
      <c r="F43" s="127"/>
      <c r="G43" s="128"/>
      <c r="H43" s="127"/>
      <c r="I43" s="128"/>
      <c r="J43" s="127"/>
      <c r="K43" s="128"/>
    </row>
    <row r="44" spans="1:13" ht="16.5" hidden="1" customHeight="1">
      <c r="A44" s="140" t="s">
        <v>52</v>
      </c>
      <c r="B44" s="130"/>
      <c r="C44" s="131"/>
      <c r="D44" s="130"/>
      <c r="E44" s="131"/>
      <c r="F44" s="130"/>
      <c r="G44" s="131"/>
      <c r="H44" s="130"/>
      <c r="I44" s="131"/>
      <c r="J44" s="130"/>
      <c r="K44" s="131"/>
    </row>
    <row r="45" spans="1:13" ht="16.5" customHeight="1">
      <c r="A45" s="141" t="s">
        <v>53</v>
      </c>
      <c r="B45" s="127"/>
      <c r="C45" s="128"/>
      <c r="D45" s="127"/>
      <c r="E45" s="128"/>
      <c r="F45" s="127"/>
      <c r="G45" s="128"/>
      <c r="H45" s="127"/>
      <c r="I45" s="128"/>
      <c r="J45" s="127"/>
      <c r="K45" s="128"/>
    </row>
    <row r="46" spans="1:13" ht="16.5" hidden="1" customHeight="1">
      <c r="A46" s="142" t="s">
        <v>54</v>
      </c>
      <c r="B46" s="130">
        <f t="shared" ref="B46:B51" ca="1" si="14">INDEX(INDIRECT("'"&amp;B$4&amp;"'!$1:$1048576"),MATCH($A46,INDIRECT("'"&amp;B$4&amp;"'!$A:$A"),0),MATCH($A$2,INDIRECT("'"&amp;B$4&amp;"'!$5:$5"),0))</f>
        <v>0</v>
      </c>
      <c r="C46" s="131">
        <f ca="1">IFERROR(B46/B16, "NA")</f>
        <v>0</v>
      </c>
      <c r="D46" s="130">
        <f t="shared" ref="D46:D51" ca="1" si="15">INDEX(INDIRECT("'"&amp;D$4&amp;"'!$1:$1048576"),MATCH($A46,INDIRECT("'"&amp;D$4&amp;"'!$A:$A"),0),MATCH($A$2,INDIRECT("'"&amp;D$4&amp;"'!$5:$5"),0))</f>
        <v>0</v>
      </c>
      <c r="E46" s="131">
        <f ca="1">IFERROR(D46/D16, "NA")</f>
        <v>0</v>
      </c>
      <c r="F46" s="130">
        <f t="shared" ref="F46:F51" ca="1" si="16">INDEX(INDIRECT("'"&amp;F$4&amp;"'!$1:$1048576"),MATCH($A46,INDIRECT("'"&amp;F$4&amp;"'!$A:$A"),0),MATCH($A$2,INDIRECT("'"&amp;F$4&amp;"'!$5:$5"),0))</f>
        <v>0</v>
      </c>
      <c r="G46" s="131">
        <f ca="1">IFERROR(F46/F16, "NA")</f>
        <v>0</v>
      </c>
      <c r="H46" s="130">
        <f t="shared" ref="H46:H51" ca="1" si="17">INDEX(INDIRECT("'"&amp;H$4&amp;"'!$1:$1048576"),MATCH($A46,INDIRECT("'"&amp;H$4&amp;"'!$A:$A"),0),MATCH($A$2,INDIRECT("'"&amp;H$4&amp;"'!$5:$5"),0))</f>
        <v>0</v>
      </c>
      <c r="I46" s="131">
        <f ca="1">IFERROR(H46/H16, "NA")</f>
        <v>0</v>
      </c>
      <c r="J46" s="130"/>
      <c r="K46" s="131">
        <f ca="1">IFERROR(J46/J16, "NA")</f>
        <v>0</v>
      </c>
    </row>
    <row r="47" spans="1:13" ht="16.5" customHeight="1">
      <c r="A47" s="142" t="s">
        <v>55</v>
      </c>
      <c r="B47" s="130">
        <f t="shared" ca="1" si="14"/>
        <v>940.45</v>
      </c>
      <c r="C47" s="131">
        <f ca="1">IFERROR(B47/B16, "NA")</f>
        <v>2.132048489508993E-2</v>
      </c>
      <c r="D47" s="130">
        <f t="shared" ca="1" si="15"/>
        <v>782.3</v>
      </c>
      <c r="E47" s="131">
        <f ca="1">IFERROR(D47/D16, "NA")</f>
        <v>2.9026332222568112E-2</v>
      </c>
      <c r="F47" s="130">
        <f t="shared" ca="1" si="16"/>
        <v>745.4</v>
      </c>
      <c r="G47" s="131">
        <f ca="1">IFERROR(F47/F16, "NA")</f>
        <v>2.6548193483405064E-2</v>
      </c>
      <c r="H47" s="130">
        <f t="shared" ca="1" si="17"/>
        <v>628.97</v>
      </c>
      <c r="I47" s="131">
        <f ca="1">IFERROR(H47/H16, "NA")</f>
        <v>2.7826750967899491E-2</v>
      </c>
      <c r="J47" s="143">
        <f ca="1">+H47+F47+D47+B47</f>
        <v>3097.12</v>
      </c>
      <c r="K47" s="131">
        <f ca="1">IFERROR(J47/J16, "NA")</f>
        <v>2.5440058168981483E-2</v>
      </c>
    </row>
    <row r="48" spans="1:13" ht="16.5" customHeight="1">
      <c r="A48" s="142" t="s">
        <v>56</v>
      </c>
      <c r="B48" s="130">
        <f t="shared" ca="1" si="14"/>
        <v>842.46</v>
      </c>
      <c r="C48" s="131">
        <f ca="1">IFERROR(B48/B16, "NA")</f>
        <v>1.9099001227835036E-2</v>
      </c>
      <c r="D48" s="130">
        <f t="shared" ca="1" si="15"/>
        <v>432.75</v>
      </c>
      <c r="E48" s="131">
        <f ca="1">IFERROR(D48/D16, "NA")</f>
        <v>1.6056685759064746E-2</v>
      </c>
      <c r="F48" s="130">
        <f t="shared" ca="1" si="16"/>
        <v>282.13</v>
      </c>
      <c r="G48" s="131">
        <f ca="1">IFERROR(F48/F16, "NA")</f>
        <v>1.0048352330927114E-2</v>
      </c>
      <c r="H48" s="130">
        <f t="shared" ca="1" si="17"/>
        <v>154.06</v>
      </c>
      <c r="I48" s="131">
        <f ca="1">IFERROR(H48/H16, "NA")</f>
        <v>6.8158882842021011E-3</v>
      </c>
      <c r="J48" s="143">
        <f ca="1">+H48+F48+D48+B48</f>
        <v>1711.4</v>
      </c>
      <c r="K48" s="131">
        <f ca="1">IFERROR(J48/J16, "NA")</f>
        <v>1.4057613379654296E-2</v>
      </c>
    </row>
    <row r="49" spans="1:11" ht="16.5" hidden="1" customHeight="1">
      <c r="A49" s="142" t="s">
        <v>57</v>
      </c>
      <c r="B49" s="130">
        <f t="shared" ca="1" si="14"/>
        <v>0</v>
      </c>
      <c r="C49" s="131">
        <f ca="1">IFERROR(B49/B16, "NA")</f>
        <v>0</v>
      </c>
      <c r="D49" s="130">
        <f t="shared" ca="1" si="15"/>
        <v>0</v>
      </c>
      <c r="E49" s="131">
        <f ca="1">IFERROR(D49/D16, "NA")</f>
        <v>0</v>
      </c>
      <c r="F49" s="130">
        <f t="shared" ca="1" si="16"/>
        <v>0</v>
      </c>
      <c r="G49" s="131">
        <f ca="1">IFERROR(F49/F16, "NA")</f>
        <v>0</v>
      </c>
      <c r="H49" s="130">
        <f t="shared" ca="1" si="17"/>
        <v>0</v>
      </c>
      <c r="I49" s="131">
        <f ca="1">IFERROR(H49/H16, "NA")</f>
        <v>0</v>
      </c>
      <c r="J49" s="134">
        <f ca="1">+H49+F49+D49+B49</f>
        <v>0</v>
      </c>
      <c r="K49" s="131">
        <f ca="1">IFERROR(J49/J16, "NA")</f>
        <v>0</v>
      </c>
    </row>
    <row r="50" spans="1:11" ht="16.5" hidden="1" customHeight="1">
      <c r="A50" s="142" t="s">
        <v>58</v>
      </c>
      <c r="B50" s="130">
        <f t="shared" ca="1" si="14"/>
        <v>0</v>
      </c>
      <c r="C50" s="131">
        <f ca="1">IFERROR(B50/B16, "NA")</f>
        <v>0</v>
      </c>
      <c r="D50" s="130">
        <f t="shared" ca="1" si="15"/>
        <v>0</v>
      </c>
      <c r="E50" s="131">
        <f ca="1">IFERROR(D50/D16, "NA")</f>
        <v>0</v>
      </c>
      <c r="F50" s="130">
        <f t="shared" ca="1" si="16"/>
        <v>0</v>
      </c>
      <c r="G50" s="131">
        <f ca="1">IFERROR(F50/F16, "NA")</f>
        <v>0</v>
      </c>
      <c r="H50" s="130">
        <f t="shared" ca="1" si="17"/>
        <v>0</v>
      </c>
      <c r="I50" s="131">
        <f ca="1">IFERROR(H50/H16, "NA")</f>
        <v>0</v>
      </c>
      <c r="J50" s="134">
        <f ca="1">+H50+F50+D50+B50</f>
        <v>0</v>
      </c>
      <c r="K50" s="131">
        <f ca="1">IFERROR(J50/J16, "NA")</f>
        <v>0</v>
      </c>
    </row>
    <row r="51" spans="1:11" ht="16.5" customHeight="1">
      <c r="A51" s="146" t="s">
        <v>59</v>
      </c>
      <c r="B51" s="134">
        <f t="shared" ca="1" si="14"/>
        <v>1782.91</v>
      </c>
      <c r="C51" s="135">
        <f ca="1">IFERROR(B51/B16, "NA")</f>
        <v>4.0419486122924966E-2</v>
      </c>
      <c r="D51" s="134">
        <f t="shared" ca="1" si="15"/>
        <v>1215.05</v>
      </c>
      <c r="E51" s="135">
        <f ca="1">IFERROR(D51/D16, "NA")</f>
        <v>4.5083017981632854E-2</v>
      </c>
      <c r="F51" s="134">
        <f t="shared" ca="1" si="16"/>
        <v>1027.53</v>
      </c>
      <c r="G51" s="135">
        <f ca="1">IFERROR(F51/F16, "NA")</f>
        <v>3.6596545814332179E-2</v>
      </c>
      <c r="H51" s="134">
        <f t="shared" ca="1" si="17"/>
        <v>783.03</v>
      </c>
      <c r="I51" s="135">
        <f ca="1">IFERROR(H51/H16, "NA")</f>
        <v>3.4642639252101586E-2</v>
      </c>
      <c r="J51" s="134">
        <f ca="1">+H51+F51+D51+B51</f>
        <v>4808.5199999999995</v>
      </c>
      <c r="K51" s="135">
        <f ca="1">IFERROR(J51/J16, "NA")</f>
        <v>3.9497671548635774E-2</v>
      </c>
    </row>
    <row r="52" spans="1:11" ht="16.5" customHeight="1">
      <c r="A52" s="141" t="s">
        <v>60</v>
      </c>
      <c r="B52" s="127"/>
      <c r="C52" s="128"/>
      <c r="D52" s="127"/>
      <c r="E52" s="128"/>
      <c r="F52" s="127"/>
      <c r="G52" s="128"/>
      <c r="H52" s="127"/>
      <c r="I52" s="128"/>
      <c r="J52" s="127"/>
      <c r="K52" s="128"/>
    </row>
    <row r="53" spans="1:11" ht="16.5" hidden="1" customHeight="1">
      <c r="A53" s="142" t="s">
        <v>61</v>
      </c>
      <c r="B53" s="130">
        <f t="shared" ref="B53:B64" ca="1" si="18">INDEX(INDIRECT("'"&amp;B$4&amp;"'!$1:$1048576"),MATCH($A53,INDIRECT("'"&amp;B$4&amp;"'!$A:$A"),0),MATCH($A$2,INDIRECT("'"&amp;B$4&amp;"'!$5:$5"),0))</f>
        <v>0</v>
      </c>
      <c r="C53" s="131">
        <f ca="1">IFERROR(B53/B16, "NA")</f>
        <v>0</v>
      </c>
      <c r="D53" s="130">
        <f t="shared" ref="D53:D64" ca="1" si="19">INDEX(INDIRECT("'"&amp;D$4&amp;"'!$1:$1048576"),MATCH($A53,INDIRECT("'"&amp;D$4&amp;"'!$A:$A"),0),MATCH($A$2,INDIRECT("'"&amp;D$4&amp;"'!$5:$5"),0))</f>
        <v>0</v>
      </c>
      <c r="E53" s="131">
        <f ca="1">IFERROR(D53/D16, "NA")</f>
        <v>0</v>
      </c>
      <c r="F53" s="130">
        <f t="shared" ref="F53:F64" ca="1" si="20">INDEX(INDIRECT("'"&amp;F$4&amp;"'!$1:$1048576"),MATCH($A53,INDIRECT("'"&amp;F$4&amp;"'!$A:$A"),0),MATCH($A$2,INDIRECT("'"&amp;F$4&amp;"'!$5:$5"),0))</f>
        <v>0</v>
      </c>
      <c r="G53" s="131">
        <f ca="1">IFERROR(F53/F16, "NA")</f>
        <v>0</v>
      </c>
      <c r="H53" s="130">
        <f t="shared" ref="H53:H64" ca="1" si="21">INDEX(INDIRECT("'"&amp;H$4&amp;"'!$1:$1048576"),MATCH($A53,INDIRECT("'"&amp;H$4&amp;"'!$A:$A"),0),MATCH($A$2,INDIRECT("'"&amp;H$4&amp;"'!$5:$5"),0))</f>
        <v>0</v>
      </c>
      <c r="I53" s="131">
        <f ca="1">IFERROR(H53/H16, "NA")</f>
        <v>0</v>
      </c>
      <c r="J53" s="130"/>
      <c r="K53" s="131">
        <f ca="1">IFERROR(J53/J16, "NA")</f>
        <v>0</v>
      </c>
    </row>
    <row r="54" spans="1:11" ht="16.5" customHeight="1">
      <c r="A54" s="142" t="s">
        <v>62</v>
      </c>
      <c r="B54" s="130">
        <f t="shared" ca="1" si="18"/>
        <v>72.19</v>
      </c>
      <c r="C54" s="131">
        <f ca="1">IFERROR(B54/B16, "NA")</f>
        <v>1.6365844059509191E-3</v>
      </c>
      <c r="D54" s="127">
        <f t="shared" ca="1" si="19"/>
        <v>46.74</v>
      </c>
      <c r="E54" s="135">
        <f ca="1">IFERROR(D54/D16, "NA")</f>
        <v>1.7342333734920539E-3</v>
      </c>
      <c r="F54" s="130">
        <f t="shared" ca="1" si="20"/>
        <v>138.27000000000001</v>
      </c>
      <c r="G54" s="131">
        <f ca="1">IFERROR(F54/F16, "NA")</f>
        <v>4.9246293439098726E-3</v>
      </c>
      <c r="H54" s="130">
        <f t="shared" ca="1" si="21"/>
        <v>109.65</v>
      </c>
      <c r="I54" s="131">
        <f ca="1">IFERROR(H54/H16, "NA")</f>
        <v>4.8511109331608486E-3</v>
      </c>
      <c r="J54" s="134">
        <f t="shared" ref="J54:J64" ca="1" si="22">+H54+F54+D54+B54</f>
        <v>366.85</v>
      </c>
      <c r="K54" s="131">
        <f ca="1">IFERROR(J54/J16, "NA")</f>
        <v>3.0133431508274971E-3</v>
      </c>
    </row>
    <row r="55" spans="1:11" ht="16.5" hidden="1" customHeight="1">
      <c r="A55" s="142" t="s">
        <v>63</v>
      </c>
      <c r="B55" s="130">
        <f t="shared" ca="1" si="18"/>
        <v>0</v>
      </c>
      <c r="C55" s="131">
        <f ca="1">IFERROR(B55/B16, "NA")</f>
        <v>0</v>
      </c>
      <c r="D55" s="130">
        <f t="shared" ca="1" si="19"/>
        <v>0</v>
      </c>
      <c r="E55" s="131">
        <f ca="1">IFERROR(D55/D16, "NA")</f>
        <v>0</v>
      </c>
      <c r="F55" s="130">
        <f t="shared" ca="1" si="20"/>
        <v>0</v>
      </c>
      <c r="G55" s="131">
        <f ca="1">IFERROR(F55/F16, "NA")</f>
        <v>0</v>
      </c>
      <c r="H55" s="130">
        <f t="shared" ca="1" si="21"/>
        <v>0</v>
      </c>
      <c r="I55" s="131">
        <f ca="1">IFERROR(H55/H16, "NA")</f>
        <v>0</v>
      </c>
      <c r="J55" s="134">
        <f t="shared" ca="1" si="22"/>
        <v>0</v>
      </c>
      <c r="K55" s="131">
        <f ca="1">IFERROR(J55/J16, "NA")</f>
        <v>0</v>
      </c>
    </row>
    <row r="56" spans="1:11" ht="16.5" hidden="1" customHeight="1">
      <c r="A56" s="142" t="s">
        <v>64</v>
      </c>
      <c r="B56" s="130">
        <f t="shared" ca="1" si="18"/>
        <v>0</v>
      </c>
      <c r="C56" s="131">
        <f ca="1">IFERROR(B56/B16, "NA")</f>
        <v>0</v>
      </c>
      <c r="D56" s="130">
        <f t="shared" ca="1" si="19"/>
        <v>0</v>
      </c>
      <c r="E56" s="131">
        <f ca="1">IFERROR(D56/D16, "NA")</f>
        <v>0</v>
      </c>
      <c r="F56" s="130">
        <f t="shared" ca="1" si="20"/>
        <v>0</v>
      </c>
      <c r="G56" s="131">
        <f ca="1">IFERROR(F56/F16, "NA")</f>
        <v>0</v>
      </c>
      <c r="H56" s="130">
        <f t="shared" ca="1" si="21"/>
        <v>0</v>
      </c>
      <c r="I56" s="131">
        <f ca="1">IFERROR(H56/H16, "NA")</f>
        <v>0</v>
      </c>
      <c r="J56" s="134">
        <f t="shared" ca="1" si="22"/>
        <v>0</v>
      </c>
      <c r="K56" s="131">
        <f ca="1">IFERROR(J56/J16, "NA")</f>
        <v>0</v>
      </c>
    </row>
    <row r="57" spans="1:11" ht="16.5" hidden="1" customHeight="1">
      <c r="A57" s="142" t="s">
        <v>65</v>
      </c>
      <c r="B57" s="130">
        <f t="shared" ca="1" si="18"/>
        <v>0</v>
      </c>
      <c r="C57" s="131">
        <f ca="1">IFERROR(B57/B16, "NA")</f>
        <v>0</v>
      </c>
      <c r="D57" s="130">
        <f t="shared" ca="1" si="19"/>
        <v>0</v>
      </c>
      <c r="E57" s="131">
        <f ca="1">IFERROR(D57/D16, "NA")</f>
        <v>0</v>
      </c>
      <c r="F57" s="130">
        <f t="shared" ca="1" si="20"/>
        <v>0</v>
      </c>
      <c r="G57" s="131">
        <f ca="1">IFERROR(F57/F16, "NA")</f>
        <v>0</v>
      </c>
      <c r="H57" s="130">
        <f t="shared" ca="1" si="21"/>
        <v>0</v>
      </c>
      <c r="I57" s="131">
        <f ca="1">IFERROR(H57/H16, "NA")</f>
        <v>0</v>
      </c>
      <c r="J57" s="134">
        <f t="shared" ca="1" si="22"/>
        <v>0</v>
      </c>
      <c r="K57" s="131">
        <f ca="1">IFERROR(J57/J16, "NA")</f>
        <v>0</v>
      </c>
    </row>
    <row r="58" spans="1:11" ht="16.5" hidden="1" customHeight="1">
      <c r="A58" s="142" t="s">
        <v>66</v>
      </c>
      <c r="B58" s="130">
        <f t="shared" ca="1" si="18"/>
        <v>0</v>
      </c>
      <c r="C58" s="131">
        <f ca="1">IFERROR(B58/B16, "NA")</f>
        <v>0</v>
      </c>
      <c r="D58" s="130">
        <f t="shared" ca="1" si="19"/>
        <v>0</v>
      </c>
      <c r="E58" s="131">
        <f ca="1">IFERROR(D58/D16, "NA")</f>
        <v>0</v>
      </c>
      <c r="F58" s="130">
        <f t="shared" ca="1" si="20"/>
        <v>0</v>
      </c>
      <c r="G58" s="131">
        <f ca="1">IFERROR(F58/F16, "NA")</f>
        <v>0</v>
      </c>
      <c r="H58" s="130">
        <f t="shared" ca="1" si="21"/>
        <v>0</v>
      </c>
      <c r="I58" s="131">
        <f ca="1">IFERROR(H58/H16, "NA")</f>
        <v>0</v>
      </c>
      <c r="J58" s="134">
        <f t="shared" ca="1" si="22"/>
        <v>0</v>
      </c>
      <c r="K58" s="131">
        <f ca="1">IFERROR(J58/J16, "NA")</f>
        <v>0</v>
      </c>
    </row>
    <row r="59" spans="1:11" ht="16.5" customHeight="1">
      <c r="A59" s="146" t="s">
        <v>67</v>
      </c>
      <c r="B59" s="134">
        <f t="shared" ca="1" si="18"/>
        <v>72.19</v>
      </c>
      <c r="C59" s="135">
        <f ca="1">IFERROR(B59/B16, "NA")</f>
        <v>1.6365844059509191E-3</v>
      </c>
      <c r="D59" s="134">
        <f t="shared" ca="1" si="19"/>
        <v>46.74</v>
      </c>
      <c r="E59" s="135">
        <f ca="1">IFERROR(D59/D16, "NA")</f>
        <v>1.7342333734920539E-3</v>
      </c>
      <c r="F59" s="134">
        <f t="shared" ca="1" si="20"/>
        <v>138.27000000000001</v>
      </c>
      <c r="G59" s="135">
        <f ca="1">IFERROR(F59/F16, "NA")</f>
        <v>4.9246293439098726E-3</v>
      </c>
      <c r="H59" s="134">
        <f t="shared" ca="1" si="21"/>
        <v>109.65</v>
      </c>
      <c r="I59" s="135">
        <f ca="1">IFERROR(H59/H16, "NA")</f>
        <v>4.8511109331608486E-3</v>
      </c>
      <c r="J59" s="134">
        <f t="shared" ca="1" si="22"/>
        <v>366.85</v>
      </c>
      <c r="K59" s="135">
        <f ca="1">IFERROR(J59/J16, "NA")</f>
        <v>3.0133431508274971E-3</v>
      </c>
    </row>
    <row r="60" spans="1:11" ht="21" customHeight="1">
      <c r="A60" s="140" t="s">
        <v>68</v>
      </c>
      <c r="B60" s="130">
        <f t="shared" ca="1" si="18"/>
        <v>18.22</v>
      </c>
      <c r="C60" s="131">
        <f ca="1">IFERROR(B60/B16, "NA")</f>
        <v>4.1305676515342491E-4</v>
      </c>
      <c r="D60" s="130">
        <f t="shared" ca="1" si="19"/>
        <v>134.18</v>
      </c>
      <c r="E60" s="131">
        <f ca="1">IFERROR(D60/D16, "NA")</f>
        <v>4.9785929408464654E-3</v>
      </c>
      <c r="F60" s="130">
        <f t="shared" ca="1" si="20"/>
        <v>14.28</v>
      </c>
      <c r="G60" s="131">
        <f ca="1">IFERROR(F60/F16, "NA")</f>
        <v>5.0859699885031436E-4</v>
      </c>
      <c r="H60" s="130">
        <f t="shared" ca="1" si="21"/>
        <v>28.65</v>
      </c>
      <c r="I60" s="131">
        <f ca="1">IFERROR(H60/H16, "NA")</f>
        <v>1.2675269332882654E-3</v>
      </c>
      <c r="J60" s="143">
        <f t="shared" ca="1" si="22"/>
        <v>195.33</v>
      </c>
      <c r="K60" s="131">
        <f ca="1">IFERROR(J60/J16, "NA")</f>
        <v>1.6044604542759574E-3</v>
      </c>
    </row>
    <row r="61" spans="1:11" ht="16.5" customHeight="1">
      <c r="A61" s="140" t="s">
        <v>69</v>
      </c>
      <c r="B61" s="130">
        <f t="shared" ca="1" si="18"/>
        <v>55</v>
      </c>
      <c r="C61" s="131">
        <f ca="1">IFERROR(B61/B16, "NA")</f>
        <v>1.2468782702216451E-3</v>
      </c>
      <c r="D61" s="130">
        <f t="shared" ca="1" si="19"/>
        <v>24</v>
      </c>
      <c r="E61" s="131">
        <f ca="1">IFERROR(D61/D16, "NA")</f>
        <v>8.904921044888594E-4</v>
      </c>
      <c r="F61" s="130">
        <f t="shared" ca="1" si="20"/>
        <v>36</v>
      </c>
      <c r="G61" s="131">
        <f ca="1">IFERROR(F61/F16, "NA")</f>
        <v>1.2821773080260027E-3</v>
      </c>
      <c r="H61" s="130">
        <f t="shared" ca="1" si="21"/>
        <v>37</v>
      </c>
      <c r="I61" s="131">
        <f ca="1">IFERROR(H61/H16, "NA")</f>
        <v>1.636945777719575E-3</v>
      </c>
      <c r="J61" s="143">
        <f t="shared" ca="1" si="22"/>
        <v>152</v>
      </c>
      <c r="K61" s="131">
        <f ca="1">IFERROR(J61/J16, "NA")</f>
        <v>1.2485434344439948E-3</v>
      </c>
    </row>
    <row r="62" spans="1:11" ht="39" customHeight="1">
      <c r="A62" s="148" t="s">
        <v>70</v>
      </c>
      <c r="B62" s="130">
        <f t="shared" ca="1" si="18"/>
        <v>-459</v>
      </c>
      <c r="C62" s="131">
        <f ca="1">IFERROR(B62/B16, "NA")</f>
        <v>-1.0405765927849728E-2</v>
      </c>
      <c r="D62" s="130">
        <f t="shared" ca="1" si="19"/>
        <v>-342.19</v>
      </c>
      <c r="E62" s="131">
        <f ca="1">IFERROR(D62/D16, "NA")</f>
        <v>-1.2696562218126784E-2</v>
      </c>
      <c r="F62" s="130">
        <f t="shared" ca="1" si="20"/>
        <v>-335.54</v>
      </c>
      <c r="G62" s="131">
        <f ca="1">IFERROR(F62/F16, "NA")</f>
        <v>-1.1950604831529026E-2</v>
      </c>
      <c r="H62" s="130">
        <f t="shared" ca="1" si="21"/>
        <v>-341.95</v>
      </c>
      <c r="I62" s="131">
        <f ca="1">IFERROR(H62/H16, "NA")</f>
        <v>-1.5128475910573208E-2</v>
      </c>
      <c r="J62" s="143">
        <f t="shared" ca="1" si="22"/>
        <v>-1478.68</v>
      </c>
      <c r="K62" s="131">
        <f ca="1">IFERROR(J62/J16, "NA")</f>
        <v>-1.21460276687082E-2</v>
      </c>
    </row>
    <row r="63" spans="1:11" ht="16.5" customHeight="1">
      <c r="A63" s="147" t="s">
        <v>71</v>
      </c>
      <c r="B63" s="134">
        <f t="shared" ca="1" si="18"/>
        <v>1469.3200000000002</v>
      </c>
      <c r="C63" s="135">
        <f ca="1">IFERROR(B63/B16, "NA")</f>
        <v>3.3310239636401229E-2</v>
      </c>
      <c r="D63" s="134">
        <f t="shared" ca="1" si="19"/>
        <v>1077.78</v>
      </c>
      <c r="E63" s="135">
        <f ca="1">IFERROR(D63/D16, "NA")</f>
        <v>3.9989774182333453E-2</v>
      </c>
      <c r="F63" s="134">
        <f t="shared" ca="1" si="20"/>
        <v>880.54</v>
      </c>
      <c r="G63" s="135">
        <f ca="1">IFERROR(F63/F16, "NA")</f>
        <v>3.136134463358934E-2</v>
      </c>
      <c r="H63" s="134">
        <f t="shared" ca="1" si="21"/>
        <v>616.37999999999988</v>
      </c>
      <c r="I63" s="135">
        <f ca="1">IFERROR(H63/H16, "NA")</f>
        <v>2.7269746985697067E-2</v>
      </c>
      <c r="J63" s="134">
        <f t="shared" ca="1" si="22"/>
        <v>4044.02</v>
      </c>
      <c r="K63" s="135">
        <f ca="1">IFERROR(J63/J16, "NA")</f>
        <v>3.3217990919475027E-2</v>
      </c>
    </row>
    <row r="64" spans="1:11" ht="16.5" customHeight="1">
      <c r="A64" s="133" t="s">
        <v>72</v>
      </c>
      <c r="B64" s="149">
        <f t="shared" ca="1" si="18"/>
        <v>10631.870000000003</v>
      </c>
      <c r="C64" s="150">
        <f ca="1">IFERROR(B64/B16, "NA")</f>
        <v>0.24102995772402552</v>
      </c>
      <c r="D64" s="149">
        <f t="shared" ca="1" si="19"/>
        <v>6063.1200000000008</v>
      </c>
      <c r="E64" s="150">
        <f ca="1">IFERROR(D64/D16, "NA")</f>
        <v>0.2249650203570206</v>
      </c>
      <c r="F64" s="149">
        <f t="shared" ca="1" si="20"/>
        <v>6850.6000000000013</v>
      </c>
      <c r="G64" s="150">
        <f ca="1">IFERROR(F64/F16, "NA")</f>
        <v>0.24399121851008154</v>
      </c>
      <c r="H64" s="149">
        <f t="shared" ca="1" si="21"/>
        <v>5297.89</v>
      </c>
      <c r="I64" s="150">
        <f ca="1">IFERROR(H64/H16, "NA")</f>
        <v>0.23438807206277729</v>
      </c>
      <c r="J64" s="149">
        <f t="shared" ca="1" si="22"/>
        <v>28843.480000000003</v>
      </c>
      <c r="K64" s="151">
        <f ca="1">IFERROR(J64/J16, "NA")</f>
        <v>0.23692327355603079</v>
      </c>
    </row>
    <row r="65" spans="1:11" ht="3.75" customHeight="1">
      <c r="A65" s="136" t="s">
        <v>3</v>
      </c>
      <c r="B65" s="137"/>
      <c r="C65" s="138"/>
      <c r="D65" s="137"/>
      <c r="E65" s="138"/>
      <c r="F65" s="137"/>
      <c r="G65" s="138"/>
      <c r="H65" s="137"/>
      <c r="I65" s="138"/>
      <c r="J65" s="137"/>
      <c r="K65" s="138"/>
    </row>
    <row r="66" spans="1:11" ht="16.5" customHeight="1">
      <c r="A66" s="83" t="s">
        <v>73</v>
      </c>
      <c r="B66" s="152">
        <f ca="1">INDEX(INDIRECT("'"&amp;B$4&amp;"'!$1:$1048576"),MATCH($A66,INDIRECT("'"&amp;B$4&amp;"'!$A:$A"),0),MATCH($A$2,INDIRECT("'"&amp;B$4&amp;"'!$5:$5"),0))</f>
        <v>33478.29</v>
      </c>
      <c r="C66" s="153">
        <f ca="1">IFERROR(B66/B16, "NA")</f>
        <v>0.75897004227597442</v>
      </c>
      <c r="D66" s="152">
        <f ca="1">INDEX(INDIRECT("'"&amp;D$4&amp;"'!$1:$1048576"),MATCH($A66,INDIRECT("'"&amp;D$4&amp;"'!$A:$A"),0),MATCH($A$2,INDIRECT("'"&amp;D$4&amp;"'!$5:$5"),0))</f>
        <v>20888.269999999997</v>
      </c>
      <c r="E66" s="153">
        <f ca="1">IFERROR(D66/D16, "NA")</f>
        <v>0.7750349796429794</v>
      </c>
      <c r="F66" s="152">
        <f ca="1">INDEX(INDIRECT("'"&amp;F$4&amp;"'!$1:$1048576"),MATCH($A66,INDIRECT("'"&amp;F$4&amp;"'!$A:$A"),0),MATCH($A$2,INDIRECT("'"&amp;F$4&amp;"'!$5:$5"),0))</f>
        <v>21226.639999999996</v>
      </c>
      <c r="G66" s="153">
        <f ca="1">IFERROR(F66/F16, "NA")</f>
        <v>0.75600878148991846</v>
      </c>
      <c r="H66" s="152">
        <f ca="1">INDEX(INDIRECT("'"&amp;H$4&amp;"'!$1:$1048576"),MATCH($A66,INDIRECT("'"&amp;H$4&amp;"'!$A:$A"),0),MATCH($A$2,INDIRECT("'"&amp;H$4&amp;"'!$5:$5"),0))</f>
        <v>17305.180000000004</v>
      </c>
      <c r="I66" s="153">
        <f ca="1">IFERROR(H66/H16, "NA")</f>
        <v>0.76561192793722277</v>
      </c>
      <c r="J66" s="134">
        <f ca="1">+H66+F66+D66+B66</f>
        <v>92898.38</v>
      </c>
      <c r="K66" s="153">
        <f ca="1">IFERROR(J66/J16, "NA")</f>
        <v>0.76307672644396929</v>
      </c>
    </row>
    <row r="67" spans="1:11" ht="3.75" customHeight="1">
      <c r="A67" s="154" t="s">
        <v>3</v>
      </c>
      <c r="B67" s="155"/>
      <c r="C67" s="138"/>
      <c r="D67" s="155"/>
      <c r="E67" s="138"/>
      <c r="F67" s="155"/>
      <c r="G67" s="138"/>
      <c r="H67" s="155"/>
      <c r="I67" s="138"/>
      <c r="J67" s="155"/>
      <c r="K67" s="138"/>
    </row>
    <row r="68" spans="1:11" ht="16.5" customHeight="1">
      <c r="A68" s="126" t="s">
        <v>74</v>
      </c>
      <c r="B68" s="127"/>
      <c r="C68" s="128"/>
      <c r="D68" s="127"/>
      <c r="E68" s="128"/>
      <c r="F68" s="127"/>
      <c r="G68" s="128"/>
      <c r="H68" s="127"/>
      <c r="I68" s="128"/>
      <c r="J68" s="127"/>
      <c r="K68" s="128"/>
    </row>
    <row r="69" spans="1:11" ht="16.5" customHeight="1">
      <c r="A69" s="139" t="s">
        <v>74</v>
      </c>
      <c r="B69" s="127"/>
      <c r="C69" s="128"/>
      <c r="D69" s="127"/>
      <c r="E69" s="128"/>
      <c r="F69" s="127"/>
      <c r="G69" s="128"/>
      <c r="H69" s="127"/>
      <c r="I69" s="128"/>
      <c r="J69" s="127"/>
      <c r="K69" s="128"/>
    </row>
    <row r="70" spans="1:11" ht="16.5" hidden="1" customHeight="1">
      <c r="A70" s="140" t="s">
        <v>75</v>
      </c>
      <c r="B70" s="130"/>
      <c r="C70" s="131"/>
      <c r="D70" s="130"/>
      <c r="E70" s="131"/>
      <c r="F70" s="130"/>
      <c r="G70" s="131"/>
      <c r="H70" s="130"/>
      <c r="I70" s="131"/>
      <c r="J70" s="130"/>
      <c r="K70" s="131"/>
    </row>
    <row r="71" spans="1:11" ht="16.5" customHeight="1">
      <c r="A71" s="141" t="s">
        <v>76</v>
      </c>
      <c r="B71" s="127"/>
      <c r="C71" s="128"/>
      <c r="D71" s="127"/>
      <c r="E71" s="128"/>
      <c r="F71" s="127"/>
      <c r="G71" s="128"/>
      <c r="H71" s="127"/>
      <c r="I71" s="128"/>
      <c r="J71" s="127"/>
      <c r="K71" s="128"/>
    </row>
    <row r="72" spans="1:11" ht="16.5" hidden="1" customHeight="1">
      <c r="A72" s="142" t="s">
        <v>77</v>
      </c>
      <c r="B72" s="130">
        <f t="shared" ref="B72:B79" ca="1" si="23">INDEX(INDIRECT("'"&amp;B$4&amp;"'!$1:$1048576"),MATCH($A72,INDIRECT("'"&amp;B$4&amp;"'!$A:$A"),0),MATCH($A$2,INDIRECT("'"&amp;B$4&amp;"'!$5:$5"),0))</f>
        <v>0</v>
      </c>
      <c r="C72" s="131">
        <f ca="1">IFERROR(B72/B16, "NA")</f>
        <v>0</v>
      </c>
      <c r="D72" s="130">
        <f t="shared" ref="D72:D79" ca="1" si="24">INDEX(INDIRECT("'"&amp;D$4&amp;"'!$1:$1048576"),MATCH($A72,INDIRECT("'"&amp;D$4&amp;"'!$A:$A"),0),MATCH($A$2,INDIRECT("'"&amp;D$4&amp;"'!$5:$5"),0))</f>
        <v>0</v>
      </c>
      <c r="E72" s="131">
        <f ca="1">IFERROR(D72/D16, "NA")</f>
        <v>0</v>
      </c>
      <c r="F72" s="130">
        <f t="shared" ref="F72:F79" ca="1" si="25">INDEX(INDIRECT("'"&amp;F$4&amp;"'!$1:$1048576"),MATCH($A72,INDIRECT("'"&amp;F$4&amp;"'!$A:$A"),0),MATCH($A$2,INDIRECT("'"&amp;F$4&amp;"'!$5:$5"),0))</f>
        <v>0</v>
      </c>
      <c r="G72" s="131">
        <f ca="1">IFERROR(F72/F16, "NA")</f>
        <v>0</v>
      </c>
      <c r="H72" s="130">
        <f t="shared" ref="H72:H79" ca="1" si="26">INDEX(INDIRECT("'"&amp;H$4&amp;"'!$1:$1048576"),MATCH($A72,INDIRECT("'"&amp;H$4&amp;"'!$A:$A"),0),MATCH($A$2,INDIRECT("'"&amp;H$4&amp;"'!$5:$5"),0))</f>
        <v>0</v>
      </c>
      <c r="I72" s="131">
        <f ca="1">IFERROR(H72/H16, "NA")</f>
        <v>0</v>
      </c>
      <c r="J72" s="130"/>
      <c r="K72" s="131">
        <f ca="1">IFERROR(J72/J16, "NA")</f>
        <v>0</v>
      </c>
    </row>
    <row r="73" spans="1:11" ht="16.5" customHeight="1">
      <c r="A73" s="142" t="s">
        <v>78</v>
      </c>
      <c r="B73" s="130">
        <f t="shared" ca="1" si="23"/>
        <v>2519.23</v>
      </c>
      <c r="C73" s="131">
        <f ca="1">IFERROR(B73/B16, "NA")</f>
        <v>5.7112238994372268E-2</v>
      </c>
      <c r="D73" s="130">
        <f t="shared" ca="1" si="24"/>
        <v>1410</v>
      </c>
      <c r="E73" s="131">
        <f ca="1">IFERROR(D73/D16, "NA")</f>
        <v>5.2316411138720494E-2</v>
      </c>
      <c r="F73" s="130">
        <f t="shared" ca="1" si="25"/>
        <v>1461.54</v>
      </c>
      <c r="G73" s="131">
        <f ca="1">IFERROR(F73/F16, "NA")</f>
        <v>5.205426174367566E-2</v>
      </c>
      <c r="H73" s="130">
        <f t="shared" ca="1" si="26"/>
        <v>1298.08</v>
      </c>
      <c r="I73" s="131">
        <f ca="1">IFERROR(H73/H16, "NA")</f>
        <v>5.7429366895735835E-2</v>
      </c>
      <c r="J73" s="130">
        <f ca="1">+H73+F73+D73+B73</f>
        <v>6688.85</v>
      </c>
      <c r="K73" s="131">
        <f ca="1">IFERROR(J73/J16, "NA")</f>
        <v>5.4942893101846815E-2</v>
      </c>
    </row>
    <row r="74" spans="1:11" ht="16.5" hidden="1" customHeight="1">
      <c r="A74" s="142" t="s">
        <v>79</v>
      </c>
      <c r="B74" s="130">
        <f t="shared" ca="1" si="23"/>
        <v>0</v>
      </c>
      <c r="C74" s="131">
        <f ca="1">IFERROR(B74/B16, "NA")</f>
        <v>0</v>
      </c>
      <c r="D74" s="130">
        <f t="shared" ca="1" si="24"/>
        <v>0</v>
      </c>
      <c r="E74" s="131">
        <f ca="1">IFERROR(D74/D16, "NA")</f>
        <v>0</v>
      </c>
      <c r="F74" s="130">
        <f t="shared" ca="1" si="25"/>
        <v>0</v>
      </c>
      <c r="G74" s="131">
        <f ca="1">IFERROR(F74/F16, "NA")</f>
        <v>0</v>
      </c>
      <c r="H74" s="130">
        <f t="shared" ca="1" si="26"/>
        <v>0</v>
      </c>
      <c r="I74" s="131">
        <f ca="1">IFERROR(H74/H16, "NA")</f>
        <v>0</v>
      </c>
      <c r="J74" s="130" t="e">
        <f ca="1">+H74+F74+D74+B74+#REF!</f>
        <v>#REF!</v>
      </c>
      <c r="K74" s="131" t="str">
        <f ca="1">IFERROR(J74/J16, "NA")</f>
        <v>NA</v>
      </c>
    </row>
    <row r="75" spans="1:11" ht="16.5" customHeight="1">
      <c r="A75" s="142" t="s">
        <v>80</v>
      </c>
      <c r="B75" s="130">
        <f t="shared" ca="1" si="23"/>
        <v>6896.57</v>
      </c>
      <c r="C75" s="131">
        <f ca="1">IFERROR(B75/B16, "NA")</f>
        <v>0.15634878676477254</v>
      </c>
      <c r="D75" s="130">
        <f t="shared" ca="1" si="24"/>
        <v>5049.22</v>
      </c>
      <c r="E75" s="131">
        <f ca="1">IFERROR(D75/D16, "NA")</f>
        <v>0.18734543932613495</v>
      </c>
      <c r="F75" s="130">
        <f t="shared" ca="1" si="25"/>
        <v>5852.11</v>
      </c>
      <c r="G75" s="131">
        <f ca="1">IFERROR(F75/F16, "NA")</f>
        <v>0.20842896239089029</v>
      </c>
      <c r="H75" s="130">
        <f t="shared" ca="1" si="26"/>
        <v>5263.34</v>
      </c>
      <c r="I75" s="131">
        <f ca="1">IFERROR(H75/H16, "NA")</f>
        <v>0.23285951864060941</v>
      </c>
      <c r="J75" s="130">
        <f ca="1">+H75+F75+D75+B75</f>
        <v>23061.24</v>
      </c>
      <c r="K75" s="131">
        <f ca="1">IFERROR(J75/J16, "NA")</f>
        <v>0.18942736705353444</v>
      </c>
    </row>
    <row r="76" spans="1:11" ht="16.5" customHeight="1">
      <c r="A76" s="142" t="s">
        <v>81</v>
      </c>
      <c r="B76" s="130">
        <f t="shared" ca="1" si="23"/>
        <v>230.99</v>
      </c>
      <c r="C76" s="131">
        <f ca="1">IFERROR(B76/B16, "NA")</f>
        <v>5.236662029790869E-3</v>
      </c>
      <c r="D76" s="130">
        <f t="shared" ca="1" si="24"/>
        <v>0</v>
      </c>
      <c r="E76" s="131">
        <f ca="1">IFERROR(D76/D16, "NA")</f>
        <v>0</v>
      </c>
      <c r="F76" s="130">
        <f t="shared" ca="1" si="25"/>
        <v>72.989999999999995</v>
      </c>
      <c r="G76" s="131">
        <f ca="1">IFERROR(F76/F16, "NA")</f>
        <v>2.5996144920227204E-3</v>
      </c>
      <c r="H76" s="130">
        <f t="shared" ca="1" si="26"/>
        <v>0</v>
      </c>
      <c r="I76" s="131">
        <f ca="1">IFERROR(H76/H16, "NA")</f>
        <v>0</v>
      </c>
      <c r="J76" s="130">
        <f ca="1">+H76+F76+D76+B76</f>
        <v>303.98</v>
      </c>
      <c r="K76" s="131">
        <f ca="1">IFERROR(J76/J16, "NA")</f>
        <v>2.4969225868571418E-3</v>
      </c>
    </row>
    <row r="77" spans="1:11" ht="16.5" customHeight="1">
      <c r="A77" s="146" t="s">
        <v>82</v>
      </c>
      <c r="B77" s="134">
        <f t="shared" ca="1" si="23"/>
        <v>9646.7899999999991</v>
      </c>
      <c r="C77" s="135">
        <f ca="1">IFERROR(B77/B16, "NA")</f>
        <v>0.21869768778893567</v>
      </c>
      <c r="D77" s="134">
        <f t="shared" ca="1" si="24"/>
        <v>6459.22</v>
      </c>
      <c r="E77" s="135">
        <f ca="1">IFERROR(D77/D16, "NA")</f>
        <v>0.23966185046485544</v>
      </c>
      <c r="F77" s="134">
        <f t="shared" ca="1" si="25"/>
        <v>7386.6399999999994</v>
      </c>
      <c r="G77" s="135">
        <f ca="1">IFERROR(F77/F16, "NA")</f>
        <v>0.26308283862658866</v>
      </c>
      <c r="H77" s="134">
        <f t="shared" ca="1" si="26"/>
        <v>6561.42</v>
      </c>
      <c r="I77" s="135">
        <f ca="1">IFERROR(H77/H16, "NA")</f>
        <v>0.29028888553634524</v>
      </c>
      <c r="J77" s="134">
        <f ca="1">+H77+F77+D77+B77</f>
        <v>30054.07</v>
      </c>
      <c r="K77" s="135">
        <f ca="1">IFERROR(J77/J16, "NA")</f>
        <v>0.24686718274223837</v>
      </c>
    </row>
    <row r="78" spans="1:11" ht="16.5" hidden="1" customHeight="1">
      <c r="A78" s="140" t="s">
        <v>83</v>
      </c>
      <c r="B78" s="130">
        <f t="shared" ca="1" si="23"/>
        <v>0</v>
      </c>
      <c r="C78" s="131">
        <f ca="1">IFERROR(B78/B16, "NA")</f>
        <v>0</v>
      </c>
      <c r="D78" s="130">
        <f t="shared" ca="1" si="24"/>
        <v>0</v>
      </c>
      <c r="E78" s="131">
        <f ca="1">IFERROR(D78/D16, "NA")</f>
        <v>0</v>
      </c>
      <c r="F78" s="130">
        <f t="shared" ca="1" si="25"/>
        <v>0</v>
      </c>
      <c r="G78" s="131">
        <f ca="1">IFERROR(F78/F16, "NA")</f>
        <v>0</v>
      </c>
      <c r="H78" s="130">
        <f t="shared" ca="1" si="26"/>
        <v>0</v>
      </c>
      <c r="I78" s="131">
        <f ca="1">IFERROR(H78/H16, "NA")</f>
        <v>0</v>
      </c>
      <c r="J78" s="130"/>
      <c r="K78" s="131">
        <f ca="1">IFERROR(J78/J16, "NA")</f>
        <v>0</v>
      </c>
    </row>
    <row r="79" spans="1:11" ht="16.5" customHeight="1">
      <c r="A79" s="140" t="s">
        <v>84</v>
      </c>
      <c r="B79" s="130">
        <f t="shared" ca="1" si="23"/>
        <v>0</v>
      </c>
      <c r="C79" s="131">
        <f ca="1">IFERROR(B79/B16, "NA")</f>
        <v>0</v>
      </c>
      <c r="D79" s="130">
        <f t="shared" ca="1" si="24"/>
        <v>0</v>
      </c>
      <c r="E79" s="131">
        <f ca="1">IFERROR(D79/D16, "NA")</f>
        <v>0</v>
      </c>
      <c r="F79" s="130">
        <f t="shared" ca="1" si="25"/>
        <v>0</v>
      </c>
      <c r="G79" s="131">
        <f ca="1">IFERROR(F79/F16, "NA")</f>
        <v>0</v>
      </c>
      <c r="H79" s="130">
        <f t="shared" ca="1" si="26"/>
        <v>0</v>
      </c>
      <c r="I79" s="131">
        <f ca="1">IFERROR(H79/H16, "NA")</f>
        <v>0</v>
      </c>
      <c r="J79" s="130">
        <f ca="1">+H79+F79+D79+B79</f>
        <v>0</v>
      </c>
      <c r="K79" s="131">
        <f ca="1">IFERROR(J79/J16, "NA")</f>
        <v>0</v>
      </c>
    </row>
    <row r="80" spans="1:11" ht="16.5" customHeight="1">
      <c r="A80" s="141" t="s">
        <v>85</v>
      </c>
      <c r="B80" s="127"/>
      <c r="C80" s="128"/>
      <c r="D80" s="127"/>
      <c r="E80" s="128"/>
      <c r="F80" s="127"/>
      <c r="G80" s="128"/>
      <c r="H80" s="127"/>
      <c r="I80" s="128"/>
      <c r="J80" s="127"/>
      <c r="K80" s="128"/>
    </row>
    <row r="81" spans="1:11" ht="16.5" customHeight="1">
      <c r="A81" s="142" t="s">
        <v>86</v>
      </c>
      <c r="B81" s="130">
        <f t="shared" ref="B81:B92" ca="1" si="27">INDEX(INDIRECT("'"&amp;B$4&amp;"'!$1:$1048576"),MATCH($A81,INDIRECT("'"&amp;B$4&amp;"'!$A:$A"),0),MATCH($A$2,INDIRECT("'"&amp;B$4&amp;"'!$5:$5"),0))</f>
        <v>963.22</v>
      </c>
      <c r="C81" s="131">
        <f ca="1">IFERROR(B81/B16, "NA")</f>
        <v>2.1836692498961689E-2</v>
      </c>
      <c r="D81" s="130">
        <f t="shared" ref="D81:D92" ca="1" si="28">INDEX(INDIRECT("'"&amp;D$4&amp;"'!$1:$1048576"),MATCH($A81,INDIRECT("'"&amp;D$4&amp;"'!$A:$A"),0),MATCH($A$2,INDIRECT("'"&amp;D$4&amp;"'!$5:$5"),0))</f>
        <v>539.61</v>
      </c>
      <c r="E81" s="131">
        <f ca="1">IFERROR(D81/D16, "NA")</f>
        <v>2.0021601854301393E-2</v>
      </c>
      <c r="F81" s="130">
        <f t="shared" ref="F81:F92" ca="1" si="29">INDEX(INDIRECT("'"&amp;F$4&amp;"'!$1:$1048576"),MATCH($A81,INDIRECT("'"&amp;F$4&amp;"'!$A:$A"),0),MATCH($A$2,INDIRECT("'"&amp;F$4&amp;"'!$5:$5"),0))</f>
        <v>652.52</v>
      </c>
      <c r="G81" s="131">
        <f ca="1">IFERROR(F81/F16, "NA")</f>
        <v>2.3240176028697979E-2</v>
      </c>
      <c r="H81" s="130">
        <f t="shared" ref="H81:H92" ca="1" si="30">INDEX(INDIRECT("'"&amp;H$4&amp;"'!$1:$1048576"),MATCH($A81,INDIRECT("'"&amp;H$4&amp;"'!$A:$A"),0),MATCH($A$2,INDIRECT("'"&amp;H$4&amp;"'!$5:$5"),0))</f>
        <v>564.29999999999995</v>
      </c>
      <c r="I81" s="131">
        <f ca="1">IFERROR(H81/H16, "NA")</f>
        <v>2.4965635199112327E-2</v>
      </c>
      <c r="J81" s="130">
        <f ca="1">+H81+F81+D81+B81</f>
        <v>2719.6499999999996</v>
      </c>
      <c r="K81" s="131">
        <f ca="1">IFERROR(J81/J16, "NA")</f>
        <v>2.2339481259773752E-2</v>
      </c>
    </row>
    <row r="82" spans="1:11" ht="16.5" hidden="1" customHeight="1">
      <c r="A82" s="142" t="s">
        <v>87</v>
      </c>
      <c r="B82" s="130">
        <f t="shared" ca="1" si="27"/>
        <v>0</v>
      </c>
      <c r="C82" s="131">
        <f ca="1">IFERROR(B82/B16, "NA")</f>
        <v>0</v>
      </c>
      <c r="D82" s="130">
        <f t="shared" ca="1" si="28"/>
        <v>0</v>
      </c>
      <c r="E82" s="131">
        <f ca="1">IFERROR(D82/D16, "NA")</f>
        <v>0</v>
      </c>
      <c r="F82" s="130">
        <f t="shared" ca="1" si="29"/>
        <v>0</v>
      </c>
      <c r="G82" s="131">
        <f ca="1">IFERROR(F82/F16, "NA")</f>
        <v>0</v>
      </c>
      <c r="H82" s="130">
        <f t="shared" ca="1" si="30"/>
        <v>0</v>
      </c>
      <c r="I82" s="131">
        <f ca="1">IFERROR(H82/H16, "NA")</f>
        <v>0</v>
      </c>
      <c r="J82" s="130" t="e">
        <f ca="1">+H82+F82+D82+B82+#REF!</f>
        <v>#REF!</v>
      </c>
      <c r="K82" s="131" t="str">
        <f ca="1">IFERROR(J82/J16, "NA")</f>
        <v>NA</v>
      </c>
    </row>
    <row r="83" spans="1:11" ht="16.5" hidden="1" customHeight="1">
      <c r="A83" s="142" t="s">
        <v>88</v>
      </c>
      <c r="B83" s="130">
        <f t="shared" ca="1" si="27"/>
        <v>0</v>
      </c>
      <c r="C83" s="131">
        <f ca="1">IFERROR(B83/B16, "NA")</f>
        <v>0</v>
      </c>
      <c r="D83" s="130">
        <f t="shared" ca="1" si="28"/>
        <v>0</v>
      </c>
      <c r="E83" s="131">
        <f ca="1">IFERROR(D83/D16, "NA")</f>
        <v>0</v>
      </c>
      <c r="F83" s="130">
        <f t="shared" ca="1" si="29"/>
        <v>0</v>
      </c>
      <c r="G83" s="131">
        <f ca="1">IFERROR(F83/F16, "NA")</f>
        <v>0</v>
      </c>
      <c r="H83" s="130">
        <f t="shared" ca="1" si="30"/>
        <v>0</v>
      </c>
      <c r="I83" s="131">
        <f ca="1">IFERROR(H83/H16, "NA")</f>
        <v>0</v>
      </c>
      <c r="J83" s="130" t="e">
        <f ca="1">+H83+F83+D83+B83+#REF!</f>
        <v>#REF!</v>
      </c>
      <c r="K83" s="131" t="str">
        <f ca="1">IFERROR(J83/J16, "NA")</f>
        <v>NA</v>
      </c>
    </row>
    <row r="84" spans="1:11" ht="16.5" hidden="1" customHeight="1">
      <c r="A84" s="142" t="s">
        <v>89</v>
      </c>
      <c r="B84" s="130">
        <f t="shared" ca="1" si="27"/>
        <v>0</v>
      </c>
      <c r="C84" s="131">
        <f ca="1">IFERROR(B84/B16, "NA")</f>
        <v>0</v>
      </c>
      <c r="D84" s="130">
        <f t="shared" ca="1" si="28"/>
        <v>0</v>
      </c>
      <c r="E84" s="131">
        <f ca="1">IFERROR(D84/D16, "NA")</f>
        <v>0</v>
      </c>
      <c r="F84" s="130">
        <f t="shared" ca="1" si="29"/>
        <v>0</v>
      </c>
      <c r="G84" s="131">
        <f ca="1">IFERROR(F84/F16, "NA")</f>
        <v>0</v>
      </c>
      <c r="H84" s="130">
        <f t="shared" ca="1" si="30"/>
        <v>0</v>
      </c>
      <c r="I84" s="131">
        <f ca="1">IFERROR(H84/H16, "NA")</f>
        <v>0</v>
      </c>
      <c r="J84" s="130" t="e">
        <f ca="1">+H84+F84+D84+B84+#REF!</f>
        <v>#REF!</v>
      </c>
      <c r="K84" s="131" t="str">
        <f ca="1">IFERROR(J84/J16, "NA")</f>
        <v>NA</v>
      </c>
    </row>
    <row r="85" spans="1:11" ht="16.5" hidden="1" customHeight="1">
      <c r="A85" s="142" t="s">
        <v>90</v>
      </c>
      <c r="B85" s="130">
        <f t="shared" ca="1" si="27"/>
        <v>0</v>
      </c>
      <c r="C85" s="131">
        <f ca="1">IFERROR(B85/B16, "NA")</f>
        <v>0</v>
      </c>
      <c r="D85" s="130">
        <f t="shared" ca="1" si="28"/>
        <v>0</v>
      </c>
      <c r="E85" s="131">
        <f ca="1">IFERROR(D85/D16, "NA")</f>
        <v>0</v>
      </c>
      <c r="F85" s="130">
        <f t="shared" ca="1" si="29"/>
        <v>0</v>
      </c>
      <c r="G85" s="131">
        <f ca="1">IFERROR(F85/F16, "NA")</f>
        <v>0</v>
      </c>
      <c r="H85" s="130">
        <f t="shared" ca="1" si="30"/>
        <v>0</v>
      </c>
      <c r="I85" s="131">
        <f ca="1">IFERROR(H85/H16, "NA")</f>
        <v>0</v>
      </c>
      <c r="J85" s="130" t="e">
        <f ca="1">+H85+F85+D85+B85+#REF!</f>
        <v>#REF!</v>
      </c>
      <c r="K85" s="131" t="str">
        <f ca="1">IFERROR(J85/J16, "NA")</f>
        <v>NA</v>
      </c>
    </row>
    <row r="86" spans="1:11" ht="16.5" hidden="1" customHeight="1">
      <c r="A86" s="142" t="s">
        <v>91</v>
      </c>
      <c r="B86" s="130">
        <f t="shared" ca="1" si="27"/>
        <v>0</v>
      </c>
      <c r="C86" s="131">
        <f ca="1">IFERROR(B86/B16, "NA")</f>
        <v>0</v>
      </c>
      <c r="D86" s="130">
        <f t="shared" ca="1" si="28"/>
        <v>0</v>
      </c>
      <c r="E86" s="131">
        <f ca="1">IFERROR(D86/D16, "NA")</f>
        <v>0</v>
      </c>
      <c r="F86" s="130">
        <f t="shared" ca="1" si="29"/>
        <v>0</v>
      </c>
      <c r="G86" s="131">
        <f ca="1">IFERROR(F86/F16, "NA")</f>
        <v>0</v>
      </c>
      <c r="H86" s="130">
        <f t="shared" ca="1" si="30"/>
        <v>0</v>
      </c>
      <c r="I86" s="131">
        <f ca="1">IFERROR(H86/H16, "NA")</f>
        <v>0</v>
      </c>
      <c r="J86" s="130" t="e">
        <f ca="1">+H86+F86+D86+B86+#REF!</f>
        <v>#REF!</v>
      </c>
      <c r="K86" s="131" t="str">
        <f ca="1">IFERROR(J86/J16, "NA")</f>
        <v>NA</v>
      </c>
    </row>
    <row r="87" spans="1:11" ht="16.5" hidden="1" customHeight="1">
      <c r="A87" s="142" t="s">
        <v>92</v>
      </c>
      <c r="B87" s="130">
        <f t="shared" ca="1" si="27"/>
        <v>0</v>
      </c>
      <c r="C87" s="131">
        <f ca="1">IFERROR(B87/B16, "NA")</f>
        <v>0</v>
      </c>
      <c r="D87" s="130">
        <f t="shared" ca="1" si="28"/>
        <v>0</v>
      </c>
      <c r="E87" s="131">
        <f ca="1">IFERROR(D87/D16, "NA")</f>
        <v>0</v>
      </c>
      <c r="F87" s="130">
        <f t="shared" ca="1" si="29"/>
        <v>0</v>
      </c>
      <c r="G87" s="131">
        <f ca="1">IFERROR(F87/F16, "NA")</f>
        <v>0</v>
      </c>
      <c r="H87" s="130">
        <f t="shared" ca="1" si="30"/>
        <v>0</v>
      </c>
      <c r="I87" s="131">
        <f ca="1">IFERROR(H87/H16, "NA")</f>
        <v>0</v>
      </c>
      <c r="J87" s="130" t="e">
        <f ca="1">+H87+F87+D87+B87+#REF!</f>
        <v>#REF!</v>
      </c>
      <c r="K87" s="131" t="str">
        <f ca="1">IFERROR(J87/J16, "NA")</f>
        <v>NA</v>
      </c>
    </row>
    <row r="88" spans="1:11" ht="16.5" customHeight="1">
      <c r="A88" s="146" t="s">
        <v>93</v>
      </c>
      <c r="B88" s="134">
        <f t="shared" ca="1" si="27"/>
        <v>963.22</v>
      </c>
      <c r="C88" s="135">
        <f ca="1">IFERROR(B88/B16, "NA")</f>
        <v>2.1836692498961689E-2</v>
      </c>
      <c r="D88" s="134">
        <f t="shared" ca="1" si="28"/>
        <v>539.61</v>
      </c>
      <c r="E88" s="135">
        <f ca="1">IFERROR(D88/D16, "NA")</f>
        <v>2.0021601854301393E-2</v>
      </c>
      <c r="F88" s="134">
        <f t="shared" ca="1" si="29"/>
        <v>652.52</v>
      </c>
      <c r="G88" s="135">
        <f ca="1">IFERROR(F88/F16, "NA")</f>
        <v>2.3240176028697979E-2</v>
      </c>
      <c r="H88" s="134">
        <f t="shared" ca="1" si="30"/>
        <v>564.29999999999995</v>
      </c>
      <c r="I88" s="135">
        <f ca="1">IFERROR(H88/H16, "NA")</f>
        <v>2.4965635199112327E-2</v>
      </c>
      <c r="J88" s="134">
        <f ca="1">+H88+F88+D88+B88</f>
        <v>2719.6499999999996</v>
      </c>
      <c r="K88" s="135">
        <f ca="1">IFERROR(J88/J16, "NA")</f>
        <v>2.2339481259773752E-2</v>
      </c>
    </row>
    <row r="89" spans="1:11" ht="16.5" customHeight="1">
      <c r="A89" s="140" t="s">
        <v>94</v>
      </c>
      <c r="B89" s="130">
        <f t="shared" ca="1" si="27"/>
        <v>0</v>
      </c>
      <c r="C89" s="131">
        <f ca="1">IFERROR(B89/B16, "NA")</f>
        <v>0</v>
      </c>
      <c r="D89" s="130">
        <f t="shared" ca="1" si="28"/>
        <v>0</v>
      </c>
      <c r="E89" s="131">
        <f ca="1">IFERROR(D89/D16, "NA")</f>
        <v>0</v>
      </c>
      <c r="F89" s="130">
        <f t="shared" ca="1" si="29"/>
        <v>0</v>
      </c>
      <c r="G89" s="131">
        <f ca="1">IFERROR(F89/F16, "NA")</f>
        <v>0</v>
      </c>
      <c r="H89" s="130">
        <f t="shared" ca="1" si="30"/>
        <v>0</v>
      </c>
      <c r="I89" s="131">
        <f ca="1">IFERROR(H89/H16, "NA")</f>
        <v>0</v>
      </c>
      <c r="J89" s="130">
        <f ca="1">+H89+F89+D89+B89</f>
        <v>0</v>
      </c>
      <c r="K89" s="131">
        <f ca="1">IFERROR(J89/J16, "NA")</f>
        <v>0</v>
      </c>
    </row>
    <row r="90" spans="1:11" ht="16.5" customHeight="1">
      <c r="A90" s="140" t="s">
        <v>95</v>
      </c>
      <c r="B90" s="130">
        <f t="shared" ca="1" si="27"/>
        <v>-61.25</v>
      </c>
      <c r="C90" s="131">
        <f ca="1">IFERROR(B90/B16, "NA")</f>
        <v>-1.388568982746832E-3</v>
      </c>
      <c r="D90" s="130">
        <f t="shared" ca="1" si="28"/>
        <v>-1.66</v>
      </c>
      <c r="E90" s="131">
        <f ca="1">IFERROR(D90/D16, "NA")</f>
        <v>-6.1592370560479439E-5</v>
      </c>
      <c r="F90" s="130">
        <f t="shared" ca="1" si="29"/>
        <v>-159.66</v>
      </c>
      <c r="G90" s="131">
        <f ca="1">IFERROR(F90/F16, "NA")</f>
        <v>-5.6864563610953215E-3</v>
      </c>
      <c r="H90" s="130">
        <f t="shared" ca="1" si="30"/>
        <v>0</v>
      </c>
      <c r="I90" s="131">
        <f ca="1">IFERROR(H90/H16, "NA")</f>
        <v>0</v>
      </c>
      <c r="J90" s="130">
        <f ca="1">+H90+F90+D90+B90</f>
        <v>-222.57</v>
      </c>
      <c r="K90" s="131">
        <f ca="1">IFERROR(J90/J16, "NA")</f>
        <v>-1.828212580290789E-3</v>
      </c>
    </row>
    <row r="91" spans="1:11" ht="16.5" customHeight="1">
      <c r="A91" s="147" t="s">
        <v>96</v>
      </c>
      <c r="B91" s="134">
        <f t="shared" ca="1" si="27"/>
        <v>10548.759999999998</v>
      </c>
      <c r="C91" s="135">
        <f ca="1">IFERROR(B91/B16, "NA")</f>
        <v>0.2391458113051505</v>
      </c>
      <c r="D91" s="134">
        <f t="shared" ca="1" si="28"/>
        <v>6997.17</v>
      </c>
      <c r="E91" s="135">
        <f ca="1">IFERROR(D91/D16, "NA")</f>
        <v>0.25962185994859638</v>
      </c>
      <c r="F91" s="134">
        <f t="shared" ca="1" si="29"/>
        <v>7879.5</v>
      </c>
      <c r="G91" s="135">
        <f ca="1">IFERROR(F91/F16, "NA")</f>
        <v>0.28063655829419132</v>
      </c>
      <c r="H91" s="134">
        <f t="shared" ca="1" si="30"/>
        <v>7125.72</v>
      </c>
      <c r="I91" s="135">
        <f ca="1">IFERROR(H91/H16, "NA")</f>
        <v>0.31525452073545757</v>
      </c>
      <c r="J91" s="134">
        <f ca="1">+H91+F91+D91+B91</f>
        <v>32551.149999999998</v>
      </c>
      <c r="K91" s="135">
        <f ca="1">IFERROR(J91/J16, "NA")</f>
        <v>0.26737845142172134</v>
      </c>
    </row>
    <row r="92" spans="1:11" ht="16.5" customHeight="1">
      <c r="A92" s="133" t="s">
        <v>96</v>
      </c>
      <c r="B92" s="149">
        <f t="shared" ca="1" si="27"/>
        <v>10548.759999999998</v>
      </c>
      <c r="C92" s="150">
        <f ca="1">IFERROR(B92/B16, "NA")</f>
        <v>0.2391458113051505</v>
      </c>
      <c r="D92" s="149">
        <f t="shared" ca="1" si="28"/>
        <v>6997.17</v>
      </c>
      <c r="E92" s="150">
        <f ca="1">IFERROR(D92/D16, "NA")</f>
        <v>0.25962185994859638</v>
      </c>
      <c r="F92" s="149">
        <f t="shared" ca="1" si="29"/>
        <v>7879.5</v>
      </c>
      <c r="G92" s="150">
        <f ca="1">IFERROR(F92/F16, "NA")</f>
        <v>0.28063655829419132</v>
      </c>
      <c r="H92" s="149">
        <f t="shared" ca="1" si="30"/>
        <v>7125.72</v>
      </c>
      <c r="I92" s="150">
        <f ca="1">IFERROR(H92/H16, "NA")</f>
        <v>0.31525452073545757</v>
      </c>
      <c r="J92" s="149">
        <f ca="1">+H92+F92+D92+B92</f>
        <v>32551.149999999998</v>
      </c>
      <c r="K92" s="151">
        <f ca="1">IFERROR(J92/J16, "NA")</f>
        <v>0.26737845142172134</v>
      </c>
    </row>
    <row r="93" spans="1:11" ht="3.75" customHeight="1">
      <c r="A93" s="154" t="s">
        <v>3</v>
      </c>
      <c r="B93" s="155"/>
      <c r="C93" s="138"/>
      <c r="D93" s="155"/>
      <c r="E93" s="138"/>
      <c r="F93" s="155"/>
      <c r="G93" s="138"/>
      <c r="H93" s="155"/>
      <c r="I93" s="138"/>
      <c r="J93" s="155"/>
      <c r="K93" s="138"/>
    </row>
    <row r="94" spans="1:11" ht="15" customHeight="1">
      <c r="A94" s="83" t="s">
        <v>97</v>
      </c>
      <c r="B94" s="152">
        <f ca="1">INDEX(INDIRECT("'"&amp;B$4&amp;"'!$1:$1048576"),MATCH($A94,INDIRECT("'"&amp;B$4&amp;"'!$A:$A"),0),MATCH($A$2,INDIRECT("'"&amp;B$4&amp;"'!$5:$5"),0))</f>
        <v>22929.530000000002</v>
      </c>
      <c r="C94" s="153">
        <f ca="1">IFERROR(B94/B16, "NA")</f>
        <v>0.51982423097082398</v>
      </c>
      <c r="D94" s="152">
        <f ca="1">INDEX(INDIRECT("'"&amp;D$4&amp;"'!$1:$1048576"),MATCH($A94,INDIRECT("'"&amp;D$4&amp;"'!$A:$A"),0),MATCH($A$2,INDIRECT("'"&amp;D$4&amp;"'!$5:$5"),0))</f>
        <v>13891.099999999997</v>
      </c>
      <c r="E94" s="153">
        <f ca="1">IFERROR(D94/D16, "NA")</f>
        <v>0.51541311969438297</v>
      </c>
      <c r="F94" s="152">
        <f ca="1">INDEX(INDIRECT("'"&amp;F$4&amp;"'!$1:$1048576"),MATCH($A94,INDIRECT("'"&amp;F$4&amp;"'!$A:$A"),0),MATCH($A$2,INDIRECT("'"&amp;F$4&amp;"'!$5:$5"),0))</f>
        <v>13347.139999999996</v>
      </c>
      <c r="G94" s="153">
        <f ca="1">IFERROR(F94/F16, "NA")</f>
        <v>0.47537222319572708</v>
      </c>
      <c r="H94" s="152">
        <f ca="1">INDEX(INDIRECT("'"&amp;H$4&amp;"'!$1:$1048576"),MATCH($A94,INDIRECT("'"&amp;H$4&amp;"'!$A:$A"),0),MATCH($A$2,INDIRECT("'"&amp;H$4&amp;"'!$5:$5"),0))</f>
        <v>10179.460000000003</v>
      </c>
      <c r="I94" s="153">
        <f ca="1">IFERROR(H94/H16, "NA")</f>
        <v>0.45035740720176515</v>
      </c>
      <c r="J94" s="152">
        <f ca="1">+H94+F94+D94+B94</f>
        <v>60347.229999999996</v>
      </c>
      <c r="K94" s="156">
        <f ca="1">IFERROR(J94/J16, "NA")</f>
        <v>0.49569827502224784</v>
      </c>
    </row>
    <row r="95" spans="1:11" ht="15" customHeight="1">
      <c r="A95" s="154" t="s">
        <v>3</v>
      </c>
      <c r="B95" s="155"/>
      <c r="C95" s="138"/>
      <c r="D95" s="155"/>
      <c r="E95" s="138"/>
      <c r="F95" s="155"/>
      <c r="G95" s="138"/>
      <c r="H95" s="155"/>
      <c r="I95" s="138"/>
    </row>
    <row r="96" spans="1:11" ht="15" customHeight="1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2</v>
      </c>
      <c r="B3" s="46" t="s">
        <v>2</v>
      </c>
      <c r="C3" s="46" t="s">
        <v>2</v>
      </c>
      <c r="D3" s="46" t="s">
        <v>2</v>
      </c>
      <c r="E3" s="46" t="s">
        <v>2</v>
      </c>
      <c r="F3" s="46" t="s">
        <v>2</v>
      </c>
      <c r="G3" s="46" t="s">
        <v>2</v>
      </c>
      <c r="H3" s="46" t="s">
        <v>2</v>
      </c>
      <c r="I3" s="46" t="s">
        <v>2</v>
      </c>
      <c r="J3" s="46" t="s">
        <v>2</v>
      </c>
      <c r="K3" s="46" t="s">
        <v>2</v>
      </c>
      <c r="L3" s="46" t="s">
        <v>2</v>
      </c>
      <c r="M3" s="46" t="s">
        <v>2</v>
      </c>
      <c r="N3" s="46" t="s">
        <v>2</v>
      </c>
      <c r="O3" s="46" t="s">
        <v>2</v>
      </c>
      <c r="P3" s="46" t="s">
        <v>2</v>
      </c>
      <c r="Q3" s="46" t="s">
        <v>2</v>
      </c>
      <c r="R3" s="46" t="s">
        <v>2</v>
      </c>
      <c r="S3" s="46" t="s">
        <v>2</v>
      </c>
      <c r="T3" s="46" t="s">
        <v>2</v>
      </c>
      <c r="U3" s="46" t="s">
        <v>2</v>
      </c>
      <c r="V3" s="46" t="s">
        <v>2</v>
      </c>
      <c r="W3" s="46" t="s">
        <v>2</v>
      </c>
      <c r="X3" s="46" t="s">
        <v>2</v>
      </c>
      <c r="Y3" s="46" t="s">
        <v>2</v>
      </c>
      <c r="Z3" s="46" t="s">
        <v>2</v>
      </c>
      <c r="AA3" s="46" t="s">
        <v>2</v>
      </c>
      <c r="AB3" s="46" t="s">
        <v>2</v>
      </c>
      <c r="AC3" s="46" t="s">
        <v>2</v>
      </c>
      <c r="AD3" s="46" t="s">
        <v>2</v>
      </c>
      <c r="AE3" s="46" t="s">
        <v>2</v>
      </c>
      <c r="AF3" s="46" t="s">
        <v>2</v>
      </c>
      <c r="AG3" s="46" t="s">
        <v>2</v>
      </c>
      <c r="AH3" s="46" t="s">
        <v>2</v>
      </c>
      <c r="AI3" s="46" t="s">
        <v>2</v>
      </c>
      <c r="AJ3" s="46" t="s">
        <v>2</v>
      </c>
      <c r="AK3" s="46" t="s">
        <v>2</v>
      </c>
      <c r="AL3" s="46" t="s">
        <v>2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126751.91</v>
      </c>
      <c r="C7" s="8">
        <f>IFERROR(B7/B148, "NA")</f>
        <v>1</v>
      </c>
      <c r="D7" s="7">
        <v>136718.77000000005</v>
      </c>
      <c r="E7" s="8">
        <f>IFERROR(D7/D148, "NA")</f>
        <v>1.0000000000000004</v>
      </c>
      <c r="F7" s="7">
        <v>149692.49000000005</v>
      </c>
      <c r="G7" s="8">
        <f>IFERROR(F7/F148, "NA")</f>
        <v>1.0000000000000002</v>
      </c>
      <c r="H7" s="7">
        <v>123097.31000000003</v>
      </c>
      <c r="I7" s="8">
        <f>IFERROR(H7/H148, "NA")</f>
        <v>1.0000000000000002</v>
      </c>
      <c r="J7" s="7">
        <v>168119.85999999996</v>
      </c>
      <c r="K7" s="8">
        <f>IFERROR(J7/J148, "NA")</f>
        <v>0.99999999999999978</v>
      </c>
      <c r="L7" s="7">
        <v>166288.11999999994</v>
      </c>
      <c r="M7" s="8">
        <f>IFERROR(L7/L148, "NA")</f>
        <v>0.99999999999999967</v>
      </c>
      <c r="N7" s="7">
        <v>144091.19000000009</v>
      </c>
      <c r="O7" s="8">
        <f>IFERROR(N7/N148, "NA")</f>
        <v>1.0000000000000007</v>
      </c>
      <c r="P7" s="7">
        <v>113357.77000000003</v>
      </c>
      <c r="Q7" s="8">
        <f>IFERROR(P7/P148, "NA")</f>
        <v>1.0000000000000004</v>
      </c>
      <c r="R7" s="7">
        <v>127939.99999999996</v>
      </c>
      <c r="S7" s="8">
        <f>IFERROR(R7/R148, "NA")</f>
        <v>0.99999999999999967</v>
      </c>
      <c r="T7" s="7">
        <v>124888.67000000004</v>
      </c>
      <c r="U7" s="8">
        <f>IFERROR(T7/T148, "NA")</f>
        <v>1.0000000000000004</v>
      </c>
      <c r="V7" s="7">
        <v>126954.92999999998</v>
      </c>
      <c r="W7" s="8">
        <f>IFERROR(V7/V148, "NA")</f>
        <v>0.99999999999999978</v>
      </c>
      <c r="X7" s="7">
        <v>121741.86000000003</v>
      </c>
      <c r="Y7" s="8">
        <f>IFERROR(X7/X148, "NA")</f>
        <v>1.0000000000000002</v>
      </c>
      <c r="Z7" s="7">
        <v>121741.86000000003</v>
      </c>
      <c r="AA7" s="8">
        <f>IFERROR(Z7/Z148, "NA")</f>
        <v>1.0000000000000002</v>
      </c>
      <c r="AB7" s="9">
        <f>IFERROR((R7+T7+V7+X7)/4, "NA")</f>
        <v>125381.36500000001</v>
      </c>
      <c r="AC7" s="8">
        <f>IFERROR(AB7/AB148, "NA")</f>
        <v>1.0000000000000002</v>
      </c>
      <c r="AD7" s="10">
        <f>IFERROR(X7-AB7, "NA")</f>
        <v>-3639.5049999999756</v>
      </c>
      <c r="AE7" s="11">
        <f>IFERROR(AD7/AD148, "NA")</f>
        <v>1</v>
      </c>
      <c r="AF7" s="10">
        <f>IFERROR((X7-AB7)/AB7, "NA")</f>
        <v>-2.9027479482297672E-2</v>
      </c>
      <c r="AG7" s="9">
        <f>IFERROR((J7+L7+N7+P7+R7+T7+V7+X7)/8, "NA")</f>
        <v>136672.79999999999</v>
      </c>
      <c r="AH7" s="8">
        <f>IFERROR(AG7/AG148, "NA")</f>
        <v>0.99999999999999978</v>
      </c>
      <c r="AI7" s="10">
        <f>IFERROR(X7-AG7, "NA")</f>
        <v>-14930.939999999959</v>
      </c>
      <c r="AJ7" s="11">
        <f>IFERROR(AI7/AI148, "NA")</f>
        <v>0.99999999999999711</v>
      </c>
      <c r="AK7" s="10">
        <f>IFERROR((X7-AG7)/AG7, "NA")</f>
        <v>-0.10924587774597404</v>
      </c>
      <c r="AL7" s="11">
        <f>IFERROR(AK7/AK148, "NA")</f>
        <v>0.99999999999999734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126751.91</v>
      </c>
      <c r="C9" s="14">
        <f>IFERROR(B9/B148, "NA")</f>
        <v>1</v>
      </c>
      <c r="D9" s="13">
        <f>IFERROR(D7+D8, "NA")</f>
        <v>136718.77000000005</v>
      </c>
      <c r="E9" s="14">
        <f>IFERROR(D9/D148, "NA")</f>
        <v>1.0000000000000004</v>
      </c>
      <c r="F9" s="13">
        <f>IFERROR(F7+F8, "NA")</f>
        <v>149692.49000000005</v>
      </c>
      <c r="G9" s="14">
        <f>IFERROR(F9/F148, "NA")</f>
        <v>1.0000000000000002</v>
      </c>
      <c r="H9" s="13">
        <f>IFERROR(H7+H8, "NA")</f>
        <v>123097.31000000003</v>
      </c>
      <c r="I9" s="14">
        <f>IFERROR(H9/H148, "NA")</f>
        <v>1.0000000000000002</v>
      </c>
      <c r="J9" s="13">
        <f>IFERROR(J7+J8, "NA")</f>
        <v>168119.85999999996</v>
      </c>
      <c r="K9" s="14">
        <f>IFERROR(J9/J148, "NA")</f>
        <v>0.99999999999999978</v>
      </c>
      <c r="L9" s="13">
        <f>IFERROR(L7+L8, "NA")</f>
        <v>166288.11999999994</v>
      </c>
      <c r="M9" s="14">
        <f>IFERROR(L9/L148, "NA")</f>
        <v>0.99999999999999967</v>
      </c>
      <c r="N9" s="13">
        <f>IFERROR(N7+N8, "NA")</f>
        <v>144091.19000000009</v>
      </c>
      <c r="O9" s="14">
        <f>IFERROR(N9/N148, "NA")</f>
        <v>1.0000000000000007</v>
      </c>
      <c r="P9" s="13">
        <f>IFERROR(P7+P8, "NA")</f>
        <v>113357.77000000003</v>
      </c>
      <c r="Q9" s="14">
        <f>IFERROR(P9/P148, "NA")</f>
        <v>1.0000000000000004</v>
      </c>
      <c r="R9" s="13">
        <f>IFERROR(R7+R8, "NA")</f>
        <v>127939.99999999996</v>
      </c>
      <c r="S9" s="14">
        <f>IFERROR(R9/R148, "NA")</f>
        <v>0.99999999999999967</v>
      </c>
      <c r="T9" s="13">
        <f>IFERROR(T7+T8, "NA")</f>
        <v>124888.67000000004</v>
      </c>
      <c r="U9" s="14">
        <f>IFERROR(T9/T148, "NA")</f>
        <v>1.0000000000000004</v>
      </c>
      <c r="V9" s="13">
        <f>IFERROR(V7+V8, "NA")</f>
        <v>126954.92999999998</v>
      </c>
      <c r="W9" s="14">
        <f>IFERROR(V9/V148, "NA")</f>
        <v>0.99999999999999978</v>
      </c>
      <c r="X9" s="13">
        <f>IFERROR(X7+X8, "NA")</f>
        <v>121741.86000000003</v>
      </c>
      <c r="Y9" s="14">
        <f>IFERROR(X9/X148, "NA")</f>
        <v>1.0000000000000002</v>
      </c>
      <c r="Z9" s="13">
        <f>IFERROR(Z7+Z8, "NA")</f>
        <v>121741.86000000003</v>
      </c>
      <c r="AA9" s="14">
        <f>IFERROR(Z9/Z148, "NA")</f>
        <v>1.0000000000000002</v>
      </c>
      <c r="AB9" s="13">
        <f>IFERROR((R9+T9+V9+X9)/4, "NA")</f>
        <v>125381.36500000001</v>
      </c>
      <c r="AC9" s="14">
        <f>IFERROR(AB9/AB148, "NA")</f>
        <v>1.0000000000000002</v>
      </c>
      <c r="AD9" s="15">
        <f>IFERROR(X9-AB9, "NA")</f>
        <v>-3639.5049999999756</v>
      </c>
      <c r="AE9" s="16">
        <f>IFERROR(AD9/AD148, "NA")</f>
        <v>1</v>
      </c>
      <c r="AF9" s="15">
        <f>IFERROR((X9-AB9)/AB9, "NA")</f>
        <v>-2.9027479482297672E-2</v>
      </c>
      <c r="AG9" s="13">
        <f>IFERROR((J9+L9+N9+P9+R9+T9+V9+X9)/8, "NA")</f>
        <v>136672.79999999999</v>
      </c>
      <c r="AH9" s="14">
        <f>IFERROR(AG9/AG148, "NA")</f>
        <v>0.99999999999999978</v>
      </c>
      <c r="AI9" s="15">
        <f>IFERROR(X9-AG9, "NA")</f>
        <v>-14930.939999999959</v>
      </c>
      <c r="AJ9" s="16">
        <f>IFERROR(AI9/AI148, "NA")</f>
        <v>0.99999999999999711</v>
      </c>
      <c r="AK9" s="15">
        <f>IFERROR((X9-AG9)/AG9, "NA")</f>
        <v>-0.10924587774597404</v>
      </c>
      <c r="AL9" s="16">
        <f>IFERROR(AK9/AK148, "NA")</f>
        <v>0.99999999999999734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5910.54</v>
      </c>
      <c r="C16" s="8">
        <f>IFERROR(B16/B148, "NA")</f>
        <v>4.6630776609204547E-2</v>
      </c>
      <c r="D16" s="7">
        <v>5996.81</v>
      </c>
      <c r="E16" s="8">
        <f>IFERROR(D16/D148, "NA")</f>
        <v>4.3862375297846819E-2</v>
      </c>
      <c r="F16" s="7">
        <v>6977.5599999999995</v>
      </c>
      <c r="G16" s="8">
        <f>IFERROR(F16/F148, "NA")</f>
        <v>4.6612625656771413E-2</v>
      </c>
      <c r="H16" s="7">
        <v>5125.6900000000005</v>
      </c>
      <c r="I16" s="8">
        <f>IFERROR(H16/H148, "NA")</f>
        <v>4.1639333954576266E-2</v>
      </c>
      <c r="J16" s="7">
        <v>7452.2000000000007</v>
      </c>
      <c r="K16" s="8">
        <f>IFERROR(J16/J148, "NA")</f>
        <v>4.4326708337730003E-2</v>
      </c>
      <c r="L16" s="7">
        <v>6999.16</v>
      </c>
      <c r="M16" s="8">
        <f>IFERROR(L16/L148, "NA")</f>
        <v>4.209055944585819E-2</v>
      </c>
      <c r="N16" s="7">
        <v>5415.53</v>
      </c>
      <c r="O16" s="8">
        <f>IFERROR(N16/N148, "NA")</f>
        <v>3.7584046602710405E-2</v>
      </c>
      <c r="P16" s="7">
        <v>5705.51</v>
      </c>
      <c r="Q16" s="8">
        <f>IFERROR(P16/P148, "NA")</f>
        <v>5.0331882851965069E-2</v>
      </c>
      <c r="R16" s="7">
        <v>5180.6000000000004</v>
      </c>
      <c r="S16" s="8">
        <f>IFERROR(R16/R148, "NA")</f>
        <v>4.0492418321088013E-2</v>
      </c>
      <c r="T16" s="7">
        <v>5411.119999999999</v>
      </c>
      <c r="U16" s="8">
        <f>IFERROR(T16/T148, "NA")</f>
        <v>4.3327549248462646E-2</v>
      </c>
      <c r="V16" s="7">
        <v>5168.29</v>
      </c>
      <c r="W16" s="8">
        <f>IFERROR(V16/V148, "NA")</f>
        <v>4.0709643965775887E-2</v>
      </c>
      <c r="X16" s="7">
        <v>4260.71</v>
      </c>
      <c r="Y16" s="8">
        <f>IFERROR(X16/X148, "NA")</f>
        <v>3.4997904582696533E-2</v>
      </c>
      <c r="Z16" s="7">
        <v>4260.71</v>
      </c>
      <c r="AA16" s="8">
        <f>IFERROR(Z16/Z148, "NA")</f>
        <v>3.4997904582696533E-2</v>
      </c>
      <c r="AB16" s="9">
        <f t="shared" si="0"/>
        <v>5005.1799999999994</v>
      </c>
      <c r="AC16" s="8">
        <f>IFERROR(AB16/AB148, "NA")</f>
        <v>3.9919648346466795E-2</v>
      </c>
      <c r="AD16" s="10">
        <f t="shared" si="1"/>
        <v>-744.46999999999935</v>
      </c>
      <c r="AE16" s="11">
        <f>IFERROR(AD16/AD148, "NA")</f>
        <v>0.2045525421726318</v>
      </c>
      <c r="AF16" s="10">
        <f t="shared" si="2"/>
        <v>-0.14873990545794546</v>
      </c>
      <c r="AG16" s="9">
        <f t="shared" si="3"/>
        <v>5699.1399999999994</v>
      </c>
      <c r="AH16" s="8">
        <f>IFERROR(AG16/AG148, "NA")</f>
        <v>4.1699153013620843E-2</v>
      </c>
      <c r="AI16" s="10">
        <f t="shared" si="4"/>
        <v>-1438.4299999999994</v>
      </c>
      <c r="AJ16" s="11">
        <f>IFERROR(AI16/AI148, "NA")</f>
        <v>9.6338877525460498E-2</v>
      </c>
      <c r="AK16" s="10">
        <f t="shared" si="5"/>
        <v>-0.25239422088244884</v>
      </c>
      <c r="AL16" s="11">
        <f>IFERROR(AK16/AK148, "NA")</f>
        <v>2.3103317588726999</v>
      </c>
    </row>
    <row r="17" spans="1:38" ht="16.5" customHeight="1">
      <c r="A17" s="25" t="s">
        <v>32</v>
      </c>
      <c r="B17" s="7">
        <v>3583.66</v>
      </c>
      <c r="C17" s="8">
        <f>IFERROR(B17/B148, "NA")</f>
        <v>2.8273025629357379E-2</v>
      </c>
      <c r="D17" s="7">
        <v>3246.62</v>
      </c>
      <c r="E17" s="8">
        <f>IFERROR(D17/D148, "NA")</f>
        <v>2.3746702811910905E-2</v>
      </c>
      <c r="F17" s="7">
        <v>3501.02</v>
      </c>
      <c r="G17" s="8">
        <f>IFERROR(F17/F148, "NA")</f>
        <v>2.3388080457476521E-2</v>
      </c>
      <c r="H17" s="7">
        <v>3185.6899999999996</v>
      </c>
      <c r="I17" s="8">
        <f>IFERROR(H17/H148, "NA")</f>
        <v>2.587944448176812E-2</v>
      </c>
      <c r="J17" s="7">
        <v>3951.9399999999996</v>
      </c>
      <c r="K17" s="8">
        <f>IFERROR(J17/J148, "NA")</f>
        <v>2.3506681483079987E-2</v>
      </c>
      <c r="L17" s="7">
        <v>4372.5400000000009</v>
      </c>
      <c r="M17" s="8">
        <f>IFERROR(L17/L148, "NA")</f>
        <v>2.6294963224071575E-2</v>
      </c>
      <c r="N17" s="7">
        <v>3147.74</v>
      </c>
      <c r="O17" s="8">
        <f>IFERROR(N17/N148, "NA")</f>
        <v>2.1845471607250935E-2</v>
      </c>
      <c r="P17" s="7">
        <v>3244.12</v>
      </c>
      <c r="Q17" s="8">
        <f>IFERROR(P17/P148, "NA")</f>
        <v>2.8618417599428785E-2</v>
      </c>
      <c r="R17" s="7">
        <v>3135.12</v>
      </c>
      <c r="S17" s="8">
        <f>IFERROR(R17/R148, "NA")</f>
        <v>2.4504611536657808E-2</v>
      </c>
      <c r="T17" s="7">
        <v>3247.0099999999998</v>
      </c>
      <c r="U17" s="8">
        <f>IFERROR(T17/T148, "NA")</f>
        <v>2.599923595951498E-2</v>
      </c>
      <c r="V17" s="7">
        <v>3658.0699999999997</v>
      </c>
      <c r="W17" s="8">
        <f>IFERROR(V17/V148, "NA")</f>
        <v>2.8813926328028375E-2</v>
      </c>
      <c r="X17" s="7">
        <v>3239.9700000000003</v>
      </c>
      <c r="Y17" s="8">
        <f>IFERROR(X17/X148, "NA")</f>
        <v>2.6613442574312564E-2</v>
      </c>
      <c r="Z17" s="7">
        <v>3239.9700000000003</v>
      </c>
      <c r="AA17" s="8">
        <f>IFERROR(Z17/Z148, "NA")</f>
        <v>2.6613442574312564E-2</v>
      </c>
      <c r="AB17" s="9">
        <f t="shared" si="0"/>
        <v>3320.0424999999996</v>
      </c>
      <c r="AC17" s="8">
        <f>IFERROR(AB17/AB148, "NA")</f>
        <v>2.6479553002154665E-2</v>
      </c>
      <c r="AD17" s="10">
        <f t="shared" si="1"/>
        <v>-80.072499999999309</v>
      </c>
      <c r="AE17" s="11">
        <f>IFERROR(AD17/AD148, "NA")</f>
        <v>2.2000931445347607E-2</v>
      </c>
      <c r="AF17" s="10">
        <f t="shared" si="2"/>
        <v>-2.411791415320717E-2</v>
      </c>
      <c r="AG17" s="9">
        <f t="shared" si="3"/>
        <v>3499.5637499999998</v>
      </c>
      <c r="AH17" s="8">
        <f>IFERROR(AG17/AG148, "NA")</f>
        <v>2.5605414903331163E-2</v>
      </c>
      <c r="AI17" s="10">
        <f t="shared" si="4"/>
        <v>-259.59374999999955</v>
      </c>
      <c r="AJ17" s="11">
        <f>IFERROR(AI17/AI148, "NA")</f>
        <v>1.7386296509127992E-2</v>
      </c>
      <c r="AK17" s="10">
        <f t="shared" si="5"/>
        <v>-7.417888872577319E-2</v>
      </c>
      <c r="AL17" s="11">
        <f>IFERROR(AK17/AK148, "NA")</f>
        <v>0.67900858372211348</v>
      </c>
    </row>
    <row r="18" spans="1:38" ht="16.5" customHeight="1">
      <c r="A18" s="25" t="s">
        <v>33</v>
      </c>
      <c r="B18" s="7">
        <v>5450.2</v>
      </c>
      <c r="C18" s="8">
        <f>IFERROR(B18/B148, "NA")</f>
        <v>4.2998957569949044E-2</v>
      </c>
      <c r="D18" s="7">
        <v>5725.9</v>
      </c>
      <c r="E18" s="8">
        <f>IFERROR(D18/D148, "NA")</f>
        <v>4.1880862444856691E-2</v>
      </c>
      <c r="F18" s="7">
        <v>6431.6100000000006</v>
      </c>
      <c r="G18" s="8">
        <f>IFERROR(F18/F148, "NA")</f>
        <v>4.2965482102675957E-2</v>
      </c>
      <c r="H18" s="7">
        <v>4078.89</v>
      </c>
      <c r="I18" s="8">
        <f>IFERROR(H18/H148, "NA")</f>
        <v>3.3135492562753811E-2</v>
      </c>
      <c r="J18" s="7">
        <v>6017.6</v>
      </c>
      <c r="K18" s="8">
        <f>IFERROR(J18/J148, "NA")</f>
        <v>3.5793510653649135E-2</v>
      </c>
      <c r="L18" s="7">
        <v>5378.05</v>
      </c>
      <c r="M18" s="8">
        <f>IFERROR(L18/L148, "NA")</f>
        <v>3.2341757186262018E-2</v>
      </c>
      <c r="N18" s="7">
        <v>5330.59</v>
      </c>
      <c r="O18" s="8">
        <f>IFERROR(N18/N148, "NA")</f>
        <v>3.6994558792942167E-2</v>
      </c>
      <c r="P18" s="7">
        <v>4240.07</v>
      </c>
      <c r="Q18" s="8">
        <f>IFERROR(P18/P148, "NA")</f>
        <v>3.7404317322050358E-2</v>
      </c>
      <c r="R18" s="7">
        <v>3891.0299999999997</v>
      </c>
      <c r="S18" s="8">
        <f>IFERROR(R18/R148, "NA")</f>
        <v>3.0412927934969514E-2</v>
      </c>
      <c r="T18" s="7">
        <v>3950.44</v>
      </c>
      <c r="U18" s="8">
        <f>IFERROR(T18/T148, "NA")</f>
        <v>3.1631692450564172E-2</v>
      </c>
      <c r="V18" s="7">
        <v>3740.7</v>
      </c>
      <c r="W18" s="8">
        <f>IFERROR(V18/V148, "NA")</f>
        <v>2.9464787228034386E-2</v>
      </c>
      <c r="X18" s="7">
        <v>3772.41</v>
      </c>
      <c r="Y18" s="8">
        <f>IFERROR(X18/X148, "NA")</f>
        <v>3.0986958799545196E-2</v>
      </c>
      <c r="Z18" s="7">
        <v>3772.41</v>
      </c>
      <c r="AA18" s="8">
        <f>IFERROR(Z18/Z148, "NA")</f>
        <v>3.0986958799545196E-2</v>
      </c>
      <c r="AB18" s="9">
        <f t="shared" si="0"/>
        <v>3838.6449999999995</v>
      </c>
      <c r="AC18" s="8">
        <f>IFERROR(AB18/AB148, "NA")</f>
        <v>3.0615753784463903E-2</v>
      </c>
      <c r="AD18" s="10">
        <f t="shared" si="1"/>
        <v>-66.234999999999673</v>
      </c>
      <c r="AE18" s="11">
        <f>IFERROR(AD18/AD148, "NA")</f>
        <v>1.8198903422306088E-2</v>
      </c>
      <c r="AF18" s="10">
        <f t="shared" si="2"/>
        <v>-1.725478651972237E-2</v>
      </c>
      <c r="AG18" s="9">
        <f t="shared" si="3"/>
        <v>4540.1112499999999</v>
      </c>
      <c r="AH18" s="8">
        <f>IFERROR(AG18/AG148, "NA")</f>
        <v>3.3218835422995648E-2</v>
      </c>
      <c r="AI18" s="10">
        <f t="shared" si="4"/>
        <v>-767.70125000000007</v>
      </c>
      <c r="AJ18" s="11">
        <f>IFERROR(AI18/AI148, "NA")</f>
        <v>5.1416806309582647E-2</v>
      </c>
      <c r="AK18" s="10">
        <f t="shared" si="5"/>
        <v>-0.16909304810537409</v>
      </c>
      <c r="AL18" s="11">
        <f>IFERROR(AK18/AK148, "NA")</f>
        <v>1.5478208568982377</v>
      </c>
    </row>
    <row r="19" spans="1:38" ht="16.5" customHeight="1">
      <c r="A19" s="25" t="s">
        <v>34</v>
      </c>
      <c r="B19" s="7">
        <v>2551.67</v>
      </c>
      <c r="C19" s="8">
        <f>IFERROR(B19/B148, "NA")</f>
        <v>2.0131215379713015E-2</v>
      </c>
      <c r="D19" s="7">
        <v>2978.3099999999995</v>
      </c>
      <c r="E19" s="8">
        <f>IFERROR(D19/D148, "NA")</f>
        <v>2.1784207098995988E-2</v>
      </c>
      <c r="F19" s="7">
        <v>2756.3999999999996</v>
      </c>
      <c r="G19" s="8">
        <f>IFERROR(F19/F148, "NA")</f>
        <v>1.8413749413881748E-2</v>
      </c>
      <c r="H19" s="7">
        <v>2706.55</v>
      </c>
      <c r="I19" s="8">
        <f>IFERROR(H19/H148, "NA")</f>
        <v>2.1987076728159211E-2</v>
      </c>
      <c r="J19" s="7">
        <v>2960.49</v>
      </c>
      <c r="K19" s="8">
        <f>IFERROR(J19/J148, "NA")</f>
        <v>1.7609400816774413E-2</v>
      </c>
      <c r="L19" s="7">
        <v>3341.6299999999997</v>
      </c>
      <c r="M19" s="8">
        <f>IFERROR(L19/L148, "NA")</f>
        <v>2.0095422330831569E-2</v>
      </c>
      <c r="N19" s="7">
        <v>2829.4</v>
      </c>
      <c r="O19" s="8">
        <f>IFERROR(N19/N148, "NA")</f>
        <v>1.9636176229788929E-2</v>
      </c>
      <c r="P19" s="7">
        <v>2242.4299999999998</v>
      </c>
      <c r="Q19" s="8">
        <f>IFERROR(P19/P148, "NA")</f>
        <v>1.9781881736029211E-2</v>
      </c>
      <c r="R19" s="7">
        <v>2488.9899999999998</v>
      </c>
      <c r="S19" s="8">
        <f>IFERROR(R19/R148, "NA")</f>
        <v>1.9454353603251522E-2</v>
      </c>
      <c r="T19" s="7">
        <v>2378.85</v>
      </c>
      <c r="U19" s="8">
        <f>IFERROR(T19/T148, "NA")</f>
        <v>1.9047764701153436E-2</v>
      </c>
      <c r="V19" s="7">
        <v>2657.17</v>
      </c>
      <c r="W19" s="8">
        <f>IFERROR(V19/V148, "NA")</f>
        <v>2.0930026112416428E-2</v>
      </c>
      <c r="X19" s="7">
        <v>2869.5600000000004</v>
      </c>
      <c r="Y19" s="8">
        <f>IFERROR(X19/X148, "NA")</f>
        <v>2.3570857221994146E-2</v>
      </c>
      <c r="Z19" s="7">
        <v>2869.5600000000004</v>
      </c>
      <c r="AA19" s="8">
        <f>IFERROR(Z19/Z148, "NA")</f>
        <v>2.3570857221994146E-2</v>
      </c>
      <c r="AB19" s="9">
        <f t="shared" si="0"/>
        <v>2598.6424999999999</v>
      </c>
      <c r="AC19" s="8">
        <f>IFERROR(AB19/AB148, "NA")</f>
        <v>2.072590691607162E-2</v>
      </c>
      <c r="AD19" s="10">
        <f t="shared" si="1"/>
        <v>270.91750000000047</v>
      </c>
      <c r="AE19" s="11">
        <f>IFERROR(AD19/AD148, "NA")</f>
        <v>-7.4438007366386991E-2</v>
      </c>
      <c r="AF19" s="10">
        <f t="shared" si="2"/>
        <v>0.1042534708025442</v>
      </c>
      <c r="AG19" s="9">
        <f t="shared" si="3"/>
        <v>2721.0650000000001</v>
      </c>
      <c r="AH19" s="8">
        <f>IFERROR(AG19/AG148, "NA")</f>
        <v>1.9909338215065468E-2</v>
      </c>
      <c r="AI19" s="10">
        <f t="shared" si="4"/>
        <v>148.49500000000035</v>
      </c>
      <c r="AJ19" s="11">
        <f>IFERROR(AI19/AI148, "NA")</f>
        <v>-9.9454555439912242E-3</v>
      </c>
      <c r="AK19" s="10">
        <f t="shared" si="5"/>
        <v>5.4572382504644447E-2</v>
      </c>
      <c r="AL19" s="11">
        <f>IFERROR(AK19/AK148, "NA")</f>
        <v>-0.4995372240180973</v>
      </c>
    </row>
    <row r="20" spans="1:38" ht="16.5" customHeight="1">
      <c r="A20" s="25" t="s">
        <v>35</v>
      </c>
      <c r="B20" s="7">
        <v>1421.23</v>
      </c>
      <c r="C20" s="8">
        <f>IFERROR(B20/B148, "NA")</f>
        <v>1.121269099613568E-2</v>
      </c>
      <c r="D20" s="7">
        <v>1622.16</v>
      </c>
      <c r="E20" s="8">
        <f>IFERROR(D20/D148, "NA")</f>
        <v>1.1864939978614496E-2</v>
      </c>
      <c r="F20" s="7">
        <v>1663.08</v>
      </c>
      <c r="G20" s="8">
        <f>IFERROR(F20/F148, "NA")</f>
        <v>1.1109976191858387E-2</v>
      </c>
      <c r="H20" s="7">
        <v>1486.54</v>
      </c>
      <c r="I20" s="8">
        <f>IFERROR(H20/H148, "NA")</f>
        <v>1.2076137163354747E-2</v>
      </c>
      <c r="J20" s="7">
        <v>2019.0300000000002</v>
      </c>
      <c r="K20" s="8">
        <f>IFERROR(J20/J148, "NA")</f>
        <v>1.2009467531081695E-2</v>
      </c>
      <c r="L20" s="7">
        <v>1618.86</v>
      </c>
      <c r="M20" s="8">
        <f>IFERROR(L20/L148, "NA")</f>
        <v>9.7352715275150145E-3</v>
      </c>
      <c r="N20" s="7">
        <v>1710.0200000000002</v>
      </c>
      <c r="O20" s="8">
        <f>IFERROR(N20/N148, "NA")</f>
        <v>1.1867623551446832E-2</v>
      </c>
      <c r="P20" s="7">
        <v>1457.02</v>
      </c>
      <c r="Q20" s="8">
        <f>IFERROR(P20/P148, "NA")</f>
        <v>1.285328742793723E-2</v>
      </c>
      <c r="R20" s="7">
        <v>1543.94</v>
      </c>
      <c r="S20" s="8">
        <f>IFERROR(R20/R148, "NA")</f>
        <v>1.2067687978740034E-2</v>
      </c>
      <c r="T20" s="7">
        <v>1896.2800000000002</v>
      </c>
      <c r="U20" s="8">
        <f>IFERROR(T20/T148, "NA")</f>
        <v>1.5183763266916048E-2</v>
      </c>
      <c r="V20" s="7">
        <v>1476.2599999999998</v>
      </c>
      <c r="W20" s="8">
        <f>IFERROR(V20/V148, "NA")</f>
        <v>1.1628221133279344E-2</v>
      </c>
      <c r="X20" s="7">
        <v>1784.56</v>
      </c>
      <c r="Y20" s="8">
        <f>IFERROR(X20/X148, "NA")</f>
        <v>1.4658557048495889E-2</v>
      </c>
      <c r="Z20" s="7">
        <v>1784.56</v>
      </c>
      <c r="AA20" s="8">
        <f>IFERROR(Z20/Z148, "NA")</f>
        <v>1.4658557048495889E-2</v>
      </c>
      <c r="AB20" s="9">
        <f t="shared" si="0"/>
        <v>1675.2599999999998</v>
      </c>
      <c r="AC20" s="8">
        <f>IFERROR(AB20/AB148, "NA")</f>
        <v>1.3361315694720662E-2</v>
      </c>
      <c r="AD20" s="10">
        <f t="shared" si="1"/>
        <v>109.30000000000018</v>
      </c>
      <c r="AE20" s="11">
        <f>IFERROR(AD20/AD148, "NA")</f>
        <v>-3.0031556489138196E-2</v>
      </c>
      <c r="AF20" s="10">
        <f t="shared" si="2"/>
        <v>6.5243603977890113E-2</v>
      </c>
      <c r="AG20" s="9">
        <f t="shared" si="3"/>
        <v>1688.2462500000001</v>
      </c>
      <c r="AH20" s="8">
        <f>IFERROR(AG20/AG148, "NA")</f>
        <v>1.2352466986847419E-2</v>
      </c>
      <c r="AI20" s="10">
        <f t="shared" si="4"/>
        <v>96.3137499999998</v>
      </c>
      <c r="AJ20" s="11">
        <f>IFERROR(AI20/AI148, "NA")</f>
        <v>-6.4506152995055764E-3</v>
      </c>
      <c r="AK20" s="10">
        <f t="shared" si="5"/>
        <v>5.7049586220019613E-2</v>
      </c>
      <c r="AL20" s="11">
        <f>IFERROR(AK20/AK148, "NA")</f>
        <v>-0.52221271316685325</v>
      </c>
    </row>
    <row r="21" spans="1:38" ht="16.5" customHeight="1">
      <c r="A21" s="25" t="s">
        <v>36</v>
      </c>
      <c r="B21" s="7">
        <v>901.98</v>
      </c>
      <c r="C21" s="8">
        <f>IFERROR(B21/B148, "NA")</f>
        <v>7.1161057849147991E-3</v>
      </c>
      <c r="D21" s="7">
        <v>1168.3899999999999</v>
      </c>
      <c r="E21" s="8">
        <f>IFERROR(D21/D148, "NA")</f>
        <v>8.5459370355657812E-3</v>
      </c>
      <c r="F21" s="7">
        <v>842.56</v>
      </c>
      <c r="G21" s="8">
        <f>IFERROR(F21/F148, "NA")</f>
        <v>5.6286056835583393E-3</v>
      </c>
      <c r="H21" s="7">
        <v>995.38</v>
      </c>
      <c r="I21" s="8">
        <f>IFERROR(H21/H148, "NA")</f>
        <v>8.0861230842493633E-3</v>
      </c>
      <c r="J21" s="7">
        <v>1375.1399999999999</v>
      </c>
      <c r="K21" s="8">
        <f>IFERROR(J21/J148, "NA")</f>
        <v>8.1795214438080063E-3</v>
      </c>
      <c r="L21" s="7">
        <v>1183.1300000000001</v>
      </c>
      <c r="M21" s="8">
        <f>IFERROR(L21/L148, "NA")</f>
        <v>7.1149400209708311E-3</v>
      </c>
      <c r="N21" s="7">
        <v>1134.3699999999999</v>
      </c>
      <c r="O21" s="8">
        <f>IFERROR(N21/N148, "NA")</f>
        <v>7.8725840212715281E-3</v>
      </c>
      <c r="P21" s="7">
        <v>893.89</v>
      </c>
      <c r="Q21" s="8">
        <f>IFERROR(P21/P148, "NA")</f>
        <v>7.8855644390322787E-3</v>
      </c>
      <c r="R21" s="7">
        <v>1027.3599999999999</v>
      </c>
      <c r="S21" s="8">
        <f>IFERROR(R21/R148, "NA")</f>
        <v>8.030014069094888E-3</v>
      </c>
      <c r="T21" s="7">
        <v>875.48</v>
      </c>
      <c r="U21" s="8">
        <f>IFERROR(T21/T148, "NA")</f>
        <v>7.0100834607334682E-3</v>
      </c>
      <c r="V21" s="7">
        <v>1007.6400000000001</v>
      </c>
      <c r="W21" s="8">
        <f>IFERROR(V21/V148, "NA")</f>
        <v>7.9369899223291299E-3</v>
      </c>
      <c r="X21" s="7">
        <v>812.72</v>
      </c>
      <c r="Y21" s="8">
        <f>IFERROR(X21/X148, "NA")</f>
        <v>6.6757646055350221E-3</v>
      </c>
      <c r="Z21" s="7">
        <v>812.72</v>
      </c>
      <c r="AA21" s="8">
        <f>IFERROR(Z21/Z148, "NA")</f>
        <v>6.6757646055350221E-3</v>
      </c>
      <c r="AB21" s="9">
        <f t="shared" si="0"/>
        <v>930.8</v>
      </c>
      <c r="AC21" s="8">
        <f>IFERROR(AB21/AB148, "NA")</f>
        <v>7.4237507304215425E-3</v>
      </c>
      <c r="AD21" s="10">
        <f t="shared" si="1"/>
        <v>-118.07999999999993</v>
      </c>
      <c r="AE21" s="11">
        <f>IFERROR(AD21/AD148, "NA")</f>
        <v>3.2443972463288472E-2</v>
      </c>
      <c r="AF21" s="10">
        <f t="shared" si="2"/>
        <v>-0.12685861624409103</v>
      </c>
      <c r="AG21" s="9">
        <f t="shared" si="3"/>
        <v>1038.7162499999999</v>
      </c>
      <c r="AH21" s="8">
        <f>IFERROR(AG21/AG148, "NA")</f>
        <v>7.6000217307320827E-3</v>
      </c>
      <c r="AI21" s="10">
        <f t="shared" si="4"/>
        <v>-225.99624999999992</v>
      </c>
      <c r="AJ21" s="11">
        <f>IFERROR(AI21/AI148, "NA")</f>
        <v>1.5136103286196306E-2</v>
      </c>
      <c r="AK21" s="10">
        <f t="shared" si="5"/>
        <v>-0.21757265278173893</v>
      </c>
      <c r="AL21" s="11">
        <f>IFERROR(AK21/AK148, "NA")</f>
        <v>1.9915868430994998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923.38</v>
      </c>
      <c r="C23" s="8">
        <f>IFERROR(B23/B148, "NA")</f>
        <v>7.2849395326666077E-3</v>
      </c>
      <c r="D23" s="7">
        <v>557.07000000000005</v>
      </c>
      <c r="E23" s="8">
        <f>IFERROR(D23/D148, "NA")</f>
        <v>4.0745685468059735E-3</v>
      </c>
      <c r="F23" s="7">
        <v>1081.45</v>
      </c>
      <c r="G23" s="8">
        <f>IFERROR(F23/F148, "NA")</f>
        <v>7.2244773268184655E-3</v>
      </c>
      <c r="H23" s="7">
        <v>747.8</v>
      </c>
      <c r="I23" s="8">
        <f>IFERROR(H23/H148, "NA")</f>
        <v>6.0748687359618173E-3</v>
      </c>
      <c r="J23" s="7">
        <v>974.11</v>
      </c>
      <c r="K23" s="8">
        <f>IFERROR(J23/J148, "NA")</f>
        <v>5.7941399665690898E-3</v>
      </c>
      <c r="L23" s="7">
        <v>565.42000000000007</v>
      </c>
      <c r="M23" s="8">
        <f>IFERROR(L23/L148, "NA")</f>
        <v>3.4002429037023217E-3</v>
      </c>
      <c r="N23" s="7">
        <v>638.37</v>
      </c>
      <c r="O23" s="8">
        <f>IFERROR(N23/N148, "NA")</f>
        <v>4.4303194386832393E-3</v>
      </c>
      <c r="P23" s="7">
        <v>702.53</v>
      </c>
      <c r="Q23" s="8">
        <f>IFERROR(P23/P148, "NA")</f>
        <v>6.197457836370635E-3</v>
      </c>
      <c r="R23" s="7">
        <v>996.99999999999989</v>
      </c>
      <c r="S23" s="8">
        <f>IFERROR(R23/R148, "NA")</f>
        <v>7.7927153353134276E-3</v>
      </c>
      <c r="T23" s="7">
        <v>780.32</v>
      </c>
      <c r="U23" s="8">
        <f>IFERROR(T23/T148, "NA")</f>
        <v>6.2481248298985013E-3</v>
      </c>
      <c r="V23" s="7">
        <v>533.6</v>
      </c>
      <c r="W23" s="8">
        <f>IFERROR(V23/V148, "NA")</f>
        <v>4.203066395294771E-3</v>
      </c>
      <c r="X23" s="7">
        <v>-183.94</v>
      </c>
      <c r="Y23" s="8">
        <f>IFERROR(X23/X148, "NA")</f>
        <v>-1.5109018377080815E-3</v>
      </c>
      <c r="Z23" s="7">
        <v>-183.94</v>
      </c>
      <c r="AA23" s="8">
        <f>IFERROR(Z23/Z148, "NA")</f>
        <v>-1.5109018377080815E-3</v>
      </c>
      <c r="AB23" s="9">
        <f t="shared" si="0"/>
        <v>531.745</v>
      </c>
      <c r="AC23" s="8">
        <f>IFERROR(AB23/AB148, "NA")</f>
        <v>4.2410209842587056E-3</v>
      </c>
      <c r="AD23" s="10">
        <f t="shared" si="1"/>
        <v>-715.68499999999995</v>
      </c>
      <c r="AE23" s="11">
        <f>IFERROR(AD23/AD148, "NA")</f>
        <v>0.19664349959678712</v>
      </c>
      <c r="AF23" s="10">
        <f t="shared" si="2"/>
        <v>-1.345917686108943</v>
      </c>
      <c r="AG23" s="9">
        <f t="shared" si="3"/>
        <v>625.9262500000001</v>
      </c>
      <c r="AH23" s="8">
        <f>IFERROR(AG23/AG148, "NA")</f>
        <v>4.5797426408180708E-3</v>
      </c>
      <c r="AI23" s="10">
        <f t="shared" si="4"/>
        <v>-809.86625000000004</v>
      </c>
      <c r="AJ23" s="11">
        <f>IFERROR(AI23/AI148, "NA")</f>
        <v>5.4240808013427143E-2</v>
      </c>
      <c r="AK23" s="10">
        <f t="shared" si="5"/>
        <v>-1.2938684869024104</v>
      </c>
      <c r="AL23" s="11">
        <f>IFERROR(AK23/AK148, "NA")</f>
        <v>11.843636699143909</v>
      </c>
    </row>
    <row r="24" spans="1:38" ht="16.5" customHeight="1">
      <c r="A24" s="25" t="s">
        <v>39</v>
      </c>
      <c r="B24" s="7">
        <v>6691.97</v>
      </c>
      <c r="C24" s="8">
        <f>IFERROR(B24/B148, "NA")</f>
        <v>5.2795811913209041E-2</v>
      </c>
      <c r="D24" s="7">
        <v>8455</v>
      </c>
      <c r="E24" s="8">
        <f>IFERROR(D24/D148, "NA")</f>
        <v>6.1842276667644101E-2</v>
      </c>
      <c r="F24" s="7">
        <v>8234.26</v>
      </c>
      <c r="G24" s="8">
        <f>IFERROR(F24/F148, "NA")</f>
        <v>5.500783639847262E-2</v>
      </c>
      <c r="H24" s="7">
        <v>7440.5299999999988</v>
      </c>
      <c r="I24" s="8">
        <f>IFERROR(H24/H148, "NA")</f>
        <v>6.0444294030470684E-2</v>
      </c>
      <c r="J24" s="7">
        <v>8909.4499999999989</v>
      </c>
      <c r="K24" s="8">
        <f>IFERROR(J24/J148, "NA")</f>
        <v>5.2994631330290184E-2</v>
      </c>
      <c r="L24" s="7">
        <v>9034.5499999999993</v>
      </c>
      <c r="M24" s="8">
        <f>IFERROR(L24/L148, "NA")</f>
        <v>5.4330700232824811E-2</v>
      </c>
      <c r="N24" s="7">
        <v>7754.5399999999991</v>
      </c>
      <c r="O24" s="8">
        <f>IFERROR(N24/N148, "NA")</f>
        <v>5.3816891927952006E-2</v>
      </c>
      <c r="P24" s="7">
        <v>6805.88</v>
      </c>
      <c r="Q24" s="8">
        <f>IFERROR(P24/P148, "NA")</f>
        <v>6.0038936898635188E-2</v>
      </c>
      <c r="R24" s="7">
        <v>8475.4</v>
      </c>
      <c r="S24" s="8">
        <f>IFERROR(R24/R148, "NA")</f>
        <v>6.6245114897608245E-2</v>
      </c>
      <c r="T24" s="7">
        <v>7329.29</v>
      </c>
      <c r="U24" s="8">
        <f>IFERROR(T24/T148, "NA")</f>
        <v>5.8686588623291451E-2</v>
      </c>
      <c r="V24" s="7">
        <v>7563.1100000000006</v>
      </c>
      <c r="W24" s="8">
        <f>IFERROR(V24/V148, "NA")</f>
        <v>5.957318868987601E-2</v>
      </c>
      <c r="X24" s="7">
        <v>7010.67</v>
      </c>
      <c r="Y24" s="8">
        <f>IFERROR(X24/X148, "NA")</f>
        <v>5.7586355260220268E-2</v>
      </c>
      <c r="Z24" s="7">
        <v>7010.67</v>
      </c>
      <c r="AA24" s="8">
        <f>IFERROR(Z24/Z148, "NA")</f>
        <v>5.7586355260220268E-2</v>
      </c>
      <c r="AB24" s="9">
        <f t="shared" si="0"/>
        <v>7594.6175000000003</v>
      </c>
      <c r="AC24" s="8">
        <f>IFERROR(AB24/AB148, "NA")</f>
        <v>6.0572139248922685E-2</v>
      </c>
      <c r="AD24" s="10">
        <f t="shared" si="1"/>
        <v>-583.94750000000022</v>
      </c>
      <c r="AE24" s="11">
        <f>IFERROR(AD24/AD148, "NA")</f>
        <v>0.16044695638555356</v>
      </c>
      <c r="AF24" s="10">
        <f t="shared" si="2"/>
        <v>-7.6889652441350764E-2</v>
      </c>
      <c r="AG24" s="9">
        <f t="shared" si="3"/>
        <v>7860.3612499999999</v>
      </c>
      <c r="AH24" s="8">
        <f>IFERROR(AG24/AG148, "NA")</f>
        <v>5.7512257376742107E-2</v>
      </c>
      <c r="AI24" s="10">
        <f t="shared" si="4"/>
        <v>-849.69124999999985</v>
      </c>
      <c r="AJ24" s="11">
        <f>IFERROR(AI24/AI148, "NA")</f>
        <v>5.6908088171273859E-2</v>
      </c>
      <c r="AK24" s="10">
        <f t="shared" si="5"/>
        <v>-0.10809824421237635</v>
      </c>
      <c r="AL24" s="11">
        <f>IFERROR(AK24/AK148, "NA")</f>
        <v>0.98949494885045886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27434.63</v>
      </c>
      <c r="C27" s="14">
        <f>IFERROR(B27/B148, "NA")</f>
        <v>0.21644352341515011</v>
      </c>
      <c r="D27" s="13">
        <f>IFERROR(D15+D16+D17+D18+D19+D20+D21+D22+D23+D24+D25+D26, "NA")</f>
        <v>29750.26</v>
      </c>
      <c r="E27" s="14">
        <f>IFERROR(D27/D148, "NA")</f>
        <v>0.21760186988224076</v>
      </c>
      <c r="F27" s="13">
        <f>IFERROR(F15+F16+F17+F18+F19+F20+F21+F22+F23+F24+F25+F26, "NA")</f>
        <v>31487.94000000001</v>
      </c>
      <c r="G27" s="14">
        <f>IFERROR(F27/F148, "NA")</f>
        <v>0.21035083323151352</v>
      </c>
      <c r="H27" s="13">
        <f>IFERROR(H15+H16+H17+H18+H19+H20+H21+H22+H23+H24+H25+H26, "NA")</f>
        <v>25767.07</v>
      </c>
      <c r="I27" s="14">
        <f>IFERROR(H27/H148, "NA")</f>
        <v>0.20932277074129402</v>
      </c>
      <c r="J27" s="13">
        <f>IFERROR(J15+J16+J17+J18+J19+J20+J21+J22+J23+J24+J25+J26, "NA")</f>
        <v>33659.959999999992</v>
      </c>
      <c r="K27" s="14">
        <f>IFERROR(J27/J148, "NA")</f>
        <v>0.20021406156298246</v>
      </c>
      <c r="L27" s="13">
        <f>IFERROR(L15+L16+L17+L18+L19+L20+L21+L22+L23+L24+L25+L26, "NA")</f>
        <v>32493.34</v>
      </c>
      <c r="M27" s="14">
        <f>IFERROR(L27/L148, "NA")</f>
        <v>0.19540385687203632</v>
      </c>
      <c r="N27" s="13">
        <f>IFERROR(N15+N16+N17+N18+N19+N20+N21+N22+N23+N24+N25+N26, "NA")</f>
        <v>27960.559999999998</v>
      </c>
      <c r="O27" s="14">
        <f>IFERROR(N27/N148, "NA")</f>
        <v>0.19404767217204602</v>
      </c>
      <c r="P27" s="13">
        <f>IFERROR(P15+P16+P17+P18+P19+P20+P21+P22+P23+P24+P25+P26, "NA")</f>
        <v>25291.45</v>
      </c>
      <c r="Q27" s="14">
        <f>IFERROR(P27/P148, "NA")</f>
        <v>0.22311174611144877</v>
      </c>
      <c r="R27" s="13">
        <f>IFERROR(R15+R16+R17+R18+R19+R20+R21+R22+R23+R24+R25+R26, "NA")</f>
        <v>26739.440000000002</v>
      </c>
      <c r="S27" s="14">
        <f>IFERROR(R27/R148, "NA")</f>
        <v>0.20899984367672347</v>
      </c>
      <c r="T27" s="13">
        <f>IFERROR(T15+T16+T17+T18+T19+T20+T21+T22+T23+T24+T25+T26, "NA")</f>
        <v>25868.79</v>
      </c>
      <c r="U27" s="14">
        <f>IFERROR(T27/T148, "NA")</f>
        <v>0.20713480254053471</v>
      </c>
      <c r="V27" s="13">
        <f>IFERROR(V15+V16+V17+V18+V19+V20+V21+V22+V23+V24+V25+V26, "NA")</f>
        <v>25804.84</v>
      </c>
      <c r="W27" s="14">
        <f>IFERROR(V27/V148, "NA")</f>
        <v>0.20325984977503433</v>
      </c>
      <c r="X27" s="13">
        <f>IFERROR(X15+X16+X17+X18+X19+X20+X21+X22+X23+X24+X25+X26, "NA")</f>
        <v>23566.660000000003</v>
      </c>
      <c r="Y27" s="14">
        <f>IFERROR(X27/X148, "NA")</f>
        <v>0.19357893825509156</v>
      </c>
      <c r="Z27" s="13">
        <f>IFERROR(Z15+Z16+Z17+Z18+Z19+Z20+Z21+Z22+Z23+Z24+Z25+Z26, "NA")</f>
        <v>23566.660000000003</v>
      </c>
      <c r="AA27" s="14">
        <f>IFERROR(Z27/Z148, "NA")</f>
        <v>0.19357893825509156</v>
      </c>
      <c r="AB27" s="13">
        <f t="shared" si="0"/>
        <v>25494.932500000003</v>
      </c>
      <c r="AC27" s="14">
        <f>IFERROR(AB27/AB148, "NA")</f>
        <v>0.2033390887074806</v>
      </c>
      <c r="AD27" s="15">
        <f t="shared" si="1"/>
        <v>-1928.2724999999991</v>
      </c>
      <c r="AE27" s="16">
        <f>IFERROR(AD27/AD148, "NA")</f>
        <v>0.5298172416303899</v>
      </c>
      <c r="AF27" s="15">
        <f t="shared" si="2"/>
        <v>-7.5633559727996888E-2</v>
      </c>
      <c r="AG27" s="13">
        <f t="shared" si="3"/>
        <v>27673.13</v>
      </c>
      <c r="AH27" s="14">
        <f>IFERROR(AG27/AG148, "NA")</f>
        <v>0.20247723029015283</v>
      </c>
      <c r="AI27" s="15">
        <f t="shared" si="4"/>
        <v>-4106.4699999999975</v>
      </c>
      <c r="AJ27" s="16">
        <f>IFERROR(AI27/AI148, "NA")</f>
        <v>0.27503090897157156</v>
      </c>
      <c r="AK27" s="15">
        <f t="shared" si="5"/>
        <v>-0.14839195999874236</v>
      </c>
      <c r="AL27" s="16">
        <f>IFERROR(AK27/AK148, "NA")</f>
        <v>1.3583300629776902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1231.1100000000001</v>
      </c>
      <c r="C30" s="8">
        <f>IFERROR(B30/B148, "NA")</f>
        <v>9.712753046482692E-3</v>
      </c>
      <c r="D30" s="7">
        <v>2090.69</v>
      </c>
      <c r="E30" s="8">
        <f>IFERROR(D30/D148, "NA")</f>
        <v>1.5291901763013229E-2</v>
      </c>
      <c r="F30" s="7">
        <v>1596.54</v>
      </c>
      <c r="G30" s="8">
        <f>IFERROR(F30/F148, "NA")</f>
        <v>1.0665464914104908E-2</v>
      </c>
      <c r="H30" s="7">
        <v>1410.54</v>
      </c>
      <c r="I30" s="8">
        <f>IFERROR(H30/H148, "NA")</f>
        <v>1.1458739431430305E-2</v>
      </c>
      <c r="J30" s="7">
        <v>1616.5300000000002</v>
      </c>
      <c r="K30" s="8">
        <f>IFERROR(J30/J148, "NA")</f>
        <v>9.6153422921004122E-3</v>
      </c>
      <c r="L30" s="7">
        <v>1966.42</v>
      </c>
      <c r="M30" s="8">
        <f>IFERROR(L30/L148, "NA")</f>
        <v>1.1825378746238758E-2</v>
      </c>
      <c r="N30" s="7">
        <v>557.23</v>
      </c>
      <c r="O30" s="8">
        <f>IFERROR(N30/N148, "NA")</f>
        <v>3.8672038172493407E-3</v>
      </c>
      <c r="P30" s="7">
        <v>1299.6499999999999</v>
      </c>
      <c r="Q30" s="8">
        <f>IFERROR(P30/P148, "NA")</f>
        <v>1.146502793765262E-2</v>
      </c>
      <c r="R30" s="7">
        <v>1368.44</v>
      </c>
      <c r="S30" s="8">
        <f>IFERROR(R30/R148, "NA")</f>
        <v>1.0695951227137721E-2</v>
      </c>
      <c r="T30" s="7">
        <v>1174.52</v>
      </c>
      <c r="U30" s="8">
        <f>IFERROR(T30/T148, "NA")</f>
        <v>9.4045360559929098E-3</v>
      </c>
      <c r="V30" s="7">
        <v>1483.11</v>
      </c>
      <c r="W30" s="8">
        <f>IFERROR(V30/V148, "NA")</f>
        <v>1.1682177289215943E-2</v>
      </c>
      <c r="X30" s="7">
        <v>1200.5999999999999</v>
      </c>
      <c r="Y30" s="8">
        <f>IFERROR(X30/X148, "NA")</f>
        <v>9.861850311799078E-3</v>
      </c>
      <c r="Z30" s="7">
        <v>1200.5999999999999</v>
      </c>
      <c r="AA30" s="8">
        <f>IFERROR(Z30/Z148, "NA")</f>
        <v>9.861850311799078E-3</v>
      </c>
      <c r="AB30" s="9">
        <f t="shared" si="6"/>
        <v>1306.6675</v>
      </c>
      <c r="AC30" s="8">
        <f>IFERROR(AB30/AB148, "NA")</f>
        <v>1.042154470084131E-2</v>
      </c>
      <c r="AD30" s="10">
        <f t="shared" si="7"/>
        <v>-106.06750000000011</v>
      </c>
      <c r="AE30" s="11">
        <f>IFERROR(AD30/AD148, "NA")</f>
        <v>2.9143386257197288E-2</v>
      </c>
      <c r="AF30" s="10">
        <f t="shared" si="8"/>
        <v>-8.1174055373689255E-2</v>
      </c>
      <c r="AG30" s="9">
        <f t="shared" si="9"/>
        <v>1333.3125000000002</v>
      </c>
      <c r="AH30" s="8">
        <f>IFERROR(AG30/AG148, "NA")</f>
        <v>9.7555073138181122E-3</v>
      </c>
      <c r="AI30" s="10">
        <f t="shared" si="10"/>
        <v>-132.71250000000032</v>
      </c>
      <c r="AJ30" s="11">
        <f>IFERROR(AI30/AI148, "NA")</f>
        <v>8.8884222962519639E-3</v>
      </c>
      <c r="AK30" s="10">
        <f t="shared" si="11"/>
        <v>-9.9535930248910359E-2</v>
      </c>
      <c r="AL30" s="11">
        <f>IFERROR(AK30/AK148, "NA")</f>
        <v>0.9111184083335192</v>
      </c>
    </row>
    <row r="31" spans="1:38" ht="16.5" customHeight="1">
      <c r="A31" s="25" t="s">
        <v>46</v>
      </c>
      <c r="B31" s="7">
        <v>67.850000000000009</v>
      </c>
      <c r="C31" s="8">
        <f>IFERROR(B31/B148, "NA")</f>
        <v>5.3529765350281513E-4</v>
      </c>
      <c r="D31" s="7">
        <v>112.12</v>
      </c>
      <c r="E31" s="8">
        <f>IFERROR(D31/D148, "NA")</f>
        <v>8.2007759432007775E-4</v>
      </c>
      <c r="F31" s="7">
        <v>29.259999999999998</v>
      </c>
      <c r="G31" s="8">
        <f>IFERROR(F31/F148, "NA")</f>
        <v>1.9546738784290377E-4</v>
      </c>
      <c r="H31" s="7">
        <v>63.17</v>
      </c>
      <c r="I31" s="8">
        <f>IFERROR(H31/H148, "NA")</f>
        <v>5.131712463903558E-4</v>
      </c>
      <c r="J31" s="7">
        <v>72.48</v>
      </c>
      <c r="K31" s="8">
        <f>IFERROR(J31/J148, "NA")</f>
        <v>4.3112098713382233E-4</v>
      </c>
      <c r="L31" s="7">
        <v>37.89</v>
      </c>
      <c r="M31" s="8">
        <f>IFERROR(L31/L148, "NA")</f>
        <v>2.278575282467563E-4</v>
      </c>
      <c r="N31" s="7">
        <v>48.86</v>
      </c>
      <c r="O31" s="8">
        <f>IFERROR(N31/N148, "NA")</f>
        <v>3.3909082158319325E-4</v>
      </c>
      <c r="P31" s="7">
        <v>53.22</v>
      </c>
      <c r="Q31" s="8">
        <f>IFERROR(P31/P148, "NA")</f>
        <v>4.6948700561064323E-4</v>
      </c>
      <c r="R31" s="7">
        <v>54.96</v>
      </c>
      <c r="S31" s="8">
        <f>IFERROR(R31/R148, "NA")</f>
        <v>4.2957636392058777E-4</v>
      </c>
      <c r="T31" s="7">
        <v>45.92</v>
      </c>
      <c r="U31" s="8">
        <f>IFERROR(T31/T148, "NA")</f>
        <v>3.6768747717467088E-4</v>
      </c>
      <c r="V31" s="7">
        <v>46.85</v>
      </c>
      <c r="W31" s="8">
        <f>IFERROR(V31/V148, "NA")</f>
        <v>3.6902859936199404E-4</v>
      </c>
      <c r="X31" s="7">
        <v>46.17</v>
      </c>
      <c r="Y31" s="8">
        <f>IFERROR(X31/X148, "NA")</f>
        <v>3.7924506821236339E-4</v>
      </c>
      <c r="Z31" s="7">
        <v>46.17</v>
      </c>
      <c r="AA31" s="8">
        <f>IFERROR(Z31/Z148, "NA")</f>
        <v>3.7924506821236339E-4</v>
      </c>
      <c r="AB31" s="9">
        <f t="shared" si="6"/>
        <v>48.474999999999994</v>
      </c>
      <c r="AC31" s="8">
        <f>IFERROR(AB31/AB148, "NA")</f>
        <v>3.8662045193079526E-4</v>
      </c>
      <c r="AD31" s="10">
        <f t="shared" si="7"/>
        <v>-2.3049999999999926</v>
      </c>
      <c r="AE31" s="11">
        <f>IFERROR(AD31/AD148, "NA")</f>
        <v>6.3332788387432035E-4</v>
      </c>
      <c r="AF31" s="10">
        <f t="shared" si="8"/>
        <v>-4.7550283651366536E-2</v>
      </c>
      <c r="AG31" s="9">
        <f t="shared" si="9"/>
        <v>50.79375000000001</v>
      </c>
      <c r="AH31" s="8">
        <f>IFERROR(AG31/AG148, "NA")</f>
        <v>3.7164490666760321E-4</v>
      </c>
      <c r="AI31" s="10">
        <f t="shared" si="10"/>
        <v>-4.6237500000000082</v>
      </c>
      <c r="AJ31" s="11">
        <f>IFERROR(AI31/AI148, "NA")</f>
        <v>3.0967574713983229E-4</v>
      </c>
      <c r="AK31" s="10">
        <f t="shared" si="11"/>
        <v>-9.1029900332226063E-2</v>
      </c>
      <c r="AL31" s="11">
        <f>IFERROR(AK31/AK148, "NA")</f>
        <v>0.83325707303935759</v>
      </c>
    </row>
    <row r="32" spans="1:38" ht="16.5" customHeight="1">
      <c r="A32" s="25" t="s">
        <v>47</v>
      </c>
      <c r="B32" s="7">
        <v>2.79</v>
      </c>
      <c r="C32" s="8">
        <f>IFERROR(B32/B148, "NA")</f>
        <v>2.2011502627455475E-5</v>
      </c>
      <c r="D32" s="7">
        <v>1.2</v>
      </c>
      <c r="E32" s="8">
        <f>IFERROR(D32/D148, "NA")</f>
        <v>8.7771415731724332E-6</v>
      </c>
      <c r="F32" s="7">
        <v>158.75</v>
      </c>
      <c r="G32" s="8">
        <f>IFERROR(F32/F148, "NA")</f>
        <v>1.0605074442946334E-3</v>
      </c>
      <c r="H32" s="7">
        <v>-2.8099999999999996</v>
      </c>
      <c r="I32" s="8">
        <f>IFERROR(H32/H148, "NA")</f>
        <v>-2.2827468772469518E-5</v>
      </c>
      <c r="J32" s="7">
        <v>-0.3899999999999999</v>
      </c>
      <c r="K32" s="8">
        <f>IFERROR(J32/J148, "NA")</f>
        <v>-2.3197735234849704E-6</v>
      </c>
      <c r="L32" s="7">
        <v>-30.7</v>
      </c>
      <c r="M32" s="8">
        <f>IFERROR(L32/L148, "NA")</f>
        <v>-1.8461932217406752E-4</v>
      </c>
      <c r="N32" s="7">
        <v>28.5</v>
      </c>
      <c r="O32" s="8">
        <f>IFERROR(N32/N148, "NA")</f>
        <v>1.9779141250759327E-4</v>
      </c>
      <c r="P32" s="7">
        <v>0.8</v>
      </c>
      <c r="Q32" s="8">
        <f>IFERROR(P32/P148, "NA")</f>
        <v>7.0573018505921572E-6</v>
      </c>
      <c r="R32" s="7">
        <v>-26.099999999999998</v>
      </c>
      <c r="S32" s="8">
        <f>IFERROR(R32/R148, "NA")</f>
        <v>-2.0400187587931842E-4</v>
      </c>
      <c r="T32" s="7">
        <v>25.299999999999997</v>
      </c>
      <c r="U32" s="8">
        <f>IFERROR(T32/T148, "NA")</f>
        <v>2.0258042623081819E-4</v>
      </c>
      <c r="V32" s="7">
        <v>5.4</v>
      </c>
      <c r="W32" s="8">
        <f>IFERROR(V32/V148, "NA")</f>
        <v>4.2534779862428341E-5</v>
      </c>
      <c r="X32" s="7">
        <v>-28.31</v>
      </c>
      <c r="Y32" s="8">
        <f>IFERROR(X32/X148, "NA")</f>
        <v>-2.3254121466519399E-4</v>
      </c>
      <c r="Z32" s="7">
        <v>-28.31</v>
      </c>
      <c r="AA32" s="8">
        <f>IFERROR(Z32/Z148, "NA")</f>
        <v>-2.3254121466519399E-4</v>
      </c>
      <c r="AB32" s="9">
        <f t="shared" si="6"/>
        <v>-5.9275000000000002</v>
      </c>
      <c r="AC32" s="8">
        <f>IFERROR(AB32/AB148, "NA")</f>
        <v>-4.7275765421759453E-5</v>
      </c>
      <c r="AD32" s="10">
        <f t="shared" si="7"/>
        <v>-22.3825</v>
      </c>
      <c r="AE32" s="11">
        <f>IFERROR(AD32/AD148, "NA")</f>
        <v>6.1498747769271238E-3</v>
      </c>
      <c r="AF32" s="10">
        <f t="shared" si="8"/>
        <v>3.7760438633487978</v>
      </c>
      <c r="AG32" s="9">
        <f t="shared" si="9"/>
        <v>-3.1875</v>
      </c>
      <c r="AH32" s="8">
        <f>IFERROR(AG32/AG148, "NA")</f>
        <v>-2.3322124080285175E-5</v>
      </c>
      <c r="AI32" s="10">
        <f t="shared" si="10"/>
        <v>-25.122499999999999</v>
      </c>
      <c r="AJ32" s="11">
        <f>IFERROR(AI32/AI148, "NA")</f>
        <v>1.6825799313372094E-3</v>
      </c>
      <c r="AK32" s="10">
        <f t="shared" si="11"/>
        <v>7.8815686274509797</v>
      </c>
      <c r="AL32" s="11">
        <f>IFERROR(AK32/AK148, "NA")</f>
        <v>-72.145226804600526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27.75</v>
      </c>
      <c r="E33" s="8">
        <f>IFERROR(D33/D148, "NA")</f>
        <v>2.0297139887961253E-4</v>
      </c>
      <c r="F33" s="7">
        <v>-4.07</v>
      </c>
      <c r="G33" s="8">
        <f>IFERROR(F33/F148, "NA")</f>
        <v>-2.7189072745065566E-5</v>
      </c>
      <c r="H33" s="7">
        <v>6.6000000000000014</v>
      </c>
      <c r="I33" s="8">
        <f>IFERROR(H33/H148, "NA")</f>
        <v>5.3616118825017388E-5</v>
      </c>
      <c r="J33" s="7">
        <v>85.06</v>
      </c>
      <c r="K33" s="8">
        <f>IFERROR(J33/J148, "NA")</f>
        <v>5.0594855360931192E-4</v>
      </c>
      <c r="L33" s="7">
        <v>-78.02</v>
      </c>
      <c r="M33" s="8">
        <f>IFERROR(L33/L148, "NA")</f>
        <v>-4.6918565198764649E-4</v>
      </c>
      <c r="N33" s="7">
        <v>-13.72</v>
      </c>
      <c r="O33" s="8">
        <f>IFERROR(N33/N148, "NA")</f>
        <v>-9.5217479986111573E-5</v>
      </c>
      <c r="P33" s="7">
        <v>18.989999999999998</v>
      </c>
      <c r="Q33" s="8">
        <f>IFERROR(P33/P148, "NA")</f>
        <v>1.6752270267843131E-4</v>
      </c>
      <c r="R33" s="7">
        <v>12.730000000000002</v>
      </c>
      <c r="S33" s="8">
        <f>IFERROR(R33/R148, "NA")</f>
        <v>9.9499765515085218E-5</v>
      </c>
      <c r="T33" s="7">
        <v>-1.0200000000000014</v>
      </c>
      <c r="U33" s="8">
        <f>IFERROR(T33/T148, "NA")</f>
        <v>-8.1672741010053309E-6</v>
      </c>
      <c r="V33" s="7">
        <v>20.009999999999998</v>
      </c>
      <c r="W33" s="8">
        <f>IFERROR(V33/V148, "NA")</f>
        <v>1.5761498982355389E-4</v>
      </c>
      <c r="X33" s="7">
        <v>14.34</v>
      </c>
      <c r="Y33" s="8">
        <f>IFERROR(X33/X148, "NA")</f>
        <v>1.1779021611794003E-4</v>
      </c>
      <c r="Z33" s="7">
        <v>14.34</v>
      </c>
      <c r="AA33" s="8">
        <f>IFERROR(Z33/Z148, "NA")</f>
        <v>1.1779021611794003E-4</v>
      </c>
      <c r="AB33" s="9">
        <f t="shared" si="6"/>
        <v>11.515000000000001</v>
      </c>
      <c r="AC33" s="8">
        <f>IFERROR(AB33/AB148, "NA")</f>
        <v>9.1839804104860414E-5</v>
      </c>
      <c r="AD33" s="10">
        <f t="shared" si="7"/>
        <v>2.8249999999999993</v>
      </c>
      <c r="AE33" s="11">
        <f>IFERROR(AD33/AD148, "NA")</f>
        <v>-7.7620445637525384E-4</v>
      </c>
      <c r="AF33" s="10">
        <f t="shared" si="8"/>
        <v>0.24533217542336075</v>
      </c>
      <c r="AG33" s="9">
        <f t="shared" si="9"/>
        <v>7.2962500000000006</v>
      </c>
      <c r="AH33" s="8">
        <f>IFERROR(AG33/AG148, "NA")</f>
        <v>5.3384799316323365E-5</v>
      </c>
      <c r="AI33" s="10">
        <f t="shared" si="10"/>
        <v>7.0437499999999993</v>
      </c>
      <c r="AJ33" s="11">
        <f>IFERROR(AI33/AI148, "NA")</f>
        <v>-4.7175529471017887E-4</v>
      </c>
      <c r="AK33" s="10">
        <f t="shared" si="11"/>
        <v>0.96539318142881603</v>
      </c>
      <c r="AL33" s="11">
        <f>IFERROR(AK33/AK148, "NA")</f>
        <v>-8.8368842957499183</v>
      </c>
    </row>
    <row r="34" spans="1:38" ht="16.5" customHeight="1">
      <c r="A34" s="26" t="s">
        <v>49</v>
      </c>
      <c r="B34" s="13">
        <f>IFERROR(B29+B30+B31+B32+B33, "NA")</f>
        <v>1301.75</v>
      </c>
      <c r="C34" s="14">
        <f>IFERROR(B34/B148, "NA")</f>
        <v>1.0270062202612963E-2</v>
      </c>
      <c r="D34" s="13">
        <f>IFERROR(D29+D30+D31+D32+D33, "NA")</f>
        <v>2231.7599999999998</v>
      </c>
      <c r="E34" s="14">
        <f>IFERROR(D34/D148, "NA")</f>
        <v>1.6323727897786088E-2</v>
      </c>
      <c r="F34" s="13">
        <f>IFERROR(F29+F30+F31+F32+F33, "NA")</f>
        <v>1780.48</v>
      </c>
      <c r="G34" s="14">
        <f>IFERROR(F34/F148, "NA")</f>
        <v>1.189425067349738E-2</v>
      </c>
      <c r="H34" s="13">
        <f>IFERROR(H29+H30+H31+H32+H33, "NA")</f>
        <v>1477.5</v>
      </c>
      <c r="I34" s="14">
        <f>IFERROR(H34/H148, "NA")</f>
        <v>1.2002699327873208E-2</v>
      </c>
      <c r="J34" s="13">
        <f>IFERROR(J29+J30+J31+J32+J33, "NA")</f>
        <v>1773.68</v>
      </c>
      <c r="K34" s="14">
        <f>IFERROR(J34/J148, "NA")</f>
        <v>1.055009205932006E-2</v>
      </c>
      <c r="L34" s="13">
        <f>IFERROR(L29+L30+L31+L32+L33, "NA")</f>
        <v>1895.5900000000001</v>
      </c>
      <c r="M34" s="14">
        <f>IFERROR(L34/L148, "NA")</f>
        <v>1.13994313003238E-2</v>
      </c>
      <c r="N34" s="13">
        <f>IFERROR(N29+N30+N31+N32+N33, "NA")</f>
        <v>620.87</v>
      </c>
      <c r="O34" s="14">
        <f>IFERROR(N34/N148, "NA")</f>
        <v>4.3088685713540157E-3</v>
      </c>
      <c r="P34" s="13">
        <f>IFERROR(P29+P30+P31+P32+P33, "NA")</f>
        <v>1372.6599999999999</v>
      </c>
      <c r="Q34" s="14">
        <f>IFERROR(P34/P148, "NA")</f>
        <v>1.2109094947792286E-2</v>
      </c>
      <c r="R34" s="13">
        <f>IFERROR(R29+R30+R31+R32+R33, "NA")</f>
        <v>1410.0300000000002</v>
      </c>
      <c r="S34" s="14">
        <f>IFERROR(R34/R148, "NA")</f>
        <v>1.1021025480694077E-2</v>
      </c>
      <c r="T34" s="13">
        <f>IFERROR(T29+T30+T31+T32+T33, "NA")</f>
        <v>1244.72</v>
      </c>
      <c r="U34" s="14">
        <f>IFERROR(T34/T148, "NA")</f>
        <v>9.9666366852973944E-3</v>
      </c>
      <c r="V34" s="13">
        <f>IFERROR(V29+V30+V31+V32+V33, "NA")</f>
        <v>1555.37</v>
      </c>
      <c r="W34" s="14">
        <f>IFERROR(V34/V148, "NA")</f>
        <v>1.2251355658263919E-2</v>
      </c>
      <c r="X34" s="13">
        <f>IFERROR(X29+X30+X31+X32+X33, "NA")</f>
        <v>1232.8</v>
      </c>
      <c r="Y34" s="14">
        <f>IFERROR(X34/X148, "NA")</f>
        <v>1.0126344381464189E-2</v>
      </c>
      <c r="Z34" s="13">
        <f>IFERROR(Z29+Z30+Z31+Z32+Z33, "NA")</f>
        <v>1232.8</v>
      </c>
      <c r="AA34" s="14">
        <f>IFERROR(Z34/Z148, "NA")</f>
        <v>1.0126344381464189E-2</v>
      </c>
      <c r="AB34" s="13">
        <f t="shared" si="6"/>
        <v>1360.73</v>
      </c>
      <c r="AC34" s="14">
        <f>IFERROR(AB34/AB148, "NA")</f>
        <v>1.0852729191455206E-2</v>
      </c>
      <c r="AD34" s="15">
        <f t="shared" si="7"/>
        <v>-127.93000000000006</v>
      </c>
      <c r="AE34" s="16">
        <f>IFERROR(AD34/AD148, "NA")</f>
        <v>3.5150384461623468E-2</v>
      </c>
      <c r="AF34" s="15">
        <f t="shared" si="8"/>
        <v>-9.4015712154505354E-2</v>
      </c>
      <c r="AG34" s="13">
        <f t="shared" si="9"/>
        <v>1388.2149999999997</v>
      </c>
      <c r="AH34" s="14">
        <f>IFERROR(AG34/AG148, "NA")</f>
        <v>1.015721489572175E-2</v>
      </c>
      <c r="AI34" s="15">
        <f t="shared" si="10"/>
        <v>-155.41499999999974</v>
      </c>
      <c r="AJ34" s="16">
        <f>IFERROR(AI34/AI148, "NA")</f>
        <v>1.0408922680018787E-2</v>
      </c>
      <c r="AK34" s="15">
        <f t="shared" si="11"/>
        <v>-0.11195311965365579</v>
      </c>
      <c r="AL34" s="16">
        <f>IFERROR(AK34/AK148, "NA")</f>
        <v>1.0247811813455929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28736.38</v>
      </c>
      <c r="C35" s="14">
        <f>IFERROR(B35/B148, "NA")</f>
        <v>0.22671358561776309</v>
      </c>
      <c r="D35" s="13">
        <f>IFERROR(D13+D15+D16+D17+D18+D19+D20+D21+D22+D23+D24+D25+D26+D29+D30+D31+D32+D33, "NA")</f>
        <v>31982.019999999997</v>
      </c>
      <c r="E35" s="14">
        <f>IFERROR(D35/D148, "NA")</f>
        <v>0.23392559778002683</v>
      </c>
      <c r="F35" s="13">
        <f>IFERROR(F13+F15+F16+F17+F18+F19+F20+F21+F22+F23+F24+F25+F26+F29+F30+F31+F32+F33, "NA")</f>
        <v>33268.420000000013</v>
      </c>
      <c r="G35" s="14">
        <f>IFERROR(F35/F148, "NA")</f>
        <v>0.22224508390501091</v>
      </c>
      <c r="H35" s="13">
        <f>IFERROR(H13+H15+H16+H17+H18+H19+H20+H21+H22+H23+H24+H25+H26+H29+H30+H31+H32+H33, "NA")</f>
        <v>27244.569999999996</v>
      </c>
      <c r="I35" s="14">
        <f>IFERROR(H35/H148, "NA")</f>
        <v>0.2213254700691672</v>
      </c>
      <c r="J35" s="13">
        <f>IFERROR(J13+J15+J16+J17+J18+J19+J20+J21+J22+J23+J24+J25+J26+J29+J30+J31+J32+J33, "NA")</f>
        <v>35433.639999999992</v>
      </c>
      <c r="K35" s="14">
        <f>IFERROR(J35/J148, "NA")</f>
        <v>0.21076415362230252</v>
      </c>
      <c r="L35" s="13">
        <f>IFERROR(L13+L15+L16+L17+L18+L19+L20+L21+L22+L23+L24+L25+L26+L29+L30+L31+L32+L33, "NA")</f>
        <v>34388.930000000008</v>
      </c>
      <c r="M35" s="14">
        <f>IFERROR(L35/L148, "NA")</f>
        <v>0.20680328817236016</v>
      </c>
      <c r="N35" s="13">
        <f>IFERROR(N13+N15+N16+N17+N18+N19+N20+N21+N22+N23+N24+N25+N26+N29+N30+N31+N32+N33, "NA")</f>
        <v>28581.429999999997</v>
      </c>
      <c r="O35" s="14">
        <f>IFERROR(N35/N148, "NA")</f>
        <v>0.19835654074340003</v>
      </c>
      <c r="P35" s="13">
        <f>IFERROR(P13+P15+P16+P17+P18+P19+P20+P21+P22+P23+P24+P25+P26+P29+P30+P31+P32+P33, "NA")</f>
        <v>26664.110000000004</v>
      </c>
      <c r="Q35" s="14">
        <f>IFERROR(P35/P148, "NA")</f>
        <v>0.23522084105924107</v>
      </c>
      <c r="R35" s="13">
        <f>IFERROR(R13+R15+R16+R17+R18+R19+R20+R21+R22+R23+R24+R25+R26+R29+R30+R31+R32+R33, "NA")</f>
        <v>28149.47</v>
      </c>
      <c r="S35" s="14">
        <f>IFERROR(R35/R148, "NA")</f>
        <v>0.22002086915741756</v>
      </c>
      <c r="T35" s="13">
        <f>IFERROR(T13+T15+T16+T17+T18+T19+T20+T21+T22+T23+T24+T25+T26+T29+T30+T31+T32+T33, "NA")</f>
        <v>27113.51</v>
      </c>
      <c r="U35" s="14">
        <f>IFERROR(T35/T148, "NA")</f>
        <v>0.21710143922583208</v>
      </c>
      <c r="V35" s="13">
        <f>IFERROR(V13+V15+V16+V17+V18+V19+V20+V21+V22+V23+V24+V25+V26+V29+V30+V31+V32+V33, "NA")</f>
        <v>27360.21</v>
      </c>
      <c r="W35" s="14">
        <f>IFERROR(V35/V148, "NA")</f>
        <v>0.21551120543329824</v>
      </c>
      <c r="X35" s="13">
        <f>IFERROR(X13+X15+X16+X17+X18+X19+X20+X21+X22+X23+X24+X25+X26+X29+X30+X31+X32+X33, "NA")</f>
        <v>24799.46</v>
      </c>
      <c r="Y35" s="14">
        <f>IFERROR(X35/X148, "NA")</f>
        <v>0.20370528263655571</v>
      </c>
      <c r="Z35" s="13">
        <f>IFERROR(Z13+Z15+Z16+Z17+Z18+Z19+Z20+Z21+Z22+Z23+Z24+Z25+Z26+Z29+Z30+Z31+Z32+Z33, "NA")</f>
        <v>24799.46</v>
      </c>
      <c r="AA35" s="14">
        <f>IFERROR(Z35/Z148, "NA")</f>
        <v>0.20370528263655571</v>
      </c>
      <c r="AB35" s="13">
        <f t="shared" si="6"/>
        <v>26855.662499999999</v>
      </c>
      <c r="AC35" s="14">
        <f>IFERROR(AB35/AB148, "NA")</f>
        <v>0.21419181789893579</v>
      </c>
      <c r="AD35" s="15">
        <f t="shared" si="7"/>
        <v>-2056.2024999999994</v>
      </c>
      <c r="AE35" s="16">
        <f>IFERROR(AD35/AD148, "NA")</f>
        <v>0.56496762609201345</v>
      </c>
      <c r="AF35" s="15">
        <f t="shared" si="8"/>
        <v>-7.6564951618676311E-2</v>
      </c>
      <c r="AG35" s="13">
        <f t="shared" si="9"/>
        <v>29061.345000000001</v>
      </c>
      <c r="AH35" s="14">
        <f>IFERROR(AG35/AG148, "NA")</f>
        <v>0.21263444518587457</v>
      </c>
      <c r="AI35" s="15">
        <f t="shared" si="10"/>
        <v>-4261.885000000002</v>
      </c>
      <c r="AJ35" s="16">
        <f>IFERROR(AI35/AI148, "NA")</f>
        <v>0.2854398316515907</v>
      </c>
      <c r="AK35" s="15">
        <f t="shared" si="11"/>
        <v>-0.14665133358418209</v>
      </c>
      <c r="AL35" s="16">
        <f>IFERROR(AK35/AK148, "NA")</f>
        <v>1.3423969545577306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3889.5200000000004</v>
      </c>
      <c r="C40" s="8">
        <f>IFERROR(B40/B148, "NA")</f>
        <v>3.0686085913813846E-2</v>
      </c>
      <c r="D40" s="7">
        <v>3192.06</v>
      </c>
      <c r="E40" s="8">
        <f>IFERROR(D40/D148, "NA")</f>
        <v>2.3347635441717331E-2</v>
      </c>
      <c r="F40" s="7">
        <v>4103.4799999999996</v>
      </c>
      <c r="G40" s="8">
        <f>IFERROR(F40/F148, "NA")</f>
        <v>2.7412731259931603E-2</v>
      </c>
      <c r="H40" s="7">
        <v>3662.3900000000003</v>
      </c>
      <c r="I40" s="8">
        <f>IFERROR(H40/H148, "NA")</f>
        <v>2.9751990518720517E-2</v>
      </c>
      <c r="J40" s="7">
        <v>3942.89</v>
      </c>
      <c r="K40" s="8">
        <f>IFERROR(J40/J148, "NA")</f>
        <v>2.3452850841060659E-2</v>
      </c>
      <c r="L40" s="7">
        <v>3972.9</v>
      </c>
      <c r="M40" s="8">
        <f>IFERROR(L40/L148, "NA")</f>
        <v>2.3891664660109214E-2</v>
      </c>
      <c r="N40" s="7">
        <v>3558.7200000000003</v>
      </c>
      <c r="O40" s="8">
        <f>IFERROR(N40/N148, "NA")</f>
        <v>2.469769317610605E-2</v>
      </c>
      <c r="P40" s="7">
        <v>3107.7700000000004</v>
      </c>
      <c r="Q40" s="8">
        <f>IFERROR(P40/P148, "NA")</f>
        <v>2.7415588715268488E-2</v>
      </c>
      <c r="R40" s="7">
        <v>4051.3499999999995</v>
      </c>
      <c r="S40" s="8">
        <f>IFERROR(R40/R148, "NA")</f>
        <v>3.1666015319681093E-2</v>
      </c>
      <c r="T40" s="7">
        <v>3126.81</v>
      </c>
      <c r="U40" s="8">
        <f>IFERROR(T40/T148, "NA")</f>
        <v>2.5036778756631805E-2</v>
      </c>
      <c r="V40" s="7">
        <v>3302.5099999999998</v>
      </c>
      <c r="W40" s="8">
        <f>IFERROR(V40/V148, "NA")</f>
        <v>2.6013247378420038E-2</v>
      </c>
      <c r="X40" s="7">
        <v>3097.12</v>
      </c>
      <c r="Y40" s="8">
        <f>IFERROR(X40/X148, "NA")</f>
        <v>2.544005816898148E-2</v>
      </c>
      <c r="Z40" s="7">
        <v>3097.12</v>
      </c>
      <c r="AA40" s="8">
        <f>IFERROR(Z40/Z148, "NA")</f>
        <v>2.544005816898148E-2</v>
      </c>
      <c r="AB40" s="9">
        <f t="shared" si="12"/>
        <v>3394.4475000000002</v>
      </c>
      <c r="AC40" s="8">
        <f>IFERROR(AB40/AB148, "NA")</f>
        <v>2.7072982496242567E-2</v>
      </c>
      <c r="AD40" s="10">
        <f t="shared" si="13"/>
        <v>-297.32750000000033</v>
      </c>
      <c r="AE40" s="11">
        <f>IFERROR(AD40/AD148, "NA")</f>
        <v>8.1694488673597729E-2</v>
      </c>
      <c r="AF40" s="10">
        <f t="shared" si="14"/>
        <v>-8.7592310677952839E-2</v>
      </c>
      <c r="AG40" s="9">
        <f t="shared" si="15"/>
        <v>3520.00875</v>
      </c>
      <c r="AH40" s="8">
        <f>IFERROR(AG40/AG148, "NA")</f>
        <v>2.5755005750961416E-2</v>
      </c>
      <c r="AI40" s="10">
        <f t="shared" si="16"/>
        <v>-422.88875000000007</v>
      </c>
      <c r="AJ40" s="11">
        <f>IFERROR(AI40/AI148, "NA")</f>
        <v>2.832298234404532E-2</v>
      </c>
      <c r="AK40" s="10">
        <f t="shared" si="17"/>
        <v>-0.12013855079195473</v>
      </c>
      <c r="AL40" s="11">
        <f>IFERROR(AK40/AK148, "NA")</f>
        <v>1.0997078633146118</v>
      </c>
    </row>
    <row r="41" spans="1:38" ht="16.5" customHeight="1">
      <c r="A41" s="25" t="s">
        <v>56</v>
      </c>
      <c r="B41" s="7">
        <v>1169.6000000000001</v>
      </c>
      <c r="C41" s="8">
        <f>IFERROR(B41/B148, "NA")</f>
        <v>9.2274743631082182E-3</v>
      </c>
      <c r="D41" s="7">
        <v>1904.04</v>
      </c>
      <c r="E41" s="8">
        <f>IFERROR(D41/D148, "NA")</f>
        <v>1.39266905341527E-2</v>
      </c>
      <c r="F41" s="7">
        <v>878.40000000000009</v>
      </c>
      <c r="G41" s="8">
        <f>IFERROR(F41/F148, "NA")</f>
        <v>5.8680298523994092E-3</v>
      </c>
      <c r="H41" s="7">
        <v>1440.48</v>
      </c>
      <c r="I41" s="8">
        <f>IFERROR(H41/H148, "NA")</f>
        <v>1.1701961643191067E-2</v>
      </c>
      <c r="J41" s="7">
        <v>1895.9699999999998</v>
      </c>
      <c r="K41" s="8">
        <f>IFERROR(J41/J148, "NA")</f>
        <v>1.1277489762363589E-2</v>
      </c>
      <c r="L41" s="7">
        <v>1472.76</v>
      </c>
      <c r="M41" s="8">
        <f>IFERROR(L41/L148, "NA")</f>
        <v>8.8566759910449402E-3</v>
      </c>
      <c r="N41" s="7">
        <v>2233.42</v>
      </c>
      <c r="O41" s="8">
        <f>IFERROR(N41/N148, "NA")</f>
        <v>1.5500045492024876E-2</v>
      </c>
      <c r="P41" s="7">
        <v>1334.04</v>
      </c>
      <c r="Q41" s="8">
        <f>IFERROR(P41/P148, "NA")</f>
        <v>1.1768403700954951E-2</v>
      </c>
      <c r="R41" s="7">
        <v>687.32</v>
      </c>
      <c r="S41" s="8">
        <f>IFERROR(R41/R148, "NA")</f>
        <v>5.3722057214319217E-3</v>
      </c>
      <c r="T41" s="7">
        <v>1435.9599999999998</v>
      </c>
      <c r="U41" s="8">
        <f>IFERROR(T41/T148, "NA")</f>
        <v>1.1497920507921174E-2</v>
      </c>
      <c r="V41" s="7">
        <v>1558.5499999999997</v>
      </c>
      <c r="W41" s="8">
        <f>IFERROR(V41/V148, "NA")</f>
        <v>1.2276403917516237E-2</v>
      </c>
      <c r="X41" s="7">
        <v>1711.4</v>
      </c>
      <c r="Y41" s="8">
        <f>IFERROR(X41/X148, "NA")</f>
        <v>1.4057613379654294E-2</v>
      </c>
      <c r="Z41" s="7">
        <v>1711.4</v>
      </c>
      <c r="AA41" s="8">
        <f>IFERROR(Z41/Z148, "NA")</f>
        <v>1.4057613379654294E-2</v>
      </c>
      <c r="AB41" s="9">
        <f t="shared" si="12"/>
        <v>1348.3074999999999</v>
      </c>
      <c r="AC41" s="8">
        <f>IFERROR(AB41/AB148, "NA")</f>
        <v>1.075365146965819E-2</v>
      </c>
      <c r="AD41" s="10">
        <f t="shared" si="13"/>
        <v>363.0925000000002</v>
      </c>
      <c r="AE41" s="11">
        <f>IFERROR(AD41/AD148, "NA")</f>
        <v>-9.9764253655374183E-2</v>
      </c>
      <c r="AF41" s="10">
        <f t="shared" si="14"/>
        <v>0.26929502357585361</v>
      </c>
      <c r="AG41" s="9">
        <f t="shared" si="15"/>
        <v>1541.1774999999998</v>
      </c>
      <c r="AH41" s="8">
        <f>IFERROR(AG41/AG148, "NA")</f>
        <v>1.1276402473645083E-2</v>
      </c>
      <c r="AI41" s="10">
        <f t="shared" si="16"/>
        <v>170.22250000000031</v>
      </c>
      <c r="AJ41" s="11">
        <f>IFERROR(AI41/AI148, "NA")</f>
        <v>-1.1400655283592345E-2</v>
      </c>
      <c r="AK41" s="10">
        <f t="shared" si="17"/>
        <v>0.11044963996684375</v>
      </c>
      <c r="AL41" s="11">
        <f>IFERROR(AK41/AK148, "NA")</f>
        <v>-1.0110188342636459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5059.1200000000008</v>
      </c>
      <c r="C44" s="14">
        <f>IFERROR(B44/B148, "NA")</f>
        <v>3.9913560276922062E-2</v>
      </c>
      <c r="D44" s="13">
        <f>IFERROR(D39+D40+D41+D42+D43, "NA")</f>
        <v>5096.1000000000004</v>
      </c>
      <c r="E44" s="14">
        <f>IFERROR(D44/D148, "NA")</f>
        <v>3.7274325975870035E-2</v>
      </c>
      <c r="F44" s="13">
        <f>IFERROR(F39+F40+F41+F42+F43, "NA")</f>
        <v>4981.8799999999992</v>
      </c>
      <c r="G44" s="14">
        <f>IFERROR(F44/F148, "NA")</f>
        <v>3.3280761112331012E-2</v>
      </c>
      <c r="H44" s="13">
        <f>IFERROR(H39+H40+H41+H42+H43, "NA")</f>
        <v>5102.8700000000008</v>
      </c>
      <c r="I44" s="14">
        <f>IFERROR(H44/H148, "NA")</f>
        <v>4.1453952161911591E-2</v>
      </c>
      <c r="J44" s="13">
        <f>IFERROR(J39+J40+J41+J42+J43, "NA")</f>
        <v>5838.86</v>
      </c>
      <c r="K44" s="14">
        <f>IFERROR(J44/J148, "NA")</f>
        <v>3.4730340603424247E-2</v>
      </c>
      <c r="L44" s="13">
        <f>IFERROR(L39+L40+L41+L42+L43, "NA")</f>
        <v>5445.66</v>
      </c>
      <c r="M44" s="14">
        <f>IFERROR(L44/L148, "NA")</f>
        <v>3.2748340651154152E-2</v>
      </c>
      <c r="N44" s="13">
        <f>IFERROR(N39+N40+N41+N42+N43, "NA")</f>
        <v>5792.14</v>
      </c>
      <c r="O44" s="14">
        <f>IFERROR(N44/N148, "NA")</f>
        <v>4.0197738668130929E-2</v>
      </c>
      <c r="P44" s="13">
        <f>IFERROR(P39+P40+P41+P42+P43, "NA")</f>
        <v>4441.8100000000004</v>
      </c>
      <c r="Q44" s="14">
        <f>IFERROR(P44/P148, "NA")</f>
        <v>3.9183992416223438E-2</v>
      </c>
      <c r="R44" s="13">
        <f>IFERROR(R39+R40+R41+R42+R43, "NA")</f>
        <v>4738.6699999999992</v>
      </c>
      <c r="S44" s="14">
        <f>IFERROR(R44/R148, "NA")</f>
        <v>3.7038221041113012E-2</v>
      </c>
      <c r="T44" s="13">
        <f>IFERROR(T39+T40+T41+T42+T43, "NA")</f>
        <v>4562.7699999999995</v>
      </c>
      <c r="U44" s="14">
        <f>IFERROR(T44/T148, "NA")</f>
        <v>3.6534699264552981E-2</v>
      </c>
      <c r="V44" s="13">
        <f>IFERROR(V39+V40+V41+V42+V43, "NA")</f>
        <v>4861.0599999999995</v>
      </c>
      <c r="W44" s="14">
        <f>IFERROR(V44/V148, "NA")</f>
        <v>3.8289651295936276E-2</v>
      </c>
      <c r="X44" s="13">
        <f>IFERROR(X39+X40+X41+X42+X43, "NA")</f>
        <v>4808.5200000000004</v>
      </c>
      <c r="Y44" s="14">
        <f>IFERROR(X44/X148, "NA")</f>
        <v>3.9497671548635774E-2</v>
      </c>
      <c r="Z44" s="13">
        <f>IFERROR(Z39+Z40+Z41+Z42+Z43, "NA")</f>
        <v>4808.5200000000004</v>
      </c>
      <c r="AA44" s="14">
        <f>IFERROR(Z44/Z148, "NA")</f>
        <v>3.9497671548635774E-2</v>
      </c>
      <c r="AB44" s="13">
        <f t="shared" si="12"/>
        <v>4742.7549999999992</v>
      </c>
      <c r="AC44" s="14">
        <f>IFERROR(AB44/AB148, "NA")</f>
        <v>3.7826633965900754E-2</v>
      </c>
      <c r="AD44" s="15">
        <f t="shared" si="13"/>
        <v>65.765000000001237</v>
      </c>
      <c r="AE44" s="16">
        <f>IFERROR(AD44/AD148, "NA")</f>
        <v>-1.8069764981776829E-2</v>
      </c>
      <c r="AF44" s="15">
        <f t="shared" si="14"/>
        <v>1.3866413086908612E-2</v>
      </c>
      <c r="AG44" s="13">
        <f t="shared" si="15"/>
        <v>5061.1862500000007</v>
      </c>
      <c r="AH44" s="14">
        <f>IFERROR(AG44/AG148, "NA")</f>
        <v>3.7031408224606509E-2</v>
      </c>
      <c r="AI44" s="15">
        <f t="shared" si="16"/>
        <v>-252.66625000000022</v>
      </c>
      <c r="AJ44" s="16">
        <f>IFERROR(AI44/AI148, "NA")</f>
        <v>1.6922327060453005E-2</v>
      </c>
      <c r="AK44" s="15">
        <f t="shared" si="17"/>
        <v>-4.9922337870889497E-2</v>
      </c>
      <c r="AL44" s="16">
        <f>IFERROR(AK44/AK148, "NA")</f>
        <v>0.45697228033603415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458.79999999999995</v>
      </c>
      <c r="C47" s="8">
        <f>IFERROR(B47/B148, "NA")</f>
        <v>3.6196693209593444E-3</v>
      </c>
      <c r="D47" s="7">
        <v>321.67999999999995</v>
      </c>
      <c r="E47" s="8">
        <f>IFERROR(D47/D148, "NA")</f>
        <v>2.3528590843817565E-3</v>
      </c>
      <c r="F47" s="7">
        <v>272.64</v>
      </c>
      <c r="G47" s="8">
        <f>IFERROR(F47/F148, "NA")</f>
        <v>1.8213338558267015E-3</v>
      </c>
      <c r="H47" s="7">
        <v>291.20000000000005</v>
      </c>
      <c r="I47" s="8">
        <f>IFERROR(H47/H148, "NA")</f>
        <v>2.3656081517947065E-3</v>
      </c>
      <c r="J47" s="7">
        <v>352.73</v>
      </c>
      <c r="K47" s="8">
        <f>IFERROR(J47/J148, "NA")</f>
        <v>2.0980864485611638E-3</v>
      </c>
      <c r="L47" s="7">
        <v>398.49</v>
      </c>
      <c r="M47" s="8">
        <f>IFERROR(L47/L148, "NA")</f>
        <v>2.3963828564542073E-3</v>
      </c>
      <c r="N47" s="7">
        <v>390.62</v>
      </c>
      <c r="O47" s="8">
        <f>IFERROR(N47/N148, "NA")</f>
        <v>2.7109221597795118E-3</v>
      </c>
      <c r="P47" s="7">
        <v>434.28000000000003</v>
      </c>
      <c r="Q47" s="8">
        <f>IFERROR(P47/P148, "NA")</f>
        <v>3.8310563095939527E-3</v>
      </c>
      <c r="R47" s="7">
        <v>492.29999999999995</v>
      </c>
      <c r="S47" s="8">
        <f>IFERROR(R47/R148, "NA")</f>
        <v>3.8478974519305922E-3</v>
      </c>
      <c r="T47" s="7">
        <v>424.97999999999996</v>
      </c>
      <c r="U47" s="8">
        <f>IFERROR(T47/T148, "NA")</f>
        <v>3.4028707327894512E-3</v>
      </c>
      <c r="V47" s="7">
        <v>449.36</v>
      </c>
      <c r="W47" s="8">
        <f>IFERROR(V47/V148, "NA")</f>
        <v>3.539523829440889E-3</v>
      </c>
      <c r="X47" s="7">
        <v>366.85</v>
      </c>
      <c r="Y47" s="8">
        <f>IFERROR(X47/X148, "NA")</f>
        <v>3.0133431508274967E-3</v>
      </c>
      <c r="Z47" s="7">
        <v>366.85</v>
      </c>
      <c r="AA47" s="8">
        <f>IFERROR(Z47/Z148, "NA")</f>
        <v>3.0133431508274967E-3</v>
      </c>
      <c r="AB47" s="9">
        <f t="shared" si="18"/>
        <v>433.37249999999995</v>
      </c>
      <c r="AC47" s="8">
        <f>IFERROR(AB47/AB148, "NA")</f>
        <v>3.4564346942625801E-3</v>
      </c>
      <c r="AD47" s="10">
        <f t="shared" si="19"/>
        <v>-66.522499999999923</v>
      </c>
      <c r="AE47" s="11">
        <f>IFERROR(AD47/AD148, "NA")</f>
        <v>1.8277897681140805E-2</v>
      </c>
      <c r="AF47" s="10">
        <f t="shared" si="20"/>
        <v>-0.15349958753728013</v>
      </c>
      <c r="AG47" s="9">
        <f t="shared" si="21"/>
        <v>413.70125000000002</v>
      </c>
      <c r="AH47" s="8">
        <f>IFERROR(AG47/AG148, "NA")</f>
        <v>3.0269464736216714E-3</v>
      </c>
      <c r="AI47" s="10">
        <f t="shared" si="22"/>
        <v>-46.851249999999993</v>
      </c>
      <c r="AJ47" s="11">
        <f>IFERROR(AI47/AI148, "NA")</f>
        <v>3.1378633897129037E-3</v>
      </c>
      <c r="AK47" s="10">
        <f t="shared" si="23"/>
        <v>-0.11324899308377723</v>
      </c>
      <c r="AL47" s="11">
        <f>IFERROR(AK47/AK148, "NA")</f>
        <v>1.0366431706202335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458.79999999999995</v>
      </c>
      <c r="C52" s="14">
        <f>IFERROR(B52/B148, "NA")</f>
        <v>3.6196693209593444E-3</v>
      </c>
      <c r="D52" s="13">
        <f>IFERROR(D46+D47+D48+D49+D50+D51, "NA")</f>
        <v>321.67999999999995</v>
      </c>
      <c r="E52" s="14">
        <f>IFERROR(D52/D148, "NA")</f>
        <v>2.3528590843817565E-3</v>
      </c>
      <c r="F52" s="13">
        <f>IFERROR(F46+F47+F48+F49+F50+F51, "NA")</f>
        <v>272.64</v>
      </c>
      <c r="G52" s="14">
        <f>IFERROR(F52/F148, "NA")</f>
        <v>1.8213338558267015E-3</v>
      </c>
      <c r="H52" s="13">
        <f>IFERROR(H46+H47+H48+H49+H50+H51, "NA")</f>
        <v>291.20000000000005</v>
      </c>
      <c r="I52" s="14">
        <f>IFERROR(H52/H148, "NA")</f>
        <v>2.3656081517947065E-3</v>
      </c>
      <c r="J52" s="13">
        <f>IFERROR(J46+J47+J48+J49+J50+J51, "NA")</f>
        <v>352.73</v>
      </c>
      <c r="K52" s="14">
        <f>IFERROR(J52/J148, "NA")</f>
        <v>2.0980864485611638E-3</v>
      </c>
      <c r="L52" s="13">
        <f>IFERROR(L46+L47+L48+L49+L50+L51, "NA")</f>
        <v>398.49</v>
      </c>
      <c r="M52" s="14">
        <f>IFERROR(L52/L148, "NA")</f>
        <v>2.3963828564542073E-3</v>
      </c>
      <c r="N52" s="13">
        <f>IFERROR(N46+N47+N48+N49+N50+N51, "NA")</f>
        <v>390.62</v>
      </c>
      <c r="O52" s="14">
        <f>IFERROR(N52/N148, "NA")</f>
        <v>2.7109221597795118E-3</v>
      </c>
      <c r="P52" s="13">
        <f>IFERROR(P46+P47+P48+P49+P50+P51, "NA")</f>
        <v>434.28000000000003</v>
      </c>
      <c r="Q52" s="14">
        <f>IFERROR(P52/P148, "NA")</f>
        <v>3.8310563095939527E-3</v>
      </c>
      <c r="R52" s="13">
        <f>IFERROR(R46+R47+R48+R49+R50+R51, "NA")</f>
        <v>492.29999999999995</v>
      </c>
      <c r="S52" s="14">
        <f>IFERROR(R52/R148, "NA")</f>
        <v>3.8478974519305922E-3</v>
      </c>
      <c r="T52" s="13">
        <f>IFERROR(T46+T47+T48+T49+T50+T51, "NA")</f>
        <v>424.97999999999996</v>
      </c>
      <c r="U52" s="14">
        <f>IFERROR(T52/T148, "NA")</f>
        <v>3.4028707327894512E-3</v>
      </c>
      <c r="V52" s="13">
        <f>IFERROR(V46+V47+V48+V49+V50+V51, "NA")</f>
        <v>449.36</v>
      </c>
      <c r="W52" s="14">
        <f>IFERROR(V52/V148, "NA")</f>
        <v>3.539523829440889E-3</v>
      </c>
      <c r="X52" s="13">
        <f>IFERROR(X46+X47+X48+X49+X50+X51, "NA")</f>
        <v>366.85</v>
      </c>
      <c r="Y52" s="14">
        <f>IFERROR(X52/X148, "NA")</f>
        <v>3.0133431508274967E-3</v>
      </c>
      <c r="Z52" s="13">
        <f>IFERROR(Z46+Z47+Z48+Z49+Z50+Z51, "NA")</f>
        <v>366.85</v>
      </c>
      <c r="AA52" s="14">
        <f>IFERROR(Z52/Z148, "NA")</f>
        <v>3.0133431508274967E-3</v>
      </c>
      <c r="AB52" s="13">
        <f t="shared" si="18"/>
        <v>433.37249999999995</v>
      </c>
      <c r="AC52" s="14">
        <f>IFERROR(AB52/AB148, "NA")</f>
        <v>3.4564346942625801E-3</v>
      </c>
      <c r="AD52" s="15">
        <f t="shared" si="19"/>
        <v>-66.522499999999923</v>
      </c>
      <c r="AE52" s="16">
        <f>IFERROR(AD52/AD148, "NA")</f>
        <v>1.8277897681140805E-2</v>
      </c>
      <c r="AF52" s="15">
        <f t="shared" si="20"/>
        <v>-0.15349958753728013</v>
      </c>
      <c r="AG52" s="13">
        <f t="shared" si="21"/>
        <v>413.70125000000002</v>
      </c>
      <c r="AH52" s="14">
        <f>IFERROR(AG52/AG148, "NA")</f>
        <v>3.0269464736216714E-3</v>
      </c>
      <c r="AI52" s="15">
        <f t="shared" si="22"/>
        <v>-46.851249999999993</v>
      </c>
      <c r="AJ52" s="16">
        <f>IFERROR(AI52/AI148, "NA")</f>
        <v>3.1378633897129037E-3</v>
      </c>
      <c r="AK52" s="15">
        <f t="shared" si="23"/>
        <v>-0.11324899308377723</v>
      </c>
      <c r="AL52" s="16">
        <f>IFERROR(AK52/AK148, "NA")</f>
        <v>1.0366431706202335</v>
      </c>
    </row>
    <row r="53" spans="1:38" ht="16.5" customHeight="1">
      <c r="A53" s="23" t="s">
        <v>68</v>
      </c>
      <c r="B53" s="7">
        <v>196.35</v>
      </c>
      <c r="C53" s="8">
        <f>IFERROR(B53/B148, "NA")</f>
        <v>1.5490890827601729E-3</v>
      </c>
      <c r="D53" s="7">
        <v>158.16999999999999</v>
      </c>
      <c r="E53" s="8">
        <f>IFERROR(D53/D148, "NA")</f>
        <v>1.1569004021905697E-3</v>
      </c>
      <c r="F53" s="7">
        <v>227.5</v>
      </c>
      <c r="G53" s="8">
        <f>IFERROR(F53/F148, "NA")</f>
        <v>1.5197823217450654E-3</v>
      </c>
      <c r="H53" s="7">
        <v>172.69</v>
      </c>
      <c r="I53" s="8">
        <f>IFERROR(H53/H148, "NA")</f>
        <v>1.4028738727109471E-3</v>
      </c>
      <c r="J53" s="7">
        <v>279.76</v>
      </c>
      <c r="K53" s="8">
        <f>IFERROR(J53/J148, "NA")</f>
        <v>1.6640508741798858E-3</v>
      </c>
      <c r="L53" s="7">
        <v>214.64000000000001</v>
      </c>
      <c r="M53" s="8">
        <f>IFERROR(L53/L148, "NA")</f>
        <v>1.2907717039557607E-3</v>
      </c>
      <c r="N53" s="7">
        <v>296.46000000000004</v>
      </c>
      <c r="O53" s="8">
        <f>IFERROR(N53/N148, "NA")</f>
        <v>2.0574470930526706E-3</v>
      </c>
      <c r="P53" s="7">
        <v>122.15</v>
      </c>
      <c r="Q53" s="8">
        <f>IFERROR(P53/P148, "NA")</f>
        <v>1.0775617763122899E-3</v>
      </c>
      <c r="R53" s="7">
        <v>207.34999999999997</v>
      </c>
      <c r="S53" s="8">
        <f>IFERROR(R53/R148, "NA")</f>
        <v>1.6206815694856961E-3</v>
      </c>
      <c r="T53" s="7">
        <v>145.39999999999998</v>
      </c>
      <c r="U53" s="8">
        <f>IFERROR(T53/T148, "NA")</f>
        <v>1.1642369159668366E-3</v>
      </c>
      <c r="V53" s="7">
        <v>200.7</v>
      </c>
      <c r="W53" s="8">
        <f>IFERROR(V53/V148, "NA")</f>
        <v>1.5808759848869199E-3</v>
      </c>
      <c r="X53" s="7">
        <v>195.33</v>
      </c>
      <c r="Y53" s="8">
        <f>IFERROR(X53/X148, "NA")</f>
        <v>1.6044604542759572E-3</v>
      </c>
      <c r="Z53" s="7">
        <v>195.33</v>
      </c>
      <c r="AA53" s="8">
        <f>IFERROR(Z53/Z148, "NA")</f>
        <v>1.6044604542759572E-3</v>
      </c>
      <c r="AB53" s="9">
        <f t="shared" si="18"/>
        <v>187.19499999999999</v>
      </c>
      <c r="AC53" s="8">
        <f>IFERROR(AB53/AB148, "NA")</f>
        <v>1.49300496130346E-3</v>
      </c>
      <c r="AD53" s="10">
        <f t="shared" si="19"/>
        <v>8.1350000000000193</v>
      </c>
      <c r="AE53" s="11">
        <f>IFERROR(AD53/AD148, "NA")</f>
        <v>-2.2351940717213123E-3</v>
      </c>
      <c r="AF53" s="10">
        <f t="shared" si="20"/>
        <v>4.3457357301210073E-2</v>
      </c>
      <c r="AG53" s="9">
        <f t="shared" si="21"/>
        <v>207.72374999999997</v>
      </c>
      <c r="AH53" s="8">
        <f>IFERROR(AG53/AG148, "NA")</f>
        <v>1.5198616696226312E-3</v>
      </c>
      <c r="AI53" s="10">
        <f t="shared" si="22"/>
        <v>-12.393749999999955</v>
      </c>
      <c r="AJ53" s="11">
        <f>IFERROR(AI53/AI148, "NA")</f>
        <v>8.3007164987602608E-4</v>
      </c>
      <c r="AK53" s="10">
        <f t="shared" si="23"/>
        <v>-5.9664578556857154E-2</v>
      </c>
      <c r="AL53" s="11">
        <f>IFERROR(AK53/AK148, "NA")</f>
        <v>0.54614947298600258</v>
      </c>
    </row>
    <row r="54" spans="1:38" ht="16.5" customHeight="1">
      <c r="A54" s="23" t="s">
        <v>69</v>
      </c>
      <c r="B54" s="7">
        <v>144.31</v>
      </c>
      <c r="C54" s="8">
        <f>IFERROR(B54/B148, "NA")</f>
        <v>1.1385232774796057E-3</v>
      </c>
      <c r="D54" s="7">
        <v>158.93</v>
      </c>
      <c r="E54" s="8">
        <f>IFERROR(D54/D148, "NA")</f>
        <v>1.1624592585202458E-3</v>
      </c>
      <c r="F54" s="7">
        <v>140</v>
      </c>
      <c r="G54" s="8">
        <f>IFERROR(F54/F148, "NA")</f>
        <v>9.3525065953542475E-4</v>
      </c>
      <c r="H54" s="7">
        <v>146</v>
      </c>
      <c r="I54" s="8">
        <f>IFERROR(H54/H148, "NA")</f>
        <v>1.1860535376443239E-3</v>
      </c>
      <c r="J54" s="7">
        <v>140.81</v>
      </c>
      <c r="K54" s="8">
        <f>IFERROR(J54/J148, "NA")</f>
        <v>8.375572047228686E-4</v>
      </c>
      <c r="L54" s="7">
        <v>130.31</v>
      </c>
      <c r="M54" s="8">
        <f>IFERROR(L54/L148, "NA")</f>
        <v>7.8363986555383513E-4</v>
      </c>
      <c r="N54" s="7">
        <v>130.81</v>
      </c>
      <c r="O54" s="8">
        <f>IFERROR(N54/N148, "NA")</f>
        <v>9.0782788316204485E-4</v>
      </c>
      <c r="P54" s="7">
        <v>132</v>
      </c>
      <c r="Q54" s="8">
        <f>IFERROR(P54/P148, "NA")</f>
        <v>1.1644548053477059E-3</v>
      </c>
      <c r="R54" s="7">
        <v>129</v>
      </c>
      <c r="S54" s="8">
        <f>IFERROR(R54/R148, "NA")</f>
        <v>1.0082851336564015E-3</v>
      </c>
      <c r="T54" s="7">
        <v>123</v>
      </c>
      <c r="U54" s="8">
        <f>IFERROR(T54/T148, "NA")</f>
        <v>9.8487717100358271E-4</v>
      </c>
      <c r="V54" s="7">
        <v>162</v>
      </c>
      <c r="W54" s="8">
        <f>IFERROR(V54/V148, "NA")</f>
        <v>1.2760433958728503E-3</v>
      </c>
      <c r="X54" s="7">
        <v>152</v>
      </c>
      <c r="Y54" s="8">
        <f>IFERROR(X54/X148, "NA")</f>
        <v>1.2485434344439946E-3</v>
      </c>
      <c r="Z54" s="7">
        <v>152</v>
      </c>
      <c r="AA54" s="8">
        <f>IFERROR(Z54/Z148, "NA")</f>
        <v>1.2485434344439946E-3</v>
      </c>
      <c r="AB54" s="9">
        <f t="shared" si="18"/>
        <v>141.5</v>
      </c>
      <c r="AC54" s="8">
        <f>IFERROR(AB54/AB148, "NA")</f>
        <v>1.1285568632946371E-3</v>
      </c>
      <c r="AD54" s="10">
        <f t="shared" si="19"/>
        <v>10.5</v>
      </c>
      <c r="AE54" s="11">
        <f>IFERROR(AD54/AD148, "NA")</f>
        <v>-2.8850077139611213E-3</v>
      </c>
      <c r="AF54" s="10">
        <f t="shared" si="20"/>
        <v>7.4204946996466431E-2</v>
      </c>
      <c r="AG54" s="9">
        <f t="shared" si="21"/>
        <v>137.49125000000001</v>
      </c>
      <c r="AH54" s="8">
        <f>IFERROR(AG54/AG148, "NA")</f>
        <v>1.0059883897893362E-3</v>
      </c>
      <c r="AI54" s="10">
        <f t="shared" si="22"/>
        <v>14.508749999999992</v>
      </c>
      <c r="AJ54" s="11">
        <f>IFERROR(AI54/AI148, "NA")</f>
        <v>-9.7172381645093948E-4</v>
      </c>
      <c r="AK54" s="10">
        <f t="shared" si="23"/>
        <v>0.10552489703890242</v>
      </c>
      <c r="AL54" s="11">
        <f>IFERROR(AK54/AK148, "NA")</f>
        <v>-0.96593939484175151</v>
      </c>
    </row>
    <row r="55" spans="1:38" ht="16.5" customHeight="1">
      <c r="A55" s="23" t="s">
        <v>70</v>
      </c>
      <c r="B55" s="7">
        <v>-1005.6500000000001</v>
      </c>
      <c r="C55" s="8">
        <f>IFERROR(B55/B148, "NA")</f>
        <v>-7.9340027302152692E-3</v>
      </c>
      <c r="D55" s="7">
        <v>-1114.4000000000001</v>
      </c>
      <c r="E55" s="8">
        <f>IFERROR(D55/D148, "NA")</f>
        <v>-8.1510388076194672E-3</v>
      </c>
      <c r="F55" s="7">
        <v>-823.2299999999999</v>
      </c>
      <c r="G55" s="8">
        <f>IFERROR(F55/F148, "NA")</f>
        <v>-5.4994742889239116E-3</v>
      </c>
      <c r="H55" s="7">
        <v>-1046.73</v>
      </c>
      <c r="I55" s="8">
        <f>IFERROR(H55/H148, "NA")</f>
        <v>-8.5032727360167329E-3</v>
      </c>
      <c r="J55" s="7">
        <v>-969.12000000000012</v>
      </c>
      <c r="K55" s="8">
        <f>IFERROR(J55/J148, "NA")</f>
        <v>-5.7644587617429622E-3</v>
      </c>
      <c r="L55" s="7">
        <v>-850.58999999999992</v>
      </c>
      <c r="M55" s="8">
        <f>IFERROR(L55/L148, "NA")</f>
        <v>-5.1151579559622178E-3</v>
      </c>
      <c r="N55" s="7">
        <v>-934.09999999999991</v>
      </c>
      <c r="O55" s="8">
        <f>IFERROR(N55/N148, "NA")</f>
        <v>-6.4827002955558898E-3</v>
      </c>
      <c r="P55" s="7">
        <v>-1087.01</v>
      </c>
      <c r="Q55" s="8">
        <f>IFERROR(P55/P148, "NA")</f>
        <v>-9.5891971057652254E-3</v>
      </c>
      <c r="R55" s="7">
        <v>-1121.99</v>
      </c>
      <c r="S55" s="8">
        <f>IFERROR(R55/R148, "NA")</f>
        <v>-8.769657652024386E-3</v>
      </c>
      <c r="T55" s="7">
        <v>-1670.63</v>
      </c>
      <c r="U55" s="8">
        <f>IFERROR(T55/T148, "NA")</f>
        <v>-1.3376954050355409E-2</v>
      </c>
      <c r="V55" s="7">
        <v>-1845.62</v>
      </c>
      <c r="W55" s="8">
        <f>IFERROR(V55/V148, "NA")</f>
        <v>-1.4537600075869442E-2</v>
      </c>
      <c r="X55" s="7">
        <v>-1478.68</v>
      </c>
      <c r="Y55" s="8">
        <f>IFERROR(X55/X148, "NA")</f>
        <v>-1.2146027668708198E-2</v>
      </c>
      <c r="Z55" s="7">
        <v>-1478.68</v>
      </c>
      <c r="AA55" s="8">
        <f>IFERROR(Z55/Z148, "NA")</f>
        <v>-1.2146027668708198E-2</v>
      </c>
      <c r="AB55" s="9">
        <f t="shared" si="18"/>
        <v>-1529.23</v>
      </c>
      <c r="AC55" s="8">
        <f>IFERROR(AB55/AB148, "NA")</f>
        <v>-1.2196629060466842E-2</v>
      </c>
      <c r="AD55" s="10">
        <f t="shared" si="19"/>
        <v>50.549999999999955</v>
      </c>
      <c r="AE55" s="11">
        <f>IFERROR(AD55/AD148, "NA")</f>
        <v>-1.38892514229271E-2</v>
      </c>
      <c r="AF55" s="10">
        <f t="shared" si="20"/>
        <v>-3.30558516377523E-2</v>
      </c>
      <c r="AG55" s="9">
        <f t="shared" si="21"/>
        <v>-1244.7175</v>
      </c>
      <c r="AH55" s="8">
        <f>IFERROR(AG55/AG148, "NA")</f>
        <v>-9.1072803074203484E-3</v>
      </c>
      <c r="AI55" s="10">
        <f t="shared" si="22"/>
        <v>-233.96250000000009</v>
      </c>
      <c r="AJ55" s="11">
        <f>IFERROR(AI55/AI148, "NA")</f>
        <v>1.5669643036540237E-2</v>
      </c>
      <c r="AK55" s="10">
        <f t="shared" si="23"/>
        <v>0.18796433728938503</v>
      </c>
      <c r="AL55" s="11">
        <f>IFERROR(AK55/AK148, "NA")</f>
        <v>-1.7205622872695665</v>
      </c>
    </row>
    <row r="56" spans="1:38" ht="16.5" customHeight="1">
      <c r="A56" s="27" t="s">
        <v>71</v>
      </c>
      <c r="B56" s="13">
        <f>IFERROR(B37+B39+B40+B41+B42+B43+B46+B47+B48+B49+B50+B51+B53+B54+B55, "NA")</f>
        <v>4852.9300000000021</v>
      </c>
      <c r="C56" s="14">
        <f>IFERROR(B56/B148, "NA")</f>
        <v>3.8286839227905933E-2</v>
      </c>
      <c r="D56" s="13">
        <f>IFERROR(D37+D39+D40+D41+D42+D43+D46+D47+D48+D49+D50+D51+D53+D54+D55, "NA")</f>
        <v>4620.4800000000014</v>
      </c>
      <c r="E56" s="14">
        <f>IFERROR(D56/D148, "NA")</f>
        <v>3.3795505913343148E-2</v>
      </c>
      <c r="F56" s="13">
        <f>IFERROR(F37+F39+F40+F41+F42+F43+F46+F47+F48+F49+F50+F51+F53+F54+F55, "NA")</f>
        <v>4798.79</v>
      </c>
      <c r="G56" s="14">
        <f>IFERROR(F56/F148, "NA")</f>
        <v>3.2057653660514294E-2</v>
      </c>
      <c r="H56" s="13">
        <f>IFERROR(H37+H39+H40+H41+H42+H43+H46+H47+H48+H49+H50+H51+H53+H54+H55, "NA")</f>
        <v>4666.0300000000007</v>
      </c>
      <c r="I56" s="14">
        <f>IFERROR(H56/H148, "NA")</f>
        <v>3.7905214988044833E-2</v>
      </c>
      <c r="J56" s="13">
        <f>IFERROR(J37+J39+J40+J41+J42+J43+J46+J47+J48+J49+J50+J51+J53+J54+J55, "NA")</f>
        <v>5643.0400000000009</v>
      </c>
      <c r="K56" s="14">
        <f>IFERROR(J56/J148, "NA")</f>
        <v>3.3565576369145214E-2</v>
      </c>
      <c r="L56" s="13">
        <f>IFERROR(L37+L39+L40+L41+L42+L43+L46+L47+L48+L49+L50+L51+L53+L54+L55, "NA")</f>
        <v>5338.51</v>
      </c>
      <c r="M56" s="14">
        <f>IFERROR(L56/L148, "NA")</f>
        <v>3.2103977121155744E-2</v>
      </c>
      <c r="N56" s="13">
        <f>IFERROR(N37+N39+N40+N41+N42+N43+N46+N47+N48+N49+N50+N51+N53+N54+N55, "NA")</f>
        <v>5675.93</v>
      </c>
      <c r="O56" s="14">
        <f>IFERROR(N56/N148, "NA")</f>
        <v>3.939123550856926E-2</v>
      </c>
      <c r="P56" s="13">
        <f>IFERROR(P37+P39+P40+P41+P42+P43+P46+P47+P48+P49+P50+P51+P53+P54+P55, "NA")</f>
        <v>4043.2299999999996</v>
      </c>
      <c r="Q56" s="14">
        <f>IFERROR(P56/P148, "NA")</f>
        <v>3.5667868201712152E-2</v>
      </c>
      <c r="R56" s="13">
        <f>IFERROR(R37+R39+R40+R41+R42+R43+R46+R47+R48+R49+R50+R51+R53+R54+R55, "NA")</f>
        <v>4445.33</v>
      </c>
      <c r="S56" s="14">
        <f>IFERROR(R56/R148, "NA")</f>
        <v>3.4745427544161323E-2</v>
      </c>
      <c r="T56" s="13">
        <f>IFERROR(T37+T39+T40+T41+T42+T43+T46+T47+T48+T49+T50+T51+T53+T54+T55, "NA")</f>
        <v>3585.5199999999986</v>
      </c>
      <c r="U56" s="14">
        <f>IFERROR(T56/T148, "NA")</f>
        <v>2.8709730033957433E-2</v>
      </c>
      <c r="V56" s="13">
        <f>IFERROR(V37+V39+V40+V41+V42+V43+V46+V47+V48+V49+V50+V51+V53+V54+V55, "NA")</f>
        <v>3827.4999999999991</v>
      </c>
      <c r="W56" s="14">
        <f>IFERROR(V56/V148, "NA")</f>
        <v>3.014849443026749E-2</v>
      </c>
      <c r="X56" s="13">
        <f>IFERROR(X37+X39+X40+X41+X42+X43+X46+X47+X48+X49+X50+X51+X53+X54+X55, "NA")</f>
        <v>4044.0200000000004</v>
      </c>
      <c r="Y56" s="14">
        <f>IFERROR(X56/X148, "NA")</f>
        <v>3.3217990919475027E-2</v>
      </c>
      <c r="Z56" s="13">
        <f>IFERROR(Z37+Z39+Z40+Z41+Z42+Z43+Z46+Z47+Z48+Z49+Z50+Z51+Z53+Z54+Z55, "NA")</f>
        <v>4044.0200000000004</v>
      </c>
      <c r="AA56" s="14">
        <f>IFERROR(Z56/Z148, "NA")</f>
        <v>3.3217990919475027E-2</v>
      </c>
      <c r="AB56" s="13">
        <f t="shared" si="18"/>
        <v>3975.5924999999997</v>
      </c>
      <c r="AC56" s="14">
        <f>IFERROR(AB56/AB148, "NA")</f>
        <v>3.1708001424294592E-2</v>
      </c>
      <c r="AD56" s="15">
        <f t="shared" si="19"/>
        <v>68.427500000000691</v>
      </c>
      <c r="AE56" s="16">
        <f>IFERROR(AD56/AD148, "NA")</f>
        <v>-1.8801320509245392E-2</v>
      </c>
      <c r="AF56" s="15">
        <f t="shared" si="20"/>
        <v>1.7211899861467365E-2</v>
      </c>
      <c r="AG56" s="13">
        <f t="shared" si="21"/>
        <v>4575.3850000000002</v>
      </c>
      <c r="AH56" s="14">
        <f>IFERROR(AG56/AG148, "NA")</f>
        <v>3.347692445021979E-2</v>
      </c>
      <c r="AI56" s="15">
        <f t="shared" si="22"/>
        <v>-531.36499999999978</v>
      </c>
      <c r="AJ56" s="16">
        <f>IFERROR(AI56/AI148, "NA")</f>
        <v>3.5588181320131196E-2</v>
      </c>
      <c r="AK56" s="15">
        <f t="shared" si="23"/>
        <v>-0.11613558203298734</v>
      </c>
      <c r="AL56" s="16">
        <f>IFERROR(AK56/AK148, "NA")</f>
        <v>1.0630660344277099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33589.31</v>
      </c>
      <c r="C57" s="29">
        <f>IFERROR(B57/B148, "NA")</f>
        <v>0.26500042484566899</v>
      </c>
      <c r="D57" s="28">
        <f>IFERROR(D13+D15+D16+D17+D18+D19+D20+D21+D22+D23+D24+D25+D26+D29+D30+D31+D32+D33+D37+D39+D40+D41+D42+D43+D46+D47+D48+D49+D50+D51+D53+D54+D55, "NA")</f>
        <v>36602.499999999993</v>
      </c>
      <c r="E57" s="29">
        <f>IFERROR(D57/D148, "NA")</f>
        <v>0.26772110369336993</v>
      </c>
      <c r="F57" s="28">
        <f>IFERROR(F13+F15+F16+F17+F18+F19+F20+F21+F22+F23+F24+F25+F26+F29+F30+F31+F32+F33+F37+F39+F40+F41+F42+F43+F46+F47+F48+F49+F50+F51+F53+F54+F55, "NA")</f>
        <v>38067.210000000006</v>
      </c>
      <c r="G57" s="29">
        <f>IFERROR(F57/F148, "NA")</f>
        <v>0.25430273756552518</v>
      </c>
      <c r="H57" s="28">
        <f>IFERROR(H13+H15+H16+H17+H18+H19+H20+H21+H22+H23+H24+H25+H26+H29+H30+H31+H32+H33+H37+H39+H40+H41+H42+H43+H46+H47+H48+H49+H50+H51+H53+H54+H55, "NA")</f>
        <v>31910.599999999995</v>
      </c>
      <c r="I57" s="29">
        <f>IFERROR(H57/H148, "NA")</f>
        <v>0.25923068505721203</v>
      </c>
      <c r="J57" s="28">
        <f>IFERROR(J13+J15+J16+J17+J18+J19+J20+J21+J22+J23+J24+J25+J26+J29+J30+J31+J32+J33+J37+J39+J40+J41+J42+J43+J46+J47+J48+J49+J50+J51+J53+J54+J55, "NA")</f>
        <v>41076.679999999993</v>
      </c>
      <c r="K57" s="29">
        <f>IFERROR(J57/J148, "NA")</f>
        <v>0.24432972999144775</v>
      </c>
      <c r="L57" s="28">
        <f>IFERROR(L13+L15+L16+L17+L18+L19+L20+L21+L22+L23+L24+L25+L26+L29+L30+L31+L32+L33+L37+L39+L40+L41+L42+L43+L46+L47+L48+L49+L50+L51+L53+L54+L55, "NA")</f>
        <v>39727.44000000001</v>
      </c>
      <c r="M57" s="29">
        <f>IFERROR(L57/L148, "NA")</f>
        <v>0.23890726529351591</v>
      </c>
      <c r="N57" s="28">
        <f>IFERROR(N13+N15+N16+N17+N18+N19+N20+N21+N22+N23+N24+N25+N26+N29+N30+N31+N32+N33+N37+N39+N40+N41+N42+N43+N46+N47+N48+N49+N50+N51+N53+N54+N55, "NA")</f>
        <v>34257.360000000001</v>
      </c>
      <c r="O57" s="29">
        <f>IFERROR(N57/N148, "NA")</f>
        <v>0.23774777625196933</v>
      </c>
      <c r="P57" s="28">
        <f>IFERROR(P13+P15+P16+P17+P18+P19+P20+P21+P22+P23+P24+P25+P26+P29+P30+P31+P32+P33+P37+P39+P40+P41+P42+P43+P46+P47+P48+P49+P50+P51+P53+P54+P55, "NA")</f>
        <v>30707.340000000007</v>
      </c>
      <c r="Q57" s="29">
        <f>IFERROR(P57/P148, "NA")</f>
        <v>0.27088870926095326</v>
      </c>
      <c r="R57" s="28">
        <f>IFERROR(R13+R15+R16+R17+R18+R19+R20+R21+R22+R23+R24+R25+R26+R29+R30+R31+R32+R33+R37+R39+R40+R41+R42+R43+R46+R47+R48+R49+R50+R51+R53+R54+R55, "NA")</f>
        <v>32594.799999999999</v>
      </c>
      <c r="S57" s="29">
        <f>IFERROR(R57/R148, "NA")</f>
        <v>0.25476629670157885</v>
      </c>
      <c r="T57" s="28">
        <f>IFERROR(T13+T15+T16+T17+T18+T19+T20+T21+T22+T23+T24+T25+T26+T29+T30+T31+T32+T33+T37+T39+T40+T41+T42+T43+T46+T47+T48+T49+T50+T51+T53+T54+T55, "NA")</f>
        <v>30699.03</v>
      </c>
      <c r="U57" s="29">
        <f>IFERROR(T57/T148, "NA")</f>
        <v>0.24581116925978952</v>
      </c>
      <c r="V57" s="28">
        <f>IFERROR(V13+V15+V16+V17+V18+V19+V20+V21+V22+V23+V24+V25+V26+V29+V30+V31+V32+V33+V37+V39+V40+V41+V42+V43+V46+V47+V48+V49+V50+V51+V53+V54+V55, "NA")</f>
        <v>31187.709999999995</v>
      </c>
      <c r="W57" s="29">
        <f>IFERROR(V57/V148, "NA")</f>
        <v>0.2456596998635657</v>
      </c>
      <c r="X57" s="28">
        <f>IFERROR(X13+X15+X16+X17+X18+X19+X20+X21+X22+X23+X24+X25+X26+X29+X30+X31+X32+X33+X37+X39+X40+X41+X42+X43+X46+X47+X48+X49+X50+X51+X53+X54+X55, "NA")</f>
        <v>28843.48</v>
      </c>
      <c r="Y57" s="29">
        <f>IFERROR(X57/X148, "NA")</f>
        <v>0.23692327355603074</v>
      </c>
      <c r="Z57" s="28">
        <f>IFERROR(Z13+Z15+Z16+Z17+Z18+Z19+Z20+Z21+Z22+Z23+Z24+Z25+Z26+Z29+Z30+Z31+Z32+Z33+Z37+Z39+Z40+Z41+Z42+Z43+Z46+Z47+Z48+Z49+Z50+Z51+Z53+Z54+Z55, "NA")</f>
        <v>28843.48</v>
      </c>
      <c r="AA57" s="29">
        <f>IFERROR(Z57/Z148, "NA")</f>
        <v>0.23692327355603074</v>
      </c>
      <c r="AB57" s="28">
        <f t="shared" si="18"/>
        <v>30831.254999999997</v>
      </c>
      <c r="AC57" s="29">
        <f>IFERROR(AB57/AB148, "NA")</f>
        <v>0.24589981932323038</v>
      </c>
      <c r="AD57" s="30">
        <f t="shared" si="19"/>
        <v>-1987.7749999999978</v>
      </c>
      <c r="AE57" s="31">
        <f>IFERROR(AD57/AD148, "NA")</f>
        <v>0.5461663055827678</v>
      </c>
      <c r="AF57" s="30">
        <f t="shared" si="20"/>
        <v>-6.447272418848983E-2</v>
      </c>
      <c r="AG57" s="28">
        <f t="shared" si="21"/>
        <v>33636.729999999996</v>
      </c>
      <c r="AH57" s="29">
        <f>IFERROR(AG57/AG148, "NA")</f>
        <v>0.24611136963609431</v>
      </c>
      <c r="AI57" s="30">
        <f t="shared" si="22"/>
        <v>-4793.2499999999964</v>
      </c>
      <c r="AJ57" s="31">
        <f>IFERROR(AI57/AI148, "NA")</f>
        <v>0.32102801297172151</v>
      </c>
      <c r="AK57" s="30">
        <f t="shared" si="23"/>
        <v>-0.14250047492725948</v>
      </c>
      <c r="AL57" s="31">
        <f>IFERROR(AK57/AK148, "NA")</f>
        <v>1.3044013913148367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93162.6</v>
      </c>
      <c r="C59" s="34">
        <f>IFERROR(B59/B148, "NA")</f>
        <v>0.73499957515433101</v>
      </c>
      <c r="D59" s="33">
        <f>IFERROR(D9-D57, "NA")</f>
        <v>100116.27000000005</v>
      </c>
      <c r="E59" s="34">
        <f>IFERROR(D59/D148, "NA")</f>
        <v>0.73227889630663046</v>
      </c>
      <c r="F59" s="33">
        <f>IFERROR(F9-F57, "NA")</f>
        <v>111625.28000000004</v>
      </c>
      <c r="G59" s="34">
        <f>IFERROR(F59/F148, "NA")</f>
        <v>0.74569726243447498</v>
      </c>
      <c r="H59" s="33">
        <f>IFERROR(H9-H57, "NA")</f>
        <v>91186.710000000036</v>
      </c>
      <c r="I59" s="34">
        <f>IFERROR(H59/H148, "NA")</f>
        <v>0.74076931494278819</v>
      </c>
      <c r="J59" s="33">
        <f>IFERROR(J9-J57, "NA")</f>
        <v>127043.17999999996</v>
      </c>
      <c r="K59" s="34">
        <f>IFERROR(J59/J148, "NA")</f>
        <v>0.75567027000855203</v>
      </c>
      <c r="L59" s="33">
        <f>IFERROR(L9-L57, "NA")</f>
        <v>126560.67999999993</v>
      </c>
      <c r="M59" s="34">
        <f>IFERROR(L59/L148, "NA")</f>
        <v>0.76109273470648375</v>
      </c>
      <c r="N59" s="33">
        <f>IFERROR(N9-N57, "NA")</f>
        <v>109833.83000000009</v>
      </c>
      <c r="O59" s="34">
        <f>IFERROR(N59/N148, "NA")</f>
        <v>0.76225222374803125</v>
      </c>
      <c r="P59" s="33">
        <f>IFERROR(P9-P57, "NA")</f>
        <v>82650.430000000022</v>
      </c>
      <c r="Q59" s="34">
        <f>IFERROR(P59/P148, "NA")</f>
        <v>0.72911129073904712</v>
      </c>
      <c r="R59" s="33">
        <f>IFERROR(R9-R57, "NA")</f>
        <v>95345.199999999953</v>
      </c>
      <c r="S59" s="34">
        <f>IFERROR(R59/R148, "NA")</f>
        <v>0.74523370329842076</v>
      </c>
      <c r="T59" s="33">
        <f>IFERROR(T9-T57, "NA")</f>
        <v>94189.640000000043</v>
      </c>
      <c r="U59" s="34">
        <f>IFERROR(T59/T148, "NA")</f>
        <v>0.75418883074021081</v>
      </c>
      <c r="V59" s="33">
        <f>IFERROR(V9-V57, "NA")</f>
        <v>95767.219999999987</v>
      </c>
      <c r="W59" s="34">
        <f>IFERROR(V59/V148, "NA")</f>
        <v>0.75434030013643405</v>
      </c>
      <c r="X59" s="33">
        <f>IFERROR(X9-X57, "NA")</f>
        <v>92898.380000000034</v>
      </c>
      <c r="Y59" s="34">
        <f>IFERROR(X59/X148, "NA")</f>
        <v>0.7630767264439694</v>
      </c>
      <c r="Z59" s="33">
        <f>IFERROR(Z9-Z57, "NA")</f>
        <v>92898.380000000034</v>
      </c>
      <c r="AA59" s="34">
        <f>IFERROR(Z59/Z148, "NA")</f>
        <v>0.7630767264439694</v>
      </c>
      <c r="AB59" s="33">
        <f>IFERROR((R59+T59+V59+X59)/4, "NA")</f>
        <v>94550.110000000015</v>
      </c>
      <c r="AC59" s="34">
        <f>IFERROR(AB59/AB148, "NA")</f>
        <v>0.75410018067676976</v>
      </c>
      <c r="AD59" s="15">
        <f>IFERROR(X59-AB59, "NA")</f>
        <v>-1651.7299999999814</v>
      </c>
      <c r="AE59" s="16">
        <f>IFERROR(AD59/AD148, "NA")</f>
        <v>0.45383369441723326</v>
      </c>
      <c r="AF59" s="15">
        <f>IFERROR((X59-AB59)/AB59, "NA")</f>
        <v>-1.7469360955793507E-2</v>
      </c>
      <c r="AG59" s="33">
        <f>IFERROR((J59+L59+N59+P59+R59+T59+V59+X59)/8, "NA")</f>
        <v>103036.06999999999</v>
      </c>
      <c r="AH59" s="34">
        <f>IFERROR(AG59/AG148, "NA")</f>
        <v>0.75388863036390552</v>
      </c>
      <c r="AI59" s="15">
        <f>IFERROR(X59-AG59, "NA")</f>
        <v>-10137.689999999959</v>
      </c>
      <c r="AJ59" s="16">
        <f>IFERROR(AI59/AI148, "NA")</f>
        <v>0.67897198702827533</v>
      </c>
      <c r="AK59" s="15">
        <f>IFERROR((X59-AG59)/AG59, "NA")</f>
        <v>-9.8389719250743551E-2</v>
      </c>
      <c r="AL59" s="16">
        <f>IFERROR(AK59/AK148, "NA")</f>
        <v>0.90062637859458439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6688.85</v>
      </c>
      <c r="C66" s="8">
        <f>IFERROR(B66/B148, "NA")</f>
        <v>5.2771196899518126E-2</v>
      </c>
      <c r="D66" s="7">
        <v>6688.85</v>
      </c>
      <c r="E66" s="8">
        <f>IFERROR(D66/D148, "NA")</f>
        <v>4.8924152843095363E-2</v>
      </c>
      <c r="F66" s="7">
        <v>6688.85</v>
      </c>
      <c r="G66" s="8">
        <f>IFERROR(F66/F148, "NA")</f>
        <v>4.4683938385953761E-2</v>
      </c>
      <c r="H66" s="7">
        <v>6688.85</v>
      </c>
      <c r="I66" s="8">
        <f>IFERROR(H66/H148, "NA")</f>
        <v>5.4337905515563258E-2</v>
      </c>
      <c r="J66" s="7">
        <v>6688.85</v>
      </c>
      <c r="K66" s="8">
        <f>IFERROR(J66/J148, "NA")</f>
        <v>3.9786197775801148E-2</v>
      </c>
      <c r="L66" s="7">
        <v>6688.85</v>
      </c>
      <c r="M66" s="8">
        <f>IFERROR(L66/L148, "NA")</f>
        <v>4.0224461013811455E-2</v>
      </c>
      <c r="N66" s="7">
        <v>6688.85</v>
      </c>
      <c r="O66" s="8">
        <f>IFERROR(N66/N148, "NA")</f>
        <v>4.642095051057598E-2</v>
      </c>
      <c r="P66" s="7">
        <v>6688.85</v>
      </c>
      <c r="Q66" s="8">
        <f>IFERROR(P66/P148, "NA")</f>
        <v>5.9006541854166691E-2</v>
      </c>
      <c r="R66" s="7">
        <v>6688.85</v>
      </c>
      <c r="S66" s="8">
        <f>IFERROR(R66/R148, "NA")</f>
        <v>5.2281147412849775E-2</v>
      </c>
      <c r="T66" s="7">
        <v>6688.85</v>
      </c>
      <c r="U66" s="8">
        <f>IFERROR(T66/T148, "NA")</f>
        <v>5.3558501343636697E-2</v>
      </c>
      <c r="V66" s="7">
        <v>6688.85</v>
      </c>
      <c r="W66" s="8">
        <f>IFERROR(V66/V148, "NA")</f>
        <v>5.2686807830148855E-2</v>
      </c>
      <c r="X66" s="7">
        <v>6688.85</v>
      </c>
      <c r="Y66" s="8">
        <f>IFERROR(X66/X148, "NA")</f>
        <v>5.4942893101846808E-2</v>
      </c>
      <c r="Z66" s="7">
        <v>6688.85</v>
      </c>
      <c r="AA66" s="8">
        <f>IFERROR(Z66/Z148, "NA")</f>
        <v>5.4942893101846808E-2</v>
      </c>
      <c r="AB66" s="9">
        <f t="shared" si="24"/>
        <v>6688.85</v>
      </c>
      <c r="AC66" s="8">
        <f>IFERROR(AB66/AB148, "NA")</f>
        <v>5.3348039399634874E-2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6688.8499999999995</v>
      </c>
      <c r="AH66" s="8">
        <f>IFERROR(AG66/AG148, "NA")</f>
        <v>4.8940608519032307E-2</v>
      </c>
      <c r="AI66" s="10">
        <f t="shared" si="28"/>
        <v>9.0949470177292824E-13</v>
      </c>
      <c r="AJ66" s="11">
        <f>IFERROR(AI66/AI148, "NA")</f>
        <v>-6.0913425529332249E-17</v>
      </c>
      <c r="AK66" s="10">
        <f t="shared" si="29"/>
        <v>1.3597175923707787E-16</v>
      </c>
      <c r="AL66" s="11">
        <f>IFERROR(AK66/AK148, "NA")</f>
        <v>-1.2446397250178017E-15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22196.1</v>
      </c>
      <c r="C68" s="8">
        <f>IFERROR(B68/B148, "NA")</f>
        <v>0.17511452095672561</v>
      </c>
      <c r="D68" s="7">
        <v>22945.510000000002</v>
      </c>
      <c r="E68" s="8">
        <f>IFERROR(D68/D148, "NA")</f>
        <v>0.16782999144886984</v>
      </c>
      <c r="F68" s="7">
        <v>23048.149999999998</v>
      </c>
      <c r="G68" s="8">
        <f>IFERROR(F68/F148, "NA")</f>
        <v>0.15396998206122428</v>
      </c>
      <c r="H68" s="7">
        <v>21093.800000000003</v>
      </c>
      <c r="I68" s="8">
        <f>IFERROR(H68/H148, "NA")</f>
        <v>0.17135874049562905</v>
      </c>
      <c r="J68" s="7">
        <v>25554.46</v>
      </c>
      <c r="K68" s="8">
        <f>IFERROR(J68/J148, "NA")</f>
        <v>0.15200143516655321</v>
      </c>
      <c r="L68" s="7">
        <v>27418.480000000003</v>
      </c>
      <c r="M68" s="8">
        <f>IFERROR(L68/L148, "NA")</f>
        <v>0.16488538086785756</v>
      </c>
      <c r="N68" s="7">
        <v>25611.300000000003</v>
      </c>
      <c r="O68" s="8">
        <f>IFERROR(N68/N148, "NA")</f>
        <v>0.17774369133879733</v>
      </c>
      <c r="P68" s="7">
        <v>22484.54</v>
      </c>
      <c r="Q68" s="8">
        <f>IFERROR(P68/P148, "NA")</f>
        <v>0.19835023218964173</v>
      </c>
      <c r="R68" s="7">
        <v>23694.840000000004</v>
      </c>
      <c r="S68" s="8">
        <f>IFERROR(R68/R148, "NA")</f>
        <v>0.18520275128966707</v>
      </c>
      <c r="T68" s="7">
        <v>24595.300000000003</v>
      </c>
      <c r="U68" s="8">
        <f>IFERROR(T68/T148, "NA")</f>
        <v>0.19693780068280015</v>
      </c>
      <c r="V68" s="7">
        <v>21983.68</v>
      </c>
      <c r="W68" s="8">
        <f>IFERROR(V68/V148, "NA")</f>
        <v>0.17316129432704977</v>
      </c>
      <c r="X68" s="7">
        <v>23061.24</v>
      </c>
      <c r="Y68" s="8">
        <f>IFERROR(X68/X148, "NA")</f>
        <v>0.18942736705353441</v>
      </c>
      <c r="Z68" s="7">
        <v>23061.24</v>
      </c>
      <c r="AA68" s="8">
        <f>IFERROR(Z68/Z148, "NA")</f>
        <v>0.18942736705353441</v>
      </c>
      <c r="AB68" s="9">
        <f t="shared" si="24"/>
        <v>23333.765000000003</v>
      </c>
      <c r="AC68" s="8">
        <f>IFERROR(AB68/AB148, "NA")</f>
        <v>0.18610233665904025</v>
      </c>
      <c r="AD68" s="10">
        <f t="shared" si="25"/>
        <v>-272.52500000000146</v>
      </c>
      <c r="AE68" s="11">
        <f>IFERROR(AD68/AD148, "NA")</f>
        <v>7.487968830926274E-2</v>
      </c>
      <c r="AF68" s="10">
        <f t="shared" si="26"/>
        <v>-1.1679426787747344E-2</v>
      </c>
      <c r="AG68" s="9">
        <f t="shared" si="27"/>
        <v>24300.479999999996</v>
      </c>
      <c r="AH68" s="8">
        <f>IFERROR(AG68/AG148, "NA")</f>
        <v>0.17780041090838844</v>
      </c>
      <c r="AI68" s="10">
        <f t="shared" si="28"/>
        <v>-1239.2399999999943</v>
      </c>
      <c r="AJ68" s="11">
        <f>IFERROR(AI68/AI148, "NA")</f>
        <v>8.2998123359948814E-2</v>
      </c>
      <c r="AK68" s="10">
        <f t="shared" si="29"/>
        <v>-5.0996523525461003E-2</v>
      </c>
      <c r="AL68" s="11">
        <f>IFERROR(AK68/AK148, "NA")</f>
        <v>0.46680501431863142</v>
      </c>
    </row>
    <row r="69" spans="1:38" ht="16.5" customHeight="1">
      <c r="A69" s="25" t="s">
        <v>81</v>
      </c>
      <c r="B69" s="7">
        <v>340.71999999999997</v>
      </c>
      <c r="C69" s="8">
        <f>IFERROR(B69/B148, "NA")</f>
        <v>2.6880857258876805E-3</v>
      </c>
      <c r="D69" s="7">
        <v>256.44</v>
      </c>
      <c r="E69" s="8">
        <f>IFERROR(D69/D148, "NA")</f>
        <v>1.8756751541869491E-3</v>
      </c>
      <c r="F69" s="7">
        <v>926.77</v>
      </c>
      <c r="G69" s="8">
        <f>IFERROR(F69/F148, "NA")</f>
        <v>6.1911589552688974E-3</v>
      </c>
      <c r="H69" s="7">
        <v>74.06</v>
      </c>
      <c r="I69" s="8">
        <f>IFERROR(H69/H148, "NA")</f>
        <v>6.0163784245163441E-4</v>
      </c>
      <c r="J69" s="7">
        <v>810.69</v>
      </c>
      <c r="K69" s="8">
        <f>IFERROR(J69/J148, "NA")</f>
        <v>4.8220953788564907E-3</v>
      </c>
      <c r="L69" s="7">
        <v>611.21</v>
      </c>
      <c r="M69" s="8">
        <f>IFERROR(L69/L148, "NA")</f>
        <v>3.6756083357007106E-3</v>
      </c>
      <c r="N69" s="7">
        <v>280.23</v>
      </c>
      <c r="O69" s="8">
        <f>IFERROR(N69/N148, "NA")</f>
        <v>1.9448100886667672E-3</v>
      </c>
      <c r="P69" s="7">
        <v>176.77</v>
      </c>
      <c r="Q69" s="8">
        <f>IFERROR(P69/P148, "NA")</f>
        <v>1.5593990601614695E-3</v>
      </c>
      <c r="R69" s="7">
        <v>701.38</v>
      </c>
      <c r="S69" s="8">
        <f>IFERROR(R69/R148, "NA")</f>
        <v>5.4821009848366421E-3</v>
      </c>
      <c r="T69" s="7">
        <v>314.83000000000004</v>
      </c>
      <c r="U69" s="8">
        <f>IFERROR(T69/T148, "NA")</f>
        <v>2.5208852011955932E-3</v>
      </c>
      <c r="V69" s="7">
        <v>250.08</v>
      </c>
      <c r="W69" s="8">
        <f>IFERROR(V69/V148, "NA")</f>
        <v>1.9698329162955706E-3</v>
      </c>
      <c r="X69" s="7">
        <v>303.98</v>
      </c>
      <c r="Y69" s="8">
        <f>IFERROR(X69/X148, "NA")</f>
        <v>2.4969225868571418E-3</v>
      </c>
      <c r="Z69" s="7">
        <v>303.98</v>
      </c>
      <c r="AA69" s="8">
        <f>IFERROR(Z69/Z148, "NA")</f>
        <v>2.4969225868571418E-3</v>
      </c>
      <c r="AB69" s="9">
        <f t="shared" si="24"/>
        <v>392.5675</v>
      </c>
      <c r="AC69" s="8">
        <f>IFERROR(AB69/AB148, "NA")</f>
        <v>3.1309876072891695E-3</v>
      </c>
      <c r="AD69" s="10">
        <f t="shared" si="25"/>
        <v>-88.587499999999977</v>
      </c>
      <c r="AE69" s="11">
        <f>IFERROR(AD69/AD148, "NA")</f>
        <v>2.4340535320050549E-2</v>
      </c>
      <c r="AF69" s="10">
        <f t="shared" si="26"/>
        <v>-0.22566182885745759</v>
      </c>
      <c r="AG69" s="9">
        <f t="shared" si="27"/>
        <v>431.14625000000001</v>
      </c>
      <c r="AH69" s="8">
        <f>IFERROR(AG69/AG148, "NA")</f>
        <v>3.1545870868234203E-3</v>
      </c>
      <c r="AI69" s="10">
        <f t="shared" si="28"/>
        <v>-127.16624999999999</v>
      </c>
      <c r="AJ69" s="11">
        <f>IFERROR(AI69/AI148, "NA")</f>
        <v>8.5169620934783721E-3</v>
      </c>
      <c r="AK69" s="10">
        <f t="shared" si="29"/>
        <v>-0.29494921966734022</v>
      </c>
      <c r="AL69" s="11">
        <f>IFERROR(AK69/AK148, "NA")</f>
        <v>2.6998658965711773</v>
      </c>
    </row>
    <row r="70" spans="1:38" ht="16.5" customHeight="1">
      <c r="A70" s="26" t="s">
        <v>82</v>
      </c>
      <c r="B70" s="13">
        <f>IFERROR(B65+B66+B67+B68+B69, "NA")</f>
        <v>29225.67</v>
      </c>
      <c r="C70" s="14">
        <f>IFERROR(B70/B148, "NA")</f>
        <v>0.23057380358213139</v>
      </c>
      <c r="D70" s="13">
        <f>IFERROR(D65+D66+D67+D68+D69, "NA")</f>
        <v>29890.799999999999</v>
      </c>
      <c r="E70" s="14">
        <f>IFERROR(D70/D148, "NA")</f>
        <v>0.21862981944615215</v>
      </c>
      <c r="F70" s="13">
        <f>IFERROR(F65+F66+F67+F68+F69, "NA")</f>
        <v>30663.77</v>
      </c>
      <c r="G70" s="14">
        <f>IFERROR(F70/F148, "NA")</f>
        <v>0.20484507940244695</v>
      </c>
      <c r="H70" s="13">
        <f>IFERROR(H65+H66+H67+H68+H69, "NA")</f>
        <v>27856.710000000003</v>
      </c>
      <c r="I70" s="14">
        <f>IFERROR(H70/H148, "NA")</f>
        <v>0.22629828385364395</v>
      </c>
      <c r="J70" s="13">
        <f>IFERROR(J65+J66+J67+J68+J69, "NA")</f>
        <v>33054</v>
      </c>
      <c r="K70" s="14">
        <f>IFERROR(J70/J148, "NA")</f>
        <v>0.19660972832121085</v>
      </c>
      <c r="L70" s="13">
        <f>IFERROR(L65+L66+L67+L68+L69, "NA")</f>
        <v>34718.54</v>
      </c>
      <c r="M70" s="14">
        <f>IFERROR(L70/L148, "NA")</f>
        <v>0.20878545021736972</v>
      </c>
      <c r="N70" s="13">
        <f>IFERROR(N65+N66+N67+N68+N69, "NA")</f>
        <v>32580.38</v>
      </c>
      <c r="O70" s="14">
        <f>IFERROR(N70/N148, "NA")</f>
        <v>0.22610945193804008</v>
      </c>
      <c r="P70" s="13">
        <f>IFERROR(P65+P66+P67+P68+P69, "NA")</f>
        <v>29350.16</v>
      </c>
      <c r="Q70" s="14">
        <f>IFERROR(P70/P148, "NA")</f>
        <v>0.25891617310396986</v>
      </c>
      <c r="R70" s="13">
        <f>IFERROR(R65+R66+R67+R68+R69, "NA")</f>
        <v>31085.070000000003</v>
      </c>
      <c r="S70" s="14">
        <f>IFERROR(R70/R148, "NA")</f>
        <v>0.24296599968735347</v>
      </c>
      <c r="T70" s="13">
        <f>IFERROR(T65+T66+T67+T68+T69, "NA")</f>
        <v>31598.980000000003</v>
      </c>
      <c r="U70" s="14">
        <f>IFERROR(T70/T148, "NA")</f>
        <v>0.25301718722763245</v>
      </c>
      <c r="V70" s="13">
        <f>IFERROR(V65+V66+V67+V68+V69, "NA")</f>
        <v>28922.61</v>
      </c>
      <c r="W70" s="14">
        <f>IFERROR(V70/V148, "NA")</f>
        <v>0.22781793507349418</v>
      </c>
      <c r="X70" s="13">
        <f>IFERROR(X65+X66+X67+X68+X69, "NA")</f>
        <v>30054.070000000003</v>
      </c>
      <c r="Y70" s="14">
        <f>IFERROR(X70/X148, "NA")</f>
        <v>0.24686718274223837</v>
      </c>
      <c r="Z70" s="13">
        <f>IFERROR(Z65+Z66+Z67+Z68+Z69, "NA")</f>
        <v>30054.070000000003</v>
      </c>
      <c r="AA70" s="14">
        <f>IFERROR(Z70/Z148, "NA")</f>
        <v>0.24686718274223837</v>
      </c>
      <c r="AB70" s="13">
        <f t="shared" si="24"/>
        <v>30415.182500000003</v>
      </c>
      <c r="AC70" s="14">
        <f>IFERROR(AB70/AB148, "NA")</f>
        <v>0.24258136366596428</v>
      </c>
      <c r="AD70" s="15">
        <f t="shared" si="25"/>
        <v>-361.11249999999927</v>
      </c>
      <c r="AE70" s="16">
        <f>IFERROR(AD70/AD148, "NA")</f>
        <v>9.9220223629312695E-2</v>
      </c>
      <c r="AF70" s="15">
        <f t="shared" si="26"/>
        <v>-1.1872771106995634E-2</v>
      </c>
      <c r="AG70" s="13">
        <f t="shared" si="27"/>
        <v>31420.476250000007</v>
      </c>
      <c r="AH70" s="14">
        <f>IFERROR(AG70/AG148, "NA")</f>
        <v>0.22989560651424426</v>
      </c>
      <c r="AI70" s="15">
        <f t="shared" si="28"/>
        <v>-1366.4062500000036</v>
      </c>
      <c r="AJ70" s="16">
        <f>IFERROR(AI70/AI148, "NA")</f>
        <v>9.1515085453427805E-2</v>
      </c>
      <c r="AK70" s="15">
        <f t="shared" si="29"/>
        <v>-4.3487763811345899E-2</v>
      </c>
      <c r="AL70" s="16">
        <f>IFERROR(AK70/AK148, "NA")</f>
        <v>0.3980723548440564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2449</v>
      </c>
      <c r="G72" s="8">
        <f>IFERROR(F72/F148, "NA")</f>
        <v>1.6360206180016108E-2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-2405</v>
      </c>
      <c r="O72" s="8">
        <f>IFERROR(N72/N148, "NA")</f>
        <v>-1.6690819195816206E-2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1831</v>
      </c>
      <c r="W72" s="8">
        <f>IFERROR(V72/V148, "NA")</f>
        <v>1.4422441097797462E-2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457.75</v>
      </c>
      <c r="AC72" s="8">
        <f>IFERROR(AB72/AB148, "NA")</f>
        <v>3.6508615135909554E-3</v>
      </c>
      <c r="AD72" s="10">
        <f t="shared" si="25"/>
        <v>-457.75</v>
      </c>
      <c r="AE72" s="11">
        <f>IFERROR(AD72/AD148, "NA")</f>
        <v>0.12577259819673364</v>
      </c>
      <c r="AF72" s="10">
        <f t="shared" si="26"/>
        <v>-1</v>
      </c>
      <c r="AG72" s="9">
        <f t="shared" si="27"/>
        <v>-71.75</v>
      </c>
      <c r="AH72" s="8">
        <f>IFERROR(AG72/AG148, "NA")</f>
        <v>-5.2497644008171339E-4</v>
      </c>
      <c r="AI72" s="10">
        <f t="shared" si="28"/>
        <v>71.75</v>
      </c>
      <c r="AJ72" s="11">
        <f>IFERROR(AI72/AI148, "NA")</f>
        <v>-4.8054576604018226E-3</v>
      </c>
      <c r="AK72" s="10">
        <f t="shared" si="29"/>
        <v>-1</v>
      </c>
      <c r="AL72" s="11">
        <f>IFERROR(AK72/AK148, "NA")</f>
        <v>9.1536634666002268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2693.8399999999997</v>
      </c>
      <c r="C74" s="8">
        <f>IFERROR(B74/B148, "NA")</f>
        <v>2.1252855282417438E-2</v>
      </c>
      <c r="D74" s="7">
        <v>2715.1499999999996</v>
      </c>
      <c r="E74" s="8">
        <f>IFERROR(D74/D148, "NA")</f>
        <v>1.9859379951999274E-2</v>
      </c>
      <c r="F74" s="7">
        <v>2772.2599999999998</v>
      </c>
      <c r="G74" s="8">
        <f>IFERROR(F74/F148, "NA")</f>
        <v>1.8519699952883405E-2</v>
      </c>
      <c r="H74" s="7">
        <v>2496.5500000000002</v>
      </c>
      <c r="I74" s="8">
        <f>IFERROR(H74/H148, "NA")</f>
        <v>2.0281109310999568E-2</v>
      </c>
      <c r="J74" s="7">
        <v>3037.58</v>
      </c>
      <c r="K74" s="8">
        <f>IFERROR(J74/J148, "NA")</f>
        <v>1.8067942716583275E-2</v>
      </c>
      <c r="L74" s="7">
        <v>3186.53</v>
      </c>
      <c r="M74" s="8">
        <f>IFERROR(L74/L148, "NA")</f>
        <v>1.9162703866036853E-2</v>
      </c>
      <c r="N74" s="7">
        <v>3135.0099999999998</v>
      </c>
      <c r="O74" s="8">
        <f>IFERROR(N74/N148, "NA")</f>
        <v>2.1757124776330877E-2</v>
      </c>
      <c r="P74" s="7">
        <v>2780.3</v>
      </c>
      <c r="Q74" s="8">
        <f>IFERROR(P74/P148, "NA")</f>
        <v>2.4526770419001719E-2</v>
      </c>
      <c r="R74" s="7">
        <v>2898.94</v>
      </c>
      <c r="S74" s="8">
        <f>IFERROR(R74/R148, "NA")</f>
        <v>2.2658589964045645E-2</v>
      </c>
      <c r="T74" s="7">
        <v>2921.1400000000003</v>
      </c>
      <c r="U74" s="8">
        <f>IFERROR(T74/T148, "NA")</f>
        <v>2.3389952026873218E-2</v>
      </c>
      <c r="V74" s="7">
        <v>2697.2599999999998</v>
      </c>
      <c r="W74" s="8">
        <f>IFERROR(V74/V148, "NA")</f>
        <v>2.1245807468839528E-2</v>
      </c>
      <c r="X74" s="7">
        <v>2719.6499999999996</v>
      </c>
      <c r="Y74" s="8">
        <f>IFERROR(X74/X148, "NA")</f>
        <v>2.2339481259773749E-2</v>
      </c>
      <c r="Z74" s="7">
        <v>2719.6499999999996</v>
      </c>
      <c r="AA74" s="8">
        <f>IFERROR(Z74/Z148, "NA")</f>
        <v>2.2339481259773749E-2</v>
      </c>
      <c r="AB74" s="9">
        <f t="shared" ref="AB74:AB85" si="30">IFERROR((R74+T74+V74+X74)/4, "NA")</f>
        <v>2809.2474999999999</v>
      </c>
      <c r="AC74" s="8">
        <f>IFERROR(AB74/AB148, "NA")</f>
        <v>2.2405622238998595E-2</v>
      </c>
      <c r="AD74" s="10">
        <f t="shared" ref="AD74:AD85" si="31">IFERROR(X74-AB74, "NA")</f>
        <v>-89.597500000000309</v>
      </c>
      <c r="AE74" s="11">
        <f>IFERROR(AD74/AD148, "NA")</f>
        <v>2.4618045585869757E-2</v>
      </c>
      <c r="AF74" s="10">
        <f t="shared" ref="AF74:AF85" si="32">IFERROR((X74-AB74)/AB74, "NA")</f>
        <v>-3.1893772264636813E-2</v>
      </c>
      <c r="AG74" s="9">
        <f t="shared" ref="AG74:AG85" si="33">IFERROR((J74+L74+N74+P74+R74+T74+V74+X74)/8, "NA")</f>
        <v>2922.0512500000004</v>
      </c>
      <c r="AH74" s="8">
        <f>IFERROR(AG74/AG148, "NA")</f>
        <v>2.1379903316534089E-2</v>
      </c>
      <c r="AI74" s="10">
        <f t="shared" ref="AI74:AI85" si="34">IFERROR(X74-AG74, "NA")</f>
        <v>-202.4012500000008</v>
      </c>
      <c r="AJ74" s="11">
        <f>IFERROR(AI74/AI148, "NA")</f>
        <v>1.355582769738548E-2</v>
      </c>
      <c r="AK74" s="10">
        <f t="shared" ref="AK74:AK85" si="35">IFERROR((X74-AG74)/AG74, "NA")</f>
        <v>-6.9266837807858694E-2</v>
      </c>
      <c r="AL74" s="11">
        <f>IFERROR(AK74/AK148, "NA")</f>
        <v>0.63404532268871949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2693.8399999999997</v>
      </c>
      <c r="C81" s="14">
        <f>IFERROR(B81/B148, "NA")</f>
        <v>2.1252855282417438E-2</v>
      </c>
      <c r="D81" s="13">
        <f>IFERROR(D74+D75+D76+D77+D78+D79+D80, "NA")</f>
        <v>2715.1499999999996</v>
      </c>
      <c r="E81" s="14">
        <f>IFERROR(D81/D148, "NA")</f>
        <v>1.9859379951999274E-2</v>
      </c>
      <c r="F81" s="13">
        <f>IFERROR(F74+F75+F76+F77+F78+F79+F80, "NA")</f>
        <v>2772.2599999999998</v>
      </c>
      <c r="G81" s="14">
        <f>IFERROR(F81/F148, "NA")</f>
        <v>1.8519699952883405E-2</v>
      </c>
      <c r="H81" s="13">
        <f>IFERROR(H74+H75+H76+H77+H78+H79+H80, "NA")</f>
        <v>2496.5500000000002</v>
      </c>
      <c r="I81" s="14">
        <f>IFERROR(H81/H148, "NA")</f>
        <v>2.0281109310999568E-2</v>
      </c>
      <c r="J81" s="13">
        <f>IFERROR(J74+J75+J76+J77+J78+J79+J80, "NA")</f>
        <v>3037.58</v>
      </c>
      <c r="K81" s="14">
        <f>IFERROR(J81/J148, "NA")</f>
        <v>1.8067942716583275E-2</v>
      </c>
      <c r="L81" s="13">
        <f>IFERROR(L74+L75+L76+L77+L78+L79+L80, "NA")</f>
        <v>3186.53</v>
      </c>
      <c r="M81" s="14">
        <f>IFERROR(L81/L148, "NA")</f>
        <v>1.9162703866036853E-2</v>
      </c>
      <c r="N81" s="13">
        <f>IFERROR(N74+N75+N76+N77+N78+N79+N80, "NA")</f>
        <v>3135.0099999999998</v>
      </c>
      <c r="O81" s="14">
        <f>IFERROR(N81/N148, "NA")</f>
        <v>2.1757124776330877E-2</v>
      </c>
      <c r="P81" s="13">
        <f>IFERROR(P74+P75+P76+P77+P78+P79+P80, "NA")</f>
        <v>2780.3</v>
      </c>
      <c r="Q81" s="14">
        <f>IFERROR(P81/P148, "NA")</f>
        <v>2.4526770419001719E-2</v>
      </c>
      <c r="R81" s="13">
        <f>IFERROR(R74+R75+R76+R77+R78+R79+R80, "NA")</f>
        <v>2898.94</v>
      </c>
      <c r="S81" s="14">
        <f>IFERROR(R81/R148, "NA")</f>
        <v>2.2658589964045645E-2</v>
      </c>
      <c r="T81" s="13">
        <f>IFERROR(T74+T75+T76+T77+T78+T79+T80, "NA")</f>
        <v>2921.1400000000003</v>
      </c>
      <c r="U81" s="14">
        <f>IFERROR(T81/T148, "NA")</f>
        <v>2.3389952026873218E-2</v>
      </c>
      <c r="V81" s="13">
        <f>IFERROR(V74+V75+V76+V77+V78+V79+V80, "NA")</f>
        <v>2697.2599999999998</v>
      </c>
      <c r="W81" s="14">
        <f>IFERROR(V81/V148, "NA")</f>
        <v>2.1245807468839528E-2</v>
      </c>
      <c r="X81" s="13">
        <f>IFERROR(X74+X75+X76+X77+X78+X79+X80, "NA")</f>
        <v>2719.6499999999996</v>
      </c>
      <c r="Y81" s="14">
        <f>IFERROR(X81/X148, "NA")</f>
        <v>2.2339481259773749E-2</v>
      </c>
      <c r="Z81" s="13">
        <f>IFERROR(Z74+Z75+Z76+Z77+Z78+Z79+Z80, "NA")</f>
        <v>2719.6499999999996</v>
      </c>
      <c r="AA81" s="14">
        <f>IFERROR(Z81/Z148, "NA")</f>
        <v>2.2339481259773749E-2</v>
      </c>
      <c r="AB81" s="13">
        <f t="shared" si="30"/>
        <v>2809.2474999999999</v>
      </c>
      <c r="AC81" s="14">
        <f>IFERROR(AB81/AB148, "NA")</f>
        <v>2.2405622238998595E-2</v>
      </c>
      <c r="AD81" s="15">
        <f t="shared" si="31"/>
        <v>-89.597500000000309</v>
      </c>
      <c r="AE81" s="16">
        <f>IFERROR(AD81/AD148, "NA")</f>
        <v>2.4618045585869757E-2</v>
      </c>
      <c r="AF81" s="15">
        <f t="shared" si="32"/>
        <v>-3.1893772264636813E-2</v>
      </c>
      <c r="AG81" s="13">
        <f t="shared" si="33"/>
        <v>2922.0512500000004</v>
      </c>
      <c r="AH81" s="14">
        <f>IFERROR(AG81/AG148, "NA")</f>
        <v>2.1379903316534089E-2</v>
      </c>
      <c r="AI81" s="15">
        <f t="shared" si="34"/>
        <v>-202.4012500000008</v>
      </c>
      <c r="AJ81" s="16">
        <f>IFERROR(AI81/AI148, "NA")</f>
        <v>1.355582769738548E-2</v>
      </c>
      <c r="AK81" s="15">
        <f t="shared" si="35"/>
        <v>-6.9266837807858694E-2</v>
      </c>
      <c r="AL81" s="16">
        <f>IFERROR(AK81/AK148, "NA")</f>
        <v>0.63404532268871949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1021.04</v>
      </c>
      <c r="I82" s="8">
        <f>IFERROR(H82/H148, "NA")</f>
        <v>8.2945760553175367E-3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1132.6400000000001</v>
      </c>
      <c r="Q82" s="8">
        <f>IFERROR(P82/P148, "NA")</f>
        <v>9.9917279600683761E-3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0</v>
      </c>
      <c r="AA82" s="8">
        <f>IFERROR(Z82/Z148, "NA")</f>
        <v>0</v>
      </c>
      <c r="AB82" s="9">
        <f t="shared" si="30"/>
        <v>0</v>
      </c>
      <c r="AC82" s="8">
        <f>IFERROR(AB82/AB148, "NA")</f>
        <v>0</v>
      </c>
      <c r="AD82" s="10">
        <f t="shared" si="31"/>
        <v>0</v>
      </c>
      <c r="AE82" s="11">
        <f>IFERROR(AD82/AD148, "NA")</f>
        <v>0</v>
      </c>
      <c r="AF82" s="10" t="str">
        <f t="shared" si="32"/>
        <v>NA</v>
      </c>
      <c r="AG82" s="9">
        <f t="shared" si="33"/>
        <v>141.58000000000001</v>
      </c>
      <c r="AH82" s="8">
        <f>IFERROR(AG82/AG148, "NA")</f>
        <v>1.0359047301291844E-3</v>
      </c>
      <c r="AI82" s="10">
        <f t="shared" si="34"/>
        <v>-141.58000000000001</v>
      </c>
      <c r="AJ82" s="11">
        <f>IFERROR(AI82/AI148, "NA")</f>
        <v>9.4823232830618838E-3</v>
      </c>
      <c r="AK82" s="10">
        <f t="shared" si="35"/>
        <v>-1</v>
      </c>
      <c r="AL82" s="11">
        <f>IFERROR(AK82/AK148, "NA")</f>
        <v>9.1536634666002268</v>
      </c>
    </row>
    <row r="83" spans="1:38" ht="16.5" customHeight="1">
      <c r="A83" s="23" t="s">
        <v>95</v>
      </c>
      <c r="B83" s="7">
        <v>-220.91</v>
      </c>
      <c r="C83" s="8">
        <f>IFERROR(B83/B148, "NA")</f>
        <v>-1.7428534213015014E-3</v>
      </c>
      <c r="D83" s="7">
        <v>2889.13</v>
      </c>
      <c r="E83" s="8">
        <f>IFERROR(D83/D148, "NA")</f>
        <v>2.1131919194416395E-2</v>
      </c>
      <c r="F83" s="7">
        <v>-220.91</v>
      </c>
      <c r="G83" s="8">
        <f>IFERROR(F83/F148, "NA")</f>
        <v>-1.475758737128362E-3</v>
      </c>
      <c r="H83" s="7">
        <v>-220.91</v>
      </c>
      <c r="I83" s="8">
        <f>IFERROR(H83/H148, "NA")</f>
        <v>-1.7945964863082711E-3</v>
      </c>
      <c r="J83" s="7">
        <v>-159.66</v>
      </c>
      <c r="K83" s="8">
        <f>IFERROR(J83/J148, "NA")</f>
        <v>-9.4967959169130884E-4</v>
      </c>
      <c r="L83" s="7">
        <v>1822.23</v>
      </c>
      <c r="M83" s="8">
        <f>IFERROR(L83/L148, "NA")</f>
        <v>1.0958269297890915E-2</v>
      </c>
      <c r="N83" s="7">
        <v>-159.66</v>
      </c>
      <c r="O83" s="8">
        <f>IFERROR(N83/N148, "NA")</f>
        <v>-1.1080483130162225E-3</v>
      </c>
      <c r="P83" s="7">
        <v>-411.29999999999995</v>
      </c>
      <c r="Q83" s="8">
        <f>IFERROR(P83/P148, "NA")</f>
        <v>-3.628335313935692E-3</v>
      </c>
      <c r="R83" s="7">
        <v>-222.57</v>
      </c>
      <c r="S83" s="8">
        <f>IFERROR(R83/R148, "NA")</f>
        <v>-1.7396435829294982E-3</v>
      </c>
      <c r="T83" s="7">
        <v>1643.14</v>
      </c>
      <c r="U83" s="8">
        <f>IFERROR(T83/T148, "NA")</f>
        <v>1.3156838006201845E-2</v>
      </c>
      <c r="V83" s="7">
        <v>-222.57</v>
      </c>
      <c r="W83" s="8">
        <f>IFERROR(V83/V148, "NA")</f>
        <v>-1.7531418433297547E-3</v>
      </c>
      <c r="X83" s="7">
        <v>-222.57</v>
      </c>
      <c r="Y83" s="8">
        <f>IFERROR(X83/X148, "NA")</f>
        <v>-1.8282125802907888E-3</v>
      </c>
      <c r="Z83" s="7">
        <v>-222.57</v>
      </c>
      <c r="AA83" s="8">
        <f>IFERROR(Z83/Z148, "NA")</f>
        <v>-1.8282125802907888E-3</v>
      </c>
      <c r="AB83" s="9">
        <f t="shared" si="30"/>
        <v>243.85750000000007</v>
      </c>
      <c r="AC83" s="8">
        <f>IFERROR(AB83/AB148, "NA")</f>
        <v>1.944926185801216E-3</v>
      </c>
      <c r="AD83" s="10">
        <f t="shared" si="31"/>
        <v>-466.42750000000007</v>
      </c>
      <c r="AE83" s="11">
        <f>IFERROR(AD83/AD148, "NA")</f>
        <v>0.12815685100034296</v>
      </c>
      <c r="AF83" s="10">
        <f t="shared" si="32"/>
        <v>-1.9127051659268217</v>
      </c>
      <c r="AG83" s="9">
        <f t="shared" si="33"/>
        <v>258.38</v>
      </c>
      <c r="AH83" s="8">
        <f>IFERROR(AG83/AG148, "NA")</f>
        <v>1.8905005238789281E-3</v>
      </c>
      <c r="AI83" s="10">
        <f t="shared" si="34"/>
        <v>-480.95</v>
      </c>
      <c r="AJ83" s="11">
        <f>IFERROR(AI83/AI148, "NA")</f>
        <v>3.2211635704115074E-2</v>
      </c>
      <c r="AK83" s="10">
        <f t="shared" si="35"/>
        <v>-1.8614056815542999</v>
      </c>
      <c r="AL83" s="11">
        <f>IFERROR(AK83/AK148, "NA")</f>
        <v>17.038681183765693</v>
      </c>
    </row>
    <row r="84" spans="1:38" ht="16.5" customHeight="1">
      <c r="A84" s="27" t="s">
        <v>96</v>
      </c>
      <c r="B84" s="13">
        <f>IFERROR(B63+B65+B66+B67+B68+B69+B71+B72+B74+B75+B76+B77+B78+B79+B80+B82+B83, "NA")</f>
        <v>31698.6</v>
      </c>
      <c r="C84" s="14">
        <f>IFERROR(B84/B148, "NA")</f>
        <v>0.25008380544324732</v>
      </c>
      <c r="D84" s="13">
        <f>IFERROR(D63+D65+D66+D67+D68+D69+D71+D72+D74+D75+D76+D77+D78+D79+D80+D82+D83, "NA")</f>
        <v>35495.079999999994</v>
      </c>
      <c r="E84" s="14">
        <f>IFERROR(D84/D148, "NA")</f>
        <v>0.25962111859256776</v>
      </c>
      <c r="F84" s="13">
        <f>IFERROR(F63+F65+F66+F67+F68+F69+F71+F72+F74+F75+F76+F77+F78+F79+F80+F82+F83, "NA")</f>
        <v>35664.120000000003</v>
      </c>
      <c r="G84" s="14">
        <f>IFERROR(F84/F148, "NA")</f>
        <v>0.23824922679821811</v>
      </c>
      <c r="H84" s="13">
        <f>IFERROR(H63+H65+H66+H67+H68+H69+H71+H72+H74+H75+H76+H77+H78+H79+H80+H82+H83, "NA")</f>
        <v>31153.390000000003</v>
      </c>
      <c r="I84" s="14">
        <f>IFERROR(H84/H148, "NA")</f>
        <v>0.25307937273365277</v>
      </c>
      <c r="J84" s="13">
        <f>IFERROR(J63+J65+J66+J67+J68+J69+J71+J72+J74+J75+J76+J77+J78+J79+J80+J82+J83, "NA")</f>
        <v>35931.919999999998</v>
      </c>
      <c r="K84" s="14">
        <f>IFERROR(J84/J148, "NA")</f>
        <v>0.2137279914461028</v>
      </c>
      <c r="L84" s="13">
        <f>IFERROR(L63+L65+L66+L67+L68+L69+L71+L72+L74+L75+L76+L77+L78+L79+L80+L82+L83, "NA")</f>
        <v>39727.300000000003</v>
      </c>
      <c r="M84" s="14">
        <f>IFERROR(L84/L148, "NA")</f>
        <v>0.2389064233812975</v>
      </c>
      <c r="N84" s="13">
        <f>IFERROR(N63+N65+N66+N67+N68+N69+N71+N72+N74+N75+N76+N77+N78+N79+N80+N82+N83, "NA")</f>
        <v>33150.729999999996</v>
      </c>
      <c r="O84" s="14">
        <f>IFERROR(N84/N148, "NA")</f>
        <v>0.23006770920553848</v>
      </c>
      <c r="P84" s="13">
        <f>IFERROR(P63+P65+P66+P67+P68+P69+P71+P72+P74+P75+P76+P77+P78+P79+P80+P82+P83, "NA")</f>
        <v>32851.799999999996</v>
      </c>
      <c r="Q84" s="14">
        <f>IFERROR(P84/P148, "NA")</f>
        <v>0.28980633616910423</v>
      </c>
      <c r="R84" s="13">
        <f>IFERROR(R63+R65+R66+R67+R68+R69+R71+R72+R74+R75+R76+R77+R78+R79+R80+R82+R83, "NA")</f>
        <v>33761.440000000002</v>
      </c>
      <c r="S84" s="14">
        <f>IFERROR(R84/R148, "NA")</f>
        <v>0.26388494606846963</v>
      </c>
      <c r="T84" s="13">
        <f>IFERROR(T63+T65+T66+T67+T68+T69+T71+T72+T74+T75+T76+T77+T78+T79+T80+T82+T83, "NA")</f>
        <v>36163.26</v>
      </c>
      <c r="U84" s="14">
        <f>IFERROR(T84/T148, "NA")</f>
        <v>0.28956397726070748</v>
      </c>
      <c r="V84" s="13">
        <f>IFERROR(V63+V65+V66+V67+V68+V69+V71+V72+V74+V75+V76+V77+V78+V79+V80+V82+V83, "NA")</f>
        <v>33228.300000000003</v>
      </c>
      <c r="W84" s="14">
        <f>IFERROR(V84/V148, "NA")</f>
        <v>0.26173304179680146</v>
      </c>
      <c r="X84" s="13">
        <f>IFERROR(X63+X65+X66+X67+X68+X69+X71+X72+X74+X75+X76+X77+X78+X79+X80+X82+X83, "NA")</f>
        <v>32551.15</v>
      </c>
      <c r="Y84" s="14">
        <f>IFERROR(X84/X148, "NA")</f>
        <v>0.26737845142172134</v>
      </c>
      <c r="Z84" s="13">
        <f>IFERROR(Z63+Z65+Z66+Z67+Z68+Z69+Z71+Z72+Z74+Z75+Z76+Z77+Z78+Z79+Z80+Z82+Z83, "NA")</f>
        <v>32551.15</v>
      </c>
      <c r="AA84" s="14">
        <f>IFERROR(Z84/Z148, "NA")</f>
        <v>0.26737845142172134</v>
      </c>
      <c r="AB84" s="13">
        <f t="shared" si="30"/>
        <v>33926.037500000006</v>
      </c>
      <c r="AC84" s="14">
        <f>IFERROR(AB84/AB148, "NA")</f>
        <v>0.27058277360435506</v>
      </c>
      <c r="AD84" s="15">
        <f t="shared" si="31"/>
        <v>-1374.8875000000044</v>
      </c>
      <c r="AE84" s="16">
        <f>IFERROR(AD84/AD148, "NA")</f>
        <v>0.37776771841226037</v>
      </c>
      <c r="AF84" s="15">
        <f t="shared" si="32"/>
        <v>-4.0526026654306567E-2</v>
      </c>
      <c r="AG84" s="13">
        <f t="shared" si="33"/>
        <v>34670.737500000003</v>
      </c>
      <c r="AH84" s="14">
        <f>IFERROR(AG84/AG148, "NA")</f>
        <v>0.2536769386447047</v>
      </c>
      <c r="AI84" s="15">
        <f t="shared" si="34"/>
        <v>-2119.5875000000015</v>
      </c>
      <c r="AJ84" s="16">
        <f>IFERROR(AI84/AI148, "NA")</f>
        <v>0.14195941447758822</v>
      </c>
      <c r="AK84" s="15">
        <f t="shared" si="35"/>
        <v>-6.1134768188879779E-2</v>
      </c>
      <c r="AL84" s="16">
        <f>IFERROR(AK84/AK148, "NA")</f>
        <v>0.55960709410962262</v>
      </c>
    </row>
    <row r="85" spans="1:38" ht="16.5" customHeight="1">
      <c r="A85" s="12" t="s">
        <v>96</v>
      </c>
      <c r="B85" s="28">
        <f>IFERROR(B63+B65+B66+B67+B68+B69+B71+B72+B74+B75+B76+B77+B78+B79+B80+B82+B83, "NA")</f>
        <v>31698.6</v>
      </c>
      <c r="C85" s="29">
        <f>IFERROR(B85/B148, "NA")</f>
        <v>0.25008380544324732</v>
      </c>
      <c r="D85" s="28">
        <f>IFERROR(D63+D65+D66+D67+D68+D69+D71+D72+D74+D75+D76+D77+D78+D79+D80+D82+D83, "NA")</f>
        <v>35495.079999999994</v>
      </c>
      <c r="E85" s="29">
        <f>IFERROR(D85/D148, "NA")</f>
        <v>0.25962111859256776</v>
      </c>
      <c r="F85" s="28">
        <f>IFERROR(F63+F65+F66+F67+F68+F69+F71+F72+F74+F75+F76+F77+F78+F79+F80+F82+F83, "NA")</f>
        <v>35664.120000000003</v>
      </c>
      <c r="G85" s="29">
        <f>IFERROR(F85/F148, "NA")</f>
        <v>0.23824922679821811</v>
      </c>
      <c r="H85" s="28">
        <f>IFERROR(H63+H65+H66+H67+H68+H69+H71+H72+H74+H75+H76+H77+H78+H79+H80+H82+H83, "NA")</f>
        <v>31153.390000000003</v>
      </c>
      <c r="I85" s="29">
        <f>IFERROR(H85/H148, "NA")</f>
        <v>0.25307937273365277</v>
      </c>
      <c r="J85" s="28">
        <f>IFERROR(J63+J65+J66+J67+J68+J69+J71+J72+J74+J75+J76+J77+J78+J79+J80+J82+J83, "NA")</f>
        <v>35931.919999999998</v>
      </c>
      <c r="K85" s="29">
        <f>IFERROR(J85/J148, "NA")</f>
        <v>0.2137279914461028</v>
      </c>
      <c r="L85" s="28">
        <f>IFERROR(L63+L65+L66+L67+L68+L69+L71+L72+L74+L75+L76+L77+L78+L79+L80+L82+L83, "NA")</f>
        <v>39727.300000000003</v>
      </c>
      <c r="M85" s="29">
        <f>IFERROR(L85/L148, "NA")</f>
        <v>0.2389064233812975</v>
      </c>
      <c r="N85" s="28">
        <f>IFERROR(N63+N65+N66+N67+N68+N69+N71+N72+N74+N75+N76+N77+N78+N79+N80+N82+N83, "NA")</f>
        <v>33150.729999999996</v>
      </c>
      <c r="O85" s="29">
        <f>IFERROR(N85/N148, "NA")</f>
        <v>0.23006770920553848</v>
      </c>
      <c r="P85" s="28">
        <f>IFERROR(P63+P65+P66+P67+P68+P69+P71+P72+P74+P75+P76+P77+P78+P79+P80+P82+P83, "NA")</f>
        <v>32851.799999999996</v>
      </c>
      <c r="Q85" s="29">
        <f>IFERROR(P85/P148, "NA")</f>
        <v>0.28980633616910423</v>
      </c>
      <c r="R85" s="28">
        <f>IFERROR(R63+R65+R66+R67+R68+R69+R71+R72+R74+R75+R76+R77+R78+R79+R80+R82+R83, "NA")</f>
        <v>33761.440000000002</v>
      </c>
      <c r="S85" s="29">
        <f>IFERROR(R85/R148, "NA")</f>
        <v>0.26388494606846963</v>
      </c>
      <c r="T85" s="28">
        <f>IFERROR(T63+T65+T66+T67+T68+T69+T71+T72+T74+T75+T76+T77+T78+T79+T80+T82+T83, "NA")</f>
        <v>36163.26</v>
      </c>
      <c r="U85" s="29">
        <f>IFERROR(T85/T148, "NA")</f>
        <v>0.28956397726070748</v>
      </c>
      <c r="V85" s="28">
        <f>IFERROR(V63+V65+V66+V67+V68+V69+V71+V72+V74+V75+V76+V77+V78+V79+V80+V82+V83, "NA")</f>
        <v>33228.300000000003</v>
      </c>
      <c r="W85" s="29">
        <f>IFERROR(V85/V148, "NA")</f>
        <v>0.26173304179680146</v>
      </c>
      <c r="X85" s="28">
        <f>IFERROR(X63+X65+X66+X67+X68+X69+X71+X72+X74+X75+X76+X77+X78+X79+X80+X82+X83, "NA")</f>
        <v>32551.15</v>
      </c>
      <c r="Y85" s="29">
        <f>IFERROR(X85/X148, "NA")</f>
        <v>0.26737845142172134</v>
      </c>
      <c r="Z85" s="28">
        <f>IFERROR(Z63+Z65+Z66+Z67+Z68+Z69+Z71+Z72+Z74+Z75+Z76+Z77+Z78+Z79+Z80+Z82+Z83, "NA")</f>
        <v>32551.15</v>
      </c>
      <c r="AA85" s="29">
        <f>IFERROR(Z85/Z148, "NA")</f>
        <v>0.26737845142172134</v>
      </c>
      <c r="AB85" s="28">
        <f t="shared" si="30"/>
        <v>33926.037500000006</v>
      </c>
      <c r="AC85" s="29">
        <f>IFERROR(AB85/AB148, "NA")</f>
        <v>0.27058277360435506</v>
      </c>
      <c r="AD85" s="30">
        <f t="shared" si="31"/>
        <v>-1374.8875000000044</v>
      </c>
      <c r="AE85" s="31">
        <f>IFERROR(AD85/AD148, "NA")</f>
        <v>0.37776771841226037</v>
      </c>
      <c r="AF85" s="30">
        <f t="shared" si="32"/>
        <v>-4.0526026654306567E-2</v>
      </c>
      <c r="AG85" s="28">
        <f t="shared" si="33"/>
        <v>34670.737500000003</v>
      </c>
      <c r="AH85" s="29">
        <f>IFERROR(AG85/AG148, "NA")</f>
        <v>0.2536769386447047</v>
      </c>
      <c r="AI85" s="30">
        <f t="shared" si="34"/>
        <v>-2119.5875000000015</v>
      </c>
      <c r="AJ85" s="31">
        <f>IFERROR(AI85/AI148, "NA")</f>
        <v>0.14195941447758822</v>
      </c>
      <c r="AK85" s="30">
        <f t="shared" si="35"/>
        <v>-6.1134768188879779E-2</v>
      </c>
      <c r="AL85" s="31">
        <f>IFERROR(AK85/AK148, "NA")</f>
        <v>0.55960709410962262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61464.000000000007</v>
      </c>
      <c r="C87" s="34">
        <f>IFERROR(B87/B148, "NA")</f>
        <v>0.48491576971108369</v>
      </c>
      <c r="D87" s="33">
        <f>IFERROR(D59-D85, "NA")</f>
        <v>64621.190000000053</v>
      </c>
      <c r="E87" s="34">
        <f>IFERROR(D87/D148, "NA")</f>
        <v>0.47265777771406264</v>
      </c>
      <c r="F87" s="33">
        <f>IFERROR(F59-F85, "NA")</f>
        <v>75961.160000000033</v>
      </c>
      <c r="G87" s="34">
        <f>IFERROR(F87/F148, "NA")</f>
        <v>0.50744803563625684</v>
      </c>
      <c r="H87" s="33">
        <f>IFERROR(H59-H85, "NA")</f>
        <v>60033.320000000036</v>
      </c>
      <c r="I87" s="34">
        <f>IFERROR(H87/H148, "NA")</f>
        <v>0.48768994220913547</v>
      </c>
      <c r="J87" s="33">
        <f>IFERROR(J59-J85, "NA")</f>
        <v>91111.259999999966</v>
      </c>
      <c r="K87" s="34">
        <f>IFERROR(J87/J148, "NA")</f>
        <v>0.54194227856244925</v>
      </c>
      <c r="L87" s="33">
        <f>IFERROR(L59-L85, "NA")</f>
        <v>86833.379999999932</v>
      </c>
      <c r="M87" s="34">
        <f>IFERROR(L87/L148, "NA")</f>
        <v>0.52218631132518623</v>
      </c>
      <c r="N87" s="33">
        <f>IFERROR(N59-N85, "NA")</f>
        <v>76683.100000000093</v>
      </c>
      <c r="O87" s="34">
        <f>IFERROR(N87/N148, "NA")</f>
        <v>0.53218451454249283</v>
      </c>
      <c r="P87" s="33">
        <f>IFERROR(P59-P85, "NA")</f>
        <v>49798.630000000026</v>
      </c>
      <c r="Q87" s="34">
        <f>IFERROR(P87/P148, "NA")</f>
        <v>0.43930495456994284</v>
      </c>
      <c r="R87" s="33">
        <f>IFERROR(R59-R85, "NA")</f>
        <v>61583.759999999951</v>
      </c>
      <c r="S87" s="34">
        <f>IFERROR(R87/R148, "NA")</f>
        <v>0.48134875722995119</v>
      </c>
      <c r="T87" s="33">
        <f>IFERROR(T59-T85, "NA")</f>
        <v>58026.380000000041</v>
      </c>
      <c r="U87" s="34">
        <f>IFERROR(T87/T148, "NA")</f>
        <v>0.46462485347950333</v>
      </c>
      <c r="V87" s="33">
        <f>IFERROR(V59-V85, "NA")</f>
        <v>62538.919999999984</v>
      </c>
      <c r="W87" s="34">
        <f>IFERROR(V87/V148, "NA")</f>
        <v>0.49260725833963265</v>
      </c>
      <c r="X87" s="33">
        <f>IFERROR(X59-X85, "NA")</f>
        <v>60347.230000000032</v>
      </c>
      <c r="Y87" s="34">
        <f>IFERROR(X87/X148, "NA")</f>
        <v>0.49569827502224811</v>
      </c>
      <c r="Z87" s="33">
        <f>IFERROR(Z59-Z85, "NA")</f>
        <v>60347.230000000032</v>
      </c>
      <c r="AA87" s="34">
        <f>IFERROR(Z87/Z148, "NA")</f>
        <v>0.49569827502224811</v>
      </c>
      <c r="AB87" s="33">
        <f>IFERROR((R87+T87+V87+X87)/4, "NA")</f>
        <v>60624.072500000002</v>
      </c>
      <c r="AC87" s="34">
        <f>IFERROR(AB87/AB148, "NA")</f>
        <v>0.4835174070724147</v>
      </c>
      <c r="AD87" s="15">
        <f>IFERROR(X87-AB87, "NA")</f>
        <v>-276.84249999996973</v>
      </c>
      <c r="AE87" s="16">
        <f>IFERROR(AD87/AD148, "NA")</f>
        <v>7.6065976004970892E-2</v>
      </c>
      <c r="AF87" s="15">
        <f>IFERROR((X87-AB87)/AB87, "NA")</f>
        <v>-4.5665440902204271E-3</v>
      </c>
      <c r="AG87" s="33">
        <f>IFERROR((J87+L87+N87+P87+R87+T87+V87+X87)/8, "NA")</f>
        <v>68365.332500000004</v>
      </c>
      <c r="AH87" s="34">
        <f>IFERROR(AG87/AG148, "NA")</f>
        <v>0.50021169171920088</v>
      </c>
      <c r="AI87" s="15">
        <f>IFERROR(X87-AG87, "NA")</f>
        <v>-8018.1024999999718</v>
      </c>
      <c r="AJ87" s="16">
        <f>IFERROR(AI87/AI148, "NA")</f>
        <v>0.53701257255068802</v>
      </c>
      <c r="AK87" s="15">
        <f>IFERROR((X87-AG87)/AG87, "NA")</f>
        <v>-0.11728316394862807</v>
      </c>
      <c r="AL87" s="16">
        <f>IFERROR(AK87/AK148, "NA")</f>
        <v>1.0735706130838416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2228.44</v>
      </c>
      <c r="C90" s="8">
        <f>IFERROR(B90/B148, "NA")</f>
        <v>1.7581115740188846E-2</v>
      </c>
      <c r="D90" s="7">
        <v>2760.5899999999997</v>
      </c>
      <c r="E90" s="8">
        <f>IFERROR(D90/D148, "NA")</f>
        <v>2.0191741046236739E-2</v>
      </c>
      <c r="F90" s="7">
        <v>3078.1600000000003</v>
      </c>
      <c r="G90" s="8">
        <f>IFERROR(F90/F148, "NA")</f>
        <v>2.0563222643968312E-2</v>
      </c>
      <c r="H90" s="7">
        <v>2775.24</v>
      </c>
      <c r="I90" s="8">
        <f>IFERROR(H90/H148, "NA")</f>
        <v>2.2545090546657761E-2</v>
      </c>
      <c r="J90" s="7">
        <v>3628.63</v>
      </c>
      <c r="K90" s="8">
        <f>IFERROR(J90/J148, "NA")</f>
        <v>2.1583589232110949E-2</v>
      </c>
      <c r="L90" s="7">
        <v>2533.69</v>
      </c>
      <c r="M90" s="8">
        <f>IFERROR(L90/L148, "NA")</f>
        <v>1.5236746918541145E-2</v>
      </c>
      <c r="N90" s="7">
        <v>3249.4299999999994</v>
      </c>
      <c r="O90" s="8">
        <f>IFERROR(N90/N148, "NA")</f>
        <v>2.2551205247177148E-2</v>
      </c>
      <c r="P90" s="7">
        <v>2727.7499999999995</v>
      </c>
      <c r="Q90" s="8">
        <f>IFERROR(P90/P148, "NA")</f>
        <v>2.4063193903690942E-2</v>
      </c>
      <c r="R90" s="7">
        <v>1807.8100000000002</v>
      </c>
      <c r="S90" s="8">
        <f>IFERROR(R90/R148, "NA")</f>
        <v>1.4130139127716119E-2</v>
      </c>
      <c r="T90" s="7">
        <v>2241.21</v>
      </c>
      <c r="U90" s="8">
        <f>IFERROR(T90/T148, "NA")</f>
        <v>1.7945663125406013E-2</v>
      </c>
      <c r="V90" s="7">
        <v>2573.41</v>
      </c>
      <c r="W90" s="8">
        <f>IFERROR(V90/V148, "NA")</f>
        <v>2.027026441588365E-2</v>
      </c>
      <c r="X90" s="7">
        <v>2106.73</v>
      </c>
      <c r="Y90" s="8">
        <f>IFERROR(X90/X148, "NA")</f>
        <v>1.730489414240919E-2</v>
      </c>
      <c r="Z90" s="7">
        <v>2106.73</v>
      </c>
      <c r="AA90" s="8">
        <f>IFERROR(Z90/Z148, "NA")</f>
        <v>1.730489414240919E-2</v>
      </c>
      <c r="AB90" s="9">
        <f t="shared" ref="AB90:AB99" si="36">IFERROR((R90+T90+V90+X90)/4, "NA")</f>
        <v>2182.29</v>
      </c>
      <c r="AC90" s="8">
        <f>IFERROR(AB90/AB148, "NA")</f>
        <v>1.7405218072079533E-2</v>
      </c>
      <c r="AD90" s="10">
        <f t="shared" ref="AD90:AD99" si="37">IFERROR(X90-AB90, "NA")</f>
        <v>-75.559999999999945</v>
      </c>
      <c r="AE90" s="11">
        <f>IFERROR(AD90/AD148, "NA")</f>
        <v>2.0761065034943064E-2</v>
      </c>
      <c r="AF90" s="10">
        <f t="shared" ref="AF90:AF99" si="38">IFERROR((X90-AB90)/AB90, "NA")</f>
        <v>-3.4624179187917256E-2</v>
      </c>
      <c r="AG90" s="9">
        <f t="shared" ref="AG90:AG99" si="39">IFERROR((J90+L90+N90+P90+R90+T90+V90+X90)/8, "NA")</f>
        <v>2608.5825</v>
      </c>
      <c r="AH90" s="8">
        <f>IFERROR(AG90/AG148, "NA")</f>
        <v>1.9086332467030745E-2</v>
      </c>
      <c r="AI90" s="10">
        <f t="shared" ref="AI90:AI99" si="40">IFERROR(X90-AG90, "NA")</f>
        <v>-501.85249999999996</v>
      </c>
      <c r="AJ90" s="11">
        <f>IFERROR(AI90/AI148, "NA")</f>
        <v>3.3611581052499034E-2</v>
      </c>
      <c r="AK90" s="10">
        <f t="shared" ref="AK90:AK99" si="41">IFERROR((X90-AG90)/AG90, "NA")</f>
        <v>-0.19238513637195678</v>
      </c>
      <c r="AL90" s="11">
        <f>IFERROR(AK90/AK148, "NA")</f>
        <v>1.7610287943248835</v>
      </c>
    </row>
    <row r="91" spans="1:38" ht="16.5" hidden="1" customHeight="1">
      <c r="A91" s="6" t="s">
        <v>100</v>
      </c>
      <c r="B91" s="7">
        <v>1849.46</v>
      </c>
      <c r="C91" s="8">
        <f>IFERROR(B91/B148, "NA")</f>
        <v>1.4591180519488819E-2</v>
      </c>
      <c r="D91" s="7">
        <v>6030.4599999999991</v>
      </c>
      <c r="E91" s="8">
        <f>IFERROR(D91/D148, "NA")</f>
        <v>4.4108500976127854E-2</v>
      </c>
      <c r="F91" s="7">
        <v>11001.4</v>
      </c>
      <c r="G91" s="8">
        <f>IFERROR(F91/F148, "NA")</f>
        <v>7.3493332898664443E-2</v>
      </c>
      <c r="H91" s="7">
        <v>10001.31</v>
      </c>
      <c r="I91" s="8">
        <f>IFERROR(H91/H148, "NA")</f>
        <v>8.1247185661490084E-2</v>
      </c>
      <c r="J91" s="7">
        <v>11660.550000000001</v>
      </c>
      <c r="K91" s="8">
        <f>IFERROR(J91/J148, "NA")</f>
        <v>6.9358551690442777E-2</v>
      </c>
      <c r="L91" s="7">
        <v>13450.490000000003</v>
      </c>
      <c r="M91" s="8">
        <f>IFERROR(L91/L148, "NA")</f>
        <v>8.0886656244595248E-2</v>
      </c>
      <c r="N91" s="7">
        <v>3943.0099999999998</v>
      </c>
      <c r="O91" s="8">
        <f>IFERROR(N91/N148, "NA")</f>
        <v>2.7364684822160187E-2</v>
      </c>
      <c r="P91" s="7">
        <v>3973.48</v>
      </c>
      <c r="Q91" s="8">
        <f>IFERROR(P91/P148, "NA")</f>
        <v>3.5052559696613653E-2</v>
      </c>
      <c r="R91" s="7">
        <v>3798.29</v>
      </c>
      <c r="S91" s="8">
        <f>IFERROR(R91/R148, "NA")</f>
        <v>2.9688056901672658E-2</v>
      </c>
      <c r="T91" s="7">
        <v>6864.91</v>
      </c>
      <c r="U91" s="8">
        <f>IFERROR(T91/T148, "NA")</f>
        <v>5.4968236910521988E-2</v>
      </c>
      <c r="V91" s="7">
        <v>6975.4700000000012</v>
      </c>
      <c r="W91" s="8">
        <f>IFERROR(V91/V148, "NA")</f>
        <v>5.4944459423513531E-2</v>
      </c>
      <c r="X91" s="7">
        <v>6611.5899999999992</v>
      </c>
      <c r="Y91" s="8">
        <f>IFERROR(X91/X148, "NA")</f>
        <v>5.4308271616681385E-2</v>
      </c>
      <c r="Z91" s="7">
        <v>6611.5899999999992</v>
      </c>
      <c r="AA91" s="8">
        <f>IFERROR(Z91/Z148, "NA")</f>
        <v>5.4308271616681385E-2</v>
      </c>
      <c r="AB91" s="9">
        <f t="shared" si="36"/>
        <v>6062.5650000000005</v>
      </c>
      <c r="AC91" s="8">
        <f>IFERROR(AB91/AB148, "NA")</f>
        <v>4.8352998868691537E-2</v>
      </c>
      <c r="AD91" s="10">
        <f t="shared" si="37"/>
        <v>549.02499999999873</v>
      </c>
      <c r="AE91" s="11">
        <f>IFERROR(AD91/AD148, "NA")</f>
        <v>-0.15085155811023818</v>
      </c>
      <c r="AF91" s="10">
        <f t="shared" si="38"/>
        <v>9.0559853791258096E-2</v>
      </c>
      <c r="AG91" s="9">
        <f t="shared" si="39"/>
        <v>7159.723750000001</v>
      </c>
      <c r="AH91" s="8">
        <f>IFERROR(AG91/AG148, "NA")</f>
        <v>5.2385871585275197E-2</v>
      </c>
      <c r="AI91" s="10">
        <f t="shared" si="40"/>
        <v>-548.13375000000178</v>
      </c>
      <c r="AJ91" s="11">
        <f>IFERROR(AI91/AI148, "NA")</f>
        <v>3.6711268681007471E-2</v>
      </c>
      <c r="AK91" s="10">
        <f t="shared" si="41"/>
        <v>-7.6557946806257951E-2</v>
      </c>
      <c r="AL91" s="11">
        <f>IFERROR(AK91/AK148, "NA")</f>
        <v>0.700785680758367</v>
      </c>
    </row>
    <row r="92" spans="1:38" ht="16.5" hidden="1" customHeight="1">
      <c r="A92" s="6" t="s">
        <v>101</v>
      </c>
      <c r="B92" s="7">
        <v>1576.95</v>
      </c>
      <c r="C92" s="8">
        <f>IFERROR(B92/B148, "NA")</f>
        <v>1.2441232640991366E-2</v>
      </c>
      <c r="D92" s="7">
        <v>2342.59</v>
      </c>
      <c r="E92" s="8">
        <f>IFERROR(D92/D148, "NA")</f>
        <v>1.713437006491501E-2</v>
      </c>
      <c r="F92" s="7">
        <v>2000.31</v>
      </c>
      <c r="G92" s="8">
        <f>IFERROR(F92/F148, "NA")</f>
        <v>1.3362794619823612E-2</v>
      </c>
      <c r="H92" s="7">
        <v>1606.7600000000002</v>
      </c>
      <c r="I92" s="8">
        <f>IFERROR(H92/H148, "NA")</f>
        <v>1.3052762891406808E-2</v>
      </c>
      <c r="J92" s="7">
        <v>2270.69</v>
      </c>
      <c r="K92" s="8">
        <f>IFERROR(J92/J148, "NA")</f>
        <v>1.3506375748825869E-2</v>
      </c>
      <c r="L92" s="7">
        <v>2193.84</v>
      </c>
      <c r="M92" s="8">
        <f>IFERROR(L92/L148, "NA")</f>
        <v>1.3193005008415516E-2</v>
      </c>
      <c r="N92" s="7">
        <v>2449.08</v>
      </c>
      <c r="O92" s="8">
        <f>IFERROR(N92/N148, "NA")</f>
        <v>1.6996736580494616E-2</v>
      </c>
      <c r="P92" s="7">
        <v>2086.89</v>
      </c>
      <c r="Q92" s="8">
        <f>IFERROR(P92/P148, "NA")</f>
        <v>1.8409765823727831E-2</v>
      </c>
      <c r="R92" s="7">
        <v>2096.62</v>
      </c>
      <c r="S92" s="8">
        <f>IFERROR(R92/R148, "NA")</f>
        <v>1.6387525402532438E-2</v>
      </c>
      <c r="T92" s="7">
        <v>2132.9500000000003</v>
      </c>
      <c r="U92" s="8">
        <f>IFERROR(T92/T148, "NA")</f>
        <v>1.7078811072293431E-2</v>
      </c>
      <c r="V92" s="7">
        <v>1781.1299999999999</v>
      </c>
      <c r="W92" s="8">
        <f>IFERROR(V92/V148, "NA")</f>
        <v>1.402962452895685E-2</v>
      </c>
      <c r="X92" s="7">
        <v>0</v>
      </c>
      <c r="Y92" s="8">
        <f>IFERROR(X92/X148, "NA")</f>
        <v>0</v>
      </c>
      <c r="Z92" s="7">
        <v>0</v>
      </c>
      <c r="AA92" s="8">
        <f>IFERROR(Z92/Z148, "NA")</f>
        <v>0</v>
      </c>
      <c r="AB92" s="9">
        <f t="shared" si="36"/>
        <v>1502.675</v>
      </c>
      <c r="AC92" s="8">
        <f>IFERROR(AB92/AB148, "NA")</f>
        <v>1.1984835226510735E-2</v>
      </c>
      <c r="AD92" s="10">
        <f t="shared" si="37"/>
        <v>-1502.675</v>
      </c>
      <c r="AE92" s="11">
        <f>IFERROR(AD92/AD148, "NA")</f>
        <v>0.41287894919776452</v>
      </c>
      <c r="AF92" s="10">
        <f t="shared" si="38"/>
        <v>-1</v>
      </c>
      <c r="AG92" s="9">
        <f t="shared" si="39"/>
        <v>1876.3999999999999</v>
      </c>
      <c r="AH92" s="8">
        <f>IFERROR(AG92/AG148, "NA")</f>
        <v>1.3729139960548109E-2</v>
      </c>
      <c r="AI92" s="10">
        <f t="shared" si="40"/>
        <v>-1876.3999999999999</v>
      </c>
      <c r="AJ92" s="11">
        <f>IFERROR(AI92/AI148, "NA")</f>
        <v>0.12567192688471052</v>
      </c>
      <c r="AK92" s="10">
        <f t="shared" si="41"/>
        <v>-1</v>
      </c>
      <c r="AL92" s="11">
        <f>IFERROR(AK92/AK148, "NA")</f>
        <v>9.1536634666002268</v>
      </c>
    </row>
    <row r="93" spans="1:38" ht="16.5" hidden="1" customHeight="1">
      <c r="A93" s="6" t="s">
        <v>102</v>
      </c>
      <c r="B93" s="7">
        <v>10669.54</v>
      </c>
      <c r="C93" s="8">
        <f>IFERROR(B93/B148, "NA")</f>
        <v>8.417656191531947E-2</v>
      </c>
      <c r="D93" s="7">
        <v>11700.53</v>
      </c>
      <c r="E93" s="8">
        <f>IFERROR(D93/D148, "NA")</f>
        <v>8.5581006909292712E-2</v>
      </c>
      <c r="F93" s="7">
        <v>14078.039999999999</v>
      </c>
      <c r="G93" s="8">
        <f>IFERROR(F93/F148, "NA")</f>
        <v>9.4046401392614928E-2</v>
      </c>
      <c r="H93" s="7">
        <v>10171.449999999999</v>
      </c>
      <c r="I93" s="8">
        <f>IFERROR(H93/H148, "NA")</f>
        <v>8.2629344215564088E-2</v>
      </c>
      <c r="J93" s="7">
        <v>16845.82</v>
      </c>
      <c r="K93" s="8">
        <f>IFERROR(J93/J148, "NA")</f>
        <v>0.10020124927536819</v>
      </c>
      <c r="L93" s="7">
        <v>16395.620000000003</v>
      </c>
      <c r="M93" s="8">
        <f>IFERROR(L93/L148, "NA")</f>
        <v>9.859766289979105E-2</v>
      </c>
      <c r="N93" s="7">
        <v>13175.34</v>
      </c>
      <c r="O93" s="8">
        <f>IFERROR(N93/N148, "NA")</f>
        <v>9.1437512591852427E-2</v>
      </c>
      <c r="P93" s="7">
        <v>8910.130000000001</v>
      </c>
      <c r="Q93" s="8">
        <f>IFERROR(P93/P148, "NA")</f>
        <v>7.8601846172520876E-2</v>
      </c>
      <c r="R93" s="7">
        <v>10964.640000000001</v>
      </c>
      <c r="S93" s="8">
        <f>IFERROR(R93/R148, "NA")</f>
        <v>8.570142254181648E-2</v>
      </c>
      <c r="T93" s="7">
        <v>11305.440000000002</v>
      </c>
      <c r="U93" s="8">
        <f>IFERROR(T93/T148, "NA")</f>
        <v>9.0524144423989802E-2</v>
      </c>
      <c r="V93" s="7">
        <v>11274.529999999999</v>
      </c>
      <c r="W93" s="8">
        <f>IFERROR(V93/V148, "NA")</f>
        <v>8.8807342889322988E-2</v>
      </c>
      <c r="X93" s="7">
        <v>8127.6299999999992</v>
      </c>
      <c r="Y93" s="8">
        <f>IFERROR(X93/X148, "NA")</f>
        <v>6.6761178119013442E-2</v>
      </c>
      <c r="Z93" s="7">
        <v>8127.6299999999992</v>
      </c>
      <c r="AA93" s="8">
        <f>IFERROR(Z93/Z148, "NA")</f>
        <v>6.6761178119013442E-2</v>
      </c>
      <c r="AB93" s="9">
        <f t="shared" si="36"/>
        <v>10418.06</v>
      </c>
      <c r="AC93" s="8">
        <f>IFERROR(AB93/AB148, "NA")</f>
        <v>8.3090976079260262E-2</v>
      </c>
      <c r="AD93" s="10">
        <f t="shared" si="37"/>
        <v>-2290.4300000000003</v>
      </c>
      <c r="AE93" s="11">
        <f>IFERROR(AD93/AD148, "NA")</f>
        <v>0.62932459221790205</v>
      </c>
      <c r="AF93" s="10">
        <f t="shared" si="38"/>
        <v>-0.21985187261351927</v>
      </c>
      <c r="AG93" s="9">
        <f t="shared" si="39"/>
        <v>12124.893750000001</v>
      </c>
      <c r="AH93" s="8">
        <f>IFERROR(AG93/AG148, "NA")</f>
        <v>8.8714753411066424E-2</v>
      </c>
      <c r="AI93" s="10">
        <f t="shared" si="40"/>
        <v>-3997.2637500000019</v>
      </c>
      <c r="AJ93" s="11">
        <f>IFERROR(AI93/AI148, "NA")</f>
        <v>0.26771681823113624</v>
      </c>
      <c r="AK93" s="10">
        <f t="shared" si="41"/>
        <v>-0.32967412601038271</v>
      </c>
      <c r="AL93" s="11">
        <f>IFERROR(AK93/AK148, "NA")</f>
        <v>3.0177260031445998</v>
      </c>
    </row>
    <row r="94" spans="1:38" ht="16.5" hidden="1" customHeight="1">
      <c r="A94" s="6" t="s">
        <v>103</v>
      </c>
      <c r="B94" s="7">
        <v>3283.0400000000004</v>
      </c>
      <c r="C94" s="8">
        <f>IFERROR(B94/B148, "NA")</f>
        <v>2.5901305944817717E-2</v>
      </c>
      <c r="D94" s="7">
        <v>3761.34</v>
      </c>
      <c r="E94" s="8">
        <f>IFERROR(D94/D148, "NA")</f>
        <v>2.7511511404030336E-2</v>
      </c>
      <c r="F94" s="7">
        <v>3902.21</v>
      </c>
      <c r="G94" s="8">
        <f>IFERROR(F94/F148, "NA")</f>
        <v>2.6068174829612357E-2</v>
      </c>
      <c r="H94" s="7">
        <v>3352.45</v>
      </c>
      <c r="I94" s="8">
        <f>IFERROR(H94/H148, "NA")</f>
        <v>2.7234145084080227E-2</v>
      </c>
      <c r="J94" s="7">
        <v>4855.3999999999996</v>
      </c>
      <c r="K94" s="8">
        <f>IFERROR(J94/J148, "NA")</f>
        <v>2.8880585553663917E-2</v>
      </c>
      <c r="L94" s="7">
        <v>4400.92</v>
      </c>
      <c r="M94" s="8">
        <f>IFERROR(L94/L148, "NA")</f>
        <v>2.6465630858055283E-2</v>
      </c>
      <c r="N94" s="7">
        <v>3880.6099999999997</v>
      </c>
      <c r="O94" s="8">
        <f>IFERROR(N94/N148, "NA")</f>
        <v>2.6931625729511983E-2</v>
      </c>
      <c r="P94" s="7">
        <v>3070.28</v>
      </c>
      <c r="Q94" s="8">
        <f>IFERROR(P94/P148, "NA")</f>
        <v>2.708486590729511E-2</v>
      </c>
      <c r="R94" s="7">
        <v>3448.5699999999997</v>
      </c>
      <c r="S94" s="8">
        <f>IFERROR(R94/R148, "NA")</f>
        <v>2.6954588088166326E-2</v>
      </c>
      <c r="T94" s="7">
        <v>3237.78</v>
      </c>
      <c r="U94" s="8">
        <f>IFERROR(T94/T148, "NA")</f>
        <v>2.5925330136032359E-2</v>
      </c>
      <c r="V94" s="7">
        <v>3570.71</v>
      </c>
      <c r="W94" s="8">
        <f>IFERROR(V94/V148, "NA")</f>
        <v>2.8125808111587314E-2</v>
      </c>
      <c r="X94" s="7">
        <v>2607.5500000000002</v>
      </c>
      <c r="Y94" s="8">
        <f>IFERROR(X94/X148, "NA")</f>
        <v>2.1418680476871305E-2</v>
      </c>
      <c r="Z94" s="7">
        <v>2607.5500000000002</v>
      </c>
      <c r="AA94" s="8">
        <f>IFERROR(Z94/Z148, "NA")</f>
        <v>2.1418680476871305E-2</v>
      </c>
      <c r="AB94" s="9">
        <f t="shared" si="36"/>
        <v>3216.1525000000001</v>
      </c>
      <c r="AC94" s="8">
        <f>IFERROR(AB94/AB148, "NA")</f>
        <v>2.5650960970156931E-2</v>
      </c>
      <c r="AD94" s="10">
        <f t="shared" si="37"/>
        <v>-608.60249999999996</v>
      </c>
      <c r="AE94" s="11">
        <f>IFERROR(AD94/AD148, "NA")</f>
        <v>0.16722122926057365</v>
      </c>
      <c r="AF94" s="10">
        <f t="shared" si="38"/>
        <v>-0.18923309762208101</v>
      </c>
      <c r="AG94" s="9">
        <f t="shared" si="39"/>
        <v>3633.9774999999995</v>
      </c>
      <c r="AH94" s="8">
        <f>IFERROR(AG94/AG148, "NA")</f>
        <v>2.6588886010969256E-2</v>
      </c>
      <c r="AI94" s="10">
        <f t="shared" si="40"/>
        <v>-1026.4274999999993</v>
      </c>
      <c r="AJ94" s="11">
        <f>IFERROR(AI94/AI148, "NA")</f>
        <v>6.8745001989158033E-2</v>
      </c>
      <c r="AK94" s="10">
        <f t="shared" si="41"/>
        <v>-0.2824529045653143</v>
      </c>
      <c r="AL94" s="11">
        <f>IFERROR(AK94/AK148, "NA")</f>
        <v>2.5854788335546379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4191.0099999999993</v>
      </c>
      <c r="G95" s="8">
        <f>IFERROR(F95/F148, "NA")</f>
        <v>2.7997463332996856E-2</v>
      </c>
      <c r="H95" s="7">
        <v>0</v>
      </c>
      <c r="I95" s="8">
        <f>IFERROR(H95/H148, "NA")</f>
        <v>0</v>
      </c>
      <c r="J95" s="7">
        <v>-1346</v>
      </c>
      <c r="K95" s="8">
        <f>IFERROR(J95/J148, "NA")</f>
        <v>-8.0061927246430024E-3</v>
      </c>
      <c r="L95" s="7">
        <v>0</v>
      </c>
      <c r="M95" s="8">
        <f>IFERROR(L95/L148, "NA")</f>
        <v>0</v>
      </c>
      <c r="N95" s="7">
        <v>4399.22</v>
      </c>
      <c r="O95" s="8">
        <f>IFERROR(N95/N148, "NA")</f>
        <v>3.0530804832689634E-2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4545.34</v>
      </c>
      <c r="W95" s="8">
        <f>IFERROR(V95/V148, "NA")</f>
        <v>3.5802784499979638E-2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1136.335</v>
      </c>
      <c r="AC95" s="8">
        <f>IFERROR(AB95/AB148, "NA")</f>
        <v>9.063029422274993E-3</v>
      </c>
      <c r="AD95" s="10">
        <f t="shared" si="37"/>
        <v>-1136.335</v>
      </c>
      <c r="AE95" s="11">
        <f>IFERROR(AD95/AD148, "NA")</f>
        <v>0.31222240387085815</v>
      </c>
      <c r="AF95" s="10">
        <f t="shared" si="38"/>
        <v>-1</v>
      </c>
      <c r="AG95" s="9">
        <f t="shared" si="39"/>
        <v>949.82</v>
      </c>
      <c r="AH95" s="8">
        <f>IFERROR(AG95/AG148, "NA")</f>
        <v>6.9495905549604598E-3</v>
      </c>
      <c r="AI95" s="10">
        <f t="shared" si="40"/>
        <v>-949.82</v>
      </c>
      <c r="AJ95" s="11">
        <f>IFERROR(AI95/AI148, "NA")</f>
        <v>6.3614213170771552E-2</v>
      </c>
      <c r="AK95" s="10">
        <f t="shared" si="41"/>
        <v>-1</v>
      </c>
      <c r="AL95" s="11">
        <f>IFERROR(AK95/AK148, "NA")</f>
        <v>9.1536634666002268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1899.3999999999999</v>
      </c>
      <c r="C97" s="8">
        <f>IFERROR(B97/B148, "NA")</f>
        <v>1.4985178527092805E-2</v>
      </c>
      <c r="D97" s="7">
        <v>4733.74</v>
      </c>
      <c r="E97" s="8">
        <f>IFERROR(D97/D148, "NA")</f>
        <v>3.462392179215773E-2</v>
      </c>
      <c r="F97" s="7">
        <v>2400.5199999999995</v>
      </c>
      <c r="G97" s="8">
        <f>IFERROR(F97/F148, "NA")</f>
        <v>1.6036342237342696E-2</v>
      </c>
      <c r="H97" s="7">
        <v>4257.8100000000004</v>
      </c>
      <c r="I97" s="8">
        <f>IFERROR(H97/H148, "NA")</f>
        <v>3.4588976802173828E-2</v>
      </c>
      <c r="J97" s="7">
        <v>1030.69</v>
      </c>
      <c r="K97" s="8">
        <f>IFERROR(J97/J148, "NA")</f>
        <v>6.1306855715916025E-3</v>
      </c>
      <c r="L97" s="7">
        <v>3360.1200000000003</v>
      </c>
      <c r="M97" s="8">
        <f>IFERROR(L97/L148, "NA")</f>
        <v>2.0206614880245204E-2</v>
      </c>
      <c r="N97" s="7">
        <v>4481.1899999999996</v>
      </c>
      <c r="O97" s="8">
        <f>IFERROR(N97/N148, "NA")</f>
        <v>3.1099680695259715E-2</v>
      </c>
      <c r="P97" s="7">
        <v>671.29000000000008</v>
      </c>
      <c r="Q97" s="8">
        <f>IFERROR(P97/P148, "NA")</f>
        <v>5.9218701991050121E-3</v>
      </c>
      <c r="R97" s="7">
        <v>888.5</v>
      </c>
      <c r="S97" s="8">
        <f>IFERROR(R97/R148, "NA")</f>
        <v>6.9446615601062994E-3</v>
      </c>
      <c r="T97" s="7">
        <v>2810.5199999999995</v>
      </c>
      <c r="U97" s="8">
        <f>IFERROR(T97/T148, "NA")</f>
        <v>2.2504203143487712E-2</v>
      </c>
      <c r="V97" s="7">
        <v>4175.1000000000004</v>
      </c>
      <c r="W97" s="8">
        <f>IFERROR(V97/V148, "NA")</f>
        <v>3.2886473963634179E-2</v>
      </c>
      <c r="X97" s="7">
        <v>2428.29</v>
      </c>
      <c r="Y97" s="8">
        <f>IFERROR(X97/X148, "NA")</f>
        <v>1.9946220634381631E-2</v>
      </c>
      <c r="Z97" s="7">
        <v>2428.29</v>
      </c>
      <c r="AA97" s="8">
        <f>IFERROR(Z97/Z148, "NA")</f>
        <v>1.9946220634381631E-2</v>
      </c>
      <c r="AB97" s="9">
        <f t="shared" si="36"/>
        <v>2575.6025</v>
      </c>
      <c r="AC97" s="8">
        <f>IFERROR(AB97/AB148, "NA")</f>
        <v>2.0542147551193116E-2</v>
      </c>
      <c r="AD97" s="10">
        <f t="shared" si="37"/>
        <v>-147.3125</v>
      </c>
      <c r="AE97" s="11">
        <f>IFERROR(AD97/AD148, "NA")</f>
        <v>4.0475971320275972E-2</v>
      </c>
      <c r="AF97" s="10">
        <f t="shared" si="38"/>
        <v>-5.7195355261535893E-2</v>
      </c>
      <c r="AG97" s="9">
        <f t="shared" si="39"/>
        <v>2480.7125000000005</v>
      </c>
      <c r="AH97" s="8">
        <f>IFERROR(AG97/AG148, "NA")</f>
        <v>1.8150740308239828E-2</v>
      </c>
      <c r="AI97" s="10">
        <f t="shared" si="40"/>
        <v>-52.422500000000582</v>
      </c>
      <c r="AJ97" s="11">
        <f>IFERROR(AI97/AI148, "NA")</f>
        <v>3.5109979679779422E-3</v>
      </c>
      <c r="AK97" s="10">
        <f t="shared" si="41"/>
        <v>-2.1132033639529195E-2</v>
      </c>
      <c r="AL97" s="11">
        <f>IFERROR(AK97/AK148, "NA")</f>
        <v>0.19343552430112543</v>
      </c>
    </row>
    <row r="98" spans="1:38" ht="16.5" hidden="1" customHeight="1">
      <c r="A98" s="6" t="s">
        <v>107</v>
      </c>
      <c r="B98" s="7">
        <v>3789.8700000000003</v>
      </c>
      <c r="C98" s="8">
        <f>IFERROR(B98/B148, "NA")</f>
        <v>2.9899904466922828E-2</v>
      </c>
      <c r="D98" s="7">
        <v>9271.9000000000015</v>
      </c>
      <c r="E98" s="8">
        <f>IFERROR(D98/D148, "NA")</f>
        <v>6.7817315793581245E-2</v>
      </c>
      <c r="F98" s="7">
        <v>4059.21</v>
      </c>
      <c r="G98" s="8">
        <f>IFERROR(F98/F148, "NA")</f>
        <v>2.7116991640662797E-2</v>
      </c>
      <c r="H98" s="7">
        <v>2003.01</v>
      </c>
      <c r="I98" s="8">
        <f>IFERROR(H98/H148, "NA")</f>
        <v>1.6271760934499706E-2</v>
      </c>
      <c r="J98" s="7">
        <v>3628.75</v>
      </c>
      <c r="K98" s="8">
        <f>IFERROR(J98/J148, "NA")</f>
        <v>2.1584303008579712E-2</v>
      </c>
      <c r="L98" s="7">
        <v>9469.0500000000011</v>
      </c>
      <c r="M98" s="8">
        <f>IFERROR(L98/L148, "NA")</f>
        <v>5.6943634939164635E-2</v>
      </c>
      <c r="N98" s="7">
        <v>4443.0499999999993</v>
      </c>
      <c r="O98" s="8">
        <f>IFERROR(N98/N148, "NA")</f>
        <v>3.0834987204977619E-2</v>
      </c>
      <c r="P98" s="7">
        <v>1622.7</v>
      </c>
      <c r="Q98" s="8">
        <f>IFERROR(P98/P148, "NA")</f>
        <v>1.4314854641194866E-2</v>
      </c>
      <c r="R98" s="7">
        <v>3459.4299999999994</v>
      </c>
      <c r="S98" s="8">
        <f>IFERROR(R98/R148, "NA")</f>
        <v>2.7039471627325305E-2</v>
      </c>
      <c r="T98" s="7">
        <v>9739.6</v>
      </c>
      <c r="U98" s="8">
        <f>IFERROR(T98/T148, "NA")</f>
        <v>7.7986257680540599E-2</v>
      </c>
      <c r="V98" s="7">
        <v>5050.13</v>
      </c>
      <c r="W98" s="8">
        <f>IFERROR(V98/V148, "NA")</f>
        <v>3.9778919967897265E-2</v>
      </c>
      <c r="X98" s="7">
        <v>2073.0399999999995</v>
      </c>
      <c r="Y98" s="8">
        <f>IFERROR(X98/X148, "NA")</f>
        <v>1.7028161061445907E-2</v>
      </c>
      <c r="Z98" s="7">
        <v>2073.0399999999995</v>
      </c>
      <c r="AA98" s="8">
        <f>IFERROR(Z98/Z148, "NA")</f>
        <v>1.7028161061445907E-2</v>
      </c>
      <c r="AB98" s="9">
        <f t="shared" si="36"/>
        <v>5080.55</v>
      </c>
      <c r="AC98" s="8">
        <f>IFERROR(AB98/AB148, "NA")</f>
        <v>4.0520774359092362E-2</v>
      </c>
      <c r="AD98" s="10">
        <f t="shared" si="37"/>
        <v>-3007.5100000000007</v>
      </c>
      <c r="AE98" s="11">
        <f>IFERROR(AD98/AD148, "NA")</f>
        <v>0.82635138569668698</v>
      </c>
      <c r="AF98" s="10">
        <f t="shared" si="38"/>
        <v>-0.59196543681294356</v>
      </c>
      <c r="AG98" s="9">
        <f t="shared" si="39"/>
        <v>4935.71875</v>
      </c>
      <c r="AH98" s="8">
        <f>IFERROR(AG98/AG148, "NA")</f>
        <v>3.6113394545220404E-2</v>
      </c>
      <c r="AI98" s="10">
        <f t="shared" si="40"/>
        <v>-2862.6787500000005</v>
      </c>
      <c r="AJ98" s="11">
        <f>IFERROR(AI98/AI148, "NA")</f>
        <v>0.1917279655534079</v>
      </c>
      <c r="AK98" s="10">
        <f t="shared" si="41"/>
        <v>-0.57999227569439615</v>
      </c>
      <c r="AL98" s="11">
        <f>IFERROR(AK98/AK148, "NA")</f>
        <v>5.3090541049341207</v>
      </c>
    </row>
    <row r="99" spans="1:38" ht="16.5" hidden="1" customHeight="1">
      <c r="A99" s="12" t="s">
        <v>108</v>
      </c>
      <c r="B99" s="13">
        <f>IFERROR(B90+B91+B92+B93+B94+B95+B96+B97+B98, "NA")</f>
        <v>25296.7</v>
      </c>
      <c r="C99" s="14">
        <f>IFERROR(B99/B148, "NA")</f>
        <v>0.19957647975482184</v>
      </c>
      <c r="D99" s="13">
        <f>IFERROR(D90+D91+D92+D93+D94+D95+D96+D97+D98, "NA")</f>
        <v>40601.15</v>
      </c>
      <c r="E99" s="14">
        <f>IFERROR(D99/D148, "NA")</f>
        <v>0.29696836798634163</v>
      </c>
      <c r="F99" s="13">
        <f>IFERROR(F90+F91+F92+F93+F94+F95+F96+F97+F98, "NA")</f>
        <v>44710.859999999993</v>
      </c>
      <c r="G99" s="14">
        <f>IFERROR(F99/F148, "NA")</f>
        <v>0.29868472359568599</v>
      </c>
      <c r="H99" s="13">
        <f>IFERROR(H90+H91+H92+H93+H94+H95+H96+H97+H98, "NA")</f>
        <v>34168.03</v>
      </c>
      <c r="I99" s="14">
        <f>IFERROR(H99/H148, "NA")</f>
        <v>0.27756926613587252</v>
      </c>
      <c r="J99" s="13">
        <f>IFERROR(J90+J91+J92+J93+J94+J95+J96+J97+J98, "NA")</f>
        <v>42574.530000000006</v>
      </c>
      <c r="K99" s="14">
        <f>IFERROR(J99/J148, "NA")</f>
        <v>0.25323914735594005</v>
      </c>
      <c r="L99" s="13">
        <f>IFERROR(L90+L91+L92+L93+L94+L95+L96+L97+L98, "NA")</f>
        <v>51803.73000000001</v>
      </c>
      <c r="M99" s="14">
        <f>IFERROR(L99/L148, "NA")</f>
        <v>0.3115299517488081</v>
      </c>
      <c r="N99" s="13">
        <f>IFERROR(N90+N91+N92+N93+N94+N95+N96+N97+N98, "NA")</f>
        <v>40020.930000000008</v>
      </c>
      <c r="O99" s="14">
        <f>IFERROR(N99/N148, "NA")</f>
        <v>0.27774723770412341</v>
      </c>
      <c r="P99" s="13">
        <f>IFERROR(P90+P91+P92+P93+P94+P95+P96+P97+P98, "NA")</f>
        <v>23062.52</v>
      </c>
      <c r="Q99" s="14">
        <f>IFERROR(P99/P148, "NA")</f>
        <v>0.20344895634414828</v>
      </c>
      <c r="R99" s="13">
        <f>IFERROR(R90+R91+R92+R93+R94+R95+R96+R97+R98, "NA")</f>
        <v>26463.86</v>
      </c>
      <c r="S99" s="14">
        <f>IFERROR(R99/R148, "NA")</f>
        <v>0.20684586524933563</v>
      </c>
      <c r="T99" s="13">
        <f>IFERROR(T90+T91+T92+T93+T94+T95+T96+T97+T98, "NA")</f>
        <v>38332.410000000003</v>
      </c>
      <c r="U99" s="14">
        <f>IFERROR(T99/T148, "NA")</f>
        <v>0.30693264649227192</v>
      </c>
      <c r="V99" s="13">
        <f>IFERROR(V90+V91+V92+V93+V94+V95+V96+V97+V98, "NA")</f>
        <v>39945.82</v>
      </c>
      <c r="W99" s="14">
        <f>IFERROR(V99/V148, "NA")</f>
        <v>0.3146456778007754</v>
      </c>
      <c r="X99" s="13">
        <f>IFERROR(X90+X91+X92+X93+X94+X95+X96+X97+X98, "NA")</f>
        <v>23954.829999999998</v>
      </c>
      <c r="Y99" s="14">
        <f>IFERROR(X99/X148, "NA")</f>
        <v>0.19676740605080287</v>
      </c>
      <c r="Z99" s="13">
        <f>IFERROR(Z90+Z91+Z92+Z93+Z94+Z95+Z96+Z97+Z98, "NA")</f>
        <v>23954.829999999998</v>
      </c>
      <c r="AA99" s="14">
        <f>IFERROR(Z99/Z148, "NA")</f>
        <v>0.19676740605080287</v>
      </c>
      <c r="AB99" s="13">
        <f t="shared" si="36"/>
        <v>32174.23</v>
      </c>
      <c r="AC99" s="14">
        <f>IFERROR(AB99/AB148, "NA")</f>
        <v>0.25661094054925948</v>
      </c>
      <c r="AD99" s="15">
        <f t="shared" si="37"/>
        <v>-8219.4000000000015</v>
      </c>
      <c r="AE99" s="16">
        <f>IFERROR(AD99/AD148, "NA")</f>
        <v>2.2583840384887659</v>
      </c>
      <c r="AF99" s="15">
        <f t="shared" si="38"/>
        <v>-0.25546532115920106</v>
      </c>
      <c r="AG99" s="13">
        <f t="shared" si="39"/>
        <v>35769.828750000001</v>
      </c>
      <c r="AH99" s="14">
        <f>IFERROR(AG99/AG148, "NA")</f>
        <v>0.26171870884331044</v>
      </c>
      <c r="AI99" s="15">
        <f t="shared" si="40"/>
        <v>-11814.998750000002</v>
      </c>
      <c r="AJ99" s="16">
        <f>IFERROR(AI99/AI148, "NA")</f>
        <v>0.79130977353066856</v>
      </c>
      <c r="AK99" s="15">
        <f t="shared" si="41"/>
        <v>-0.33030627103575388</v>
      </c>
      <c r="AL99" s="16">
        <f>IFERROR(AK99/AK148, "NA")</f>
        <v>3.0235124459689331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36167.300000000003</v>
      </c>
      <c r="C101" s="34">
        <f>IFERROR(B101/B148, "NA")</f>
        <v>0.28533928995626184</v>
      </c>
      <c r="D101" s="33">
        <f>IFERROR(D87-D99, "NA")</f>
        <v>24020.040000000052</v>
      </c>
      <c r="E101" s="34">
        <f>IFERROR(D101/D148, "NA")</f>
        <v>0.17568940972772101</v>
      </c>
      <c r="F101" s="33">
        <f>IFERROR(F87-F99, "NA")</f>
        <v>31250.300000000039</v>
      </c>
      <c r="G101" s="34">
        <f>IFERROR(F101/F148, "NA")</f>
        <v>0.20876331204057089</v>
      </c>
      <c r="H101" s="33">
        <f>IFERROR(H87-H99, "NA")</f>
        <v>25865.290000000037</v>
      </c>
      <c r="I101" s="34">
        <f>IFERROR(H101/H148, "NA")</f>
        <v>0.21012067607326299</v>
      </c>
      <c r="J101" s="33">
        <f>IFERROR(J87-J99, "NA")</f>
        <v>48536.72999999996</v>
      </c>
      <c r="K101" s="34">
        <f>IFERROR(J101/J148, "NA")</f>
        <v>0.28870313120650926</v>
      </c>
      <c r="L101" s="33">
        <f>IFERROR(L87-L99, "NA")</f>
        <v>35029.649999999921</v>
      </c>
      <c r="M101" s="34">
        <f>IFERROR(L101/L148, "NA")</f>
        <v>0.21065635957637818</v>
      </c>
      <c r="N101" s="33">
        <f>IFERROR(N87-N99, "NA")</f>
        <v>36662.170000000086</v>
      </c>
      <c r="O101" s="34">
        <f>IFERROR(N101/N148, "NA")</f>
        <v>0.25443727683836942</v>
      </c>
      <c r="P101" s="33">
        <f>IFERROR(P87-P99, "NA")</f>
        <v>26736.110000000026</v>
      </c>
      <c r="Q101" s="34">
        <f>IFERROR(P101/P148, "NA")</f>
        <v>0.23585599822579456</v>
      </c>
      <c r="R101" s="33">
        <f>IFERROR(R87-R99, "NA")</f>
        <v>35119.899999999951</v>
      </c>
      <c r="S101" s="34">
        <f>IFERROR(R101/R148, "NA")</f>
        <v>0.2745028919806155</v>
      </c>
      <c r="T101" s="33">
        <f>IFERROR(T87-T99, "NA")</f>
        <v>19693.970000000038</v>
      </c>
      <c r="U101" s="34">
        <f>IFERROR(T101/T148, "NA")</f>
        <v>0.15769220698723141</v>
      </c>
      <c r="V101" s="33">
        <f>IFERROR(V87-V99, "NA")</f>
        <v>22593.099999999984</v>
      </c>
      <c r="W101" s="34">
        <f>IFERROR(V101/V148, "NA")</f>
        <v>0.17796158053885724</v>
      </c>
      <c r="X101" s="33">
        <f>IFERROR(X87-X99, "NA")</f>
        <v>36392.400000000038</v>
      </c>
      <c r="Y101" s="34">
        <f>IFERROR(X101/X148, "NA")</f>
        <v>0.29893086897144527</v>
      </c>
      <c r="Z101" s="33">
        <f>IFERROR(Z87-Z99, "NA")</f>
        <v>36392.400000000038</v>
      </c>
      <c r="AA101" s="34">
        <f>IFERROR(Z101/Z148, "NA")</f>
        <v>0.29893086897144527</v>
      </c>
      <c r="AB101" s="33">
        <f>IFERROR((R101+T101+V101+X101)/4, "NA")</f>
        <v>28449.842500000002</v>
      </c>
      <c r="AC101" s="34">
        <f>IFERROR(AB101/AB148, "NA")</f>
        <v>0.22690646652315521</v>
      </c>
      <c r="AD101" s="15">
        <f>IFERROR(X101-AB101, "NA")</f>
        <v>7942.5575000000354</v>
      </c>
      <c r="AE101" s="16">
        <f>IFERROR(AD101/AD148, "NA")</f>
        <v>-2.1823180624837963</v>
      </c>
      <c r="AF101" s="15">
        <f>IFERROR((X101-AB101)/AB101, "NA")</f>
        <v>0.27917755607961747</v>
      </c>
      <c r="AG101" s="33">
        <f>IFERROR((J101+L101+N101+P101+R101+T101+V101+X101)/8, "NA")</f>
        <v>32595.503749999996</v>
      </c>
      <c r="AH101" s="34">
        <f>IFERROR(AG101/AG148, "NA")</f>
        <v>0.23849298287589038</v>
      </c>
      <c r="AI101" s="15">
        <f>IFERROR(X101-AG101, "NA")</f>
        <v>3796.8962500000416</v>
      </c>
      <c r="AJ101" s="16">
        <f>IFERROR(AI101/AI148, "NA")</f>
        <v>-0.25429720097998121</v>
      </c>
      <c r="AK101" s="15">
        <f>IFERROR((X101-AG101)/AG101, "NA")</f>
        <v>0.11648527597920748</v>
      </c>
      <c r="AL101" s="16">
        <f>IFERROR(AK101/AK148, "NA")</f>
        <v>-1.0662670151277165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11114.62</v>
      </c>
      <c r="E104" s="34">
        <f>IFERROR(D104/D148, "NA")</f>
        <v>8.1295494393344839E-2</v>
      </c>
      <c r="F104" s="39">
        <v>82425.87999999999</v>
      </c>
      <c r="G104" s="34">
        <f>IFERROR(F104/F148, "NA")</f>
        <v>0.5506347045199127</v>
      </c>
      <c r="H104" s="39">
        <v>-5101.42</v>
      </c>
      <c r="I104" s="34">
        <f>IFERROR(H104/H148, "NA")</f>
        <v>-4.1442172863078816E-2</v>
      </c>
      <c r="J104" s="39">
        <v>0</v>
      </c>
      <c r="K104" s="34">
        <f>IFERROR(J104/J148, "NA")</f>
        <v>0</v>
      </c>
      <c r="L104" s="39">
        <v>14531</v>
      </c>
      <c r="M104" s="34">
        <f>IFERROR(L104/L148, "NA")</f>
        <v>8.7384474609491045E-2</v>
      </c>
      <c r="N104" s="39">
        <v>72267.219999999987</v>
      </c>
      <c r="O104" s="34">
        <f>IFERROR(N104/N148, "NA")</f>
        <v>0.50153808848410497</v>
      </c>
      <c r="P104" s="39">
        <v>-8450.15</v>
      </c>
      <c r="Q104" s="34">
        <f>IFERROR(P104/P148, "NA")</f>
        <v>-7.4544074040976641E-2</v>
      </c>
      <c r="R104" s="39">
        <v>0</v>
      </c>
      <c r="S104" s="34">
        <f>IFERROR(R104/R148, "NA")</f>
        <v>0</v>
      </c>
      <c r="T104" s="39">
        <v>14933.440000000002</v>
      </c>
      <c r="U104" s="34">
        <f>IFERROR(T104/T148, "NA")</f>
        <v>0.11957401740285971</v>
      </c>
      <c r="V104" s="39">
        <v>64835.34</v>
      </c>
      <c r="W104" s="34">
        <f>IFERROR(V104/V148, "NA")</f>
        <v>0.51069572485290637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19942.195</v>
      </c>
      <c r="AC104" s="34">
        <f>IFERROR(AB104/AB148, "NA")</f>
        <v>0.15905230414424026</v>
      </c>
      <c r="AD104" s="15">
        <f>IFERROR(X104-AB104, "NA")</f>
        <v>-19942.195</v>
      </c>
      <c r="AE104" s="16">
        <f>IFERROR(AD104/AD148, "NA")</f>
        <v>5.4793701341254195</v>
      </c>
      <c r="AF104" s="15">
        <f>IFERROR((X104-AB104)/AB104, "NA")</f>
        <v>-1</v>
      </c>
      <c r="AG104" s="33">
        <f>IFERROR((J104+L104+N104+P104+R104+T104+V104+X104)/8, "NA")</f>
        <v>19764.606249999997</v>
      </c>
      <c r="AH104" s="34">
        <f>IFERROR(AG104/AG148, "NA")</f>
        <v>0.14461258019152307</v>
      </c>
      <c r="AI104" s="15">
        <f>IFERROR(X104-AG104, "NA")</f>
        <v>-19764.606249999997</v>
      </c>
      <c r="AJ104" s="16">
        <f>IFERROR(AI104/AI148, "NA")</f>
        <v>1.3237348921099403</v>
      </c>
      <c r="AK104" s="15">
        <f>IFERROR((X104-AG104)/AG104, "NA")</f>
        <v>-1</v>
      </c>
      <c r="AL104" s="16">
        <f>IFERROR(AK104/AK148, "NA")</f>
        <v>9.1536634666002268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11114.62</v>
      </c>
      <c r="E105" s="14">
        <f>IFERROR(D105/D148, "NA")</f>
        <v>8.1295494393344839E-2</v>
      </c>
      <c r="F105" s="13">
        <f>IFERROR(F104, "NA")</f>
        <v>82425.87999999999</v>
      </c>
      <c r="G105" s="14">
        <f>IFERROR(F105/F148, "NA")</f>
        <v>0.5506347045199127</v>
      </c>
      <c r="H105" s="13">
        <f>IFERROR(H104, "NA")</f>
        <v>-5101.42</v>
      </c>
      <c r="I105" s="14">
        <f>IFERROR(H105/H148, "NA")</f>
        <v>-4.1442172863078816E-2</v>
      </c>
      <c r="J105" s="13">
        <f>IFERROR(J104, "NA")</f>
        <v>0</v>
      </c>
      <c r="K105" s="14">
        <f>IFERROR(J105/J148, "NA")</f>
        <v>0</v>
      </c>
      <c r="L105" s="13">
        <f>IFERROR(L104, "NA")</f>
        <v>14531</v>
      </c>
      <c r="M105" s="14">
        <f>IFERROR(L105/L148, "NA")</f>
        <v>8.7384474609491045E-2</v>
      </c>
      <c r="N105" s="13">
        <f>IFERROR(N104, "NA")</f>
        <v>72267.219999999987</v>
      </c>
      <c r="O105" s="14">
        <f>IFERROR(N105/N148, "NA")</f>
        <v>0.50153808848410497</v>
      </c>
      <c r="P105" s="13">
        <f>IFERROR(P104, "NA")</f>
        <v>-8450.15</v>
      </c>
      <c r="Q105" s="14">
        <f>IFERROR(P105/P148, "NA")</f>
        <v>-7.4544074040976641E-2</v>
      </c>
      <c r="R105" s="13">
        <f>IFERROR(R104, "NA")</f>
        <v>0</v>
      </c>
      <c r="S105" s="14">
        <f>IFERROR(R105/R148, "NA")</f>
        <v>0</v>
      </c>
      <c r="T105" s="13">
        <f>IFERROR(T104, "NA")</f>
        <v>14933.440000000002</v>
      </c>
      <c r="U105" s="14">
        <f>IFERROR(T105/T148, "NA")</f>
        <v>0.11957401740285971</v>
      </c>
      <c r="V105" s="13">
        <f>IFERROR(V104, "NA")</f>
        <v>64835.34</v>
      </c>
      <c r="W105" s="14">
        <f>IFERROR(V105/V148, "NA")</f>
        <v>0.51069572485290637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19942.195</v>
      </c>
      <c r="AC105" s="14">
        <f>IFERROR(AB105/AB148, "NA")</f>
        <v>0.15905230414424026</v>
      </c>
      <c r="AD105" s="15">
        <f>IFERROR(X105-AB105, "NA")</f>
        <v>-19942.195</v>
      </c>
      <c r="AE105" s="16">
        <f>IFERROR(AD105/AD148, "NA")</f>
        <v>5.4793701341254195</v>
      </c>
      <c r="AF105" s="15">
        <f>IFERROR((X105-AB105)/AB105, "NA")</f>
        <v>-1</v>
      </c>
      <c r="AG105" s="13">
        <f>IFERROR((J105+L105+N105+P105+R105+T105+V105+X105)/8, "NA")</f>
        <v>19764.606249999997</v>
      </c>
      <c r="AH105" s="14">
        <f>IFERROR(AG105/AG148, "NA")</f>
        <v>0.14461258019152307</v>
      </c>
      <c r="AI105" s="15">
        <f>IFERROR(X105-AG105, "NA")</f>
        <v>-19764.606249999997</v>
      </c>
      <c r="AJ105" s="16">
        <f>IFERROR(AI105/AI148, "NA")</f>
        <v>1.3237348921099403</v>
      </c>
      <c r="AK105" s="15">
        <f>IFERROR((X105-AG105)/AG105, "NA")</f>
        <v>-1</v>
      </c>
      <c r="AL105" s="16">
        <f>IFERROR(AK105/AK148, "NA")</f>
        <v>9.1536634666002268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36167.300000000003</v>
      </c>
      <c r="C107" s="34">
        <f>IFERROR(B107/B148, "NA")</f>
        <v>0.28533928995626184</v>
      </c>
      <c r="D107" s="33">
        <f>IFERROR(D87-D99-D105, "NA")</f>
        <v>12905.420000000051</v>
      </c>
      <c r="E107" s="34">
        <f>IFERROR(D107/D148, "NA")</f>
        <v>9.4393915334376188E-2</v>
      </c>
      <c r="F107" s="33">
        <f>IFERROR(F87-F99-F105, "NA")</f>
        <v>-51175.579999999951</v>
      </c>
      <c r="G107" s="34">
        <f>IFERROR(F107/F148, "NA")</f>
        <v>-0.34187139247934178</v>
      </c>
      <c r="H107" s="33">
        <f>IFERROR(H87-H99-H105, "NA")</f>
        <v>30966.710000000036</v>
      </c>
      <c r="I107" s="34">
        <f>IFERROR(H107/H148, "NA")</f>
        <v>0.25156284893634179</v>
      </c>
      <c r="J107" s="33">
        <f>IFERROR(J87-J99-J105, "NA")</f>
        <v>48536.72999999996</v>
      </c>
      <c r="K107" s="34">
        <f>IFERROR(J107/J148, "NA")</f>
        <v>0.28870313120650926</v>
      </c>
      <c r="L107" s="33">
        <f>IFERROR(L87-L99-L105, "NA")</f>
        <v>20498.649999999921</v>
      </c>
      <c r="M107" s="34">
        <f>IFERROR(L107/L148, "NA")</f>
        <v>0.12327188496688712</v>
      </c>
      <c r="N107" s="33">
        <f>IFERROR(N87-N99-N105, "NA")</f>
        <v>-35605.049999999901</v>
      </c>
      <c r="O107" s="34">
        <f>IFERROR(N107/N148, "NA")</f>
        <v>-0.24710081164573561</v>
      </c>
      <c r="P107" s="33">
        <f>IFERROR(P87-P99-P105, "NA")</f>
        <v>35186.260000000024</v>
      </c>
      <c r="Q107" s="34">
        <f>IFERROR(P107/P148, "NA")</f>
        <v>0.31040007226677119</v>
      </c>
      <c r="R107" s="33">
        <f>IFERROR(R87-R99-R105, "NA")</f>
        <v>35119.899999999951</v>
      </c>
      <c r="S107" s="34">
        <f>IFERROR(R107/R148, "NA")</f>
        <v>0.2745028919806155</v>
      </c>
      <c r="T107" s="33">
        <f>IFERROR(T87-T99-T105, "NA")</f>
        <v>4760.5300000000352</v>
      </c>
      <c r="U107" s="34">
        <f>IFERROR(T107/T148, "NA")</f>
        <v>3.8118189584371708E-2</v>
      </c>
      <c r="V107" s="33">
        <f>IFERROR(V87-V99-V105, "NA")</f>
        <v>-42242.240000000013</v>
      </c>
      <c r="W107" s="34">
        <f>IFERROR(V107/V148, "NA")</f>
        <v>-0.33273414431404919</v>
      </c>
      <c r="X107" s="33">
        <f>IFERROR(X87-X99-X105, "NA")</f>
        <v>36392.400000000038</v>
      </c>
      <c r="Y107" s="34">
        <f>IFERROR(X107/X148, "NA")</f>
        <v>0.29893086897144527</v>
      </c>
      <c r="Z107" s="33">
        <f>IFERROR(Z87-Z99-Z105, "NA")</f>
        <v>36392.400000000038</v>
      </c>
      <c r="AA107" s="34">
        <f>IFERROR(Z107/Z148, "NA")</f>
        <v>0.29893086897144527</v>
      </c>
      <c r="AB107" s="33">
        <f>IFERROR((R107+T107+V107+X107)/4, "NA")</f>
        <v>8507.6475000000028</v>
      </c>
      <c r="AC107" s="34">
        <f>IFERROR(AB107/AB148, "NA")</f>
        <v>6.7854162378914951E-2</v>
      </c>
      <c r="AD107" s="15">
        <f>IFERROR(X107-AB107, "NA")</f>
        <v>27884.752500000035</v>
      </c>
      <c r="AE107" s="16">
        <f>IFERROR(AD107/AD148, "NA")</f>
        <v>-7.661688196609215</v>
      </c>
      <c r="AF107" s="15">
        <f>IFERROR((X107-AB107)/AB107, "NA")</f>
        <v>3.2776102324408747</v>
      </c>
      <c r="AG107" s="33">
        <f>IFERROR((J107+L107+N107+P107+R107+T107+V107+X107)/8, "NA")</f>
        <v>12830.897500000001</v>
      </c>
      <c r="AH107" s="34">
        <f>IFERROR(AG107/AG148, "NA")</f>
        <v>9.3880402684367328E-2</v>
      </c>
      <c r="AI107" s="15">
        <f>IFERROR(X107-AG107, "NA")</f>
        <v>23561.502500000039</v>
      </c>
      <c r="AJ107" s="16">
        <f>IFERROR(AI107/AI148, "NA")</f>
        <v>-1.5780320930899217</v>
      </c>
      <c r="AK107" s="15">
        <f>IFERROR((X107-AG107)/AG107, "NA")</f>
        <v>1.8363097749007844</v>
      </c>
      <c r="AL107" s="16">
        <f>IFERROR(AK107/AK148, "NA")</f>
        <v>-16.808961699870196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2074.5100000000002</v>
      </c>
      <c r="C128" s="8">
        <f>IFERROR(B128/B148, "NA")</f>
        <v>1.6366696170495579E-2</v>
      </c>
      <c r="D128" s="7">
        <v>2026.8800000000003</v>
      </c>
      <c r="E128" s="8">
        <f>IFERROR(D128/D148, "NA")</f>
        <v>1.4825177259859787E-2</v>
      </c>
      <c r="F128" s="7">
        <v>-8290.7000000000007</v>
      </c>
      <c r="G128" s="8">
        <f>IFERROR(F128/F148, "NA")</f>
        <v>-5.538487602150248E-2</v>
      </c>
      <c r="H128" s="7">
        <v>1635.1200000000003</v>
      </c>
      <c r="I128" s="8">
        <f>IFERROR(H128/H148, "NA")</f>
        <v>1.3283149729267035E-2</v>
      </c>
      <c r="J128" s="7">
        <v>1789.2500000000002</v>
      </c>
      <c r="K128" s="8">
        <f>IFERROR(J128/J148, "NA")</f>
        <v>1.0642704556142269E-2</v>
      </c>
      <c r="L128" s="7">
        <v>1861.8899999999999</v>
      </c>
      <c r="M128" s="8">
        <f>IFERROR(L128/L148, "NA")</f>
        <v>1.1196771002041516E-2</v>
      </c>
      <c r="N128" s="7">
        <v>-5286.26</v>
      </c>
      <c r="O128" s="8">
        <f>IFERROR(N128/N148, "NA")</f>
        <v>-3.6686906395873339E-2</v>
      </c>
      <c r="P128" s="7">
        <v>1674.1300000000003</v>
      </c>
      <c r="Q128" s="8">
        <f>IFERROR(P128/P148, "NA")</f>
        <v>1.4768550933914812E-2</v>
      </c>
      <c r="R128" s="7">
        <v>1479.12</v>
      </c>
      <c r="S128" s="8">
        <f>IFERROR(R128/R148, "NA")</f>
        <v>1.1561044239487259E-2</v>
      </c>
      <c r="T128" s="7">
        <v>1840.5500000000002</v>
      </c>
      <c r="U128" s="8">
        <f>IFERROR(T128/T148, "NA")</f>
        <v>1.4737525830005238E-2</v>
      </c>
      <c r="V128" s="7">
        <v>-4993.8000000000011</v>
      </c>
      <c r="W128" s="8">
        <f>IFERROR(V128/V148, "NA")</f>
        <v>-3.9335219199443459E-2</v>
      </c>
      <c r="X128" s="7">
        <v>1773.2600000000002</v>
      </c>
      <c r="Y128" s="8">
        <f>IFERROR(X128/X148, "NA")</f>
        <v>1.4565737701066832E-2</v>
      </c>
      <c r="Z128" s="7">
        <v>1773.2600000000002</v>
      </c>
      <c r="AA128" s="8">
        <f>IFERROR(Z128/Z148, "NA")</f>
        <v>1.4565737701066832E-2</v>
      </c>
      <c r="AB128" s="9">
        <f t="shared" si="42"/>
        <v>24.7824999999998</v>
      </c>
      <c r="AC128" s="8">
        <f>IFERROR(AB128/AB148, "NA")</f>
        <v>1.9765696441412806E-4</v>
      </c>
      <c r="AD128" s="10">
        <f t="shared" si="43"/>
        <v>1748.4775000000004</v>
      </c>
      <c r="AE128" s="11">
        <f>IFERROR(AD128/AD148, "NA")</f>
        <v>-0.48041629287499593</v>
      </c>
      <c r="AF128" s="10">
        <f t="shared" si="44"/>
        <v>70.552910319782697</v>
      </c>
      <c r="AG128" s="9">
        <f t="shared" si="45"/>
        <v>17.267499999999927</v>
      </c>
      <c r="AH128" s="8">
        <f>IFERROR(AG128/AG148, "NA")</f>
        <v>1.2634189099806198E-4</v>
      </c>
      <c r="AI128" s="10">
        <f t="shared" si="46"/>
        <v>1755.9925000000003</v>
      </c>
      <c r="AJ128" s="11">
        <f>IFERROR(AI128/AI148, "NA")</f>
        <v>-0.11760763220534005</v>
      </c>
      <c r="AK128" s="10">
        <f t="shared" si="47"/>
        <v>101.69349934848749</v>
      </c>
      <c r="AL128" s="11">
        <f>IFERROR(AK128/AK148, "NA")</f>
        <v>-930.86806977698393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2074.5100000000002</v>
      </c>
      <c r="C135" s="14">
        <f>IFERROR(B135/B148, "NA")</f>
        <v>1.6366696170495579E-2</v>
      </c>
      <c r="D135" s="13">
        <f>IFERROR(D110+D111+D112+D113+D114+D115+D116+D117+D118+D119+D120+D121+D122+D123+D124+D125+D126+D127+D128+D129+D130+D131+D132+D133+D134, "NA")</f>
        <v>2026.8800000000003</v>
      </c>
      <c r="E135" s="14">
        <f>IFERROR(D135/D148, "NA")</f>
        <v>1.4825177259859787E-2</v>
      </c>
      <c r="F135" s="13">
        <f>IFERROR(F110+F111+F112+F113+F114+F115+F116+F117+F118+F119+F120+F121+F122+F123+F124+F125+F126+F127+F128+F129+F130+F131+F132+F133+F134, "NA")</f>
        <v>-8290.7000000000007</v>
      </c>
      <c r="G135" s="14">
        <f>IFERROR(F135/F148, "NA")</f>
        <v>-5.538487602150248E-2</v>
      </c>
      <c r="H135" s="13">
        <f>IFERROR(H110+H111+H112+H113+H114+H115+H116+H117+H118+H119+H120+H121+H122+H123+H124+H125+H126+H127+H128+H129+H130+H131+H132+H133+H134, "NA")</f>
        <v>1635.1200000000003</v>
      </c>
      <c r="I135" s="14">
        <f>IFERROR(H135/H148, "NA")</f>
        <v>1.3283149729267035E-2</v>
      </c>
      <c r="J135" s="13">
        <f>IFERROR(J110+J111+J112+J113+J114+J115+J116+J117+J118+J119+J120+J121+J122+J123+J124+J125+J126+J127+J128+J129+J130+J131+J132+J133+J134, "NA")</f>
        <v>1789.2500000000002</v>
      </c>
      <c r="K135" s="14">
        <f>IFERROR(J135/J148, "NA")</f>
        <v>1.0642704556142269E-2</v>
      </c>
      <c r="L135" s="13">
        <f>IFERROR(L110+L111+L112+L113+L114+L115+L116+L117+L118+L119+L120+L121+L122+L123+L124+L125+L126+L127+L128+L129+L130+L131+L132+L133+L134, "NA")</f>
        <v>1861.8899999999999</v>
      </c>
      <c r="M135" s="14">
        <f>IFERROR(L135/L148, "NA")</f>
        <v>1.1196771002041516E-2</v>
      </c>
      <c r="N135" s="13">
        <f>IFERROR(N110+N111+N112+N113+N114+N115+N116+N117+N118+N119+N120+N121+N122+N123+N124+N125+N126+N127+N128+N129+N130+N131+N132+N133+N134, "NA")</f>
        <v>-5286.26</v>
      </c>
      <c r="O135" s="14">
        <f>IFERROR(N135/N148, "NA")</f>
        <v>-3.6686906395873339E-2</v>
      </c>
      <c r="P135" s="13">
        <f>IFERROR(P110+P111+P112+P113+P114+P115+P116+P117+P118+P119+P120+P121+P122+P123+P124+P125+P126+P127+P128+P129+P130+P131+P132+P133+P134, "NA")</f>
        <v>1674.1300000000003</v>
      </c>
      <c r="Q135" s="14">
        <f>IFERROR(P135/P148, "NA")</f>
        <v>1.4768550933914812E-2</v>
      </c>
      <c r="R135" s="13">
        <f>IFERROR(R110+R111+R112+R113+R114+R115+R116+R117+R118+R119+R120+R121+R122+R123+R124+R125+R126+R127+R128+R129+R130+R131+R132+R133+R134, "NA")</f>
        <v>1479.12</v>
      </c>
      <c r="S135" s="14">
        <f>IFERROR(R135/R148, "NA")</f>
        <v>1.1561044239487259E-2</v>
      </c>
      <c r="T135" s="13">
        <f>IFERROR(T110+T111+T112+T113+T114+T115+T116+T117+T118+T119+T120+T121+T122+T123+T124+T125+T126+T127+T128+T129+T130+T131+T132+T133+T134, "NA")</f>
        <v>1840.5500000000002</v>
      </c>
      <c r="U135" s="14">
        <f>IFERROR(T135/T148, "NA")</f>
        <v>1.4737525830005238E-2</v>
      </c>
      <c r="V135" s="13">
        <f>IFERROR(V110+V111+V112+V113+V114+V115+V116+V117+V118+V119+V120+V121+V122+V123+V124+V125+V126+V127+V128+V129+V130+V131+V132+V133+V134, "NA")</f>
        <v>-4993.8000000000011</v>
      </c>
      <c r="W135" s="14">
        <f>IFERROR(V135/V148, "NA")</f>
        <v>-3.9335219199443459E-2</v>
      </c>
      <c r="X135" s="13">
        <f>IFERROR(X110+X111+X112+X113+X114+X115+X116+X117+X118+X119+X120+X121+X122+X123+X124+X125+X126+X127+X128+X129+X130+X131+X132+X133+X134, "NA")</f>
        <v>1773.2600000000002</v>
      </c>
      <c r="Y135" s="14">
        <f>IFERROR(X135/X148, "NA")</f>
        <v>1.4565737701066832E-2</v>
      </c>
      <c r="Z135" s="13">
        <f>IFERROR(Z110+Z111+Z112+Z113+Z114+Z115+Z116+Z117+Z118+Z119+Z120+Z121+Z122+Z123+Z124+Z125+Z126+Z127+Z128+Z129+Z130+Z131+Z132+Z133+Z134, "NA")</f>
        <v>1773.2600000000002</v>
      </c>
      <c r="AA135" s="14">
        <f>IFERROR(Z135/Z148, "NA")</f>
        <v>1.4565737701066832E-2</v>
      </c>
      <c r="AB135" s="13">
        <f t="shared" si="42"/>
        <v>24.7824999999998</v>
      </c>
      <c r="AC135" s="14">
        <f>IFERROR(AB135/AB148, "NA")</f>
        <v>1.9765696441412806E-4</v>
      </c>
      <c r="AD135" s="15">
        <f t="shared" si="43"/>
        <v>1748.4775000000004</v>
      </c>
      <c r="AE135" s="16">
        <f>IFERROR(AD135/AD148, "NA")</f>
        <v>-0.48041629287499593</v>
      </c>
      <c r="AF135" s="15">
        <f t="shared" si="44"/>
        <v>70.552910319782697</v>
      </c>
      <c r="AG135" s="13">
        <f t="shared" si="45"/>
        <v>17.267499999999927</v>
      </c>
      <c r="AH135" s="14">
        <f>IFERROR(AG135/AG148, "NA")</f>
        <v>1.2634189099806198E-4</v>
      </c>
      <c r="AI135" s="15">
        <f t="shared" si="46"/>
        <v>1755.9925000000003</v>
      </c>
      <c r="AJ135" s="16">
        <f>IFERROR(AI135/AI148, "NA")</f>
        <v>-0.11760763220534005</v>
      </c>
      <c r="AK135" s="15">
        <f t="shared" si="47"/>
        <v>101.69349934848749</v>
      </c>
      <c r="AL135" s="16">
        <f>IFERROR(AK135/AK148, "NA")</f>
        <v>-930.86806977698393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34092.79</v>
      </c>
      <c r="C137" s="34">
        <f>IFERROR(B137/B148, "NA")</f>
        <v>0.26897259378576621</v>
      </c>
      <c r="D137" s="33">
        <f>IFERROR(D107-D135, "NA")</f>
        <v>10878.54000000005</v>
      </c>
      <c r="E137" s="34">
        <f>IFERROR(D137/D148, "NA")</f>
        <v>7.9568738074516407E-2</v>
      </c>
      <c r="F137" s="33">
        <f>IFERROR(F107-F135, "NA")</f>
        <v>-42884.879999999946</v>
      </c>
      <c r="G137" s="34">
        <f>IFERROR(F137/F148, "NA")</f>
        <v>-0.28648651645783929</v>
      </c>
      <c r="H137" s="33">
        <f>IFERROR(H107-H135, "NA")</f>
        <v>29331.590000000037</v>
      </c>
      <c r="I137" s="34">
        <f>IFERROR(H137/H148, "NA")</f>
        <v>0.23827969920707476</v>
      </c>
      <c r="J137" s="33">
        <f>IFERROR(J107-J135, "NA")</f>
        <v>46747.47999999996</v>
      </c>
      <c r="K137" s="34">
        <f>IFERROR(J137/J148, "NA")</f>
        <v>0.27806042665036695</v>
      </c>
      <c r="L137" s="33">
        <f>IFERROR(L107-L135, "NA")</f>
        <v>18636.759999999922</v>
      </c>
      <c r="M137" s="34">
        <f>IFERROR(L137/L148, "NA")</f>
        <v>0.11207511396484561</v>
      </c>
      <c r="N137" s="33">
        <f>IFERROR(N107-N135, "NA")</f>
        <v>-30318.789999999899</v>
      </c>
      <c r="O137" s="34">
        <f>IFERROR(N137/N148, "NA")</f>
        <v>-0.21041390524986225</v>
      </c>
      <c r="P137" s="33">
        <f>IFERROR(P107-P135, "NA")</f>
        <v>33512.130000000026</v>
      </c>
      <c r="Q137" s="34">
        <f>IFERROR(P137/P148, "NA")</f>
        <v>0.29563152133285642</v>
      </c>
      <c r="R137" s="33">
        <f>IFERROR(R107-R135, "NA")</f>
        <v>33640.779999999948</v>
      </c>
      <c r="S137" s="34">
        <f>IFERROR(R137/R148, "NA")</f>
        <v>0.26294184774112822</v>
      </c>
      <c r="T137" s="33">
        <f>IFERROR(T107-T135, "NA")</f>
        <v>2919.980000000035</v>
      </c>
      <c r="U137" s="34">
        <f>IFERROR(T137/T148, "NA")</f>
        <v>2.3380663754366468E-2</v>
      </c>
      <c r="V137" s="33">
        <f>IFERROR(V107-V135, "NA")</f>
        <v>-37248.44000000001</v>
      </c>
      <c r="W137" s="34">
        <f>IFERROR(V137/V148, "NA")</f>
        <v>-0.29339892511460569</v>
      </c>
      <c r="X137" s="33">
        <f>IFERROR(X107-X135, "NA")</f>
        <v>34619.140000000036</v>
      </c>
      <c r="Y137" s="34">
        <f>IFERROR(X137/X148, "NA")</f>
        <v>0.28436513127037844</v>
      </c>
      <c r="Z137" s="33">
        <f>IFERROR(Z107-Z135, "NA")</f>
        <v>34619.140000000036</v>
      </c>
      <c r="AA137" s="34">
        <f>IFERROR(Z137/Z148, "NA")</f>
        <v>0.28436513127037844</v>
      </c>
      <c r="AB137" s="33">
        <f>IFERROR((R137+T137+V137+X137)/4, "NA")</f>
        <v>8482.8650000000016</v>
      </c>
      <c r="AC137" s="34">
        <f>IFERROR(AB137/AB148, "NA")</f>
        <v>6.7656505414500814E-2</v>
      </c>
      <c r="AD137" s="15">
        <f>IFERROR(X137-AB137, "NA")</f>
        <v>26136.275000000034</v>
      </c>
      <c r="AE137" s="16">
        <f>IFERROR(AD137/AD148, "NA")</f>
        <v>-7.1812719037342196</v>
      </c>
      <c r="AF137" s="15">
        <f>IFERROR((X137-AB137)/AB137, "NA")</f>
        <v>3.0810669508473882</v>
      </c>
      <c r="AG137" s="33">
        <f>IFERROR((J137+L137+N137+P137+R137+T137+V137+X137)/8, "NA")</f>
        <v>12813.630000000005</v>
      </c>
      <c r="AH137" s="34">
        <f>IFERROR(AG137/AG148, "NA")</f>
        <v>9.3754060793369301E-2</v>
      </c>
      <c r="AI137" s="15">
        <f>IFERROR(X137-AG137, "NA")</f>
        <v>21805.510000000031</v>
      </c>
      <c r="AJ137" s="16">
        <f>IFERROR(AI137/AI148, "NA")</f>
        <v>-1.4604244608845811</v>
      </c>
      <c r="AK137" s="15">
        <f>IFERROR((X137-AG137)/AG137, "NA")</f>
        <v>1.7017433779498881</v>
      </c>
      <c r="AL137" s="16">
        <f>IFERROR(AK137/AK148, "NA")</f>
        <v>-15.577186188268753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-390.07000000000005</v>
      </c>
      <c r="E140" s="8">
        <f>IFERROR(D140/D148, "NA")</f>
        <v>-2.853083011206143E-3</v>
      </c>
      <c r="F140" s="7">
        <v>28287.869999999995</v>
      </c>
      <c r="G140" s="8">
        <f>IFERROR(F140/F148, "NA")</f>
        <v>0.18897320767394538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600.96</v>
      </c>
      <c r="M140" s="8">
        <f>IFERROR(L140/L148, "NA")</f>
        <v>3.6139683339976424E-3</v>
      </c>
      <c r="N140" s="7">
        <v>27809.54</v>
      </c>
      <c r="O140" s="8">
        <f>IFERROR(N140/N148, "NA")</f>
        <v>0.19299958588724267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-10</v>
      </c>
      <c r="U140" s="8">
        <f>IFERROR(T140/T148, "NA")</f>
        <v>-8.0071314715738428E-5</v>
      </c>
      <c r="V140" s="7">
        <v>28081.630000000005</v>
      </c>
      <c r="W140" s="8">
        <f>IFERROR(V140/V148, "NA")</f>
        <v>0.22119369448669698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7017.9075000000012</v>
      </c>
      <c r="AC140" s="8">
        <f>IFERROR(AB140/AB148, "NA")</f>
        <v>5.5972492403476397E-2</v>
      </c>
      <c r="AD140" s="10">
        <f>IFERROR(X140-AB140, "NA")</f>
        <v>-7017.9075000000012</v>
      </c>
      <c r="AE140" s="11">
        <f>IFERROR(AD140/AD148, "NA")</f>
        <v>1.9282587879395821</v>
      </c>
      <c r="AF140" s="10">
        <f>IFERROR((X140-AB140)/AB140, "NA")</f>
        <v>-1</v>
      </c>
      <c r="AG140" s="9">
        <f>IFERROR((J140+L140+N140+P140+R140+T140+V140+X140)/8, "NA")</f>
        <v>7060.2662500000006</v>
      </c>
      <c r="AH140" s="8">
        <f>IFERROR(AG140/AG148, "NA")</f>
        <v>5.1658166438384223E-2</v>
      </c>
      <c r="AI140" s="10">
        <f>IFERROR(X140-AG140, "NA")</f>
        <v>-7060.2662500000006</v>
      </c>
      <c r="AJ140" s="11">
        <f>IFERROR(AI140/AI148, "NA")</f>
        <v>0.47286147087859165</v>
      </c>
      <c r="AK140" s="10">
        <f>IFERROR((X140-AG140)/AG140, "NA")</f>
        <v>-1</v>
      </c>
      <c r="AL140" s="11">
        <f>IFERROR(AK140/AK148, "NA")</f>
        <v>9.1536634666002268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-390.07000000000005</v>
      </c>
      <c r="E141" s="14">
        <f>IFERROR(D141/D148, "NA")</f>
        <v>-2.853083011206143E-3</v>
      </c>
      <c r="F141" s="13">
        <f>IFERROR(F140, "NA")</f>
        <v>28287.869999999995</v>
      </c>
      <c r="G141" s="14">
        <f>IFERROR(F141/F148, "NA")</f>
        <v>0.18897320767394538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600.96</v>
      </c>
      <c r="M141" s="14">
        <f>IFERROR(L141/L148, "NA")</f>
        <v>3.6139683339976424E-3</v>
      </c>
      <c r="N141" s="13">
        <f>IFERROR(N140, "NA")</f>
        <v>27809.54</v>
      </c>
      <c r="O141" s="14">
        <f>IFERROR(N141/N148, "NA")</f>
        <v>0.19299958588724267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-10</v>
      </c>
      <c r="U141" s="14">
        <f>IFERROR(T141/T148, "NA")</f>
        <v>-8.0071314715738428E-5</v>
      </c>
      <c r="V141" s="13">
        <f>IFERROR(V140, "NA")</f>
        <v>28081.630000000005</v>
      </c>
      <c r="W141" s="14">
        <f>IFERROR(V141/V148, "NA")</f>
        <v>0.22119369448669698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7017.9075000000012</v>
      </c>
      <c r="AC141" s="14">
        <f>IFERROR(AB141/AB148, "NA")</f>
        <v>5.5972492403476397E-2</v>
      </c>
      <c r="AD141" s="15">
        <f>IFERROR(X141-AB141, "NA")</f>
        <v>-7017.9075000000012</v>
      </c>
      <c r="AE141" s="16">
        <f>IFERROR(AD141/AD148, "NA")</f>
        <v>1.9282587879395821</v>
      </c>
      <c r="AF141" s="15">
        <f>IFERROR((X141-AB141)/AB141, "NA")</f>
        <v>-1</v>
      </c>
      <c r="AG141" s="13">
        <f>IFERROR((J141+L141+N141+P141+R141+T141+V141+X141)/8, "NA")</f>
        <v>7060.2662500000006</v>
      </c>
      <c r="AH141" s="14">
        <f>IFERROR(AG141/AG148, "NA")</f>
        <v>5.1658166438384223E-2</v>
      </c>
      <c r="AI141" s="15">
        <f>IFERROR(X141-AG141, "NA")</f>
        <v>-7060.2662500000006</v>
      </c>
      <c r="AJ141" s="16">
        <f>IFERROR(AI141/AI148, "NA")</f>
        <v>0.47286147087859165</v>
      </c>
      <c r="AK141" s="15">
        <f>IFERROR((X141-AG141)/AG141, "NA")</f>
        <v>-1</v>
      </c>
      <c r="AL141" s="16">
        <f>IFERROR(AK141/AK148, "NA")</f>
        <v>9.1536634666002268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34092.79</v>
      </c>
      <c r="C147" s="34">
        <f>IFERROR(B147/B148, "NA")</f>
        <v>0.26897259378576621</v>
      </c>
      <c r="D147" s="33">
        <f>IFERROR(D137-D141-D145, "NA")</f>
        <v>11268.61000000005</v>
      </c>
      <c r="E147" s="34">
        <f>IFERROR(D147/D148, "NA")</f>
        <v>8.2421821085722546E-2</v>
      </c>
      <c r="F147" s="33">
        <f>IFERROR(F137-F141-F145, "NA")</f>
        <v>-71172.749999999942</v>
      </c>
      <c r="G147" s="34">
        <f>IFERROR(F147/F148, "NA")</f>
        <v>-0.47545972413178467</v>
      </c>
      <c r="H147" s="33">
        <f>IFERROR(H137-H141-H145, "NA")</f>
        <v>29331.590000000037</v>
      </c>
      <c r="I147" s="34">
        <f>IFERROR(H147/H148, "NA")</f>
        <v>0.23827969920707476</v>
      </c>
      <c r="J147" s="33">
        <f>IFERROR(J137-J141-J145, "NA")</f>
        <v>46747.47999999996</v>
      </c>
      <c r="K147" s="34">
        <f>IFERROR(J147/J148, "NA")</f>
        <v>0.27806042665036695</v>
      </c>
      <c r="L147" s="33">
        <f>IFERROR(L137-L141-L145, "NA")</f>
        <v>18035.799999999923</v>
      </c>
      <c r="M147" s="34">
        <f>IFERROR(L147/L148, "NA")</f>
        <v>0.10846114563084797</v>
      </c>
      <c r="N147" s="33">
        <f>IFERROR(N137-N141-N145, "NA")</f>
        <v>-58128.3299999999</v>
      </c>
      <c r="O147" s="34">
        <f>IFERROR(N147/N148, "NA")</f>
        <v>-0.4034134911371049</v>
      </c>
      <c r="P147" s="33">
        <f>IFERROR(P137-P141-P145, "NA")</f>
        <v>33512.130000000026</v>
      </c>
      <c r="Q147" s="34">
        <f>IFERROR(P147/P148, "NA")</f>
        <v>0.29563152133285642</v>
      </c>
      <c r="R147" s="33">
        <f>IFERROR(R137-R141-R145, "NA")</f>
        <v>33640.779999999948</v>
      </c>
      <c r="S147" s="34">
        <f>IFERROR(R147/R148, "NA")</f>
        <v>0.26294184774112822</v>
      </c>
      <c r="T147" s="33">
        <f>IFERROR(T137-T141-T145, "NA")</f>
        <v>2929.980000000035</v>
      </c>
      <c r="U147" s="34">
        <f>IFERROR(T147/T148, "NA")</f>
        <v>2.3460735069082209E-2</v>
      </c>
      <c r="V147" s="33">
        <f>IFERROR(V137-V141-V145, "NA")</f>
        <v>-65330.070000000014</v>
      </c>
      <c r="W147" s="34">
        <f>IFERROR(V147/V148, "NA")</f>
        <v>-0.51459261960130265</v>
      </c>
      <c r="X147" s="33">
        <f>IFERROR(X137-X141-X145, "NA")</f>
        <v>34619.140000000036</v>
      </c>
      <c r="Y147" s="34">
        <f>IFERROR(X147/X148, "NA")</f>
        <v>0.28436513127037844</v>
      </c>
      <c r="Z147" s="33">
        <f>IFERROR(Z137-Z141-Z145, "NA")</f>
        <v>34619.140000000036</v>
      </c>
      <c r="AA147" s="34">
        <f>IFERROR(Z147/Z148, "NA")</f>
        <v>0.28436513127037844</v>
      </c>
      <c r="AB147" s="33">
        <f>IFERROR((R147+T147+V147+X147)/4, "NA")</f>
        <v>1464.9575000000004</v>
      </c>
      <c r="AC147" s="34">
        <f>IFERROR(AB147/AB148, "NA")</f>
        <v>1.1684013011024411E-2</v>
      </c>
      <c r="AD147" s="15">
        <f>IFERROR(X147-AB147, "NA")</f>
        <v>33154.182500000039</v>
      </c>
      <c r="AE147" s="16">
        <f>IFERROR(AD147/AD148, "NA")</f>
        <v>-9.1095306916738021</v>
      </c>
      <c r="AF147" s="15">
        <f>IFERROR((X147-AB147)/AB147, "NA")</f>
        <v>22.63149784208759</v>
      </c>
      <c r="AG147" s="33">
        <f>IFERROR((J147+L147+N147+P147+R147+T147+V147+X147)/8, "NA")</f>
        <v>5753.3637500000023</v>
      </c>
      <c r="AH147" s="34">
        <f>IFERROR(AG147/AG148, "NA")</f>
        <v>4.2095894354985057E-2</v>
      </c>
      <c r="AI147" s="15">
        <f>IFERROR(X147-AG147, "NA")</f>
        <v>28865.776250000032</v>
      </c>
      <c r="AJ147" s="16">
        <f>IFERROR(AI147/AI148, "NA")</f>
        <v>-1.9332859317631728</v>
      </c>
      <c r="AK147" s="15">
        <f>IFERROR((X147-AG147)/AG147, "NA")</f>
        <v>5.017199938036252</v>
      </c>
      <c r="AL147" s="16">
        <f>IFERROR(AK147/AK148, "NA")</f>
        <v>-45.925759777431367</v>
      </c>
    </row>
    <row r="148" spans="1:38" ht="15.6" hidden="1">
      <c r="A148" s="40" t="s">
        <v>25</v>
      </c>
      <c r="B148" s="7">
        <v>126751.91</v>
      </c>
      <c r="C148" s="41"/>
      <c r="D148" s="7">
        <v>136718.76999999999</v>
      </c>
      <c r="E148" s="41"/>
      <c r="F148" s="7">
        <v>149692.49000000002</v>
      </c>
      <c r="G148" s="41"/>
      <c r="H148" s="7">
        <v>123097.31</v>
      </c>
      <c r="I148" s="41"/>
      <c r="J148" s="7">
        <v>168119.86</v>
      </c>
      <c r="K148" s="41"/>
      <c r="L148" s="7">
        <v>166288.12</v>
      </c>
      <c r="M148" s="41"/>
      <c r="N148" s="7">
        <v>144091.19</v>
      </c>
      <c r="O148" s="41"/>
      <c r="P148" s="7">
        <v>113357.76999999999</v>
      </c>
      <c r="Q148" s="41"/>
      <c r="R148" s="7">
        <v>127940</v>
      </c>
      <c r="S148" s="41"/>
      <c r="T148" s="7">
        <v>124888.67</v>
      </c>
      <c r="U148" s="41"/>
      <c r="V148" s="7">
        <v>126954.93000000001</v>
      </c>
      <c r="W148" s="41"/>
      <c r="X148" s="7">
        <v>121741.86000000002</v>
      </c>
      <c r="Y148" s="41"/>
      <c r="Z148" s="7">
        <v>121741.86000000002</v>
      </c>
      <c r="AA148" s="41"/>
      <c r="AB148" s="9">
        <f>IFERROR((R148+T148+V148+X148)/4, "NA")</f>
        <v>125381.36499999999</v>
      </c>
      <c r="AC148" s="41"/>
      <c r="AD148" s="10">
        <f>IFERROR(X148-AB148, "NA")</f>
        <v>-3639.5049999999756</v>
      </c>
      <c r="AE148" s="42"/>
      <c r="AF148" s="10">
        <f>IFERROR((X148-AB148)/AB148, "NA")</f>
        <v>-2.9027479482297676E-2</v>
      </c>
      <c r="AG148" s="9">
        <f>IFERROR((J148+L148+N148+P148+R148+T148+V148+X148)/8, "NA")</f>
        <v>136672.80000000002</v>
      </c>
      <c r="AH148" s="41"/>
      <c r="AI148" s="10">
        <f>IFERROR(X148-AG148, "NA")</f>
        <v>-14930.940000000002</v>
      </c>
      <c r="AJ148" s="42"/>
      <c r="AK148" s="10">
        <f>IFERROR((X148-AG148)/AG148, "NA")</f>
        <v>-0.10924587774597433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152</v>
      </c>
      <c r="B3" s="46" t="s">
        <v>152</v>
      </c>
      <c r="C3" s="46" t="s">
        <v>152</v>
      </c>
      <c r="D3" s="46" t="s">
        <v>152</v>
      </c>
      <c r="E3" s="46" t="s">
        <v>152</v>
      </c>
      <c r="F3" s="46" t="s">
        <v>152</v>
      </c>
      <c r="G3" s="46" t="s">
        <v>152</v>
      </c>
      <c r="H3" s="46" t="s">
        <v>152</v>
      </c>
      <c r="I3" s="46" t="s">
        <v>152</v>
      </c>
      <c r="J3" s="46" t="s">
        <v>152</v>
      </c>
      <c r="K3" s="46" t="s">
        <v>152</v>
      </c>
      <c r="L3" s="46" t="s">
        <v>152</v>
      </c>
      <c r="M3" s="46" t="s">
        <v>152</v>
      </c>
      <c r="N3" s="46" t="s">
        <v>152</v>
      </c>
      <c r="O3" s="46" t="s">
        <v>152</v>
      </c>
      <c r="P3" s="46" t="s">
        <v>152</v>
      </c>
      <c r="Q3" s="46" t="s">
        <v>152</v>
      </c>
      <c r="R3" s="46" t="s">
        <v>152</v>
      </c>
      <c r="S3" s="46" t="s">
        <v>152</v>
      </c>
      <c r="T3" s="46" t="s">
        <v>152</v>
      </c>
      <c r="U3" s="46" t="s">
        <v>152</v>
      </c>
      <c r="V3" s="46" t="s">
        <v>152</v>
      </c>
      <c r="W3" s="46" t="s">
        <v>152</v>
      </c>
      <c r="X3" s="46" t="s">
        <v>152</v>
      </c>
      <c r="Y3" s="46" t="s">
        <v>152</v>
      </c>
      <c r="Z3" s="46" t="s">
        <v>152</v>
      </c>
      <c r="AA3" s="46" t="s">
        <v>152</v>
      </c>
      <c r="AB3" s="46" t="s">
        <v>152</v>
      </c>
      <c r="AC3" s="46" t="s">
        <v>152</v>
      </c>
      <c r="AD3" s="46" t="s">
        <v>152</v>
      </c>
      <c r="AE3" s="46" t="s">
        <v>152</v>
      </c>
      <c r="AF3" s="46" t="s">
        <v>152</v>
      </c>
      <c r="AG3" s="46" t="s">
        <v>152</v>
      </c>
      <c r="AH3" s="46" t="s">
        <v>152</v>
      </c>
      <c r="AI3" s="46" t="s">
        <v>152</v>
      </c>
      <c r="AJ3" s="46" t="s">
        <v>152</v>
      </c>
      <c r="AK3" s="46" t="s">
        <v>152</v>
      </c>
      <c r="AL3" s="46" t="s">
        <v>152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50542.39</v>
      </c>
      <c r="C7" s="8">
        <f>IFERROR(B7/B148, "NA")</f>
        <v>1</v>
      </c>
      <c r="D7" s="7">
        <v>47289.110000000008</v>
      </c>
      <c r="E7" s="8">
        <f>IFERROR(D7/D148, "NA")</f>
        <v>1.0000000000000002</v>
      </c>
      <c r="F7" s="7">
        <v>48050.12</v>
      </c>
      <c r="G7" s="8">
        <f>IFERROR(F7/F148, "NA")</f>
        <v>1</v>
      </c>
      <c r="H7" s="7">
        <v>42443.339999999989</v>
      </c>
      <c r="I7" s="8">
        <f>IFERROR(H7/H148, "NA")</f>
        <v>0.99999999999999978</v>
      </c>
      <c r="J7" s="7">
        <v>60324.639999999992</v>
      </c>
      <c r="K7" s="8">
        <f>IFERROR(J7/J148, "NA")</f>
        <v>0.99999999999999989</v>
      </c>
      <c r="L7" s="7">
        <v>58771.329999999994</v>
      </c>
      <c r="M7" s="8">
        <f>IFERROR(L7/L148, "NA")</f>
        <v>0.99999999999999989</v>
      </c>
      <c r="N7" s="7">
        <v>48039.839999999997</v>
      </c>
      <c r="O7" s="8">
        <f>IFERROR(N7/N148, "NA")</f>
        <v>1</v>
      </c>
      <c r="P7" s="7">
        <v>41480.409999999996</v>
      </c>
      <c r="Q7" s="8">
        <f>IFERROR(P7/P148, "NA")</f>
        <v>0.99999999999999978</v>
      </c>
      <c r="R7" s="7">
        <v>49860.789999999986</v>
      </c>
      <c r="S7" s="8">
        <f>IFERROR(R7/R148, "NA")</f>
        <v>0.99999999999999967</v>
      </c>
      <c r="T7" s="7">
        <v>51166.44000000001</v>
      </c>
      <c r="U7" s="8">
        <f>IFERROR(T7/T148, "NA")</f>
        <v>1.0000000000000002</v>
      </c>
      <c r="V7" s="7">
        <v>47375.87000000001</v>
      </c>
      <c r="W7" s="8">
        <f>IFERROR(V7/V148, "NA")</f>
        <v>1.0000000000000002</v>
      </c>
      <c r="X7" s="7">
        <v>44110.16</v>
      </c>
      <c r="Y7" s="8">
        <f>IFERROR(X7/X148, "NA")</f>
        <v>1</v>
      </c>
      <c r="Z7" s="7">
        <v>44110.16</v>
      </c>
      <c r="AA7" s="8">
        <f>IFERROR(Z7/Z148, "NA")</f>
        <v>1</v>
      </c>
      <c r="AB7" s="9">
        <f>IFERROR((R7+T7+V7+X7)/4, "NA")</f>
        <v>48128.315000000002</v>
      </c>
      <c r="AC7" s="8">
        <f>IFERROR(AB7/AB148, "NA")</f>
        <v>1</v>
      </c>
      <c r="AD7" s="10">
        <f>IFERROR(X7-AB7, "NA")</f>
        <v>-4018.1549999999988</v>
      </c>
      <c r="AE7" s="11">
        <f>IFERROR(AD7/AD148, "NA")</f>
        <v>1</v>
      </c>
      <c r="AF7" s="10">
        <f>IFERROR((X7-AB7)/AB7, "NA")</f>
        <v>-8.3488378930365606E-2</v>
      </c>
      <c r="AG7" s="9">
        <f>IFERROR((J7+L7+N7+P7+R7+T7+V7+X7)/8, "NA")</f>
        <v>50141.184999999998</v>
      </c>
      <c r="AH7" s="8">
        <f>IFERROR(AG7/AG148, "NA")</f>
        <v>1</v>
      </c>
      <c r="AI7" s="10">
        <f>IFERROR(X7-AG7, "NA")</f>
        <v>-6031.0249999999942</v>
      </c>
      <c r="AJ7" s="11">
        <f>IFERROR(AI7/AI148, "NA")</f>
        <v>1</v>
      </c>
      <c r="AK7" s="10">
        <f>IFERROR((X7-AG7)/AG7, "NA")</f>
        <v>-0.12028086292735192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50542.39</v>
      </c>
      <c r="C9" s="14">
        <f>IFERROR(B9/B148, "NA")</f>
        <v>1</v>
      </c>
      <c r="D9" s="13">
        <f>IFERROR(D7+D8, "NA")</f>
        <v>47289.110000000008</v>
      </c>
      <c r="E9" s="14">
        <f>IFERROR(D9/D148, "NA")</f>
        <v>1.0000000000000002</v>
      </c>
      <c r="F9" s="13">
        <f>IFERROR(F7+F8, "NA")</f>
        <v>48050.12</v>
      </c>
      <c r="G9" s="14">
        <f>IFERROR(F9/F148, "NA")</f>
        <v>1</v>
      </c>
      <c r="H9" s="13">
        <f>IFERROR(H7+H8, "NA")</f>
        <v>42443.339999999989</v>
      </c>
      <c r="I9" s="14">
        <f>IFERROR(H9/H148, "NA")</f>
        <v>0.99999999999999978</v>
      </c>
      <c r="J9" s="13">
        <f>IFERROR(J7+J8, "NA")</f>
        <v>60324.639999999992</v>
      </c>
      <c r="K9" s="14">
        <f>IFERROR(J9/J148, "NA")</f>
        <v>0.99999999999999989</v>
      </c>
      <c r="L9" s="13">
        <f>IFERROR(L7+L8, "NA")</f>
        <v>58771.329999999994</v>
      </c>
      <c r="M9" s="14">
        <f>IFERROR(L9/L148, "NA")</f>
        <v>0.99999999999999989</v>
      </c>
      <c r="N9" s="13">
        <f>IFERROR(N7+N8, "NA")</f>
        <v>48039.839999999997</v>
      </c>
      <c r="O9" s="14">
        <f>IFERROR(N9/N148, "NA")</f>
        <v>1</v>
      </c>
      <c r="P9" s="13">
        <f>IFERROR(P7+P8, "NA")</f>
        <v>41480.409999999996</v>
      </c>
      <c r="Q9" s="14">
        <f>IFERROR(P9/P148, "NA")</f>
        <v>0.99999999999999978</v>
      </c>
      <c r="R9" s="13">
        <f>IFERROR(R7+R8, "NA")</f>
        <v>49860.789999999986</v>
      </c>
      <c r="S9" s="14">
        <f>IFERROR(R9/R148, "NA")</f>
        <v>0.99999999999999967</v>
      </c>
      <c r="T9" s="13">
        <f>IFERROR(T7+T8, "NA")</f>
        <v>51166.44000000001</v>
      </c>
      <c r="U9" s="14">
        <f>IFERROR(T9/T148, "NA")</f>
        <v>1.0000000000000002</v>
      </c>
      <c r="V9" s="13">
        <f>IFERROR(V7+V8, "NA")</f>
        <v>47375.87000000001</v>
      </c>
      <c r="W9" s="14">
        <f>IFERROR(V9/V148, "NA")</f>
        <v>1.0000000000000002</v>
      </c>
      <c r="X9" s="13">
        <f>IFERROR(X7+X8, "NA")</f>
        <v>44110.16</v>
      </c>
      <c r="Y9" s="14">
        <f>IFERROR(X9/X148, "NA")</f>
        <v>1</v>
      </c>
      <c r="Z9" s="13">
        <f>IFERROR(Z7+Z8, "NA")</f>
        <v>44110.16</v>
      </c>
      <c r="AA9" s="14">
        <f>IFERROR(Z9/Z148, "NA")</f>
        <v>1</v>
      </c>
      <c r="AB9" s="13">
        <f>IFERROR((R9+T9+V9+X9)/4, "NA")</f>
        <v>48128.315000000002</v>
      </c>
      <c r="AC9" s="14">
        <f>IFERROR(AB9/AB148, "NA")</f>
        <v>1</v>
      </c>
      <c r="AD9" s="15">
        <f>IFERROR(X9-AB9, "NA")</f>
        <v>-4018.1549999999988</v>
      </c>
      <c r="AE9" s="16">
        <f>IFERROR(AD9/AD148, "NA")</f>
        <v>1</v>
      </c>
      <c r="AF9" s="15">
        <f>IFERROR((X9-AB9)/AB9, "NA")</f>
        <v>-8.3488378930365606E-2</v>
      </c>
      <c r="AG9" s="13">
        <f>IFERROR((J9+L9+N9+P9+R9+T9+V9+X9)/8, "NA")</f>
        <v>50141.184999999998</v>
      </c>
      <c r="AH9" s="14">
        <f>IFERROR(AG9/AG148, "NA")</f>
        <v>1</v>
      </c>
      <c r="AI9" s="15">
        <f>IFERROR(X9-AG9, "NA")</f>
        <v>-6031.0249999999942</v>
      </c>
      <c r="AJ9" s="16">
        <f>IFERROR(AI9/AI148, "NA")</f>
        <v>1</v>
      </c>
      <c r="AK9" s="15">
        <f>IFERROR((X9-AG9)/AG9, "NA")</f>
        <v>-0.12028086292735192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2214.9699999999998</v>
      </c>
      <c r="C16" s="8">
        <f>IFERROR(B16/B148, "NA")</f>
        <v>4.3824005948274306E-2</v>
      </c>
      <c r="D16" s="7">
        <v>1994.99</v>
      </c>
      <c r="E16" s="8">
        <f>IFERROR(D16/D148, "NA")</f>
        <v>4.218709127746325E-2</v>
      </c>
      <c r="F16" s="7">
        <v>2293.08</v>
      </c>
      <c r="G16" s="8">
        <f>IFERROR(F16/F148, "NA")</f>
        <v>4.7722669579181067E-2</v>
      </c>
      <c r="H16" s="7">
        <v>1491.24</v>
      </c>
      <c r="I16" s="8">
        <f>IFERROR(H16/H148, "NA")</f>
        <v>3.5134840943243394E-2</v>
      </c>
      <c r="J16" s="7">
        <v>2534.56</v>
      </c>
      <c r="K16" s="8">
        <f>IFERROR(J16/J148, "NA")</f>
        <v>4.2015335690358036E-2</v>
      </c>
      <c r="L16" s="7">
        <v>2644.52</v>
      </c>
      <c r="M16" s="8">
        <f>IFERROR(L16/L148, "NA")</f>
        <v>4.4996769683449393E-2</v>
      </c>
      <c r="N16" s="7">
        <v>1714.77</v>
      </c>
      <c r="O16" s="8">
        <f>IFERROR(N16/N148, "NA")</f>
        <v>3.5694748358862147E-2</v>
      </c>
      <c r="P16" s="7">
        <v>2098.02</v>
      </c>
      <c r="Q16" s="8">
        <f>IFERROR(P16/P148, "NA")</f>
        <v>5.0578574319781307E-2</v>
      </c>
      <c r="R16" s="7">
        <v>1917.76</v>
      </c>
      <c r="S16" s="8">
        <f>IFERROR(R16/R148, "NA")</f>
        <v>3.8462286698626315E-2</v>
      </c>
      <c r="T16" s="7">
        <v>2181.1</v>
      </c>
      <c r="U16" s="8">
        <f>IFERROR(T16/T148, "NA")</f>
        <v>4.2627550402177673E-2</v>
      </c>
      <c r="V16" s="7">
        <v>1595.25</v>
      </c>
      <c r="W16" s="8">
        <f>IFERROR(V16/V148, "NA")</f>
        <v>3.3672204858718163E-2</v>
      </c>
      <c r="X16" s="7">
        <v>1828.28</v>
      </c>
      <c r="Y16" s="8">
        <f>IFERROR(X16/X148, "NA")</f>
        <v>4.1448047343287803E-2</v>
      </c>
      <c r="Z16" s="7">
        <v>1828.28</v>
      </c>
      <c r="AA16" s="8">
        <f>IFERROR(Z16/Z148, "NA")</f>
        <v>4.1448047343287803E-2</v>
      </c>
      <c r="AB16" s="9">
        <f t="shared" si="0"/>
        <v>1880.5974999999999</v>
      </c>
      <c r="AC16" s="8">
        <f>IFERROR(AB16/AB148, "NA")</f>
        <v>3.9074659065043101E-2</v>
      </c>
      <c r="AD16" s="10">
        <f t="shared" si="1"/>
        <v>-52.317499999999882</v>
      </c>
      <c r="AE16" s="11">
        <f>IFERROR(AD16/AD148, "NA")</f>
        <v>1.3020279207745818E-2</v>
      </c>
      <c r="AF16" s="10">
        <f t="shared" si="2"/>
        <v>-2.7819615840178395E-2</v>
      </c>
      <c r="AG16" s="9">
        <f t="shared" si="3"/>
        <v>2064.2825000000003</v>
      </c>
      <c r="AH16" s="8">
        <f>IFERROR(AG16/AG148, "NA")</f>
        <v>4.1169399965317939E-2</v>
      </c>
      <c r="AI16" s="10">
        <f t="shared" si="4"/>
        <v>-236.00250000000028</v>
      </c>
      <c r="AJ16" s="11">
        <f>IFERROR(AI16/AI148, "NA")</f>
        <v>3.9131408011076146E-2</v>
      </c>
      <c r="AK16" s="10">
        <f t="shared" si="5"/>
        <v>-0.11432664860550833</v>
      </c>
      <c r="AL16" s="11">
        <f>IFERROR(AK16/AK148, "NA")</f>
        <v>0.95049740933900795</v>
      </c>
    </row>
    <row r="17" spans="1:38" ht="16.5" customHeight="1">
      <c r="A17" s="25" t="s">
        <v>32</v>
      </c>
      <c r="B17" s="7">
        <v>1255</v>
      </c>
      <c r="C17" s="8">
        <f>IFERROR(B17/B148, "NA")</f>
        <v>2.4830642159977E-2</v>
      </c>
      <c r="D17" s="7">
        <v>1018.99</v>
      </c>
      <c r="E17" s="8">
        <f>IFERROR(D17/D148, "NA")</f>
        <v>2.1548090035951196E-2</v>
      </c>
      <c r="F17" s="7">
        <v>1027.3900000000001</v>
      </c>
      <c r="G17" s="8">
        <f>IFERROR(F17/F148, "NA")</f>
        <v>2.138163234555918E-2</v>
      </c>
      <c r="H17" s="7">
        <v>1106.8599999999999</v>
      </c>
      <c r="I17" s="8">
        <f>IFERROR(H17/H148, "NA")</f>
        <v>2.6078531991120396E-2</v>
      </c>
      <c r="J17" s="7">
        <v>1329.3</v>
      </c>
      <c r="K17" s="8">
        <f>IFERROR(J17/J148, "NA")</f>
        <v>2.2035771784133316E-2</v>
      </c>
      <c r="L17" s="7">
        <v>1296.6400000000001</v>
      </c>
      <c r="M17" s="8">
        <f>IFERROR(L17/L148, "NA")</f>
        <v>2.2062458004608709E-2</v>
      </c>
      <c r="N17" s="7">
        <v>1125.1199999999999</v>
      </c>
      <c r="O17" s="8">
        <f>IFERROR(N17/N148, "NA")</f>
        <v>2.3420560934424427E-2</v>
      </c>
      <c r="P17" s="7">
        <v>1264.8399999999999</v>
      </c>
      <c r="Q17" s="8">
        <f>IFERROR(P17/P148, "NA")</f>
        <v>3.0492466202720749E-2</v>
      </c>
      <c r="R17" s="7">
        <v>1046.3599999999999</v>
      </c>
      <c r="S17" s="8">
        <f>IFERROR(R17/R148, "NA")</f>
        <v>2.0985628185995447E-2</v>
      </c>
      <c r="T17" s="7">
        <v>938.94</v>
      </c>
      <c r="U17" s="8">
        <f>IFERROR(T17/T148, "NA")</f>
        <v>1.8350700185512221E-2</v>
      </c>
      <c r="V17" s="7">
        <v>1391.84</v>
      </c>
      <c r="W17" s="8">
        <f>IFERROR(V17/V148, "NA")</f>
        <v>2.9378668929984818E-2</v>
      </c>
      <c r="X17" s="7">
        <v>1097.3499999999999</v>
      </c>
      <c r="Y17" s="8">
        <f>IFERROR(X17/X148, "NA")</f>
        <v>2.4877488542322218E-2</v>
      </c>
      <c r="Z17" s="7">
        <v>1097.3499999999999</v>
      </c>
      <c r="AA17" s="8">
        <f>IFERROR(Z17/Z148, "NA")</f>
        <v>2.4877488542322218E-2</v>
      </c>
      <c r="AB17" s="9">
        <f t="shared" si="0"/>
        <v>1118.6224999999999</v>
      </c>
      <c r="AC17" s="8">
        <f>IFERROR(AB17/AB148, "NA")</f>
        <v>2.3242502880061352E-2</v>
      </c>
      <c r="AD17" s="10">
        <f t="shared" si="1"/>
        <v>-21.272500000000036</v>
      </c>
      <c r="AE17" s="11">
        <f>IFERROR(AD17/AD148, "NA")</f>
        <v>5.2940964198743062E-3</v>
      </c>
      <c r="AF17" s="10">
        <f t="shared" si="2"/>
        <v>-1.9016692405167998E-2</v>
      </c>
      <c r="AG17" s="9">
        <f t="shared" si="3"/>
        <v>1186.2987499999999</v>
      </c>
      <c r="AH17" s="8">
        <f>IFERROR(AG17/AG148, "NA")</f>
        <v>2.3659168605608343E-2</v>
      </c>
      <c r="AI17" s="10">
        <f t="shared" si="4"/>
        <v>-88.948750000000018</v>
      </c>
      <c r="AJ17" s="11">
        <f>IFERROR(AI17/AI148, "NA")</f>
        <v>1.4748529478819952E-2</v>
      </c>
      <c r="AK17" s="10">
        <f t="shared" si="5"/>
        <v>-7.4980058775245301E-2</v>
      </c>
      <c r="AL17" s="11">
        <f>IFERROR(AK17/AK148, "NA")</f>
        <v>0.62337479920253214</v>
      </c>
    </row>
    <row r="18" spans="1:38" ht="16.5" customHeight="1">
      <c r="A18" s="25" t="s">
        <v>33</v>
      </c>
      <c r="B18" s="7">
        <v>2105.16</v>
      </c>
      <c r="C18" s="8">
        <f>IFERROR(B18/B148, "NA")</f>
        <v>4.165137422270692E-2</v>
      </c>
      <c r="D18" s="7">
        <v>1917.75</v>
      </c>
      <c r="E18" s="8">
        <f>IFERROR(D18/D148, "NA")</f>
        <v>4.055373425298129E-2</v>
      </c>
      <c r="F18" s="7">
        <v>2463.0500000000002</v>
      </c>
      <c r="G18" s="8">
        <f>IFERROR(F18/F148, "NA")</f>
        <v>5.1260017664888247E-2</v>
      </c>
      <c r="H18" s="7">
        <v>941.31</v>
      </c>
      <c r="I18" s="8">
        <f>IFERROR(H18/H148, "NA")</f>
        <v>2.2178037826429305E-2</v>
      </c>
      <c r="J18" s="7">
        <v>2006.71</v>
      </c>
      <c r="K18" s="8">
        <f>IFERROR(J18/J148, "NA")</f>
        <v>3.32651798668007E-2</v>
      </c>
      <c r="L18" s="7">
        <v>1954.19</v>
      </c>
      <c r="M18" s="8">
        <f>IFERROR(L18/L148, "NA")</f>
        <v>3.3250736370948213E-2</v>
      </c>
      <c r="N18" s="7">
        <v>1395</v>
      </c>
      <c r="O18" s="8">
        <f>IFERROR(N18/N148, "NA")</f>
        <v>2.9038398129552473E-2</v>
      </c>
      <c r="P18" s="7">
        <v>1290.43</v>
      </c>
      <c r="Q18" s="8">
        <f>IFERROR(P18/P148, "NA")</f>
        <v>3.1109383923640099E-2</v>
      </c>
      <c r="R18" s="7">
        <v>1734.51</v>
      </c>
      <c r="S18" s="8">
        <f>IFERROR(R18/R148, "NA")</f>
        <v>3.4787054116069964E-2</v>
      </c>
      <c r="T18" s="7">
        <v>1379.1</v>
      </c>
      <c r="U18" s="8">
        <f>IFERROR(T18/T148, "NA")</f>
        <v>2.6953213864400177E-2</v>
      </c>
      <c r="V18" s="7">
        <v>1325.44</v>
      </c>
      <c r="W18" s="8">
        <f>IFERROR(V18/V148, "NA")</f>
        <v>2.7977111554890705E-2</v>
      </c>
      <c r="X18" s="7">
        <v>1334.53</v>
      </c>
      <c r="Y18" s="8">
        <f>IFERROR(X18/X148, "NA")</f>
        <v>3.0254481053798035E-2</v>
      </c>
      <c r="Z18" s="7">
        <v>1334.53</v>
      </c>
      <c r="AA18" s="8">
        <f>IFERROR(Z18/Z148, "NA")</f>
        <v>3.0254481053798035E-2</v>
      </c>
      <c r="AB18" s="9">
        <f t="shared" si="0"/>
        <v>1443.3949999999998</v>
      </c>
      <c r="AC18" s="8">
        <f>IFERROR(AB18/AB148, "NA")</f>
        <v>2.9990557533543398E-2</v>
      </c>
      <c r="AD18" s="10">
        <f t="shared" si="1"/>
        <v>-108.86499999999978</v>
      </c>
      <c r="AE18" s="11">
        <f>IFERROR(AD18/AD148, "NA")</f>
        <v>2.7093280373703805E-2</v>
      </c>
      <c r="AF18" s="10">
        <f t="shared" si="2"/>
        <v>-7.5422874542311558E-2</v>
      </c>
      <c r="AG18" s="9">
        <f t="shared" si="3"/>
        <v>1552.4887500000002</v>
      </c>
      <c r="AH18" s="8">
        <f>IFERROR(AG18/AG148, "NA")</f>
        <v>3.0962346621843904E-2</v>
      </c>
      <c r="AI18" s="10">
        <f t="shared" si="4"/>
        <v>-217.95875000000024</v>
      </c>
      <c r="AJ18" s="11">
        <f>IFERROR(AI18/AI148, "NA")</f>
        <v>3.6139586554524386E-2</v>
      </c>
      <c r="AK18" s="10">
        <f t="shared" si="5"/>
        <v>-0.14039312684230415</v>
      </c>
      <c r="AL18" s="11">
        <f>IFERROR(AK18/AK148, "NA")</f>
        <v>1.1672108382453141</v>
      </c>
    </row>
    <row r="19" spans="1:38" ht="16.5" customHeight="1">
      <c r="A19" s="25" t="s">
        <v>34</v>
      </c>
      <c r="B19" s="7">
        <v>826.99</v>
      </c>
      <c r="C19" s="8">
        <f>IFERROR(B19/B148, "NA")</f>
        <v>1.6362304987951697E-2</v>
      </c>
      <c r="D19" s="7">
        <v>1046.05</v>
      </c>
      <c r="E19" s="8">
        <f>IFERROR(D19/D148, "NA")</f>
        <v>2.212031480397918E-2</v>
      </c>
      <c r="F19" s="7">
        <v>737.21</v>
      </c>
      <c r="G19" s="8">
        <f>IFERROR(F19/F148, "NA")</f>
        <v>1.5342521517115877E-2</v>
      </c>
      <c r="H19" s="7">
        <v>1062.75</v>
      </c>
      <c r="I19" s="8">
        <f>IFERROR(H19/H148, "NA")</f>
        <v>2.50392641106944E-2</v>
      </c>
      <c r="J19" s="7">
        <v>1048.99</v>
      </c>
      <c r="K19" s="8">
        <f>IFERROR(J19/J148, "NA")</f>
        <v>1.7389080150333264E-2</v>
      </c>
      <c r="L19" s="7">
        <v>1080.03</v>
      </c>
      <c r="M19" s="8">
        <f>IFERROR(L19/L148, "NA")</f>
        <v>1.8376817403996132E-2</v>
      </c>
      <c r="N19" s="7">
        <v>1073.48</v>
      </c>
      <c r="O19" s="8">
        <f>IFERROR(N19/N148, "NA")</f>
        <v>2.2345619802230817E-2</v>
      </c>
      <c r="P19" s="7">
        <v>653.54999999999995</v>
      </c>
      <c r="Q19" s="8">
        <f>IFERROR(P19/P148, "NA")</f>
        <v>1.5755630187840475E-2</v>
      </c>
      <c r="R19" s="7">
        <v>1034.21</v>
      </c>
      <c r="S19" s="8">
        <f>IFERROR(R19/R148, "NA")</f>
        <v>2.0741949736456242E-2</v>
      </c>
      <c r="T19" s="7">
        <v>785.76</v>
      </c>
      <c r="U19" s="8">
        <f>IFERROR(T19/T148, "NA")</f>
        <v>1.5356940994917762E-2</v>
      </c>
      <c r="V19" s="7">
        <v>995.27</v>
      </c>
      <c r="W19" s="8">
        <f>IFERROR(V19/V148, "NA")</f>
        <v>2.1007951938402398E-2</v>
      </c>
      <c r="X19" s="7">
        <v>924.27</v>
      </c>
      <c r="Y19" s="8">
        <f>IFERROR(X19/X148, "NA")</f>
        <v>2.0953675978504723E-2</v>
      </c>
      <c r="Z19" s="7">
        <v>924.27</v>
      </c>
      <c r="AA19" s="8">
        <f>IFERROR(Z19/Z148, "NA")</f>
        <v>2.0953675978504723E-2</v>
      </c>
      <c r="AB19" s="9">
        <f t="shared" si="0"/>
        <v>934.87749999999994</v>
      </c>
      <c r="AC19" s="8">
        <f>IFERROR(AB19/AB148, "NA")</f>
        <v>1.9424687940976116E-2</v>
      </c>
      <c r="AD19" s="10">
        <f t="shared" si="1"/>
        <v>-10.607499999999959</v>
      </c>
      <c r="AE19" s="11">
        <f>IFERROR(AD19/AD148, "NA")</f>
        <v>2.6398931848074457E-3</v>
      </c>
      <c r="AF19" s="10">
        <f t="shared" si="2"/>
        <v>-1.1346406347355627E-2</v>
      </c>
      <c r="AG19" s="9">
        <f t="shared" si="3"/>
        <v>949.44500000000016</v>
      </c>
      <c r="AH19" s="8">
        <f>IFERROR(AG19/AG148, "NA")</f>
        <v>1.8935432020603427E-2</v>
      </c>
      <c r="AI19" s="10">
        <f t="shared" si="4"/>
        <v>-25.175000000000182</v>
      </c>
      <c r="AJ19" s="11">
        <f>IFERROR(AI19/AI148, "NA")</f>
        <v>4.17424898752703E-3</v>
      </c>
      <c r="AK19" s="10">
        <f t="shared" si="5"/>
        <v>-2.6515490628735924E-2</v>
      </c>
      <c r="AL19" s="11">
        <f>IFERROR(AK19/AK148, "NA")</f>
        <v>0.22044646158508968</v>
      </c>
    </row>
    <row r="20" spans="1:38" ht="16.5" customHeight="1">
      <c r="A20" s="25" t="s">
        <v>35</v>
      </c>
      <c r="B20" s="7">
        <v>471.91</v>
      </c>
      <c r="C20" s="8">
        <f>IFERROR(B20/B148, "NA")</f>
        <v>9.3369150133185246E-3</v>
      </c>
      <c r="D20" s="7">
        <v>464.1</v>
      </c>
      <c r="E20" s="8">
        <f>IFERROR(D20/D148, "NA")</f>
        <v>9.8140988485509676E-3</v>
      </c>
      <c r="F20" s="7">
        <v>567.64</v>
      </c>
      <c r="G20" s="8">
        <f>IFERROR(F20/F148, "NA")</f>
        <v>1.181349807242937E-2</v>
      </c>
      <c r="H20" s="7">
        <v>511.4</v>
      </c>
      <c r="I20" s="8">
        <f>IFERROR(H20/H148, "NA")</f>
        <v>1.204900462593189E-2</v>
      </c>
      <c r="J20" s="7">
        <v>598.74</v>
      </c>
      <c r="K20" s="8">
        <f>IFERROR(J20/J148, "NA")</f>
        <v>9.9252975235326734E-3</v>
      </c>
      <c r="L20" s="7">
        <v>700.65</v>
      </c>
      <c r="M20" s="8">
        <f>IFERROR(L20/L148, "NA")</f>
        <v>1.1921629134477644E-2</v>
      </c>
      <c r="N20" s="7">
        <v>593.52</v>
      </c>
      <c r="O20" s="8">
        <f>IFERROR(N20/N148, "NA")</f>
        <v>1.2354745561184217E-2</v>
      </c>
      <c r="P20" s="7">
        <v>549.02</v>
      </c>
      <c r="Q20" s="8">
        <f>IFERROR(P20/P148, "NA")</f>
        <v>1.3235645452877634E-2</v>
      </c>
      <c r="R20" s="7">
        <v>581.52</v>
      </c>
      <c r="S20" s="8">
        <f>IFERROR(R20/R148, "NA")</f>
        <v>1.1662871767575283E-2</v>
      </c>
      <c r="T20" s="7">
        <v>943.81</v>
      </c>
      <c r="U20" s="8">
        <f>IFERROR(T20/T148, "NA")</f>
        <v>1.8445879760249098E-2</v>
      </c>
      <c r="V20" s="7">
        <v>513.5</v>
      </c>
      <c r="W20" s="8">
        <f>IFERROR(V20/V148, "NA")</f>
        <v>1.0838851086006442E-2</v>
      </c>
      <c r="X20" s="7">
        <v>763.72</v>
      </c>
      <c r="Y20" s="8">
        <f>IFERROR(X20/X148, "NA")</f>
        <v>1.7313924955157722E-2</v>
      </c>
      <c r="Z20" s="7">
        <v>763.72</v>
      </c>
      <c r="AA20" s="8">
        <f>IFERROR(Z20/Z148, "NA")</f>
        <v>1.7313924955157722E-2</v>
      </c>
      <c r="AB20" s="9">
        <f t="shared" si="0"/>
        <v>700.63750000000005</v>
      </c>
      <c r="AC20" s="8">
        <f>IFERROR(AB20/AB148, "NA")</f>
        <v>1.4557698519052661E-2</v>
      </c>
      <c r="AD20" s="10">
        <f t="shared" si="1"/>
        <v>63.082499999999982</v>
      </c>
      <c r="AE20" s="11">
        <f>IFERROR(AD20/AD148, "NA")</f>
        <v>-1.5699369486742051E-2</v>
      </c>
      <c r="AF20" s="10">
        <f t="shared" si="2"/>
        <v>9.0035860198747542E-2</v>
      </c>
      <c r="AG20" s="9">
        <f t="shared" si="3"/>
        <v>655.56000000000006</v>
      </c>
      <c r="AH20" s="8">
        <f>IFERROR(AG20/AG148, "NA")</f>
        <v>1.3074282149494474E-2</v>
      </c>
      <c r="AI20" s="10">
        <f t="shared" si="4"/>
        <v>108.15999999999997</v>
      </c>
      <c r="AJ20" s="11">
        <f>IFERROR(AI20/AI148, "NA")</f>
        <v>-1.7933933286630396E-2</v>
      </c>
      <c r="AK20" s="10">
        <f t="shared" si="5"/>
        <v>0.16498871194093592</v>
      </c>
      <c r="AL20" s="11">
        <f>IFERROR(AK20/AK148, "NA")</f>
        <v>-1.3716954461873703</v>
      </c>
    </row>
    <row r="21" spans="1:38" ht="16.5" customHeight="1">
      <c r="A21" s="25" t="s">
        <v>36</v>
      </c>
      <c r="B21" s="7">
        <v>427.84</v>
      </c>
      <c r="C21" s="8">
        <f>IFERROR(B21/B148, "NA")</f>
        <v>8.4649736587446688E-3</v>
      </c>
      <c r="D21" s="7">
        <v>624.79999999999995</v>
      </c>
      <c r="E21" s="8">
        <f>IFERROR(D21/D148, "NA")</f>
        <v>1.321234423739419E-2</v>
      </c>
      <c r="F21" s="7">
        <v>242.66</v>
      </c>
      <c r="G21" s="8">
        <f>IFERROR(F21/F148, "NA")</f>
        <v>5.0501434751879905E-3</v>
      </c>
      <c r="H21" s="7">
        <v>463.03</v>
      </c>
      <c r="I21" s="8">
        <f>IFERROR(H21/H148, "NA")</f>
        <v>1.0909367641660624E-2</v>
      </c>
      <c r="J21" s="7">
        <v>753.68</v>
      </c>
      <c r="K21" s="8">
        <f>IFERROR(J21/J148, "NA")</f>
        <v>1.2493733903758065E-2</v>
      </c>
      <c r="L21" s="7">
        <v>277.8</v>
      </c>
      <c r="M21" s="8">
        <f>IFERROR(L21/L148, "NA")</f>
        <v>4.7267945101803887E-3</v>
      </c>
      <c r="N21" s="7">
        <v>525.52</v>
      </c>
      <c r="O21" s="8">
        <f>IFERROR(N21/N148, "NA")</f>
        <v>1.0939253752718578E-2</v>
      </c>
      <c r="P21" s="7">
        <v>394.77</v>
      </c>
      <c r="Q21" s="8">
        <f>IFERROR(P21/P148, "NA")</f>
        <v>9.5170226138073365E-3</v>
      </c>
      <c r="R21" s="7">
        <v>500.48</v>
      </c>
      <c r="S21" s="8">
        <f>IFERROR(R21/R148, "NA")</f>
        <v>1.0037546537068506E-2</v>
      </c>
      <c r="T21" s="7">
        <v>485.93</v>
      </c>
      <c r="U21" s="8">
        <f>IFERROR(T21/T148, "NA")</f>
        <v>9.4970453289304462E-3</v>
      </c>
      <c r="V21" s="7">
        <v>606.97</v>
      </c>
      <c r="W21" s="8">
        <f>IFERROR(V21/V148, "NA")</f>
        <v>1.2811796384952931E-2</v>
      </c>
      <c r="X21" s="7">
        <v>338.99</v>
      </c>
      <c r="Y21" s="8">
        <f>IFERROR(X21/X148, "NA")</f>
        <v>7.6850775422260993E-3</v>
      </c>
      <c r="Z21" s="7">
        <v>338.99</v>
      </c>
      <c r="AA21" s="8">
        <f>IFERROR(Z21/Z148, "NA")</f>
        <v>7.6850775422260993E-3</v>
      </c>
      <c r="AB21" s="9">
        <f t="shared" si="0"/>
        <v>483.09250000000003</v>
      </c>
      <c r="AC21" s="8">
        <f>IFERROR(AB21/AB148, "NA")</f>
        <v>1.0037594293504769E-2</v>
      </c>
      <c r="AD21" s="10">
        <f t="shared" si="1"/>
        <v>-144.10250000000002</v>
      </c>
      <c r="AE21" s="11">
        <f>IFERROR(AD21/AD148, "NA")</f>
        <v>3.586285247831407E-2</v>
      </c>
      <c r="AF21" s="10">
        <f t="shared" si="2"/>
        <v>-0.29829173501969086</v>
      </c>
      <c r="AG21" s="9">
        <f t="shared" si="3"/>
        <v>485.51749999999993</v>
      </c>
      <c r="AH21" s="8">
        <f>IFERROR(AG21/AG148, "NA")</f>
        <v>9.6830080900561083E-3</v>
      </c>
      <c r="AI21" s="10">
        <f t="shared" si="4"/>
        <v>-146.52749999999992</v>
      </c>
      <c r="AJ21" s="11">
        <f>IFERROR(AI21/AI148, "NA")</f>
        <v>2.4295621391057086E-2</v>
      </c>
      <c r="AK21" s="10">
        <f t="shared" si="5"/>
        <v>-0.30179653668508333</v>
      </c>
      <c r="AL21" s="11">
        <f>IFERROR(AK21/AK148, "NA")</f>
        <v>2.509098532718081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254.91</v>
      </c>
      <c r="C23" s="8">
        <f>IFERROR(B23/B148, "NA")</f>
        <v>5.0434892374499902E-3</v>
      </c>
      <c r="D23" s="7">
        <v>306.16000000000003</v>
      </c>
      <c r="E23" s="8">
        <f>IFERROR(D23/D148, "NA")</f>
        <v>6.4742178484644775E-3</v>
      </c>
      <c r="F23" s="7">
        <v>281.05</v>
      </c>
      <c r="G23" s="8">
        <f>IFERROR(F23/F148, "NA")</f>
        <v>5.8491008971465631E-3</v>
      </c>
      <c r="H23" s="7">
        <v>340.68</v>
      </c>
      <c r="I23" s="8">
        <f>IFERROR(H23/H148, "NA")</f>
        <v>8.0267010089215413E-3</v>
      </c>
      <c r="J23" s="7">
        <v>425.63</v>
      </c>
      <c r="K23" s="8">
        <f>IFERROR(J23/J148, "NA")</f>
        <v>7.0556575223656532E-3</v>
      </c>
      <c r="L23" s="7">
        <v>23.59</v>
      </c>
      <c r="M23" s="8">
        <f>IFERROR(L23/L148, "NA")</f>
        <v>4.0138618608767234E-4</v>
      </c>
      <c r="N23" s="7">
        <v>261</v>
      </c>
      <c r="O23" s="8">
        <f>IFERROR(N23/N148, "NA")</f>
        <v>5.4329906177872367E-3</v>
      </c>
      <c r="P23" s="7">
        <v>160.02000000000001</v>
      </c>
      <c r="Q23" s="8">
        <f>IFERROR(P23/P148, "NA")</f>
        <v>3.8577246464053753E-3</v>
      </c>
      <c r="R23" s="7">
        <v>535.89</v>
      </c>
      <c r="S23" s="8">
        <f>IFERROR(R23/R148, "NA")</f>
        <v>1.0747723812639149E-2</v>
      </c>
      <c r="T23" s="7">
        <v>224.58</v>
      </c>
      <c r="U23" s="8">
        <f>IFERROR(T23/T148, "NA")</f>
        <v>4.3892051117881171E-3</v>
      </c>
      <c r="V23" s="7">
        <v>74.47</v>
      </c>
      <c r="W23" s="8">
        <f>IFERROR(V23/V148, "NA")</f>
        <v>1.5718972548683537E-3</v>
      </c>
      <c r="X23" s="7">
        <v>282.38</v>
      </c>
      <c r="Y23" s="8">
        <f>IFERROR(X23/X148, "NA")</f>
        <v>6.4016997444579652E-3</v>
      </c>
      <c r="Z23" s="7">
        <v>282.38</v>
      </c>
      <c r="AA23" s="8">
        <f>IFERROR(Z23/Z148, "NA")</f>
        <v>6.4016997444579652E-3</v>
      </c>
      <c r="AB23" s="9">
        <f t="shared" si="0"/>
        <v>279.33000000000004</v>
      </c>
      <c r="AC23" s="8">
        <f>IFERROR(AB23/AB148, "NA")</f>
        <v>5.8038599522962737E-3</v>
      </c>
      <c r="AD23" s="10">
        <f t="shared" si="1"/>
        <v>3.0499999999999545</v>
      </c>
      <c r="AE23" s="11">
        <f>IFERROR(AD23/AD148, "NA")</f>
        <v>-7.5905483984563943E-4</v>
      </c>
      <c r="AF23" s="10">
        <f t="shared" si="2"/>
        <v>1.0918984713421237E-2</v>
      </c>
      <c r="AG23" s="9">
        <f t="shared" si="3"/>
        <v>248.44499999999999</v>
      </c>
      <c r="AH23" s="8">
        <f>IFERROR(AG23/AG148, "NA")</f>
        <v>4.9549088239538019E-3</v>
      </c>
      <c r="AI23" s="10">
        <f t="shared" si="4"/>
        <v>33.935000000000002</v>
      </c>
      <c r="AJ23" s="11">
        <f>IFERROR(AI23/AI148, "NA")</f>
        <v>-5.6267384068214004E-3</v>
      </c>
      <c r="AK23" s="10">
        <f t="shared" si="5"/>
        <v>0.13658958723258671</v>
      </c>
      <c r="AL23" s="11">
        <f>IFERROR(AK23/AK148, "NA")</f>
        <v>-1.1355886872468237</v>
      </c>
    </row>
    <row r="24" spans="1:38" ht="16.5" customHeight="1">
      <c r="A24" s="25" t="s">
        <v>39</v>
      </c>
      <c r="B24" s="7">
        <v>2713.38</v>
      </c>
      <c r="C24" s="8">
        <f>IFERROR(B24/B148, "NA")</f>
        <v>5.3685233325927013E-2</v>
      </c>
      <c r="D24" s="7">
        <v>2596.9</v>
      </c>
      <c r="E24" s="8">
        <f>IFERROR(D24/D148, "NA")</f>
        <v>5.491539172549452E-2</v>
      </c>
      <c r="F24" s="7">
        <v>2607.4499999999998</v>
      </c>
      <c r="G24" s="8">
        <f>IFERROR(F24/F148, "NA")</f>
        <v>5.4265213073349236E-2</v>
      </c>
      <c r="H24" s="7">
        <v>2356.64</v>
      </c>
      <c r="I24" s="8">
        <f>IFERROR(H24/H148, "NA")</f>
        <v>5.5524376733782028E-2</v>
      </c>
      <c r="J24" s="7">
        <v>2963.89</v>
      </c>
      <c r="K24" s="8">
        <f>IFERROR(J24/J148, "NA")</f>
        <v>4.9132328017208224E-2</v>
      </c>
      <c r="L24" s="7">
        <v>2755.98</v>
      </c>
      <c r="M24" s="8">
        <f>IFERROR(L24/L148, "NA")</f>
        <v>4.689327262119132E-2</v>
      </c>
      <c r="N24" s="7">
        <v>2429.73</v>
      </c>
      <c r="O24" s="8">
        <f>IFERROR(N24/N148, "NA")</f>
        <v>5.0577395761517943E-2</v>
      </c>
      <c r="P24" s="7">
        <v>2512.91</v>
      </c>
      <c r="Q24" s="8">
        <f>IFERROR(P24/P148, "NA")</f>
        <v>6.0580645176843709E-2</v>
      </c>
      <c r="R24" s="7">
        <v>2734.04</v>
      </c>
      <c r="S24" s="8">
        <f>IFERROR(R24/R148, "NA")</f>
        <v>5.4833467339767378E-2</v>
      </c>
      <c r="T24" s="7">
        <v>2908.93</v>
      </c>
      <c r="U24" s="8">
        <f>IFERROR(T24/T148, "NA")</f>
        <v>5.685230397111856E-2</v>
      </c>
      <c r="V24" s="7">
        <v>2811.2</v>
      </c>
      <c r="W24" s="8">
        <f>IFERROR(V24/V148, "NA")</f>
        <v>5.9338224290129124E-2</v>
      </c>
      <c r="X24" s="7">
        <v>2216.1999999999998</v>
      </c>
      <c r="Y24" s="8">
        <f>IFERROR(X24/X148, "NA")</f>
        <v>5.0242393135731082E-2</v>
      </c>
      <c r="Z24" s="7">
        <v>2216.1999999999998</v>
      </c>
      <c r="AA24" s="8">
        <f>IFERROR(Z24/Z148, "NA")</f>
        <v>5.0242393135731082E-2</v>
      </c>
      <c r="AB24" s="9">
        <f t="shared" si="0"/>
        <v>2667.5924999999997</v>
      </c>
      <c r="AC24" s="8">
        <f>IFERROR(AB24/AB148, "NA")</f>
        <v>5.5426675544323539E-2</v>
      </c>
      <c r="AD24" s="10">
        <f t="shared" si="1"/>
        <v>-451.39249999999993</v>
      </c>
      <c r="AE24" s="11">
        <f>IFERROR(AD24/AD148, "NA")</f>
        <v>0.1123382497688616</v>
      </c>
      <c r="AF24" s="10">
        <f t="shared" si="2"/>
        <v>-0.16921343870924813</v>
      </c>
      <c r="AG24" s="9">
        <f t="shared" si="3"/>
        <v>2666.61</v>
      </c>
      <c r="AH24" s="8">
        <f>IFERROR(AG24/AG148, "NA")</f>
        <v>5.3182029902165258E-2</v>
      </c>
      <c r="AI24" s="10">
        <f t="shared" si="4"/>
        <v>-450.41000000000031</v>
      </c>
      <c r="AJ24" s="11">
        <f>IFERROR(AI24/AI148, "NA")</f>
        <v>7.4682164308720447E-2</v>
      </c>
      <c r="AK24" s="10">
        <f t="shared" si="5"/>
        <v>-0.16890733928095983</v>
      </c>
      <c r="AL24" s="11">
        <f>IFERROR(AK24/AK148, "NA")</f>
        <v>1.4042744221329513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10270.16</v>
      </c>
      <c r="C27" s="14">
        <f>IFERROR(B27/B148, "NA")</f>
        <v>0.20319893855435012</v>
      </c>
      <c r="D27" s="13">
        <f>IFERROR(D15+D16+D17+D18+D19+D20+D21+D22+D23+D24+D25+D26, "NA")</f>
        <v>9969.74</v>
      </c>
      <c r="E27" s="14">
        <f>IFERROR(D27/D148, "NA")</f>
        <v>0.21082528303027906</v>
      </c>
      <c r="F27" s="13">
        <f>IFERROR(F15+F16+F17+F18+F19+F20+F21+F22+F23+F24+F25+F26, "NA")</f>
        <v>10219.530000000001</v>
      </c>
      <c r="G27" s="14">
        <f>IFERROR(F27/F148, "NA")</f>
        <v>0.21268479662485754</v>
      </c>
      <c r="H27" s="13">
        <f>IFERROR(H15+H16+H17+H18+H19+H20+H21+H22+H23+H24+H25+H26, "NA")</f>
        <v>8273.91</v>
      </c>
      <c r="I27" s="14">
        <f>IFERROR(H27/H148, "NA")</f>
        <v>0.19494012488178358</v>
      </c>
      <c r="J27" s="13">
        <f>IFERROR(J15+J16+J17+J18+J19+J20+J21+J22+J23+J24+J25+J26, "NA")</f>
        <v>11661.499999999998</v>
      </c>
      <c r="K27" s="14">
        <f>IFERROR(J27/J148, "NA")</f>
        <v>0.19331238445848989</v>
      </c>
      <c r="L27" s="13">
        <f>IFERROR(L15+L16+L17+L18+L19+L20+L21+L22+L23+L24+L25+L26, "NA")</f>
        <v>10733.4</v>
      </c>
      <c r="M27" s="14">
        <f>IFERROR(L27/L148, "NA")</f>
        <v>0.18262986391493946</v>
      </c>
      <c r="N27" s="13">
        <f>IFERROR(N15+N16+N17+N18+N19+N20+N21+N22+N23+N24+N25+N26, "NA")</f>
        <v>9118.14</v>
      </c>
      <c r="O27" s="14">
        <f>IFERROR(N27/N148, "NA")</f>
        <v>0.18980371291827783</v>
      </c>
      <c r="P27" s="13">
        <f>IFERROR(P15+P16+P17+P18+P19+P20+P21+P22+P23+P24+P25+P26, "NA")</f>
        <v>8923.5600000000013</v>
      </c>
      <c r="Q27" s="14">
        <f>IFERROR(P27/P148, "NA")</f>
        <v>0.21512709252391674</v>
      </c>
      <c r="R27" s="13">
        <f>IFERROR(R15+R16+R17+R18+R19+R20+R21+R22+R23+R24+R25+R26, "NA")</f>
        <v>10084.77</v>
      </c>
      <c r="S27" s="14">
        <f>IFERROR(R27/R148, "NA")</f>
        <v>0.20225852819419829</v>
      </c>
      <c r="T27" s="13">
        <f>IFERROR(T15+T16+T17+T18+T19+T20+T21+T22+T23+T24+T25+T26, "NA")</f>
        <v>9848.15</v>
      </c>
      <c r="U27" s="14">
        <f>IFERROR(T27/T148, "NA")</f>
        <v>0.19247283961909406</v>
      </c>
      <c r="V27" s="13">
        <f>IFERROR(V15+V16+V17+V18+V19+V20+V21+V22+V23+V24+V25+V26, "NA")</f>
        <v>9313.9400000000023</v>
      </c>
      <c r="W27" s="14">
        <f>IFERROR(V27/V148, "NA")</f>
        <v>0.19659670629795298</v>
      </c>
      <c r="X27" s="13">
        <f>IFERROR(X15+X16+X17+X18+X19+X20+X21+X22+X23+X24+X25+X26, "NA")</f>
        <v>8785.7200000000012</v>
      </c>
      <c r="Y27" s="14">
        <f>IFERROR(X27/X148, "NA")</f>
        <v>0.19917678829548568</v>
      </c>
      <c r="Z27" s="13">
        <f>IFERROR(Z15+Z16+Z17+Z18+Z19+Z20+Z21+Z22+Z23+Z24+Z25+Z26, "NA")</f>
        <v>8785.7200000000012</v>
      </c>
      <c r="AA27" s="14">
        <f>IFERROR(Z27/Z148, "NA")</f>
        <v>0.19917678829548568</v>
      </c>
      <c r="AB27" s="13">
        <f t="shared" si="0"/>
        <v>9508.1450000000004</v>
      </c>
      <c r="AC27" s="14">
        <f>IFERROR(AB27/AB148, "NA")</f>
        <v>0.19755823572880121</v>
      </c>
      <c r="AD27" s="15">
        <f t="shared" si="1"/>
        <v>-722.42499999999927</v>
      </c>
      <c r="AE27" s="16">
        <f>IFERROR(AD27/AD148, "NA")</f>
        <v>0.17979022710671924</v>
      </c>
      <c r="AF27" s="15">
        <f t="shared" si="2"/>
        <v>-7.597959433727601E-2</v>
      </c>
      <c r="AG27" s="13">
        <f t="shared" si="3"/>
        <v>9808.6474999999991</v>
      </c>
      <c r="AH27" s="14">
        <f>IFERROR(AG27/AG148, "NA")</f>
        <v>0.19562057617904322</v>
      </c>
      <c r="AI27" s="15">
        <f t="shared" si="4"/>
        <v>-1022.927499999998</v>
      </c>
      <c r="AJ27" s="16">
        <f>IFERROR(AI27/AI148, "NA")</f>
        <v>0.16961088703827276</v>
      </c>
      <c r="AK27" s="15">
        <f t="shared" si="5"/>
        <v>-0.10428833333035957</v>
      </c>
      <c r="AL27" s="16">
        <f>IFERROR(AK27/AK148, "NA")</f>
        <v>0.86704011587735585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597.16</v>
      </c>
      <c r="C30" s="8">
        <f>IFERROR(B30/B148, "NA")</f>
        <v>1.1815032886256467E-2</v>
      </c>
      <c r="D30" s="7">
        <v>729.24</v>
      </c>
      <c r="E30" s="8">
        <f>IFERROR(D30/D148, "NA")</f>
        <v>1.5420886542377304E-2</v>
      </c>
      <c r="F30" s="7">
        <v>495.73</v>
      </c>
      <c r="G30" s="8">
        <f>IFERROR(F30/F148, "NA")</f>
        <v>1.0316935732938856E-2</v>
      </c>
      <c r="H30" s="7">
        <v>196.56</v>
      </c>
      <c r="I30" s="8">
        <f>IFERROR(H30/H148, "NA")</f>
        <v>4.6311152703816432E-3</v>
      </c>
      <c r="J30" s="7">
        <v>595.21</v>
      </c>
      <c r="K30" s="8">
        <f>IFERROR(J30/J148, "NA")</f>
        <v>9.8667808046595893E-3</v>
      </c>
      <c r="L30" s="7">
        <v>399.56</v>
      </c>
      <c r="M30" s="8">
        <f>IFERROR(L30/L148, "NA")</f>
        <v>6.7985529679182007E-3</v>
      </c>
      <c r="N30" s="7">
        <v>318.64</v>
      </c>
      <c r="O30" s="8">
        <f>IFERROR(N30/N148, "NA")</f>
        <v>6.6328280860219356E-3</v>
      </c>
      <c r="P30" s="7">
        <v>487.72</v>
      </c>
      <c r="Q30" s="8">
        <f>IFERROR(P30/P148, "NA")</f>
        <v>1.1757839423477251E-2</v>
      </c>
      <c r="R30" s="7">
        <v>523.28</v>
      </c>
      <c r="S30" s="8">
        <f>IFERROR(R30/R148, "NA")</f>
        <v>1.0494819676944548E-2</v>
      </c>
      <c r="T30" s="7">
        <v>472.27</v>
      </c>
      <c r="U30" s="8">
        <f>IFERROR(T30/T148, "NA")</f>
        <v>9.230073462214685E-3</v>
      </c>
      <c r="V30" s="7">
        <v>470.85</v>
      </c>
      <c r="W30" s="8">
        <f>IFERROR(V30/V148, "NA")</f>
        <v>9.9386037660099957E-3</v>
      </c>
      <c r="X30" s="7">
        <v>347.2</v>
      </c>
      <c r="Y30" s="8">
        <f>IFERROR(X30/X148, "NA")</f>
        <v>7.8712024621991842E-3</v>
      </c>
      <c r="Z30" s="7">
        <v>347.2</v>
      </c>
      <c r="AA30" s="8">
        <f>IFERROR(Z30/Z148, "NA")</f>
        <v>7.8712024621991842E-3</v>
      </c>
      <c r="AB30" s="9">
        <f t="shared" si="6"/>
        <v>453.40000000000003</v>
      </c>
      <c r="AC30" s="8">
        <f>IFERROR(AB30/AB148, "NA")</f>
        <v>9.4206497775789575E-3</v>
      </c>
      <c r="AD30" s="10">
        <f t="shared" si="7"/>
        <v>-106.20000000000005</v>
      </c>
      <c r="AE30" s="11">
        <f>IFERROR(AD30/AD148, "NA")</f>
        <v>2.6430040652986278E-2</v>
      </c>
      <c r="AF30" s="10">
        <f t="shared" si="8"/>
        <v>-0.23423026025584481</v>
      </c>
      <c r="AG30" s="9">
        <f t="shared" si="9"/>
        <v>451.84124999999995</v>
      </c>
      <c r="AH30" s="8">
        <f>IFERROR(AG30/AG148, "NA")</f>
        <v>9.0113795675152066E-3</v>
      </c>
      <c r="AI30" s="10">
        <f t="shared" si="10"/>
        <v>-104.64124999999996</v>
      </c>
      <c r="AJ30" s="11">
        <f>IFERROR(AI30/AI148, "NA")</f>
        <v>1.7350491831819644E-2</v>
      </c>
      <c r="AK30" s="10">
        <f t="shared" si="11"/>
        <v>-0.23158852805050439</v>
      </c>
      <c r="AL30" s="11">
        <f>IFERROR(AK30/AK148, "NA")</f>
        <v>1.9253979595272845</v>
      </c>
    </row>
    <row r="31" spans="1:38" ht="16.5" customHeight="1">
      <c r="A31" s="25" t="s">
        <v>46</v>
      </c>
      <c r="B31" s="7">
        <v>1.59</v>
      </c>
      <c r="C31" s="8">
        <f>IFERROR(B31/B148, "NA")</f>
        <v>3.1458741860050546E-5</v>
      </c>
      <c r="D31" s="7">
        <v>16.14</v>
      </c>
      <c r="E31" s="8">
        <f>IFERROR(D31/D148, "NA")</f>
        <v>3.413047951209063E-4</v>
      </c>
      <c r="F31" s="7">
        <v>17.73</v>
      </c>
      <c r="G31" s="8">
        <f>IFERROR(F31/F148, "NA")</f>
        <v>3.6898971324109077E-4</v>
      </c>
      <c r="H31" s="7">
        <v>25.05</v>
      </c>
      <c r="I31" s="8">
        <f>IFERROR(H31/H148, "NA")</f>
        <v>5.9019860359717225E-4</v>
      </c>
      <c r="J31" s="7">
        <v>9.66</v>
      </c>
      <c r="K31" s="8">
        <f>IFERROR(J31/J148, "NA")</f>
        <v>1.6013357062719314E-4</v>
      </c>
      <c r="L31" s="7">
        <v>4.87</v>
      </c>
      <c r="M31" s="8">
        <f>IFERROR(L31/L148, "NA")</f>
        <v>8.2863532269900989E-5</v>
      </c>
      <c r="N31" s="7">
        <v>17.82</v>
      </c>
      <c r="O31" s="8">
        <f>IFERROR(N31/N148, "NA")</f>
        <v>3.7094211804202513E-4</v>
      </c>
      <c r="P31" s="7">
        <v>12.94</v>
      </c>
      <c r="Q31" s="8">
        <f>IFERROR(P31/P148, "NA")</f>
        <v>3.1195448646722629E-4</v>
      </c>
      <c r="R31" s="7">
        <v>14.53</v>
      </c>
      <c r="S31" s="8">
        <f>IFERROR(R31/R148, "NA")</f>
        <v>2.9141134747363607E-4</v>
      </c>
      <c r="T31" s="7">
        <v>8.9</v>
      </c>
      <c r="U31" s="8">
        <f>IFERROR(T31/T148, "NA")</f>
        <v>1.7394213863618419E-4</v>
      </c>
      <c r="V31" s="7">
        <v>12.93</v>
      </c>
      <c r="W31" s="8">
        <f>IFERROR(V31/V148, "NA")</f>
        <v>2.7292374789106771E-4</v>
      </c>
      <c r="X31" s="7">
        <v>13.7</v>
      </c>
      <c r="Y31" s="8">
        <f>IFERROR(X31/X148, "NA")</f>
        <v>3.1058604185520974E-4</v>
      </c>
      <c r="Z31" s="7">
        <v>13.7</v>
      </c>
      <c r="AA31" s="8">
        <f>IFERROR(Z31/Z148, "NA")</f>
        <v>3.1058604185520974E-4</v>
      </c>
      <c r="AB31" s="9">
        <f t="shared" si="6"/>
        <v>12.515000000000001</v>
      </c>
      <c r="AC31" s="8">
        <f>IFERROR(AB31/AB148, "NA")</f>
        <v>2.60034036097046E-4</v>
      </c>
      <c r="AD31" s="10">
        <f t="shared" si="7"/>
        <v>1.1849999999999987</v>
      </c>
      <c r="AE31" s="11">
        <f>IFERROR(AD31/AD148, "NA")</f>
        <v>-2.9491147056298205E-4</v>
      </c>
      <c r="AF31" s="10">
        <f t="shared" si="8"/>
        <v>9.468637634838184E-2</v>
      </c>
      <c r="AG31" s="9">
        <f t="shared" si="9"/>
        <v>11.918750000000001</v>
      </c>
      <c r="AH31" s="8">
        <f>IFERROR(AG31/AG148, "NA")</f>
        <v>2.3770379579182265E-4</v>
      </c>
      <c r="AI31" s="10">
        <f t="shared" si="10"/>
        <v>1.7812499999999982</v>
      </c>
      <c r="AJ31" s="11">
        <f>IFERROR(AI31/AI148, "NA")</f>
        <v>-2.9534780572124971E-4</v>
      </c>
      <c r="AK31" s="10">
        <f t="shared" si="11"/>
        <v>0.14944939695857351</v>
      </c>
      <c r="AL31" s="11">
        <f>IFERROR(AK31/AK148, "NA")</f>
        <v>-1.2425035314956046</v>
      </c>
    </row>
    <row r="32" spans="1:38" ht="16.5" customHeight="1">
      <c r="A32" s="25" t="s">
        <v>47</v>
      </c>
      <c r="B32" s="7">
        <v>0.8</v>
      </c>
      <c r="C32" s="8">
        <f>IFERROR(B32/B148, "NA")</f>
        <v>1.5828297791220402E-5</v>
      </c>
      <c r="D32" s="7">
        <v>3.19</v>
      </c>
      <c r="E32" s="8">
        <f>IFERROR(D32/D148, "NA")</f>
        <v>6.745739135289287E-5</v>
      </c>
      <c r="F32" s="7">
        <v>158.75</v>
      </c>
      <c r="G32" s="8">
        <f>IFERROR(F32/F148, "NA")</f>
        <v>3.303841905077448E-3</v>
      </c>
      <c r="H32" s="7">
        <v>-4.8</v>
      </c>
      <c r="I32" s="8">
        <f>IFERROR(H32/H148, "NA")</f>
        <v>-1.1309194799466772E-4</v>
      </c>
      <c r="J32" s="7">
        <v>1.6</v>
      </c>
      <c r="K32" s="8">
        <f>IFERROR(J32/J148, "NA")</f>
        <v>2.6523158696015428E-5</v>
      </c>
      <c r="L32" s="7">
        <v>-0.8</v>
      </c>
      <c r="M32" s="8">
        <f>IFERROR(L32/L148, "NA")</f>
        <v>-1.3612079222981681E-5</v>
      </c>
      <c r="N32" s="7">
        <v>1.6</v>
      </c>
      <c r="O32" s="8">
        <f>IFERROR(N32/N148, "NA")</f>
        <v>3.3305689610956244E-5</v>
      </c>
      <c r="P32" s="7">
        <v>0.8</v>
      </c>
      <c r="Q32" s="8">
        <f>IFERROR(P32/P148, "NA")</f>
        <v>1.9286212455469942E-5</v>
      </c>
      <c r="R32" s="7">
        <v>0.8</v>
      </c>
      <c r="S32" s="8">
        <f>IFERROR(R32/R148, "NA")</f>
        <v>1.6044671574597996E-5</v>
      </c>
      <c r="T32" s="7">
        <v>-1.6</v>
      </c>
      <c r="U32" s="8">
        <f>IFERROR(T32/T148, "NA")</f>
        <v>-3.1270496833471313E-5</v>
      </c>
      <c r="V32" s="7">
        <v>2.4</v>
      </c>
      <c r="W32" s="8">
        <f>IFERROR(V32/V148, "NA")</f>
        <v>5.0658700304606536E-5</v>
      </c>
      <c r="X32" s="7">
        <v>1.59</v>
      </c>
      <c r="Y32" s="8">
        <f>IFERROR(X32/X148, "NA")</f>
        <v>3.6046117266407556E-5</v>
      </c>
      <c r="Z32" s="7">
        <v>1.59</v>
      </c>
      <c r="AA32" s="8">
        <f>IFERROR(Z32/Z148, "NA")</f>
        <v>3.6046117266407556E-5</v>
      </c>
      <c r="AB32" s="9">
        <f t="shared" si="6"/>
        <v>0.79749999999999999</v>
      </c>
      <c r="AC32" s="8">
        <f>IFERROR(AB32/AB148, "NA")</f>
        <v>1.657028715840145E-5</v>
      </c>
      <c r="AD32" s="10">
        <f t="shared" si="7"/>
        <v>0.79250000000000009</v>
      </c>
      <c r="AE32" s="11">
        <f>IFERROR(AD32/AD148, "NA")</f>
        <v>-1.972298231402224E-4</v>
      </c>
      <c r="AF32" s="10">
        <f t="shared" si="8"/>
        <v>0.99373040752351105</v>
      </c>
      <c r="AG32" s="9">
        <f t="shared" si="9"/>
        <v>0.79874999999999996</v>
      </c>
      <c r="AH32" s="8">
        <f>IFERROR(AG32/AG148, "NA")</f>
        <v>1.5930018407024086E-5</v>
      </c>
      <c r="AI32" s="10">
        <f t="shared" si="10"/>
        <v>0.79125000000000012</v>
      </c>
      <c r="AJ32" s="11">
        <f>IFERROR(AI32/AI148, "NA")</f>
        <v>-1.3119660422565002E-4</v>
      </c>
      <c r="AK32" s="10">
        <f t="shared" si="11"/>
        <v>0.99061032863849785</v>
      </c>
      <c r="AL32" s="11">
        <f>IFERROR(AK32/AK148, "NA")</f>
        <v>-8.2358099578717994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13.39</v>
      </c>
      <c r="E33" s="8">
        <f>IFERROR(D33/D148, "NA")</f>
        <v>2.831518715408262E-4</v>
      </c>
      <c r="F33" s="7">
        <v>3.28</v>
      </c>
      <c r="G33" s="8">
        <f>IFERROR(F33/F148, "NA")</f>
        <v>6.8262056369474197E-5</v>
      </c>
      <c r="H33" s="7">
        <v>-14.43</v>
      </c>
      <c r="I33" s="8">
        <f>IFERROR(H33/H148, "NA")</f>
        <v>-3.3998266865896984E-4</v>
      </c>
      <c r="J33" s="7">
        <v>99.76</v>
      </c>
      <c r="K33" s="8">
        <f>IFERROR(J33/J148, "NA")</f>
        <v>1.6537189446965618E-3</v>
      </c>
      <c r="L33" s="7">
        <v>-92.72</v>
      </c>
      <c r="M33" s="8">
        <f>IFERROR(L33/L148, "NA")</f>
        <v>-1.5776399819435768E-3</v>
      </c>
      <c r="N33" s="7">
        <v>-13.72</v>
      </c>
      <c r="O33" s="8">
        <f>IFERROR(N33/N148, "NA")</f>
        <v>-2.8559628841394978E-4</v>
      </c>
      <c r="P33" s="7">
        <v>18.989999999999998</v>
      </c>
      <c r="Q33" s="8">
        <f>IFERROR(P33/P148, "NA")</f>
        <v>4.5780646816171773E-4</v>
      </c>
      <c r="R33" s="7">
        <v>20.57</v>
      </c>
      <c r="S33" s="8">
        <f>IFERROR(R33/R148, "NA")</f>
        <v>4.1254861786185098E-4</v>
      </c>
      <c r="T33" s="7">
        <v>-9.1999999999999993</v>
      </c>
      <c r="U33" s="8">
        <f>IFERROR(T33/T148, "NA")</f>
        <v>-1.7980535679246003E-4</v>
      </c>
      <c r="V33" s="7">
        <v>13</v>
      </c>
      <c r="W33" s="8">
        <f>IFERROR(V33/V148, "NA")</f>
        <v>2.7440129331661879E-4</v>
      </c>
      <c r="X33" s="7">
        <v>14.34</v>
      </c>
      <c r="Y33" s="8">
        <f>IFERROR(X33/X148, "NA")</f>
        <v>3.2509517081778891E-4</v>
      </c>
      <c r="Z33" s="7">
        <v>14.34</v>
      </c>
      <c r="AA33" s="8">
        <f>IFERROR(Z33/Z148, "NA")</f>
        <v>3.2509517081778891E-4</v>
      </c>
      <c r="AB33" s="9">
        <f t="shared" si="6"/>
        <v>9.6775000000000002</v>
      </c>
      <c r="AC33" s="8">
        <f>IFERROR(AB33/AB148, "NA")</f>
        <v>2.0107705827640131E-4</v>
      </c>
      <c r="AD33" s="10">
        <f t="shared" si="7"/>
        <v>4.6624999999999996</v>
      </c>
      <c r="AE33" s="11">
        <f>IFERROR(AD33/AD148, "NA")</f>
        <v>-1.1603584232066709E-3</v>
      </c>
      <c r="AF33" s="10">
        <f t="shared" si="8"/>
        <v>0.48178765176956856</v>
      </c>
      <c r="AG33" s="9">
        <f t="shared" si="9"/>
        <v>6.3775000000000013</v>
      </c>
      <c r="AH33" s="8">
        <f>IFERROR(AG33/AG148, "NA")</f>
        <v>1.2719085119348498E-4</v>
      </c>
      <c r="AI33" s="10">
        <f t="shared" si="10"/>
        <v>7.9624999999999986</v>
      </c>
      <c r="AJ33" s="11">
        <f>IFERROR(AI33/AI148, "NA")</f>
        <v>-1.3202565069784997E-3</v>
      </c>
      <c r="AK33" s="10">
        <f t="shared" si="11"/>
        <v>1.2485299882399055</v>
      </c>
      <c r="AL33" s="11">
        <f>IFERROR(AK33/AK148, "NA")</f>
        <v>-10.380121640746802</v>
      </c>
    </row>
    <row r="34" spans="1:38" ht="16.5" customHeight="1">
      <c r="A34" s="26" t="s">
        <v>49</v>
      </c>
      <c r="B34" s="13">
        <f>IFERROR(B29+B30+B31+B32+B33, "NA")</f>
        <v>599.54999999999995</v>
      </c>
      <c r="C34" s="14">
        <f>IFERROR(B34/B148, "NA")</f>
        <v>1.1862319925907737E-2</v>
      </c>
      <c r="D34" s="13">
        <f>IFERROR(D29+D30+D31+D32+D33, "NA")</f>
        <v>761.96</v>
      </c>
      <c r="E34" s="14">
        <f>IFERROR(D34/D148, "NA")</f>
        <v>1.6112800600391931E-2</v>
      </c>
      <c r="F34" s="13">
        <f>IFERROR(F29+F30+F31+F32+F33, "NA")</f>
        <v>675.49</v>
      </c>
      <c r="G34" s="14">
        <f>IFERROR(F34/F148, "NA")</f>
        <v>1.4058029407626869E-2</v>
      </c>
      <c r="H34" s="13">
        <f>IFERROR(H29+H30+H31+H32+H33, "NA")</f>
        <v>202.38</v>
      </c>
      <c r="I34" s="14">
        <f>IFERROR(H34/H148, "NA")</f>
        <v>4.7682392573251782E-3</v>
      </c>
      <c r="J34" s="13">
        <f>IFERROR(J29+J30+J31+J32+J33, "NA")</f>
        <v>706.23</v>
      </c>
      <c r="K34" s="14">
        <f>IFERROR(J34/J148, "NA")</f>
        <v>1.170715647867936E-2</v>
      </c>
      <c r="L34" s="13">
        <f>IFERROR(L29+L30+L31+L32+L33, "NA")</f>
        <v>310.90999999999997</v>
      </c>
      <c r="M34" s="14">
        <f>IFERROR(L34/L148, "NA")</f>
        <v>5.2901644390215431E-3</v>
      </c>
      <c r="N34" s="13">
        <f>IFERROR(N29+N30+N31+N32+N33, "NA")</f>
        <v>324.33999999999997</v>
      </c>
      <c r="O34" s="14">
        <f>IFERROR(N34/N148, "NA")</f>
        <v>6.7514796052609667E-3</v>
      </c>
      <c r="P34" s="13">
        <f>IFERROR(P29+P30+P31+P32+P33, "NA")</f>
        <v>520.45000000000005</v>
      </c>
      <c r="Q34" s="14">
        <f>IFERROR(P34/P148, "NA")</f>
        <v>1.2546886590561666E-2</v>
      </c>
      <c r="R34" s="13">
        <f>IFERROR(R29+R30+R31+R32+R33, "NA")</f>
        <v>559.17999999999995</v>
      </c>
      <c r="S34" s="14">
        <f>IFERROR(R34/R148, "NA")</f>
        <v>1.1214824313854633E-2</v>
      </c>
      <c r="T34" s="13">
        <f>IFERROR(T29+T30+T31+T32+T33, "NA")</f>
        <v>470.36999999999995</v>
      </c>
      <c r="U34" s="14">
        <f>IFERROR(T34/T148, "NA")</f>
        <v>9.1929397472249371E-3</v>
      </c>
      <c r="V34" s="13">
        <f>IFERROR(V29+V30+V31+V32+V33, "NA")</f>
        <v>499.18</v>
      </c>
      <c r="W34" s="14">
        <f>IFERROR(V34/V148, "NA")</f>
        <v>1.0536587507522288E-2</v>
      </c>
      <c r="X34" s="13">
        <f>IFERROR(X29+X30+X31+X32+X33, "NA")</f>
        <v>376.82999999999993</v>
      </c>
      <c r="Y34" s="14">
        <f>IFERROR(X34/X148, "NA")</f>
        <v>8.5429297921385886E-3</v>
      </c>
      <c r="Z34" s="13">
        <f>IFERROR(Z29+Z30+Z31+Z32+Z33, "NA")</f>
        <v>376.82999999999993</v>
      </c>
      <c r="AA34" s="14">
        <f>IFERROR(Z34/Z148, "NA")</f>
        <v>8.5429297921385886E-3</v>
      </c>
      <c r="AB34" s="13">
        <f t="shared" si="6"/>
        <v>476.39</v>
      </c>
      <c r="AC34" s="14">
        <f>IFERROR(AB34/AB148, "NA")</f>
        <v>9.8983311591108059E-3</v>
      </c>
      <c r="AD34" s="15">
        <f t="shared" si="7"/>
        <v>-99.560000000000059</v>
      </c>
      <c r="AE34" s="16">
        <f>IFERROR(AD34/AD148, "NA")</f>
        <v>2.4777540936076405E-2</v>
      </c>
      <c r="AF34" s="15">
        <f t="shared" si="8"/>
        <v>-0.20898843384621857</v>
      </c>
      <c r="AG34" s="13">
        <f t="shared" si="9"/>
        <v>470.93624999999997</v>
      </c>
      <c r="AH34" s="14">
        <f>IFERROR(AG34/AG148, "NA")</f>
        <v>9.3922042329075382E-3</v>
      </c>
      <c r="AI34" s="15">
        <f t="shared" si="10"/>
        <v>-94.106250000000045</v>
      </c>
      <c r="AJ34" s="16">
        <f>IFERROR(AI34/AI148, "NA")</f>
        <v>1.5603690914894257E-2</v>
      </c>
      <c r="AK34" s="15">
        <f t="shared" si="11"/>
        <v>-0.19982800219774979</v>
      </c>
      <c r="AL34" s="16">
        <f>IFERROR(AK34/AK148, "NA")</f>
        <v>1.6613449333036736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10869.71</v>
      </c>
      <c r="C35" s="14">
        <f>IFERROR(B35/B148, "NA")</f>
        <v>0.21506125848025784</v>
      </c>
      <c r="D35" s="13">
        <f>IFERROR(D13+D15+D16+D17+D18+D19+D20+D21+D22+D23+D24+D25+D26+D29+D30+D31+D32+D33, "NA")</f>
        <v>10731.699999999999</v>
      </c>
      <c r="E35" s="14">
        <f>IFERROR(D35/D148, "NA")</f>
        <v>0.22693808363067097</v>
      </c>
      <c r="F35" s="13">
        <f>IFERROR(F13+F15+F16+F17+F18+F19+F20+F21+F22+F23+F24+F25+F26+F29+F30+F31+F32+F33, "NA")</f>
        <v>10895.02</v>
      </c>
      <c r="G35" s="14">
        <f>IFERROR(F35/F148, "NA")</f>
        <v>0.22674282603248441</v>
      </c>
      <c r="H35" s="13">
        <f>IFERROR(H13+H15+H16+H17+H18+H19+H20+H21+H22+H23+H24+H25+H26+H29+H30+H31+H32+H33, "NA")</f>
        <v>8476.2899999999991</v>
      </c>
      <c r="I35" s="14">
        <f>IFERROR(H35/H148, "NA")</f>
        <v>0.19970836413910875</v>
      </c>
      <c r="J35" s="13">
        <f>IFERROR(J13+J15+J16+J17+J18+J19+J20+J21+J22+J23+J24+J25+J26+J29+J30+J31+J32+J33, "NA")</f>
        <v>12367.73</v>
      </c>
      <c r="K35" s="14">
        <f>IFERROR(J35/J148, "NA")</f>
        <v>0.20501954093716929</v>
      </c>
      <c r="L35" s="13">
        <f>IFERROR(L13+L15+L16+L17+L18+L19+L20+L21+L22+L23+L24+L25+L26+L29+L30+L31+L32+L33, "NA")</f>
        <v>11044.310000000001</v>
      </c>
      <c r="M35" s="14">
        <f>IFERROR(L35/L148, "NA")</f>
        <v>0.18792002835396104</v>
      </c>
      <c r="N35" s="13">
        <f>IFERROR(N13+N15+N16+N17+N18+N19+N20+N21+N22+N23+N24+N25+N26+N29+N30+N31+N32+N33, "NA")</f>
        <v>9442.48</v>
      </c>
      <c r="O35" s="14">
        <f>IFERROR(N35/N148, "NA")</f>
        <v>0.19655519252353881</v>
      </c>
      <c r="P35" s="13">
        <f>IFERROR(P13+P15+P16+P17+P18+P19+P20+P21+P22+P23+P24+P25+P26+P29+P30+P31+P32+P33, "NA")</f>
        <v>9444.01</v>
      </c>
      <c r="Q35" s="14">
        <f>IFERROR(P35/P148, "NA")</f>
        <v>0.22767397911447837</v>
      </c>
      <c r="R35" s="13">
        <f>IFERROR(R13+R15+R16+R17+R18+R19+R20+R21+R22+R23+R24+R25+R26+R29+R30+R31+R32+R33, "NA")</f>
        <v>10643.95</v>
      </c>
      <c r="S35" s="14">
        <f>IFERROR(R35/R148, "NA")</f>
        <v>0.21347335250805294</v>
      </c>
      <c r="T35" s="13">
        <f>IFERROR(T13+T15+T16+T17+T18+T19+T20+T21+T22+T23+T24+T25+T26+T29+T30+T31+T32+T33, "NA")</f>
        <v>10318.519999999999</v>
      </c>
      <c r="U35" s="14">
        <f>IFERROR(T35/T148, "NA")</f>
        <v>0.20166577936631899</v>
      </c>
      <c r="V35" s="13">
        <f>IFERROR(V13+V15+V16+V17+V18+V19+V20+V21+V22+V23+V24+V25+V26+V29+V30+V31+V32+V33, "NA")</f>
        <v>9813.1200000000026</v>
      </c>
      <c r="W35" s="14">
        <f>IFERROR(V35/V148, "NA")</f>
        <v>0.20713329380547527</v>
      </c>
      <c r="X35" s="13">
        <f>IFERROR(X13+X15+X16+X17+X18+X19+X20+X21+X22+X23+X24+X25+X26+X29+X30+X31+X32+X33, "NA")</f>
        <v>9162.5500000000029</v>
      </c>
      <c r="Y35" s="14">
        <f>IFERROR(X35/X148, "NA")</f>
        <v>0.20771971808762429</v>
      </c>
      <c r="Z35" s="13">
        <f>IFERROR(Z13+Z15+Z16+Z17+Z18+Z19+Z20+Z21+Z22+Z23+Z24+Z25+Z26+Z29+Z30+Z31+Z32+Z33, "NA")</f>
        <v>9162.5500000000029</v>
      </c>
      <c r="AA35" s="14">
        <f>IFERROR(Z35/Z148, "NA")</f>
        <v>0.20771971808762429</v>
      </c>
      <c r="AB35" s="13">
        <f t="shared" si="6"/>
        <v>9984.5350000000017</v>
      </c>
      <c r="AC35" s="14">
        <f>IFERROR(AB35/AB148, "NA")</f>
        <v>0.20745656688791206</v>
      </c>
      <c r="AD35" s="15">
        <f t="shared" si="7"/>
        <v>-821.98499999999876</v>
      </c>
      <c r="AE35" s="16">
        <f>IFERROR(AD35/AD148, "NA")</f>
        <v>0.2045677680427955</v>
      </c>
      <c r="AF35" s="15">
        <f t="shared" si="8"/>
        <v>-8.2325816875798291E-2</v>
      </c>
      <c r="AG35" s="13">
        <f t="shared" si="9"/>
        <v>10279.583750000002</v>
      </c>
      <c r="AH35" s="14">
        <f>IFERROR(AG35/AG148, "NA")</f>
        <v>0.20501278041195081</v>
      </c>
      <c r="AI35" s="15">
        <f t="shared" si="10"/>
        <v>-1117.0337499999987</v>
      </c>
      <c r="AJ35" s="16">
        <f>IFERROR(AI35/AI148, "NA")</f>
        <v>0.18521457795316712</v>
      </c>
      <c r="AK35" s="15">
        <f t="shared" si="11"/>
        <v>-0.10866527061467819</v>
      </c>
      <c r="AL35" s="16">
        <f>IFERROR(AK35/AK148, "NA")</f>
        <v>0.90342942318522113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1431.78</v>
      </c>
      <c r="C40" s="8">
        <f>IFERROR(B40/B148, "NA")</f>
        <v>2.8328300264391929E-2</v>
      </c>
      <c r="D40" s="7">
        <v>900.8</v>
      </c>
      <c r="E40" s="8">
        <f>IFERROR(D40/D148, "NA")</f>
        <v>1.904878311306768E-2</v>
      </c>
      <c r="F40" s="7">
        <v>921.97</v>
      </c>
      <c r="G40" s="8">
        <f>IFERROR(F40/F148, "NA")</f>
        <v>1.9187673204562238E-2</v>
      </c>
      <c r="H40" s="7">
        <v>1089</v>
      </c>
      <c r="I40" s="8">
        <f>IFERROR(H40/H148, "NA")</f>
        <v>2.5657735701290239E-2</v>
      </c>
      <c r="J40" s="7">
        <v>1173.48</v>
      </c>
      <c r="K40" s="8">
        <f>IFERROR(J40/J148, "NA")</f>
        <v>1.9452747666625116E-2</v>
      </c>
      <c r="L40" s="7">
        <v>1277.51</v>
      </c>
      <c r="M40" s="8">
        <f>IFERROR(L40/L148, "NA")</f>
        <v>2.1736959160189161E-2</v>
      </c>
      <c r="N40" s="7">
        <v>1005.2</v>
      </c>
      <c r="O40" s="8">
        <f>IFERROR(N40/N148, "NA")</f>
        <v>2.0924299498083259E-2</v>
      </c>
      <c r="P40" s="7">
        <v>1060.5999999999999</v>
      </c>
      <c r="Q40" s="8">
        <f>IFERROR(P40/P148, "NA")</f>
        <v>2.5568696162839272E-2</v>
      </c>
      <c r="R40" s="7">
        <v>1508.79</v>
      </c>
      <c r="S40" s="8">
        <f>IFERROR(R40/R148, "NA")</f>
        <v>3.0260050031297135E-2</v>
      </c>
      <c r="T40" s="7">
        <v>1125.1199999999999</v>
      </c>
      <c r="U40" s="8">
        <f>IFERROR(T40/T148, "NA")</f>
        <v>2.1989413373297025E-2</v>
      </c>
      <c r="V40" s="7">
        <v>974.15</v>
      </c>
      <c r="W40" s="8">
        <f>IFERROR(V40/V148, "NA")</f>
        <v>2.0562155375721859E-2</v>
      </c>
      <c r="X40" s="7">
        <v>940.45</v>
      </c>
      <c r="Y40" s="8">
        <f>IFERROR(X40/X148, "NA")</f>
        <v>2.132048489508993E-2</v>
      </c>
      <c r="Z40" s="7">
        <v>940.45</v>
      </c>
      <c r="AA40" s="8">
        <f>IFERROR(Z40/Z148, "NA")</f>
        <v>2.132048489508993E-2</v>
      </c>
      <c r="AB40" s="9">
        <f t="shared" si="12"/>
        <v>1137.1275000000001</v>
      </c>
      <c r="AC40" s="8">
        <f>IFERROR(AB40/AB148, "NA")</f>
        <v>2.3626995875504889E-2</v>
      </c>
      <c r="AD40" s="10">
        <f t="shared" si="13"/>
        <v>-196.67750000000001</v>
      </c>
      <c r="AE40" s="11">
        <f>IFERROR(AD40/AD148, "NA")</f>
        <v>4.8947215824178027E-2</v>
      </c>
      <c r="AF40" s="10">
        <f t="shared" si="14"/>
        <v>-0.17295993633079842</v>
      </c>
      <c r="AG40" s="9">
        <f t="shared" si="15"/>
        <v>1133.1624999999999</v>
      </c>
      <c r="AH40" s="8">
        <f>IFERROR(AG40/AG148, "NA")</f>
        <v>2.2599435972644043E-2</v>
      </c>
      <c r="AI40" s="10">
        <f t="shared" si="16"/>
        <v>-192.71249999999986</v>
      </c>
      <c r="AJ40" s="11">
        <f>IFERROR(AI40/AI148, "NA")</f>
        <v>3.1953523654768473E-2</v>
      </c>
      <c r="AK40" s="10">
        <f t="shared" si="17"/>
        <v>-0.17006607613647634</v>
      </c>
      <c r="AL40" s="11">
        <f>IFERROR(AK40/AK148, "NA")</f>
        <v>1.4139080149366241</v>
      </c>
    </row>
    <row r="41" spans="1:38" ht="16.5" customHeight="1">
      <c r="A41" s="25" t="s">
        <v>56</v>
      </c>
      <c r="B41" s="7">
        <v>657.52</v>
      </c>
      <c r="C41" s="8">
        <f>IFERROR(B41/B148, "NA")</f>
        <v>1.3009277954604046E-2</v>
      </c>
      <c r="D41" s="7">
        <v>791.5</v>
      </c>
      <c r="E41" s="8">
        <f>IFERROR(D41/D148, "NA")</f>
        <v>1.6737468732230316E-2</v>
      </c>
      <c r="F41" s="7">
        <v>244.19</v>
      </c>
      <c r="G41" s="8">
        <f>IFERROR(F41/F148, "NA")</f>
        <v>5.0819852270920446E-3</v>
      </c>
      <c r="H41" s="7">
        <v>583.16999999999996</v>
      </c>
      <c r="I41" s="8">
        <f>IFERROR(H41/H148, "NA")</f>
        <v>1.373996485667716E-2</v>
      </c>
      <c r="J41" s="7">
        <v>766.6</v>
      </c>
      <c r="K41" s="8">
        <f>IFERROR(J41/J148, "NA")</f>
        <v>1.2707908410228392E-2</v>
      </c>
      <c r="L41" s="7">
        <v>626.83000000000004</v>
      </c>
      <c r="M41" s="8">
        <f>IFERROR(L41/L148, "NA")</f>
        <v>1.066557452417701E-2</v>
      </c>
      <c r="N41" s="7">
        <v>837.72</v>
      </c>
      <c r="O41" s="8">
        <f>IFERROR(N41/N148, "NA")</f>
        <v>1.7438026438056416E-2</v>
      </c>
      <c r="P41" s="7">
        <v>599.58000000000004</v>
      </c>
      <c r="Q41" s="8">
        <f>IFERROR(P41/P148, "NA")</f>
        <v>1.4454534080063336E-2</v>
      </c>
      <c r="R41" s="7">
        <v>452.69</v>
      </c>
      <c r="S41" s="8">
        <f>IFERROR(R41/R148, "NA")</f>
        <v>9.0790779688809577E-3</v>
      </c>
      <c r="T41" s="7">
        <v>685.62</v>
      </c>
      <c r="U41" s="8">
        <f>IFERROR(T41/T148, "NA")</f>
        <v>1.3399798774352876E-2</v>
      </c>
      <c r="V41" s="7">
        <v>867.31</v>
      </c>
      <c r="W41" s="8">
        <f>IFERROR(V41/V148, "NA")</f>
        <v>1.8306998900495124E-2</v>
      </c>
      <c r="X41" s="7">
        <v>842.46</v>
      </c>
      <c r="Y41" s="8">
        <f>IFERROR(X41/X148, "NA")</f>
        <v>1.9099001227835036E-2</v>
      </c>
      <c r="Z41" s="7">
        <v>842.46</v>
      </c>
      <c r="AA41" s="8">
        <f>IFERROR(Z41/Z148, "NA")</f>
        <v>1.9099001227835036E-2</v>
      </c>
      <c r="AB41" s="9">
        <f t="shared" si="12"/>
        <v>712.02</v>
      </c>
      <c r="AC41" s="8">
        <f>IFERROR(AB41/AB148, "NA")</f>
        <v>1.4794201708495299E-2</v>
      </c>
      <c r="AD41" s="10">
        <f t="shared" si="13"/>
        <v>130.44000000000005</v>
      </c>
      <c r="AE41" s="11">
        <f>IFERROR(AD41/AD148, "NA")</f>
        <v>-3.2462660101464501E-2</v>
      </c>
      <c r="AF41" s="10">
        <f t="shared" si="14"/>
        <v>0.18319710120502242</v>
      </c>
      <c r="AG41" s="9">
        <f t="shared" si="15"/>
        <v>709.85125000000005</v>
      </c>
      <c r="AH41" s="8">
        <f>IFERROR(AG41/AG148, "NA")</f>
        <v>1.4157049738652967E-2</v>
      </c>
      <c r="AI41" s="10">
        <f t="shared" si="16"/>
        <v>132.60874999999999</v>
      </c>
      <c r="AJ41" s="11">
        <f>IFERROR(AI41/AI148, "NA")</f>
        <v>-2.1987763274070347E-2</v>
      </c>
      <c r="AK41" s="10">
        <f t="shared" si="17"/>
        <v>0.18681202575891778</v>
      </c>
      <c r="AL41" s="11">
        <f>IFERROR(AK41/AK148, "NA")</f>
        <v>-1.5531317386020902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2089.3000000000002</v>
      </c>
      <c r="C44" s="14">
        <f>IFERROR(B44/B148, "NA")</f>
        <v>4.1337578218995981E-2</v>
      </c>
      <c r="D44" s="13">
        <f>IFERROR(D39+D40+D41+D42+D43, "NA")</f>
        <v>1692.3</v>
      </c>
      <c r="E44" s="14">
        <f>IFERROR(D44/D148, "NA")</f>
        <v>3.5786251845297996E-2</v>
      </c>
      <c r="F44" s="13">
        <f>IFERROR(F39+F40+F41+F42+F43, "NA")</f>
        <v>1166.1600000000001</v>
      </c>
      <c r="G44" s="14">
        <f>IFERROR(F44/F148, "NA")</f>
        <v>2.4269658431654281E-2</v>
      </c>
      <c r="H44" s="13">
        <f>IFERROR(H39+H40+H41+H42+H43, "NA")</f>
        <v>1672.17</v>
      </c>
      <c r="I44" s="14">
        <f>IFERROR(H44/H148, "NA")</f>
        <v>3.9397700557967402E-2</v>
      </c>
      <c r="J44" s="13">
        <f>IFERROR(J39+J40+J41+J42+J43, "NA")</f>
        <v>1940.08</v>
      </c>
      <c r="K44" s="14">
        <f>IFERROR(J44/J148, "NA")</f>
        <v>3.2160656076853505E-2</v>
      </c>
      <c r="L44" s="13">
        <f>IFERROR(L39+L40+L41+L42+L43, "NA")</f>
        <v>1904.3400000000001</v>
      </c>
      <c r="M44" s="14">
        <f>IFERROR(L44/L148, "NA")</f>
        <v>3.2402533684366172E-2</v>
      </c>
      <c r="N44" s="13">
        <f>IFERROR(N39+N40+N41+N42+N43, "NA")</f>
        <v>1842.92</v>
      </c>
      <c r="O44" s="14">
        <f>IFERROR(N44/N148, "NA")</f>
        <v>3.8362325936139675E-2</v>
      </c>
      <c r="P44" s="13">
        <f>IFERROR(P39+P40+P41+P42+P43, "NA")</f>
        <v>1660.1799999999998</v>
      </c>
      <c r="Q44" s="14">
        <f>IFERROR(P44/P148, "NA")</f>
        <v>4.0023230242902608E-2</v>
      </c>
      <c r="R44" s="13">
        <f>IFERROR(R39+R40+R41+R42+R43, "NA")</f>
        <v>1961.48</v>
      </c>
      <c r="S44" s="14">
        <f>IFERROR(R44/R148, "NA")</f>
        <v>3.9339128000178095E-2</v>
      </c>
      <c r="T44" s="13">
        <f>IFERROR(T39+T40+T41+T42+T43, "NA")</f>
        <v>1810.7399999999998</v>
      </c>
      <c r="U44" s="14">
        <f>IFERROR(T44/T148, "NA")</f>
        <v>3.5389212147649902E-2</v>
      </c>
      <c r="V44" s="13">
        <f>IFERROR(V39+V40+V41+V42+V43, "NA")</f>
        <v>1841.46</v>
      </c>
      <c r="W44" s="14">
        <f>IFERROR(V44/V148, "NA")</f>
        <v>3.8869154276216983E-2</v>
      </c>
      <c r="X44" s="13">
        <f>IFERROR(X39+X40+X41+X42+X43, "NA")</f>
        <v>1782.91</v>
      </c>
      <c r="Y44" s="14">
        <f>IFERROR(X44/X148, "NA")</f>
        <v>4.0419486122924966E-2</v>
      </c>
      <c r="Z44" s="13">
        <f>IFERROR(Z39+Z40+Z41+Z42+Z43, "NA")</f>
        <v>1782.91</v>
      </c>
      <c r="AA44" s="14">
        <f>IFERROR(Z44/Z148, "NA")</f>
        <v>4.0419486122924966E-2</v>
      </c>
      <c r="AB44" s="13">
        <f t="shared" si="12"/>
        <v>1849.1475</v>
      </c>
      <c r="AC44" s="14">
        <f>IFERROR(AB44/AB148, "NA")</f>
        <v>3.8421197584000186E-2</v>
      </c>
      <c r="AD44" s="15">
        <f t="shared" si="13"/>
        <v>-66.237499999999955</v>
      </c>
      <c r="AE44" s="16">
        <f>IFERROR(AD44/AD148, "NA")</f>
        <v>1.6484555722713526E-2</v>
      </c>
      <c r="AF44" s="15">
        <f t="shared" si="14"/>
        <v>-3.5820560555607353E-2</v>
      </c>
      <c r="AG44" s="13">
        <f t="shared" si="15"/>
        <v>1843.0137500000001</v>
      </c>
      <c r="AH44" s="14">
        <f>IFERROR(AG44/AG148, "NA")</f>
        <v>3.6756485711297013E-2</v>
      </c>
      <c r="AI44" s="15">
        <f t="shared" si="16"/>
        <v>-60.103749999999991</v>
      </c>
      <c r="AJ44" s="16">
        <f>IFERROR(AI44/AI148, "NA")</f>
        <v>9.9657603806981489E-3</v>
      </c>
      <c r="AK44" s="15">
        <f t="shared" si="17"/>
        <v>-3.2611666624842051E-2</v>
      </c>
      <c r="AL44" s="16">
        <f>IFERROR(AK44/AK148, "NA")</f>
        <v>0.27112930379073746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59.29</v>
      </c>
      <c r="C47" s="8">
        <f>IFERROR(B47/B148, "NA")</f>
        <v>1.1730747200518218E-3</v>
      </c>
      <c r="D47" s="7">
        <v>78.72</v>
      </c>
      <c r="E47" s="8">
        <f>IFERROR(D47/D148, "NA")</f>
        <v>1.6646538706268736E-3</v>
      </c>
      <c r="F47" s="7">
        <v>65.39</v>
      </c>
      <c r="G47" s="8">
        <f>IFERROR(F47/F148, "NA")</f>
        <v>1.3608706908536336E-3</v>
      </c>
      <c r="H47" s="7">
        <v>64.650000000000006</v>
      </c>
      <c r="I47" s="8">
        <f>IFERROR(H47/H148, "NA")</f>
        <v>1.5232071745531811E-3</v>
      </c>
      <c r="J47" s="7">
        <v>83.1</v>
      </c>
      <c r="K47" s="8">
        <f>IFERROR(J47/J148, "NA")</f>
        <v>1.377546554774301E-3</v>
      </c>
      <c r="L47" s="7">
        <v>73.48</v>
      </c>
      <c r="M47" s="8">
        <f>IFERROR(L47/L148, "NA")</f>
        <v>1.2502694766308674E-3</v>
      </c>
      <c r="N47" s="7">
        <v>86.43</v>
      </c>
      <c r="O47" s="8">
        <f>IFERROR(N47/N148, "NA")</f>
        <v>1.7991317206718426E-3</v>
      </c>
      <c r="P47" s="7">
        <v>69.27</v>
      </c>
      <c r="Q47" s="8">
        <f>IFERROR(P47/P148, "NA")</f>
        <v>1.6699449209880036E-3</v>
      </c>
      <c r="R47" s="7">
        <v>84.74</v>
      </c>
      <c r="S47" s="8">
        <f>IFERROR(R47/R148, "NA")</f>
        <v>1.6995318365392925E-3</v>
      </c>
      <c r="T47" s="7">
        <v>70.739999999999995</v>
      </c>
      <c r="U47" s="8">
        <f>IFERROR(T47/T148, "NA")</f>
        <v>1.3825468412498503E-3</v>
      </c>
      <c r="V47" s="7">
        <v>90.89</v>
      </c>
      <c r="W47" s="8">
        <f>IFERROR(V47/V148, "NA")</f>
        <v>1.9184871961190368E-3</v>
      </c>
      <c r="X47" s="7">
        <v>72.19</v>
      </c>
      <c r="Y47" s="8">
        <f>IFERROR(X47/X148, "NA")</f>
        <v>1.6365844059509191E-3</v>
      </c>
      <c r="Z47" s="7">
        <v>72.19</v>
      </c>
      <c r="AA47" s="8">
        <f>IFERROR(Z47/Z148, "NA")</f>
        <v>1.6365844059509191E-3</v>
      </c>
      <c r="AB47" s="9">
        <f t="shared" si="18"/>
        <v>79.64</v>
      </c>
      <c r="AC47" s="8">
        <f>IFERROR(AB47/AB148, "NA")</f>
        <v>1.6547431589907105E-3</v>
      </c>
      <c r="AD47" s="10">
        <f t="shared" si="19"/>
        <v>-7.4500000000000028</v>
      </c>
      <c r="AE47" s="11">
        <f>IFERROR(AD47/AD148, "NA")</f>
        <v>1.8540847727377379E-3</v>
      </c>
      <c r="AF47" s="10">
        <f t="shared" si="20"/>
        <v>-9.3545956805625344E-2</v>
      </c>
      <c r="AG47" s="9">
        <f t="shared" si="21"/>
        <v>78.85499999999999</v>
      </c>
      <c r="AH47" s="8">
        <f>IFERROR(AG47/AG148, "NA")</f>
        <v>1.5726592819854575E-3</v>
      </c>
      <c r="AI47" s="10">
        <f t="shared" si="22"/>
        <v>-6.664999999999992</v>
      </c>
      <c r="AJ47" s="11">
        <f>IFERROR(AI47/AI148, "NA")</f>
        <v>1.1051189474425985E-3</v>
      </c>
      <c r="AK47" s="10">
        <f t="shared" si="23"/>
        <v>-8.452222433580614E-2</v>
      </c>
      <c r="AL47" s="11">
        <f>IFERROR(AK47/AK148, "NA")</f>
        <v>0.7027071662002996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59.29</v>
      </c>
      <c r="C52" s="14">
        <f>IFERROR(B52/B148, "NA")</f>
        <v>1.1730747200518218E-3</v>
      </c>
      <c r="D52" s="13">
        <f>IFERROR(D46+D47+D48+D49+D50+D51, "NA")</f>
        <v>78.72</v>
      </c>
      <c r="E52" s="14">
        <f>IFERROR(D52/D148, "NA")</f>
        <v>1.6646538706268736E-3</v>
      </c>
      <c r="F52" s="13">
        <f>IFERROR(F46+F47+F48+F49+F50+F51, "NA")</f>
        <v>65.39</v>
      </c>
      <c r="G52" s="14">
        <f>IFERROR(F52/F148, "NA")</f>
        <v>1.3608706908536336E-3</v>
      </c>
      <c r="H52" s="13">
        <f>IFERROR(H46+H47+H48+H49+H50+H51, "NA")</f>
        <v>64.650000000000006</v>
      </c>
      <c r="I52" s="14">
        <f>IFERROR(H52/H148, "NA")</f>
        <v>1.5232071745531811E-3</v>
      </c>
      <c r="J52" s="13">
        <f>IFERROR(J46+J47+J48+J49+J50+J51, "NA")</f>
        <v>83.1</v>
      </c>
      <c r="K52" s="14">
        <f>IFERROR(J52/J148, "NA")</f>
        <v>1.377546554774301E-3</v>
      </c>
      <c r="L52" s="13">
        <f>IFERROR(L46+L47+L48+L49+L50+L51, "NA")</f>
        <v>73.48</v>
      </c>
      <c r="M52" s="14">
        <f>IFERROR(L52/L148, "NA")</f>
        <v>1.2502694766308674E-3</v>
      </c>
      <c r="N52" s="13">
        <f>IFERROR(N46+N47+N48+N49+N50+N51, "NA")</f>
        <v>86.43</v>
      </c>
      <c r="O52" s="14">
        <f>IFERROR(N52/N148, "NA")</f>
        <v>1.7991317206718426E-3</v>
      </c>
      <c r="P52" s="13">
        <f>IFERROR(P46+P47+P48+P49+P50+P51, "NA")</f>
        <v>69.27</v>
      </c>
      <c r="Q52" s="14">
        <f>IFERROR(P52/P148, "NA")</f>
        <v>1.6699449209880036E-3</v>
      </c>
      <c r="R52" s="13">
        <f>IFERROR(R46+R47+R48+R49+R50+R51, "NA")</f>
        <v>84.74</v>
      </c>
      <c r="S52" s="14">
        <f>IFERROR(R52/R148, "NA")</f>
        <v>1.6995318365392925E-3</v>
      </c>
      <c r="T52" s="13">
        <f>IFERROR(T46+T47+T48+T49+T50+T51, "NA")</f>
        <v>70.739999999999995</v>
      </c>
      <c r="U52" s="14">
        <f>IFERROR(T52/T148, "NA")</f>
        <v>1.3825468412498503E-3</v>
      </c>
      <c r="V52" s="13">
        <f>IFERROR(V46+V47+V48+V49+V50+V51, "NA")</f>
        <v>90.89</v>
      </c>
      <c r="W52" s="14">
        <f>IFERROR(V52/V148, "NA")</f>
        <v>1.9184871961190368E-3</v>
      </c>
      <c r="X52" s="13">
        <f>IFERROR(X46+X47+X48+X49+X50+X51, "NA")</f>
        <v>72.19</v>
      </c>
      <c r="Y52" s="14">
        <f>IFERROR(X52/X148, "NA")</f>
        <v>1.6365844059509191E-3</v>
      </c>
      <c r="Z52" s="13">
        <f>IFERROR(Z46+Z47+Z48+Z49+Z50+Z51, "NA")</f>
        <v>72.19</v>
      </c>
      <c r="AA52" s="14">
        <f>IFERROR(Z52/Z148, "NA")</f>
        <v>1.6365844059509191E-3</v>
      </c>
      <c r="AB52" s="13">
        <f t="shared" si="18"/>
        <v>79.64</v>
      </c>
      <c r="AC52" s="14">
        <f>IFERROR(AB52/AB148, "NA")</f>
        <v>1.6547431589907105E-3</v>
      </c>
      <c r="AD52" s="15">
        <f t="shared" si="19"/>
        <v>-7.4500000000000028</v>
      </c>
      <c r="AE52" s="16">
        <f>IFERROR(AD52/AD148, "NA")</f>
        <v>1.8540847727377379E-3</v>
      </c>
      <c r="AF52" s="15">
        <f t="shared" si="20"/>
        <v>-9.3545956805625344E-2</v>
      </c>
      <c r="AG52" s="13">
        <f t="shared" si="21"/>
        <v>78.85499999999999</v>
      </c>
      <c r="AH52" s="14">
        <f>IFERROR(AG52/AG148, "NA")</f>
        <v>1.5726592819854575E-3</v>
      </c>
      <c r="AI52" s="15">
        <f t="shared" si="22"/>
        <v>-6.664999999999992</v>
      </c>
      <c r="AJ52" s="16">
        <f>IFERROR(AI52/AI148, "NA")</f>
        <v>1.1051189474425985E-3</v>
      </c>
      <c r="AK52" s="15">
        <f t="shared" si="23"/>
        <v>-8.452222433580614E-2</v>
      </c>
      <c r="AL52" s="16">
        <f>IFERROR(AK52/AK148, "NA")</f>
        <v>0.7027071662002996</v>
      </c>
    </row>
    <row r="53" spans="1:38" ht="16.5" customHeight="1">
      <c r="A53" s="23" t="s">
        <v>68</v>
      </c>
      <c r="B53" s="7">
        <v>36.97</v>
      </c>
      <c r="C53" s="8">
        <f>IFERROR(B53/B148, "NA")</f>
        <v>7.3146521167677273E-4</v>
      </c>
      <c r="D53" s="7">
        <v>31.84</v>
      </c>
      <c r="E53" s="8">
        <f>IFERROR(D53/D148, "NA")</f>
        <v>6.733051224689997E-4</v>
      </c>
      <c r="F53" s="7">
        <v>36.07</v>
      </c>
      <c r="G53" s="8">
        <f>IFERROR(F53/F148, "NA")</f>
        <v>7.5067450403869956E-4</v>
      </c>
      <c r="H53" s="7">
        <v>26.83</v>
      </c>
      <c r="I53" s="8">
        <f>IFERROR(H53/H148, "NA")</f>
        <v>6.3213686764519478E-4</v>
      </c>
      <c r="J53" s="7">
        <v>42.59</v>
      </c>
      <c r="K53" s="8">
        <f>IFERROR(J53/J148, "NA")</f>
        <v>7.0601333053956069E-4</v>
      </c>
      <c r="L53" s="7">
        <v>42.93</v>
      </c>
      <c r="M53" s="8">
        <f>IFERROR(L53/L148, "NA")</f>
        <v>7.3045820130325447E-4</v>
      </c>
      <c r="N53" s="7">
        <v>74.28</v>
      </c>
      <c r="O53" s="8">
        <f>IFERROR(N53/N148, "NA")</f>
        <v>1.5462166401886436E-3</v>
      </c>
      <c r="P53" s="7">
        <v>17.3</v>
      </c>
      <c r="Q53" s="8">
        <f>IFERROR(P53/P148, "NA")</f>
        <v>4.1706434434953752E-4</v>
      </c>
      <c r="R53" s="7">
        <v>32.81</v>
      </c>
      <c r="S53" s="8">
        <f>IFERROR(R53/R148, "NA")</f>
        <v>6.5803209295320038E-4</v>
      </c>
      <c r="T53" s="7">
        <v>28.18</v>
      </c>
      <c r="U53" s="8">
        <f>IFERROR(T53/T148, "NA")</f>
        <v>5.5075162547951349E-4</v>
      </c>
      <c r="V53" s="7">
        <v>81.52</v>
      </c>
      <c r="W53" s="8">
        <f>IFERROR(V53/V148, "NA")</f>
        <v>1.7207071870131354E-3</v>
      </c>
      <c r="X53" s="7">
        <v>18.22</v>
      </c>
      <c r="Y53" s="8">
        <f>IFERROR(X53/X148, "NA")</f>
        <v>4.1305676515342491E-4</v>
      </c>
      <c r="Z53" s="7">
        <v>18.22</v>
      </c>
      <c r="AA53" s="8">
        <f>IFERROR(Z53/Z148, "NA")</f>
        <v>4.1305676515342491E-4</v>
      </c>
      <c r="AB53" s="9">
        <f t="shared" si="18"/>
        <v>40.182499999999997</v>
      </c>
      <c r="AC53" s="8">
        <f>IFERROR(AB53/AB148, "NA")</f>
        <v>8.3490352820371949E-4</v>
      </c>
      <c r="AD53" s="10">
        <f t="shared" si="19"/>
        <v>-21.962499999999999</v>
      </c>
      <c r="AE53" s="11">
        <f>IFERROR(AD53/AD148, "NA")</f>
        <v>5.4658170229869192E-3</v>
      </c>
      <c r="AF53" s="10">
        <f t="shared" si="20"/>
        <v>-0.54656877994151687</v>
      </c>
      <c r="AG53" s="9">
        <f t="shared" si="21"/>
        <v>42.228750000000005</v>
      </c>
      <c r="AH53" s="8">
        <f>IFERROR(AG53/AG148, "NA")</f>
        <v>8.4219688864553175E-4</v>
      </c>
      <c r="AI53" s="10">
        <f t="shared" si="22"/>
        <v>-24.008750000000006</v>
      </c>
      <c r="AJ53" s="11">
        <f>IFERROR(AI53/AI148, "NA")</f>
        <v>3.9808738978863506E-3</v>
      </c>
      <c r="AK53" s="10">
        <f t="shared" si="23"/>
        <v>-0.56854039013705127</v>
      </c>
      <c r="AL53" s="11">
        <f>IFERROR(AK53/AK148, "NA")</f>
        <v>4.7267734558941621</v>
      </c>
    </row>
    <row r="54" spans="1:38" ht="16.5" customHeight="1">
      <c r="A54" s="23" t="s">
        <v>69</v>
      </c>
      <c r="B54" s="7">
        <v>55</v>
      </c>
      <c r="C54" s="8">
        <f>IFERROR(B54/B148, "NA")</f>
        <v>1.0881954731464024E-3</v>
      </c>
      <c r="D54" s="7">
        <v>43.31</v>
      </c>
      <c r="E54" s="8">
        <f>IFERROR(D54/D148, "NA")</f>
        <v>9.1585568009209736E-4</v>
      </c>
      <c r="F54" s="7">
        <v>46</v>
      </c>
      <c r="G54" s="8">
        <f>IFERROR(F54/F148, "NA")</f>
        <v>9.5733371737677234E-4</v>
      </c>
      <c r="H54" s="7">
        <v>33</v>
      </c>
      <c r="I54" s="8">
        <f>IFERROR(H54/H148, "NA")</f>
        <v>7.7750714246334058E-4</v>
      </c>
      <c r="J54" s="7">
        <v>49</v>
      </c>
      <c r="K54" s="8">
        <f>IFERROR(J54/J148, "NA")</f>
        <v>8.122717350654724E-4</v>
      </c>
      <c r="L54" s="7">
        <v>33.25</v>
      </c>
      <c r="M54" s="8">
        <f>IFERROR(L54/L148, "NA")</f>
        <v>5.6575204270517608E-4</v>
      </c>
      <c r="N54" s="7">
        <v>42</v>
      </c>
      <c r="O54" s="8">
        <f>IFERROR(N54/N148, "NA")</f>
        <v>8.7427435228760141E-4</v>
      </c>
      <c r="P54" s="7">
        <v>46</v>
      </c>
      <c r="Q54" s="8">
        <f>IFERROR(P54/P148, "NA")</f>
        <v>1.1089572161895216E-3</v>
      </c>
      <c r="R54" s="7">
        <v>50</v>
      </c>
      <c r="S54" s="8">
        <f>IFERROR(R54/R148, "NA")</f>
        <v>1.0027919734123746E-3</v>
      </c>
      <c r="T54" s="7">
        <v>43</v>
      </c>
      <c r="U54" s="8">
        <f>IFERROR(T54/T148, "NA")</f>
        <v>8.4039460239954155E-4</v>
      </c>
      <c r="V54" s="7">
        <v>49</v>
      </c>
      <c r="W54" s="8">
        <f>IFERROR(V54/V148, "NA")</f>
        <v>1.0342817978857169E-3</v>
      </c>
      <c r="X54" s="7">
        <v>55</v>
      </c>
      <c r="Y54" s="8">
        <f>IFERROR(X54/X148, "NA")</f>
        <v>1.2468782702216451E-3</v>
      </c>
      <c r="Z54" s="7">
        <v>55</v>
      </c>
      <c r="AA54" s="8">
        <f>IFERROR(Z54/Z148, "NA")</f>
        <v>1.2468782702216451E-3</v>
      </c>
      <c r="AB54" s="9">
        <f t="shared" si="18"/>
        <v>49.25</v>
      </c>
      <c r="AC54" s="8">
        <f>IFERROR(AB54/AB148, "NA")</f>
        <v>1.0233061348605284E-3</v>
      </c>
      <c r="AD54" s="10">
        <f t="shared" si="19"/>
        <v>5.75</v>
      </c>
      <c r="AE54" s="11">
        <f>IFERROR(AD54/AD148, "NA")</f>
        <v>-1.4310050259385219E-3</v>
      </c>
      <c r="AF54" s="10">
        <f t="shared" si="20"/>
        <v>0.116751269035533</v>
      </c>
      <c r="AG54" s="9">
        <f t="shared" si="21"/>
        <v>45.90625</v>
      </c>
      <c r="AH54" s="8">
        <f>IFERROR(AG54/AG148, "NA")</f>
        <v>9.1553979029414647E-4</v>
      </c>
      <c r="AI54" s="10">
        <f t="shared" si="22"/>
        <v>9.09375</v>
      </c>
      <c r="AJ54" s="11">
        <f>IFERROR(AI54/AI148, "NA")</f>
        <v>-1.50782827131375E-3</v>
      </c>
      <c r="AK54" s="10">
        <f t="shared" si="23"/>
        <v>0.19809394145677331</v>
      </c>
      <c r="AL54" s="11">
        <f>IFERROR(AK54/AK148, "NA")</f>
        <v>-1.6469281699152714</v>
      </c>
    </row>
    <row r="55" spans="1:38" ht="16.5" customHeight="1">
      <c r="A55" s="23" t="s">
        <v>70</v>
      </c>
      <c r="B55" s="7">
        <v>-334.39</v>
      </c>
      <c r="C55" s="8">
        <f>IFERROR(B55/B148, "NA")</f>
        <v>-6.6160306230077367E-3</v>
      </c>
      <c r="D55" s="7">
        <v>-326.35000000000002</v>
      </c>
      <c r="E55" s="8">
        <f>IFERROR(D55/D148, "NA")</f>
        <v>-6.9011660401305927E-3</v>
      </c>
      <c r="F55" s="7">
        <v>-287.17</v>
      </c>
      <c r="G55" s="8">
        <f>IFERROR(F55/F148, "NA")</f>
        <v>-5.9764679047627769E-3</v>
      </c>
      <c r="H55" s="7">
        <v>-361.62</v>
      </c>
      <c r="I55" s="8">
        <f>IFERROR(H55/H148, "NA")</f>
        <v>-8.5200646320482791E-3</v>
      </c>
      <c r="J55" s="7">
        <v>-318.88</v>
      </c>
      <c r="K55" s="8">
        <f>IFERROR(J55/J148, "NA")</f>
        <v>-5.2860655281158743E-3</v>
      </c>
      <c r="L55" s="7">
        <v>-270.89</v>
      </c>
      <c r="M55" s="8">
        <f>IFERROR(L55/L148, "NA")</f>
        <v>-4.6092201758918842E-3</v>
      </c>
      <c r="N55" s="7">
        <v>-267.55</v>
      </c>
      <c r="O55" s="8">
        <f>IFERROR(N55/N148, "NA")</f>
        <v>-5.5693357846320892E-3</v>
      </c>
      <c r="P55" s="7">
        <v>-389.38</v>
      </c>
      <c r="Q55" s="8">
        <f>IFERROR(P55/P148, "NA")</f>
        <v>-9.3870817573886069E-3</v>
      </c>
      <c r="R55" s="7">
        <v>-452.63</v>
      </c>
      <c r="S55" s="8">
        <f>IFERROR(R55/R148, "NA")</f>
        <v>-9.0778746185128639E-3</v>
      </c>
      <c r="T55" s="7">
        <v>-547.62</v>
      </c>
      <c r="U55" s="8">
        <f>IFERROR(T55/T148, "NA")</f>
        <v>-1.0702718422465975E-2</v>
      </c>
      <c r="V55" s="7">
        <v>-788.26</v>
      </c>
      <c r="W55" s="8">
        <f>IFERROR(V55/V148, "NA")</f>
        <v>-1.6638427959212148E-2</v>
      </c>
      <c r="X55" s="7">
        <v>-459</v>
      </c>
      <c r="Y55" s="8">
        <f>IFERROR(X55/X148, "NA")</f>
        <v>-1.0405765927849728E-2</v>
      </c>
      <c r="Z55" s="7">
        <v>-459</v>
      </c>
      <c r="AA55" s="8">
        <f>IFERROR(Z55/Z148, "NA")</f>
        <v>-1.0405765927849728E-2</v>
      </c>
      <c r="AB55" s="9">
        <f t="shared" si="18"/>
        <v>-561.87750000000005</v>
      </c>
      <c r="AC55" s="8">
        <f>IFERROR(AB55/AB148, "NA")</f>
        <v>-1.1674572442438511E-2</v>
      </c>
      <c r="AD55" s="10">
        <f t="shared" si="19"/>
        <v>102.87750000000005</v>
      </c>
      <c r="AE55" s="11">
        <f>IFERROR(AD55/AD148, "NA")</f>
        <v>-2.5603168618433109E-2</v>
      </c>
      <c r="AF55" s="10">
        <f t="shared" si="20"/>
        <v>-0.18309595952854502</v>
      </c>
      <c r="AG55" s="9">
        <f t="shared" si="21"/>
        <v>-436.77625</v>
      </c>
      <c r="AH55" s="8">
        <f>IFERROR(AG55/AG148, "NA")</f>
        <v>-8.7109279527398491E-3</v>
      </c>
      <c r="AI55" s="10">
        <f t="shared" si="22"/>
        <v>-22.223749999999995</v>
      </c>
      <c r="AJ55" s="11">
        <f>IFERROR(AI55/AI148, "NA")</f>
        <v>3.684904307310949E-3</v>
      </c>
      <c r="AK55" s="10">
        <f t="shared" si="23"/>
        <v>5.0881315089820009E-2</v>
      </c>
      <c r="AL55" s="11">
        <f>IFERROR(AK55/AK148, "NA")</f>
        <v>-0.42302086841987208</v>
      </c>
    </row>
    <row r="56" spans="1:38" ht="16.5" customHeight="1">
      <c r="A56" s="27" t="s">
        <v>71</v>
      </c>
      <c r="B56" s="13">
        <f>IFERROR(B37+B39+B40+B41+B42+B43+B46+B47+B48+B49+B50+B51+B53+B54+B55, "NA")</f>
        <v>1906.17</v>
      </c>
      <c r="C56" s="14">
        <f>IFERROR(B56/B148, "NA")</f>
        <v>3.7714283000863234E-2</v>
      </c>
      <c r="D56" s="13">
        <f>IFERROR(D37+D39+D40+D41+D42+D43+D46+D47+D48+D49+D50+D51+D53+D54+D55, "NA")</f>
        <v>1519.8199999999997</v>
      </c>
      <c r="E56" s="14">
        <f>IFERROR(D56/D148, "NA")</f>
        <v>3.2138900478355367E-2</v>
      </c>
      <c r="F56" s="13">
        <f>IFERROR(F37+F39+F40+F41+F42+F43+F46+F47+F48+F49+F50+F51+F53+F54+F55, "NA")</f>
        <v>1026.45</v>
      </c>
      <c r="G56" s="14">
        <f>IFERROR(F56/F148, "NA")</f>
        <v>2.1362069439160608E-2</v>
      </c>
      <c r="H56" s="13">
        <f>IFERROR(H37+H39+H40+H41+H42+H43+H46+H47+H48+H49+H50+H51+H53+H54+H55, "NA")</f>
        <v>1435.0300000000002</v>
      </c>
      <c r="I56" s="14">
        <f>IFERROR(H56/H148, "NA")</f>
        <v>3.3810487110580843E-2</v>
      </c>
      <c r="J56" s="13">
        <f>IFERROR(J37+J39+J40+J41+J42+J43+J46+J47+J48+J49+J50+J51+J53+J54+J55, "NA")</f>
        <v>1795.8899999999999</v>
      </c>
      <c r="K56" s="14">
        <f>IFERROR(J56/J148, "NA")</f>
        <v>2.9770422169116961E-2</v>
      </c>
      <c r="L56" s="13">
        <f>IFERROR(L37+L39+L40+L41+L42+L43+L46+L47+L48+L49+L50+L51+L53+L54+L55, "NA")</f>
        <v>1783.1100000000001</v>
      </c>
      <c r="M56" s="14">
        <f>IFERROR(L56/L148, "NA")</f>
        <v>3.0339793229113586E-2</v>
      </c>
      <c r="N56" s="13">
        <f>IFERROR(N37+N39+N40+N41+N42+N43+N46+N47+N48+N49+N50+N51+N53+N54+N55, "NA")</f>
        <v>1778.0800000000002</v>
      </c>
      <c r="O56" s="14">
        <f>IFERROR(N56/N148, "NA")</f>
        <v>3.7012612864655674E-2</v>
      </c>
      <c r="P56" s="13">
        <f>IFERROR(P37+P39+P40+P41+P42+P43+P46+P47+P48+P49+P50+P51+P53+P54+P55, "NA")</f>
        <v>1403.37</v>
      </c>
      <c r="Q56" s="14">
        <f>IFERROR(P56/P148, "NA")</f>
        <v>3.3832114967041062E-2</v>
      </c>
      <c r="R56" s="13">
        <f>IFERROR(R37+R39+R40+R41+R42+R43+R46+R47+R48+R49+R50+R51+R53+R54+R55, "NA")</f>
        <v>1676.4</v>
      </c>
      <c r="S56" s="14">
        <f>IFERROR(R56/R148, "NA")</f>
        <v>3.36216092845701E-2</v>
      </c>
      <c r="T56" s="13">
        <f>IFERROR(T37+T39+T40+T41+T42+T43+T46+T47+T48+T49+T50+T51+T53+T54+T55, "NA")</f>
        <v>1405.04</v>
      </c>
      <c r="U56" s="14">
        <f>IFERROR(T56/T148, "NA")</f>
        <v>2.7460186794312832E-2</v>
      </c>
      <c r="V56" s="13">
        <f>IFERROR(V37+V39+V40+V41+V42+V43+V46+V47+V48+V49+V50+V51+V53+V54+V55, "NA")</f>
        <v>1274.6099999999999</v>
      </c>
      <c r="W56" s="14">
        <f>IFERROR(V56/V148, "NA")</f>
        <v>2.6904202498022722E-2</v>
      </c>
      <c r="X56" s="13">
        <f>IFERROR(X37+X39+X40+X41+X42+X43+X46+X47+X48+X49+X50+X51+X53+X54+X55, "NA")</f>
        <v>1469.3200000000002</v>
      </c>
      <c r="Y56" s="14">
        <f>IFERROR(X56/X148, "NA")</f>
        <v>3.3310239636401229E-2</v>
      </c>
      <c r="Z56" s="13">
        <f>IFERROR(Z37+Z39+Z40+Z41+Z42+Z43+Z46+Z47+Z48+Z49+Z50+Z51+Z53+Z54+Z55, "NA")</f>
        <v>1469.3200000000002</v>
      </c>
      <c r="AA56" s="14">
        <f>IFERROR(Z56/Z148, "NA")</f>
        <v>3.3310239636401229E-2</v>
      </c>
      <c r="AB56" s="13">
        <f t="shared" si="18"/>
        <v>1456.3425000000002</v>
      </c>
      <c r="AC56" s="14">
        <f>IFERROR(AB56/AB148, "NA")</f>
        <v>3.0259577963616637E-2</v>
      </c>
      <c r="AD56" s="15">
        <f t="shared" si="19"/>
        <v>12.977499999999964</v>
      </c>
      <c r="AE56" s="16">
        <f>IFERROR(AD56/AD148, "NA")</f>
        <v>-3.2297161259334114E-3</v>
      </c>
      <c r="AF56" s="15">
        <f t="shared" si="20"/>
        <v>8.9110219608367954E-3</v>
      </c>
      <c r="AG56" s="13">
        <f t="shared" si="21"/>
        <v>1573.2275</v>
      </c>
      <c r="AH56" s="14">
        <f>IFERROR(AG56/AG148, "NA")</f>
        <v>3.1375953719482298E-2</v>
      </c>
      <c r="AI56" s="15">
        <f t="shared" si="22"/>
        <v>-103.9074999999998</v>
      </c>
      <c r="AJ56" s="16">
        <f>IFERROR(AI56/AI148, "NA")</f>
        <v>1.7228829262024268E-2</v>
      </c>
      <c r="AK56" s="15">
        <f t="shared" si="23"/>
        <v>-6.604734534579379E-2</v>
      </c>
      <c r="AL56" s="16">
        <f>IFERROR(AK56/AK148, "NA")</f>
        <v>0.54910934074097495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12775.880000000001</v>
      </c>
      <c r="C57" s="29">
        <f>IFERROR(B57/B148, "NA")</f>
        <v>0.25277554148112114</v>
      </c>
      <c r="D57" s="28">
        <f>IFERROR(D13+D15+D16+D17+D18+D19+D20+D21+D22+D23+D24+D25+D26+D29+D30+D31+D32+D33+D37+D39+D40+D41+D42+D43+D46+D47+D48+D49+D50+D51+D53+D54+D55, "NA")</f>
        <v>12251.519999999997</v>
      </c>
      <c r="E57" s="29">
        <f>IFERROR(D57/D148, "NA")</f>
        <v>0.2590769841090263</v>
      </c>
      <c r="F57" s="28">
        <f>IFERROR(F13+F15+F16+F17+F18+F19+F20+F21+F22+F23+F24+F25+F26+F29+F30+F31+F32+F33+F37+F39+F40+F41+F42+F43+F46+F47+F48+F49+F50+F51+F53+F54+F55, "NA")</f>
        <v>11921.47</v>
      </c>
      <c r="G57" s="29">
        <f>IFERROR(F57/F148, "NA")</f>
        <v>0.24810489547164499</v>
      </c>
      <c r="H57" s="28">
        <f>IFERROR(H13+H15+H16+H17+H18+H19+H20+H21+H22+H23+H24+H25+H26+H29+H30+H31+H32+H33+H37+H39+H40+H41+H42+H43+H46+H47+H48+H49+H50+H51+H53+H54+H55, "NA")</f>
        <v>9911.3199999999979</v>
      </c>
      <c r="I57" s="29">
        <f>IFERROR(H57/H148, "NA")</f>
        <v>0.23351885124968955</v>
      </c>
      <c r="J57" s="28">
        <f>IFERROR(J13+J15+J16+J17+J18+J19+J20+J21+J22+J23+J24+J25+J26+J29+J30+J31+J32+J33+J37+J39+J40+J41+J42+J43+J46+J47+J48+J49+J50+J51+J53+J54+J55, "NA")</f>
        <v>14163.62</v>
      </c>
      <c r="K57" s="29">
        <f>IFERROR(J57/J148, "NA")</f>
        <v>0.23478996310628628</v>
      </c>
      <c r="L57" s="28">
        <f>IFERROR(L13+L15+L16+L17+L18+L19+L20+L21+L22+L23+L24+L25+L26+L29+L30+L31+L32+L33+L37+L39+L40+L41+L42+L43+L46+L47+L48+L49+L50+L51+L53+L54+L55, "NA")</f>
        <v>12827.420000000002</v>
      </c>
      <c r="M57" s="29">
        <f>IFERROR(L57/L148, "NA")</f>
        <v>0.21825982158307464</v>
      </c>
      <c r="N57" s="28">
        <f>IFERROR(N13+N15+N16+N17+N18+N19+N20+N21+N22+N23+N24+N25+N26+N29+N30+N31+N32+N33+N37+N39+N40+N41+N42+N43+N46+N47+N48+N49+N50+N51+N53+N54+N55, "NA")</f>
        <v>11220.560000000001</v>
      </c>
      <c r="O57" s="29">
        <f>IFERROR(N57/N148, "NA")</f>
        <v>0.23356780538819452</v>
      </c>
      <c r="P57" s="28">
        <f>IFERROR(P13+P15+P16+P17+P18+P19+P20+P21+P22+P23+P24+P25+P26+P29+P30+P31+P32+P33+P37+P39+P40+P41+P42+P43+P46+P47+P48+P49+P50+P51+P53+P54+P55, "NA")</f>
        <v>10847.380000000001</v>
      </c>
      <c r="Q57" s="29">
        <f>IFERROR(P57/P148, "NA")</f>
        <v>0.26150609408151942</v>
      </c>
      <c r="R57" s="28">
        <f>IFERROR(R13+R15+R16+R17+R18+R19+R20+R21+R22+R23+R24+R25+R26+R29+R30+R31+R32+R33+R37+R39+R40+R41+R42+R43+R46+R47+R48+R49+R50+R51+R53+R54+R55, "NA")</f>
        <v>12320.350000000002</v>
      </c>
      <c r="S57" s="29">
        <f>IFERROR(R57/R148, "NA")</f>
        <v>0.24709496179262305</v>
      </c>
      <c r="T57" s="28">
        <f>IFERROR(T13+T15+T16+T17+T18+T19+T20+T21+T22+T23+T24+T25+T26+T29+T30+T31+T32+T33+T37+T39+T40+T41+T42+T43+T46+T47+T48+T49+T50+T51+T53+T54+T55, "NA")</f>
        <v>11723.56</v>
      </c>
      <c r="U57" s="29">
        <f>IFERROR(T57/T148, "NA")</f>
        <v>0.22912596616063183</v>
      </c>
      <c r="V57" s="28">
        <f>IFERROR(V13+V15+V16+V17+V18+V19+V20+V21+V22+V23+V24+V25+V26+V29+V30+V31+V32+V33+V37+V39+V40+V41+V42+V43+V46+V47+V48+V49+V50+V51+V53+V54+V55, "NA")</f>
        <v>11087.730000000001</v>
      </c>
      <c r="W57" s="29">
        <f>IFERROR(V57/V148, "NA")</f>
        <v>0.23403749630349799</v>
      </c>
      <c r="X57" s="28">
        <f>IFERROR(X13+X15+X16+X17+X18+X19+X20+X21+X22+X23+X24+X25+X26+X29+X30+X31+X32+X33+X37+X39+X40+X41+X42+X43+X46+X47+X48+X49+X50+X51+X53+X54+X55, "NA")</f>
        <v>10631.870000000003</v>
      </c>
      <c r="Y57" s="29">
        <f>IFERROR(X57/X148, "NA")</f>
        <v>0.24102995772402552</v>
      </c>
      <c r="Z57" s="28">
        <f>IFERROR(Z13+Z15+Z16+Z17+Z18+Z19+Z20+Z21+Z22+Z23+Z24+Z25+Z26+Z29+Z30+Z31+Z32+Z33+Z37+Z39+Z40+Z41+Z42+Z43+Z46+Z47+Z48+Z49+Z50+Z51+Z53+Z54+Z55, "NA")</f>
        <v>10631.870000000003</v>
      </c>
      <c r="AA57" s="29">
        <f>IFERROR(Z57/Z148, "NA")</f>
        <v>0.24102995772402552</v>
      </c>
      <c r="AB57" s="28">
        <f t="shared" si="18"/>
        <v>11440.877500000002</v>
      </c>
      <c r="AC57" s="29">
        <f>IFERROR(AB57/AB148, "NA")</f>
        <v>0.2377161448515287</v>
      </c>
      <c r="AD57" s="30">
        <f t="shared" si="19"/>
        <v>-809.00749999999971</v>
      </c>
      <c r="AE57" s="31">
        <f>IFERROR(AD57/AD148, "NA")</f>
        <v>0.20133805191686233</v>
      </c>
      <c r="AF57" s="30">
        <f t="shared" si="20"/>
        <v>-7.0712014878229368E-2</v>
      </c>
      <c r="AG57" s="28">
        <f t="shared" si="21"/>
        <v>11852.811250000002</v>
      </c>
      <c r="AH57" s="29">
        <f>IFERROR(AG57/AG148, "NA")</f>
        <v>0.23638873413143313</v>
      </c>
      <c r="AI57" s="30">
        <f t="shared" si="22"/>
        <v>-1220.9412499999999</v>
      </c>
      <c r="AJ57" s="31">
        <f>IFERROR(AI57/AI148, "NA")</f>
        <v>0.20244340721519161</v>
      </c>
      <c r="AK57" s="30">
        <f t="shared" si="23"/>
        <v>-0.10300857950471451</v>
      </c>
      <c r="AL57" s="31">
        <f>IFERROR(AK57/AK148, "NA")</f>
        <v>0.85640040317078836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37766.509999999995</v>
      </c>
      <c r="C59" s="34">
        <f>IFERROR(B59/B148, "NA")</f>
        <v>0.74722445851887886</v>
      </c>
      <c r="D59" s="33">
        <f>IFERROR(D9-D57, "NA")</f>
        <v>35037.590000000011</v>
      </c>
      <c r="E59" s="34">
        <f>IFERROR(D59/D148, "NA")</f>
        <v>0.74092301589097387</v>
      </c>
      <c r="F59" s="33">
        <f>IFERROR(F9-F57, "NA")</f>
        <v>36128.65</v>
      </c>
      <c r="G59" s="34">
        <f>IFERROR(F59/F148, "NA")</f>
        <v>0.75189510452835495</v>
      </c>
      <c r="H59" s="33">
        <f>IFERROR(H9-H57, "NA")</f>
        <v>32532.01999999999</v>
      </c>
      <c r="I59" s="34">
        <f>IFERROR(H59/H148, "NA")</f>
        <v>0.76648114875031026</v>
      </c>
      <c r="J59" s="33">
        <f>IFERROR(J9-J57, "NA")</f>
        <v>46161.01999999999</v>
      </c>
      <c r="K59" s="34">
        <f>IFERROR(J59/J148, "NA")</f>
        <v>0.76521003689371359</v>
      </c>
      <c r="L59" s="33">
        <f>IFERROR(L9-L57, "NA")</f>
        <v>45943.909999999989</v>
      </c>
      <c r="M59" s="34">
        <f>IFERROR(L59/L148, "NA")</f>
        <v>0.78174017841692522</v>
      </c>
      <c r="N59" s="33">
        <f>IFERROR(N9-N57, "NA")</f>
        <v>36819.279999999999</v>
      </c>
      <c r="O59" s="34">
        <f>IFERROR(N59/N148, "NA")</f>
        <v>0.76643219461180556</v>
      </c>
      <c r="P59" s="33">
        <f>IFERROR(P9-P57, "NA")</f>
        <v>30633.029999999995</v>
      </c>
      <c r="Q59" s="34">
        <f>IFERROR(P59/P148, "NA")</f>
        <v>0.73849390591848041</v>
      </c>
      <c r="R59" s="33">
        <f>IFERROR(R9-R57, "NA")</f>
        <v>37540.439999999988</v>
      </c>
      <c r="S59" s="34">
        <f>IFERROR(R59/R148, "NA")</f>
        <v>0.75290503820737675</v>
      </c>
      <c r="T59" s="33">
        <f>IFERROR(T9-T57, "NA")</f>
        <v>39442.880000000012</v>
      </c>
      <c r="U59" s="34">
        <f>IFERROR(T59/T148, "NA")</f>
        <v>0.77087403383936837</v>
      </c>
      <c r="V59" s="33">
        <f>IFERROR(V9-V57, "NA")</f>
        <v>36288.140000000007</v>
      </c>
      <c r="W59" s="34">
        <f>IFERROR(V59/V148, "NA")</f>
        <v>0.76596250369650209</v>
      </c>
      <c r="X59" s="33">
        <f>IFERROR(X9-X57, "NA")</f>
        <v>33478.29</v>
      </c>
      <c r="Y59" s="34">
        <f>IFERROR(X59/X148, "NA")</f>
        <v>0.75897004227597442</v>
      </c>
      <c r="Z59" s="33">
        <f>IFERROR(Z9-Z57, "NA")</f>
        <v>33478.29</v>
      </c>
      <c r="AA59" s="34">
        <f>IFERROR(Z59/Z148, "NA")</f>
        <v>0.75897004227597442</v>
      </c>
      <c r="AB59" s="33">
        <f>IFERROR((R59+T59+V59+X59)/4, "NA")</f>
        <v>36687.437500000007</v>
      </c>
      <c r="AC59" s="34">
        <f>IFERROR(AB59/AB148, "NA")</f>
        <v>0.76228385514847141</v>
      </c>
      <c r="AD59" s="15">
        <f>IFERROR(X59-AB59, "NA")</f>
        <v>-3209.1475000000064</v>
      </c>
      <c r="AE59" s="16">
        <f>IFERROR(AD59/AD148, "NA")</f>
        <v>0.79866194808313951</v>
      </c>
      <c r="AF59" s="15">
        <f>IFERROR((X59-AB59)/AB59, "NA")</f>
        <v>-8.7472653275389042E-2</v>
      </c>
      <c r="AG59" s="33">
        <f>IFERROR((J59+L59+N59+P59+R59+T59+V59+X59)/8, "NA")</f>
        <v>38288.373749999992</v>
      </c>
      <c r="AH59" s="34">
        <f>IFERROR(AG59/AG148, "NA")</f>
        <v>0.76361126586856676</v>
      </c>
      <c r="AI59" s="15">
        <f>IFERROR(X59-AG59, "NA")</f>
        <v>-4810.0837499999907</v>
      </c>
      <c r="AJ59" s="16">
        <f>IFERROR(AI59/AI148, "NA")</f>
        <v>0.79755659278480773</v>
      </c>
      <c r="AK59" s="15">
        <f>IFERROR((X59-AG59)/AG59, "NA")</f>
        <v>-0.12562778929726656</v>
      </c>
      <c r="AL59" s="16">
        <f>IFERROR(AK59/AK148, "NA")</f>
        <v>1.0444536748388986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2519.23</v>
      </c>
      <c r="C66" s="8">
        <f>IFERROR(B66/B148, "NA")</f>
        <v>4.9843903305720208E-2</v>
      </c>
      <c r="D66" s="7">
        <v>2519.23</v>
      </c>
      <c r="E66" s="8">
        <f>IFERROR(D66/D148, "NA")</f>
        <v>5.3272941698416398E-2</v>
      </c>
      <c r="F66" s="7">
        <v>2519.23</v>
      </c>
      <c r="G66" s="8">
        <f>IFERROR(F66/F148, "NA")</f>
        <v>5.2429213496241009E-2</v>
      </c>
      <c r="H66" s="7">
        <v>2519.23</v>
      </c>
      <c r="I66" s="8">
        <f>IFERROR(H66/H148, "NA")</f>
        <v>5.9355130863876414E-2</v>
      </c>
      <c r="J66" s="7">
        <v>2519.23</v>
      </c>
      <c r="K66" s="8">
        <f>IFERROR(J66/J148, "NA")</f>
        <v>4.1761210676101841E-2</v>
      </c>
      <c r="L66" s="7">
        <v>2519.23</v>
      </c>
      <c r="M66" s="8">
        <f>IFERROR(L66/L148, "NA")</f>
        <v>4.2864947926140179E-2</v>
      </c>
      <c r="N66" s="7">
        <v>2519.23</v>
      </c>
      <c r="O66" s="8">
        <f>IFERROR(N66/N148, "NA")</f>
        <v>5.244043277413081E-2</v>
      </c>
      <c r="P66" s="7">
        <v>2519.23</v>
      </c>
      <c r="Q66" s="8">
        <f>IFERROR(P66/P148, "NA")</f>
        <v>6.0733006255241931E-2</v>
      </c>
      <c r="R66" s="7">
        <v>2519.23</v>
      </c>
      <c r="S66" s="8">
        <f>IFERROR(R66/R148, "NA")</f>
        <v>5.0525272463593132E-2</v>
      </c>
      <c r="T66" s="7">
        <v>2519.23</v>
      </c>
      <c r="U66" s="8">
        <f>IFERROR(T66/T148, "NA")</f>
        <v>4.9235983586116208E-2</v>
      </c>
      <c r="V66" s="7">
        <v>2519.23</v>
      </c>
      <c r="W66" s="8">
        <f>IFERROR(V66/V148, "NA")</f>
        <v>5.3175382320155805E-2</v>
      </c>
      <c r="X66" s="7">
        <v>2519.23</v>
      </c>
      <c r="Y66" s="8">
        <f>IFERROR(X66/X148, "NA")</f>
        <v>5.7112238994372268E-2</v>
      </c>
      <c r="Z66" s="7">
        <v>2519.23</v>
      </c>
      <c r="AA66" s="8">
        <f>IFERROR(Z66/Z148, "NA")</f>
        <v>5.7112238994372268E-2</v>
      </c>
      <c r="AB66" s="9">
        <f t="shared" si="24"/>
        <v>2519.23</v>
      </c>
      <c r="AC66" s="8">
        <f>IFERROR(AB66/AB148, "NA")</f>
        <v>5.2344030743648511E-2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2519.23</v>
      </c>
      <c r="AH66" s="8">
        <f>IFERROR(AG66/AG148, "NA")</f>
        <v>5.024272960441601E-2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6637.43</v>
      </c>
      <c r="C68" s="8">
        <f>IFERROR(B68/B148, "NA")</f>
        <v>0.13132402326047501</v>
      </c>
      <c r="D68" s="7">
        <v>6212.96</v>
      </c>
      <c r="E68" s="8">
        <f>IFERROR(D68/D148, "NA")</f>
        <v>0.13138246839494336</v>
      </c>
      <c r="F68" s="7">
        <v>5939.14</v>
      </c>
      <c r="G68" s="8">
        <f>IFERROR(F68/F148, "NA")</f>
        <v>0.12360302117871923</v>
      </c>
      <c r="H68" s="7">
        <v>6285.82</v>
      </c>
      <c r="I68" s="8">
        <f>IFERROR(H68/H148, "NA")</f>
        <v>0.14809908927996712</v>
      </c>
      <c r="J68" s="7">
        <v>8052.56</v>
      </c>
      <c r="K68" s="8">
        <f>IFERROR(J68/J148, "NA")</f>
        <v>0.13348707924324124</v>
      </c>
      <c r="L68" s="7">
        <v>8154.52</v>
      </c>
      <c r="M68" s="8">
        <f>IFERROR(L68/L148, "NA")</f>
        <v>0.13874996533173573</v>
      </c>
      <c r="N68" s="7">
        <v>7551.75</v>
      </c>
      <c r="O68" s="8">
        <f>IFERROR(N68/N148, "NA")</f>
        <v>0.15719765094971175</v>
      </c>
      <c r="P68" s="7">
        <v>6695.05</v>
      </c>
      <c r="Q68" s="8">
        <f>IFERROR(P68/P148, "NA")</f>
        <v>0.16140269587499254</v>
      </c>
      <c r="R68" s="7">
        <v>8012.16</v>
      </c>
      <c r="S68" s="8">
        <f>IFERROR(R68/R148, "NA")</f>
        <v>0.16069059475391384</v>
      </c>
      <c r="T68" s="7">
        <v>7685.83</v>
      </c>
      <c r="U68" s="8">
        <f>IFERROR(T68/T148, "NA")</f>
        <v>0.15021232667349926</v>
      </c>
      <c r="V68" s="7">
        <v>6943.38</v>
      </c>
      <c r="W68" s="8">
        <f>IFERROR(V68/V148, "NA")</f>
        <v>0.14655941938374956</v>
      </c>
      <c r="X68" s="7">
        <v>6896.57</v>
      </c>
      <c r="Y68" s="8">
        <f>IFERROR(X68/X148, "NA")</f>
        <v>0.15634878676477254</v>
      </c>
      <c r="Z68" s="7">
        <v>6896.57</v>
      </c>
      <c r="AA68" s="8">
        <f>IFERROR(Z68/Z148, "NA")</f>
        <v>0.15634878676477254</v>
      </c>
      <c r="AB68" s="9">
        <f t="shared" si="24"/>
        <v>7384.4849999999997</v>
      </c>
      <c r="AC68" s="8">
        <f>IFERROR(AB68/AB148, "NA")</f>
        <v>0.15343327519361522</v>
      </c>
      <c r="AD68" s="10">
        <f t="shared" si="25"/>
        <v>-487.91499999999996</v>
      </c>
      <c r="AE68" s="11">
        <f>IFERROR(AD68/AD148, "NA")</f>
        <v>0.12142762038796416</v>
      </c>
      <c r="AF68" s="10">
        <f t="shared" si="26"/>
        <v>-6.6072989517887842E-2</v>
      </c>
      <c r="AG68" s="9">
        <f t="shared" si="27"/>
        <v>7498.9775</v>
      </c>
      <c r="AH68" s="8">
        <f>IFERROR(AG68/AG148, "NA")</f>
        <v>0.14955724520670982</v>
      </c>
      <c r="AI68" s="10">
        <f t="shared" si="28"/>
        <v>-602.40750000000025</v>
      </c>
      <c r="AJ68" s="11">
        <f>IFERROR(AI68/AI148, "NA")</f>
        <v>9.9884762540364339E-2</v>
      </c>
      <c r="AK68" s="10">
        <f t="shared" si="29"/>
        <v>-8.0331951922778838E-2</v>
      </c>
      <c r="AL68" s="11">
        <f>IFERROR(AK68/AK148, "NA")</f>
        <v>0.66786976720725966</v>
      </c>
    </row>
    <row r="69" spans="1:38" ht="16.5" customHeight="1">
      <c r="A69" s="25" t="s">
        <v>81</v>
      </c>
      <c r="B69" s="7">
        <v>104.6</v>
      </c>
      <c r="C69" s="8">
        <f>IFERROR(B69/B148, "NA")</f>
        <v>2.0695499362020672E-3</v>
      </c>
      <c r="D69" s="7">
        <v>184.73</v>
      </c>
      <c r="E69" s="8">
        <f>IFERROR(D69/D148, "NA")</f>
        <v>3.9063962083447966E-3</v>
      </c>
      <c r="F69" s="7">
        <v>230.1</v>
      </c>
      <c r="G69" s="8">
        <f>IFERROR(F69/F148, "NA")</f>
        <v>4.7887497471390287E-3</v>
      </c>
      <c r="H69" s="7">
        <v>0.02</v>
      </c>
      <c r="I69" s="8">
        <f>IFERROR(H69/H148, "NA")</f>
        <v>4.7121644997778221E-7</v>
      </c>
      <c r="J69" s="7">
        <v>330.74</v>
      </c>
      <c r="K69" s="8">
        <f>IFERROR(J69/J148, "NA")</f>
        <v>5.4826684419500889E-3</v>
      </c>
      <c r="L69" s="7">
        <v>331.53</v>
      </c>
      <c r="M69" s="8">
        <f>IFERROR(L69/L148, "NA")</f>
        <v>5.6410157809938955E-3</v>
      </c>
      <c r="N69" s="7">
        <v>93.98</v>
      </c>
      <c r="O69" s="8">
        <f>IFERROR(N69/N148, "NA")</f>
        <v>1.9562929435235424E-3</v>
      </c>
      <c r="P69" s="7">
        <v>145.08000000000001</v>
      </c>
      <c r="Q69" s="8">
        <f>IFERROR(P69/P148, "NA")</f>
        <v>3.4975546287994742E-3</v>
      </c>
      <c r="R69" s="7">
        <v>453.47</v>
      </c>
      <c r="S69" s="8">
        <f>IFERROR(R69/R148, "NA")</f>
        <v>9.0947215236661921E-3</v>
      </c>
      <c r="T69" s="7">
        <v>274.60000000000002</v>
      </c>
      <c r="U69" s="8">
        <f>IFERROR(T69/T148, "NA")</f>
        <v>5.3667990190445145E-3</v>
      </c>
      <c r="V69" s="7">
        <v>229.06</v>
      </c>
      <c r="W69" s="8">
        <f>IFERROR(V69/V148, "NA")</f>
        <v>4.8349507882388225E-3</v>
      </c>
      <c r="X69" s="7">
        <v>230.99</v>
      </c>
      <c r="Y69" s="8">
        <f>IFERROR(X69/X148, "NA")</f>
        <v>5.236662029790869E-3</v>
      </c>
      <c r="Z69" s="7">
        <v>230.99</v>
      </c>
      <c r="AA69" s="8">
        <f>IFERROR(Z69/Z148, "NA")</f>
        <v>5.236662029790869E-3</v>
      </c>
      <c r="AB69" s="9">
        <f t="shared" si="24"/>
        <v>297.03000000000003</v>
      </c>
      <c r="AC69" s="8">
        <f>IFERROR(AB69/AB148, "NA")</f>
        <v>6.171626827159854E-3</v>
      </c>
      <c r="AD69" s="10">
        <f t="shared" si="25"/>
        <v>-66.04000000000002</v>
      </c>
      <c r="AE69" s="11">
        <f>IFERROR(AD69/AD148, "NA")</f>
        <v>1.6435403810953046E-2</v>
      </c>
      <c r="AF69" s="10">
        <f t="shared" si="26"/>
        <v>-0.22233444433222238</v>
      </c>
      <c r="AG69" s="9">
        <f t="shared" si="27"/>
        <v>261.18124999999998</v>
      </c>
      <c r="AH69" s="8">
        <f>IFERROR(AG69/AG148, "NA")</f>
        <v>5.2089165822467101E-3</v>
      </c>
      <c r="AI69" s="10">
        <f t="shared" si="28"/>
        <v>-30.191249999999968</v>
      </c>
      <c r="AJ69" s="11">
        <f>IFERROR(AI69/AI148, "NA")</f>
        <v>5.0059898607616449E-3</v>
      </c>
      <c r="AK69" s="10">
        <f t="shared" si="29"/>
        <v>-0.11559501304170942</v>
      </c>
      <c r="AL69" s="11">
        <f>IFERROR(AK69/AK148, "NA")</f>
        <v>0.96104243209102447</v>
      </c>
    </row>
    <row r="70" spans="1:38" ht="16.5" customHeight="1">
      <c r="A70" s="26" t="s">
        <v>82</v>
      </c>
      <c r="B70" s="13">
        <f>IFERROR(B65+B66+B67+B68+B69, "NA")</f>
        <v>9261.26</v>
      </c>
      <c r="C70" s="14">
        <f>IFERROR(B70/B148, "NA")</f>
        <v>0.1832374765023973</v>
      </c>
      <c r="D70" s="13">
        <f>IFERROR(D65+D66+D67+D68+D69, "NA")</f>
        <v>8916.92</v>
      </c>
      <c r="E70" s="14">
        <f>IFERROR(D70/D148, "NA")</f>
        <v>0.18856180630170455</v>
      </c>
      <c r="F70" s="13">
        <f>IFERROR(F65+F66+F67+F68+F69, "NA")</f>
        <v>8688.4700000000012</v>
      </c>
      <c r="G70" s="14">
        <f>IFERROR(F70/F148, "NA")</f>
        <v>0.18082098442209926</v>
      </c>
      <c r="H70" s="13">
        <f>IFERROR(H65+H66+H67+H68+H69, "NA")</f>
        <v>8805.07</v>
      </c>
      <c r="I70" s="14">
        <f>IFERROR(H70/H148, "NA")</f>
        <v>0.20745469136029351</v>
      </c>
      <c r="J70" s="13">
        <f>IFERROR(J65+J66+J67+J68+J69, "NA")</f>
        <v>10902.53</v>
      </c>
      <c r="K70" s="14">
        <f>IFERROR(J70/J148, "NA")</f>
        <v>0.18073095836129319</v>
      </c>
      <c r="L70" s="13">
        <f>IFERROR(L65+L66+L67+L68+L69, "NA")</f>
        <v>11005.28</v>
      </c>
      <c r="M70" s="14">
        <f>IFERROR(L70/L148, "NA")</f>
        <v>0.18725592903886981</v>
      </c>
      <c r="N70" s="13">
        <f>IFERROR(N65+N66+N67+N68+N69, "NA")</f>
        <v>10164.959999999999</v>
      </c>
      <c r="O70" s="14">
        <f>IFERROR(N70/N148, "NA")</f>
        <v>0.21159437666736608</v>
      </c>
      <c r="P70" s="13">
        <f>IFERROR(P65+P66+P67+P68+P69, "NA")</f>
        <v>9359.36</v>
      </c>
      <c r="Q70" s="14">
        <f>IFERROR(P70/P148, "NA")</f>
        <v>0.22563325675903395</v>
      </c>
      <c r="R70" s="13">
        <f>IFERROR(R65+R66+R67+R68+R69, "NA")</f>
        <v>10984.859999999999</v>
      </c>
      <c r="S70" s="14">
        <f>IFERROR(R70/R148, "NA")</f>
        <v>0.22031058874117315</v>
      </c>
      <c r="T70" s="13">
        <f>IFERROR(T65+T66+T67+T68+T69, "NA")</f>
        <v>10479.66</v>
      </c>
      <c r="U70" s="14">
        <f>IFERROR(T70/T148, "NA")</f>
        <v>0.20481510927865998</v>
      </c>
      <c r="V70" s="13">
        <f>IFERROR(V65+V66+V67+V68+V69, "NA")</f>
        <v>9691.67</v>
      </c>
      <c r="W70" s="14">
        <f>IFERROR(V70/V148, "NA")</f>
        <v>0.20456975249214421</v>
      </c>
      <c r="X70" s="13">
        <f>IFERROR(X65+X66+X67+X68+X69, "NA")</f>
        <v>9646.7899999999991</v>
      </c>
      <c r="Y70" s="14">
        <f>IFERROR(X70/X148, "NA")</f>
        <v>0.21869768778893567</v>
      </c>
      <c r="Z70" s="13">
        <f>IFERROR(Z65+Z66+Z67+Z68+Z69, "NA")</f>
        <v>9646.7899999999991</v>
      </c>
      <c r="AA70" s="14">
        <f>IFERROR(Z70/Z148, "NA")</f>
        <v>0.21869768778893567</v>
      </c>
      <c r="AB70" s="13">
        <f t="shared" si="24"/>
        <v>10200.744999999999</v>
      </c>
      <c r="AC70" s="14">
        <f>IFERROR(AB70/AB148, "NA")</f>
        <v>0.21194893276442356</v>
      </c>
      <c r="AD70" s="15">
        <f t="shared" si="25"/>
        <v>-553.95499999999993</v>
      </c>
      <c r="AE70" s="16">
        <f>IFERROR(AD70/AD148, "NA")</f>
        <v>0.13786302419891719</v>
      </c>
      <c r="AF70" s="15">
        <f t="shared" si="26"/>
        <v>-5.4305347305515429E-2</v>
      </c>
      <c r="AG70" s="13">
        <f t="shared" si="27"/>
        <v>10279.38875</v>
      </c>
      <c r="AH70" s="14">
        <f>IFERROR(AG70/AG148, "NA")</f>
        <v>0.20500889139337256</v>
      </c>
      <c r="AI70" s="15">
        <f t="shared" si="28"/>
        <v>-632.59875000000102</v>
      </c>
      <c r="AJ70" s="16">
        <f>IFERROR(AI70/AI148, "NA")</f>
        <v>0.10489075240112611</v>
      </c>
      <c r="AK70" s="15">
        <f t="shared" si="29"/>
        <v>-6.1540502590681861E-2</v>
      </c>
      <c r="AL70" s="16">
        <f>IFERROR(AK70/AK148, "NA")</f>
        <v>0.51164001565113082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1013</v>
      </c>
      <c r="G72" s="8">
        <f>IFERROR(F72/F148, "NA")</f>
        <v>2.1082153384840662E-2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-1876</v>
      </c>
      <c r="O72" s="8">
        <f>IFERROR(N72/N148, "NA")</f>
        <v>-3.9050921068846195E-2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863</v>
      </c>
      <c r="W72" s="8">
        <f>IFERROR(V72/V148, "NA")</f>
        <v>1.821602431786477E-2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215.75</v>
      </c>
      <c r="AC72" s="8">
        <f>IFERROR(AB72/AB148, "NA")</f>
        <v>4.482808093323026E-3</v>
      </c>
      <c r="AD72" s="10">
        <f t="shared" si="25"/>
        <v>-215.75</v>
      </c>
      <c r="AE72" s="11">
        <f>IFERROR(AD72/AD148, "NA")</f>
        <v>5.369379727760628E-2</v>
      </c>
      <c r="AF72" s="10">
        <f t="shared" si="26"/>
        <v>-1</v>
      </c>
      <c r="AG72" s="9">
        <f t="shared" si="27"/>
        <v>-126.625</v>
      </c>
      <c r="AH72" s="8">
        <f>IFERROR(AG72/AG148, "NA")</f>
        <v>-2.5253691152293269E-3</v>
      </c>
      <c r="AI72" s="10">
        <f t="shared" si="28"/>
        <v>126.625</v>
      </c>
      <c r="AJ72" s="11">
        <f>IFERROR(AI72/AI148, "NA")</f>
        <v>-2.0995601908465E-2</v>
      </c>
      <c r="AK72" s="10">
        <f t="shared" si="29"/>
        <v>-1</v>
      </c>
      <c r="AL72" s="11">
        <f>IFERROR(AK72/AK148, "NA")</f>
        <v>8.3138745072355107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925.42</v>
      </c>
      <c r="C74" s="8">
        <f>IFERROR(B74/B148, "NA")</f>
        <v>1.8309779177438978E-2</v>
      </c>
      <c r="D74" s="7">
        <v>868.41</v>
      </c>
      <c r="E74" s="8">
        <f>IFERROR(D74/D148, "NA")</f>
        <v>1.8363847405882663E-2</v>
      </c>
      <c r="F74" s="7">
        <v>849.49</v>
      </c>
      <c r="G74" s="8">
        <f>IFERROR(F74/F148, "NA")</f>
        <v>1.767924825161727E-2</v>
      </c>
      <c r="H74" s="7">
        <v>837.16</v>
      </c>
      <c r="I74" s="8">
        <f>IFERROR(H74/H148, "NA")</f>
        <v>1.9724178163170007E-2</v>
      </c>
      <c r="J74" s="7">
        <v>1103.42</v>
      </c>
      <c r="K74" s="8">
        <f>IFERROR(J74/J148, "NA")</f>
        <v>1.8291364855223341E-2</v>
      </c>
      <c r="L74" s="7">
        <v>1116.1500000000001</v>
      </c>
      <c r="M74" s="8">
        <f>IFERROR(L74/L148, "NA")</f>
        <v>1.8991402780913755E-2</v>
      </c>
      <c r="N74" s="7">
        <v>1016.17</v>
      </c>
      <c r="O74" s="8">
        <f>IFERROR(N74/N148, "NA")</f>
        <v>2.1152651632478377E-2</v>
      </c>
      <c r="P74" s="7">
        <v>1020.27</v>
      </c>
      <c r="Q74" s="8">
        <f>IFERROR(P74/P148, "NA")</f>
        <v>2.4596429977427895E-2</v>
      </c>
      <c r="R74" s="7">
        <v>1146.8599999999999</v>
      </c>
      <c r="S74" s="8">
        <f>IFERROR(R74/R148, "NA")</f>
        <v>2.3001240052554318E-2</v>
      </c>
      <c r="T74" s="7">
        <v>1081.04</v>
      </c>
      <c r="U74" s="8">
        <f>IFERROR(T74/T148, "NA")</f>
        <v>2.1127911185534892E-2</v>
      </c>
      <c r="V74" s="7">
        <v>1003.55</v>
      </c>
      <c r="W74" s="8">
        <f>IFERROR(V74/V148, "NA")</f>
        <v>2.1182724454453287E-2</v>
      </c>
      <c r="X74" s="7">
        <v>963.22</v>
      </c>
      <c r="Y74" s="8">
        <f>IFERROR(X74/X148, "NA")</f>
        <v>2.1836692498961689E-2</v>
      </c>
      <c r="Z74" s="7">
        <v>963.22</v>
      </c>
      <c r="AA74" s="8">
        <f>IFERROR(Z74/Z148, "NA")</f>
        <v>2.1836692498961689E-2</v>
      </c>
      <c r="AB74" s="9">
        <f t="shared" ref="AB74:AB85" si="30">IFERROR((R74+T74+V74+X74)/4, "NA")</f>
        <v>1048.6675</v>
      </c>
      <c r="AC74" s="8">
        <f>IFERROR(AB74/AB148, "NA")</f>
        <v>2.1788992612768596E-2</v>
      </c>
      <c r="AD74" s="10">
        <f t="shared" ref="AD74:AD85" si="31">IFERROR(X74-AB74, "NA")</f>
        <v>-85.447499999999991</v>
      </c>
      <c r="AE74" s="11">
        <f>IFERROR(AD74/AD148, "NA")</f>
        <v>2.1265356861544668E-2</v>
      </c>
      <c r="AF74" s="10">
        <f t="shared" ref="AF74:AF85" si="32">IFERROR((X74-AB74)/AB74, "NA")</f>
        <v>-8.1481975936128465E-2</v>
      </c>
      <c r="AG74" s="9">
        <f t="shared" ref="AG74:AG85" si="33">IFERROR((J74+L74+N74+P74+R74+T74+V74+X74)/8, "NA")</f>
        <v>1056.335</v>
      </c>
      <c r="AH74" s="8">
        <f>IFERROR(AG74/AG148, "NA")</f>
        <v>2.1067212512029782E-2</v>
      </c>
      <c r="AI74" s="10">
        <f t="shared" ref="AI74:AI85" si="34">IFERROR(X74-AG74, "NA")</f>
        <v>-93.115000000000009</v>
      </c>
      <c r="AJ74" s="11">
        <f>IFERROR(AI74/AI148, "NA")</f>
        <v>1.5439332451780601E-2</v>
      </c>
      <c r="AK74" s="10">
        <f t="shared" ref="AK74:AK85" si="35">IFERROR((X74-AG74)/AG74, "NA")</f>
        <v>-8.8149119360808839E-2</v>
      </c>
      <c r="AL74" s="11">
        <f>IFERROR(AK74/AK148, "NA")</f>
        <v>0.73286071628908889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925.42</v>
      </c>
      <c r="C81" s="14">
        <f>IFERROR(B81/B148, "NA")</f>
        <v>1.8309779177438978E-2</v>
      </c>
      <c r="D81" s="13">
        <f>IFERROR(D74+D75+D76+D77+D78+D79+D80, "NA")</f>
        <v>868.41</v>
      </c>
      <c r="E81" s="14">
        <f>IFERROR(D81/D148, "NA")</f>
        <v>1.8363847405882663E-2</v>
      </c>
      <c r="F81" s="13">
        <f>IFERROR(F74+F75+F76+F77+F78+F79+F80, "NA")</f>
        <v>849.49</v>
      </c>
      <c r="G81" s="14">
        <f>IFERROR(F81/F148, "NA")</f>
        <v>1.767924825161727E-2</v>
      </c>
      <c r="H81" s="13">
        <f>IFERROR(H74+H75+H76+H77+H78+H79+H80, "NA")</f>
        <v>837.16</v>
      </c>
      <c r="I81" s="14">
        <f>IFERROR(H81/H148, "NA")</f>
        <v>1.9724178163170007E-2</v>
      </c>
      <c r="J81" s="13">
        <f>IFERROR(J74+J75+J76+J77+J78+J79+J80, "NA")</f>
        <v>1103.42</v>
      </c>
      <c r="K81" s="14">
        <f>IFERROR(J81/J148, "NA")</f>
        <v>1.8291364855223341E-2</v>
      </c>
      <c r="L81" s="13">
        <f>IFERROR(L74+L75+L76+L77+L78+L79+L80, "NA")</f>
        <v>1116.1500000000001</v>
      </c>
      <c r="M81" s="14">
        <f>IFERROR(L81/L148, "NA")</f>
        <v>1.8991402780913755E-2</v>
      </c>
      <c r="N81" s="13">
        <f>IFERROR(N74+N75+N76+N77+N78+N79+N80, "NA")</f>
        <v>1016.17</v>
      </c>
      <c r="O81" s="14">
        <f>IFERROR(N81/N148, "NA")</f>
        <v>2.1152651632478377E-2</v>
      </c>
      <c r="P81" s="13">
        <f>IFERROR(P74+P75+P76+P77+P78+P79+P80, "NA")</f>
        <v>1020.27</v>
      </c>
      <c r="Q81" s="14">
        <f>IFERROR(P81/P148, "NA")</f>
        <v>2.4596429977427895E-2</v>
      </c>
      <c r="R81" s="13">
        <f>IFERROR(R74+R75+R76+R77+R78+R79+R80, "NA")</f>
        <v>1146.8599999999999</v>
      </c>
      <c r="S81" s="14">
        <f>IFERROR(R81/R148, "NA")</f>
        <v>2.3001240052554318E-2</v>
      </c>
      <c r="T81" s="13">
        <f>IFERROR(T74+T75+T76+T77+T78+T79+T80, "NA")</f>
        <v>1081.04</v>
      </c>
      <c r="U81" s="14">
        <f>IFERROR(T81/T148, "NA")</f>
        <v>2.1127911185534892E-2</v>
      </c>
      <c r="V81" s="13">
        <f>IFERROR(V74+V75+V76+V77+V78+V79+V80, "NA")</f>
        <v>1003.55</v>
      </c>
      <c r="W81" s="14">
        <f>IFERROR(V81/V148, "NA")</f>
        <v>2.1182724454453287E-2</v>
      </c>
      <c r="X81" s="13">
        <f>IFERROR(X74+X75+X76+X77+X78+X79+X80, "NA")</f>
        <v>963.22</v>
      </c>
      <c r="Y81" s="14">
        <f>IFERROR(X81/X148, "NA")</f>
        <v>2.1836692498961689E-2</v>
      </c>
      <c r="Z81" s="13">
        <f>IFERROR(Z74+Z75+Z76+Z77+Z78+Z79+Z80, "NA")</f>
        <v>963.22</v>
      </c>
      <c r="AA81" s="14">
        <f>IFERROR(Z81/Z148, "NA")</f>
        <v>2.1836692498961689E-2</v>
      </c>
      <c r="AB81" s="13">
        <f t="shared" si="30"/>
        <v>1048.6675</v>
      </c>
      <c r="AC81" s="14">
        <f>IFERROR(AB81/AB148, "NA")</f>
        <v>2.1788992612768596E-2</v>
      </c>
      <c r="AD81" s="15">
        <f t="shared" si="31"/>
        <v>-85.447499999999991</v>
      </c>
      <c r="AE81" s="16">
        <f>IFERROR(AD81/AD148, "NA")</f>
        <v>2.1265356861544668E-2</v>
      </c>
      <c r="AF81" s="15">
        <f t="shared" si="32"/>
        <v>-8.1481975936128465E-2</v>
      </c>
      <c r="AG81" s="13">
        <f t="shared" si="33"/>
        <v>1056.335</v>
      </c>
      <c r="AH81" s="14">
        <f>IFERROR(AG81/AG148, "NA")</f>
        <v>2.1067212512029782E-2</v>
      </c>
      <c r="AI81" s="15">
        <f t="shared" si="34"/>
        <v>-93.115000000000009</v>
      </c>
      <c r="AJ81" s="16">
        <f>IFERROR(AI81/AI148, "NA")</f>
        <v>1.5439332451780601E-2</v>
      </c>
      <c r="AK81" s="15">
        <f t="shared" si="35"/>
        <v>-8.8149119360808839E-2</v>
      </c>
      <c r="AL81" s="16">
        <f>IFERROR(AK81/AK148, "NA")</f>
        <v>0.73286071628908889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224.72</v>
      </c>
      <c r="I82" s="8">
        <f>IFERROR(H82/H148, "NA")</f>
        <v>5.294588031950361E-3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275.60000000000002</v>
      </c>
      <c r="Q82" s="8">
        <f>IFERROR(P82/P148, "NA")</f>
        <v>6.6441001909093959E-3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0</v>
      </c>
      <c r="AA82" s="8">
        <f>IFERROR(Z82/Z148, "NA")</f>
        <v>0</v>
      </c>
      <c r="AB82" s="9">
        <f t="shared" si="30"/>
        <v>0</v>
      </c>
      <c r="AC82" s="8">
        <f>IFERROR(AB82/AB148, "NA")</f>
        <v>0</v>
      </c>
      <c r="AD82" s="10">
        <f t="shared" si="31"/>
        <v>0</v>
      </c>
      <c r="AE82" s="11">
        <f>IFERROR(AD82/AD148, "NA")</f>
        <v>0</v>
      </c>
      <c r="AF82" s="10" t="str">
        <f t="shared" si="32"/>
        <v>NA</v>
      </c>
      <c r="AG82" s="9">
        <f t="shared" si="33"/>
        <v>34.450000000000003</v>
      </c>
      <c r="AH82" s="8">
        <f>IFERROR(AG82/AG148, "NA")</f>
        <v>6.8705994882250999E-4</v>
      </c>
      <c r="AI82" s="10">
        <f t="shared" si="34"/>
        <v>-34.450000000000003</v>
      </c>
      <c r="AJ82" s="11">
        <f>IFERROR(AI82/AI148, "NA")</f>
        <v>5.7121301934580006E-3</v>
      </c>
      <c r="AK82" s="10">
        <f t="shared" si="35"/>
        <v>-1</v>
      </c>
      <c r="AL82" s="11">
        <f>IFERROR(AK82/AK148, "NA")</f>
        <v>8.3138745072355107</v>
      </c>
    </row>
    <row r="83" spans="1:38" ht="16.5" customHeight="1">
      <c r="A83" s="23" t="s">
        <v>95</v>
      </c>
      <c r="B83" s="7">
        <v>-61.25</v>
      </c>
      <c r="C83" s="8">
        <f>IFERROR(B83/B148, "NA")</f>
        <v>-1.2118540496403119E-3</v>
      </c>
      <c r="D83" s="7">
        <v>423.12</v>
      </c>
      <c r="E83" s="8">
        <f>IFERROR(D83/D148, "NA")</f>
        <v>8.947514554619446E-3</v>
      </c>
      <c r="F83" s="7">
        <v>-61.25</v>
      </c>
      <c r="G83" s="8">
        <f>IFERROR(F83/F148, "NA")</f>
        <v>-1.274710656289724E-3</v>
      </c>
      <c r="H83" s="7">
        <v>-61.25</v>
      </c>
      <c r="I83" s="8">
        <f>IFERROR(H83/H148, "NA")</f>
        <v>-1.443100378056958E-3</v>
      </c>
      <c r="J83" s="7">
        <v>0</v>
      </c>
      <c r="K83" s="8">
        <f>IFERROR(J83/J148, "NA")</f>
        <v>0</v>
      </c>
      <c r="L83" s="7">
        <v>484.37</v>
      </c>
      <c r="M83" s="8">
        <f>IFERROR(L83/L148, "NA")</f>
        <v>8.2416035165445468E-3</v>
      </c>
      <c r="N83" s="7">
        <v>0</v>
      </c>
      <c r="O83" s="8">
        <f>IFERROR(N83/N148, "NA")</f>
        <v>0</v>
      </c>
      <c r="P83" s="7">
        <v>-245</v>
      </c>
      <c r="Q83" s="8">
        <f>IFERROR(P83/P148, "NA")</f>
        <v>-5.90640256448767E-3</v>
      </c>
      <c r="R83" s="7">
        <v>-61.25</v>
      </c>
      <c r="S83" s="8">
        <f>IFERROR(R83/R148, "NA")</f>
        <v>-1.228420167430159E-3</v>
      </c>
      <c r="T83" s="7">
        <v>423.12</v>
      </c>
      <c r="U83" s="8">
        <f>IFERROR(T83/T148, "NA")</f>
        <v>8.2694828876114894E-3</v>
      </c>
      <c r="V83" s="7">
        <v>-61.25</v>
      </c>
      <c r="W83" s="8">
        <f>IFERROR(V83/V148, "NA")</f>
        <v>-1.292852247357146E-3</v>
      </c>
      <c r="X83" s="7">
        <v>-61.25</v>
      </c>
      <c r="Y83" s="8">
        <f>IFERROR(X83/X148, "NA")</f>
        <v>-1.388568982746832E-3</v>
      </c>
      <c r="Z83" s="7">
        <v>-61.25</v>
      </c>
      <c r="AA83" s="8">
        <f>IFERROR(Z83/Z148, "NA")</f>
        <v>-1.388568982746832E-3</v>
      </c>
      <c r="AB83" s="9">
        <f t="shared" si="30"/>
        <v>59.842500000000001</v>
      </c>
      <c r="AC83" s="8">
        <f>IFERROR(AB83/AB148, "NA")</f>
        <v>1.2433948705663183E-3</v>
      </c>
      <c r="AD83" s="10">
        <f t="shared" si="31"/>
        <v>-121.0925</v>
      </c>
      <c r="AE83" s="11">
        <f>IFERROR(AD83/AD148, "NA")</f>
        <v>3.0136343670167039E-2</v>
      </c>
      <c r="AF83" s="10">
        <f t="shared" si="32"/>
        <v>-2.0235200735263401</v>
      </c>
      <c r="AG83" s="9">
        <f t="shared" si="33"/>
        <v>59.842500000000001</v>
      </c>
      <c r="AH83" s="8">
        <f>IFERROR(AG83/AG148, "NA")</f>
        <v>1.193479970606997E-3</v>
      </c>
      <c r="AI83" s="10">
        <f t="shared" si="34"/>
        <v>-121.0925</v>
      </c>
      <c r="AJ83" s="11">
        <f>IFERROR(AI83/AI148, "NA")</f>
        <v>2.0078261986975699E-2</v>
      </c>
      <c r="AK83" s="10">
        <f t="shared" si="35"/>
        <v>-2.0235200735263401</v>
      </c>
      <c r="AL83" s="11">
        <f>IFERROR(AK83/AK148, "NA")</f>
        <v>16.823291954169967</v>
      </c>
    </row>
    <row r="84" spans="1:38" ht="16.5" customHeight="1">
      <c r="A84" s="27" t="s">
        <v>96</v>
      </c>
      <c r="B84" s="13">
        <f>IFERROR(B63+B65+B66+B67+B68+B69+B71+B72+B74+B75+B76+B77+B78+B79+B80+B82+B83, "NA")</f>
        <v>10125.43</v>
      </c>
      <c r="C84" s="14">
        <f>IFERROR(B84/B148, "NA")</f>
        <v>0.20033540163019598</v>
      </c>
      <c r="D84" s="13">
        <f>IFERROR(D63+D65+D66+D67+D68+D69+D71+D72+D74+D75+D76+D77+D78+D79+D80+D82+D83, "NA")</f>
        <v>10208.450000000001</v>
      </c>
      <c r="E84" s="14">
        <f>IFERROR(D84/D148, "NA")</f>
        <v>0.21587316826220668</v>
      </c>
      <c r="F84" s="13">
        <f>IFERROR(F63+F65+F66+F67+F68+F69+F71+F72+F74+F75+F76+F77+F78+F79+F80+F82+F83, "NA")</f>
        <v>10489.710000000001</v>
      </c>
      <c r="G84" s="14">
        <f>IFERROR(F84/F148, "NA")</f>
        <v>0.21830767540226748</v>
      </c>
      <c r="H84" s="13">
        <f>IFERROR(H63+H65+H66+H67+H68+H69+H71+H72+H74+H75+H76+H77+H78+H79+H80+H82+H83, "NA")</f>
        <v>9805.6999999999989</v>
      </c>
      <c r="I84" s="14">
        <f>IFERROR(H84/H148, "NA")</f>
        <v>0.2310303571773569</v>
      </c>
      <c r="J84" s="13">
        <f>IFERROR(J63+J65+J66+J67+J68+J69+J71+J72+J74+J75+J76+J77+J78+J79+J80+J82+J83, "NA")</f>
        <v>12005.95</v>
      </c>
      <c r="K84" s="14">
        <f>IFERROR(J84/J148, "NA")</f>
        <v>0.19902232321651653</v>
      </c>
      <c r="L84" s="13">
        <f>IFERROR(L63+L65+L66+L67+L68+L69+L71+L72+L74+L75+L76+L77+L78+L79+L80+L82+L83, "NA")</f>
        <v>12605.800000000001</v>
      </c>
      <c r="M84" s="14">
        <f>IFERROR(L84/L148, "NA")</f>
        <v>0.21448893533632812</v>
      </c>
      <c r="N84" s="13">
        <f>IFERROR(N63+N65+N66+N67+N68+N69+N71+N72+N74+N75+N76+N77+N78+N79+N80+N82+N83, "NA")</f>
        <v>9305.1299999999992</v>
      </c>
      <c r="O84" s="14">
        <f>IFERROR(N84/N148, "NA")</f>
        <v>0.19369610723099828</v>
      </c>
      <c r="P84" s="13">
        <f>IFERROR(P63+P65+P66+P67+P68+P69+P71+P72+P74+P75+P76+P77+P78+P79+P80+P82+P83, "NA")</f>
        <v>10410.230000000001</v>
      </c>
      <c r="Q84" s="14">
        <f>IFERROR(P84/P148, "NA")</f>
        <v>0.25096738436288363</v>
      </c>
      <c r="R84" s="13">
        <f>IFERROR(R63+R65+R66+R67+R68+R69+R71+R72+R74+R75+R76+R77+R78+R79+R80+R82+R83, "NA")</f>
        <v>12070.47</v>
      </c>
      <c r="S84" s="14">
        <f>IFERROR(R84/R148, "NA")</f>
        <v>0.24208340862629732</v>
      </c>
      <c r="T84" s="13">
        <f>IFERROR(T63+T65+T66+T67+T68+T69+T71+T72+T74+T75+T76+T77+T78+T79+T80+T82+T83, "NA")</f>
        <v>11983.820000000002</v>
      </c>
      <c r="U84" s="14">
        <f>IFERROR(T84/T148, "NA")</f>
        <v>0.23421250335180641</v>
      </c>
      <c r="V84" s="13">
        <f>IFERROR(V63+V65+V66+V67+V68+V69+V71+V72+V74+V75+V76+V77+V78+V79+V80+V82+V83, "NA")</f>
        <v>11496.97</v>
      </c>
      <c r="W84" s="14">
        <f>IFERROR(V84/V148, "NA")</f>
        <v>0.24267564901710509</v>
      </c>
      <c r="X84" s="13">
        <f>IFERROR(X63+X65+X66+X67+X68+X69+X71+X72+X74+X75+X76+X77+X78+X79+X80+X82+X83, "NA")</f>
        <v>10548.759999999998</v>
      </c>
      <c r="Y84" s="14">
        <f>IFERROR(X84/X148, "NA")</f>
        <v>0.2391458113051505</v>
      </c>
      <c r="Z84" s="13">
        <f>IFERROR(Z63+Z65+Z66+Z67+Z68+Z69+Z71+Z72+Z74+Z75+Z76+Z77+Z78+Z79+Z80+Z82+Z83, "NA")</f>
        <v>10548.759999999998</v>
      </c>
      <c r="AA84" s="14">
        <f>IFERROR(Z84/Z148, "NA")</f>
        <v>0.2391458113051505</v>
      </c>
      <c r="AB84" s="13">
        <f t="shared" si="30"/>
        <v>11525.005000000001</v>
      </c>
      <c r="AC84" s="14">
        <f>IFERROR(AB84/AB148, "NA")</f>
        <v>0.23946412834108155</v>
      </c>
      <c r="AD84" s="15">
        <f t="shared" si="31"/>
        <v>-976.24500000000262</v>
      </c>
      <c r="AE84" s="16">
        <f>IFERROR(AD84/AD148, "NA")</f>
        <v>0.24295852200823584</v>
      </c>
      <c r="AF84" s="15">
        <f t="shared" si="32"/>
        <v>-8.4706687762825486E-2</v>
      </c>
      <c r="AG84" s="13">
        <f t="shared" si="33"/>
        <v>11303.391250000001</v>
      </c>
      <c r="AH84" s="14">
        <f>IFERROR(AG84/AG148, "NA")</f>
        <v>0.22543127470960253</v>
      </c>
      <c r="AI84" s="15">
        <f t="shared" si="34"/>
        <v>-754.63125000000218</v>
      </c>
      <c r="AJ84" s="16">
        <f>IFERROR(AI84/AI148, "NA")</f>
        <v>0.12512487512487561</v>
      </c>
      <c r="AK84" s="15">
        <f t="shared" si="35"/>
        <v>-6.6761490716337205E-2</v>
      </c>
      <c r="AL84" s="16">
        <f>IFERROR(AK84/AK148, "NA")</f>
        <v>0.55504665573159617</v>
      </c>
    </row>
    <row r="85" spans="1:38" ht="16.5" customHeight="1">
      <c r="A85" s="12" t="s">
        <v>96</v>
      </c>
      <c r="B85" s="28">
        <f>IFERROR(B63+B65+B66+B67+B68+B69+B71+B72+B74+B75+B76+B77+B78+B79+B80+B82+B83, "NA")</f>
        <v>10125.43</v>
      </c>
      <c r="C85" s="29">
        <f>IFERROR(B85/B148, "NA")</f>
        <v>0.20033540163019598</v>
      </c>
      <c r="D85" s="28">
        <f>IFERROR(D63+D65+D66+D67+D68+D69+D71+D72+D74+D75+D76+D77+D78+D79+D80+D82+D83, "NA")</f>
        <v>10208.450000000001</v>
      </c>
      <c r="E85" s="29">
        <f>IFERROR(D85/D148, "NA")</f>
        <v>0.21587316826220668</v>
      </c>
      <c r="F85" s="28">
        <f>IFERROR(F63+F65+F66+F67+F68+F69+F71+F72+F74+F75+F76+F77+F78+F79+F80+F82+F83, "NA")</f>
        <v>10489.710000000001</v>
      </c>
      <c r="G85" s="29">
        <f>IFERROR(F85/F148, "NA")</f>
        <v>0.21830767540226748</v>
      </c>
      <c r="H85" s="28">
        <f>IFERROR(H63+H65+H66+H67+H68+H69+H71+H72+H74+H75+H76+H77+H78+H79+H80+H82+H83, "NA")</f>
        <v>9805.6999999999989</v>
      </c>
      <c r="I85" s="29">
        <f>IFERROR(H85/H148, "NA")</f>
        <v>0.2310303571773569</v>
      </c>
      <c r="J85" s="28">
        <f>IFERROR(J63+J65+J66+J67+J68+J69+J71+J72+J74+J75+J76+J77+J78+J79+J80+J82+J83, "NA")</f>
        <v>12005.95</v>
      </c>
      <c r="K85" s="29">
        <f>IFERROR(J85/J148, "NA")</f>
        <v>0.19902232321651653</v>
      </c>
      <c r="L85" s="28">
        <f>IFERROR(L63+L65+L66+L67+L68+L69+L71+L72+L74+L75+L76+L77+L78+L79+L80+L82+L83, "NA")</f>
        <v>12605.800000000001</v>
      </c>
      <c r="M85" s="29">
        <f>IFERROR(L85/L148, "NA")</f>
        <v>0.21448893533632812</v>
      </c>
      <c r="N85" s="28">
        <f>IFERROR(N63+N65+N66+N67+N68+N69+N71+N72+N74+N75+N76+N77+N78+N79+N80+N82+N83, "NA")</f>
        <v>9305.1299999999992</v>
      </c>
      <c r="O85" s="29">
        <f>IFERROR(N85/N148, "NA")</f>
        <v>0.19369610723099828</v>
      </c>
      <c r="P85" s="28">
        <f>IFERROR(P63+P65+P66+P67+P68+P69+P71+P72+P74+P75+P76+P77+P78+P79+P80+P82+P83, "NA")</f>
        <v>10410.230000000001</v>
      </c>
      <c r="Q85" s="29">
        <f>IFERROR(P85/P148, "NA")</f>
        <v>0.25096738436288363</v>
      </c>
      <c r="R85" s="28">
        <f>IFERROR(R63+R65+R66+R67+R68+R69+R71+R72+R74+R75+R76+R77+R78+R79+R80+R82+R83, "NA")</f>
        <v>12070.47</v>
      </c>
      <c r="S85" s="29">
        <f>IFERROR(R85/R148, "NA")</f>
        <v>0.24208340862629732</v>
      </c>
      <c r="T85" s="28">
        <f>IFERROR(T63+T65+T66+T67+T68+T69+T71+T72+T74+T75+T76+T77+T78+T79+T80+T82+T83, "NA")</f>
        <v>11983.820000000002</v>
      </c>
      <c r="U85" s="29">
        <f>IFERROR(T85/T148, "NA")</f>
        <v>0.23421250335180641</v>
      </c>
      <c r="V85" s="28">
        <f>IFERROR(V63+V65+V66+V67+V68+V69+V71+V72+V74+V75+V76+V77+V78+V79+V80+V82+V83, "NA")</f>
        <v>11496.97</v>
      </c>
      <c r="W85" s="29">
        <f>IFERROR(V85/V148, "NA")</f>
        <v>0.24267564901710509</v>
      </c>
      <c r="X85" s="28">
        <f>IFERROR(X63+X65+X66+X67+X68+X69+X71+X72+X74+X75+X76+X77+X78+X79+X80+X82+X83, "NA")</f>
        <v>10548.759999999998</v>
      </c>
      <c r="Y85" s="29">
        <f>IFERROR(X85/X148, "NA")</f>
        <v>0.2391458113051505</v>
      </c>
      <c r="Z85" s="28">
        <f>IFERROR(Z63+Z65+Z66+Z67+Z68+Z69+Z71+Z72+Z74+Z75+Z76+Z77+Z78+Z79+Z80+Z82+Z83, "NA")</f>
        <v>10548.759999999998</v>
      </c>
      <c r="AA85" s="29">
        <f>IFERROR(Z85/Z148, "NA")</f>
        <v>0.2391458113051505</v>
      </c>
      <c r="AB85" s="28">
        <f t="shared" si="30"/>
        <v>11525.005000000001</v>
      </c>
      <c r="AC85" s="29">
        <f>IFERROR(AB85/AB148, "NA")</f>
        <v>0.23946412834108155</v>
      </c>
      <c r="AD85" s="30">
        <f t="shared" si="31"/>
        <v>-976.24500000000262</v>
      </c>
      <c r="AE85" s="31">
        <f>IFERROR(AD85/AD148, "NA")</f>
        <v>0.24295852200823584</v>
      </c>
      <c r="AF85" s="30">
        <f t="shared" si="32"/>
        <v>-8.4706687762825486E-2</v>
      </c>
      <c r="AG85" s="28">
        <f t="shared" si="33"/>
        <v>11303.391250000001</v>
      </c>
      <c r="AH85" s="29">
        <f>IFERROR(AG85/AG148, "NA")</f>
        <v>0.22543127470960253</v>
      </c>
      <c r="AI85" s="30">
        <f t="shared" si="34"/>
        <v>-754.63125000000218</v>
      </c>
      <c r="AJ85" s="31">
        <f>IFERROR(AI85/AI148, "NA")</f>
        <v>0.12512487512487561</v>
      </c>
      <c r="AK85" s="30">
        <f t="shared" si="35"/>
        <v>-6.6761490716337205E-2</v>
      </c>
      <c r="AL85" s="31">
        <f>IFERROR(AK85/AK148, "NA")</f>
        <v>0.55504665573159617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27641.079999999994</v>
      </c>
      <c r="C87" s="34">
        <f>IFERROR(B87/B148, "NA")</f>
        <v>0.54688905688868283</v>
      </c>
      <c r="D87" s="33">
        <f>IFERROR(D59-D85, "NA")</f>
        <v>24829.14000000001</v>
      </c>
      <c r="E87" s="34">
        <f>IFERROR(D87/D148, "NA")</f>
        <v>0.52504984762876716</v>
      </c>
      <c r="F87" s="33">
        <f>IFERROR(F59-F85, "NA")</f>
        <v>25638.940000000002</v>
      </c>
      <c r="G87" s="34">
        <f>IFERROR(F87/F148, "NA")</f>
        <v>0.53358742912608748</v>
      </c>
      <c r="H87" s="33">
        <f>IFERROR(H59-H85, "NA")</f>
        <v>22726.319999999992</v>
      </c>
      <c r="I87" s="34">
        <f>IFERROR(H87/H148, "NA")</f>
        <v>0.53545079157295339</v>
      </c>
      <c r="J87" s="33">
        <f>IFERROR(J59-J85, "NA")</f>
        <v>34155.069999999992</v>
      </c>
      <c r="K87" s="34">
        <f>IFERROR(J87/J148, "NA")</f>
        <v>0.56618771367719711</v>
      </c>
      <c r="L87" s="33">
        <f>IFERROR(L59-L85, "NA")</f>
        <v>33338.109999999986</v>
      </c>
      <c r="M87" s="34">
        <f>IFERROR(L87/L148, "NA")</f>
        <v>0.56725124308059705</v>
      </c>
      <c r="N87" s="33">
        <f>IFERROR(N59-N85, "NA")</f>
        <v>27514.15</v>
      </c>
      <c r="O87" s="34">
        <f>IFERROR(N87/N148, "NA")</f>
        <v>0.57273608738080739</v>
      </c>
      <c r="P87" s="33">
        <f>IFERROR(P59-P85, "NA")</f>
        <v>20222.799999999996</v>
      </c>
      <c r="Q87" s="34">
        <f>IFERROR(P87/P148, "NA")</f>
        <v>0.48752652155559684</v>
      </c>
      <c r="R87" s="33">
        <f>IFERROR(R59-R85, "NA")</f>
        <v>25469.969999999987</v>
      </c>
      <c r="S87" s="34">
        <f>IFERROR(R87/R148, "NA")</f>
        <v>0.51082162958107935</v>
      </c>
      <c r="T87" s="33">
        <f>IFERROR(T59-T85, "NA")</f>
        <v>27459.060000000012</v>
      </c>
      <c r="U87" s="34">
        <f>IFERROR(T87/T148, "NA")</f>
        <v>0.53666153048756193</v>
      </c>
      <c r="V87" s="33">
        <f>IFERROR(V59-V85, "NA")</f>
        <v>24791.170000000006</v>
      </c>
      <c r="W87" s="34">
        <f>IFERROR(V87/V148, "NA")</f>
        <v>0.52328685467939695</v>
      </c>
      <c r="X87" s="33">
        <f>IFERROR(X59-X85, "NA")</f>
        <v>22929.530000000002</v>
      </c>
      <c r="Y87" s="34">
        <f>IFERROR(X87/X148, "NA")</f>
        <v>0.51982423097082398</v>
      </c>
      <c r="Z87" s="33">
        <f>IFERROR(Z59-Z85, "NA")</f>
        <v>22929.530000000002</v>
      </c>
      <c r="AA87" s="34">
        <f>IFERROR(Z87/Z148, "NA")</f>
        <v>0.51982423097082398</v>
      </c>
      <c r="AB87" s="33">
        <f>IFERROR((R87+T87+V87+X87)/4, "NA")</f>
        <v>25162.432500000003</v>
      </c>
      <c r="AC87" s="34">
        <f>IFERROR(AB87/AB148, "NA")</f>
        <v>0.52281972680738986</v>
      </c>
      <c r="AD87" s="15">
        <f>IFERROR(X87-AB87, "NA")</f>
        <v>-2232.9025000000001</v>
      </c>
      <c r="AE87" s="16">
        <f>IFERROR(AD87/AD148, "NA")</f>
        <v>0.55570342607490275</v>
      </c>
      <c r="AF87" s="15">
        <f>IFERROR((X87-AB87)/AB87, "NA")</f>
        <v>-8.8739532634613122E-2</v>
      </c>
      <c r="AG87" s="33">
        <f>IFERROR((J87+L87+N87+P87+R87+T87+V87+X87)/8, "NA")</f>
        <v>26984.982499999998</v>
      </c>
      <c r="AH87" s="34">
        <f>IFERROR(AG87/AG148, "NA")</f>
        <v>0.53817999115896442</v>
      </c>
      <c r="AI87" s="15">
        <f>IFERROR(X87-AG87, "NA")</f>
        <v>-4055.4524999999958</v>
      </c>
      <c r="AJ87" s="16">
        <f>IFERROR(AI87/AI148, "NA")</f>
        <v>0.67243171765993337</v>
      </c>
      <c r="AK87" s="15">
        <f>IFERROR((X87-AG87)/AG87, "NA")</f>
        <v>-0.15028553381496526</v>
      </c>
      <c r="AL87" s="16">
        <f>IFERROR(AK87/AK148, "NA")</f>
        <v>1.2494550683905201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504.59</v>
      </c>
      <c r="C90" s="8">
        <f>IFERROR(B90/B148, "NA")</f>
        <v>9.9835009780898758E-3</v>
      </c>
      <c r="D90" s="7">
        <v>1099.4499999999998</v>
      </c>
      <c r="E90" s="8">
        <f>IFERROR(D90/D148, "NA")</f>
        <v>2.3249538847316006E-2</v>
      </c>
      <c r="F90" s="7">
        <v>830.36</v>
      </c>
      <c r="G90" s="8">
        <f>IFERROR(F90/F148, "NA")</f>
        <v>1.7281122294803841E-2</v>
      </c>
      <c r="H90" s="7">
        <v>602.38</v>
      </c>
      <c r="I90" s="8">
        <f>IFERROR(H90/H148, "NA")</f>
        <v>1.4192568256880821E-2</v>
      </c>
      <c r="J90" s="7">
        <v>1205.3799999999997</v>
      </c>
      <c r="K90" s="8">
        <f>IFERROR(J90/J148, "NA")</f>
        <v>1.9981553143126916E-2</v>
      </c>
      <c r="L90" s="7">
        <v>900.44</v>
      </c>
      <c r="M90" s="8">
        <f>IFERROR(L90/L148, "NA")</f>
        <v>1.5321075769427032E-2</v>
      </c>
      <c r="N90" s="7">
        <v>1010.4799999999999</v>
      </c>
      <c r="O90" s="8">
        <f>IFERROR(N90/N148, "NA")</f>
        <v>2.1034208273799412E-2</v>
      </c>
      <c r="P90" s="7">
        <v>744.20999999999992</v>
      </c>
      <c r="Q90" s="8">
        <f>IFERROR(P90/P148, "NA")</f>
        <v>1.7941240214356606E-2</v>
      </c>
      <c r="R90" s="7">
        <v>475.95</v>
      </c>
      <c r="S90" s="8">
        <f>IFERROR(R90/R148, "NA")</f>
        <v>9.5455767949123946E-3</v>
      </c>
      <c r="T90" s="7">
        <v>851.93</v>
      </c>
      <c r="U90" s="8">
        <f>IFERROR(T90/T148, "NA")</f>
        <v>1.6650171479587007E-2</v>
      </c>
      <c r="V90" s="7">
        <v>974.20999999999992</v>
      </c>
      <c r="W90" s="8">
        <f>IFERROR(V90/V148, "NA")</f>
        <v>2.0563421843229474E-2</v>
      </c>
      <c r="X90" s="7">
        <v>491.7</v>
      </c>
      <c r="Y90" s="8">
        <f>IFERROR(X90/X148, "NA")</f>
        <v>1.1147091735781506E-2</v>
      </c>
      <c r="Z90" s="7">
        <v>491.7</v>
      </c>
      <c r="AA90" s="8">
        <f>IFERROR(Z90/Z148, "NA")</f>
        <v>1.1147091735781506E-2</v>
      </c>
      <c r="AB90" s="9">
        <f t="shared" ref="AB90:AB99" si="36">IFERROR((R90+T90+V90+X90)/4, "NA")</f>
        <v>698.44749999999988</v>
      </c>
      <c r="AC90" s="8">
        <f>IFERROR(AB90/AB148, "NA")</f>
        <v>1.4512195159959367E-2</v>
      </c>
      <c r="AD90" s="10">
        <f t="shared" ref="AD90:AD99" si="37">IFERROR(X90-AB90, "NA")</f>
        <v>-206.74749999999989</v>
      </c>
      <c r="AE90" s="11">
        <f>IFERROR(AD90/AD148, "NA")</f>
        <v>5.1453341147865116E-2</v>
      </c>
      <c r="AF90" s="10">
        <f t="shared" ref="AF90:AF99" si="38">IFERROR((X90-AB90)/AB90, "NA")</f>
        <v>-0.29601007949774311</v>
      </c>
      <c r="AG90" s="9">
        <f t="shared" ref="AG90:AG99" si="39">IFERROR((J90+L90+N90+P90+R90+T90+V90+X90)/8, "NA")</f>
        <v>831.78750000000002</v>
      </c>
      <c r="AH90" s="8">
        <f>IFERROR(AG90/AG148, "NA")</f>
        <v>1.6588907900760622E-2</v>
      </c>
      <c r="AI90" s="10">
        <f t="shared" ref="AI90:AI99" si="40">IFERROR(X90-AG90, "NA")</f>
        <v>-340.08750000000003</v>
      </c>
      <c r="AJ90" s="11">
        <f>IFERROR(AI90/AI148, "NA")</f>
        <v>5.6389668422863505E-2</v>
      </c>
      <c r="AK90" s="10">
        <f t="shared" ref="AK90:AK99" si="41">IFERROR((X90-AG90)/AG90, "NA")</f>
        <v>-0.40886344168432442</v>
      </c>
      <c r="AL90" s="11">
        <f>IFERROR(AK90/AK148, "NA")</f>
        <v>3.3992393447598777</v>
      </c>
    </row>
    <row r="91" spans="1:38" ht="16.5" hidden="1" customHeight="1">
      <c r="A91" s="6" t="s">
        <v>100</v>
      </c>
      <c r="B91" s="7">
        <v>827.78</v>
      </c>
      <c r="C91" s="8">
        <f>IFERROR(B91/B148, "NA")</f>
        <v>1.6377935432020527E-2</v>
      </c>
      <c r="D91" s="7">
        <v>2356.9499999999998</v>
      </c>
      <c r="E91" s="8">
        <f>IFERROR(D91/D148, "NA")</f>
        <v>4.984128481166171E-2</v>
      </c>
      <c r="F91" s="7">
        <v>3915.6</v>
      </c>
      <c r="G91" s="8">
        <f>IFERROR(F91/F148, "NA")</f>
        <v>8.1489910951314998E-2</v>
      </c>
      <c r="H91" s="7">
        <v>4147.83</v>
      </c>
      <c r="I91" s="8">
        <f>IFERROR(H91/H148, "NA")</f>
        <v>9.7726286385567213E-2</v>
      </c>
      <c r="J91" s="7">
        <v>4671.34</v>
      </c>
      <c r="K91" s="8">
        <f>IFERROR(J91/J148, "NA")</f>
        <v>7.7436682589402936E-2</v>
      </c>
      <c r="L91" s="7">
        <v>5913.32</v>
      </c>
      <c r="M91" s="8">
        <f>IFERROR(L91/L148, "NA")</f>
        <v>0.10061572538855254</v>
      </c>
      <c r="N91" s="7">
        <v>1475.94</v>
      </c>
      <c r="O91" s="8">
        <f>IFERROR(N91/N148, "NA")</f>
        <v>3.0723249702746723E-2</v>
      </c>
      <c r="P91" s="7">
        <v>1308.29</v>
      </c>
      <c r="Q91" s="8">
        <f>IFERROR(P91/P148, "NA")</f>
        <v>3.153994861670846E-2</v>
      </c>
      <c r="R91" s="7">
        <v>1076.97</v>
      </c>
      <c r="S91" s="8">
        <f>IFERROR(R91/R148, "NA")</f>
        <v>2.1599537432118506E-2</v>
      </c>
      <c r="T91" s="7">
        <v>2844.63</v>
      </c>
      <c r="U91" s="8">
        <f>IFERROR(T91/T148, "NA")</f>
        <v>5.5595620879623442E-2</v>
      </c>
      <c r="V91" s="7">
        <v>3014.6000000000004</v>
      </c>
      <c r="W91" s="8">
        <f>IFERROR(V91/V148, "NA")</f>
        <v>6.3631549140944543E-2</v>
      </c>
      <c r="X91" s="7">
        <v>2993.4799999999996</v>
      </c>
      <c r="Y91" s="8">
        <f>IFERROR(X91/X148, "NA")</f>
        <v>6.7863730260783448E-2</v>
      </c>
      <c r="Z91" s="7">
        <v>2993.4799999999996</v>
      </c>
      <c r="AA91" s="8">
        <f>IFERROR(Z91/Z148, "NA")</f>
        <v>6.7863730260783448E-2</v>
      </c>
      <c r="AB91" s="9">
        <f t="shared" si="36"/>
        <v>2482.42</v>
      </c>
      <c r="AC91" s="8">
        <f>IFERROR(AB91/AB148, "NA")</f>
        <v>5.157920031066951E-2</v>
      </c>
      <c r="AD91" s="10">
        <f t="shared" si="37"/>
        <v>511.05999999999949</v>
      </c>
      <c r="AE91" s="11">
        <f>IFERROR(AD91/AD148, "NA")</f>
        <v>-0.1271877267054157</v>
      </c>
      <c r="AF91" s="10">
        <f t="shared" si="38"/>
        <v>0.20587168972212577</v>
      </c>
      <c r="AG91" s="9">
        <f t="shared" si="39"/>
        <v>2912.3212499999995</v>
      </c>
      <c r="AH91" s="8">
        <f>IFERROR(AG91/AG148, "NA")</f>
        <v>5.8082417677204873E-2</v>
      </c>
      <c r="AI91" s="10">
        <f t="shared" si="40"/>
        <v>81.158750000000055</v>
      </c>
      <c r="AJ91" s="11">
        <f>IFERROR(AI91/AI148, "NA")</f>
        <v>-1.3456875075132359E-2</v>
      </c>
      <c r="AK91" s="10">
        <f t="shared" si="41"/>
        <v>2.7867375551375063E-2</v>
      </c>
      <c r="AL91" s="11">
        <f>IFERROR(AK91/AK148, "NA")</f>
        <v>-0.23168586318013529</v>
      </c>
    </row>
    <row r="92" spans="1:38" ht="16.5" hidden="1" customHeight="1">
      <c r="A92" s="6" t="s">
        <v>101</v>
      </c>
      <c r="B92" s="7">
        <v>891</v>
      </c>
      <c r="C92" s="8">
        <f>IFERROR(B92/B148, "NA")</f>
        <v>1.7628766664971721E-2</v>
      </c>
      <c r="D92" s="7">
        <v>1228.21</v>
      </c>
      <c r="E92" s="8">
        <f>IFERROR(D92/D148, "NA")</f>
        <v>2.5972364461923688E-2</v>
      </c>
      <c r="F92" s="7">
        <v>1010.62</v>
      </c>
      <c r="G92" s="8">
        <f>IFERROR(F92/F148, "NA")</f>
        <v>2.1032621770767691E-2</v>
      </c>
      <c r="H92" s="7">
        <v>639.41</v>
      </c>
      <c r="I92" s="8">
        <f>IFERROR(H92/H148, "NA")</f>
        <v>1.5065025514014684E-2</v>
      </c>
      <c r="J92" s="7">
        <v>921.43999999999994</v>
      </c>
      <c r="K92" s="8">
        <f>IFERROR(J92/J148, "NA")</f>
        <v>1.5274687093035283E-2</v>
      </c>
      <c r="L92" s="7">
        <v>949.68</v>
      </c>
      <c r="M92" s="8">
        <f>IFERROR(L92/L148, "NA")</f>
        <v>1.6158899245601554E-2</v>
      </c>
      <c r="N92" s="7">
        <v>1316.9399999999998</v>
      </c>
      <c r="O92" s="8">
        <f>IFERROR(N92/N148, "NA")</f>
        <v>2.7413496797657942E-2</v>
      </c>
      <c r="P92" s="7">
        <v>1195.6499999999999</v>
      </c>
      <c r="Q92" s="8">
        <f>IFERROR(P92/P148, "NA")</f>
        <v>2.8824449902978291E-2</v>
      </c>
      <c r="R92" s="7">
        <v>1150.6599999999999</v>
      </c>
      <c r="S92" s="8">
        <f>IFERROR(R92/R148, "NA")</f>
        <v>2.3077452242533658E-2</v>
      </c>
      <c r="T92" s="7">
        <v>1331.71</v>
      </c>
      <c r="U92" s="8">
        <f>IFERROR(T92/T148, "NA")</f>
        <v>2.6027020836313801E-2</v>
      </c>
      <c r="V92" s="7">
        <v>1110.3599999999999</v>
      </c>
      <c r="W92" s="8">
        <f>IFERROR(V92/V148, "NA")</f>
        <v>2.3437247695926214E-2</v>
      </c>
      <c r="X92" s="7">
        <v>0</v>
      </c>
      <c r="Y92" s="8">
        <f>IFERROR(X92/X148, "NA")</f>
        <v>0</v>
      </c>
      <c r="Z92" s="7">
        <v>0</v>
      </c>
      <c r="AA92" s="8">
        <f>IFERROR(Z92/Z148, "NA")</f>
        <v>0</v>
      </c>
      <c r="AB92" s="9">
        <f t="shared" si="36"/>
        <v>898.18249999999989</v>
      </c>
      <c r="AC92" s="8">
        <f>IFERROR(AB92/AB148, "NA")</f>
        <v>1.8662246953794245E-2</v>
      </c>
      <c r="AD92" s="10">
        <f t="shared" si="37"/>
        <v>-898.18249999999989</v>
      </c>
      <c r="AE92" s="11">
        <f>IFERROR(AD92/AD148, "NA")</f>
        <v>0.22353107334087416</v>
      </c>
      <c r="AF92" s="10">
        <f t="shared" si="38"/>
        <v>-1</v>
      </c>
      <c r="AG92" s="9">
        <f t="shared" si="39"/>
        <v>997.05499999999984</v>
      </c>
      <c r="AH92" s="8">
        <f>IFERROR(AG92/AG148, "NA")</f>
        <v>1.9884950864244629E-2</v>
      </c>
      <c r="AI92" s="10">
        <f t="shared" si="40"/>
        <v>-997.05499999999984</v>
      </c>
      <c r="AJ92" s="11">
        <f>IFERROR(AI92/AI148, "NA")</f>
        <v>0.16532098606787415</v>
      </c>
      <c r="AK92" s="10">
        <f t="shared" si="41"/>
        <v>-1</v>
      </c>
      <c r="AL92" s="11">
        <f>IFERROR(AK92/AK148, "NA")</f>
        <v>8.3138745072355107</v>
      </c>
    </row>
    <row r="93" spans="1:38" ht="16.5" hidden="1" customHeight="1">
      <c r="A93" s="6" t="s">
        <v>102</v>
      </c>
      <c r="B93" s="7">
        <v>5802.21</v>
      </c>
      <c r="C93" s="8">
        <f>IFERROR(B93/B148, "NA")</f>
        <v>0.11479888465899614</v>
      </c>
      <c r="D93" s="7">
        <v>5114.55</v>
      </c>
      <c r="E93" s="8">
        <f>IFERROR(D93/D148, "NA")</f>
        <v>0.10815492192599946</v>
      </c>
      <c r="F93" s="7">
        <v>4919.7299999999996</v>
      </c>
      <c r="G93" s="8">
        <f>IFERROR(F93/F148, "NA")</f>
        <v>0.10238746542152234</v>
      </c>
      <c r="H93" s="7">
        <v>3835.44</v>
      </c>
      <c r="I93" s="8">
        <f>IFERROR(H93/H148, "NA")</f>
        <v>9.0366121045139247E-2</v>
      </c>
      <c r="J93" s="7">
        <v>6984.3600000000006</v>
      </c>
      <c r="K93" s="8">
        <f>IFERROR(J93/J148, "NA")</f>
        <v>0.11577955541881395</v>
      </c>
      <c r="L93" s="7">
        <v>6231.1100000000006</v>
      </c>
      <c r="M93" s="8">
        <f>IFERROR(L93/L148, "NA")</f>
        <v>0.10602295370889174</v>
      </c>
      <c r="N93" s="7">
        <v>5550.6900000000005</v>
      </c>
      <c r="O93" s="8">
        <f>IFERROR(N93/N148, "NA")</f>
        <v>0.11554347391664919</v>
      </c>
      <c r="P93" s="7">
        <v>3885.83</v>
      </c>
      <c r="Q93" s="8">
        <f>IFERROR(P93/P148, "NA")</f>
        <v>9.3678678682298455E-2</v>
      </c>
      <c r="R93" s="7">
        <v>5255.29</v>
      </c>
      <c r="S93" s="8">
        <f>IFERROR(R93/R148, "NA")</f>
        <v>0.10539925259908638</v>
      </c>
      <c r="T93" s="7">
        <v>5160.62</v>
      </c>
      <c r="U93" s="8">
        <f>IFERROR(T93/T148, "NA")</f>
        <v>0.10085946960546795</v>
      </c>
      <c r="V93" s="7">
        <v>5327.74</v>
      </c>
      <c r="W93" s="8">
        <f>IFERROR(V93/V148, "NA")</f>
        <v>0.11245682665036018</v>
      </c>
      <c r="X93" s="7">
        <v>3867.45</v>
      </c>
      <c r="Y93" s="8">
        <f>IFERROR(X93/X148, "NA")</f>
        <v>8.7677079384885462E-2</v>
      </c>
      <c r="Z93" s="7">
        <v>3867.45</v>
      </c>
      <c r="AA93" s="8">
        <f>IFERROR(Z93/Z148, "NA")</f>
        <v>8.7677079384885462E-2</v>
      </c>
      <c r="AB93" s="9">
        <f t="shared" si="36"/>
        <v>4902.7749999999996</v>
      </c>
      <c r="AC93" s="8">
        <f>IFERROR(AB93/AB148, "NA")</f>
        <v>0.10186882711351934</v>
      </c>
      <c r="AD93" s="10">
        <f t="shared" si="37"/>
        <v>-1035.3249999999998</v>
      </c>
      <c r="AE93" s="11">
        <f>IFERROR(AD93/AD148, "NA")</f>
        <v>0.25766178756170433</v>
      </c>
      <c r="AF93" s="10">
        <f t="shared" si="38"/>
        <v>-0.21117122445961722</v>
      </c>
      <c r="AG93" s="9">
        <f t="shared" si="39"/>
        <v>5282.8862500000005</v>
      </c>
      <c r="AH93" s="8">
        <f>IFERROR(AG93/AG148, "NA")</f>
        <v>0.1053602193486253</v>
      </c>
      <c r="AI93" s="10">
        <f t="shared" si="40"/>
        <v>-1415.4362500000007</v>
      </c>
      <c r="AJ93" s="11">
        <f>IFERROR(AI93/AI148, "NA")</f>
        <v>0.23469248593729955</v>
      </c>
      <c r="AK93" s="10">
        <f t="shared" si="41"/>
        <v>-0.26792858733235086</v>
      </c>
      <c r="AL93" s="11">
        <f>IFERROR(AK93/AK148, "NA")</f>
        <v>2.2275246519820553</v>
      </c>
    </row>
    <row r="94" spans="1:38" ht="16.5" hidden="1" customHeight="1">
      <c r="A94" s="6" t="s">
        <v>103</v>
      </c>
      <c r="B94" s="7">
        <v>1313.68</v>
      </c>
      <c r="C94" s="8">
        <f>IFERROR(B94/B148, "NA")</f>
        <v>2.5991647802963019E-2</v>
      </c>
      <c r="D94" s="7">
        <v>1268.24</v>
      </c>
      <c r="E94" s="8">
        <f>IFERROR(D94/D148, "NA")</f>
        <v>2.6818859564072997E-2</v>
      </c>
      <c r="F94" s="7">
        <v>1195.54</v>
      </c>
      <c r="G94" s="8">
        <f>IFERROR(F94/F148, "NA")</f>
        <v>2.4881103314622312E-2</v>
      </c>
      <c r="H94" s="7">
        <v>1231.8900000000001</v>
      </c>
      <c r="I94" s="8">
        <f>IFERROR(H94/H148, "NA")</f>
        <v>2.9024341628156508E-2</v>
      </c>
      <c r="J94" s="7">
        <v>1660.08</v>
      </c>
      <c r="K94" s="8">
        <f>IFERROR(J94/J148, "NA")</f>
        <v>2.7519103305050804E-2</v>
      </c>
      <c r="L94" s="7">
        <v>1549.9</v>
      </c>
      <c r="M94" s="8">
        <f>IFERROR(L94/L148, "NA")</f>
        <v>2.6371701984624137E-2</v>
      </c>
      <c r="N94" s="7">
        <v>1301.67</v>
      </c>
      <c r="O94" s="8">
        <f>IFERROR(N94/N148, "NA")</f>
        <v>2.7095635622433382E-2</v>
      </c>
      <c r="P94" s="7">
        <v>1115.01</v>
      </c>
      <c r="Q94" s="8">
        <f>IFERROR(P94/P148, "NA")</f>
        <v>2.6880399687466926E-2</v>
      </c>
      <c r="R94" s="7">
        <v>1365.11</v>
      </c>
      <c r="S94" s="8">
        <f>IFERROR(R94/R148, "NA")</f>
        <v>2.7378427016499333E-2</v>
      </c>
      <c r="T94" s="7">
        <v>1415.97</v>
      </c>
      <c r="U94" s="8">
        <f>IFERROR(T94/T148, "NA")</f>
        <v>2.7673803375806483E-2</v>
      </c>
      <c r="V94" s="7">
        <v>1374.14</v>
      </c>
      <c r="W94" s="8">
        <f>IFERROR(V94/V148, "NA")</f>
        <v>2.9005061015238347E-2</v>
      </c>
      <c r="X94" s="7">
        <v>927.83</v>
      </c>
      <c r="Y94" s="8">
        <f>IFERROR(X94/X148, "NA")</f>
        <v>2.1034383008359071E-2</v>
      </c>
      <c r="Z94" s="7">
        <v>927.83</v>
      </c>
      <c r="AA94" s="8">
        <f>IFERROR(Z94/Z148, "NA")</f>
        <v>2.1034383008359071E-2</v>
      </c>
      <c r="AB94" s="9">
        <f t="shared" si="36"/>
        <v>1270.7625</v>
      </c>
      <c r="AC94" s="8">
        <f>IFERROR(AB94/AB148, "NA")</f>
        <v>2.6403635780724924E-2</v>
      </c>
      <c r="AD94" s="10">
        <f t="shared" si="37"/>
        <v>-342.9325</v>
      </c>
      <c r="AE94" s="11">
        <f>IFERROR(AD94/AD148, "NA")</f>
        <v>8.5345761923071681E-2</v>
      </c>
      <c r="AF94" s="10">
        <f t="shared" si="38"/>
        <v>-0.269863566165983</v>
      </c>
      <c r="AG94" s="9">
        <f t="shared" si="39"/>
        <v>1338.7137499999999</v>
      </c>
      <c r="AH94" s="8">
        <f>IFERROR(AG94/AG148, "NA")</f>
        <v>2.6698885357416262E-2</v>
      </c>
      <c r="AI94" s="10">
        <f t="shared" si="40"/>
        <v>-410.88374999999985</v>
      </c>
      <c r="AJ94" s="11">
        <f>IFERROR(AI94/AI148, "NA")</f>
        <v>6.8128344684361325E-2</v>
      </c>
      <c r="AK94" s="10">
        <f t="shared" si="41"/>
        <v>-0.30692427712795201</v>
      </c>
      <c r="AL94" s="11">
        <f>IFERROR(AK94/AK148, "NA")</f>
        <v>2.5517299232657673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1701.29</v>
      </c>
      <c r="G95" s="8">
        <f>IFERROR(F95/F148, "NA")</f>
        <v>3.5406571305128892E-2</v>
      </c>
      <c r="H95" s="7">
        <v>0</v>
      </c>
      <c r="I95" s="8">
        <f>IFERROR(H95/H148, "NA")</f>
        <v>0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1244.29</v>
      </c>
      <c r="O95" s="8">
        <f>IFERROR(N95/N148, "NA")</f>
        <v>2.5901210328760464E-2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1244.29</v>
      </c>
      <c r="W95" s="8">
        <f>IFERROR(V95/V148, "NA")</f>
        <v>2.6264214250841196E-2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311.07249999999999</v>
      </c>
      <c r="AC95" s="8">
        <f>IFERROR(AB95/AB148, "NA")</f>
        <v>6.4633989367797306E-3</v>
      </c>
      <c r="AD95" s="10">
        <f t="shared" si="37"/>
        <v>-311.07249999999999</v>
      </c>
      <c r="AE95" s="11">
        <f>IFERROR(AD95/AD148, "NA")</f>
        <v>7.7416749727175799E-2</v>
      </c>
      <c r="AF95" s="10">
        <f t="shared" si="38"/>
        <v>-1</v>
      </c>
      <c r="AG95" s="9">
        <f t="shared" si="39"/>
        <v>311.07249999999999</v>
      </c>
      <c r="AH95" s="8">
        <f>IFERROR(AG95/AG148, "NA")</f>
        <v>6.2039319573320819E-3</v>
      </c>
      <c r="AI95" s="10">
        <f t="shared" si="40"/>
        <v>-311.07249999999999</v>
      </c>
      <c r="AJ95" s="11">
        <f>IFERROR(AI95/AI148, "NA")</f>
        <v>5.1578711744686895E-2</v>
      </c>
      <c r="AK95" s="10">
        <f t="shared" si="41"/>
        <v>-1</v>
      </c>
      <c r="AL95" s="11">
        <f>IFERROR(AK95/AK148, "NA")</f>
        <v>8.3138745072355107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836.12999999999988</v>
      </c>
      <c r="C97" s="8">
        <f>IFERROR(B97/B148, "NA")</f>
        <v>1.6543143290216389E-2</v>
      </c>
      <c r="D97" s="7">
        <v>1177.05</v>
      </c>
      <c r="E97" s="8">
        <f>IFERROR(D97/D148, "NA")</f>
        <v>2.4890508618157541E-2</v>
      </c>
      <c r="F97" s="7">
        <v>710.69</v>
      </c>
      <c r="G97" s="8">
        <f>IFERROR(F97/F148, "NA")</f>
        <v>1.4790597817445617E-2</v>
      </c>
      <c r="H97" s="7">
        <v>1622.1100000000001</v>
      </c>
      <c r="I97" s="8">
        <f>IFERROR(H97/H148, "NA")</f>
        <v>3.8218245783673013E-2</v>
      </c>
      <c r="J97" s="7">
        <v>219.54000000000002</v>
      </c>
      <c r="K97" s="8">
        <f>IFERROR(J97/J148, "NA")</f>
        <v>3.6393089125770169E-3</v>
      </c>
      <c r="L97" s="7">
        <v>644.37</v>
      </c>
      <c r="M97" s="8">
        <f>IFERROR(L97/L148, "NA")</f>
        <v>1.0964019361140883E-2</v>
      </c>
      <c r="N97" s="7">
        <v>826.07999999999993</v>
      </c>
      <c r="O97" s="8">
        <f>IFERROR(N97/N148, "NA")</f>
        <v>1.7195727546136706E-2</v>
      </c>
      <c r="P97" s="7">
        <v>231.58</v>
      </c>
      <c r="Q97" s="8">
        <f>IFERROR(P97/P148, "NA")</f>
        <v>5.5828763505471621E-3</v>
      </c>
      <c r="R97" s="7">
        <v>204.96</v>
      </c>
      <c r="S97" s="8">
        <f>IFERROR(R97/R148, "NA")</f>
        <v>4.1106448574120069E-3</v>
      </c>
      <c r="T97" s="7">
        <v>1360.37</v>
      </c>
      <c r="U97" s="8">
        <f>IFERROR(T97/T148, "NA")</f>
        <v>2.6587153610843354E-2</v>
      </c>
      <c r="V97" s="7">
        <v>1917.76</v>
      </c>
      <c r="W97" s="8">
        <f>IFERROR(V97/V148, "NA")</f>
        <v>4.04796787900676E-2</v>
      </c>
      <c r="X97" s="7">
        <v>0</v>
      </c>
      <c r="Y97" s="8">
        <f>IFERROR(X97/X148, "NA")</f>
        <v>0</v>
      </c>
      <c r="Z97" s="7">
        <v>0</v>
      </c>
      <c r="AA97" s="8">
        <f>IFERROR(Z97/Z148, "NA")</f>
        <v>0</v>
      </c>
      <c r="AB97" s="9">
        <f t="shared" si="36"/>
        <v>870.77250000000004</v>
      </c>
      <c r="AC97" s="8">
        <f>IFERROR(AB97/AB148, "NA")</f>
        <v>1.8092727742494204E-2</v>
      </c>
      <c r="AD97" s="10">
        <f t="shared" si="37"/>
        <v>-870.77250000000004</v>
      </c>
      <c r="AE97" s="11">
        <f>IFERROR(AD97/AD148, "NA")</f>
        <v>0.21670953459983508</v>
      </c>
      <c r="AF97" s="10">
        <f t="shared" si="38"/>
        <v>-1</v>
      </c>
      <c r="AG97" s="9">
        <f t="shared" si="39"/>
        <v>675.58249999999998</v>
      </c>
      <c r="AH97" s="8">
        <f>IFERROR(AG97/AG148, "NA")</f>
        <v>1.3473604582739718E-2</v>
      </c>
      <c r="AI97" s="10">
        <f t="shared" si="40"/>
        <v>-675.58249999999998</v>
      </c>
      <c r="AJ97" s="11">
        <f>IFERROR(AI97/AI148, "NA")</f>
        <v>0.1120178576610113</v>
      </c>
      <c r="AK97" s="10">
        <f t="shared" si="41"/>
        <v>-1</v>
      </c>
      <c r="AL97" s="11">
        <f>IFERROR(AK97/AK148, "NA")</f>
        <v>8.3138745072355107</v>
      </c>
    </row>
    <row r="98" spans="1:38" ht="16.5" hidden="1" customHeight="1">
      <c r="A98" s="6" t="s">
        <v>107</v>
      </c>
      <c r="B98" s="7">
        <v>2533.4499999999998</v>
      </c>
      <c r="C98" s="8">
        <f>IFERROR(B98/B148, "NA")</f>
        <v>5.0125251298959145E-2</v>
      </c>
      <c r="D98" s="7">
        <v>2333.64</v>
      </c>
      <c r="E98" s="8">
        <f>IFERROR(D98/D148, "NA")</f>
        <v>4.9348359484879284E-2</v>
      </c>
      <c r="F98" s="7">
        <v>631.01</v>
      </c>
      <c r="G98" s="8">
        <f>IFERROR(F98/F148, "NA")</f>
        <v>1.3132329326128633E-2</v>
      </c>
      <c r="H98" s="7">
        <v>497.6</v>
      </c>
      <c r="I98" s="8">
        <f>IFERROR(H98/H148, "NA")</f>
        <v>1.1723865275447221E-2</v>
      </c>
      <c r="J98" s="7">
        <v>2765.36</v>
      </c>
      <c r="K98" s="8">
        <f>IFERROR(J98/J148, "NA")</f>
        <v>4.5841301332258264E-2</v>
      </c>
      <c r="L98" s="7">
        <v>2523.0700000000002</v>
      </c>
      <c r="M98" s="8">
        <f>IFERROR(L98/L148, "NA")</f>
        <v>4.2930285906410494E-2</v>
      </c>
      <c r="N98" s="7">
        <v>557.79</v>
      </c>
      <c r="O98" s="8">
        <f>IFERROR(N98/N148, "NA")</f>
        <v>1.1610987880059551E-2</v>
      </c>
      <c r="P98" s="7">
        <v>601.20000000000005</v>
      </c>
      <c r="Q98" s="8">
        <f>IFERROR(P98/P148, "NA")</f>
        <v>1.4493588660285663E-2</v>
      </c>
      <c r="R98" s="7">
        <v>2573.83</v>
      </c>
      <c r="S98" s="8">
        <f>IFERROR(R98/R148, "NA")</f>
        <v>5.1620321298559445E-2</v>
      </c>
      <c r="T98" s="7">
        <v>2484.8900000000003</v>
      </c>
      <c r="U98" s="8">
        <f>IFERROR(T98/T148, "NA")</f>
        <v>4.8564840547827837E-2</v>
      </c>
      <c r="V98" s="7">
        <v>1108.03</v>
      </c>
      <c r="W98" s="8">
        <f>IFERROR(V98/V148, "NA")</f>
        <v>2.3388066541047161E-2</v>
      </c>
      <c r="X98" s="7">
        <v>573.91</v>
      </c>
      <c r="Y98" s="8">
        <f>IFERROR(X98/X148, "NA")</f>
        <v>1.3010834692052805E-2</v>
      </c>
      <c r="Z98" s="7">
        <v>573.91</v>
      </c>
      <c r="AA98" s="8">
        <f>IFERROR(Z98/Z148, "NA")</f>
        <v>1.3010834692052805E-2</v>
      </c>
      <c r="AB98" s="9">
        <f t="shared" si="36"/>
        <v>1685.165</v>
      </c>
      <c r="AC98" s="8">
        <f>IFERROR(AB98/AB148, "NA")</f>
        <v>3.5014003710705434E-2</v>
      </c>
      <c r="AD98" s="10">
        <f t="shared" si="37"/>
        <v>-1111.2550000000001</v>
      </c>
      <c r="AE98" s="11">
        <f>IFERROR(AD98/AD148, "NA")</f>
        <v>0.27655852001727171</v>
      </c>
      <c r="AF98" s="10">
        <f t="shared" si="38"/>
        <v>-0.65943394267030242</v>
      </c>
      <c r="AG98" s="9">
        <f t="shared" si="39"/>
        <v>1648.51</v>
      </c>
      <c r="AH98" s="8">
        <f>IFERROR(AG98/AG148, "NA")</f>
        <v>3.2877364186745889E-2</v>
      </c>
      <c r="AI98" s="10">
        <f t="shared" si="40"/>
        <v>-1074.5999999999999</v>
      </c>
      <c r="AJ98" s="11">
        <f>IFERROR(AI98/AI148, "NA")</f>
        <v>0.17817866780522398</v>
      </c>
      <c r="AK98" s="10">
        <f t="shared" si="41"/>
        <v>-0.65186137785030118</v>
      </c>
      <c r="AL98" s="11">
        <f>IFERROR(AK98/AK148, "NA")</f>
        <v>5.4194936915610343</v>
      </c>
    </row>
    <row r="99" spans="1:38" ht="16.5" hidden="1" customHeight="1">
      <c r="A99" s="12" t="s">
        <v>108</v>
      </c>
      <c r="B99" s="13">
        <f>IFERROR(B90+B91+B92+B93+B94+B95+B96+B97+B98, "NA")</f>
        <v>12708.84</v>
      </c>
      <c r="C99" s="14">
        <f>IFERROR(B99/B148, "NA")</f>
        <v>0.25144913012621684</v>
      </c>
      <c r="D99" s="13">
        <f>IFERROR(D90+D91+D92+D93+D94+D95+D96+D97+D98, "NA")</f>
        <v>14578.089999999998</v>
      </c>
      <c r="E99" s="14">
        <f>IFERROR(D99/D148, "NA")</f>
        <v>0.30827583771401063</v>
      </c>
      <c r="F99" s="13">
        <f>IFERROR(F90+F91+F92+F93+F94+F95+F96+F97+F98, "NA")</f>
        <v>14914.84</v>
      </c>
      <c r="G99" s="14">
        <f>IFERROR(F99/F148, "NA")</f>
        <v>0.31040172220173434</v>
      </c>
      <c r="H99" s="13">
        <f>IFERROR(H90+H91+H92+H93+H94+H95+H96+H97+H98, "NA")</f>
        <v>12576.66</v>
      </c>
      <c r="I99" s="14">
        <f>IFERROR(H99/H148, "NA")</f>
        <v>0.29631645388887867</v>
      </c>
      <c r="J99" s="13">
        <f>IFERROR(J90+J91+J92+J93+J94+J95+J96+J97+J98, "NA")</f>
        <v>18427.5</v>
      </c>
      <c r="K99" s="14">
        <f>IFERROR(J99/J148, "NA")</f>
        <v>0.30547219179426516</v>
      </c>
      <c r="L99" s="13">
        <f>IFERROR(L90+L91+L92+L93+L94+L95+L96+L97+L98, "NA")</f>
        <v>18711.890000000003</v>
      </c>
      <c r="M99" s="14">
        <f>IFERROR(L99/L148, "NA")</f>
        <v>0.31838466136464844</v>
      </c>
      <c r="N99" s="13">
        <f>IFERROR(N90+N91+N92+N93+N94+N95+N96+N97+N98, "NA")</f>
        <v>13283.879999999997</v>
      </c>
      <c r="O99" s="14">
        <f>IFERROR(N99/N148, "NA")</f>
        <v>0.27651799006824335</v>
      </c>
      <c r="P99" s="13">
        <f>IFERROR(P90+P91+P92+P93+P94+P95+P96+P97+P98, "NA")</f>
        <v>9081.77</v>
      </c>
      <c r="Q99" s="14">
        <f>IFERROR(P99/P148, "NA")</f>
        <v>0.21894118211464159</v>
      </c>
      <c r="R99" s="13">
        <f>IFERROR(R90+R91+R92+R93+R94+R95+R96+R97+R98, "NA")</f>
        <v>12102.769999999999</v>
      </c>
      <c r="S99" s="14">
        <f>IFERROR(R99/R148, "NA")</f>
        <v>0.24273121224112171</v>
      </c>
      <c r="T99" s="13">
        <f>IFERROR(T90+T91+T92+T93+T94+T95+T96+T97+T98, "NA")</f>
        <v>15450.119999999999</v>
      </c>
      <c r="U99" s="14">
        <f>IFERROR(T99/T148, "NA")</f>
        <v>0.30195808033546984</v>
      </c>
      <c r="V99" s="13">
        <f>IFERROR(V90+V91+V92+V93+V94+V95+V96+V97+V98, "NA")</f>
        <v>16071.130000000001</v>
      </c>
      <c r="W99" s="14">
        <f>IFERROR(V99/V148, "NA")</f>
        <v>0.33922606592765475</v>
      </c>
      <c r="X99" s="13">
        <f>IFERROR(X90+X91+X92+X93+X94+X95+X96+X97+X98, "NA")</f>
        <v>8854.369999999999</v>
      </c>
      <c r="Y99" s="14">
        <f>IFERROR(X99/X148, "NA")</f>
        <v>0.20073311908186228</v>
      </c>
      <c r="Z99" s="13">
        <f>IFERROR(Z90+Z91+Z92+Z93+Z94+Z95+Z96+Z97+Z98, "NA")</f>
        <v>8854.369999999999</v>
      </c>
      <c r="AA99" s="14">
        <f>IFERROR(Z99/Z148, "NA")</f>
        <v>0.20073311908186228</v>
      </c>
      <c r="AB99" s="13">
        <f t="shared" si="36"/>
        <v>13119.5975</v>
      </c>
      <c r="AC99" s="14">
        <f>IFERROR(AB99/AB148, "NA")</f>
        <v>0.27259623570864677</v>
      </c>
      <c r="AD99" s="15">
        <f t="shared" si="37"/>
        <v>-4265.2275000000009</v>
      </c>
      <c r="AE99" s="16">
        <f>IFERROR(AD99/AD148, "NA")</f>
        <v>1.0614890416123823</v>
      </c>
      <c r="AF99" s="15">
        <f t="shared" si="38"/>
        <v>-0.32510353309238343</v>
      </c>
      <c r="AG99" s="13">
        <f t="shared" si="39"/>
        <v>13997.928749999999</v>
      </c>
      <c r="AH99" s="14">
        <f>IFERROR(AG99/AG148, "NA")</f>
        <v>0.27917028187506937</v>
      </c>
      <c r="AI99" s="15">
        <f t="shared" si="40"/>
        <v>-5143.5587500000001</v>
      </c>
      <c r="AJ99" s="16">
        <f>IFERROR(AI99/AI148, "NA")</f>
        <v>0.85284984724818835</v>
      </c>
      <c r="AK99" s="15">
        <f t="shared" si="41"/>
        <v>-0.36745141669620229</v>
      </c>
      <c r="AL99" s="16">
        <f>IFERROR(AK99/AK148, "NA")</f>
        <v>3.0549449659181294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14932.239999999994</v>
      </c>
      <c r="C101" s="34">
        <f>IFERROR(B101/B148, "NA")</f>
        <v>0.295439926762466</v>
      </c>
      <c r="D101" s="33">
        <f>IFERROR(D87-D99, "NA")</f>
        <v>10251.050000000012</v>
      </c>
      <c r="E101" s="34">
        <f>IFERROR(D101/D148, "NA")</f>
        <v>0.21677400991475651</v>
      </c>
      <c r="F101" s="33">
        <f>IFERROR(F87-F99, "NA")</f>
        <v>10724.100000000002</v>
      </c>
      <c r="G101" s="34">
        <f>IFERROR(F101/F148, "NA")</f>
        <v>0.22318570692435319</v>
      </c>
      <c r="H101" s="33">
        <f>IFERROR(H87-H99, "NA")</f>
        <v>10149.659999999993</v>
      </c>
      <c r="I101" s="34">
        <f>IFERROR(H101/H148, "NA")</f>
        <v>0.23913433768407466</v>
      </c>
      <c r="J101" s="33">
        <f>IFERROR(J87-J99, "NA")</f>
        <v>15727.569999999992</v>
      </c>
      <c r="K101" s="34">
        <f>IFERROR(J101/J148, "NA")</f>
        <v>0.26071552188293196</v>
      </c>
      <c r="L101" s="33">
        <f>IFERROR(L87-L99, "NA")</f>
        <v>14626.219999999983</v>
      </c>
      <c r="M101" s="34">
        <f>IFERROR(L101/L148, "NA")</f>
        <v>0.24886658171594861</v>
      </c>
      <c r="N101" s="33">
        <f>IFERROR(N87-N99, "NA")</f>
        <v>14230.270000000004</v>
      </c>
      <c r="O101" s="34">
        <f>IFERROR(N101/N148, "NA")</f>
        <v>0.29621809731256399</v>
      </c>
      <c r="P101" s="33">
        <f>IFERROR(P87-P99, "NA")</f>
        <v>11141.029999999995</v>
      </c>
      <c r="Q101" s="34">
        <f>IFERROR(P101/P148, "NA")</f>
        <v>0.26858533944095525</v>
      </c>
      <c r="R101" s="33">
        <f>IFERROR(R87-R99, "NA")</f>
        <v>13367.199999999988</v>
      </c>
      <c r="S101" s="34">
        <f>IFERROR(R101/R148, "NA")</f>
        <v>0.26809041733995764</v>
      </c>
      <c r="T101" s="33">
        <f>IFERROR(T87-T99, "NA")</f>
        <v>12008.940000000013</v>
      </c>
      <c r="U101" s="34">
        <f>IFERROR(T101/T148, "NA")</f>
        <v>0.23470345015209212</v>
      </c>
      <c r="V101" s="33">
        <f>IFERROR(V87-V99, "NA")</f>
        <v>8720.0400000000045</v>
      </c>
      <c r="W101" s="34">
        <f>IFERROR(V101/V148, "NA")</f>
        <v>0.18406078875174228</v>
      </c>
      <c r="X101" s="33">
        <f>IFERROR(X87-X99, "NA")</f>
        <v>14075.160000000003</v>
      </c>
      <c r="Y101" s="34">
        <f>IFERROR(X101/X148, "NA")</f>
        <v>0.31909111188896166</v>
      </c>
      <c r="Z101" s="33">
        <f>IFERROR(Z87-Z99, "NA")</f>
        <v>14075.160000000003</v>
      </c>
      <c r="AA101" s="34">
        <f>IFERROR(Z101/Z148, "NA")</f>
        <v>0.31909111188896166</v>
      </c>
      <c r="AB101" s="33">
        <f>IFERROR((R101+T101+V101+X101)/4, "NA")</f>
        <v>12042.835000000003</v>
      </c>
      <c r="AC101" s="34">
        <f>IFERROR(AB101/AB148, "NA")</f>
        <v>0.25022349109874309</v>
      </c>
      <c r="AD101" s="15">
        <f>IFERROR(X101-AB101, "NA")</f>
        <v>2032.3250000000007</v>
      </c>
      <c r="AE101" s="16">
        <f>IFERROR(AD101/AD148, "NA")</f>
        <v>-0.50578561553747958</v>
      </c>
      <c r="AF101" s="15">
        <f>IFERROR((X101-AB101)/AB101, "NA")</f>
        <v>0.16875802084808106</v>
      </c>
      <c r="AG101" s="33">
        <f>IFERROR((J101+L101+N101+P101+R101+T101+V101+X101)/8, "NA")</f>
        <v>12987.053749999999</v>
      </c>
      <c r="AH101" s="34">
        <f>IFERROR(AG101/AG148, "NA")</f>
        <v>0.25900970928389505</v>
      </c>
      <c r="AI101" s="15">
        <f>IFERROR(X101-AG101, "NA")</f>
        <v>1088.1062500000044</v>
      </c>
      <c r="AJ101" s="16">
        <f>IFERROR(AI101/AI148, "NA")</f>
        <v>-0.18041812958825496</v>
      </c>
      <c r="AK101" s="15">
        <f>IFERROR((X101-AG101)/AG101, "NA")</f>
        <v>8.3783918273226857E-2</v>
      </c>
      <c r="AL101" s="16">
        <f>IFERROR(AK101/AK148, "NA")</f>
        <v>-0.69656898224808428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3988.4500000000003</v>
      </c>
      <c r="E104" s="34">
        <f>IFERROR(D104/D148, "NA")</f>
        <v>8.4341828382898304E-2</v>
      </c>
      <c r="F104" s="39">
        <v>16410.449999999997</v>
      </c>
      <c r="G104" s="34">
        <f>IFERROR(F104/F148, "NA")</f>
        <v>0.34152776309403587</v>
      </c>
      <c r="H104" s="39">
        <v>-1203.1099999999999</v>
      </c>
      <c r="I104" s="34">
        <f>IFERROR(H104/H148, "NA")</f>
        <v>-2.8346261156638474E-2</v>
      </c>
      <c r="J104" s="39">
        <v>0</v>
      </c>
      <c r="K104" s="34">
        <f>IFERROR(J104/J148, "NA")</f>
        <v>0</v>
      </c>
      <c r="L104" s="39">
        <v>6618.8</v>
      </c>
      <c r="M104" s="34">
        <f>IFERROR(L104/L148, "NA")</f>
        <v>0.11261953745133894</v>
      </c>
      <c r="N104" s="39">
        <v>16493.909999999996</v>
      </c>
      <c r="O104" s="34">
        <f>IFERROR(N104/N148, "NA")</f>
        <v>0.34333815433190445</v>
      </c>
      <c r="P104" s="39">
        <v>-2619</v>
      </c>
      <c r="Q104" s="34">
        <f>IFERROR(P104/P148, "NA")</f>
        <v>-6.3138238026094723E-2</v>
      </c>
      <c r="R104" s="39">
        <v>0</v>
      </c>
      <c r="S104" s="34">
        <f>IFERROR(R104/R148, "NA")</f>
        <v>0</v>
      </c>
      <c r="T104" s="39">
        <v>7359.56</v>
      </c>
      <c r="U104" s="34">
        <f>IFERROR(T104/T148, "NA")</f>
        <v>0.14383568604733885</v>
      </c>
      <c r="V104" s="39">
        <v>14460.159999999998</v>
      </c>
      <c r="W104" s="34">
        <f>IFERROR(V104/V148, "NA")</f>
        <v>0.30522204658194135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5454.9299999999994</v>
      </c>
      <c r="AC104" s="34">
        <f>IFERROR(AB104/AB148, "NA")</f>
        <v>0.11334138749715213</v>
      </c>
      <c r="AD104" s="15">
        <f>IFERROR(X104-AB104, "NA")</f>
        <v>-5454.9299999999994</v>
      </c>
      <c r="AE104" s="16">
        <f>IFERROR(AD104/AD148, "NA")</f>
        <v>1.3575708254161427</v>
      </c>
      <c r="AF104" s="15">
        <f>IFERROR((X104-AB104)/AB104, "NA")</f>
        <v>-1</v>
      </c>
      <c r="AG104" s="33">
        <f>IFERROR((J104+L104+N104+P104+R104+T104+V104+X104)/8, "NA")</f>
        <v>5289.1787499999991</v>
      </c>
      <c r="AH104" s="34">
        <f>IFERROR(AG104/AG148, "NA")</f>
        <v>0.10548571498659234</v>
      </c>
      <c r="AI104" s="15">
        <f>IFERROR(X104-AG104, "NA")</f>
        <v>-5289.1787499999991</v>
      </c>
      <c r="AJ104" s="16">
        <f>IFERROR(AI104/AI148, "NA")</f>
        <v>0.87699499670454095</v>
      </c>
      <c r="AK104" s="15">
        <f>IFERROR((X104-AG104)/AG104, "NA")</f>
        <v>-1</v>
      </c>
      <c r="AL104" s="16">
        <f>IFERROR(AK104/AK148, "NA")</f>
        <v>8.3138745072355107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3988.4500000000003</v>
      </c>
      <c r="E105" s="14">
        <f>IFERROR(D105/D148, "NA")</f>
        <v>8.4341828382898304E-2</v>
      </c>
      <c r="F105" s="13">
        <f>IFERROR(F104, "NA")</f>
        <v>16410.449999999997</v>
      </c>
      <c r="G105" s="14">
        <f>IFERROR(F105/F148, "NA")</f>
        <v>0.34152776309403587</v>
      </c>
      <c r="H105" s="13">
        <f>IFERROR(H104, "NA")</f>
        <v>-1203.1099999999999</v>
      </c>
      <c r="I105" s="14">
        <f>IFERROR(H105/H148, "NA")</f>
        <v>-2.8346261156638474E-2</v>
      </c>
      <c r="J105" s="13">
        <f>IFERROR(J104, "NA")</f>
        <v>0</v>
      </c>
      <c r="K105" s="14">
        <f>IFERROR(J105/J148, "NA")</f>
        <v>0</v>
      </c>
      <c r="L105" s="13">
        <f>IFERROR(L104, "NA")</f>
        <v>6618.8</v>
      </c>
      <c r="M105" s="14">
        <f>IFERROR(L105/L148, "NA")</f>
        <v>0.11261953745133894</v>
      </c>
      <c r="N105" s="13">
        <f>IFERROR(N104, "NA")</f>
        <v>16493.909999999996</v>
      </c>
      <c r="O105" s="14">
        <f>IFERROR(N105/N148, "NA")</f>
        <v>0.34333815433190445</v>
      </c>
      <c r="P105" s="13">
        <f>IFERROR(P104, "NA")</f>
        <v>-2619</v>
      </c>
      <c r="Q105" s="14">
        <f>IFERROR(P105/P148, "NA")</f>
        <v>-6.3138238026094723E-2</v>
      </c>
      <c r="R105" s="13">
        <f>IFERROR(R104, "NA")</f>
        <v>0</v>
      </c>
      <c r="S105" s="14">
        <f>IFERROR(R105/R148, "NA")</f>
        <v>0</v>
      </c>
      <c r="T105" s="13">
        <f>IFERROR(T104, "NA")</f>
        <v>7359.56</v>
      </c>
      <c r="U105" s="14">
        <f>IFERROR(T105/T148, "NA")</f>
        <v>0.14383568604733885</v>
      </c>
      <c r="V105" s="13">
        <f>IFERROR(V104, "NA")</f>
        <v>14460.159999999998</v>
      </c>
      <c r="W105" s="14">
        <f>IFERROR(V105/V148, "NA")</f>
        <v>0.30522204658194135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5454.9299999999994</v>
      </c>
      <c r="AC105" s="14">
        <f>IFERROR(AB105/AB148, "NA")</f>
        <v>0.11334138749715213</v>
      </c>
      <c r="AD105" s="15">
        <f>IFERROR(X105-AB105, "NA")</f>
        <v>-5454.9299999999994</v>
      </c>
      <c r="AE105" s="16">
        <f>IFERROR(AD105/AD148, "NA")</f>
        <v>1.3575708254161427</v>
      </c>
      <c r="AF105" s="15">
        <f>IFERROR((X105-AB105)/AB105, "NA")</f>
        <v>-1</v>
      </c>
      <c r="AG105" s="13">
        <f>IFERROR((J105+L105+N105+P105+R105+T105+V105+X105)/8, "NA")</f>
        <v>5289.1787499999991</v>
      </c>
      <c r="AH105" s="14">
        <f>IFERROR(AG105/AG148, "NA")</f>
        <v>0.10548571498659234</v>
      </c>
      <c r="AI105" s="15">
        <f>IFERROR(X105-AG105, "NA")</f>
        <v>-5289.1787499999991</v>
      </c>
      <c r="AJ105" s="16">
        <f>IFERROR(AI105/AI148, "NA")</f>
        <v>0.87699499670454095</v>
      </c>
      <c r="AK105" s="15">
        <f>IFERROR((X105-AG105)/AG105, "NA")</f>
        <v>-1</v>
      </c>
      <c r="AL105" s="16">
        <f>IFERROR(AK105/AK148, "NA")</f>
        <v>8.3138745072355107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14932.239999999994</v>
      </c>
      <c r="C107" s="34">
        <f>IFERROR(B107/B148, "NA")</f>
        <v>0.295439926762466</v>
      </c>
      <c r="D107" s="33">
        <f>IFERROR(D87-D99-D105, "NA")</f>
        <v>6262.6000000000113</v>
      </c>
      <c r="E107" s="34">
        <f>IFERROR(D107/D148, "NA")</f>
        <v>0.13243218153185821</v>
      </c>
      <c r="F107" s="33">
        <f>IFERROR(F87-F99-F105, "NA")</f>
        <v>-5686.3499999999949</v>
      </c>
      <c r="G107" s="34">
        <f>IFERROR(F107/F148, "NA")</f>
        <v>-0.11834205616968271</v>
      </c>
      <c r="H107" s="33">
        <f>IFERROR(H87-H99-H105, "NA")</f>
        <v>11352.769999999993</v>
      </c>
      <c r="I107" s="34">
        <f>IFERROR(H107/H148, "NA")</f>
        <v>0.26748059884071312</v>
      </c>
      <c r="J107" s="33">
        <f>IFERROR(J87-J99-J105, "NA")</f>
        <v>15727.569999999992</v>
      </c>
      <c r="K107" s="34">
        <f>IFERROR(J107/J148, "NA")</f>
        <v>0.26071552188293196</v>
      </c>
      <c r="L107" s="33">
        <f>IFERROR(L87-L99-L105, "NA")</f>
        <v>8007.4199999999828</v>
      </c>
      <c r="M107" s="34">
        <f>IFERROR(L107/L148, "NA")</f>
        <v>0.13624704426460968</v>
      </c>
      <c r="N107" s="33">
        <f>IFERROR(N87-N99-N105, "NA")</f>
        <v>-2263.6399999999921</v>
      </c>
      <c r="O107" s="34">
        <f>IFERROR(N107/N148, "NA")</f>
        <v>-4.7120057019340453E-2</v>
      </c>
      <c r="P107" s="33">
        <f>IFERROR(P87-P99-P105, "NA")</f>
        <v>13760.029999999995</v>
      </c>
      <c r="Q107" s="34">
        <f>IFERROR(P107/P148, "NA")</f>
        <v>0.33172357746704995</v>
      </c>
      <c r="R107" s="33">
        <f>IFERROR(R87-R99-R105, "NA")</f>
        <v>13367.199999999988</v>
      </c>
      <c r="S107" s="34">
        <f>IFERROR(R107/R148, "NA")</f>
        <v>0.26809041733995764</v>
      </c>
      <c r="T107" s="33">
        <f>IFERROR(T87-T99-T105, "NA")</f>
        <v>4649.3800000000128</v>
      </c>
      <c r="U107" s="34">
        <f>IFERROR(T107/T148, "NA")</f>
        <v>9.0867764104753279E-2</v>
      </c>
      <c r="V107" s="33">
        <f>IFERROR(V87-V99-V105, "NA")</f>
        <v>-5740.1199999999935</v>
      </c>
      <c r="W107" s="34">
        <f>IFERROR(V107/V148, "NA")</f>
        <v>-0.12116125783019907</v>
      </c>
      <c r="X107" s="33">
        <f>IFERROR(X87-X99-X105, "NA")</f>
        <v>14075.160000000003</v>
      </c>
      <c r="Y107" s="34">
        <f>IFERROR(X107/X148, "NA")</f>
        <v>0.31909111188896166</v>
      </c>
      <c r="Z107" s="33">
        <f>IFERROR(Z87-Z99-Z105, "NA")</f>
        <v>14075.160000000003</v>
      </c>
      <c r="AA107" s="34">
        <f>IFERROR(Z107/Z148, "NA")</f>
        <v>0.31909111188896166</v>
      </c>
      <c r="AB107" s="33">
        <f>IFERROR((R107+T107+V107+X107)/4, "NA")</f>
        <v>6587.9050000000025</v>
      </c>
      <c r="AC107" s="34">
        <f>IFERROR(AB107/AB148, "NA")</f>
        <v>0.13688210360159092</v>
      </c>
      <c r="AD107" s="15">
        <f>IFERROR(X107-AB107, "NA")</f>
        <v>7487.255000000001</v>
      </c>
      <c r="AE107" s="16">
        <f>IFERROR(AD107/AD148, "NA")</f>
        <v>-1.8633564409536225</v>
      </c>
      <c r="AF107" s="15">
        <f>IFERROR((X107-AB107)/AB107, "NA")</f>
        <v>1.1365153261924692</v>
      </c>
      <c r="AG107" s="33">
        <f>IFERROR((J107+L107+N107+P107+R107+T107+V107+X107)/8, "NA")</f>
        <v>7697.8749999999982</v>
      </c>
      <c r="AH107" s="34">
        <f>IFERROR(AG107/AG148, "NA")</f>
        <v>0.15352399429730268</v>
      </c>
      <c r="AI107" s="15">
        <f>IFERROR(X107-AG107, "NA")</f>
        <v>6377.2850000000053</v>
      </c>
      <c r="AJ107" s="16">
        <f>IFERROR(AI107/AI148, "NA")</f>
        <v>-1.0574131262927962</v>
      </c>
      <c r="AK107" s="15">
        <f>IFERROR((X107-AG107)/AG107, "NA")</f>
        <v>0.82844746114999357</v>
      </c>
      <c r="AL107" s="16">
        <f>IFERROR(AK107/AK148, "NA")</f>
        <v>-6.8876082278389132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910.5</v>
      </c>
      <c r="C128" s="8">
        <f>IFERROR(B128/B148, "NA")</f>
        <v>1.8014581423632717E-2</v>
      </c>
      <c r="D128" s="7">
        <v>931.7399999999999</v>
      </c>
      <c r="E128" s="8">
        <f>IFERROR(D128/D148, "NA")</f>
        <v>1.9703056369637744E-2</v>
      </c>
      <c r="F128" s="7">
        <v>-3534.9800000000005</v>
      </c>
      <c r="G128" s="8">
        <f>IFERROR(F128/F148, "NA")</f>
        <v>-7.3568598788098766E-2</v>
      </c>
      <c r="H128" s="7">
        <v>670.39</v>
      </c>
      <c r="I128" s="8">
        <f>IFERROR(H128/H148, "NA")</f>
        <v>1.5794939795030268E-2</v>
      </c>
      <c r="J128" s="7">
        <v>738.80000000000007</v>
      </c>
      <c r="K128" s="8">
        <f>IFERROR(J128/J148, "NA")</f>
        <v>1.2247068527885124E-2</v>
      </c>
      <c r="L128" s="7">
        <v>811.16</v>
      </c>
      <c r="M128" s="8">
        <f>IFERROR(L128/L148, "NA")</f>
        <v>1.3801967728142276E-2</v>
      </c>
      <c r="N128" s="7">
        <v>-2220.35</v>
      </c>
      <c r="O128" s="8">
        <f>IFERROR(N128/N148, "NA")</f>
        <v>-4.6218929954804179E-2</v>
      </c>
      <c r="P128" s="7">
        <v>674.71</v>
      </c>
      <c r="Q128" s="8">
        <f>IFERROR(P128/P148, "NA")</f>
        <v>1.6265750507287655E-2</v>
      </c>
      <c r="R128" s="7">
        <v>466.58999999999992</v>
      </c>
      <c r="S128" s="8">
        <f>IFERROR(R128/R148, "NA")</f>
        <v>9.3578541374895966E-3</v>
      </c>
      <c r="T128" s="7">
        <v>716.08999999999992</v>
      </c>
      <c r="U128" s="8">
        <f>IFERROR(T128/T148, "NA")</f>
        <v>1.3995306298425294E-2</v>
      </c>
      <c r="V128" s="7">
        <v>-1857.39</v>
      </c>
      <c r="W128" s="8">
        <f>IFERROR(V128/V148, "NA")</f>
        <v>-3.9205401399488811E-2</v>
      </c>
      <c r="X128" s="7">
        <v>680.95</v>
      </c>
      <c r="Y128" s="8">
        <f>IFERROR(X128/X148, "NA")</f>
        <v>1.5437486511044167E-2</v>
      </c>
      <c r="Z128" s="7">
        <v>680.95</v>
      </c>
      <c r="AA128" s="8">
        <f>IFERROR(Z128/Z148, "NA")</f>
        <v>1.5437486511044167E-2</v>
      </c>
      <c r="AB128" s="9">
        <f t="shared" si="42"/>
        <v>1.5599999999999454</v>
      </c>
      <c r="AC128" s="8">
        <f>IFERROR(AB128/AB148, "NA")</f>
        <v>3.2413351682890732E-5</v>
      </c>
      <c r="AD128" s="10">
        <f t="shared" si="43"/>
        <v>679.3900000000001</v>
      </c>
      <c r="AE128" s="11">
        <f>IFERROR(AD128/AD148, "NA")</f>
        <v>-0.16908008775171696</v>
      </c>
      <c r="AF128" s="10">
        <f t="shared" si="44"/>
        <v>435.50641025642557</v>
      </c>
      <c r="AG128" s="9">
        <f t="shared" si="45"/>
        <v>1.3199999999999932</v>
      </c>
      <c r="AH128" s="8">
        <f>IFERROR(AG128/AG148, "NA")</f>
        <v>2.6325664221936384E-5</v>
      </c>
      <c r="AI128" s="10">
        <f t="shared" si="46"/>
        <v>679.63000000000011</v>
      </c>
      <c r="AJ128" s="11">
        <f>IFERROR(AI128/AI148, "NA")</f>
        <v>-0.11268897078025722</v>
      </c>
      <c r="AK128" s="10">
        <f t="shared" si="47"/>
        <v>514.87121212121485</v>
      </c>
      <c r="AL128" s="11">
        <f>IFERROR(AK128/AK148, "NA")</f>
        <v>-4280.5746449640155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910.5</v>
      </c>
      <c r="C135" s="14">
        <f>IFERROR(B135/B148, "NA")</f>
        <v>1.8014581423632717E-2</v>
      </c>
      <c r="D135" s="13">
        <f>IFERROR(D110+D111+D112+D113+D114+D115+D116+D117+D118+D119+D120+D121+D122+D123+D124+D125+D126+D127+D128+D129+D130+D131+D132+D133+D134, "NA")</f>
        <v>931.7399999999999</v>
      </c>
      <c r="E135" s="14">
        <f>IFERROR(D135/D148, "NA")</f>
        <v>1.9703056369637744E-2</v>
      </c>
      <c r="F135" s="13">
        <f>IFERROR(F110+F111+F112+F113+F114+F115+F116+F117+F118+F119+F120+F121+F122+F123+F124+F125+F126+F127+F128+F129+F130+F131+F132+F133+F134, "NA")</f>
        <v>-3534.9800000000005</v>
      </c>
      <c r="G135" s="14">
        <f>IFERROR(F135/F148, "NA")</f>
        <v>-7.3568598788098766E-2</v>
      </c>
      <c r="H135" s="13">
        <f>IFERROR(H110+H111+H112+H113+H114+H115+H116+H117+H118+H119+H120+H121+H122+H123+H124+H125+H126+H127+H128+H129+H130+H131+H132+H133+H134, "NA")</f>
        <v>670.39</v>
      </c>
      <c r="I135" s="14">
        <f>IFERROR(H135/H148, "NA")</f>
        <v>1.5794939795030268E-2</v>
      </c>
      <c r="J135" s="13">
        <f>IFERROR(J110+J111+J112+J113+J114+J115+J116+J117+J118+J119+J120+J121+J122+J123+J124+J125+J126+J127+J128+J129+J130+J131+J132+J133+J134, "NA")</f>
        <v>738.80000000000007</v>
      </c>
      <c r="K135" s="14">
        <f>IFERROR(J135/J148, "NA")</f>
        <v>1.2247068527885124E-2</v>
      </c>
      <c r="L135" s="13">
        <f>IFERROR(L110+L111+L112+L113+L114+L115+L116+L117+L118+L119+L120+L121+L122+L123+L124+L125+L126+L127+L128+L129+L130+L131+L132+L133+L134, "NA")</f>
        <v>811.16</v>
      </c>
      <c r="M135" s="14">
        <f>IFERROR(L135/L148, "NA")</f>
        <v>1.3801967728142276E-2</v>
      </c>
      <c r="N135" s="13">
        <f>IFERROR(N110+N111+N112+N113+N114+N115+N116+N117+N118+N119+N120+N121+N122+N123+N124+N125+N126+N127+N128+N129+N130+N131+N132+N133+N134, "NA")</f>
        <v>-2220.35</v>
      </c>
      <c r="O135" s="14">
        <f>IFERROR(N135/N148, "NA")</f>
        <v>-4.6218929954804179E-2</v>
      </c>
      <c r="P135" s="13">
        <f>IFERROR(P110+P111+P112+P113+P114+P115+P116+P117+P118+P119+P120+P121+P122+P123+P124+P125+P126+P127+P128+P129+P130+P131+P132+P133+P134, "NA")</f>
        <v>674.71</v>
      </c>
      <c r="Q135" s="14">
        <f>IFERROR(P135/P148, "NA")</f>
        <v>1.6265750507287655E-2</v>
      </c>
      <c r="R135" s="13">
        <f>IFERROR(R110+R111+R112+R113+R114+R115+R116+R117+R118+R119+R120+R121+R122+R123+R124+R125+R126+R127+R128+R129+R130+R131+R132+R133+R134, "NA")</f>
        <v>466.58999999999992</v>
      </c>
      <c r="S135" s="14">
        <f>IFERROR(R135/R148, "NA")</f>
        <v>9.3578541374895966E-3</v>
      </c>
      <c r="T135" s="13">
        <f>IFERROR(T110+T111+T112+T113+T114+T115+T116+T117+T118+T119+T120+T121+T122+T123+T124+T125+T126+T127+T128+T129+T130+T131+T132+T133+T134, "NA")</f>
        <v>716.08999999999992</v>
      </c>
      <c r="U135" s="14">
        <f>IFERROR(T135/T148, "NA")</f>
        <v>1.3995306298425294E-2</v>
      </c>
      <c r="V135" s="13">
        <f>IFERROR(V110+V111+V112+V113+V114+V115+V116+V117+V118+V119+V120+V121+V122+V123+V124+V125+V126+V127+V128+V129+V130+V131+V132+V133+V134, "NA")</f>
        <v>-1857.39</v>
      </c>
      <c r="W135" s="14">
        <f>IFERROR(V135/V148, "NA")</f>
        <v>-3.9205401399488811E-2</v>
      </c>
      <c r="X135" s="13">
        <f>IFERROR(X110+X111+X112+X113+X114+X115+X116+X117+X118+X119+X120+X121+X122+X123+X124+X125+X126+X127+X128+X129+X130+X131+X132+X133+X134, "NA")</f>
        <v>680.95</v>
      </c>
      <c r="Y135" s="14">
        <f>IFERROR(X135/X148, "NA")</f>
        <v>1.5437486511044167E-2</v>
      </c>
      <c r="Z135" s="13">
        <f>IFERROR(Z110+Z111+Z112+Z113+Z114+Z115+Z116+Z117+Z118+Z119+Z120+Z121+Z122+Z123+Z124+Z125+Z126+Z127+Z128+Z129+Z130+Z131+Z132+Z133+Z134, "NA")</f>
        <v>680.95</v>
      </c>
      <c r="AA135" s="14">
        <f>IFERROR(Z135/Z148, "NA")</f>
        <v>1.5437486511044167E-2</v>
      </c>
      <c r="AB135" s="13">
        <f t="shared" si="42"/>
        <v>1.5599999999999454</v>
      </c>
      <c r="AC135" s="14">
        <f>IFERROR(AB135/AB148, "NA")</f>
        <v>3.2413351682890732E-5</v>
      </c>
      <c r="AD135" s="15">
        <f t="shared" si="43"/>
        <v>679.3900000000001</v>
      </c>
      <c r="AE135" s="16">
        <f>IFERROR(AD135/AD148, "NA")</f>
        <v>-0.16908008775171696</v>
      </c>
      <c r="AF135" s="15">
        <f t="shared" si="44"/>
        <v>435.50641025642557</v>
      </c>
      <c r="AG135" s="13">
        <f t="shared" si="45"/>
        <v>1.3199999999999932</v>
      </c>
      <c r="AH135" s="14">
        <f>IFERROR(AG135/AG148, "NA")</f>
        <v>2.6325664221936384E-5</v>
      </c>
      <c r="AI135" s="15">
        <f t="shared" si="46"/>
        <v>679.63000000000011</v>
      </c>
      <c r="AJ135" s="16">
        <f>IFERROR(AI135/AI148, "NA")</f>
        <v>-0.11268897078025722</v>
      </c>
      <c r="AK135" s="15">
        <f t="shared" si="47"/>
        <v>514.87121212121485</v>
      </c>
      <c r="AL135" s="16">
        <f>IFERROR(AK135/AK148, "NA")</f>
        <v>-4280.5746449640155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14021.739999999994</v>
      </c>
      <c r="C137" s="34">
        <f>IFERROR(B137/B148, "NA")</f>
        <v>0.27742534533883328</v>
      </c>
      <c r="D137" s="33">
        <f>IFERROR(D107-D135, "NA")</f>
        <v>5330.8600000000115</v>
      </c>
      <c r="E137" s="34">
        <f>IFERROR(D137/D148, "NA")</f>
        <v>0.11272912516222046</v>
      </c>
      <c r="F137" s="33">
        <f>IFERROR(F107-F135, "NA")</f>
        <v>-2151.3699999999944</v>
      </c>
      <c r="G137" s="34">
        <f>IFERROR(F137/F148, "NA")</f>
        <v>-4.4773457381583948E-2</v>
      </c>
      <c r="H137" s="33">
        <f>IFERROR(H107-H135, "NA")</f>
        <v>10682.379999999994</v>
      </c>
      <c r="I137" s="34">
        <f>IFERROR(H137/H148, "NA")</f>
        <v>0.25168565904568291</v>
      </c>
      <c r="J137" s="33">
        <f>IFERROR(J107-J135, "NA")</f>
        <v>14988.769999999993</v>
      </c>
      <c r="K137" s="34">
        <f>IFERROR(J137/J148, "NA")</f>
        <v>0.24846845335504686</v>
      </c>
      <c r="L137" s="33">
        <f>IFERROR(L107-L135, "NA")</f>
        <v>7196.2599999999829</v>
      </c>
      <c r="M137" s="34">
        <f>IFERROR(L137/L148, "NA")</f>
        <v>0.1224450765364674</v>
      </c>
      <c r="N137" s="33">
        <f>IFERROR(N107-N135, "NA")</f>
        <v>-43.289999999992233</v>
      </c>
      <c r="O137" s="34">
        <f>IFERROR(N137/N148, "NA")</f>
        <v>-9.0112706453627318E-4</v>
      </c>
      <c r="P137" s="33">
        <f>IFERROR(P107-P135, "NA")</f>
        <v>13085.319999999996</v>
      </c>
      <c r="Q137" s="34">
        <f>IFERROR(P137/P148, "NA")</f>
        <v>0.31545782695976232</v>
      </c>
      <c r="R137" s="33">
        <f>IFERROR(R107-R135, "NA")</f>
        <v>12900.609999999988</v>
      </c>
      <c r="S137" s="34">
        <f>IFERROR(R137/R148, "NA")</f>
        <v>0.25873256320246807</v>
      </c>
      <c r="T137" s="33">
        <f>IFERROR(T107-T135, "NA")</f>
        <v>3933.2900000000127</v>
      </c>
      <c r="U137" s="34">
        <f>IFERROR(T137/T148, "NA")</f>
        <v>7.6872457806327982E-2</v>
      </c>
      <c r="V137" s="33">
        <f>IFERROR(V107-V135, "NA")</f>
        <v>-3882.7299999999932</v>
      </c>
      <c r="W137" s="34">
        <f>IFERROR(V137/V148, "NA")</f>
        <v>-8.1955856430710253E-2</v>
      </c>
      <c r="X137" s="33">
        <f>IFERROR(X107-X135, "NA")</f>
        <v>13394.210000000003</v>
      </c>
      <c r="Y137" s="34">
        <f>IFERROR(X137/X148, "NA")</f>
        <v>0.30365362537791751</v>
      </c>
      <c r="Z137" s="33">
        <f>IFERROR(Z107-Z135, "NA")</f>
        <v>13394.210000000003</v>
      </c>
      <c r="AA137" s="34">
        <f>IFERROR(Z137/Z148, "NA")</f>
        <v>0.30365362537791751</v>
      </c>
      <c r="AB137" s="33">
        <f>IFERROR((R137+T137+V137+X137)/4, "NA")</f>
        <v>6586.345000000003</v>
      </c>
      <c r="AC137" s="34">
        <f>IFERROR(AB137/AB148, "NA")</f>
        <v>0.13684969024990803</v>
      </c>
      <c r="AD137" s="15">
        <f>IFERROR(X137-AB137, "NA")</f>
        <v>6807.8649999999998</v>
      </c>
      <c r="AE137" s="16">
        <f>IFERROR(AD137/AD148, "NA")</f>
        <v>-1.6942763532019054</v>
      </c>
      <c r="AF137" s="15">
        <f>IFERROR((X137-AB137)/AB137, "NA")</f>
        <v>1.0336332214604604</v>
      </c>
      <c r="AG137" s="33">
        <f>IFERROR((J137+L137+N137+P137+R137+T137+V137+X137)/8, "NA")</f>
        <v>7696.5549999999985</v>
      </c>
      <c r="AH137" s="34">
        <f>IFERROR(AG137/AG148, "NA")</f>
        <v>0.15349766863308076</v>
      </c>
      <c r="AI137" s="15">
        <f>IFERROR(X137-AG137, "NA")</f>
        <v>5697.6550000000043</v>
      </c>
      <c r="AJ137" s="16">
        <f>IFERROR(AI137/AI148, "NA")</f>
        <v>-0.94472415551253885</v>
      </c>
      <c r="AK137" s="15">
        <f>IFERROR((X137-AG137)/AG137, "NA")</f>
        <v>0.74028640086376374</v>
      </c>
      <c r="AL137" s="16">
        <f>IFERROR(AK137/AK148, "NA")</f>
        <v>-6.1546482361943742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-54.7</v>
      </c>
      <c r="E140" s="8">
        <f>IFERROR(D140/D148, "NA")</f>
        <v>-1.1567145163019561E-3</v>
      </c>
      <c r="F140" s="7">
        <v>4548.24</v>
      </c>
      <c r="G140" s="8">
        <f>IFERROR(F140/F148, "NA")</f>
        <v>9.4656163189602849E-2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5418.4000000000005</v>
      </c>
      <c r="O140" s="8">
        <f>IFERROR(N140/N148, "NA")</f>
        <v>0.11278971786750333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-10</v>
      </c>
      <c r="U140" s="8">
        <f>IFERROR(T140/T148, "NA")</f>
        <v>-1.9544060520919571E-4</v>
      </c>
      <c r="V140" s="7">
        <v>5856.3499999999995</v>
      </c>
      <c r="W140" s="8">
        <f>IFERROR(V140/V148, "NA")</f>
        <v>0.1236146164703677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1461.5874999999999</v>
      </c>
      <c r="AC140" s="8">
        <f>IFERROR(AB140/AB148, "NA")</f>
        <v>3.0368557469755586E-2</v>
      </c>
      <c r="AD140" s="10">
        <f>IFERROR(X140-AB140, "NA")</f>
        <v>-1461.5874999999999</v>
      </c>
      <c r="AE140" s="11">
        <f>IFERROR(AD140/AD148, "NA")</f>
        <v>0.36374592319111637</v>
      </c>
      <c r="AF140" s="10">
        <f>IFERROR((X140-AB140)/AB140, "NA")</f>
        <v>-1</v>
      </c>
      <c r="AG140" s="9">
        <f>IFERROR((J140+L140+N140+P140+R140+T140+V140+X140)/8, "NA")</f>
        <v>1408.09375</v>
      </c>
      <c r="AH140" s="8">
        <f>IFERROR(AG140/AG148, "NA")</f>
        <v>2.808257822386926E-2</v>
      </c>
      <c r="AI140" s="10">
        <f>IFERROR(X140-AG140, "NA")</f>
        <v>-1408.09375</v>
      </c>
      <c r="AJ140" s="11">
        <f>IFERROR(AI140/AI148, "NA")</f>
        <v>0.23347503119287374</v>
      </c>
      <c r="AK140" s="10">
        <f>IFERROR((X140-AG140)/AG140, "NA")</f>
        <v>-1</v>
      </c>
      <c r="AL140" s="11">
        <f>IFERROR(AK140/AK148, "NA")</f>
        <v>8.3138745072355107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-54.7</v>
      </c>
      <c r="E141" s="14">
        <f>IFERROR(D141/D148, "NA")</f>
        <v>-1.1567145163019561E-3</v>
      </c>
      <c r="F141" s="13">
        <f>IFERROR(F140, "NA")</f>
        <v>4548.24</v>
      </c>
      <c r="G141" s="14">
        <f>IFERROR(F141/F148, "NA")</f>
        <v>9.4656163189602849E-2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5418.4000000000005</v>
      </c>
      <c r="O141" s="14">
        <f>IFERROR(N141/N148, "NA")</f>
        <v>0.11278971786750333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-10</v>
      </c>
      <c r="U141" s="14">
        <f>IFERROR(T141/T148, "NA")</f>
        <v>-1.9544060520919571E-4</v>
      </c>
      <c r="V141" s="13">
        <f>IFERROR(V140, "NA")</f>
        <v>5856.3499999999995</v>
      </c>
      <c r="W141" s="14">
        <f>IFERROR(V141/V148, "NA")</f>
        <v>0.1236146164703677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1461.5874999999999</v>
      </c>
      <c r="AC141" s="14">
        <f>IFERROR(AB141/AB148, "NA")</f>
        <v>3.0368557469755586E-2</v>
      </c>
      <c r="AD141" s="15">
        <f>IFERROR(X141-AB141, "NA")</f>
        <v>-1461.5874999999999</v>
      </c>
      <c r="AE141" s="16">
        <f>IFERROR(AD141/AD148, "NA")</f>
        <v>0.36374592319111637</v>
      </c>
      <c r="AF141" s="15">
        <f>IFERROR((X141-AB141)/AB141, "NA")</f>
        <v>-1</v>
      </c>
      <c r="AG141" s="13">
        <f>IFERROR((J141+L141+N141+P141+R141+T141+V141+X141)/8, "NA")</f>
        <v>1408.09375</v>
      </c>
      <c r="AH141" s="14">
        <f>IFERROR(AG141/AG148, "NA")</f>
        <v>2.808257822386926E-2</v>
      </c>
      <c r="AI141" s="15">
        <f>IFERROR(X141-AG141, "NA")</f>
        <v>-1408.09375</v>
      </c>
      <c r="AJ141" s="16">
        <f>IFERROR(AI141/AI148, "NA")</f>
        <v>0.23347503119287374</v>
      </c>
      <c r="AK141" s="15">
        <f>IFERROR((X141-AG141)/AG141, "NA")</f>
        <v>-1</v>
      </c>
      <c r="AL141" s="16">
        <f>IFERROR(AK141/AK148, "NA")</f>
        <v>8.3138745072355107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14021.739999999994</v>
      </c>
      <c r="C147" s="34">
        <f>IFERROR(B147/B148, "NA")</f>
        <v>0.27742534533883328</v>
      </c>
      <c r="D147" s="33">
        <f>IFERROR(D137-D141-D145, "NA")</f>
        <v>5385.5600000000113</v>
      </c>
      <c r="E147" s="34">
        <f>IFERROR(D147/D148, "NA")</f>
        <v>0.11388583967852242</v>
      </c>
      <c r="F147" s="33">
        <f>IFERROR(F137-F141-F145, "NA")</f>
        <v>-6699.6099999999942</v>
      </c>
      <c r="G147" s="34">
        <f>IFERROR(F147/F148, "NA")</f>
        <v>-0.1394296205711868</v>
      </c>
      <c r="H147" s="33">
        <f>IFERROR(H137-H141-H145, "NA")</f>
        <v>10682.379999999994</v>
      </c>
      <c r="I147" s="34">
        <f>IFERROR(H147/H148, "NA")</f>
        <v>0.25168565904568291</v>
      </c>
      <c r="J147" s="33">
        <f>IFERROR(J137-J141-J145, "NA")</f>
        <v>14988.769999999993</v>
      </c>
      <c r="K147" s="34">
        <f>IFERROR(J147/J148, "NA")</f>
        <v>0.24846845335504686</v>
      </c>
      <c r="L147" s="33">
        <f>IFERROR(L137-L141-L145, "NA")</f>
        <v>7196.2599999999829</v>
      </c>
      <c r="M147" s="34">
        <f>IFERROR(L147/L148, "NA")</f>
        <v>0.1224450765364674</v>
      </c>
      <c r="N147" s="33">
        <f>IFERROR(N137-N141-N145, "NA")</f>
        <v>-5461.6899999999932</v>
      </c>
      <c r="O147" s="34">
        <f>IFERROR(N147/N148, "NA")</f>
        <v>-0.11369084493203961</v>
      </c>
      <c r="P147" s="33">
        <f>IFERROR(P137-P141-P145, "NA")</f>
        <v>13085.319999999996</v>
      </c>
      <c r="Q147" s="34">
        <f>IFERROR(P147/P148, "NA")</f>
        <v>0.31545782695976232</v>
      </c>
      <c r="R147" s="33">
        <f>IFERROR(R137-R141-R145, "NA")</f>
        <v>12900.609999999988</v>
      </c>
      <c r="S147" s="34">
        <f>IFERROR(R147/R148, "NA")</f>
        <v>0.25873256320246807</v>
      </c>
      <c r="T147" s="33">
        <f>IFERROR(T137-T141-T145, "NA")</f>
        <v>3943.2900000000127</v>
      </c>
      <c r="U147" s="34">
        <f>IFERROR(T147/T148, "NA")</f>
        <v>7.7067898411537175E-2</v>
      </c>
      <c r="V147" s="33">
        <f>IFERROR(V137-V141-V145, "NA")</f>
        <v>-9739.0799999999927</v>
      </c>
      <c r="W147" s="34">
        <f>IFERROR(V147/V148, "NA")</f>
        <v>-0.20557047290107797</v>
      </c>
      <c r="X147" s="33">
        <f>IFERROR(X137-X141-X145, "NA")</f>
        <v>13394.210000000003</v>
      </c>
      <c r="Y147" s="34">
        <f>IFERROR(X147/X148, "NA")</f>
        <v>0.30365362537791751</v>
      </c>
      <c r="Z147" s="33">
        <f>IFERROR(Z137-Z141-Z145, "NA")</f>
        <v>13394.210000000003</v>
      </c>
      <c r="AA147" s="34">
        <f>IFERROR(Z147/Z148, "NA")</f>
        <v>0.30365362537791751</v>
      </c>
      <c r="AB147" s="33">
        <f>IFERROR((R147+T147+V147+X147)/4, "NA")</f>
        <v>5124.7575000000033</v>
      </c>
      <c r="AC147" s="34">
        <f>IFERROR(AB147/AB148, "NA")</f>
        <v>0.10648113278015245</v>
      </c>
      <c r="AD147" s="15">
        <f>IFERROR(X147-AB147, "NA")</f>
        <v>8269.4524999999994</v>
      </c>
      <c r="AE147" s="16">
        <f>IFERROR(AD147/AD148, "NA")</f>
        <v>-2.0580222763930216</v>
      </c>
      <c r="AF147" s="15">
        <f>IFERROR((X147-AB147)/AB147, "NA")</f>
        <v>1.6136280594740324</v>
      </c>
      <c r="AG147" s="33">
        <f>IFERROR((J147+L147+N147+P147+R147+T147+V147+X147)/8, "NA")</f>
        <v>6288.4612499999985</v>
      </c>
      <c r="AH147" s="34">
        <f>IFERROR(AG147/AG148, "NA")</f>
        <v>0.12541509040921148</v>
      </c>
      <c r="AI147" s="15">
        <f>IFERROR(X147-AG147, "NA")</f>
        <v>7105.7487500000043</v>
      </c>
      <c r="AJ147" s="16">
        <f>IFERROR(AI147/AI148, "NA")</f>
        <v>-1.1781991867054127</v>
      </c>
      <c r="AK147" s="15">
        <f>IFERROR((X147-AG147)/AG147, "NA")</f>
        <v>1.1299662139128241</v>
      </c>
      <c r="AL147" s="16">
        <f>IFERROR(AK147/AK148, "NA")</f>
        <v>-9.3943972998872578</v>
      </c>
    </row>
    <row r="148" spans="1:38" ht="15.6" hidden="1">
      <c r="A148" s="40" t="s">
        <v>25</v>
      </c>
      <c r="B148" s="7">
        <v>50542.39</v>
      </c>
      <c r="C148" s="41"/>
      <c r="D148" s="7">
        <v>47289.11</v>
      </c>
      <c r="E148" s="41"/>
      <c r="F148" s="7">
        <v>48050.12</v>
      </c>
      <c r="G148" s="41"/>
      <c r="H148" s="7">
        <v>42443.34</v>
      </c>
      <c r="I148" s="41"/>
      <c r="J148" s="7">
        <v>60324.639999999999</v>
      </c>
      <c r="K148" s="41"/>
      <c r="L148" s="7">
        <v>58771.33</v>
      </c>
      <c r="M148" s="41"/>
      <c r="N148" s="7">
        <v>48039.839999999997</v>
      </c>
      <c r="O148" s="41"/>
      <c r="P148" s="7">
        <v>41480.410000000003</v>
      </c>
      <c r="Q148" s="41"/>
      <c r="R148" s="7">
        <v>49860.79</v>
      </c>
      <c r="S148" s="41"/>
      <c r="T148" s="7">
        <v>51166.44</v>
      </c>
      <c r="U148" s="41"/>
      <c r="V148" s="7">
        <v>47375.87</v>
      </c>
      <c r="W148" s="41"/>
      <c r="X148" s="7">
        <v>44110.16</v>
      </c>
      <c r="Y148" s="41"/>
      <c r="Z148" s="7">
        <v>44110.16</v>
      </c>
      <c r="AA148" s="41"/>
      <c r="AB148" s="9">
        <f>IFERROR((R148+T148+V148+X148)/4, "NA")</f>
        <v>48128.315000000002</v>
      </c>
      <c r="AC148" s="41"/>
      <c r="AD148" s="10">
        <f>IFERROR(X148-AB148, "NA")</f>
        <v>-4018.1549999999988</v>
      </c>
      <c r="AE148" s="42"/>
      <c r="AF148" s="10">
        <f>IFERROR((X148-AB148)/AB148, "NA")</f>
        <v>-8.3488378930365606E-2</v>
      </c>
      <c r="AG148" s="9">
        <f>IFERROR((J148+L148+N148+P148+R148+T148+V148+X148)/8, "NA")</f>
        <v>50141.184999999998</v>
      </c>
      <c r="AH148" s="41"/>
      <c r="AI148" s="10">
        <f>IFERROR(X148-AG148, "NA")</f>
        <v>-6031.0249999999942</v>
      </c>
      <c r="AJ148" s="42"/>
      <c r="AK148" s="10">
        <f>IFERROR((X148-AG148)/AG148, "NA")</f>
        <v>-0.12028086292735192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U45" activePane="bottomRight" state="frozen"/>
      <selection pane="topRight" activeCell="B1" sqref="B1"/>
      <selection pane="bottomLeft" activeCell="A6" sqref="A6"/>
      <selection pane="bottomRight" activeCell="AF85" sqref="AF85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153</v>
      </c>
      <c r="B3" s="46" t="s">
        <v>153</v>
      </c>
      <c r="C3" s="46" t="s">
        <v>153</v>
      </c>
      <c r="D3" s="46" t="s">
        <v>153</v>
      </c>
      <c r="E3" s="46" t="s">
        <v>153</v>
      </c>
      <c r="F3" s="46" t="s">
        <v>153</v>
      </c>
      <c r="G3" s="46" t="s">
        <v>153</v>
      </c>
      <c r="H3" s="46" t="s">
        <v>153</v>
      </c>
      <c r="I3" s="46" t="s">
        <v>153</v>
      </c>
      <c r="J3" s="46" t="s">
        <v>153</v>
      </c>
      <c r="K3" s="46" t="s">
        <v>153</v>
      </c>
      <c r="L3" s="46" t="s">
        <v>153</v>
      </c>
      <c r="M3" s="46" t="s">
        <v>153</v>
      </c>
      <c r="N3" s="46" t="s">
        <v>153</v>
      </c>
      <c r="O3" s="46" t="s">
        <v>153</v>
      </c>
      <c r="P3" s="46" t="s">
        <v>153</v>
      </c>
      <c r="Q3" s="46" t="s">
        <v>153</v>
      </c>
      <c r="R3" s="46" t="s">
        <v>153</v>
      </c>
      <c r="S3" s="46" t="s">
        <v>153</v>
      </c>
      <c r="T3" s="46" t="s">
        <v>153</v>
      </c>
      <c r="U3" s="46" t="s">
        <v>153</v>
      </c>
      <c r="V3" s="46" t="s">
        <v>153</v>
      </c>
      <c r="W3" s="46" t="s">
        <v>153</v>
      </c>
      <c r="X3" s="46" t="s">
        <v>153</v>
      </c>
      <c r="Y3" s="46" t="s">
        <v>153</v>
      </c>
      <c r="Z3" s="46" t="s">
        <v>153</v>
      </c>
      <c r="AA3" s="46" t="s">
        <v>153</v>
      </c>
      <c r="AB3" s="46" t="s">
        <v>153</v>
      </c>
      <c r="AC3" s="46" t="s">
        <v>153</v>
      </c>
      <c r="AD3" s="46" t="s">
        <v>153</v>
      </c>
      <c r="AE3" s="46" t="s">
        <v>153</v>
      </c>
      <c r="AF3" s="46" t="s">
        <v>153</v>
      </c>
      <c r="AG3" s="46" t="s">
        <v>153</v>
      </c>
      <c r="AH3" s="46" t="s">
        <v>153</v>
      </c>
      <c r="AI3" s="46" t="s">
        <v>153</v>
      </c>
      <c r="AJ3" s="46" t="s">
        <v>153</v>
      </c>
      <c r="AK3" s="46" t="s">
        <v>153</v>
      </c>
      <c r="AL3" s="46" t="s">
        <v>153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26093.649999999998</v>
      </c>
      <c r="C7" s="8">
        <f>IFERROR(B7/B148, "NA")</f>
        <v>0.99999999999999989</v>
      </c>
      <c r="D7" s="7">
        <v>25634.619999999995</v>
      </c>
      <c r="E7" s="8">
        <f>IFERROR(D7/D148, "NA")</f>
        <v>0.99999999999999989</v>
      </c>
      <c r="F7" s="7">
        <v>34438.15</v>
      </c>
      <c r="G7" s="8">
        <f>IFERROR(F7/F148, "NA")</f>
        <v>1</v>
      </c>
      <c r="H7" s="7">
        <v>28548.880000000001</v>
      </c>
      <c r="I7" s="8">
        <f>IFERROR(H7/H148, "NA")</f>
        <v>1</v>
      </c>
      <c r="J7" s="7">
        <v>34892.289999999994</v>
      </c>
      <c r="K7" s="8">
        <f>IFERROR(J7/J148, "NA")</f>
        <v>0.99999999999999978</v>
      </c>
      <c r="L7" s="7">
        <v>45409.659999999996</v>
      </c>
      <c r="M7" s="8">
        <f>IFERROR(L7/L148, "NA")</f>
        <v>0.99999999999999989</v>
      </c>
      <c r="N7" s="7">
        <v>40494.579999999994</v>
      </c>
      <c r="O7" s="8">
        <f>IFERROR(N7/N148, "NA")</f>
        <v>0.99999999999999978</v>
      </c>
      <c r="P7" s="7">
        <v>23146.28</v>
      </c>
      <c r="Q7" s="8">
        <f>IFERROR(P7/P148, "NA")</f>
        <v>1</v>
      </c>
      <c r="R7" s="7">
        <v>25422.050000000007</v>
      </c>
      <c r="S7" s="8">
        <f>IFERROR(R7/R148, "NA")</f>
        <v>1.0000000000000002</v>
      </c>
      <c r="T7" s="7">
        <v>24506.450000000004</v>
      </c>
      <c r="U7" s="8">
        <f>IFERROR(T7/T148, "NA")</f>
        <v>1.0000000000000002</v>
      </c>
      <c r="V7" s="7">
        <v>25844.799999999996</v>
      </c>
      <c r="W7" s="8">
        <f>IFERROR(V7/V148, "NA")</f>
        <v>0.99999999999999989</v>
      </c>
      <c r="X7" s="7">
        <v>26951.39</v>
      </c>
      <c r="Y7" s="8">
        <f>IFERROR(X7/X148, "NA")</f>
        <v>1</v>
      </c>
      <c r="Z7" s="7">
        <v>26951.39</v>
      </c>
      <c r="AA7" s="8">
        <f>IFERROR(Z7/Z148, "NA")</f>
        <v>1</v>
      </c>
      <c r="AB7" s="9">
        <f>IFERROR((R7+T7+V7+X7)/4, "NA")</f>
        <v>25681.172500000004</v>
      </c>
      <c r="AC7" s="8">
        <f>IFERROR(AB7/AB148, "NA")</f>
        <v>1.0000000000000002</v>
      </c>
      <c r="AD7" s="10">
        <f>IFERROR(X7-AB7, "NA")</f>
        <v>1270.2174999999952</v>
      </c>
      <c r="AE7" s="11">
        <f>IFERROR(AD7/AD148, "NA")</f>
        <v>0.99999999999999711</v>
      </c>
      <c r="AF7" s="10">
        <f>IFERROR((X7-AB7)/AB7, "NA")</f>
        <v>4.9461039989509632E-2</v>
      </c>
      <c r="AG7" s="9">
        <f>IFERROR((J7+L7+N7+P7+R7+T7+V7+X7)/8, "NA")</f>
        <v>30833.4375</v>
      </c>
      <c r="AH7" s="8">
        <f>IFERROR(AG7/AG148, "NA")</f>
        <v>1</v>
      </c>
      <c r="AI7" s="10">
        <f>IFERROR(X7-AG7, "NA")</f>
        <v>-3882.0475000000006</v>
      </c>
      <c r="AJ7" s="11">
        <f>IFERROR(AI7/AI148, "NA")</f>
        <v>1</v>
      </c>
      <c r="AK7" s="10">
        <f>IFERROR((X7-AG7)/AG7, "NA")</f>
        <v>-0.12590381789250712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26093.649999999998</v>
      </c>
      <c r="C9" s="14">
        <f>IFERROR(B9/B148, "NA")</f>
        <v>0.99999999999999989</v>
      </c>
      <c r="D9" s="13">
        <f>IFERROR(D7+D8, "NA")</f>
        <v>25634.619999999995</v>
      </c>
      <c r="E9" s="14">
        <f>IFERROR(D9/D148, "NA")</f>
        <v>0.99999999999999989</v>
      </c>
      <c r="F9" s="13">
        <f>IFERROR(F7+F8, "NA")</f>
        <v>34438.15</v>
      </c>
      <c r="G9" s="14">
        <f>IFERROR(F9/F148, "NA")</f>
        <v>1</v>
      </c>
      <c r="H9" s="13">
        <f>IFERROR(H7+H8, "NA")</f>
        <v>28548.880000000001</v>
      </c>
      <c r="I9" s="14">
        <f>IFERROR(H9/H148, "NA")</f>
        <v>1</v>
      </c>
      <c r="J9" s="13">
        <f>IFERROR(J7+J8, "NA")</f>
        <v>34892.289999999994</v>
      </c>
      <c r="K9" s="14">
        <f>IFERROR(J9/J148, "NA")</f>
        <v>0.99999999999999978</v>
      </c>
      <c r="L9" s="13">
        <f>IFERROR(L7+L8, "NA")</f>
        <v>45409.659999999996</v>
      </c>
      <c r="M9" s="14">
        <f>IFERROR(L9/L148, "NA")</f>
        <v>0.99999999999999989</v>
      </c>
      <c r="N9" s="13">
        <f>IFERROR(N7+N8, "NA")</f>
        <v>40494.579999999994</v>
      </c>
      <c r="O9" s="14">
        <f>IFERROR(N9/N148, "NA")</f>
        <v>0.99999999999999978</v>
      </c>
      <c r="P9" s="13">
        <f>IFERROR(P7+P8, "NA")</f>
        <v>23146.28</v>
      </c>
      <c r="Q9" s="14">
        <f>IFERROR(P9/P148, "NA")</f>
        <v>1</v>
      </c>
      <c r="R9" s="13">
        <f>IFERROR(R7+R8, "NA")</f>
        <v>25422.050000000007</v>
      </c>
      <c r="S9" s="14">
        <f>IFERROR(R9/R148, "NA")</f>
        <v>1.0000000000000002</v>
      </c>
      <c r="T9" s="13">
        <f>IFERROR(T7+T8, "NA")</f>
        <v>24506.450000000004</v>
      </c>
      <c r="U9" s="14">
        <f>IFERROR(T9/T148, "NA")</f>
        <v>1.0000000000000002</v>
      </c>
      <c r="V9" s="13">
        <f>IFERROR(V7+V8, "NA")</f>
        <v>25844.799999999996</v>
      </c>
      <c r="W9" s="14">
        <f>IFERROR(V9/V148, "NA")</f>
        <v>0.99999999999999989</v>
      </c>
      <c r="X9" s="13">
        <f>IFERROR(X7+X8, "NA")</f>
        <v>26951.39</v>
      </c>
      <c r="Y9" s="14">
        <f>IFERROR(X9/X148, "NA")</f>
        <v>1</v>
      </c>
      <c r="Z9" s="13">
        <f>IFERROR(Z7+Z8, "NA")</f>
        <v>26951.39</v>
      </c>
      <c r="AA9" s="14">
        <f>IFERROR(Z9/Z148, "NA")</f>
        <v>1</v>
      </c>
      <c r="AB9" s="13">
        <f>IFERROR((R9+T9+V9+X9)/4, "NA")</f>
        <v>25681.172500000004</v>
      </c>
      <c r="AC9" s="14">
        <f>IFERROR(AB9/AB148, "NA")</f>
        <v>1.0000000000000002</v>
      </c>
      <c r="AD9" s="15">
        <f>IFERROR(X9-AB9, "NA")</f>
        <v>1270.2174999999952</v>
      </c>
      <c r="AE9" s="16">
        <f>IFERROR(AD9/AD148, "NA")</f>
        <v>0.99999999999999711</v>
      </c>
      <c r="AF9" s="15">
        <f>IFERROR((X9-AB9)/AB9, "NA")</f>
        <v>4.9461039989509632E-2</v>
      </c>
      <c r="AG9" s="13">
        <f>IFERROR((J9+L9+N9+P9+R9+T9+V9+X9)/8, "NA")</f>
        <v>30833.4375</v>
      </c>
      <c r="AH9" s="14">
        <f>IFERROR(AG9/AG148, "NA")</f>
        <v>1</v>
      </c>
      <c r="AI9" s="15">
        <f>IFERROR(X9-AG9, "NA")</f>
        <v>-3882.0475000000006</v>
      </c>
      <c r="AJ9" s="16">
        <f>IFERROR(AI9/AI148, "NA")</f>
        <v>1</v>
      </c>
      <c r="AK9" s="15">
        <f>IFERROR((X9-AG9)/AG9, "NA")</f>
        <v>-0.12590381789250712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1205.9000000000001</v>
      </c>
      <c r="C16" s="8">
        <f>IFERROR(B16/B148, "NA")</f>
        <v>4.6214308845255458E-2</v>
      </c>
      <c r="D16" s="7">
        <v>998.44</v>
      </c>
      <c r="E16" s="8">
        <f>IFERROR(D16/D148, "NA")</f>
        <v>3.8948890211752706E-2</v>
      </c>
      <c r="F16" s="7">
        <v>1515.33</v>
      </c>
      <c r="G16" s="8">
        <f>IFERROR(F16/F148, "NA")</f>
        <v>4.400149253081248E-2</v>
      </c>
      <c r="H16" s="7">
        <v>1123.6300000000001</v>
      </c>
      <c r="I16" s="8">
        <f>IFERROR(H16/H148, "NA")</f>
        <v>3.9358111421533878E-2</v>
      </c>
      <c r="J16" s="7">
        <v>1562.6</v>
      </c>
      <c r="K16" s="8">
        <f>IFERROR(J16/J148, "NA")</f>
        <v>4.4783532407875776E-2</v>
      </c>
      <c r="L16" s="7">
        <v>1618.52</v>
      </c>
      <c r="M16" s="8">
        <f>IFERROR(L16/L148, "NA")</f>
        <v>3.5642636390582967E-2</v>
      </c>
      <c r="N16" s="7">
        <v>1586.33</v>
      </c>
      <c r="O16" s="8">
        <f>IFERROR(N16/N148, "NA")</f>
        <v>3.9173884505037462E-2</v>
      </c>
      <c r="P16" s="7">
        <v>843.49</v>
      </c>
      <c r="Q16" s="8">
        <f>IFERROR(P16/P148, "NA")</f>
        <v>3.6441708991682469E-2</v>
      </c>
      <c r="R16" s="7">
        <v>1074.76</v>
      </c>
      <c r="S16" s="8">
        <f>IFERROR(R16/R148, "NA")</f>
        <v>4.2276685003766419E-2</v>
      </c>
      <c r="T16" s="7">
        <v>1065.3399999999999</v>
      </c>
      <c r="U16" s="8">
        <f>IFERROR(T16/T148, "NA")</f>
        <v>4.3471820683942383E-2</v>
      </c>
      <c r="V16" s="7">
        <v>931.84</v>
      </c>
      <c r="W16" s="8">
        <f>IFERROR(V16/V148, "NA")</f>
        <v>3.605522194019687E-2</v>
      </c>
      <c r="X16" s="7">
        <v>923.91</v>
      </c>
      <c r="Y16" s="8">
        <f>IFERROR(X16/X148, "NA")</f>
        <v>3.428060667742925E-2</v>
      </c>
      <c r="Z16" s="7">
        <v>923.91</v>
      </c>
      <c r="AA16" s="8">
        <f>IFERROR(Z16/Z148, "NA")</f>
        <v>3.428060667742925E-2</v>
      </c>
      <c r="AB16" s="9">
        <f t="shared" si="0"/>
        <v>998.96249999999998</v>
      </c>
      <c r="AC16" s="8">
        <f>IFERROR(AB16/AB148, "NA")</f>
        <v>3.8898632840848678E-2</v>
      </c>
      <c r="AD16" s="10">
        <f t="shared" si="1"/>
        <v>-75.052500000000009</v>
      </c>
      <c r="AE16" s="11">
        <f>IFERROR(AD16/AD148, "NA")</f>
        <v>-5.908633757604511E-2</v>
      </c>
      <c r="AF16" s="10">
        <f t="shared" si="2"/>
        <v>-7.5130447839633629E-2</v>
      </c>
      <c r="AG16" s="9">
        <f t="shared" si="3"/>
        <v>1200.8487499999999</v>
      </c>
      <c r="AH16" s="8">
        <f>IFERROR(AG16/AG148, "NA")</f>
        <v>3.8946314370559558E-2</v>
      </c>
      <c r="AI16" s="10">
        <f t="shared" si="4"/>
        <v>-276.93874999999991</v>
      </c>
      <c r="AJ16" s="11">
        <f>IFERROR(AI16/AI148, "NA")</f>
        <v>7.1338320821679763E-2</v>
      </c>
      <c r="AK16" s="10">
        <f t="shared" si="5"/>
        <v>-0.23061917664485218</v>
      </c>
      <c r="AL16" s="11">
        <f>IFERROR(AK16/AK148, "NA")</f>
        <v>1.8317091610498091</v>
      </c>
    </row>
    <row r="17" spans="1:38" ht="16.5" customHeight="1">
      <c r="A17" s="25" t="s">
        <v>32</v>
      </c>
      <c r="B17" s="7">
        <v>763.85</v>
      </c>
      <c r="C17" s="8">
        <f>IFERROR(B17/B148, "NA")</f>
        <v>2.9273405598680139E-2</v>
      </c>
      <c r="D17" s="7">
        <v>658.89</v>
      </c>
      <c r="E17" s="8">
        <f>IFERROR(D17/D148, "NA")</f>
        <v>2.570313115622545E-2</v>
      </c>
      <c r="F17" s="7">
        <v>799.86</v>
      </c>
      <c r="G17" s="8">
        <f>IFERROR(F17/F148, "NA")</f>
        <v>2.3225986297173339E-2</v>
      </c>
      <c r="H17" s="7">
        <v>686.16</v>
      </c>
      <c r="I17" s="8">
        <f>IFERROR(H17/H148, "NA")</f>
        <v>2.4034568081129627E-2</v>
      </c>
      <c r="J17" s="7">
        <v>670.97</v>
      </c>
      <c r="K17" s="8">
        <f>IFERROR(J17/J148, "NA")</f>
        <v>1.922974960944094E-2</v>
      </c>
      <c r="L17" s="7">
        <v>1434.38</v>
      </c>
      <c r="M17" s="8">
        <f>IFERROR(L17/L148, "NA")</f>
        <v>3.1587552075923932E-2</v>
      </c>
      <c r="N17" s="7">
        <v>783.84</v>
      </c>
      <c r="O17" s="8">
        <f>IFERROR(N17/N148, "NA")</f>
        <v>1.9356664521523622E-2</v>
      </c>
      <c r="P17" s="7">
        <v>392.89</v>
      </c>
      <c r="Q17" s="8">
        <f>IFERROR(P17/P148, "NA")</f>
        <v>1.6974217887280374E-2</v>
      </c>
      <c r="R17" s="7">
        <v>605.05999999999995</v>
      </c>
      <c r="S17" s="8">
        <f>IFERROR(R17/R148, "NA")</f>
        <v>2.3800598299507709E-2</v>
      </c>
      <c r="T17" s="7">
        <v>741.04</v>
      </c>
      <c r="U17" s="8">
        <f>IFERROR(T17/T148, "NA")</f>
        <v>3.0238569845897709E-2</v>
      </c>
      <c r="V17" s="7">
        <v>553.62</v>
      </c>
      <c r="W17" s="8">
        <f>IFERROR(V17/V148, "NA")</f>
        <v>2.1420943477991707E-2</v>
      </c>
      <c r="X17" s="7">
        <v>715.58</v>
      </c>
      <c r="Y17" s="8">
        <f>IFERROR(X17/X148, "NA")</f>
        <v>2.6550764172089087E-2</v>
      </c>
      <c r="Z17" s="7">
        <v>715.58</v>
      </c>
      <c r="AA17" s="8">
        <f>IFERROR(Z17/Z148, "NA")</f>
        <v>2.6550764172089087E-2</v>
      </c>
      <c r="AB17" s="9">
        <f t="shared" si="0"/>
        <v>653.82499999999993</v>
      </c>
      <c r="AC17" s="8">
        <f>IFERROR(AB17/AB148, "NA")</f>
        <v>2.5459312654046457E-2</v>
      </c>
      <c r="AD17" s="10">
        <f t="shared" si="1"/>
        <v>61.755000000000109</v>
      </c>
      <c r="AE17" s="11">
        <f>IFERROR(AD17/AD148, "NA")</f>
        <v>4.8617657999515965E-2</v>
      </c>
      <c r="AF17" s="10">
        <f t="shared" si="2"/>
        <v>9.4451879325507762E-2</v>
      </c>
      <c r="AG17" s="9">
        <f t="shared" si="3"/>
        <v>737.17250000000001</v>
      </c>
      <c r="AH17" s="8">
        <f>IFERROR(AG17/AG148, "NA")</f>
        <v>2.3908216526295521E-2</v>
      </c>
      <c r="AI17" s="10">
        <f t="shared" si="4"/>
        <v>-21.592499999999973</v>
      </c>
      <c r="AJ17" s="11">
        <f>IFERROR(AI17/AI148, "NA")</f>
        <v>5.562142142773876E-3</v>
      </c>
      <c r="AK17" s="10">
        <f t="shared" si="5"/>
        <v>-2.9290973279659745E-2</v>
      </c>
      <c r="AL17" s="11">
        <f>IFERROR(AK17/AK148, "NA")</f>
        <v>0.23264563195905222</v>
      </c>
    </row>
    <row r="18" spans="1:38" ht="16.5" customHeight="1">
      <c r="A18" s="25" t="s">
        <v>33</v>
      </c>
      <c r="B18" s="7">
        <v>1099.73</v>
      </c>
      <c r="C18" s="8">
        <f>IFERROR(B18/B148, "NA")</f>
        <v>4.214550283306475E-2</v>
      </c>
      <c r="D18" s="7">
        <v>1044.33</v>
      </c>
      <c r="E18" s="8">
        <f>IFERROR(D18/D148, "NA")</f>
        <v>4.0739047428828667E-2</v>
      </c>
      <c r="F18" s="7">
        <v>1113.5899999999999</v>
      </c>
      <c r="G18" s="8">
        <f>IFERROR(F18/F148, "NA")</f>
        <v>3.2335941390579923E-2</v>
      </c>
      <c r="H18" s="7">
        <v>1133.83</v>
      </c>
      <c r="I18" s="8">
        <f>IFERROR(H18/H148, "NA")</f>
        <v>3.9715393388462174E-2</v>
      </c>
      <c r="J18" s="7">
        <v>1162.22</v>
      </c>
      <c r="K18" s="8">
        <f>IFERROR(J18/J148, "NA")</f>
        <v>3.330879113981914E-2</v>
      </c>
      <c r="L18" s="7">
        <v>1669.07</v>
      </c>
      <c r="M18" s="8">
        <f>IFERROR(L18/L148, "NA")</f>
        <v>3.6755835652590219E-2</v>
      </c>
      <c r="N18" s="7">
        <v>1968.65</v>
      </c>
      <c r="O18" s="8">
        <f>IFERROR(N18/N148, "NA")</f>
        <v>4.8615148002522805E-2</v>
      </c>
      <c r="P18" s="7">
        <v>756.24</v>
      </c>
      <c r="Q18" s="8">
        <f>IFERROR(P18/P148, "NA")</f>
        <v>3.2672204777614372E-2</v>
      </c>
      <c r="R18" s="7">
        <v>711.53</v>
      </c>
      <c r="S18" s="8">
        <f>IFERROR(R18/R148, "NA")</f>
        <v>2.798869485348349E-2</v>
      </c>
      <c r="T18" s="7">
        <v>884.66</v>
      </c>
      <c r="U18" s="8">
        <f>IFERROR(T18/T148, "NA")</f>
        <v>3.6099067796437262E-2</v>
      </c>
      <c r="V18" s="7">
        <v>680.62</v>
      </c>
      <c r="W18" s="8">
        <f>IFERROR(V18/V148, "NA")</f>
        <v>2.6334891351451745E-2</v>
      </c>
      <c r="X18" s="7">
        <v>834.53</v>
      </c>
      <c r="Y18" s="8">
        <f>IFERROR(X18/X148, "NA")</f>
        <v>3.0964265664961993E-2</v>
      </c>
      <c r="Z18" s="7">
        <v>834.53</v>
      </c>
      <c r="AA18" s="8">
        <f>IFERROR(Z18/Z148, "NA")</f>
        <v>3.0964265664961993E-2</v>
      </c>
      <c r="AB18" s="9">
        <f t="shared" si="0"/>
        <v>777.83500000000004</v>
      </c>
      <c r="AC18" s="8">
        <f>IFERROR(AB18/AB148, "NA")</f>
        <v>3.0288142023110511E-2</v>
      </c>
      <c r="AD18" s="10">
        <f t="shared" si="1"/>
        <v>56.694999999999936</v>
      </c>
      <c r="AE18" s="11">
        <f>IFERROR(AD18/AD148, "NA")</f>
        <v>4.463408825653873E-2</v>
      </c>
      <c r="AF18" s="10">
        <f t="shared" si="2"/>
        <v>7.2888208938913693E-2</v>
      </c>
      <c r="AG18" s="9">
        <f t="shared" si="3"/>
        <v>1083.44</v>
      </c>
      <c r="AH18" s="8">
        <f>IFERROR(AG18/AG148, "NA")</f>
        <v>3.513847588352742E-2</v>
      </c>
      <c r="AI18" s="10">
        <f t="shared" si="4"/>
        <v>-248.91000000000008</v>
      </c>
      <c r="AJ18" s="11">
        <f>IFERROR(AI18/AI148, "NA")</f>
        <v>6.4118226271059287E-2</v>
      </c>
      <c r="AK18" s="10">
        <f t="shared" si="5"/>
        <v>-0.22974045632430043</v>
      </c>
      <c r="AL18" s="11">
        <f>IFERROR(AK18/AK148, "NA")</f>
        <v>1.8247298626038957</v>
      </c>
    </row>
    <row r="19" spans="1:38" ht="16.5" customHeight="1">
      <c r="A19" s="25" t="s">
        <v>34</v>
      </c>
      <c r="B19" s="7">
        <v>623.25</v>
      </c>
      <c r="C19" s="8">
        <f>IFERROR(B19/B148, "NA")</f>
        <v>2.3885121475914636E-2</v>
      </c>
      <c r="D19" s="7">
        <v>544.52</v>
      </c>
      <c r="E19" s="8">
        <f>IFERROR(D19/D148, "NA")</f>
        <v>2.1241586573157705E-2</v>
      </c>
      <c r="F19" s="7">
        <v>745.41</v>
      </c>
      <c r="G19" s="8">
        <f>IFERROR(F19/F148, "NA")</f>
        <v>2.164489091312977E-2</v>
      </c>
      <c r="H19" s="7">
        <v>654.19000000000005</v>
      </c>
      <c r="I19" s="8">
        <f>IFERROR(H19/H148, "NA")</f>
        <v>2.2914734308316125E-2</v>
      </c>
      <c r="J19" s="7">
        <v>476.96</v>
      </c>
      <c r="K19" s="8">
        <f>IFERROR(J19/J148, "NA")</f>
        <v>1.3669495467336767E-2</v>
      </c>
      <c r="L19" s="7">
        <v>780.81</v>
      </c>
      <c r="M19" s="8">
        <f>IFERROR(L19/L148, "NA")</f>
        <v>1.7194799520630629E-2</v>
      </c>
      <c r="N19" s="7">
        <v>752.33</v>
      </c>
      <c r="O19" s="8">
        <f>IFERROR(N19/N148, "NA")</f>
        <v>1.8578535695394298E-2</v>
      </c>
      <c r="P19" s="7">
        <v>423.57</v>
      </c>
      <c r="Q19" s="8">
        <f>IFERROR(P19/P148, "NA")</f>
        <v>1.8299700859058129E-2</v>
      </c>
      <c r="R19" s="7">
        <v>417</v>
      </c>
      <c r="S19" s="8">
        <f>IFERROR(R19/R148, "NA")</f>
        <v>1.6403083150257357E-2</v>
      </c>
      <c r="T19" s="7">
        <v>469.09</v>
      </c>
      <c r="U19" s="8">
        <f>IFERROR(T19/T148, "NA")</f>
        <v>1.9141491321672456E-2</v>
      </c>
      <c r="V19" s="7">
        <v>454</v>
      </c>
      <c r="W19" s="8">
        <f>IFERROR(V19/V148, "NA")</f>
        <v>1.7566396335046121E-2</v>
      </c>
      <c r="X19" s="7">
        <v>604.47</v>
      </c>
      <c r="Y19" s="8">
        <f>IFERROR(X19/X148, "NA")</f>
        <v>2.2428156766682535E-2</v>
      </c>
      <c r="Z19" s="7">
        <v>604.47</v>
      </c>
      <c r="AA19" s="8">
        <f>IFERROR(Z19/Z148, "NA")</f>
        <v>2.2428156766682535E-2</v>
      </c>
      <c r="AB19" s="9">
        <f t="shared" si="0"/>
        <v>486.14</v>
      </c>
      <c r="AC19" s="8">
        <f>IFERROR(AB19/AB148, "NA")</f>
        <v>1.8929821058598473E-2</v>
      </c>
      <c r="AD19" s="10">
        <f t="shared" si="1"/>
        <v>118.33000000000004</v>
      </c>
      <c r="AE19" s="11">
        <f>IFERROR(AD19/AD148, "NA")</f>
        <v>9.3157274246339822E-2</v>
      </c>
      <c r="AF19" s="10">
        <f t="shared" si="2"/>
        <v>0.24340724894063448</v>
      </c>
      <c r="AG19" s="9">
        <f t="shared" si="3"/>
        <v>547.27875000000006</v>
      </c>
      <c r="AH19" s="8">
        <f>IFERROR(AG19/AG148, "NA")</f>
        <v>1.7749521116482717E-2</v>
      </c>
      <c r="AI19" s="10">
        <f t="shared" si="4"/>
        <v>57.191249999999968</v>
      </c>
      <c r="AJ19" s="11">
        <f>IFERROR(AI19/AI148, "NA")</f>
        <v>-1.4732238593165066E-2</v>
      </c>
      <c r="AK19" s="10">
        <f t="shared" si="5"/>
        <v>0.10450113401991208</v>
      </c>
      <c r="AL19" s="11">
        <f>IFERROR(AK19/AK148, "NA")</f>
        <v>-0.83000766592425335</v>
      </c>
    </row>
    <row r="20" spans="1:38" ht="16.5" customHeight="1">
      <c r="A20" s="25" t="s">
        <v>35</v>
      </c>
      <c r="B20" s="7">
        <v>361.76</v>
      </c>
      <c r="C20" s="8">
        <f>IFERROR(B20/B148, "NA")</f>
        <v>1.3863909418575016E-2</v>
      </c>
      <c r="D20" s="7">
        <v>324.49</v>
      </c>
      <c r="E20" s="8">
        <f>IFERROR(D20/D148, "NA")</f>
        <v>1.2658272289583385E-2</v>
      </c>
      <c r="F20" s="7">
        <v>314.58999999999997</v>
      </c>
      <c r="G20" s="8">
        <f>IFERROR(F20/F148, "NA")</f>
        <v>9.1349273988294948E-3</v>
      </c>
      <c r="H20" s="7">
        <v>329.68</v>
      </c>
      <c r="I20" s="8">
        <f>IFERROR(H20/H148, "NA")</f>
        <v>1.1547913613423715E-2</v>
      </c>
      <c r="J20" s="7">
        <v>368.44</v>
      </c>
      <c r="K20" s="8">
        <f>IFERROR(J20/J148, "NA")</f>
        <v>1.0559352796849962E-2</v>
      </c>
      <c r="L20" s="7">
        <v>381.66</v>
      </c>
      <c r="M20" s="8">
        <f>IFERROR(L20/L148, "NA")</f>
        <v>8.4048195912499683E-3</v>
      </c>
      <c r="N20" s="7">
        <v>437.72</v>
      </c>
      <c r="O20" s="8">
        <f>IFERROR(N20/N148, "NA")</f>
        <v>1.0809347818893294E-2</v>
      </c>
      <c r="P20" s="7">
        <v>323.17</v>
      </c>
      <c r="Q20" s="8">
        <f>IFERROR(P20/P148, "NA")</f>
        <v>1.3962070794961439E-2</v>
      </c>
      <c r="R20" s="7">
        <v>279.8</v>
      </c>
      <c r="S20" s="8">
        <f>IFERROR(R20/R148, "NA")</f>
        <v>1.1006193442306975E-2</v>
      </c>
      <c r="T20" s="7">
        <v>286.86</v>
      </c>
      <c r="U20" s="8">
        <f>IFERROR(T20/T148, "NA")</f>
        <v>1.1705489779221388E-2</v>
      </c>
      <c r="V20" s="7">
        <v>337.28</v>
      </c>
      <c r="W20" s="8">
        <f>IFERROR(V20/V148, "NA")</f>
        <v>1.3050207391815762E-2</v>
      </c>
      <c r="X20" s="7">
        <v>336.91</v>
      </c>
      <c r="Y20" s="8">
        <f>IFERROR(X20/X148, "NA")</f>
        <v>1.2500653955139236E-2</v>
      </c>
      <c r="Z20" s="7">
        <v>336.91</v>
      </c>
      <c r="AA20" s="8">
        <f>IFERROR(Z20/Z148, "NA")</f>
        <v>1.2500653955139236E-2</v>
      </c>
      <c r="AB20" s="9">
        <f t="shared" si="0"/>
        <v>310.21250000000003</v>
      </c>
      <c r="AC20" s="8">
        <f>IFERROR(AB20/AB148, "NA")</f>
        <v>1.2079374491176367E-2</v>
      </c>
      <c r="AD20" s="10">
        <f t="shared" si="1"/>
        <v>26.697499999999991</v>
      </c>
      <c r="AE20" s="11">
        <f>IFERROR(AD20/AD148, "NA")</f>
        <v>2.1018053994689898E-2</v>
      </c>
      <c r="AF20" s="10">
        <f t="shared" si="2"/>
        <v>8.6061973647096709E-2</v>
      </c>
      <c r="AG20" s="9">
        <f t="shared" si="3"/>
        <v>343.98</v>
      </c>
      <c r="AH20" s="8">
        <f>IFERROR(AG20/AG148, "NA")</f>
        <v>1.1156070418681019E-2</v>
      </c>
      <c r="AI20" s="10">
        <f t="shared" si="4"/>
        <v>-7.0699999999999932</v>
      </c>
      <c r="AJ20" s="11">
        <f>IFERROR(AI20/AI148, "NA")</f>
        <v>1.8212038878967845E-3</v>
      </c>
      <c r="AK20" s="10">
        <f t="shared" si="5"/>
        <v>-2.0553520553520534E-2</v>
      </c>
      <c r="AL20" s="11">
        <f>IFERROR(AK20/AK148, "NA")</f>
        <v>0.16324779420961252</v>
      </c>
    </row>
    <row r="21" spans="1:38" ht="16.5" customHeight="1">
      <c r="A21" s="25" t="s">
        <v>36</v>
      </c>
      <c r="B21" s="7">
        <v>167.98</v>
      </c>
      <c r="C21" s="8">
        <f>IFERROR(B21/B148, "NA")</f>
        <v>6.4375815571987814E-3</v>
      </c>
      <c r="D21" s="7">
        <v>90.8</v>
      </c>
      <c r="E21" s="8">
        <f>IFERROR(D21/D148, "NA")</f>
        <v>3.5420848836456324E-3</v>
      </c>
      <c r="F21" s="7">
        <v>205.97</v>
      </c>
      <c r="G21" s="8">
        <f>IFERROR(F21/F148, "NA")</f>
        <v>5.9808671487870278E-3</v>
      </c>
      <c r="H21" s="7">
        <v>133.5</v>
      </c>
      <c r="I21" s="8">
        <f>IFERROR(H21/H148, "NA")</f>
        <v>4.6761904495027477E-3</v>
      </c>
      <c r="J21" s="7">
        <v>146.44999999999999</v>
      </c>
      <c r="K21" s="8">
        <f>IFERROR(J21/J148, "NA")</f>
        <v>4.1972023045778878E-3</v>
      </c>
      <c r="L21" s="7">
        <v>514.97</v>
      </c>
      <c r="M21" s="8">
        <f>IFERROR(L21/L148, "NA")</f>
        <v>1.1340538555012302E-2</v>
      </c>
      <c r="N21" s="7">
        <v>385.34</v>
      </c>
      <c r="O21" s="8">
        <f>IFERROR(N21/N148, "NA")</f>
        <v>9.5158413792660636E-3</v>
      </c>
      <c r="P21" s="7">
        <v>126.38</v>
      </c>
      <c r="Q21" s="8">
        <f>IFERROR(P21/P148, "NA")</f>
        <v>5.4600566484117536E-3</v>
      </c>
      <c r="R21" s="7">
        <v>211.05</v>
      </c>
      <c r="S21" s="8">
        <f>IFERROR(R21/R148, "NA")</f>
        <v>8.301848198709388E-3</v>
      </c>
      <c r="T21" s="7">
        <v>149.55000000000001</v>
      </c>
      <c r="U21" s="8">
        <f>IFERROR(T21/T148, "NA")</f>
        <v>6.1024750626875787E-3</v>
      </c>
      <c r="V21" s="7">
        <v>112.44</v>
      </c>
      <c r="W21" s="8">
        <f>IFERROR(V21/V148, "NA")</f>
        <v>4.3505850306444624E-3</v>
      </c>
      <c r="X21" s="7">
        <v>158.71</v>
      </c>
      <c r="Y21" s="8">
        <f>IFERROR(X21/X148, "NA")</f>
        <v>5.8887500793094539E-3</v>
      </c>
      <c r="Z21" s="7">
        <v>158.71</v>
      </c>
      <c r="AA21" s="8">
        <f>IFERROR(Z21/Z148, "NA")</f>
        <v>5.8887500793094539E-3</v>
      </c>
      <c r="AB21" s="9">
        <f t="shared" si="0"/>
        <v>157.9375</v>
      </c>
      <c r="AC21" s="8">
        <f>IFERROR(AB21/AB148, "NA")</f>
        <v>6.1499333801834782E-3</v>
      </c>
      <c r="AD21" s="10">
        <f t="shared" si="1"/>
        <v>0.77250000000000796</v>
      </c>
      <c r="AE21" s="11">
        <f>IFERROR(AD21/AD148, "NA")</f>
        <v>6.0816356253949318E-4</v>
      </c>
      <c r="AF21" s="10">
        <f t="shared" si="2"/>
        <v>4.891175306687822E-3</v>
      </c>
      <c r="AG21" s="9">
        <f t="shared" si="3"/>
        <v>225.61124999999998</v>
      </c>
      <c r="AH21" s="8">
        <f>IFERROR(AG21/AG148, "NA")</f>
        <v>7.3170969016996563E-3</v>
      </c>
      <c r="AI21" s="10">
        <f t="shared" si="4"/>
        <v>-66.901249999999976</v>
      </c>
      <c r="AJ21" s="11">
        <f>IFERROR(AI21/AI148, "NA")</f>
        <v>1.7233495983755984E-2</v>
      </c>
      <c r="AK21" s="10">
        <f t="shared" si="5"/>
        <v>-0.29653330673891476</v>
      </c>
      <c r="AL21" s="11">
        <f>IFERROR(AK21/AK148, "NA")</f>
        <v>2.3552368125332461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328</v>
      </c>
      <c r="C23" s="8">
        <f>IFERROR(B23/B148, "NA")</f>
        <v>1.2570108053108707E-2</v>
      </c>
      <c r="D23" s="7">
        <v>3.64</v>
      </c>
      <c r="E23" s="8">
        <f>IFERROR(D23/D148, "NA")</f>
        <v>1.4199547330914211E-4</v>
      </c>
      <c r="F23" s="7">
        <v>189.59</v>
      </c>
      <c r="G23" s="8">
        <f>IFERROR(F23/F148, "NA")</f>
        <v>5.5052318431739215E-3</v>
      </c>
      <c r="H23" s="7">
        <v>158.16</v>
      </c>
      <c r="I23" s="8">
        <f>IFERROR(H23/H148, "NA")</f>
        <v>5.539972146017637E-3</v>
      </c>
      <c r="J23" s="7">
        <v>135.97</v>
      </c>
      <c r="K23" s="8">
        <f>IFERROR(J23/J148, "NA")</f>
        <v>3.8968494185964864E-3</v>
      </c>
      <c r="L23" s="7">
        <v>204.85</v>
      </c>
      <c r="M23" s="8">
        <f>IFERROR(L23/L148, "NA")</f>
        <v>4.5111546750184871E-3</v>
      </c>
      <c r="N23" s="7">
        <v>161.16</v>
      </c>
      <c r="O23" s="8">
        <f>IFERROR(N23/N148, "NA")</f>
        <v>3.9797918635037085E-3</v>
      </c>
      <c r="P23" s="7">
        <v>210.88</v>
      </c>
      <c r="Q23" s="8">
        <f>IFERROR(P23/P148, "NA")</f>
        <v>9.1107512740708236E-3</v>
      </c>
      <c r="R23" s="7">
        <v>131.51</v>
      </c>
      <c r="S23" s="8">
        <f>IFERROR(R23/R148, "NA")</f>
        <v>5.1730682616075415E-3</v>
      </c>
      <c r="T23" s="7">
        <v>273.24</v>
      </c>
      <c r="U23" s="8">
        <f>IFERROR(T23/T148, "NA")</f>
        <v>1.1149717727373814E-2</v>
      </c>
      <c r="V23" s="7">
        <v>79.84</v>
      </c>
      <c r="W23" s="8">
        <f>IFERROR(V23/V148, "NA")</f>
        <v>3.0892094347799172E-3</v>
      </c>
      <c r="X23" s="7">
        <v>-619.03</v>
      </c>
      <c r="Y23" s="8">
        <f>IFERROR(X23/X148, "NA")</f>
        <v>-2.2968388643405776E-2</v>
      </c>
      <c r="Z23" s="7">
        <v>-619.03</v>
      </c>
      <c r="AA23" s="8">
        <f>IFERROR(Z23/Z148, "NA")</f>
        <v>-2.2968388643405776E-2</v>
      </c>
      <c r="AB23" s="9">
        <f t="shared" si="0"/>
        <v>-33.609999999999985</v>
      </c>
      <c r="AC23" s="8">
        <f>IFERROR(AB23/AB148, "NA")</f>
        <v>-1.3087408684319217E-3</v>
      </c>
      <c r="AD23" s="10">
        <f t="shared" si="1"/>
        <v>-585.41999999999996</v>
      </c>
      <c r="AE23" s="11">
        <f>IFERROR(AD23/AD148, "NA")</f>
        <v>-0.46088169939400181</v>
      </c>
      <c r="AF23" s="10">
        <f t="shared" si="2"/>
        <v>17.418030348110687</v>
      </c>
      <c r="AG23" s="9">
        <f t="shared" si="3"/>
        <v>72.302500000000009</v>
      </c>
      <c r="AH23" s="8">
        <f>IFERROR(AG23/AG148, "NA")</f>
        <v>2.3449380238580279E-3</v>
      </c>
      <c r="AI23" s="10">
        <f t="shared" si="4"/>
        <v>-691.33249999999998</v>
      </c>
      <c r="AJ23" s="11">
        <f>IFERROR(AI23/AI148, "NA")</f>
        <v>0.17808450308761031</v>
      </c>
      <c r="AK23" s="10">
        <f t="shared" si="5"/>
        <v>-9.5616679921164529</v>
      </c>
      <c r="AL23" s="11">
        <f>IFERROR(AK23/AK148, "NA")</f>
        <v>75.944225935069866</v>
      </c>
    </row>
    <row r="24" spans="1:38" ht="16.5" customHeight="1">
      <c r="A24" s="25" t="s">
        <v>39</v>
      </c>
      <c r="B24" s="7">
        <v>1162.78</v>
      </c>
      <c r="C24" s="8">
        <f>IFERROR(B24/B148, "NA")</f>
        <v>4.4561799518273597E-2</v>
      </c>
      <c r="D24" s="7">
        <v>1683.7</v>
      </c>
      <c r="E24" s="8">
        <f>IFERROR(D24/D148, "NA")</f>
        <v>6.5680708354561135E-2</v>
      </c>
      <c r="F24" s="7">
        <v>1970.7</v>
      </c>
      <c r="G24" s="8">
        <f>IFERROR(F24/F148, "NA")</f>
        <v>5.7224328252243516E-2</v>
      </c>
      <c r="H24" s="7">
        <v>1262.8</v>
      </c>
      <c r="I24" s="8">
        <f>IFERROR(H24/H148, "NA")</f>
        <v>4.4232908611476177E-2</v>
      </c>
      <c r="J24" s="7">
        <v>1996.09</v>
      </c>
      <c r="K24" s="8">
        <f>IFERROR(J24/J148, "NA")</f>
        <v>5.7207193910173273E-2</v>
      </c>
      <c r="L24" s="7">
        <v>2667.5</v>
      </c>
      <c r="M24" s="8">
        <f>IFERROR(L24/L148, "NA")</f>
        <v>5.8743007545090618E-2</v>
      </c>
      <c r="N24" s="7">
        <v>2122.83</v>
      </c>
      <c r="O24" s="8">
        <f>IFERROR(N24/N148, "NA")</f>
        <v>5.2422571119394246E-2</v>
      </c>
      <c r="P24" s="7">
        <v>1182.8399999999999</v>
      </c>
      <c r="Q24" s="8">
        <f>IFERROR(P24/P148, "NA")</f>
        <v>5.1102812201355895E-2</v>
      </c>
      <c r="R24" s="7">
        <v>2097.35</v>
      </c>
      <c r="S24" s="8">
        <f>IFERROR(R24/R148, "NA")</f>
        <v>8.2501214496863942E-2</v>
      </c>
      <c r="T24" s="7">
        <v>1372.72</v>
      </c>
      <c r="U24" s="8">
        <f>IFERROR(T24/T148, "NA")</f>
        <v>5.601464104348039E-2</v>
      </c>
      <c r="V24" s="7">
        <v>1468.96</v>
      </c>
      <c r="W24" s="8">
        <f>IFERROR(V24/V148, "NA")</f>
        <v>5.6837739119668176E-2</v>
      </c>
      <c r="X24" s="7">
        <v>1680.19</v>
      </c>
      <c r="Y24" s="8">
        <f>IFERROR(X24/X148, "NA")</f>
        <v>6.2341497043380698E-2</v>
      </c>
      <c r="Z24" s="7">
        <v>1680.19</v>
      </c>
      <c r="AA24" s="8">
        <f>IFERROR(Z24/Z148, "NA")</f>
        <v>6.2341497043380698E-2</v>
      </c>
      <c r="AB24" s="9">
        <f t="shared" si="0"/>
        <v>1654.8049999999998</v>
      </c>
      <c r="AC24" s="8">
        <f>IFERROR(AB24/AB148, "NA")</f>
        <v>6.4436504992129925E-2</v>
      </c>
      <c r="AD24" s="10">
        <f t="shared" si="1"/>
        <v>25.385000000000218</v>
      </c>
      <c r="AE24" s="11">
        <f>IFERROR(AD24/AD148, "NA")</f>
        <v>1.9984766388433668E-2</v>
      </c>
      <c r="AF24" s="10">
        <f t="shared" si="2"/>
        <v>1.5340176032825753E-2</v>
      </c>
      <c r="AG24" s="9">
        <f t="shared" si="3"/>
        <v>1823.5600000000002</v>
      </c>
      <c r="AH24" s="8">
        <f>IFERROR(AG24/AG148, "NA")</f>
        <v>5.9142286681463922E-2</v>
      </c>
      <c r="AI24" s="10">
        <f t="shared" si="4"/>
        <v>-143.37000000000012</v>
      </c>
      <c r="AJ24" s="11">
        <f>IFERROR(AI24/AI148, "NA")</f>
        <v>3.6931541924718876E-2</v>
      </c>
      <c r="AK24" s="10">
        <f t="shared" si="5"/>
        <v>-7.8620939261664052E-2</v>
      </c>
      <c r="AL24" s="11">
        <f>IFERROR(AK24/AK148, "NA")</f>
        <v>0.62445238419051152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5713.2499999999991</v>
      </c>
      <c r="C27" s="14">
        <f>IFERROR(B27/B148, "NA")</f>
        <v>0.21895173730007103</v>
      </c>
      <c r="D27" s="13">
        <f>IFERROR(D15+D16+D17+D18+D19+D20+D21+D22+D23+D24+D25+D26, "NA")</f>
        <v>5348.81</v>
      </c>
      <c r="E27" s="14">
        <f>IFERROR(D27/D148, "NA")</f>
        <v>0.20865571637106384</v>
      </c>
      <c r="F27" s="13">
        <f>IFERROR(F15+F16+F17+F18+F19+F20+F21+F22+F23+F24+F25+F26, "NA")</f>
        <v>6855.04</v>
      </c>
      <c r="G27" s="14">
        <f>IFERROR(F27/F148, "NA")</f>
        <v>0.19905366577472947</v>
      </c>
      <c r="H27" s="13">
        <f>IFERROR(H15+H16+H17+H18+H19+H20+H21+H22+H23+H24+H25+H26, "NA")</f>
        <v>5481.95</v>
      </c>
      <c r="I27" s="14">
        <f>IFERROR(H27/H148, "NA")</f>
        <v>0.19201979201986205</v>
      </c>
      <c r="J27" s="13">
        <f>IFERROR(J15+J16+J17+J18+J19+J20+J21+J22+J23+J24+J25+J26, "NA")</f>
        <v>6519.7</v>
      </c>
      <c r="K27" s="14">
        <f>IFERROR(J27/J148, "NA")</f>
        <v>0.18685216705467023</v>
      </c>
      <c r="L27" s="13">
        <f>IFERROR(L15+L16+L17+L18+L19+L20+L21+L22+L23+L24+L25+L26, "NA")</f>
        <v>9271.760000000002</v>
      </c>
      <c r="M27" s="14">
        <f>IFERROR(L27/L148, "NA")</f>
        <v>0.20418034400609916</v>
      </c>
      <c r="N27" s="13">
        <f>IFERROR(N15+N16+N17+N18+N19+N20+N21+N22+N23+N24+N25+N26, "NA")</f>
        <v>8198.2000000000007</v>
      </c>
      <c r="O27" s="14">
        <f>IFERROR(N27/N148, "NA")</f>
        <v>0.2024517849055355</v>
      </c>
      <c r="P27" s="13">
        <f>IFERROR(P15+P16+P17+P18+P19+P20+P21+P22+P23+P24+P25+P26, "NA")</f>
        <v>4259.46</v>
      </c>
      <c r="Q27" s="14">
        <f>IFERROR(P27/P148, "NA")</f>
        <v>0.18402352343443526</v>
      </c>
      <c r="R27" s="13">
        <f>IFERROR(R15+R16+R17+R18+R19+R20+R21+R22+R23+R24+R25+R26, "NA")</f>
        <v>5528.0599999999995</v>
      </c>
      <c r="S27" s="14">
        <f>IFERROR(R27/R148, "NA")</f>
        <v>0.2174513857065028</v>
      </c>
      <c r="T27" s="13">
        <f>IFERROR(T15+T16+T17+T18+T19+T20+T21+T22+T23+T24+T25+T26, "NA")</f>
        <v>5242.5000000000009</v>
      </c>
      <c r="U27" s="14">
        <f>IFERROR(T27/T148, "NA")</f>
        <v>0.21392327326071303</v>
      </c>
      <c r="V27" s="13">
        <f>IFERROR(V15+V16+V17+V18+V19+V20+V21+V22+V23+V24+V25+V26, "NA")</f>
        <v>4618.6000000000004</v>
      </c>
      <c r="W27" s="14">
        <f>IFERROR(V27/V148, "NA")</f>
        <v>0.17870519408159477</v>
      </c>
      <c r="X27" s="13">
        <f>IFERROR(X15+X16+X17+X18+X19+X20+X21+X22+X23+X24+X25+X26, "NA")</f>
        <v>4635.2700000000004</v>
      </c>
      <c r="Y27" s="14">
        <f>IFERROR(X27/X148, "NA")</f>
        <v>0.17198630571558648</v>
      </c>
      <c r="Z27" s="13">
        <f>IFERROR(Z15+Z16+Z17+Z18+Z19+Z20+Z21+Z22+Z23+Z24+Z25+Z26, "NA")</f>
        <v>4635.2700000000004</v>
      </c>
      <c r="AA27" s="14">
        <f>IFERROR(Z27/Z148, "NA")</f>
        <v>0.17198630571558648</v>
      </c>
      <c r="AB27" s="13">
        <f t="shared" si="0"/>
        <v>5006.1075000000001</v>
      </c>
      <c r="AC27" s="14">
        <f>IFERROR(AB27/AB148, "NA")</f>
        <v>0.19493298057166197</v>
      </c>
      <c r="AD27" s="15">
        <f t="shared" si="1"/>
        <v>-370.83749999999964</v>
      </c>
      <c r="AE27" s="16">
        <f>IFERROR(AD27/AD148, "NA")</f>
        <v>-0.29194803252198931</v>
      </c>
      <c r="AF27" s="15">
        <f t="shared" si="2"/>
        <v>-7.407701492626749E-2</v>
      </c>
      <c r="AG27" s="13">
        <f t="shared" si="3"/>
        <v>6034.1937500000004</v>
      </c>
      <c r="AH27" s="14">
        <f>IFERROR(AG27/AG148, "NA")</f>
        <v>0.19570291992256783</v>
      </c>
      <c r="AI27" s="15">
        <f t="shared" si="4"/>
        <v>-1398.9237499999999</v>
      </c>
      <c r="AJ27" s="16">
        <f>IFERROR(AI27/AI148, "NA")</f>
        <v>0.36035719552632978</v>
      </c>
      <c r="AK27" s="15">
        <f t="shared" si="5"/>
        <v>-0.23183275313292681</v>
      </c>
      <c r="AL27" s="16">
        <f>IFERROR(AK27/AK148, "NA")</f>
        <v>1.841348078347065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78.319999999999993</v>
      </c>
      <c r="C30" s="8">
        <f>IFERROR(B30/B148, "NA")</f>
        <v>3.0014965326813224E-3</v>
      </c>
      <c r="D30" s="7">
        <v>524.4</v>
      </c>
      <c r="E30" s="8">
        <f>IFERROR(D30/D148, "NA")</f>
        <v>2.0456710495415965E-2</v>
      </c>
      <c r="F30" s="7">
        <v>502.46</v>
      </c>
      <c r="G30" s="8">
        <f>IFERROR(F30/F148, "NA")</f>
        <v>1.4590214631157596E-2</v>
      </c>
      <c r="H30" s="7">
        <v>428.24</v>
      </c>
      <c r="I30" s="8">
        <f>IFERROR(H30/H148, "NA")</f>
        <v>1.5000238187977952E-2</v>
      </c>
      <c r="J30" s="7">
        <v>360.74</v>
      </c>
      <c r="K30" s="8">
        <f>IFERROR(J30/J148, "NA")</f>
        <v>1.0338673672607903E-2</v>
      </c>
      <c r="L30" s="7">
        <v>871.68</v>
      </c>
      <c r="M30" s="8">
        <f>IFERROR(L30/L148, "NA")</f>
        <v>1.919591558271962E-2</v>
      </c>
      <c r="N30" s="7">
        <v>-367.22</v>
      </c>
      <c r="O30" s="8">
        <f>IFERROR(N30/N148, "NA")</f>
        <v>-9.0683740885817311E-3</v>
      </c>
      <c r="P30" s="7">
        <v>180.23</v>
      </c>
      <c r="Q30" s="8">
        <f>IFERROR(P30/P148, "NA")</f>
        <v>7.7865644068938937E-3</v>
      </c>
      <c r="R30" s="7">
        <v>229.29</v>
      </c>
      <c r="S30" s="8">
        <f>IFERROR(R30/R148, "NA")</f>
        <v>9.0193355767925875E-3</v>
      </c>
      <c r="T30" s="7">
        <v>250.72</v>
      </c>
      <c r="U30" s="8">
        <f>IFERROR(T30/T148, "NA")</f>
        <v>1.0230775979385019E-2</v>
      </c>
      <c r="V30" s="7">
        <v>436.78</v>
      </c>
      <c r="W30" s="8">
        <f>IFERROR(V30/V148, "NA")</f>
        <v>1.690011143440847E-2</v>
      </c>
      <c r="X30" s="7">
        <v>322.70999999999998</v>
      </c>
      <c r="Y30" s="8">
        <f>IFERROR(X30/X148, "NA")</f>
        <v>1.1973779459983324E-2</v>
      </c>
      <c r="Z30" s="7">
        <v>322.70999999999998</v>
      </c>
      <c r="AA30" s="8">
        <f>IFERROR(Z30/Z148, "NA")</f>
        <v>1.1973779459983324E-2</v>
      </c>
      <c r="AB30" s="9">
        <f t="shared" si="6"/>
        <v>309.875</v>
      </c>
      <c r="AC30" s="8">
        <f>IFERROR(AB30/AB148, "NA")</f>
        <v>1.2066232567847127E-2</v>
      </c>
      <c r="AD30" s="10">
        <f t="shared" si="7"/>
        <v>12.83499999999998</v>
      </c>
      <c r="AE30" s="11">
        <f>IFERROR(AD30/AD148, "NA")</f>
        <v>1.0104568705753141E-2</v>
      </c>
      <c r="AF30" s="10">
        <f t="shared" si="8"/>
        <v>4.1419927390076577E-2</v>
      </c>
      <c r="AG30" s="9">
        <f t="shared" si="9"/>
        <v>285.61624999999998</v>
      </c>
      <c r="AH30" s="8">
        <f>IFERROR(AG30/AG148, "NA")</f>
        <v>9.2631984351404205E-3</v>
      </c>
      <c r="AI30" s="10">
        <f t="shared" si="10"/>
        <v>37.09375</v>
      </c>
      <c r="AJ30" s="11">
        <f>IFERROR(AI30/AI148, "NA")</f>
        <v>-9.555202505894117E-3</v>
      </c>
      <c r="AK30" s="10">
        <f t="shared" si="11"/>
        <v>0.12987268756592107</v>
      </c>
      <c r="AL30" s="11">
        <f>IFERROR(AK30/AK148, "NA")</f>
        <v>-1.0315230287679</v>
      </c>
    </row>
    <row r="31" spans="1:38" ht="16.5" customHeight="1">
      <c r="A31" s="25" t="s">
        <v>46</v>
      </c>
      <c r="B31" s="7">
        <v>36</v>
      </c>
      <c r="C31" s="8">
        <f>IFERROR(B31/B148, "NA")</f>
        <v>1.3796460058290044E-3</v>
      </c>
      <c r="D31" s="7">
        <v>31.85</v>
      </c>
      <c r="E31" s="8">
        <f>IFERROR(D31/D148, "NA")</f>
        <v>1.2424603914549933E-3</v>
      </c>
      <c r="F31" s="7">
        <v>-20.260000000000002</v>
      </c>
      <c r="G31" s="8">
        <f>IFERROR(F31/F148, "NA")</f>
        <v>-5.883010556606554E-4</v>
      </c>
      <c r="H31" s="7">
        <v>4.87</v>
      </c>
      <c r="I31" s="8">
        <f>IFERROR(H31/H148, "NA")</f>
        <v>1.7058462538635492E-4</v>
      </c>
      <c r="J31" s="7">
        <v>15.92</v>
      </c>
      <c r="K31" s="8">
        <f>IFERROR(J31/J148, "NA")</f>
        <v>4.5626125427709099E-4</v>
      </c>
      <c r="L31" s="7">
        <v>2.44</v>
      </c>
      <c r="M31" s="8">
        <f>IFERROR(L31/L148, "NA")</f>
        <v>5.3733060322407167E-5</v>
      </c>
      <c r="N31" s="7">
        <v>26.79</v>
      </c>
      <c r="O31" s="8">
        <f>IFERROR(N31/N148, "NA")</f>
        <v>6.6157001751839374E-4</v>
      </c>
      <c r="P31" s="7">
        <v>30.18</v>
      </c>
      <c r="Q31" s="8">
        <f>IFERROR(P31/P148, "NA")</f>
        <v>1.3038812284306594E-3</v>
      </c>
      <c r="R31" s="7">
        <v>7.66</v>
      </c>
      <c r="S31" s="8">
        <f>IFERROR(R31/R148, "NA")</f>
        <v>3.0131323005029098E-4</v>
      </c>
      <c r="T31" s="7">
        <v>16.420000000000002</v>
      </c>
      <c r="U31" s="8">
        <f>IFERROR(T31/T148, "NA")</f>
        <v>6.7002768658863286E-4</v>
      </c>
      <c r="V31" s="7">
        <v>12.38</v>
      </c>
      <c r="W31" s="8">
        <f>IFERROR(V31/V148, "NA")</f>
        <v>4.790131864050022E-4</v>
      </c>
      <c r="X31" s="7">
        <v>27.36</v>
      </c>
      <c r="Y31" s="8">
        <f>IFERROR(X31/X148, "NA")</f>
        <v>1.0151609991172997E-3</v>
      </c>
      <c r="Z31" s="7">
        <v>27.36</v>
      </c>
      <c r="AA31" s="8">
        <f>IFERROR(Z31/Z148, "NA")</f>
        <v>1.0151609991172997E-3</v>
      </c>
      <c r="AB31" s="9">
        <f t="shared" si="6"/>
        <v>15.955</v>
      </c>
      <c r="AC31" s="8">
        <f>IFERROR(AB31/AB148, "NA")</f>
        <v>6.212722569423183E-4</v>
      </c>
      <c r="AD31" s="10">
        <f t="shared" si="7"/>
        <v>11.404999999999999</v>
      </c>
      <c r="AE31" s="11">
        <f>IFERROR(AD31/AD148, "NA")</f>
        <v>8.9787772566509352E-3</v>
      </c>
      <c r="AF31" s="10">
        <f t="shared" si="8"/>
        <v>0.71482293951739262</v>
      </c>
      <c r="AG31" s="9">
        <f t="shared" si="9"/>
        <v>17.393749999999997</v>
      </c>
      <c r="AH31" s="8">
        <f>IFERROR(AG31/AG148, "NA")</f>
        <v>5.6411971581177083E-4</v>
      </c>
      <c r="AI31" s="10">
        <f t="shared" si="10"/>
        <v>9.9662500000000023</v>
      </c>
      <c r="AJ31" s="11">
        <f>IFERROR(AI31/AI148, "NA")</f>
        <v>-2.5672663716762869E-3</v>
      </c>
      <c r="AK31" s="10">
        <f t="shared" si="11"/>
        <v>0.57297879985627043</v>
      </c>
      <c r="AL31" s="11">
        <f>IFERROR(AK31/AK148, "NA")</f>
        <v>-4.5509247411818947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hidden="1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114.32</v>
      </c>
      <c r="C34" s="14">
        <f>IFERROR(B34/B148, "NA")</f>
        <v>4.3811425385103268E-3</v>
      </c>
      <c r="D34" s="13">
        <f>IFERROR(D29+D30+D31+D32+D33, "NA")</f>
        <v>556.25</v>
      </c>
      <c r="E34" s="14">
        <f>IFERROR(D34/D148, "NA")</f>
        <v>2.1699170886870959E-2</v>
      </c>
      <c r="F34" s="13">
        <f>IFERROR(F29+F30+F31+F32+F33, "NA")</f>
        <v>482.2</v>
      </c>
      <c r="G34" s="14">
        <f>IFERROR(F34/F148, "NA")</f>
        <v>1.4001913575496941E-2</v>
      </c>
      <c r="H34" s="13">
        <f>IFERROR(H29+H30+H31+H32+H33, "NA")</f>
        <v>433.11</v>
      </c>
      <c r="I34" s="14">
        <f>IFERROR(H34/H148, "NA")</f>
        <v>1.5170822813364307E-2</v>
      </c>
      <c r="J34" s="13">
        <f>IFERROR(J29+J30+J31+J32+J33, "NA")</f>
        <v>376.66</v>
      </c>
      <c r="K34" s="14">
        <f>IFERROR(J34/J148, "NA")</f>
        <v>1.0794934926884995E-2</v>
      </c>
      <c r="L34" s="13">
        <f>IFERROR(L29+L30+L31+L32+L33, "NA")</f>
        <v>874.12</v>
      </c>
      <c r="M34" s="14">
        <f>IFERROR(L34/L148, "NA")</f>
        <v>1.924964864304203E-2</v>
      </c>
      <c r="N34" s="13">
        <f>IFERROR(N29+N30+N31+N32+N33, "NA")</f>
        <v>-340.43</v>
      </c>
      <c r="O34" s="14">
        <f>IFERROR(N34/N148, "NA")</f>
        <v>-8.4068040710633379E-3</v>
      </c>
      <c r="P34" s="13">
        <f>IFERROR(P29+P30+P31+P32+P33, "NA")</f>
        <v>210.41</v>
      </c>
      <c r="Q34" s="14">
        <f>IFERROR(P34/P148, "NA")</f>
        <v>9.0904456353245542E-3</v>
      </c>
      <c r="R34" s="13">
        <f>IFERROR(R29+R30+R31+R32+R33, "NA")</f>
        <v>236.95</v>
      </c>
      <c r="S34" s="14">
        <f>IFERROR(R34/R148, "NA")</f>
        <v>9.3206488068428781E-3</v>
      </c>
      <c r="T34" s="13">
        <f>IFERROR(T29+T30+T31+T32+T33, "NA")</f>
        <v>267.14</v>
      </c>
      <c r="U34" s="14">
        <f>IFERROR(T34/T148, "NA")</f>
        <v>1.0900803665973652E-2</v>
      </c>
      <c r="V34" s="13">
        <f>IFERROR(V29+V30+V31+V32+V33, "NA")</f>
        <v>449.15999999999997</v>
      </c>
      <c r="W34" s="14">
        <f>IFERROR(V34/V148, "NA")</f>
        <v>1.7379124620813469E-2</v>
      </c>
      <c r="X34" s="13">
        <f>IFERROR(X29+X30+X31+X32+X33, "NA")</f>
        <v>350.07</v>
      </c>
      <c r="Y34" s="14">
        <f>IFERROR(X34/X148, "NA")</f>
        <v>1.2988940459100625E-2</v>
      </c>
      <c r="Z34" s="13">
        <f>IFERROR(Z29+Z30+Z31+Z32+Z33, "NA")</f>
        <v>350.07</v>
      </c>
      <c r="AA34" s="14">
        <f>IFERROR(Z34/Z148, "NA")</f>
        <v>1.2988940459100625E-2</v>
      </c>
      <c r="AB34" s="13">
        <f t="shared" si="6"/>
        <v>325.83</v>
      </c>
      <c r="AC34" s="14">
        <f>IFERROR(AB34/AB148, "NA")</f>
        <v>1.2687504824789444E-2</v>
      </c>
      <c r="AD34" s="15">
        <f t="shared" si="7"/>
        <v>24.240000000000009</v>
      </c>
      <c r="AE34" s="16">
        <f>IFERROR(AD34/AD148, "NA")</f>
        <v>1.9083345962404102E-2</v>
      </c>
      <c r="AF34" s="15">
        <f t="shared" si="8"/>
        <v>7.4394622962894799E-2</v>
      </c>
      <c r="AG34" s="13">
        <f t="shared" si="9"/>
        <v>303.01</v>
      </c>
      <c r="AH34" s="14">
        <f>IFERROR(AG34/AG148, "NA")</f>
        <v>9.8273181509521933E-3</v>
      </c>
      <c r="AI34" s="15">
        <f t="shared" si="10"/>
        <v>47.06</v>
      </c>
      <c r="AJ34" s="16">
        <f>IFERROR(AI34/AI148, "NA")</f>
        <v>-1.2122468877570404E-2</v>
      </c>
      <c r="AK34" s="15">
        <f t="shared" si="11"/>
        <v>0.15530840566317944</v>
      </c>
      <c r="AL34" s="16">
        <f>IFERROR(AK34/AK148, "NA")</f>
        <v>-1.2335480231090137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5827.5699999999988</v>
      </c>
      <c r="C35" s="14">
        <f>IFERROR(B35/B148, "NA")</f>
        <v>0.22333287983858136</v>
      </c>
      <c r="D35" s="13">
        <f>IFERROR(D13+D15+D16+D17+D18+D19+D20+D21+D22+D23+D24+D25+D26+D29+D30+D31+D32+D33, "NA")</f>
        <v>5905.06</v>
      </c>
      <c r="E35" s="14">
        <f>IFERROR(D35/D148, "NA")</f>
        <v>0.23035488725793479</v>
      </c>
      <c r="F35" s="13">
        <f>IFERROR(F13+F15+F16+F17+F18+F19+F20+F21+F22+F23+F24+F25+F26+F29+F30+F31+F32+F33, "NA")</f>
        <v>7337.24</v>
      </c>
      <c r="G35" s="14">
        <f>IFERROR(F35/F148, "NA")</f>
        <v>0.2130555793502264</v>
      </c>
      <c r="H35" s="13">
        <f>IFERROR(H13+H15+H16+H17+H18+H19+H20+H21+H22+H23+H24+H25+H26+H29+H30+H31+H32+H33, "NA")</f>
        <v>5915.0599999999995</v>
      </c>
      <c r="I35" s="14">
        <f>IFERROR(H35/H148, "NA")</f>
        <v>0.20719061483322634</v>
      </c>
      <c r="J35" s="13">
        <f>IFERROR(J13+J15+J16+J17+J18+J19+J20+J21+J22+J23+J24+J25+J26+J29+J30+J31+J32+J33, "NA")</f>
        <v>6896.36</v>
      </c>
      <c r="K35" s="14">
        <f>IFERROR(J35/J148, "NA")</f>
        <v>0.19764710198155522</v>
      </c>
      <c r="L35" s="13">
        <f>IFERROR(L13+L15+L16+L17+L18+L19+L20+L21+L22+L23+L24+L25+L26+L29+L30+L31+L32+L33, "NA")</f>
        <v>10145.880000000003</v>
      </c>
      <c r="M35" s="14">
        <f>IFERROR(L35/L148, "NA")</f>
        <v>0.22342999264914121</v>
      </c>
      <c r="N35" s="13">
        <f>IFERROR(N13+N15+N16+N17+N18+N19+N20+N21+N22+N23+N24+N25+N26+N29+N30+N31+N32+N33, "NA")</f>
        <v>7857.77</v>
      </c>
      <c r="O35" s="14">
        <f>IFERROR(N35/N148, "NA")</f>
        <v>0.19404498083447216</v>
      </c>
      <c r="P35" s="13">
        <f>IFERROR(P13+P15+P16+P17+P18+P19+P20+P21+P22+P23+P24+P25+P26+P29+P30+P31+P32+P33, "NA")</f>
        <v>4469.87</v>
      </c>
      <c r="Q35" s="14">
        <f>IFERROR(P35/P148, "NA")</f>
        <v>0.19311396906975981</v>
      </c>
      <c r="R35" s="13">
        <f>IFERROR(R13+R15+R16+R17+R18+R19+R20+R21+R22+R23+R24+R25+R26+R29+R30+R31+R32+R33, "NA")</f>
        <v>5765.0099999999993</v>
      </c>
      <c r="S35" s="14">
        <f>IFERROR(R35/R148, "NA")</f>
        <v>0.22677203451334568</v>
      </c>
      <c r="T35" s="13">
        <f>IFERROR(T13+T15+T16+T17+T18+T19+T20+T21+T22+T23+T24+T25+T26+T29+T30+T31+T32+T33, "NA")</f>
        <v>5509.6400000000012</v>
      </c>
      <c r="U35" s="14">
        <f>IFERROR(T35/T148, "NA")</f>
        <v>0.22482407692668668</v>
      </c>
      <c r="V35" s="13">
        <f>IFERROR(V13+V15+V16+V17+V18+V19+V20+V21+V22+V23+V24+V25+V26+V29+V30+V31+V32+V33, "NA")</f>
        <v>5067.76</v>
      </c>
      <c r="W35" s="14">
        <f>IFERROR(V35/V148, "NA")</f>
        <v>0.19608431870240822</v>
      </c>
      <c r="X35" s="13">
        <f>IFERROR(X13+X15+X16+X17+X18+X19+X20+X21+X22+X23+X24+X25+X26+X29+X30+X31+X32+X33, "NA")</f>
        <v>4985.34</v>
      </c>
      <c r="Y35" s="14">
        <f>IFERROR(X35/X148, "NA")</f>
        <v>0.18497524617468711</v>
      </c>
      <c r="Z35" s="13">
        <f>IFERROR(Z13+Z15+Z16+Z17+Z18+Z19+Z20+Z21+Z22+Z23+Z24+Z25+Z26+Z29+Z30+Z31+Z32+Z33, "NA")</f>
        <v>4985.34</v>
      </c>
      <c r="AA35" s="14">
        <f>IFERROR(Z35/Z148, "NA")</f>
        <v>0.18497524617468711</v>
      </c>
      <c r="AB35" s="13">
        <f t="shared" si="6"/>
        <v>5331.9375</v>
      </c>
      <c r="AC35" s="14">
        <f>IFERROR(AB35/AB148, "NA")</f>
        <v>0.20762048539645142</v>
      </c>
      <c r="AD35" s="15">
        <f t="shared" si="7"/>
        <v>-346.59749999999985</v>
      </c>
      <c r="AE35" s="16">
        <f>IFERROR(AD35/AD148, "NA")</f>
        <v>-0.2728646865595854</v>
      </c>
      <c r="AF35" s="15">
        <f t="shared" si="8"/>
        <v>-6.5004044027147698E-2</v>
      </c>
      <c r="AG35" s="13">
        <f t="shared" si="9"/>
        <v>6337.2037500000006</v>
      </c>
      <c r="AH35" s="14">
        <f>IFERROR(AG35/AG148, "NA")</f>
        <v>0.20553023807352003</v>
      </c>
      <c r="AI35" s="15">
        <f t="shared" si="10"/>
        <v>-1351.8637500000004</v>
      </c>
      <c r="AJ35" s="16">
        <f>IFERROR(AI35/AI148, "NA")</f>
        <v>0.34823472664875949</v>
      </c>
      <c r="AK35" s="15">
        <f t="shared" si="11"/>
        <v>-0.21332180616727059</v>
      </c>
      <c r="AL35" s="16">
        <f>IFERROR(AK35/AK148, "NA")</f>
        <v>1.6943235696744186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725.07</v>
      </c>
      <c r="C40" s="8">
        <f>IFERROR(B40/B148, "NA")</f>
        <v>2.7787220262401005E-2</v>
      </c>
      <c r="D40" s="7">
        <v>650.47</v>
      </c>
      <c r="E40" s="8">
        <f>IFERROR(D40/D148, "NA")</f>
        <v>2.5374669099834522E-2</v>
      </c>
      <c r="F40" s="7">
        <v>1141.98</v>
      </c>
      <c r="G40" s="8">
        <f>IFERROR(F40/F148, "NA")</f>
        <v>3.3160317845180413E-2</v>
      </c>
      <c r="H40" s="7">
        <v>1046.6300000000001</v>
      </c>
      <c r="I40" s="8">
        <f>IFERROR(H40/H148, "NA")</f>
        <v>3.6660982847663379E-2</v>
      </c>
      <c r="J40" s="7">
        <v>967.25</v>
      </c>
      <c r="K40" s="8">
        <f>IFERROR(J40/J148, "NA")</f>
        <v>2.7721023756251021E-2</v>
      </c>
      <c r="L40" s="7">
        <v>972.87</v>
      </c>
      <c r="M40" s="8">
        <f>IFERROR(L40/L148, "NA")</f>
        <v>2.1424296063877156E-2</v>
      </c>
      <c r="N40" s="7">
        <v>969.56</v>
      </c>
      <c r="O40" s="8">
        <f>IFERROR(N40/N148, "NA")</f>
        <v>2.3942957304409623E-2</v>
      </c>
      <c r="P40" s="7">
        <v>734.82</v>
      </c>
      <c r="Q40" s="8">
        <f>IFERROR(P40/P148, "NA")</f>
        <v>3.1746786092624824E-2</v>
      </c>
      <c r="R40" s="7">
        <v>881.41</v>
      </c>
      <c r="S40" s="8">
        <f>IFERROR(R40/R148, "NA")</f>
        <v>3.4671082780499608E-2</v>
      </c>
      <c r="T40" s="7">
        <v>571.04999999999995</v>
      </c>
      <c r="U40" s="8">
        <f>IFERROR(T40/T148, "NA")</f>
        <v>2.3302028649600407E-2</v>
      </c>
      <c r="V40" s="7">
        <v>677.31</v>
      </c>
      <c r="W40" s="8">
        <f>IFERROR(V40/V148, "NA")</f>
        <v>2.6206819166718257E-2</v>
      </c>
      <c r="X40" s="7">
        <v>782.3</v>
      </c>
      <c r="Y40" s="8">
        <f>IFERROR(X40/X148, "NA")</f>
        <v>2.9026332222568112E-2</v>
      </c>
      <c r="Z40" s="7">
        <v>782.3</v>
      </c>
      <c r="AA40" s="8">
        <f>IFERROR(Z40/Z148, "NA")</f>
        <v>2.9026332222568112E-2</v>
      </c>
      <c r="AB40" s="9">
        <f t="shared" si="12"/>
        <v>728.01749999999993</v>
      </c>
      <c r="AC40" s="8">
        <f>IFERROR(AB40/AB148, "NA")</f>
        <v>2.8348296792134391E-2</v>
      </c>
      <c r="AD40" s="10">
        <f t="shared" si="13"/>
        <v>54.282500000000027</v>
      </c>
      <c r="AE40" s="11">
        <f>IFERROR(AD40/AD148, "NA")</f>
        <v>4.273480722789607E-2</v>
      </c>
      <c r="AF40" s="10">
        <f t="shared" si="14"/>
        <v>7.4562081268650868E-2</v>
      </c>
      <c r="AG40" s="9">
        <f t="shared" si="15"/>
        <v>819.57125000000008</v>
      </c>
      <c r="AH40" s="8">
        <f>IFERROR(AG40/AG148, "NA")</f>
        <v>2.658059938986693E-2</v>
      </c>
      <c r="AI40" s="10">
        <f t="shared" si="16"/>
        <v>-37.271250000000123</v>
      </c>
      <c r="AJ40" s="11">
        <f>IFERROR(AI40/AI148, "NA")</f>
        <v>9.6009258001093795E-3</v>
      </c>
      <c r="AK40" s="10">
        <f t="shared" si="17"/>
        <v>-4.5476522022948121E-2</v>
      </c>
      <c r="AL40" s="11">
        <f>IFERROR(AK40/AK148, "NA")</f>
        <v>0.36120050038335294</v>
      </c>
    </row>
    <row r="41" spans="1:38" ht="16.5" customHeight="1">
      <c r="A41" s="25" t="s">
        <v>56</v>
      </c>
      <c r="B41" s="7">
        <v>241.22</v>
      </c>
      <c r="C41" s="8">
        <f>IFERROR(B41/B148, "NA")</f>
        <v>9.2443947090575674E-3</v>
      </c>
      <c r="D41" s="7">
        <v>196.96</v>
      </c>
      <c r="E41" s="8">
        <f>IFERROR(D41/D148, "NA")</f>
        <v>7.6833594568595136E-3</v>
      </c>
      <c r="F41" s="7">
        <v>212.04</v>
      </c>
      <c r="G41" s="8">
        <f>IFERROR(F41/F148, "NA")</f>
        <v>6.1571251649696623E-3</v>
      </c>
      <c r="H41" s="7">
        <v>471.73</v>
      </c>
      <c r="I41" s="8">
        <f>IFERROR(H41/H148, "NA")</f>
        <v>1.6523590417557535E-2</v>
      </c>
      <c r="J41" s="7">
        <v>129.26</v>
      </c>
      <c r="K41" s="8">
        <f>IFERROR(J41/J148, "NA")</f>
        <v>3.7045433246141193E-3</v>
      </c>
      <c r="L41" s="7">
        <v>158.44999999999999</v>
      </c>
      <c r="M41" s="8">
        <f>IFERROR(L41/L148, "NA")</f>
        <v>3.4893456590513994E-3</v>
      </c>
      <c r="N41" s="7">
        <v>1134.42</v>
      </c>
      <c r="O41" s="8">
        <f>IFERROR(N41/N148, "NA")</f>
        <v>2.8014119420426142E-2</v>
      </c>
      <c r="P41" s="7">
        <v>253.91</v>
      </c>
      <c r="Q41" s="8">
        <f>IFERROR(P41/P148, "NA")</f>
        <v>1.0969797306521825E-2</v>
      </c>
      <c r="R41" s="7">
        <v>13.55</v>
      </c>
      <c r="S41" s="8">
        <f>IFERROR(R41/R148, "NA")</f>
        <v>5.3300186255632418E-4</v>
      </c>
      <c r="T41" s="7">
        <v>369.73</v>
      </c>
      <c r="U41" s="8">
        <f>IFERROR(T41/T148, "NA")</f>
        <v>1.5087048511718344E-2</v>
      </c>
      <c r="V41" s="7">
        <v>358.32</v>
      </c>
      <c r="W41" s="8">
        <f>IFERROR(V41/V148, "NA")</f>
        <v>1.3864297653686622E-2</v>
      </c>
      <c r="X41" s="7">
        <v>432.75</v>
      </c>
      <c r="Y41" s="8">
        <f>IFERROR(X41/X148, "NA")</f>
        <v>1.6056685759064746E-2</v>
      </c>
      <c r="Z41" s="7">
        <v>432.75</v>
      </c>
      <c r="AA41" s="8">
        <f>IFERROR(Z41/Z148, "NA")</f>
        <v>1.6056685759064746E-2</v>
      </c>
      <c r="AB41" s="9">
        <f t="shared" si="12"/>
        <v>293.58749999999998</v>
      </c>
      <c r="AC41" s="8">
        <f>IFERROR(AB41/AB148, "NA")</f>
        <v>1.1432013082736E-2</v>
      </c>
      <c r="AD41" s="10">
        <f t="shared" si="13"/>
        <v>139.16250000000002</v>
      </c>
      <c r="AE41" s="11">
        <f>IFERROR(AD41/AD148, "NA")</f>
        <v>0.10955800876621535</v>
      </c>
      <c r="AF41" s="10">
        <f t="shared" si="14"/>
        <v>0.47400689743262242</v>
      </c>
      <c r="AG41" s="9">
        <f t="shared" si="15"/>
        <v>356.29875000000004</v>
      </c>
      <c r="AH41" s="8">
        <f>IFERROR(AG41/AG148, "NA")</f>
        <v>1.1555596095959136E-2</v>
      </c>
      <c r="AI41" s="10">
        <f t="shared" si="16"/>
        <v>76.451249999999959</v>
      </c>
      <c r="AJ41" s="11">
        <f>IFERROR(AI41/AI148, "NA")</f>
        <v>-1.9693538010547254E-2</v>
      </c>
      <c r="AK41" s="10">
        <f t="shared" si="17"/>
        <v>0.21457063770220902</v>
      </c>
      <c r="AL41" s="11">
        <f>IFERROR(AK41/AK148, "NA")</f>
        <v>-1.7042425026809191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966.29000000000008</v>
      </c>
      <c r="C44" s="14">
        <f>IFERROR(B44/B148, "NA")</f>
        <v>3.7031614971458571E-2</v>
      </c>
      <c r="D44" s="13">
        <f>IFERROR(D39+D40+D41+D42+D43, "NA")</f>
        <v>847.43000000000006</v>
      </c>
      <c r="E44" s="14">
        <f>IFERROR(D44/D148, "NA")</f>
        <v>3.3058028556694034E-2</v>
      </c>
      <c r="F44" s="13">
        <f>IFERROR(F39+F40+F41+F42+F43, "NA")</f>
        <v>1354.02</v>
      </c>
      <c r="G44" s="14">
        <f>IFERROR(F44/F148, "NA")</f>
        <v>3.9317443010150076E-2</v>
      </c>
      <c r="H44" s="13">
        <f>IFERROR(H39+H40+H41+H42+H43, "NA")</f>
        <v>1518.3600000000001</v>
      </c>
      <c r="I44" s="14">
        <f>IFERROR(H44/H148, "NA")</f>
        <v>5.3184573265220914E-2</v>
      </c>
      <c r="J44" s="13">
        <f>IFERROR(J39+J40+J41+J42+J43, "NA")</f>
        <v>1096.51</v>
      </c>
      <c r="K44" s="14">
        <f>IFERROR(J44/J148, "NA")</f>
        <v>3.1425567080865142E-2</v>
      </c>
      <c r="L44" s="13">
        <f>IFERROR(L39+L40+L41+L42+L43, "NA")</f>
        <v>1131.32</v>
      </c>
      <c r="M44" s="14">
        <f>IFERROR(L44/L148, "NA")</f>
        <v>2.4913641722928554E-2</v>
      </c>
      <c r="N44" s="13">
        <f>IFERROR(N39+N40+N41+N42+N43, "NA")</f>
        <v>2103.98</v>
      </c>
      <c r="O44" s="14">
        <f>IFERROR(N44/N148, "NA")</f>
        <v>5.1957076724835766E-2</v>
      </c>
      <c r="P44" s="13">
        <f>IFERROR(P39+P40+P41+P42+P43, "NA")</f>
        <v>988.73</v>
      </c>
      <c r="Q44" s="14">
        <f>IFERROR(P44/P148, "NA")</f>
        <v>4.2716583399146649E-2</v>
      </c>
      <c r="R44" s="13">
        <f>IFERROR(R39+R40+R41+R42+R43, "NA")</f>
        <v>894.95999999999992</v>
      </c>
      <c r="S44" s="14">
        <f>IFERROR(R44/R148, "NA")</f>
        <v>3.5204084643055925E-2</v>
      </c>
      <c r="T44" s="13">
        <f>IFERROR(T39+T40+T41+T42+T43, "NA")</f>
        <v>940.78</v>
      </c>
      <c r="U44" s="14">
        <f>IFERROR(T44/T148, "NA")</f>
        <v>3.8389077161318751E-2</v>
      </c>
      <c r="V44" s="13">
        <f>IFERROR(V39+V40+V41+V42+V43, "NA")</f>
        <v>1035.6299999999999</v>
      </c>
      <c r="W44" s="14">
        <f>IFERROR(V44/V148, "NA")</f>
        <v>4.0071116820404873E-2</v>
      </c>
      <c r="X44" s="13">
        <f>IFERROR(X39+X40+X41+X42+X43, "NA")</f>
        <v>1215.05</v>
      </c>
      <c r="Y44" s="14">
        <f>IFERROR(X44/X148, "NA")</f>
        <v>4.5083017981632854E-2</v>
      </c>
      <c r="Z44" s="13">
        <f>IFERROR(Z39+Z40+Z41+Z42+Z43, "NA")</f>
        <v>1215.05</v>
      </c>
      <c r="AA44" s="14">
        <f>IFERROR(Z44/Z148, "NA")</f>
        <v>4.5083017981632854E-2</v>
      </c>
      <c r="AB44" s="13">
        <f t="shared" si="12"/>
        <v>1021.605</v>
      </c>
      <c r="AC44" s="14">
        <f>IFERROR(AB44/AB148, "NA")</f>
        <v>3.9780309874870391E-2</v>
      </c>
      <c r="AD44" s="15">
        <f t="shared" si="13"/>
        <v>193.44499999999994</v>
      </c>
      <c r="AE44" s="16">
        <f>IFERROR(AD44/AD148, "NA")</f>
        <v>0.15229281599411135</v>
      </c>
      <c r="AF44" s="15">
        <f t="shared" si="14"/>
        <v>0.18935400668555843</v>
      </c>
      <c r="AG44" s="13">
        <f t="shared" si="15"/>
        <v>1175.8699999999999</v>
      </c>
      <c r="AH44" s="14">
        <f>IFERROR(AG44/AG148, "NA")</f>
        <v>3.8136195485826058E-2</v>
      </c>
      <c r="AI44" s="15">
        <f t="shared" si="16"/>
        <v>39.180000000000064</v>
      </c>
      <c r="AJ44" s="16">
        <f>IFERROR(AI44/AI148, "NA")</f>
        <v>-1.0092612210437935E-2</v>
      </c>
      <c r="AK44" s="15">
        <f t="shared" si="17"/>
        <v>3.3320009865036158E-2</v>
      </c>
      <c r="AL44" s="16">
        <f>IFERROR(AK44/AK148, "NA")</f>
        <v>-0.26464654069095644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59.15</v>
      </c>
      <c r="C47" s="8">
        <f>IFERROR(B47/B148, "NA")</f>
        <v>2.2668350345773779E-3</v>
      </c>
      <c r="D47" s="7">
        <v>49.62</v>
      </c>
      <c r="E47" s="8">
        <f>IFERROR(D47/D148, "NA")</f>
        <v>1.9356635674724258E-3</v>
      </c>
      <c r="F47" s="7">
        <v>65.31</v>
      </c>
      <c r="G47" s="8">
        <f>IFERROR(F47/F148, "NA")</f>
        <v>1.8964433339189242E-3</v>
      </c>
      <c r="H47" s="7">
        <v>66.09</v>
      </c>
      <c r="I47" s="8">
        <f>IFERROR(H47/H148, "NA")</f>
        <v>2.3149769798324837E-3</v>
      </c>
      <c r="J47" s="7">
        <v>70.430000000000007</v>
      </c>
      <c r="K47" s="8">
        <f>IFERROR(J47/J148, "NA")</f>
        <v>2.0184974961517288E-3</v>
      </c>
      <c r="L47" s="7">
        <v>74.510000000000005</v>
      </c>
      <c r="M47" s="8">
        <f>IFERROR(L47/L148, "NA")</f>
        <v>1.6408402969764584E-3</v>
      </c>
      <c r="N47" s="7">
        <v>56.35</v>
      </c>
      <c r="O47" s="8">
        <f>IFERROR(N47/N148, "NA")</f>
        <v>1.3915442511071852E-3</v>
      </c>
      <c r="P47" s="7">
        <v>86.97</v>
      </c>
      <c r="Q47" s="8">
        <f>IFERROR(P47/P148, "NA")</f>
        <v>3.7574072377937191E-3</v>
      </c>
      <c r="R47" s="7">
        <v>81.34</v>
      </c>
      <c r="S47" s="8">
        <f>IFERROR(R47/R148, "NA")</f>
        <v>3.1995846125705838E-3</v>
      </c>
      <c r="T47" s="7">
        <v>62.41</v>
      </c>
      <c r="U47" s="8">
        <f>IFERROR(T47/T148, "NA")</f>
        <v>2.5466764872105097E-3</v>
      </c>
      <c r="V47" s="7">
        <v>50.71</v>
      </c>
      <c r="W47" s="8">
        <f>IFERROR(V47/V148, "NA")</f>
        <v>1.9620968241193587E-3</v>
      </c>
      <c r="X47" s="7">
        <v>46.74</v>
      </c>
      <c r="Y47" s="8">
        <f>IFERROR(X47/X148, "NA")</f>
        <v>1.7342333734920539E-3</v>
      </c>
      <c r="Z47" s="7">
        <v>46.74</v>
      </c>
      <c r="AA47" s="8">
        <f>IFERROR(Z47/Z148, "NA")</f>
        <v>1.7342333734920539E-3</v>
      </c>
      <c r="AB47" s="9">
        <f t="shared" si="18"/>
        <v>60.300000000000004</v>
      </c>
      <c r="AC47" s="8">
        <f>IFERROR(AB47/AB148, "NA")</f>
        <v>2.3480236348243058E-3</v>
      </c>
      <c r="AD47" s="10">
        <f t="shared" si="19"/>
        <v>-13.560000000000002</v>
      </c>
      <c r="AE47" s="11">
        <f>IFERROR(AD47/AD148, "NA")</f>
        <v>-1.0675337097780509E-2</v>
      </c>
      <c r="AF47" s="10">
        <f t="shared" si="20"/>
        <v>-0.22487562189054727</v>
      </c>
      <c r="AG47" s="9">
        <f t="shared" si="21"/>
        <v>66.18249999999999</v>
      </c>
      <c r="AH47" s="8">
        <f>IFERROR(AG47/AG148, "NA")</f>
        <v>2.1464522079317296E-3</v>
      </c>
      <c r="AI47" s="10">
        <f t="shared" si="22"/>
        <v>-19.442499999999988</v>
      </c>
      <c r="AJ47" s="11">
        <f>IFERROR(AI47/AI148, "NA")</f>
        <v>5.0083106917161585E-3</v>
      </c>
      <c r="AK47" s="10">
        <f t="shared" si="23"/>
        <v>-0.29377101197446442</v>
      </c>
      <c r="AL47" s="11">
        <f>IFERROR(AK47/AK148, "NA")</f>
        <v>2.3332970905241113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59.15</v>
      </c>
      <c r="C52" s="14">
        <f>IFERROR(B52/B148, "NA")</f>
        <v>2.2668350345773779E-3</v>
      </c>
      <c r="D52" s="13">
        <f>IFERROR(D46+D47+D48+D49+D50+D51, "NA")</f>
        <v>49.62</v>
      </c>
      <c r="E52" s="14">
        <f>IFERROR(D52/D148, "NA")</f>
        <v>1.9356635674724258E-3</v>
      </c>
      <c r="F52" s="13">
        <f>IFERROR(F46+F47+F48+F49+F50+F51, "NA")</f>
        <v>65.31</v>
      </c>
      <c r="G52" s="14">
        <f>IFERROR(F52/F148, "NA")</f>
        <v>1.8964433339189242E-3</v>
      </c>
      <c r="H52" s="13">
        <f>IFERROR(H46+H47+H48+H49+H50+H51, "NA")</f>
        <v>66.09</v>
      </c>
      <c r="I52" s="14">
        <f>IFERROR(H52/H148, "NA")</f>
        <v>2.3149769798324837E-3</v>
      </c>
      <c r="J52" s="13">
        <f>IFERROR(J46+J47+J48+J49+J50+J51, "NA")</f>
        <v>70.430000000000007</v>
      </c>
      <c r="K52" s="14">
        <f>IFERROR(J52/J148, "NA")</f>
        <v>2.0184974961517288E-3</v>
      </c>
      <c r="L52" s="13">
        <f>IFERROR(L46+L47+L48+L49+L50+L51, "NA")</f>
        <v>74.510000000000005</v>
      </c>
      <c r="M52" s="14">
        <f>IFERROR(L52/L148, "NA")</f>
        <v>1.6408402969764584E-3</v>
      </c>
      <c r="N52" s="13">
        <f>IFERROR(N46+N47+N48+N49+N50+N51, "NA")</f>
        <v>56.35</v>
      </c>
      <c r="O52" s="14">
        <f>IFERROR(N52/N148, "NA")</f>
        <v>1.3915442511071852E-3</v>
      </c>
      <c r="P52" s="13">
        <f>IFERROR(P46+P47+P48+P49+P50+P51, "NA")</f>
        <v>86.97</v>
      </c>
      <c r="Q52" s="14">
        <f>IFERROR(P52/P148, "NA")</f>
        <v>3.7574072377937191E-3</v>
      </c>
      <c r="R52" s="13">
        <f>IFERROR(R46+R47+R48+R49+R50+R51, "NA")</f>
        <v>81.34</v>
      </c>
      <c r="S52" s="14">
        <f>IFERROR(R52/R148, "NA")</f>
        <v>3.1995846125705838E-3</v>
      </c>
      <c r="T52" s="13">
        <f>IFERROR(T46+T47+T48+T49+T50+T51, "NA")</f>
        <v>62.41</v>
      </c>
      <c r="U52" s="14">
        <f>IFERROR(T52/T148, "NA")</f>
        <v>2.5466764872105097E-3</v>
      </c>
      <c r="V52" s="13">
        <f>IFERROR(V46+V47+V48+V49+V50+V51, "NA")</f>
        <v>50.71</v>
      </c>
      <c r="W52" s="14">
        <f>IFERROR(V52/V148, "NA")</f>
        <v>1.9620968241193587E-3</v>
      </c>
      <c r="X52" s="13">
        <f>IFERROR(X46+X47+X48+X49+X50+X51, "NA")</f>
        <v>46.74</v>
      </c>
      <c r="Y52" s="14">
        <f>IFERROR(X52/X148, "NA")</f>
        <v>1.7342333734920539E-3</v>
      </c>
      <c r="Z52" s="13">
        <f>IFERROR(Z46+Z47+Z48+Z49+Z50+Z51, "NA")</f>
        <v>46.74</v>
      </c>
      <c r="AA52" s="14">
        <f>IFERROR(Z52/Z148, "NA")</f>
        <v>1.7342333734920539E-3</v>
      </c>
      <c r="AB52" s="13">
        <f t="shared" si="18"/>
        <v>60.300000000000004</v>
      </c>
      <c r="AC52" s="14">
        <f>IFERROR(AB52/AB148, "NA")</f>
        <v>2.3480236348243058E-3</v>
      </c>
      <c r="AD52" s="15">
        <f t="shared" si="19"/>
        <v>-13.560000000000002</v>
      </c>
      <c r="AE52" s="16">
        <f>IFERROR(AD52/AD148, "NA")</f>
        <v>-1.0675337097780509E-2</v>
      </c>
      <c r="AF52" s="15">
        <f t="shared" si="20"/>
        <v>-0.22487562189054727</v>
      </c>
      <c r="AG52" s="13">
        <f t="shared" si="21"/>
        <v>66.18249999999999</v>
      </c>
      <c r="AH52" s="14">
        <f>IFERROR(AG52/AG148, "NA")</f>
        <v>2.1464522079317296E-3</v>
      </c>
      <c r="AI52" s="15">
        <f t="shared" si="22"/>
        <v>-19.442499999999988</v>
      </c>
      <c r="AJ52" s="16">
        <f>IFERROR(AI52/AI148, "NA")</f>
        <v>5.0083106917161585E-3</v>
      </c>
      <c r="AK52" s="15">
        <f t="shared" si="23"/>
        <v>-0.29377101197446442</v>
      </c>
      <c r="AL52" s="16">
        <f>IFERROR(AK52/AK148, "NA")</f>
        <v>2.3332970905241113</v>
      </c>
    </row>
    <row r="53" spans="1:38" ht="16.5" customHeight="1">
      <c r="A53" s="23" t="s">
        <v>68</v>
      </c>
      <c r="B53" s="7">
        <v>101.57</v>
      </c>
      <c r="C53" s="8">
        <f>IFERROR(B53/B148, "NA")</f>
        <v>3.8925179114458878E-3</v>
      </c>
      <c r="D53" s="7">
        <v>59.64</v>
      </c>
      <c r="E53" s="8">
        <f>IFERROR(D53/D148, "NA")</f>
        <v>2.3265412165267129E-3</v>
      </c>
      <c r="F53" s="7">
        <v>129.62</v>
      </c>
      <c r="G53" s="8">
        <f>IFERROR(F53/F148, "NA")</f>
        <v>3.7638491033926036E-3</v>
      </c>
      <c r="H53" s="7">
        <v>79.959999999999994</v>
      </c>
      <c r="I53" s="8">
        <f>IFERROR(H53/H148, "NA")</f>
        <v>2.8008103995673383E-3</v>
      </c>
      <c r="J53" s="7">
        <v>95.84</v>
      </c>
      <c r="K53" s="8">
        <f>IFERROR(J53/J148, "NA")</f>
        <v>2.7467386061505276E-3</v>
      </c>
      <c r="L53" s="7">
        <v>121.48</v>
      </c>
      <c r="M53" s="8">
        <f>IFERROR(L53/L148, "NA")</f>
        <v>2.6752017081827961E-3</v>
      </c>
      <c r="N53" s="7">
        <v>152.5</v>
      </c>
      <c r="O53" s="8">
        <f>IFERROR(N53/N148, "NA")</f>
        <v>3.7659360832980608E-3</v>
      </c>
      <c r="P53" s="7">
        <v>77.37</v>
      </c>
      <c r="Q53" s="8">
        <f>IFERROR(P53/P148, "NA")</f>
        <v>3.3426537655294936E-3</v>
      </c>
      <c r="R53" s="7">
        <v>126.33</v>
      </c>
      <c r="S53" s="8">
        <f>IFERROR(R53/R148, "NA")</f>
        <v>4.9693081399808433E-3</v>
      </c>
      <c r="T53" s="7">
        <v>69.64</v>
      </c>
      <c r="U53" s="8">
        <f>IFERROR(T53/T148, "NA")</f>
        <v>2.8417008583454559E-3</v>
      </c>
      <c r="V53" s="7">
        <v>58.31</v>
      </c>
      <c r="W53" s="8">
        <f>IFERROR(V53/V148, "NA")</f>
        <v>2.2561598464681484E-3</v>
      </c>
      <c r="X53" s="7">
        <v>134.18</v>
      </c>
      <c r="Y53" s="8">
        <f>IFERROR(X53/X148, "NA")</f>
        <v>4.9785929408464654E-3</v>
      </c>
      <c r="Z53" s="7">
        <v>134.18</v>
      </c>
      <c r="AA53" s="8">
        <f>IFERROR(Z53/Z148, "NA")</f>
        <v>4.9785929408464654E-3</v>
      </c>
      <c r="AB53" s="9">
        <f t="shared" si="18"/>
        <v>97.115000000000009</v>
      </c>
      <c r="AC53" s="8">
        <f>IFERROR(AB53/AB148, "NA")</f>
        <v>3.7815641010939048E-3</v>
      </c>
      <c r="AD53" s="10">
        <f t="shared" si="19"/>
        <v>37.064999999999998</v>
      </c>
      <c r="AE53" s="11">
        <f>IFERROR(AD53/AD148, "NA")</f>
        <v>2.9180042000681011E-2</v>
      </c>
      <c r="AF53" s="10">
        <f t="shared" si="20"/>
        <v>0.38166091746898001</v>
      </c>
      <c r="AG53" s="9">
        <f t="shared" si="21"/>
        <v>104.45625000000001</v>
      </c>
      <c r="AH53" s="8">
        <f>IFERROR(AG53/AG148, "NA")</f>
        <v>3.3877588251391044E-3</v>
      </c>
      <c r="AI53" s="10">
        <f t="shared" si="22"/>
        <v>29.723749999999995</v>
      </c>
      <c r="AJ53" s="11">
        <f>IFERROR(AI53/AI148, "NA")</f>
        <v>-7.6567198108729974E-3</v>
      </c>
      <c r="AK53" s="10">
        <f t="shared" si="23"/>
        <v>0.28455693172979113</v>
      </c>
      <c r="AL53" s="11">
        <f>IFERROR(AK53/AK148, "NA")</f>
        <v>-2.2601136049165502</v>
      </c>
    </row>
    <row r="54" spans="1:38" ht="16.5" customHeight="1">
      <c r="A54" s="23" t="s">
        <v>69</v>
      </c>
      <c r="B54" s="7">
        <v>34.31</v>
      </c>
      <c r="C54" s="8">
        <f>IFERROR(B54/B148, "NA")</f>
        <v>1.3148792905553651E-3</v>
      </c>
      <c r="D54" s="7">
        <v>41</v>
      </c>
      <c r="E54" s="8">
        <f>IFERROR(D54/D148, "NA")</f>
        <v>1.5993995619985786E-3</v>
      </c>
      <c r="F54" s="7">
        <v>27</v>
      </c>
      <c r="G54" s="8">
        <f>IFERROR(F54/F148, "NA")</f>
        <v>7.8401424002160392E-4</v>
      </c>
      <c r="H54" s="7">
        <v>40</v>
      </c>
      <c r="I54" s="8">
        <f>IFERROR(H54/H148, "NA")</f>
        <v>1.4011057526599991E-3</v>
      </c>
      <c r="J54" s="7">
        <v>29.56</v>
      </c>
      <c r="K54" s="8">
        <f>IFERROR(J54/J148, "NA")</f>
        <v>8.4717856007731219E-4</v>
      </c>
      <c r="L54" s="7">
        <v>24.5</v>
      </c>
      <c r="M54" s="8">
        <f>IFERROR(L54/L148, "NA")</f>
        <v>5.3953277782744905E-4</v>
      </c>
      <c r="N54" s="7">
        <v>26.25</v>
      </c>
      <c r="O54" s="8">
        <f>IFERROR(N54/N148, "NA")</f>
        <v>6.4823489958409247E-4</v>
      </c>
      <c r="P54" s="7">
        <v>25</v>
      </c>
      <c r="Q54" s="8">
        <f>IFERROR(P54/P148, "NA")</f>
        <v>1.0800871673547542E-3</v>
      </c>
      <c r="R54" s="7">
        <v>27</v>
      </c>
      <c r="S54" s="8">
        <f>IFERROR(R54/R148, "NA")</f>
        <v>1.0620701320310519E-3</v>
      </c>
      <c r="T54" s="7">
        <v>21</v>
      </c>
      <c r="U54" s="8">
        <f>IFERROR(T54/T148, "NA")</f>
        <v>8.5691726055793472E-4</v>
      </c>
      <c r="V54" s="7">
        <v>37</v>
      </c>
      <c r="W54" s="8">
        <f>IFERROR(V54/V148, "NA")</f>
        <v>1.4316226088033183E-3</v>
      </c>
      <c r="X54" s="7">
        <v>24</v>
      </c>
      <c r="Y54" s="8">
        <f>IFERROR(X54/X148, "NA")</f>
        <v>8.904921044888594E-4</v>
      </c>
      <c r="Z54" s="7">
        <v>24</v>
      </c>
      <c r="AA54" s="8">
        <f>IFERROR(Z54/Z148, "NA")</f>
        <v>8.904921044888594E-4</v>
      </c>
      <c r="AB54" s="9">
        <f t="shared" si="18"/>
        <v>27.25</v>
      </c>
      <c r="AC54" s="8">
        <f>IFERROR(AB54/AB148, "NA")</f>
        <v>1.061088624360901E-3</v>
      </c>
      <c r="AD54" s="10">
        <f t="shared" si="19"/>
        <v>-3.25</v>
      </c>
      <c r="AE54" s="11">
        <f>IFERROR(AD54/AD148, "NA")</f>
        <v>-2.5586169297777766E-3</v>
      </c>
      <c r="AF54" s="10">
        <f t="shared" si="20"/>
        <v>-0.11926605504587157</v>
      </c>
      <c r="AG54" s="9">
        <f t="shared" si="21"/>
        <v>26.78875</v>
      </c>
      <c r="AH54" s="8">
        <f>IFERROR(AG54/AG148, "NA")</f>
        <v>8.6882138911692866E-4</v>
      </c>
      <c r="AI54" s="10">
        <f t="shared" si="22"/>
        <v>-2.7887500000000003</v>
      </c>
      <c r="AJ54" s="11">
        <f>IFERROR(AI54/AI148, "NA")</f>
        <v>7.1837091122661431E-4</v>
      </c>
      <c r="AK54" s="10">
        <f t="shared" si="23"/>
        <v>-0.10410153515934861</v>
      </c>
      <c r="AL54" s="11">
        <f>IFERROR(AK54/AK148, "NA")</f>
        <v>0.82683382364327795</v>
      </c>
    </row>
    <row r="55" spans="1:38" ht="16.5" customHeight="1">
      <c r="A55" s="23" t="s">
        <v>70</v>
      </c>
      <c r="B55" s="7">
        <v>-195.48</v>
      </c>
      <c r="C55" s="8">
        <f>IFERROR(B55/B148, "NA")</f>
        <v>-7.4914778116514933E-3</v>
      </c>
      <c r="D55" s="7">
        <v>-298.10000000000002</v>
      </c>
      <c r="E55" s="8">
        <f>IFERROR(D55/D148, "NA")</f>
        <v>-1.1628805108092105E-2</v>
      </c>
      <c r="F55" s="7">
        <v>-232.63</v>
      </c>
      <c r="G55" s="8">
        <f>IFERROR(F55/F148, "NA")</f>
        <v>-6.7550086168972484E-3</v>
      </c>
      <c r="H55" s="7">
        <v>-259.64</v>
      </c>
      <c r="I55" s="8">
        <f>IFERROR(H55/H148, "NA")</f>
        <v>-9.0945774405160537E-3</v>
      </c>
      <c r="J55" s="7">
        <v>-273.58</v>
      </c>
      <c r="K55" s="8">
        <f>IFERROR(J55/J148, "NA")</f>
        <v>-7.840700624693879E-3</v>
      </c>
      <c r="L55" s="7">
        <v>-264.70999999999998</v>
      </c>
      <c r="M55" s="8">
        <f>IFERROR(L55/L148, "NA")</f>
        <v>-5.829376392600164E-3</v>
      </c>
      <c r="N55" s="7">
        <v>-307.77999999999997</v>
      </c>
      <c r="O55" s="8">
        <f>IFERROR(N55/N148, "NA")</f>
        <v>-7.6005233292949321E-3</v>
      </c>
      <c r="P55" s="7">
        <v>-226.58</v>
      </c>
      <c r="Q55" s="8">
        <f>IFERROR(P55/P148, "NA")</f>
        <v>-9.7890460151696095E-3</v>
      </c>
      <c r="R55" s="7">
        <v>-276.54000000000002</v>
      </c>
      <c r="S55" s="8">
        <f>IFERROR(R55/R148, "NA")</f>
        <v>-1.0877958307846929E-2</v>
      </c>
      <c r="T55" s="7">
        <v>-465.05</v>
      </c>
      <c r="U55" s="8">
        <f>IFERROR(T55/T148, "NA")</f>
        <v>-1.8976636762974647E-2</v>
      </c>
      <c r="V55" s="7">
        <v>-310.23</v>
      </c>
      <c r="W55" s="8">
        <f>IFERROR(V55/V148, "NA")</f>
        <v>-1.2003575187271714E-2</v>
      </c>
      <c r="X55" s="7">
        <v>-342.19</v>
      </c>
      <c r="Y55" s="8">
        <f>IFERROR(X55/X148, "NA")</f>
        <v>-1.2696562218126784E-2</v>
      </c>
      <c r="Z55" s="7">
        <v>-342.19</v>
      </c>
      <c r="AA55" s="8">
        <f>IFERROR(Z55/Z148, "NA")</f>
        <v>-1.2696562218126784E-2</v>
      </c>
      <c r="AB55" s="9">
        <f t="shared" si="18"/>
        <v>-348.50250000000005</v>
      </c>
      <c r="AC55" s="8">
        <f>IFERROR(AB55/AB148, "NA")</f>
        <v>-1.357035002977376E-2</v>
      </c>
      <c r="AD55" s="10">
        <f t="shared" si="19"/>
        <v>6.3125000000000568</v>
      </c>
      <c r="AE55" s="11">
        <f>IFERROR(AD55/AD148, "NA")</f>
        <v>4.9696213443761105E-3</v>
      </c>
      <c r="AF55" s="10">
        <f t="shared" si="20"/>
        <v>-1.8113212961169734E-2</v>
      </c>
      <c r="AG55" s="9">
        <f t="shared" si="21"/>
        <v>-308.33249999999998</v>
      </c>
      <c r="AH55" s="8">
        <f>IFERROR(AG55/AG148, "NA")</f>
        <v>-9.9999391893946295E-3</v>
      </c>
      <c r="AI55" s="10">
        <f t="shared" si="22"/>
        <v>-33.857500000000016</v>
      </c>
      <c r="AJ55" s="11">
        <f>IFERROR(AI55/AI148, "NA")</f>
        <v>8.7215573740403764E-3</v>
      </c>
      <c r="AK55" s="10">
        <f t="shared" si="23"/>
        <v>0.10980840488758084</v>
      </c>
      <c r="AL55" s="11">
        <f>IFERROR(AK55/AK148, "NA")</f>
        <v>-0.87216104106812664</v>
      </c>
    </row>
    <row r="56" spans="1:38" ht="16.5" customHeight="1">
      <c r="A56" s="27" t="s">
        <v>71</v>
      </c>
      <c r="B56" s="13">
        <f>IFERROR(B37+B39+B40+B41+B42+B43+B46+B47+B48+B49+B50+B51+B53+B54+B55, "NA")</f>
        <v>965.83999999999992</v>
      </c>
      <c r="C56" s="14">
        <f>IFERROR(B56/B148, "NA")</f>
        <v>3.7014369396385707E-2</v>
      </c>
      <c r="D56" s="13">
        <f>IFERROR(D37+D39+D40+D41+D42+D43+D46+D47+D48+D49+D50+D51+D53+D54+D55, "NA")</f>
        <v>699.59</v>
      </c>
      <c r="E56" s="14">
        <f>IFERROR(D56/D148, "NA")</f>
        <v>2.729082779459965E-2</v>
      </c>
      <c r="F56" s="13">
        <f>IFERROR(F37+F39+F40+F41+F42+F43+F46+F47+F48+F49+F50+F51+F53+F54+F55, "NA")</f>
        <v>1343.3199999999997</v>
      </c>
      <c r="G56" s="14">
        <f>IFERROR(F56/F148, "NA")</f>
        <v>3.9006741070585951E-2</v>
      </c>
      <c r="H56" s="13">
        <f>IFERROR(H37+H39+H40+H41+H42+H43+H46+H47+H48+H49+H50+H51+H53+H54+H55, "NA")</f>
        <v>1444.77</v>
      </c>
      <c r="I56" s="14">
        <f>IFERROR(H56/H148, "NA")</f>
        <v>5.0606888956764677E-2</v>
      </c>
      <c r="J56" s="13">
        <f>IFERROR(J37+J39+J40+J41+J42+J43+J46+J47+J48+J49+J50+J51+J53+J54+J55, "NA")</f>
        <v>1018.76</v>
      </c>
      <c r="K56" s="14">
        <f>IFERROR(J56/J148, "NA")</f>
        <v>2.9197281118550831E-2</v>
      </c>
      <c r="L56" s="13">
        <f>IFERROR(L37+L39+L40+L41+L42+L43+L46+L47+L48+L49+L50+L51+L53+L54+L55, "NA")</f>
        <v>1087.0999999999999</v>
      </c>
      <c r="M56" s="14">
        <f>IFERROR(L56/L148, "NA")</f>
        <v>2.3939840113315094E-2</v>
      </c>
      <c r="N56" s="13">
        <f>IFERROR(N37+N39+N40+N41+N42+N43+N46+N47+N48+N49+N50+N51+N53+N54+N55, "NA")</f>
        <v>2031.3</v>
      </c>
      <c r="O56" s="14">
        <f>IFERROR(N56/N148, "NA")</f>
        <v>5.0162268629530174E-2</v>
      </c>
      <c r="P56" s="13">
        <f>IFERROR(P37+P39+P40+P41+P42+P43+P46+P47+P48+P49+P50+P51+P53+P54+P55, "NA")</f>
        <v>951.49000000000012</v>
      </c>
      <c r="Q56" s="14">
        <f>IFERROR(P56/P148, "NA")</f>
        <v>4.1107685554655007E-2</v>
      </c>
      <c r="R56" s="13">
        <f>IFERROR(R37+R39+R40+R41+R42+R43+R46+R47+R48+R49+R50+R51+R53+R54+R55, "NA")</f>
        <v>853.08999999999992</v>
      </c>
      <c r="S56" s="14">
        <f>IFERROR(R56/R148, "NA")</f>
        <v>3.3557089219791475E-2</v>
      </c>
      <c r="T56" s="13">
        <f>IFERROR(T37+T39+T40+T41+T42+T43+T46+T47+T48+T49+T50+T51+T53+T54+T55, "NA")</f>
        <v>628.78</v>
      </c>
      <c r="U56" s="14">
        <f>IFERROR(T56/T148, "NA")</f>
        <v>2.5657735004458008E-2</v>
      </c>
      <c r="V56" s="13">
        <f>IFERROR(V37+V39+V40+V41+V42+V43+V46+V47+V48+V49+V50+V51+V53+V54+V55, "NA")</f>
        <v>871.41999999999985</v>
      </c>
      <c r="W56" s="14">
        <f>IFERROR(V56/V148, "NA")</f>
        <v>3.3717420912523985E-2</v>
      </c>
      <c r="X56" s="13">
        <f>IFERROR(X37+X39+X40+X41+X42+X43+X46+X47+X48+X49+X50+X51+X53+X54+X55, "NA")</f>
        <v>1077.78</v>
      </c>
      <c r="Y56" s="14">
        <f>IFERROR(X56/X148, "NA")</f>
        <v>3.9989774182333453E-2</v>
      </c>
      <c r="Z56" s="13">
        <f>IFERROR(Z37+Z39+Z40+Z41+Z42+Z43+Z46+Z47+Z48+Z49+Z50+Z51+Z53+Z54+Z55, "NA")</f>
        <v>1077.78</v>
      </c>
      <c r="AA56" s="14">
        <f>IFERROR(Z56/Z148, "NA")</f>
        <v>3.9989774182333453E-2</v>
      </c>
      <c r="AB56" s="13">
        <f t="shared" si="18"/>
        <v>857.76749999999993</v>
      </c>
      <c r="AC56" s="14">
        <f>IFERROR(AB56/AB148, "NA")</f>
        <v>3.3400636205375742E-2</v>
      </c>
      <c r="AD56" s="15">
        <f t="shared" si="19"/>
        <v>220.01250000000005</v>
      </c>
      <c r="AE56" s="16">
        <f>IFERROR(AD56/AD148, "NA")</f>
        <v>0.17320852531161021</v>
      </c>
      <c r="AF56" s="15">
        <f t="shared" si="20"/>
        <v>0.2564943297571895</v>
      </c>
      <c r="AG56" s="13">
        <f t="shared" si="21"/>
        <v>1064.9649999999999</v>
      </c>
      <c r="AH56" s="14">
        <f>IFERROR(AG56/AG148, "NA")</f>
        <v>3.4539288718619193E-2</v>
      </c>
      <c r="AI56" s="15">
        <f t="shared" si="22"/>
        <v>12.815000000000055</v>
      </c>
      <c r="AJ56" s="16">
        <f>IFERROR(AI56/AI148, "NA")</f>
        <v>-3.3010930443277812E-3</v>
      </c>
      <c r="AK56" s="15">
        <f t="shared" si="23"/>
        <v>1.2033259308991427E-2</v>
      </c>
      <c r="AL56" s="16">
        <f>IFERROR(AK56/AK148, "NA")</f>
        <v>-9.5575015201406044E-2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6793.4099999999989</v>
      </c>
      <c r="C57" s="29">
        <f>IFERROR(B57/B148, "NA")</f>
        <v>0.26034724923496705</v>
      </c>
      <c r="D57" s="28">
        <f>IFERROR(D13+D15+D16+D17+D18+D19+D20+D21+D22+D23+D24+D25+D26+D29+D30+D31+D32+D33+D37+D39+D40+D41+D42+D43+D46+D47+D48+D49+D50+D51+D53+D54+D55, "NA")</f>
        <v>6604.6500000000005</v>
      </c>
      <c r="E57" s="29">
        <f>IFERROR(D57/D148, "NA")</f>
        <v>0.25764571505253447</v>
      </c>
      <c r="F57" s="28">
        <f>IFERROR(F13+F15+F16+F17+F18+F19+F20+F21+F22+F23+F24+F25+F26+F29+F30+F31+F32+F33+F37+F39+F40+F41+F42+F43+F46+F47+F48+F49+F50+F51+F53+F54+F55, "NA")</f>
        <v>8680.5600000000013</v>
      </c>
      <c r="G57" s="29">
        <f>IFERROR(F57/F148, "NA")</f>
        <v>0.25206232042081239</v>
      </c>
      <c r="H57" s="28">
        <f>IFERROR(H13+H15+H16+H17+H18+H19+H20+H21+H22+H23+H24+H25+H26+H29+H30+H31+H32+H33+H37+H39+H40+H41+H42+H43+H46+H47+H48+H49+H50+H51+H53+H54+H55, "NA")</f>
        <v>7359.83</v>
      </c>
      <c r="I57" s="29">
        <f>IFERROR(H57/H148, "NA")</f>
        <v>0.25779750378999106</v>
      </c>
      <c r="J57" s="28">
        <f>IFERROR(J13+J15+J16+J17+J18+J19+J20+J21+J22+J23+J24+J25+J26+J29+J30+J31+J32+J33+J37+J39+J40+J41+J42+J43+J46+J47+J48+J49+J50+J51+J53+J54+J55, "NA")</f>
        <v>7915.1200000000008</v>
      </c>
      <c r="K57" s="29">
        <f>IFERROR(J57/J148, "NA")</f>
        <v>0.22684438310010607</v>
      </c>
      <c r="L57" s="28">
        <f>IFERROR(L13+L15+L16+L17+L18+L19+L20+L21+L22+L23+L24+L25+L26+L29+L30+L31+L32+L33+L37+L39+L40+L41+L42+L43+L46+L47+L48+L49+L50+L51+L53+L54+L55, "NA")</f>
        <v>11232.980000000005</v>
      </c>
      <c r="M57" s="29">
        <f>IFERROR(L57/L148, "NA")</f>
        <v>0.24736983276245636</v>
      </c>
      <c r="N57" s="28">
        <f>IFERROR(N13+N15+N16+N17+N18+N19+N20+N21+N22+N23+N24+N25+N26+N29+N30+N31+N32+N33+N37+N39+N40+N41+N42+N43+N46+N47+N48+N49+N50+N51+N53+N54+N55, "NA")</f>
        <v>9889.07</v>
      </c>
      <c r="O57" s="29">
        <f>IFERROR(N57/N148, "NA")</f>
        <v>0.24420724946400232</v>
      </c>
      <c r="P57" s="28">
        <f>IFERROR(P13+P15+P16+P17+P18+P19+P20+P21+P22+P23+P24+P25+P26+P29+P30+P31+P32+P33+P37+P39+P40+P41+P42+P43+P46+P47+P48+P49+P50+P51+P53+P54+P55, "NA")</f>
        <v>5421.36</v>
      </c>
      <c r="Q57" s="29">
        <f>IFERROR(P57/P148, "NA")</f>
        <v>0.2342216546244148</v>
      </c>
      <c r="R57" s="28">
        <f>IFERROR(R13+R15+R16+R17+R18+R19+R20+R21+R22+R23+R24+R25+R26+R29+R30+R31+R32+R33+R37+R39+R40+R41+R42+R43+R46+R47+R48+R49+R50+R51+R53+R54+R55, "NA")</f>
        <v>6618.0999999999995</v>
      </c>
      <c r="S57" s="29">
        <f>IFERROR(R57/R148, "NA")</f>
        <v>0.26032912373313716</v>
      </c>
      <c r="T57" s="28">
        <f>IFERROR(T13+T15+T16+T17+T18+T19+T20+T21+T22+T23+T24+T25+T26+T29+T30+T31+T32+T33+T37+T39+T40+T41+T42+T43+T46+T47+T48+T49+T50+T51+T53+T54+T55, "NA")</f>
        <v>6138.4200000000019</v>
      </c>
      <c r="U57" s="29">
        <f>IFERROR(T57/T148, "NA")</f>
        <v>0.25048181193114472</v>
      </c>
      <c r="V57" s="28">
        <f>IFERROR(V13+V15+V16+V17+V18+V19+V20+V21+V22+V23+V24+V25+V26+V29+V30+V31+V32+V33+V37+V39+V40+V41+V42+V43+V46+V47+V48+V49+V50+V51+V53+V54+V55, "NA")</f>
        <v>5939.18</v>
      </c>
      <c r="W57" s="29">
        <f>IFERROR(V57/V148, "NA")</f>
        <v>0.22980173961493222</v>
      </c>
      <c r="X57" s="28">
        <f>IFERROR(X13+X15+X16+X17+X18+X19+X20+X21+X22+X23+X24+X25+X26+X29+X30+X31+X32+X33+X37+X39+X40+X41+X42+X43+X46+X47+X48+X49+X50+X51+X53+X54+X55, "NA")</f>
        <v>6063.1200000000008</v>
      </c>
      <c r="Y57" s="29">
        <f>IFERROR(X57/X148, "NA")</f>
        <v>0.2249650203570206</v>
      </c>
      <c r="Z57" s="28">
        <f>IFERROR(Z13+Z15+Z16+Z17+Z18+Z19+Z20+Z21+Z22+Z23+Z24+Z25+Z26+Z29+Z30+Z31+Z32+Z33+Z37+Z39+Z40+Z41+Z42+Z43+Z46+Z47+Z48+Z49+Z50+Z51+Z53+Z54+Z55, "NA")</f>
        <v>6063.1200000000008</v>
      </c>
      <c r="AA57" s="29">
        <f>IFERROR(Z57/Z148, "NA")</f>
        <v>0.2249650203570206</v>
      </c>
      <c r="AB57" s="28">
        <f t="shared" si="18"/>
        <v>6189.7049999999999</v>
      </c>
      <c r="AC57" s="29">
        <f>IFERROR(AB57/AB148, "NA")</f>
        <v>0.24102112160182718</v>
      </c>
      <c r="AD57" s="30">
        <f t="shared" si="19"/>
        <v>-126.58499999999913</v>
      </c>
      <c r="AE57" s="31">
        <f>IFERROR(AD57/AD148, "NA")</f>
        <v>-9.9656161247974648E-2</v>
      </c>
      <c r="AF57" s="30">
        <f t="shared" si="20"/>
        <v>-2.0450893863277673E-2</v>
      </c>
      <c r="AG57" s="28">
        <f t="shared" si="21"/>
        <v>7402.1687500000007</v>
      </c>
      <c r="AH57" s="29">
        <f>IFERROR(AG57/AG148, "NA")</f>
        <v>0.24006952679213925</v>
      </c>
      <c r="AI57" s="30">
        <f t="shared" si="22"/>
        <v>-1339.0487499999999</v>
      </c>
      <c r="AJ57" s="31">
        <f>IFERROR(AI57/AI148, "NA")</f>
        <v>0.34493363360443163</v>
      </c>
      <c r="AK57" s="30">
        <f t="shared" si="23"/>
        <v>-0.18089951678013283</v>
      </c>
      <c r="AL57" s="31">
        <f>IFERROR(AK57/AK148, "NA")</f>
        <v>1.4368072375261833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19300.239999999998</v>
      </c>
      <c r="C59" s="34">
        <f>IFERROR(B59/B148, "NA")</f>
        <v>0.73965275076503278</v>
      </c>
      <c r="D59" s="33">
        <f>IFERROR(D9-D57, "NA")</f>
        <v>19029.969999999994</v>
      </c>
      <c r="E59" s="34">
        <f>IFERROR(D59/D148, "NA")</f>
        <v>0.74235428494746536</v>
      </c>
      <c r="F59" s="33">
        <f>IFERROR(F9-F57, "NA")</f>
        <v>25757.59</v>
      </c>
      <c r="G59" s="34">
        <f>IFERROR(F59/F148, "NA")</f>
        <v>0.74793767957918755</v>
      </c>
      <c r="H59" s="33">
        <f>IFERROR(H9-H57, "NA")</f>
        <v>21189.050000000003</v>
      </c>
      <c r="I59" s="34">
        <f>IFERROR(H59/H148, "NA")</f>
        <v>0.742202496210009</v>
      </c>
      <c r="J59" s="33">
        <f>IFERROR(J9-J57, "NA")</f>
        <v>26977.169999999991</v>
      </c>
      <c r="K59" s="34">
        <f>IFERROR(J59/J148, "NA")</f>
        <v>0.77315561689989365</v>
      </c>
      <c r="L59" s="33">
        <f>IFERROR(L9-L57, "NA")</f>
        <v>34176.679999999993</v>
      </c>
      <c r="M59" s="34">
        <f>IFERROR(L59/L148, "NA")</f>
        <v>0.7526301672375435</v>
      </c>
      <c r="N59" s="33">
        <f>IFERROR(N9-N57, "NA")</f>
        <v>30605.509999999995</v>
      </c>
      <c r="O59" s="34">
        <f>IFERROR(N59/N148, "NA")</f>
        <v>0.75579275053599748</v>
      </c>
      <c r="P59" s="33">
        <f>IFERROR(P9-P57, "NA")</f>
        <v>17724.919999999998</v>
      </c>
      <c r="Q59" s="34">
        <f>IFERROR(P59/P148, "NA")</f>
        <v>0.7657783453755852</v>
      </c>
      <c r="R59" s="33">
        <f>IFERROR(R9-R57, "NA")</f>
        <v>18803.950000000008</v>
      </c>
      <c r="S59" s="34">
        <f>IFERROR(R59/R148, "NA")</f>
        <v>0.73967087626686312</v>
      </c>
      <c r="T59" s="33">
        <f>IFERROR(T9-T57, "NA")</f>
        <v>18368.030000000002</v>
      </c>
      <c r="U59" s="34">
        <f>IFERROR(T59/T148, "NA")</f>
        <v>0.7495181880688554</v>
      </c>
      <c r="V59" s="33">
        <f>IFERROR(V9-V57, "NA")</f>
        <v>19905.619999999995</v>
      </c>
      <c r="W59" s="34">
        <f>IFERROR(V59/V148, "NA")</f>
        <v>0.77019826038506767</v>
      </c>
      <c r="X59" s="33">
        <f>IFERROR(X9-X57, "NA")</f>
        <v>20888.269999999997</v>
      </c>
      <c r="Y59" s="34">
        <f>IFERROR(X59/X148, "NA")</f>
        <v>0.7750349796429794</v>
      </c>
      <c r="Z59" s="33">
        <f>IFERROR(Z9-Z57, "NA")</f>
        <v>20888.269999999997</v>
      </c>
      <c r="AA59" s="34">
        <f>IFERROR(Z59/Z148, "NA")</f>
        <v>0.7750349796429794</v>
      </c>
      <c r="AB59" s="33">
        <f>IFERROR((R59+T59+V59+X59)/4, "NA")</f>
        <v>19491.467499999999</v>
      </c>
      <c r="AC59" s="34">
        <f>IFERROR(AB59/AB148, "NA")</f>
        <v>0.7589788783981728</v>
      </c>
      <c r="AD59" s="15">
        <f>IFERROR(X59-AB59, "NA")</f>
        <v>1396.802499999998</v>
      </c>
      <c r="AE59" s="16">
        <f>IFERROR(AD59/AD148, "NA")</f>
        <v>1.0996561612479747</v>
      </c>
      <c r="AF59" s="15">
        <f>IFERROR((X59-AB59)/AB59, "NA")</f>
        <v>7.1662254265872902E-2</v>
      </c>
      <c r="AG59" s="33">
        <f>IFERROR((J59+L59+N59+P59+R59+T59+V59+X59)/8, "NA")</f>
        <v>23431.268749999999</v>
      </c>
      <c r="AH59" s="34">
        <f>IFERROR(AG59/AG148, "NA")</f>
        <v>0.75993047320786078</v>
      </c>
      <c r="AI59" s="15">
        <f>IFERROR(X59-AG59, "NA")</f>
        <v>-2542.9987500000025</v>
      </c>
      <c r="AJ59" s="16">
        <f>IFERROR(AI59/AI148, "NA")</f>
        <v>0.65506636639556881</v>
      </c>
      <c r="AK59" s="15">
        <f>IFERROR((X59-AG59)/AG59, "NA")</f>
        <v>-0.1085301345451045</v>
      </c>
      <c r="AL59" s="16">
        <f>IFERROR(AK59/AK148, "NA")</f>
        <v>0.86200828824558962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1410</v>
      </c>
      <c r="C66" s="8">
        <f>IFERROR(B66/B148, "NA")</f>
        <v>5.4036135228302667E-2</v>
      </c>
      <c r="D66" s="7">
        <v>1410</v>
      </c>
      <c r="E66" s="8">
        <f>IFERROR(D66/D148, "NA")</f>
        <v>5.500374103458526E-2</v>
      </c>
      <c r="F66" s="7">
        <v>1410</v>
      </c>
      <c r="G66" s="8">
        <f>IFERROR(F66/F148, "NA")</f>
        <v>4.0942965867794869E-2</v>
      </c>
      <c r="H66" s="7">
        <v>1410</v>
      </c>
      <c r="I66" s="8">
        <f>IFERROR(H66/H148, "NA")</f>
        <v>4.938897778126497E-2</v>
      </c>
      <c r="J66" s="7">
        <v>1410</v>
      </c>
      <c r="K66" s="8">
        <f>IFERROR(J66/J148, "NA")</f>
        <v>4.0410073400169493E-2</v>
      </c>
      <c r="L66" s="7">
        <v>1410</v>
      </c>
      <c r="M66" s="8">
        <f>IFERROR(L66/L148, "NA")</f>
        <v>3.1050661907620535E-2</v>
      </c>
      <c r="N66" s="7">
        <v>1410</v>
      </c>
      <c r="O66" s="8">
        <f>IFERROR(N66/N148, "NA")</f>
        <v>3.4819474606231249E-2</v>
      </c>
      <c r="P66" s="7">
        <v>1410</v>
      </c>
      <c r="Q66" s="8">
        <f>IFERROR(P66/P148, "NA")</f>
        <v>6.0916916238808141E-2</v>
      </c>
      <c r="R66" s="7">
        <v>1410</v>
      </c>
      <c r="S66" s="8">
        <f>IFERROR(R66/R148, "NA")</f>
        <v>5.5463662450510487E-2</v>
      </c>
      <c r="T66" s="7">
        <v>1410</v>
      </c>
      <c r="U66" s="8">
        <f>IFERROR(T66/T148, "NA")</f>
        <v>5.75358732088899E-2</v>
      </c>
      <c r="V66" s="7">
        <v>1410</v>
      </c>
      <c r="W66" s="8">
        <f>IFERROR(V66/V148, "NA")</f>
        <v>5.4556429146288617E-2</v>
      </c>
      <c r="X66" s="7">
        <v>1410</v>
      </c>
      <c r="Y66" s="8">
        <f>IFERROR(X66/X148, "NA")</f>
        <v>5.2316411138720494E-2</v>
      </c>
      <c r="Z66" s="7">
        <v>1410</v>
      </c>
      <c r="AA66" s="8">
        <f>IFERROR(Z66/Z148, "NA")</f>
        <v>5.2316411138720494E-2</v>
      </c>
      <c r="AB66" s="9">
        <f t="shared" si="24"/>
        <v>1410</v>
      </c>
      <c r="AC66" s="8">
        <f>IFERROR(AB66/AB148, "NA")</f>
        <v>5.4904035242160379E-2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1410</v>
      </c>
      <c r="AH66" s="8">
        <f>IFERROR(AG66/AG148, "NA")</f>
        <v>4.5729575237921496E-2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5010.8999999999996</v>
      </c>
      <c r="C68" s="8">
        <f>IFERROR(B68/B148, "NA")</f>
        <v>0.19203522696134881</v>
      </c>
      <c r="D68" s="7">
        <v>5286.64</v>
      </c>
      <c r="E68" s="8">
        <f>IFERROR(D68/D148, "NA")</f>
        <v>0.20623048049863818</v>
      </c>
      <c r="F68" s="7">
        <v>5865.62</v>
      </c>
      <c r="G68" s="8">
        <f>IFERROR(F68/F148, "NA")</f>
        <v>0.17032331876131557</v>
      </c>
      <c r="H68" s="7">
        <v>5271.86</v>
      </c>
      <c r="I68" s="8">
        <f>IFERROR(H68/H148, "NA")</f>
        <v>0.18466083433045358</v>
      </c>
      <c r="J68" s="7">
        <v>6400.76</v>
      </c>
      <c r="K68" s="8">
        <f>IFERROR(J68/J148, "NA")</f>
        <v>0.18344339107579355</v>
      </c>
      <c r="L68" s="7">
        <v>8227.84</v>
      </c>
      <c r="M68" s="8">
        <f>IFERROR(L68/L148, "NA")</f>
        <v>0.18119140288652238</v>
      </c>
      <c r="N68" s="7">
        <v>7870.29</v>
      </c>
      <c r="O68" s="8">
        <f>IFERROR(N68/N148, "NA")</f>
        <v>0.19435415801324521</v>
      </c>
      <c r="P68" s="7">
        <v>4972.3999999999996</v>
      </c>
      <c r="Q68" s="8">
        <f>IFERROR(P68/P148, "NA")</f>
        <v>0.2148250172381912</v>
      </c>
      <c r="R68" s="7">
        <v>5985.88</v>
      </c>
      <c r="S68" s="8">
        <f>IFERROR(R68/R148, "NA")</f>
        <v>0.23546016155266788</v>
      </c>
      <c r="T68" s="7">
        <v>5854.73</v>
      </c>
      <c r="U68" s="8">
        <f>IFERROR(T68/T148, "NA")</f>
        <v>0.23890567585268366</v>
      </c>
      <c r="V68" s="7">
        <v>5414.05</v>
      </c>
      <c r="W68" s="8">
        <f>IFERROR(V68/V148, "NA")</f>
        <v>0.20948314554571906</v>
      </c>
      <c r="X68" s="7">
        <v>5049.22</v>
      </c>
      <c r="Y68" s="8">
        <f>IFERROR(X68/X148, "NA")</f>
        <v>0.18734543932613495</v>
      </c>
      <c r="Z68" s="7">
        <v>5049.22</v>
      </c>
      <c r="AA68" s="8">
        <f>IFERROR(Z68/Z148, "NA")</f>
        <v>0.18734543932613495</v>
      </c>
      <c r="AB68" s="9">
        <f t="shared" si="24"/>
        <v>5575.97</v>
      </c>
      <c r="AC68" s="8">
        <f>IFERROR(AB68/AB148, "NA")</f>
        <v>0.21712287474413405</v>
      </c>
      <c r="AD68" s="10">
        <f t="shared" si="25"/>
        <v>-526.75</v>
      </c>
      <c r="AE68" s="11">
        <f>IFERROR(AD68/AD148, "NA")</f>
        <v>-0.41469275931090582</v>
      </c>
      <c r="AF68" s="10">
        <f t="shared" si="26"/>
        <v>-9.4467868370884348E-2</v>
      </c>
      <c r="AG68" s="9">
        <f t="shared" si="27"/>
        <v>6221.8962499999998</v>
      </c>
      <c r="AH68" s="8">
        <f>IFERROR(AG68/AG148, "NA")</f>
        <v>0.20179054800490537</v>
      </c>
      <c r="AI68" s="10">
        <f t="shared" si="28"/>
        <v>-1172.6762499999995</v>
      </c>
      <c r="AJ68" s="11">
        <f>IFERROR(AI68/AI148, "NA")</f>
        <v>0.3020767391434544</v>
      </c>
      <c r="AK68" s="10">
        <f t="shared" si="29"/>
        <v>-0.18847569983186388</v>
      </c>
      <c r="AL68" s="11">
        <f>IFERROR(AK68/AK148, "NA")</f>
        <v>1.4969816085543866</v>
      </c>
    </row>
    <row r="69" spans="1:38" ht="16.5" customHeight="1">
      <c r="A69" s="25" t="s">
        <v>81</v>
      </c>
      <c r="B69" s="7">
        <v>202.45</v>
      </c>
      <c r="C69" s="8">
        <f>IFERROR(B69/B148, "NA")</f>
        <v>7.7585926077800528E-3</v>
      </c>
      <c r="D69" s="7">
        <v>0</v>
      </c>
      <c r="E69" s="8">
        <f>IFERROR(D69/D148, "NA")</f>
        <v>0</v>
      </c>
      <c r="F69" s="7">
        <v>104.25</v>
      </c>
      <c r="G69" s="8">
        <f>IFERROR(F69/F148, "NA")</f>
        <v>3.0271660934167483E-3</v>
      </c>
      <c r="H69" s="7">
        <v>74.040000000000006</v>
      </c>
      <c r="I69" s="8">
        <f>IFERROR(H69/H148, "NA")</f>
        <v>2.5934467481736586E-3</v>
      </c>
      <c r="J69" s="7">
        <v>0</v>
      </c>
      <c r="K69" s="8">
        <f>IFERROR(J69/J148, "NA")</f>
        <v>0</v>
      </c>
      <c r="L69" s="7">
        <v>211.99</v>
      </c>
      <c r="M69" s="8">
        <f>IFERROR(L69/L148, "NA")</f>
        <v>4.6683899416996291E-3</v>
      </c>
      <c r="N69" s="7">
        <v>154.74</v>
      </c>
      <c r="O69" s="8">
        <f>IFERROR(N69/N148, "NA")</f>
        <v>3.8212521280625703E-3</v>
      </c>
      <c r="P69" s="7">
        <v>0</v>
      </c>
      <c r="Q69" s="8">
        <f>IFERROR(P69/P148, "NA")</f>
        <v>0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0</v>
      </c>
      <c r="AC69" s="8">
        <f>IFERROR(AB69/AB148, "NA")</f>
        <v>0</v>
      </c>
      <c r="AD69" s="10">
        <f t="shared" si="25"/>
        <v>0</v>
      </c>
      <c r="AE69" s="11">
        <f>IFERROR(AD69/AD148, "NA")</f>
        <v>0</v>
      </c>
      <c r="AF69" s="10" t="str">
        <f t="shared" si="26"/>
        <v>NA</v>
      </c>
      <c r="AG69" s="9">
        <f t="shared" si="27"/>
        <v>45.841250000000002</v>
      </c>
      <c r="AH69" s="8">
        <f>IFERROR(AG69/AG148, "NA")</f>
        <v>1.4867382204789849E-3</v>
      </c>
      <c r="AI69" s="10">
        <f t="shared" si="28"/>
        <v>-45.841250000000002</v>
      </c>
      <c r="AJ69" s="11">
        <f>IFERROR(AI69/AI148, "NA")</f>
        <v>1.1808523723627801E-2</v>
      </c>
      <c r="AK69" s="10">
        <f t="shared" si="29"/>
        <v>-1</v>
      </c>
      <c r="AL69" s="11">
        <f>IFERROR(AK69/AK148, "NA")</f>
        <v>7.9425708984756112</v>
      </c>
    </row>
    <row r="70" spans="1:38" ht="16.5" customHeight="1">
      <c r="A70" s="26" t="s">
        <v>82</v>
      </c>
      <c r="B70" s="13">
        <f>IFERROR(B65+B66+B67+B68+B69, "NA")</f>
        <v>6623.3499999999995</v>
      </c>
      <c r="C70" s="14">
        <f>IFERROR(B70/B148, "NA")</f>
        <v>0.25382995479743153</v>
      </c>
      <c r="D70" s="13">
        <f>IFERROR(D65+D66+D67+D68+D69, "NA")</f>
        <v>6696.64</v>
      </c>
      <c r="E70" s="14">
        <f>IFERROR(D70/D148, "NA")</f>
        <v>0.26123422153322345</v>
      </c>
      <c r="F70" s="13">
        <f>IFERROR(F65+F66+F67+F68+F69, "NA")</f>
        <v>7379.87</v>
      </c>
      <c r="G70" s="14">
        <f>IFERROR(F70/F148, "NA")</f>
        <v>0.21429345072252717</v>
      </c>
      <c r="H70" s="13">
        <f>IFERROR(H65+H66+H67+H68+H69, "NA")</f>
        <v>6755.9</v>
      </c>
      <c r="I70" s="14">
        <f>IFERROR(H70/H148, "NA")</f>
        <v>0.23664325885989221</v>
      </c>
      <c r="J70" s="13">
        <f>IFERROR(J65+J66+J67+J68+J69, "NA")</f>
        <v>7810.76</v>
      </c>
      <c r="K70" s="14">
        <f>IFERROR(J70/J148, "NA")</f>
        <v>0.22385346447596302</v>
      </c>
      <c r="L70" s="13">
        <f>IFERROR(L65+L66+L67+L68+L69, "NA")</f>
        <v>9849.83</v>
      </c>
      <c r="M70" s="14">
        <f>IFERROR(L70/L148, "NA")</f>
        <v>0.21691045473584253</v>
      </c>
      <c r="N70" s="13">
        <f>IFERROR(N65+N66+N67+N68+N69, "NA")</f>
        <v>9435.0300000000007</v>
      </c>
      <c r="O70" s="14">
        <f>IFERROR(N70/N148, "NA")</f>
        <v>0.23299488474753907</v>
      </c>
      <c r="P70" s="13">
        <f>IFERROR(P65+P66+P67+P68+P69, "NA")</f>
        <v>6382.4</v>
      </c>
      <c r="Q70" s="14">
        <f>IFERROR(P70/P148, "NA")</f>
        <v>0.27574193347699932</v>
      </c>
      <c r="R70" s="13">
        <f>IFERROR(R65+R66+R67+R68+R69, "NA")</f>
        <v>7395.88</v>
      </c>
      <c r="S70" s="14">
        <f>IFERROR(R70/R148, "NA")</f>
        <v>0.29092382400317834</v>
      </c>
      <c r="T70" s="13">
        <f>IFERROR(T65+T66+T67+T68+T69, "NA")</f>
        <v>7264.73</v>
      </c>
      <c r="U70" s="14">
        <f>IFERROR(T70/T148, "NA")</f>
        <v>0.29644154906157355</v>
      </c>
      <c r="V70" s="13">
        <f>IFERROR(V65+V66+V67+V68+V69, "NA")</f>
        <v>6824.05</v>
      </c>
      <c r="W70" s="14">
        <f>IFERROR(V70/V148, "NA")</f>
        <v>0.26403957469200767</v>
      </c>
      <c r="X70" s="13">
        <f>IFERROR(X65+X66+X67+X68+X69, "NA")</f>
        <v>6459.22</v>
      </c>
      <c r="Y70" s="14">
        <f>IFERROR(X70/X148, "NA")</f>
        <v>0.23966185046485544</v>
      </c>
      <c r="Z70" s="13">
        <f>IFERROR(Z65+Z66+Z67+Z68+Z69, "NA")</f>
        <v>6459.22</v>
      </c>
      <c r="AA70" s="14">
        <f>IFERROR(Z70/Z148, "NA")</f>
        <v>0.23966185046485544</v>
      </c>
      <c r="AB70" s="13">
        <f t="shared" si="24"/>
        <v>6985.97</v>
      </c>
      <c r="AC70" s="14">
        <f>IFERROR(AB70/AB148, "NA")</f>
        <v>0.27202690998629442</v>
      </c>
      <c r="AD70" s="15">
        <f t="shared" si="25"/>
        <v>-526.75</v>
      </c>
      <c r="AE70" s="16">
        <f>IFERROR(AD70/AD148, "NA")</f>
        <v>-0.41469275931090582</v>
      </c>
      <c r="AF70" s="15">
        <f t="shared" si="26"/>
        <v>-7.5401125398477237E-2</v>
      </c>
      <c r="AG70" s="13">
        <f t="shared" si="27"/>
        <v>7677.7375000000011</v>
      </c>
      <c r="AH70" s="14">
        <f>IFERROR(AG70/AG148, "NA")</f>
        <v>0.24900686146330589</v>
      </c>
      <c r="AI70" s="15">
        <f t="shared" si="28"/>
        <v>-1218.5175000000008</v>
      </c>
      <c r="AJ70" s="16">
        <f>IFERROR(AI70/AI148, "NA")</f>
        <v>0.31388526286708257</v>
      </c>
      <c r="AK70" s="15">
        <f t="shared" si="29"/>
        <v>-0.15870788757755794</v>
      </c>
      <c r="AL70" s="16">
        <f>IFERROR(AK70/AK148, "NA")</f>
        <v>1.2605486492320506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423</v>
      </c>
      <c r="G72" s="8">
        <f>IFERROR(F72/F148, "NA")</f>
        <v>1.2282889760338461E-2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1159</v>
      </c>
      <c r="O72" s="8">
        <f>IFERROR(N72/N148, "NA")</f>
        <v>2.8621114233065265E-2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293</v>
      </c>
      <c r="W72" s="8">
        <f>IFERROR(V72/V148, "NA")</f>
        <v>1.1336903361604657E-2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73.25</v>
      </c>
      <c r="AC72" s="8">
        <f>IFERROR(AB72/AB148, "NA")</f>
        <v>2.8522841003462752E-3</v>
      </c>
      <c r="AD72" s="10">
        <f t="shared" si="25"/>
        <v>-73.25</v>
      </c>
      <c r="AE72" s="11">
        <f>IFERROR(AD72/AD148, "NA")</f>
        <v>-5.7667289263452964E-2</v>
      </c>
      <c r="AF72" s="10">
        <f t="shared" si="26"/>
        <v>-1</v>
      </c>
      <c r="AG72" s="9">
        <f t="shared" si="27"/>
        <v>181.5</v>
      </c>
      <c r="AH72" s="8">
        <f>IFERROR(AG72/AG148, "NA")</f>
        <v>5.8864665997750004E-3</v>
      </c>
      <c r="AI72" s="10">
        <f t="shared" si="28"/>
        <v>-181.5</v>
      </c>
      <c r="AJ72" s="11">
        <f>IFERROR(AI72/AI148, "NA")</f>
        <v>4.6753678310221598E-2</v>
      </c>
      <c r="AK72" s="10">
        <f t="shared" si="29"/>
        <v>-1</v>
      </c>
      <c r="AL72" s="11">
        <f>IFERROR(AK72/AK148, "NA")</f>
        <v>7.9425708984756112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594.36</v>
      </c>
      <c r="C74" s="8">
        <f>IFERROR(B74/B148, "NA")</f>
        <v>2.2777955556236861E-2</v>
      </c>
      <c r="D74" s="7">
        <v>584.4</v>
      </c>
      <c r="E74" s="8">
        <f>IFERROR(D74/D148, "NA")</f>
        <v>2.2797295220291933E-2</v>
      </c>
      <c r="F74" s="7">
        <v>644.23</v>
      </c>
      <c r="G74" s="8">
        <f>IFERROR(F74/F148, "NA")</f>
        <v>1.8706870142559923E-2</v>
      </c>
      <c r="H74" s="7">
        <v>576.63</v>
      </c>
      <c r="I74" s="8">
        <f>IFERROR(H74/H148, "NA")</f>
        <v>2.0197990253908383E-2</v>
      </c>
      <c r="J74" s="7">
        <v>689.01</v>
      </c>
      <c r="K74" s="8">
        <f>IFERROR(J74/J148, "NA")</f>
        <v>1.9746769271950907E-2</v>
      </c>
      <c r="L74" s="7">
        <v>847.37</v>
      </c>
      <c r="M74" s="8">
        <f>IFERROR(L74/L148, "NA")</f>
        <v>1.866056693663859E-2</v>
      </c>
      <c r="N74" s="7">
        <v>960.79</v>
      </c>
      <c r="O74" s="8">
        <f>IFERROR(N74/N148, "NA")</f>
        <v>2.3726385111291434E-2</v>
      </c>
      <c r="P74" s="7">
        <v>558.29</v>
      </c>
      <c r="Q74" s="8">
        <f>IFERROR(P74/P148, "NA")</f>
        <v>2.4120074586499427E-2</v>
      </c>
      <c r="R74" s="7">
        <v>656.84</v>
      </c>
      <c r="S74" s="8">
        <f>IFERROR(R74/R148, "NA")</f>
        <v>2.5837412797158375E-2</v>
      </c>
      <c r="T74" s="7">
        <v>625.05999999999995</v>
      </c>
      <c r="U74" s="8">
        <f>IFERROR(T74/T148, "NA")</f>
        <v>2.5505938232587743E-2</v>
      </c>
      <c r="V74" s="7">
        <v>599.94000000000005</v>
      </c>
      <c r="W74" s="8">
        <f>IFERROR(V74/V148, "NA")</f>
        <v>2.3213180214201698E-2</v>
      </c>
      <c r="X74" s="7">
        <v>539.61</v>
      </c>
      <c r="Y74" s="8">
        <f>IFERROR(X74/X148, "NA")</f>
        <v>2.0021601854301393E-2</v>
      </c>
      <c r="Z74" s="7">
        <v>539.61</v>
      </c>
      <c r="AA74" s="8">
        <f>IFERROR(Z74/Z148, "NA")</f>
        <v>2.0021601854301393E-2</v>
      </c>
      <c r="AB74" s="9">
        <f t="shared" ref="AB74:AB85" si="30">IFERROR((R74+T74+V74+X74)/4, "NA")</f>
        <v>605.36250000000007</v>
      </c>
      <c r="AC74" s="8">
        <f>IFERROR(AB74/AB148, "NA")</f>
        <v>2.3572229811547742E-2</v>
      </c>
      <c r="AD74" s="10">
        <f t="shared" ref="AD74:AD85" si="31">IFERROR(X74-AB74, "NA")</f>
        <v>-65.752500000000055</v>
      </c>
      <c r="AE74" s="11">
        <f>IFERROR(AD74/AD148, "NA")</f>
        <v>-5.1764756823142584E-2</v>
      </c>
      <c r="AF74" s="10">
        <f t="shared" ref="AF74:AF85" si="32">IFERROR((X74-AB74)/AB74, "NA")</f>
        <v>-0.10861673790497436</v>
      </c>
      <c r="AG74" s="9">
        <f t="shared" ref="AG74:AG85" si="33">IFERROR((J74+L74+N74+P74+R74+T74+V74+X74)/8, "NA")</f>
        <v>684.6137500000001</v>
      </c>
      <c r="AH74" s="8">
        <f>IFERROR(AG74/AG148, "NA")</f>
        <v>2.2203614176979136E-2</v>
      </c>
      <c r="AI74" s="10">
        <f t="shared" ref="AI74:AI85" si="34">IFERROR(X74-AG74, "NA")</f>
        <v>-145.00375000000008</v>
      </c>
      <c r="AJ74" s="11">
        <f>IFERROR(AI74/AI148, "NA")</f>
        <v>3.7352389428516798E-2</v>
      </c>
      <c r="AK74" s="10">
        <f t="shared" ref="AK74:AK85" si="35">IFERROR((X74-AG74)/AG74, "NA")</f>
        <v>-0.21180373604824626</v>
      </c>
      <c r="AL74" s="11">
        <f>IFERROR(AK74/AK148, "NA")</f>
        <v>1.6822661901252105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594.36</v>
      </c>
      <c r="C81" s="14">
        <f>IFERROR(B81/B148, "NA")</f>
        <v>2.2777955556236861E-2</v>
      </c>
      <c r="D81" s="13">
        <f>IFERROR(D74+D75+D76+D77+D78+D79+D80, "NA")</f>
        <v>584.4</v>
      </c>
      <c r="E81" s="14">
        <f>IFERROR(D81/D148, "NA")</f>
        <v>2.2797295220291933E-2</v>
      </c>
      <c r="F81" s="13">
        <f>IFERROR(F74+F75+F76+F77+F78+F79+F80, "NA")</f>
        <v>644.23</v>
      </c>
      <c r="G81" s="14">
        <f>IFERROR(F81/F148, "NA")</f>
        <v>1.8706870142559923E-2</v>
      </c>
      <c r="H81" s="13">
        <f>IFERROR(H74+H75+H76+H77+H78+H79+H80, "NA")</f>
        <v>576.63</v>
      </c>
      <c r="I81" s="14">
        <f>IFERROR(H81/H148, "NA")</f>
        <v>2.0197990253908383E-2</v>
      </c>
      <c r="J81" s="13">
        <f>IFERROR(J74+J75+J76+J77+J78+J79+J80, "NA")</f>
        <v>689.01</v>
      </c>
      <c r="K81" s="14">
        <f>IFERROR(J81/J148, "NA")</f>
        <v>1.9746769271950907E-2</v>
      </c>
      <c r="L81" s="13">
        <f>IFERROR(L74+L75+L76+L77+L78+L79+L80, "NA")</f>
        <v>847.37</v>
      </c>
      <c r="M81" s="14">
        <f>IFERROR(L81/L148, "NA")</f>
        <v>1.866056693663859E-2</v>
      </c>
      <c r="N81" s="13">
        <f>IFERROR(N74+N75+N76+N77+N78+N79+N80, "NA")</f>
        <v>960.79</v>
      </c>
      <c r="O81" s="14">
        <f>IFERROR(N81/N148, "NA")</f>
        <v>2.3726385111291434E-2</v>
      </c>
      <c r="P81" s="13">
        <f>IFERROR(P74+P75+P76+P77+P78+P79+P80, "NA")</f>
        <v>558.29</v>
      </c>
      <c r="Q81" s="14">
        <f>IFERROR(P81/P148, "NA")</f>
        <v>2.4120074586499427E-2</v>
      </c>
      <c r="R81" s="13">
        <f>IFERROR(R74+R75+R76+R77+R78+R79+R80, "NA")</f>
        <v>656.84</v>
      </c>
      <c r="S81" s="14">
        <f>IFERROR(R81/R148, "NA")</f>
        <v>2.5837412797158375E-2</v>
      </c>
      <c r="T81" s="13">
        <f>IFERROR(T74+T75+T76+T77+T78+T79+T80, "NA")</f>
        <v>625.05999999999995</v>
      </c>
      <c r="U81" s="14">
        <f>IFERROR(T81/T148, "NA")</f>
        <v>2.5505938232587743E-2</v>
      </c>
      <c r="V81" s="13">
        <f>IFERROR(V74+V75+V76+V77+V78+V79+V80, "NA")</f>
        <v>599.94000000000005</v>
      </c>
      <c r="W81" s="14">
        <f>IFERROR(V81/V148, "NA")</f>
        <v>2.3213180214201698E-2</v>
      </c>
      <c r="X81" s="13">
        <f>IFERROR(X74+X75+X76+X77+X78+X79+X80, "NA")</f>
        <v>539.61</v>
      </c>
      <c r="Y81" s="14">
        <f>IFERROR(X81/X148, "NA")</f>
        <v>2.0021601854301393E-2</v>
      </c>
      <c r="Z81" s="13">
        <f>IFERROR(Z74+Z75+Z76+Z77+Z78+Z79+Z80, "NA")</f>
        <v>539.61</v>
      </c>
      <c r="AA81" s="14">
        <f>IFERROR(Z81/Z148, "NA")</f>
        <v>2.0021601854301393E-2</v>
      </c>
      <c r="AB81" s="13">
        <f t="shared" si="30"/>
        <v>605.36250000000007</v>
      </c>
      <c r="AC81" s="14">
        <f>IFERROR(AB81/AB148, "NA")</f>
        <v>2.3572229811547742E-2</v>
      </c>
      <c r="AD81" s="15">
        <f t="shared" si="31"/>
        <v>-65.752500000000055</v>
      </c>
      <c r="AE81" s="16">
        <f>IFERROR(AD81/AD148, "NA")</f>
        <v>-5.1764756823142584E-2</v>
      </c>
      <c r="AF81" s="15">
        <f t="shared" si="32"/>
        <v>-0.10861673790497436</v>
      </c>
      <c r="AG81" s="13">
        <f t="shared" si="33"/>
        <v>684.6137500000001</v>
      </c>
      <c r="AH81" s="14">
        <f>IFERROR(AG81/AG148, "NA")</f>
        <v>2.2203614176979136E-2</v>
      </c>
      <c r="AI81" s="15">
        <f t="shared" si="34"/>
        <v>-145.00375000000008</v>
      </c>
      <c r="AJ81" s="16">
        <f>IFERROR(AI81/AI148, "NA")</f>
        <v>3.7352389428516798E-2</v>
      </c>
      <c r="AK81" s="15">
        <f t="shared" si="35"/>
        <v>-0.21180373604824626</v>
      </c>
      <c r="AL81" s="16">
        <f>IFERROR(AK81/AK148, "NA")</f>
        <v>1.6822661901252105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260</v>
      </c>
      <c r="I82" s="8">
        <f>IFERROR(H82/H148, "NA")</f>
        <v>9.1071873922899949E-3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308</v>
      </c>
      <c r="Q82" s="8">
        <f>IFERROR(P82/P148, "NA")</f>
        <v>1.3306673901810572E-2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0</v>
      </c>
      <c r="AA82" s="8">
        <f>IFERROR(Z82/Z148, "NA")</f>
        <v>0</v>
      </c>
      <c r="AB82" s="9">
        <f t="shared" si="30"/>
        <v>0</v>
      </c>
      <c r="AC82" s="8">
        <f>IFERROR(AB82/AB148, "NA")</f>
        <v>0</v>
      </c>
      <c r="AD82" s="10">
        <f t="shared" si="31"/>
        <v>0</v>
      </c>
      <c r="AE82" s="11">
        <f>IFERROR(AD82/AD148, "NA")</f>
        <v>0</v>
      </c>
      <c r="AF82" s="10" t="str">
        <f t="shared" si="32"/>
        <v>NA</v>
      </c>
      <c r="AG82" s="9">
        <f t="shared" si="33"/>
        <v>38.5</v>
      </c>
      <c r="AH82" s="8">
        <f>IFERROR(AG82/AG148, "NA")</f>
        <v>1.2486444302553031E-3</v>
      </c>
      <c r="AI82" s="10">
        <f t="shared" si="34"/>
        <v>-38.5</v>
      </c>
      <c r="AJ82" s="11">
        <f>IFERROR(AI82/AI148, "NA")</f>
        <v>9.9174469142894288E-3</v>
      </c>
      <c r="AK82" s="10">
        <f t="shared" si="35"/>
        <v>-1</v>
      </c>
      <c r="AL82" s="11">
        <f>IFERROR(AK82/AK148, "NA")</f>
        <v>7.9425708984756112</v>
      </c>
    </row>
    <row r="83" spans="1:38" ht="16.5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7.2</v>
      </c>
      <c r="M83" s="8">
        <f>IFERROR(L83/L148, "NA")</f>
        <v>1.5855657144316868E-4</v>
      </c>
      <c r="N83" s="7">
        <v>0</v>
      </c>
      <c r="O83" s="8">
        <f>IFERROR(N83/N148, "NA")</f>
        <v>0</v>
      </c>
      <c r="P83" s="7">
        <v>-6.64</v>
      </c>
      <c r="Q83" s="8">
        <f>IFERROR(P83/P148, "NA")</f>
        <v>-2.8687115164942274E-4</v>
      </c>
      <c r="R83" s="7">
        <v>-1.66</v>
      </c>
      <c r="S83" s="8">
        <f>IFERROR(R83/R148, "NA")</f>
        <v>-6.5297645154501703E-5</v>
      </c>
      <c r="T83" s="7">
        <v>5.54</v>
      </c>
      <c r="U83" s="8">
        <f>IFERROR(T83/T148, "NA")</f>
        <v>2.2606293445195041E-4</v>
      </c>
      <c r="V83" s="7">
        <v>-1.66</v>
      </c>
      <c r="W83" s="8">
        <f>IFERROR(V83/V148, "NA")</f>
        <v>-6.4229554881446168E-5</v>
      </c>
      <c r="X83" s="7">
        <v>-1.66</v>
      </c>
      <c r="Y83" s="8">
        <f>IFERROR(X83/X148, "NA")</f>
        <v>-6.1592370560479439E-5</v>
      </c>
      <c r="Z83" s="7">
        <v>-1.66</v>
      </c>
      <c r="AA83" s="8">
        <f>IFERROR(Z83/Z148, "NA")</f>
        <v>-6.1592370560479439E-5</v>
      </c>
      <c r="AB83" s="9">
        <f t="shared" si="30"/>
        <v>0.13999999999999996</v>
      </c>
      <c r="AC83" s="8">
        <f>IFERROR(AB83/AB148, "NA")</f>
        <v>5.4514644921293976E-6</v>
      </c>
      <c r="AD83" s="10">
        <f t="shared" si="31"/>
        <v>-1.7999999999999998</v>
      </c>
      <c r="AE83" s="11">
        <f>IFERROR(AD83/AD148, "NA")</f>
        <v>-1.4170801457230762E-3</v>
      </c>
      <c r="AF83" s="10">
        <f t="shared" si="32"/>
        <v>-12.857142857142859</v>
      </c>
      <c r="AG83" s="9">
        <f t="shared" si="33"/>
        <v>0.14000000000000004</v>
      </c>
      <c r="AH83" s="8">
        <f>IFERROR(AG83/AG148, "NA")</f>
        <v>4.5405252009283768E-6</v>
      </c>
      <c r="AI83" s="10">
        <f t="shared" si="34"/>
        <v>-1.8</v>
      </c>
      <c r="AJ83" s="11">
        <f>IFERROR(AI83/AI148, "NA")</f>
        <v>4.6367284274599933E-4</v>
      </c>
      <c r="AK83" s="10">
        <f t="shared" si="35"/>
        <v>-12.857142857142854</v>
      </c>
      <c r="AL83" s="11">
        <f>IFERROR(AK83/AK148, "NA")</f>
        <v>102.11876869468639</v>
      </c>
    </row>
    <row r="84" spans="1:38" ht="16.5" customHeight="1">
      <c r="A84" s="27" t="s">
        <v>96</v>
      </c>
      <c r="B84" s="13">
        <f>IFERROR(B63+B65+B66+B67+B68+B69+B71+B72+B74+B75+B76+B77+B78+B79+B80+B82+B83, "NA")</f>
        <v>7217.7099999999991</v>
      </c>
      <c r="C84" s="14">
        <f>IFERROR(B84/B148, "NA")</f>
        <v>0.27660791035366838</v>
      </c>
      <c r="D84" s="13">
        <f>IFERROR(D63+D65+D66+D67+D68+D69+D71+D72+D74+D75+D76+D77+D78+D79+D80+D82+D83, "NA")</f>
        <v>7281.04</v>
      </c>
      <c r="E84" s="14">
        <f>IFERROR(D84/D148, "NA")</f>
        <v>0.2840315167535154</v>
      </c>
      <c r="F84" s="13">
        <f>IFERROR(F63+F65+F66+F67+F68+F69+F71+F72+F74+F75+F76+F77+F78+F79+F80+F82+F83, "NA")</f>
        <v>8447.1</v>
      </c>
      <c r="G84" s="14">
        <f>IFERROR(F84/F148, "NA")</f>
        <v>0.24528321062542557</v>
      </c>
      <c r="H84" s="13">
        <f>IFERROR(H63+H65+H66+H67+H68+H69+H71+H72+H74+H75+H76+H77+H78+H79+H80+H82+H83, "NA")</f>
        <v>7592.53</v>
      </c>
      <c r="I84" s="14">
        <f>IFERROR(H84/H148, "NA")</f>
        <v>0.26594843650609057</v>
      </c>
      <c r="J84" s="13">
        <f>IFERROR(J63+J65+J66+J67+J68+J69+J71+J72+J74+J75+J76+J77+J78+J79+J80+J82+J83, "NA")</f>
        <v>8499.77</v>
      </c>
      <c r="K84" s="14">
        <f>IFERROR(J84/J148, "NA")</f>
        <v>0.24360023374791395</v>
      </c>
      <c r="L84" s="13">
        <f>IFERROR(L63+L65+L66+L67+L68+L69+L71+L72+L74+L75+L76+L77+L78+L79+L80+L82+L83, "NA")</f>
        <v>10704.400000000001</v>
      </c>
      <c r="M84" s="14">
        <f>IFERROR(L84/L148, "NA")</f>
        <v>0.23572957824392432</v>
      </c>
      <c r="N84" s="13">
        <f>IFERROR(N63+N65+N66+N67+N68+N69+N71+N72+N74+N75+N76+N77+N78+N79+N80+N82+N83, "NA")</f>
        <v>11554.82</v>
      </c>
      <c r="O84" s="14">
        <f>IFERROR(N84/N148, "NA")</f>
        <v>0.28534238409189572</v>
      </c>
      <c r="P84" s="13">
        <f>IFERROR(P63+P65+P66+P67+P68+P69+P71+P72+P74+P75+P76+P77+P78+P79+P80+P82+P83, "NA")</f>
        <v>7242.0499999999993</v>
      </c>
      <c r="Q84" s="14">
        <f>IFERROR(P84/P148, "NA")</f>
        <v>0.3128818108136599</v>
      </c>
      <c r="R84" s="13">
        <f>IFERROR(R63+R65+R66+R67+R68+R69+R71+R72+R74+R75+R76+R77+R78+R79+R80+R82+R83, "NA")</f>
        <v>8051.06</v>
      </c>
      <c r="S84" s="14">
        <f>IFERROR(R84/R148, "NA")</f>
        <v>0.31669593915518224</v>
      </c>
      <c r="T84" s="13">
        <f>IFERROR(T63+T65+T66+T67+T68+T69+T71+T72+T74+T75+T76+T77+T78+T79+T80+T82+T83, "NA")</f>
        <v>7895.329999999999</v>
      </c>
      <c r="U84" s="14">
        <f>IFERROR(T84/T148, "NA")</f>
        <v>0.32217355022861321</v>
      </c>
      <c r="V84" s="13">
        <f>IFERROR(V63+V65+V66+V67+V68+V69+V71+V72+V74+V75+V76+V77+V78+V79+V80+V82+V83, "NA")</f>
        <v>7715.33</v>
      </c>
      <c r="W84" s="14">
        <f>IFERROR(V84/V148, "NA")</f>
        <v>0.29852542871293258</v>
      </c>
      <c r="X84" s="13">
        <f>IFERROR(X63+X65+X66+X67+X68+X69+X71+X72+X74+X75+X76+X77+X78+X79+X80+X82+X83, "NA")</f>
        <v>6997.17</v>
      </c>
      <c r="Y84" s="14">
        <f>IFERROR(X84/X148, "NA")</f>
        <v>0.25962185994859638</v>
      </c>
      <c r="Z84" s="13">
        <f>IFERROR(Z63+Z65+Z66+Z67+Z68+Z69+Z71+Z72+Z74+Z75+Z76+Z77+Z78+Z79+Z80+Z82+Z83, "NA")</f>
        <v>6997.17</v>
      </c>
      <c r="AA84" s="14">
        <f>IFERROR(Z84/Z148, "NA")</f>
        <v>0.25962185994859638</v>
      </c>
      <c r="AB84" s="13">
        <f t="shared" si="30"/>
        <v>7664.7224999999999</v>
      </c>
      <c r="AC84" s="14">
        <f>IFERROR(AB84/AB148, "NA")</f>
        <v>0.29845687536268056</v>
      </c>
      <c r="AD84" s="15">
        <f t="shared" si="31"/>
        <v>-667.55249999999978</v>
      </c>
      <c r="AE84" s="16">
        <f>IFERROR(AD84/AD148, "NA")</f>
        <v>-0.52554188554322423</v>
      </c>
      <c r="AF84" s="157">
        <f>+Y84-AC84</f>
        <v>-3.8835015414084184E-2</v>
      </c>
      <c r="AG84" s="13">
        <f t="shared" si="33"/>
        <v>8582.4912500000009</v>
      </c>
      <c r="AH84" s="14">
        <f>IFERROR(AG84/AG148, "NA")</f>
        <v>0.27835012719551627</v>
      </c>
      <c r="AI84" s="15">
        <f t="shared" si="34"/>
        <v>-1585.3212500000009</v>
      </c>
      <c r="AJ84" s="16">
        <f>IFERROR(AI84/AI148, "NA")</f>
        <v>0.40837245036285635</v>
      </c>
      <c r="AK84" s="15">
        <f t="shared" si="35"/>
        <v>-0.18471574322898385</v>
      </c>
      <c r="AL84" s="16">
        <f>IFERROR(AK84/AK148, "NA")</f>
        <v>1.4671178866608205</v>
      </c>
    </row>
    <row r="85" spans="1:38" ht="16.5" customHeight="1">
      <c r="A85" s="12" t="s">
        <v>96</v>
      </c>
      <c r="B85" s="28">
        <f>IFERROR(B63+B65+B66+B67+B68+B69+B71+B72+B74+B75+B76+B77+B78+B79+B80+B82+B83, "NA")</f>
        <v>7217.7099999999991</v>
      </c>
      <c r="C85" s="29">
        <f>IFERROR(B85/B148, "NA")</f>
        <v>0.27660791035366838</v>
      </c>
      <c r="D85" s="28">
        <f>IFERROR(D63+D65+D66+D67+D68+D69+D71+D72+D74+D75+D76+D77+D78+D79+D80+D82+D83, "NA")</f>
        <v>7281.04</v>
      </c>
      <c r="E85" s="29">
        <f>IFERROR(D85/D148, "NA")</f>
        <v>0.2840315167535154</v>
      </c>
      <c r="F85" s="28">
        <f>IFERROR(F63+F65+F66+F67+F68+F69+F71+F72+F74+F75+F76+F77+F78+F79+F80+F82+F83, "NA")</f>
        <v>8447.1</v>
      </c>
      <c r="G85" s="29">
        <f>IFERROR(F85/F148, "NA")</f>
        <v>0.24528321062542557</v>
      </c>
      <c r="H85" s="28">
        <f>IFERROR(H63+H65+H66+H67+H68+H69+H71+H72+H74+H75+H76+H77+H78+H79+H80+H82+H83, "NA")</f>
        <v>7592.53</v>
      </c>
      <c r="I85" s="29">
        <f>IFERROR(H85/H148, "NA")</f>
        <v>0.26594843650609057</v>
      </c>
      <c r="J85" s="28">
        <f>IFERROR(J63+J65+J66+J67+J68+J69+J71+J72+J74+J75+J76+J77+J78+J79+J80+J82+J83, "NA")</f>
        <v>8499.77</v>
      </c>
      <c r="K85" s="29">
        <f>IFERROR(J85/J148, "NA")</f>
        <v>0.24360023374791395</v>
      </c>
      <c r="L85" s="28">
        <f>IFERROR(L63+L65+L66+L67+L68+L69+L71+L72+L74+L75+L76+L77+L78+L79+L80+L82+L83, "NA")</f>
        <v>10704.400000000001</v>
      </c>
      <c r="M85" s="29">
        <f>IFERROR(L85/L148, "NA")</f>
        <v>0.23572957824392432</v>
      </c>
      <c r="N85" s="28">
        <f>IFERROR(N63+N65+N66+N67+N68+N69+N71+N72+N74+N75+N76+N77+N78+N79+N80+N82+N83, "NA")</f>
        <v>11554.82</v>
      </c>
      <c r="O85" s="29">
        <f>IFERROR(N85/N148, "NA")</f>
        <v>0.28534238409189572</v>
      </c>
      <c r="P85" s="28">
        <f>IFERROR(P63+P65+P66+P67+P68+P69+P71+P72+P74+P75+P76+P77+P78+P79+P80+P82+P83, "NA")</f>
        <v>7242.0499999999993</v>
      </c>
      <c r="Q85" s="29">
        <f>IFERROR(P85/P148, "NA")</f>
        <v>0.3128818108136599</v>
      </c>
      <c r="R85" s="28">
        <f>IFERROR(R63+R65+R66+R67+R68+R69+R71+R72+R74+R75+R76+R77+R78+R79+R80+R82+R83, "NA")</f>
        <v>8051.06</v>
      </c>
      <c r="S85" s="29">
        <f>IFERROR(R85/R148, "NA")</f>
        <v>0.31669593915518224</v>
      </c>
      <c r="T85" s="28">
        <f>IFERROR(T63+T65+T66+T67+T68+T69+T71+T72+T74+T75+T76+T77+T78+T79+T80+T82+T83, "NA")</f>
        <v>7895.329999999999</v>
      </c>
      <c r="U85" s="29">
        <f>IFERROR(T85/T148, "NA")</f>
        <v>0.32217355022861321</v>
      </c>
      <c r="V85" s="28">
        <f>IFERROR(V63+V65+V66+V67+V68+V69+V71+V72+V74+V75+V76+V77+V78+V79+V80+V82+V83, "NA")</f>
        <v>7715.33</v>
      </c>
      <c r="W85" s="29">
        <f>IFERROR(V85/V148, "NA")</f>
        <v>0.29852542871293258</v>
      </c>
      <c r="X85" s="28">
        <f>IFERROR(X63+X65+X66+X67+X68+X69+X71+X72+X74+X75+X76+X77+X78+X79+X80+X82+X83, "NA")</f>
        <v>6997.17</v>
      </c>
      <c r="Y85" s="29">
        <f>IFERROR(X85/X148, "NA")</f>
        <v>0.25962185994859638</v>
      </c>
      <c r="Z85" s="28">
        <f>IFERROR(Z63+Z65+Z66+Z67+Z68+Z69+Z71+Z72+Z74+Z75+Z76+Z77+Z78+Z79+Z80+Z82+Z83, "NA")</f>
        <v>6997.17</v>
      </c>
      <c r="AA85" s="29">
        <f>IFERROR(Z85/Z148, "NA")</f>
        <v>0.25962185994859638</v>
      </c>
      <c r="AB85" s="28">
        <f t="shared" si="30"/>
        <v>7664.7224999999999</v>
      </c>
      <c r="AC85" s="29">
        <f>IFERROR(AB85/AB148, "NA")</f>
        <v>0.29845687536268056</v>
      </c>
      <c r="AD85" s="30">
        <f t="shared" si="31"/>
        <v>-667.55249999999978</v>
      </c>
      <c r="AE85" s="31">
        <f>IFERROR(AD85/AD148, "NA")</f>
        <v>-0.52554188554322423</v>
      </c>
      <c r="AF85" s="158">
        <f t="shared" si="32"/>
        <v>-8.7094151158114308E-2</v>
      </c>
      <c r="AG85" s="28">
        <f t="shared" si="33"/>
        <v>8582.4912500000009</v>
      </c>
      <c r="AH85" s="29">
        <f>IFERROR(AG85/AG148, "NA")</f>
        <v>0.27835012719551627</v>
      </c>
      <c r="AI85" s="30">
        <f t="shared" si="34"/>
        <v>-1585.3212500000009</v>
      </c>
      <c r="AJ85" s="31">
        <f>IFERROR(AI85/AI148, "NA")</f>
        <v>0.40837245036285635</v>
      </c>
      <c r="AK85" s="30">
        <f t="shared" si="35"/>
        <v>-0.18471574322898385</v>
      </c>
      <c r="AL85" s="31">
        <f>IFERROR(AK85/AK148, "NA")</f>
        <v>1.4671178866608205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12082.529999999999</v>
      </c>
      <c r="C87" s="34">
        <f>IFERROR(B87/B148, "NA")</f>
        <v>0.4630448404113644</v>
      </c>
      <c r="D87" s="33">
        <f>IFERROR(D59-D85, "NA")</f>
        <v>11748.929999999993</v>
      </c>
      <c r="E87" s="34">
        <f>IFERROR(D87/D148, "NA")</f>
        <v>0.45832276819394996</v>
      </c>
      <c r="F87" s="33">
        <f>IFERROR(F59-F85, "NA")</f>
        <v>17310.489999999998</v>
      </c>
      <c r="G87" s="34">
        <f>IFERROR(F87/F148, "NA")</f>
        <v>0.50265446895376198</v>
      </c>
      <c r="H87" s="33">
        <f>IFERROR(H59-H85, "NA")</f>
        <v>13596.520000000004</v>
      </c>
      <c r="I87" s="34">
        <f>IFERROR(H87/H148, "NA")</f>
        <v>0.47625405970391843</v>
      </c>
      <c r="J87" s="33">
        <f>IFERROR(J59-J85, "NA")</f>
        <v>18477.399999999991</v>
      </c>
      <c r="K87" s="34">
        <f>IFERROR(J87/J148, "NA")</f>
        <v>0.5295553831519797</v>
      </c>
      <c r="L87" s="33">
        <f>IFERROR(L59-L85, "NA")</f>
        <v>23472.279999999992</v>
      </c>
      <c r="M87" s="34">
        <f>IFERROR(L87/L148, "NA")</f>
        <v>0.51690058899361924</v>
      </c>
      <c r="N87" s="33">
        <f>IFERROR(N59-N85, "NA")</f>
        <v>19050.689999999995</v>
      </c>
      <c r="O87" s="34">
        <f>IFERROR(N87/N148, "NA")</f>
        <v>0.47045036644410176</v>
      </c>
      <c r="P87" s="33">
        <f>IFERROR(P59-P85, "NA")</f>
        <v>10482.869999999999</v>
      </c>
      <c r="Q87" s="34">
        <f>IFERROR(P87/P148, "NA")</f>
        <v>0.45289653456192525</v>
      </c>
      <c r="R87" s="33">
        <f>IFERROR(R59-R85, "NA")</f>
        <v>10752.890000000007</v>
      </c>
      <c r="S87" s="34">
        <f>IFERROR(R87/R148, "NA")</f>
        <v>0.42297493711168088</v>
      </c>
      <c r="T87" s="33">
        <f>IFERROR(T59-T85, "NA")</f>
        <v>10472.700000000004</v>
      </c>
      <c r="U87" s="34">
        <f>IFERROR(T87/T148, "NA")</f>
        <v>0.42734463784024224</v>
      </c>
      <c r="V87" s="33">
        <f>IFERROR(V59-V85, "NA")</f>
        <v>12190.289999999995</v>
      </c>
      <c r="W87" s="34">
        <f>IFERROR(V87/V148, "NA")</f>
        <v>0.47167283167213503</v>
      </c>
      <c r="X87" s="33">
        <f>IFERROR(X59-X85, "NA")</f>
        <v>13891.099999999997</v>
      </c>
      <c r="Y87" s="34">
        <f>IFERROR(X87/X148, "NA")</f>
        <v>0.51541311969438297</v>
      </c>
      <c r="Z87" s="33">
        <f>IFERROR(Z59-Z85, "NA")</f>
        <v>13891.099999999997</v>
      </c>
      <c r="AA87" s="34">
        <f>IFERROR(Z87/Z148, "NA")</f>
        <v>0.51541311969438297</v>
      </c>
      <c r="AB87" s="33">
        <f>IFERROR((R87+T87+V87+X87)/4, "NA")</f>
        <v>11826.745000000001</v>
      </c>
      <c r="AC87" s="34">
        <f>IFERROR(AB87/AB148, "NA")</f>
        <v>0.46052200303549229</v>
      </c>
      <c r="AD87" s="15">
        <f>IFERROR(X87-AB87, "NA")</f>
        <v>2064.3549999999959</v>
      </c>
      <c r="AE87" s="16">
        <f>IFERROR(AD87/AD148, "NA")</f>
        <v>1.6251980467911975</v>
      </c>
      <c r="AF87" s="15">
        <f>IFERROR((X87-AB87)/AB87, "NA")</f>
        <v>0.17454971761038188</v>
      </c>
      <c r="AG87" s="33">
        <f>IFERROR((J87+L87+N87+P87+R87+T87+V87+X87)/8, "NA")</f>
        <v>14848.777499999997</v>
      </c>
      <c r="AH87" s="34">
        <f>IFERROR(AG87/AG148, "NA")</f>
        <v>0.48158034601234445</v>
      </c>
      <c r="AI87" s="15">
        <f>IFERROR(X87-AG87, "NA")</f>
        <v>-957.67749999999978</v>
      </c>
      <c r="AJ87" s="16">
        <f>IFERROR(AI87/AI148, "NA")</f>
        <v>0.24669391603271201</v>
      </c>
      <c r="AK87" s="15">
        <f>IFERROR((X87-AG87)/AG87, "NA")</f>
        <v>-6.449537680795607E-2</v>
      </c>
      <c r="AL87" s="16">
        <f>IFERROR(AK87/AK148, "NA")</f>
        <v>0.51225910292109067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847.94999999999993</v>
      </c>
      <c r="C90" s="8">
        <f>IFERROR(B90/B148, "NA")</f>
        <v>3.2496411962297335E-2</v>
      </c>
      <c r="D90" s="7">
        <v>286.53999999999996</v>
      </c>
      <c r="E90" s="8">
        <f>IFERROR(D90/D148, "NA")</f>
        <v>1.1177852451099334E-2</v>
      </c>
      <c r="F90" s="7">
        <v>919.49000000000012</v>
      </c>
      <c r="G90" s="8">
        <f>IFERROR(F90/F148, "NA")</f>
        <v>2.669975013175795E-2</v>
      </c>
      <c r="H90" s="7">
        <v>881.83</v>
      </c>
      <c r="I90" s="8">
        <f>IFERROR(H90/H148, "NA")</f>
        <v>3.088842714670418E-2</v>
      </c>
      <c r="J90" s="7">
        <v>995.46</v>
      </c>
      <c r="K90" s="8">
        <f>IFERROR(J90/J148, "NA")</f>
        <v>2.8529511820519663E-2</v>
      </c>
      <c r="L90" s="7">
        <v>329.59000000000003</v>
      </c>
      <c r="M90" s="8">
        <f>IFERROR(L90/L148, "NA")</f>
        <v>7.2581472752713851E-3</v>
      </c>
      <c r="N90" s="7">
        <v>885.85</v>
      </c>
      <c r="O90" s="8">
        <f>IFERROR(N90/N148, "NA")</f>
        <v>2.1875767077964507E-2</v>
      </c>
      <c r="P90" s="7">
        <v>544.99</v>
      </c>
      <c r="Q90" s="8">
        <f>IFERROR(P90/P148, "NA")</f>
        <v>2.3545468213466703E-2</v>
      </c>
      <c r="R90" s="7">
        <v>797.51</v>
      </c>
      <c r="S90" s="8">
        <f>IFERROR(R90/R148, "NA")</f>
        <v>3.1370798185040155E-2</v>
      </c>
      <c r="T90" s="7">
        <v>548.75</v>
      </c>
      <c r="U90" s="8">
        <f>IFERROR(T90/T148, "NA")</f>
        <v>2.2392064130055556E-2</v>
      </c>
      <c r="V90" s="7">
        <v>396.12</v>
      </c>
      <c r="W90" s="8">
        <f>IFERROR(V90/V148, "NA")</f>
        <v>1.5326874264842446E-2</v>
      </c>
      <c r="X90" s="7">
        <v>559.89</v>
      </c>
      <c r="Y90" s="8">
        <f>IFERROR(X90/X148, "NA")</f>
        <v>2.0774067682594478E-2</v>
      </c>
      <c r="Z90" s="7">
        <v>559.89</v>
      </c>
      <c r="AA90" s="8">
        <f>IFERROR(Z90/Z148, "NA")</f>
        <v>2.0774067682594478E-2</v>
      </c>
      <c r="AB90" s="9">
        <f t="shared" ref="AB90:AB99" si="36">IFERROR((R90+T90+V90+X90)/4, "NA")</f>
        <v>575.5675</v>
      </c>
      <c r="AC90" s="8">
        <f>IFERROR(AB90/AB148, "NA")</f>
        <v>2.2412041350526345E-2</v>
      </c>
      <c r="AD90" s="10">
        <f t="shared" ref="AD90:AD99" si="37">IFERROR(X90-AB90, "NA")</f>
        <v>-15.677500000000009</v>
      </c>
      <c r="AE90" s="11">
        <f>IFERROR(AD90/AD148, "NA")</f>
        <v>-1.2342374435874189E-2</v>
      </c>
      <c r="AF90" s="10">
        <f t="shared" ref="AF90:AF99" si="38">IFERROR((X90-AB90)/AB90, "NA")</f>
        <v>-2.7238334339586598E-2</v>
      </c>
      <c r="AG90" s="9">
        <f t="shared" ref="AG90:AG99" si="39">IFERROR((J90+L90+N90+P90+R90+T90+V90+X90)/8, "NA")</f>
        <v>632.2700000000001</v>
      </c>
      <c r="AH90" s="8">
        <f>IFERROR(AG90/AG148, "NA")</f>
        <v>2.0505984777078459E-2</v>
      </c>
      <c r="AI90" s="10">
        <f t="shared" ref="AI90:AI99" si="40">IFERROR(X90-AG90, "NA")</f>
        <v>-72.380000000000109</v>
      </c>
      <c r="AJ90" s="11">
        <f>IFERROR(AI90/AI148, "NA")</f>
        <v>1.8644800198864157E-2</v>
      </c>
      <c r="AK90" s="10">
        <f t="shared" ref="AK90:AK99" si="41">IFERROR((X90-AG90)/AG90, "NA")</f>
        <v>-0.11447641039429374</v>
      </c>
      <c r="AL90" s="11">
        <f>IFERROR(AK90/AK148, "NA")</f>
        <v>0.90923700575966837</v>
      </c>
    </row>
    <row r="91" spans="1:38" ht="16.5" hidden="1" customHeight="1">
      <c r="A91" s="6" t="s">
        <v>100</v>
      </c>
      <c r="B91" s="7">
        <v>556.41</v>
      </c>
      <c r="C91" s="8">
        <f>IFERROR(B91/B148, "NA")</f>
        <v>2.1323578725092118E-2</v>
      </c>
      <c r="D91" s="7">
        <v>1264.3</v>
      </c>
      <c r="E91" s="8">
        <f>IFERROR(D91/D148, "NA")</f>
        <v>4.9320021127678117E-2</v>
      </c>
      <c r="F91" s="7">
        <v>2682.9900000000002</v>
      </c>
      <c r="G91" s="8">
        <f>IFERROR(F91/F148, "NA")</f>
        <v>7.7907495030946794E-2</v>
      </c>
      <c r="H91" s="7">
        <v>2161.8200000000002</v>
      </c>
      <c r="I91" s="8">
        <f>IFERROR(H91/H148, "NA")</f>
        <v>7.5723460955385999E-2</v>
      </c>
      <c r="J91" s="7">
        <v>3066.11</v>
      </c>
      <c r="K91" s="8">
        <f>IFERROR(J91/J148, "NA")</f>
        <v>8.7873567484392678E-2</v>
      </c>
      <c r="L91" s="7">
        <v>3212.94</v>
      </c>
      <c r="M91" s="8">
        <f>IFERROR(L91/L148, "NA")</f>
        <v>7.0754548701752004E-2</v>
      </c>
      <c r="N91" s="7">
        <v>766.46</v>
      </c>
      <c r="O91" s="8">
        <f>IFERROR(N91/N148, "NA")</f>
        <v>1.892747128134185E-2</v>
      </c>
      <c r="P91" s="7">
        <v>717.99</v>
      </c>
      <c r="Q91" s="8">
        <f>IFERROR(P91/P148, "NA")</f>
        <v>3.1019671411561599E-2</v>
      </c>
      <c r="R91" s="7">
        <v>318.69</v>
      </c>
      <c r="S91" s="8">
        <f>IFERROR(R91/R148, "NA")</f>
        <v>1.2535967791739848E-2</v>
      </c>
      <c r="T91" s="7">
        <v>1767.0700000000002</v>
      </c>
      <c r="U91" s="8">
        <f>IFERROR(T91/T148, "NA")</f>
        <v>7.210632302924333E-2</v>
      </c>
      <c r="V91" s="7">
        <v>1497.21</v>
      </c>
      <c r="W91" s="8">
        <f>IFERROR(V91/V148, "NA")</f>
        <v>5.7930802327740977E-2</v>
      </c>
      <c r="X91" s="7">
        <v>1261.99</v>
      </c>
      <c r="Y91" s="8">
        <f>IFERROR(X91/X148, "NA")</f>
        <v>4.6824672122662322E-2</v>
      </c>
      <c r="Z91" s="7">
        <v>1261.99</v>
      </c>
      <c r="AA91" s="8">
        <f>IFERROR(Z91/Z148, "NA")</f>
        <v>4.6824672122662322E-2</v>
      </c>
      <c r="AB91" s="9">
        <f t="shared" si="36"/>
        <v>1211.24</v>
      </c>
      <c r="AC91" s="8">
        <f>IFERROR(AB91/AB148, "NA")</f>
        <v>4.7164513224620098E-2</v>
      </c>
      <c r="AD91" s="10">
        <f t="shared" si="37"/>
        <v>50.75</v>
      </c>
      <c r="AE91" s="11">
        <f>IFERROR(AD91/AD148, "NA")</f>
        <v>3.9953787441914509E-2</v>
      </c>
      <c r="AF91" s="10">
        <f t="shared" si="38"/>
        <v>4.1899210726197948E-2</v>
      </c>
      <c r="AG91" s="9">
        <f t="shared" si="39"/>
        <v>1576.0575000000001</v>
      </c>
      <c r="AH91" s="8">
        <f>IFERROR(AG91/AG148, "NA")</f>
        <v>5.1115205691872667E-2</v>
      </c>
      <c r="AI91" s="10">
        <f t="shared" si="40"/>
        <v>-314.06750000000011</v>
      </c>
      <c r="AJ91" s="11">
        <f>IFERROR(AI91/AI148, "NA")</f>
        <v>8.0902539188405106E-2</v>
      </c>
      <c r="AK91" s="10">
        <f t="shared" si="41"/>
        <v>-0.19927413815803047</v>
      </c>
      <c r="AL91" s="11">
        <f>IFERROR(AK91/AK148, "NA")</f>
        <v>1.5827489705527811</v>
      </c>
    </row>
    <row r="92" spans="1:38" ht="16.5" hidden="1" customHeight="1">
      <c r="A92" s="6" t="s">
        <v>101</v>
      </c>
      <c r="B92" s="7">
        <v>371.44</v>
      </c>
      <c r="C92" s="8">
        <f>IFERROR(B92/B148, "NA")</f>
        <v>1.423488090014237E-2</v>
      </c>
      <c r="D92" s="7">
        <v>332.47</v>
      </c>
      <c r="E92" s="8">
        <f>IFERROR(D92/D148, "NA")</f>
        <v>1.2969570057991889E-2</v>
      </c>
      <c r="F92" s="7">
        <v>315.09000000000003</v>
      </c>
      <c r="G92" s="8">
        <f>IFERROR(F92/F148, "NA")</f>
        <v>9.1494461810521181E-3</v>
      </c>
      <c r="H92" s="7">
        <v>461.26</v>
      </c>
      <c r="I92" s="8">
        <f>IFERROR(H92/H148, "NA")</f>
        <v>1.6156850986798782E-2</v>
      </c>
      <c r="J92" s="7">
        <v>347.34</v>
      </c>
      <c r="K92" s="8">
        <f>IFERROR(J92/J148, "NA")</f>
        <v>9.9546346771736665E-3</v>
      </c>
      <c r="L92" s="7">
        <v>523.06000000000006</v>
      </c>
      <c r="M92" s="8">
        <f>IFERROR(L92/L148, "NA")</f>
        <v>1.151869448042553E-2</v>
      </c>
      <c r="N92" s="7">
        <v>513.18999999999994</v>
      </c>
      <c r="O92" s="8">
        <f>IFERROR(N92/N148, "NA")</f>
        <v>1.2673054023526109E-2</v>
      </c>
      <c r="P92" s="7">
        <v>401.33</v>
      </c>
      <c r="Q92" s="8">
        <f>IFERROR(P92/P148, "NA")</f>
        <v>1.7338855314979341E-2</v>
      </c>
      <c r="R92" s="7">
        <v>380.75</v>
      </c>
      <c r="S92" s="8">
        <f>IFERROR(R92/R148, "NA")</f>
        <v>1.4977155658178629E-2</v>
      </c>
      <c r="T92" s="7">
        <v>341.36</v>
      </c>
      <c r="U92" s="8">
        <f>IFERROR(T92/T148, "NA")</f>
        <v>1.392939409828841E-2</v>
      </c>
      <c r="V92" s="7">
        <v>276.73</v>
      </c>
      <c r="W92" s="8">
        <f>IFERROR(V92/V148, "NA")</f>
        <v>1.0707376338760602E-2</v>
      </c>
      <c r="X92" s="7">
        <v>0</v>
      </c>
      <c r="Y92" s="8">
        <f>IFERROR(X92/X148, "NA")</f>
        <v>0</v>
      </c>
      <c r="Z92" s="7">
        <v>0</v>
      </c>
      <c r="AA92" s="8">
        <f>IFERROR(Z92/Z148, "NA")</f>
        <v>0</v>
      </c>
      <c r="AB92" s="9">
        <f t="shared" si="36"/>
        <v>249.71</v>
      </c>
      <c r="AC92" s="8">
        <f>IFERROR(AB92/AB148, "NA")</f>
        <v>9.7234657023545171E-3</v>
      </c>
      <c r="AD92" s="10">
        <f t="shared" si="37"/>
        <v>-249.71</v>
      </c>
      <c r="AE92" s="11">
        <f>IFERROR(AD92/AD148, "NA")</f>
        <v>-0.19658837954917188</v>
      </c>
      <c r="AF92" s="10">
        <f t="shared" si="38"/>
        <v>-1</v>
      </c>
      <c r="AG92" s="9">
        <f t="shared" si="39"/>
        <v>347.97</v>
      </c>
      <c r="AH92" s="8">
        <f>IFERROR(AG92/AG148, "NA")</f>
        <v>1.1285475386907478E-2</v>
      </c>
      <c r="AI92" s="10">
        <f t="shared" si="40"/>
        <v>-347.97</v>
      </c>
      <c r="AJ92" s="11">
        <f>IFERROR(AI92/AI148, "NA")</f>
        <v>8.9635688383514101E-2</v>
      </c>
      <c r="AK92" s="10">
        <f t="shared" si="41"/>
        <v>-1</v>
      </c>
      <c r="AL92" s="11">
        <f>IFERROR(AK92/AK148, "NA")</f>
        <v>7.9425708984756112</v>
      </c>
    </row>
    <row r="93" spans="1:38" ht="16.5" hidden="1" customHeight="1">
      <c r="A93" s="6" t="s">
        <v>102</v>
      </c>
      <c r="B93" s="7">
        <v>1837.3899999999999</v>
      </c>
      <c r="C93" s="8">
        <f>IFERROR(B93/B148, "NA")</f>
        <v>7.0415215962504274E-2</v>
      </c>
      <c r="D93" s="7">
        <v>2129.13</v>
      </c>
      <c r="E93" s="8">
        <f>IFERROR(D93/D148, "NA")</f>
        <v>8.3056819254586189E-2</v>
      </c>
      <c r="F93" s="7">
        <v>3200.38</v>
      </c>
      <c r="G93" s="8">
        <f>IFERROR(F93/F148, "NA")</f>
        <v>9.2931240499271886E-2</v>
      </c>
      <c r="H93" s="7">
        <v>2893.3500000000004</v>
      </c>
      <c r="I93" s="8">
        <f>IFERROR(H93/H148, "NA")</f>
        <v>0.10134723323647023</v>
      </c>
      <c r="J93" s="7">
        <v>3339.5899999999997</v>
      </c>
      <c r="K93" s="8">
        <f>IFERROR(J93/J148, "NA")</f>
        <v>9.571140214643406E-2</v>
      </c>
      <c r="L93" s="7">
        <v>5264.54</v>
      </c>
      <c r="M93" s="8">
        <f>IFERROR(L93/L148, "NA")</f>
        <v>0.11593436286464157</v>
      </c>
      <c r="N93" s="7">
        <v>3417.8999999999996</v>
      </c>
      <c r="O93" s="8">
        <f>IFERROR(N93/N148, "NA")</f>
        <v>8.4403888125275023E-2</v>
      </c>
      <c r="P93" s="7">
        <v>2174.89</v>
      </c>
      <c r="Q93" s="8">
        <f>IFERROR(P93/P148, "NA")</f>
        <v>9.3962831176327255E-2</v>
      </c>
      <c r="R93" s="7">
        <v>1809.3700000000003</v>
      </c>
      <c r="S93" s="8">
        <f>IFERROR(R93/R148, "NA")</f>
        <v>7.1173253140482395E-2</v>
      </c>
      <c r="T93" s="7">
        <v>3284.2299999999996</v>
      </c>
      <c r="U93" s="8">
        <f>IFERROR(T93/T148, "NA")</f>
        <v>0.13401492260200884</v>
      </c>
      <c r="V93" s="7">
        <v>2472.8999999999996</v>
      </c>
      <c r="W93" s="8">
        <f>IFERROR(V93/V148, "NA")</f>
        <v>9.5682690521884467E-2</v>
      </c>
      <c r="X93" s="7">
        <v>1592.2399999999998</v>
      </c>
      <c r="Y93" s="8">
        <f>IFERROR(X93/X148, "NA")</f>
        <v>5.9078214518805891E-2</v>
      </c>
      <c r="Z93" s="7">
        <v>1592.2399999999998</v>
      </c>
      <c r="AA93" s="8">
        <f>IFERROR(Z93/Z148, "NA")</f>
        <v>5.9078214518805891E-2</v>
      </c>
      <c r="AB93" s="9">
        <f t="shared" si="36"/>
        <v>2289.6849999999999</v>
      </c>
      <c r="AC93" s="8">
        <f>IFERROR(AB93/AB148, "NA")</f>
        <v>8.9158117683295027E-2</v>
      </c>
      <c r="AD93" s="10">
        <f t="shared" si="37"/>
        <v>-697.44500000000016</v>
      </c>
      <c r="AE93" s="11">
        <f>IFERROR(AD93/AD148, "NA")</f>
        <v>-0.54907525679657287</v>
      </c>
      <c r="AF93" s="10">
        <f t="shared" si="38"/>
        <v>-0.30460303491528318</v>
      </c>
      <c r="AG93" s="9">
        <f t="shared" si="39"/>
        <v>2919.4574999999995</v>
      </c>
      <c r="AH93" s="8">
        <f>IFERROR(AG93/AG148, "NA")</f>
        <v>9.4684788227066788E-2</v>
      </c>
      <c r="AI93" s="10">
        <f t="shared" si="40"/>
        <v>-1327.2174999999997</v>
      </c>
      <c r="AJ93" s="11">
        <f>IFERROR(AI93/AI148, "NA")</f>
        <v>0.34188595064846566</v>
      </c>
      <c r="AK93" s="10">
        <f t="shared" si="41"/>
        <v>-0.45461100221530881</v>
      </c>
      <c r="AL93" s="11">
        <f>IFERROR(AK93/AK148, "NA")</f>
        <v>3.6107801163221431</v>
      </c>
    </row>
    <row r="94" spans="1:38" ht="16.5" hidden="1" customHeight="1">
      <c r="A94" s="6" t="s">
        <v>103</v>
      </c>
      <c r="B94" s="7">
        <v>747.21</v>
      </c>
      <c r="C94" s="8">
        <f>IFERROR(B94/B148, "NA")</f>
        <v>2.8635702555985843E-2</v>
      </c>
      <c r="D94" s="7">
        <v>632.5</v>
      </c>
      <c r="E94" s="8">
        <f>IFERROR(D94/D148, "NA")</f>
        <v>2.467366397473417E-2</v>
      </c>
      <c r="F94" s="7">
        <v>967.79</v>
      </c>
      <c r="G94" s="8">
        <f>IFERROR(F94/F148, "NA")</f>
        <v>2.810226449446326E-2</v>
      </c>
      <c r="H94" s="7">
        <v>678.52</v>
      </c>
      <c r="I94" s="8">
        <f>IFERROR(H94/H148, "NA")</f>
        <v>2.3766956882371567E-2</v>
      </c>
      <c r="J94" s="7">
        <v>903.7</v>
      </c>
      <c r="K94" s="8">
        <f>IFERROR(J94/J148, "NA")</f>
        <v>2.58997044905909E-2</v>
      </c>
      <c r="L94" s="7">
        <v>1148.0899999999999</v>
      </c>
      <c r="M94" s="8">
        <f>IFERROR(L94/L148, "NA")</f>
        <v>2.5282946403914933E-2</v>
      </c>
      <c r="N94" s="7">
        <v>919.74</v>
      </c>
      <c r="O94" s="8">
        <f>IFERROR(N94/N148, "NA")</f>
        <v>2.2712669201656124E-2</v>
      </c>
      <c r="P94" s="7">
        <v>687</v>
      </c>
      <c r="Q94" s="8">
        <f>IFERROR(P94/P148, "NA")</f>
        <v>2.9680795358908645E-2</v>
      </c>
      <c r="R94" s="7">
        <v>611.67999999999995</v>
      </c>
      <c r="S94" s="8">
        <f>IFERROR(R94/R148, "NA")</f>
        <v>2.4061002161509398E-2</v>
      </c>
      <c r="T94" s="7">
        <v>674.1</v>
      </c>
      <c r="U94" s="8">
        <f>IFERROR(T94/T148, "NA")</f>
        <v>2.7507044063909705E-2</v>
      </c>
      <c r="V94" s="7">
        <v>713.69</v>
      </c>
      <c r="W94" s="8">
        <f>IFERROR(V94/V148, "NA")</f>
        <v>2.7614452423698387E-2</v>
      </c>
      <c r="X94" s="7">
        <v>490.67</v>
      </c>
      <c r="Y94" s="8">
        <f>IFERROR(X94/X148, "NA")</f>
        <v>1.820574003789786E-2</v>
      </c>
      <c r="Z94" s="7">
        <v>490.67</v>
      </c>
      <c r="AA94" s="8">
        <f>IFERROR(Z94/Z148, "NA")</f>
        <v>1.820574003789786E-2</v>
      </c>
      <c r="AB94" s="9">
        <f t="shared" si="36"/>
        <v>622.53499999999997</v>
      </c>
      <c r="AC94" s="8">
        <f>IFERROR(AB94/AB148, "NA")</f>
        <v>2.424091034005554E-2</v>
      </c>
      <c r="AD94" s="10">
        <f t="shared" si="37"/>
        <v>-131.86499999999995</v>
      </c>
      <c r="AE94" s="11">
        <f>IFERROR(AD94/AD148, "NA")</f>
        <v>-0.10381292967542965</v>
      </c>
      <c r="AF94" s="10">
        <f t="shared" si="38"/>
        <v>-0.21181941577581978</v>
      </c>
      <c r="AG94" s="9">
        <f t="shared" si="39"/>
        <v>768.58375000000001</v>
      </c>
      <c r="AH94" s="8">
        <f>IFERROR(AG94/AG148, "NA")</f>
        <v>2.4926956327850244E-2</v>
      </c>
      <c r="AI94" s="10">
        <f t="shared" si="40"/>
        <v>-277.91374999999999</v>
      </c>
      <c r="AJ94" s="11">
        <f>IFERROR(AI94/AI148, "NA")</f>
        <v>7.1589476944833863E-2</v>
      </c>
      <c r="AK94" s="10">
        <f t="shared" si="41"/>
        <v>-0.36159201908705457</v>
      </c>
      <c r="AL94" s="11">
        <f>IFERROR(AK94/AK148, "NA")</f>
        <v>2.8719702479218774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1521.4099999999999</v>
      </c>
      <c r="G95" s="8">
        <f>IFERROR(F95/F148, "NA")</f>
        <v>4.4178040922639564E-2</v>
      </c>
      <c r="H95" s="7">
        <v>0</v>
      </c>
      <c r="I95" s="8">
        <f>IFERROR(H95/H148, "NA")</f>
        <v>0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1377.92</v>
      </c>
      <c r="O95" s="8">
        <f>IFERROR(N95/N148, "NA")</f>
        <v>3.4027269822282387E-2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1524.04</v>
      </c>
      <c r="W95" s="8">
        <f>IFERROR(V95/V148, "NA")</f>
        <v>5.8968922181638087E-2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381.01</v>
      </c>
      <c r="AC95" s="8">
        <f>IFERROR(AB95/AB148, "NA")</f>
        <v>1.4836160615330159E-2</v>
      </c>
      <c r="AD95" s="10">
        <f t="shared" si="37"/>
        <v>-381.01</v>
      </c>
      <c r="AE95" s="11">
        <f>IFERROR(AD95/AD148, "NA")</f>
        <v>-0.29995650351219405</v>
      </c>
      <c r="AF95" s="10">
        <f t="shared" si="38"/>
        <v>-1</v>
      </c>
      <c r="AG95" s="9">
        <f t="shared" si="39"/>
        <v>362.745</v>
      </c>
      <c r="AH95" s="8">
        <f>IFERROR(AG95/AG148, "NA")</f>
        <v>1.176466295721974E-2</v>
      </c>
      <c r="AI95" s="10">
        <f t="shared" si="40"/>
        <v>-362.745</v>
      </c>
      <c r="AJ95" s="11">
        <f>IFERROR(AI95/AI148, "NA")</f>
        <v>9.3441669634387506E-2</v>
      </c>
      <c r="AK95" s="10">
        <f t="shared" si="41"/>
        <v>-1</v>
      </c>
      <c r="AL95" s="11">
        <f>IFERROR(AK95/AK148, "NA")</f>
        <v>7.9425708984756112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488.57</v>
      </c>
      <c r="C97" s="8">
        <f>IFERROR(B97/B148, "NA")</f>
        <v>1.8723712474107684E-2</v>
      </c>
      <c r="D97" s="7">
        <v>692.94</v>
      </c>
      <c r="E97" s="8">
        <f>IFERROR(D97/D148, "NA")</f>
        <v>2.7031412987592564E-2</v>
      </c>
      <c r="F97" s="7">
        <v>505.48</v>
      </c>
      <c r="G97" s="8">
        <f>IFERROR(F97/F148, "NA")</f>
        <v>1.4677908075782236E-2</v>
      </c>
      <c r="H97" s="7">
        <v>600.36</v>
      </c>
      <c r="I97" s="8">
        <f>IFERROR(H97/H148, "NA")</f>
        <v>2.1029196241673927E-2</v>
      </c>
      <c r="J97" s="7">
        <v>409.58</v>
      </c>
      <c r="K97" s="8">
        <f>IFERROR(J97/J148, "NA")</f>
        <v>1.1738409832086114E-2</v>
      </c>
      <c r="L97" s="7">
        <v>650.42000000000007</v>
      </c>
      <c r="M97" s="8">
        <f>IFERROR(L97/L148, "NA")</f>
        <v>1.4323384055286915E-2</v>
      </c>
      <c r="N97" s="7">
        <v>584.99</v>
      </c>
      <c r="O97" s="8">
        <f>IFERROR(N97/N148, "NA")</f>
        <v>1.4446130815531363E-2</v>
      </c>
      <c r="P97" s="7">
        <v>31.62</v>
      </c>
      <c r="Q97" s="8">
        <f>IFERROR(P97/P148, "NA")</f>
        <v>1.3660942492702932E-3</v>
      </c>
      <c r="R97" s="7">
        <v>0</v>
      </c>
      <c r="S97" s="8">
        <f>IFERROR(R97/R148, "NA")</f>
        <v>0</v>
      </c>
      <c r="T97" s="7">
        <v>661.26</v>
      </c>
      <c r="U97" s="8">
        <f>IFERROR(T97/T148, "NA")</f>
        <v>2.6983100367454282E-2</v>
      </c>
      <c r="V97" s="7">
        <v>700.49</v>
      </c>
      <c r="W97" s="8">
        <f>IFERROR(V97/V148, "NA")</f>
        <v>2.7103711384882066E-2</v>
      </c>
      <c r="X97" s="7">
        <v>0</v>
      </c>
      <c r="Y97" s="8">
        <f>IFERROR(X97/X148, "NA")</f>
        <v>0</v>
      </c>
      <c r="Z97" s="7">
        <v>0</v>
      </c>
      <c r="AA97" s="8">
        <f>IFERROR(Z97/Z148, "NA")</f>
        <v>0</v>
      </c>
      <c r="AB97" s="9">
        <f t="shared" si="36"/>
        <v>340.4375</v>
      </c>
      <c r="AC97" s="8">
        <f>IFERROR(AB97/AB148, "NA")</f>
        <v>1.3256306735995017E-2</v>
      </c>
      <c r="AD97" s="10">
        <f t="shared" si="37"/>
        <v>-340.4375</v>
      </c>
      <c r="AE97" s="11">
        <f>IFERROR(AD97/AD148, "NA")</f>
        <v>-0.26801512339422212</v>
      </c>
      <c r="AF97" s="10">
        <f t="shared" si="38"/>
        <v>-1</v>
      </c>
      <c r="AG97" s="9">
        <f t="shared" si="39"/>
        <v>379.79499999999996</v>
      </c>
      <c r="AH97" s="8">
        <f>IFERROR(AG97/AG148, "NA")</f>
        <v>1.2317634062047087E-2</v>
      </c>
      <c r="AI97" s="10">
        <f t="shared" si="40"/>
        <v>-379.79499999999996</v>
      </c>
      <c r="AJ97" s="11">
        <f>IFERROR(AI97/AI148, "NA")</f>
        <v>9.7833681839287104E-2</v>
      </c>
      <c r="AK97" s="10">
        <f t="shared" si="41"/>
        <v>-1</v>
      </c>
      <c r="AL97" s="11">
        <f>IFERROR(AK97/AK148, "NA")</f>
        <v>7.9425708984756112</v>
      </c>
    </row>
    <row r="98" spans="1:38" ht="16.5" hidden="1" customHeight="1">
      <c r="A98" s="6" t="s">
        <v>107</v>
      </c>
      <c r="B98" s="7">
        <v>288.51</v>
      </c>
      <c r="C98" s="8">
        <f>IFERROR(B98/B148, "NA")</f>
        <v>1.1056713031714611E-2</v>
      </c>
      <c r="D98" s="7">
        <v>1896.8000000000002</v>
      </c>
      <c r="E98" s="8">
        <f>IFERROR(D98/D148, "NA")</f>
        <v>7.399368510241229E-2</v>
      </c>
      <c r="F98" s="7">
        <v>1004.4499999999999</v>
      </c>
      <c r="G98" s="8">
        <f>IFERROR(F98/F148, "NA")</f>
        <v>2.9166781607025925E-2</v>
      </c>
      <c r="H98" s="7">
        <v>576.43000000000006</v>
      </c>
      <c r="I98" s="8">
        <f>IFERROR(H98/H148, "NA")</f>
        <v>2.0190984725145085E-2</v>
      </c>
      <c r="J98" s="7">
        <v>591.63</v>
      </c>
      <c r="K98" s="8">
        <f>IFERROR(J98/J148, "NA")</f>
        <v>1.695589484095197E-2</v>
      </c>
      <c r="L98" s="7">
        <v>1951.44</v>
      </c>
      <c r="M98" s="8">
        <f>IFERROR(L98/L148, "NA")</f>
        <v>4.2974116080146819E-2</v>
      </c>
      <c r="N98" s="7">
        <v>1270.0700000000002</v>
      </c>
      <c r="O98" s="8">
        <f>IFERROR(N98/N148, "NA")</f>
        <v>3.1363950434848319E-2</v>
      </c>
      <c r="P98" s="7">
        <v>226.58</v>
      </c>
      <c r="Q98" s="8">
        <f>IFERROR(P98/P148, "NA")</f>
        <v>9.7890460151696095E-3</v>
      </c>
      <c r="R98" s="7">
        <v>369.12</v>
      </c>
      <c r="S98" s="8">
        <f>IFERROR(R98/R148, "NA")</f>
        <v>1.4519678782788958E-2</v>
      </c>
      <c r="T98" s="7">
        <v>2109.83</v>
      </c>
      <c r="U98" s="8">
        <f>IFERROR(T98/T148, "NA")</f>
        <v>8.6092844944902255E-2</v>
      </c>
      <c r="V98" s="7">
        <v>1068.45</v>
      </c>
      <c r="W98" s="8">
        <f>IFERROR(V98/V148, "NA")</f>
        <v>4.1341004766916364E-2</v>
      </c>
      <c r="X98" s="7">
        <v>342.19</v>
      </c>
      <c r="Y98" s="8">
        <f>IFERROR(X98/X148, "NA")</f>
        <v>1.2696562218126784E-2</v>
      </c>
      <c r="Z98" s="7">
        <v>342.19</v>
      </c>
      <c r="AA98" s="8">
        <f>IFERROR(Z98/Z148, "NA")</f>
        <v>1.2696562218126784E-2</v>
      </c>
      <c r="AB98" s="9">
        <f t="shared" si="36"/>
        <v>972.39749999999992</v>
      </c>
      <c r="AC98" s="8">
        <f>IFERROR(AB98/AB148, "NA")</f>
        <v>3.7864217453467124E-2</v>
      </c>
      <c r="AD98" s="10">
        <f t="shared" si="37"/>
        <v>-630.20749999999998</v>
      </c>
      <c r="AE98" s="11">
        <f>IFERROR(AD98/AD148, "NA")</f>
        <v>-0.49614140885320868</v>
      </c>
      <c r="AF98" s="10">
        <f t="shared" si="38"/>
        <v>-0.64809658601549269</v>
      </c>
      <c r="AG98" s="9">
        <f t="shared" si="39"/>
        <v>991.16374999999994</v>
      </c>
      <c r="AH98" s="8">
        <f>IFERROR(AG98/AG148, "NA")</f>
        <v>3.214574275086908E-2</v>
      </c>
      <c r="AI98" s="10">
        <f t="shared" si="40"/>
        <v>-648.97374999999988</v>
      </c>
      <c r="AJ98" s="11">
        <f>IFERROR(AI98/AI148, "NA")</f>
        <v>0.16717305751668413</v>
      </c>
      <c r="AK98" s="10">
        <f t="shared" si="41"/>
        <v>-0.65475936746072472</v>
      </c>
      <c r="AL98" s="11">
        <f>IFERROR(AK98/AK148, "NA")</f>
        <v>5.200472697497851</v>
      </c>
    </row>
    <row r="99" spans="1:38" ht="16.5" hidden="1" customHeight="1">
      <c r="A99" s="12" t="s">
        <v>108</v>
      </c>
      <c r="B99" s="13">
        <f>IFERROR(B90+B91+B92+B93+B94+B95+B96+B97+B98, "NA")</f>
        <v>5137.4799999999996</v>
      </c>
      <c r="C99" s="14">
        <f>IFERROR(B99/B148, "NA")</f>
        <v>0.19688621561184425</v>
      </c>
      <c r="D99" s="13">
        <f>IFERROR(D90+D91+D92+D93+D94+D95+D96+D97+D98, "NA")</f>
        <v>7234.6800000000012</v>
      </c>
      <c r="E99" s="14">
        <f>IFERROR(D99/D148, "NA")</f>
        <v>0.28222302495609458</v>
      </c>
      <c r="F99" s="13">
        <f>IFERROR(F90+F91+F92+F93+F94+F95+F96+F97+F98, "NA")</f>
        <v>11117.080000000002</v>
      </c>
      <c r="G99" s="14">
        <f>IFERROR(F99/F148, "NA")</f>
        <v>0.32281292694293978</v>
      </c>
      <c r="H99" s="13">
        <f>IFERROR(H90+H91+H92+H93+H94+H95+H96+H97+H98, "NA")</f>
        <v>8253.57</v>
      </c>
      <c r="I99" s="14">
        <f>IFERROR(H99/H148, "NA")</f>
        <v>0.28910311017454976</v>
      </c>
      <c r="J99" s="13">
        <f>IFERROR(J90+J91+J92+J93+J94+J95+J96+J97+J98, "NA")</f>
        <v>9653.41</v>
      </c>
      <c r="K99" s="14">
        <f>IFERROR(J99/J148, "NA")</f>
        <v>0.27666312529214904</v>
      </c>
      <c r="L99" s="13">
        <f>IFERROR(L90+L91+L92+L93+L94+L95+L96+L97+L98, "NA")</f>
        <v>13080.080000000002</v>
      </c>
      <c r="M99" s="14">
        <f>IFERROR(L99/L148, "NA")</f>
        <v>0.2880461998614392</v>
      </c>
      <c r="N99" s="13">
        <f>IFERROR(N90+N91+N92+N93+N94+N95+N96+N97+N98, "NA")</f>
        <v>9736.119999999999</v>
      </c>
      <c r="O99" s="14">
        <f>IFERROR(N99/N148, "NA")</f>
        <v>0.24043020078242566</v>
      </c>
      <c r="P99" s="13">
        <f>IFERROR(P90+P91+P92+P93+P94+P95+P96+P97+P98, "NA")</f>
        <v>4784.3999999999996</v>
      </c>
      <c r="Q99" s="14">
        <f>IFERROR(P99/P148, "NA")</f>
        <v>0.20670276173968344</v>
      </c>
      <c r="R99" s="13">
        <f>IFERROR(R90+R91+R92+R93+R94+R95+R96+R97+R98, "NA")</f>
        <v>4287.1200000000008</v>
      </c>
      <c r="S99" s="14">
        <f>IFERROR(R99/R148, "NA")</f>
        <v>0.16863785571973941</v>
      </c>
      <c r="T99" s="13">
        <f>IFERROR(T90+T91+T92+T93+T94+T95+T96+T97+T98, "NA")</f>
        <v>9386.6</v>
      </c>
      <c r="U99" s="14">
        <f>IFERROR(T99/T148, "NA")</f>
        <v>0.38302569323586239</v>
      </c>
      <c r="V99" s="13">
        <f>IFERROR(V90+V91+V92+V93+V94+V95+V96+V97+V98, "NA")</f>
        <v>8649.6299999999992</v>
      </c>
      <c r="W99" s="14">
        <f>IFERROR(V99/V148, "NA")</f>
        <v>0.3346758342103634</v>
      </c>
      <c r="X99" s="13">
        <f>IFERROR(X90+X91+X92+X93+X94+X95+X96+X97+X98, "NA")</f>
        <v>4246.9799999999996</v>
      </c>
      <c r="Y99" s="14">
        <f>IFERROR(X99/X148, "NA")</f>
        <v>0.15757925658008731</v>
      </c>
      <c r="Z99" s="13">
        <f>IFERROR(Z90+Z91+Z92+Z93+Z94+Z95+Z96+Z97+Z98, "NA")</f>
        <v>4246.9799999999996</v>
      </c>
      <c r="AA99" s="14">
        <f>IFERROR(Z99/Z148, "NA")</f>
        <v>0.15757925658008731</v>
      </c>
      <c r="AB99" s="13">
        <f t="shared" si="36"/>
        <v>6642.5824999999995</v>
      </c>
      <c r="AC99" s="14">
        <f>IFERROR(AB99/AB148, "NA")</f>
        <v>0.25865573310564383</v>
      </c>
      <c r="AD99" s="15">
        <f t="shared" si="37"/>
        <v>-2395.6025</v>
      </c>
      <c r="AE99" s="16">
        <f>IFERROR(AD99/AD148, "NA")</f>
        <v>-1.8859781887747589</v>
      </c>
      <c r="AF99" s="15">
        <f t="shared" si="38"/>
        <v>-0.36064324379862805</v>
      </c>
      <c r="AG99" s="13">
        <f t="shared" si="39"/>
        <v>7978.0424999999996</v>
      </c>
      <c r="AH99" s="14">
        <f>IFERROR(AG99/AG148, "NA")</f>
        <v>0.25874645018091152</v>
      </c>
      <c r="AI99" s="15">
        <f t="shared" si="40"/>
        <v>-3731.0625</v>
      </c>
      <c r="AJ99" s="16">
        <f>IFERROR(AI99/AI148, "NA")</f>
        <v>0.9611068643544417</v>
      </c>
      <c r="AK99" s="15">
        <f t="shared" si="41"/>
        <v>-0.46766641065148501</v>
      </c>
      <c r="AL99" s="16">
        <f>IFERROR(AK99/AK148, "NA")</f>
        <v>3.7144736234350293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6945.0499999999993</v>
      </c>
      <c r="C101" s="34">
        <f>IFERROR(B101/B148, "NA")</f>
        <v>0.26615862479952013</v>
      </c>
      <c r="D101" s="33">
        <f>IFERROR(D87-D99, "NA")</f>
        <v>4514.2499999999918</v>
      </c>
      <c r="E101" s="34">
        <f>IFERROR(D101/D148, "NA")</f>
        <v>0.17609974323785538</v>
      </c>
      <c r="F101" s="33">
        <f>IFERROR(F87-F99, "NA")</f>
        <v>6193.4099999999962</v>
      </c>
      <c r="G101" s="34">
        <f>IFERROR(F101/F148, "NA")</f>
        <v>0.17984154201082217</v>
      </c>
      <c r="H101" s="33">
        <f>IFERROR(H87-H99, "NA")</f>
        <v>5342.9500000000044</v>
      </c>
      <c r="I101" s="34">
        <f>IFERROR(H101/H148, "NA")</f>
        <v>0.18715094952936873</v>
      </c>
      <c r="J101" s="33">
        <f>IFERROR(J87-J99, "NA")</f>
        <v>8823.9899999999907</v>
      </c>
      <c r="K101" s="34">
        <f>IFERROR(J101/J148, "NA")</f>
        <v>0.25289225785983066</v>
      </c>
      <c r="L101" s="33">
        <f>IFERROR(L87-L99, "NA")</f>
        <v>10392.19999999999</v>
      </c>
      <c r="M101" s="34">
        <f>IFERROR(L101/L148, "NA")</f>
        <v>0.22885438913218001</v>
      </c>
      <c r="N101" s="33">
        <f>IFERROR(N87-N99, "NA")</f>
        <v>9314.5699999999961</v>
      </c>
      <c r="O101" s="34">
        <f>IFERROR(N101/N148, "NA")</f>
        <v>0.2300201656616761</v>
      </c>
      <c r="P101" s="33">
        <f>IFERROR(P87-P99, "NA")</f>
        <v>5698.4699999999993</v>
      </c>
      <c r="Q101" s="34">
        <f>IFERROR(P101/P148, "NA")</f>
        <v>0.24619377282224184</v>
      </c>
      <c r="R101" s="33">
        <f>IFERROR(R87-R99, "NA")</f>
        <v>6465.7700000000059</v>
      </c>
      <c r="S101" s="34">
        <f>IFERROR(R101/R148, "NA")</f>
        <v>0.2543370813919415</v>
      </c>
      <c r="T101" s="33">
        <f>IFERROR(T87-T99, "NA")</f>
        <v>1086.100000000004</v>
      </c>
      <c r="U101" s="34">
        <f>IFERROR(T101/T148, "NA")</f>
        <v>4.4318944604379823E-2</v>
      </c>
      <c r="V101" s="33">
        <f>IFERROR(V87-V99, "NA")</f>
        <v>3540.6599999999962</v>
      </c>
      <c r="W101" s="34">
        <f>IFERROR(V101/V148, "NA")</f>
        <v>0.13699699746177166</v>
      </c>
      <c r="X101" s="33">
        <f>IFERROR(X87-X99, "NA")</f>
        <v>9644.1199999999972</v>
      </c>
      <c r="Y101" s="34">
        <f>IFERROR(X101/X148, "NA")</f>
        <v>0.35783386311429566</v>
      </c>
      <c r="Z101" s="33">
        <f>IFERROR(Z87-Z99, "NA")</f>
        <v>9644.1199999999972</v>
      </c>
      <c r="AA101" s="34">
        <f>IFERROR(Z101/Z148, "NA")</f>
        <v>0.35783386311429566</v>
      </c>
      <c r="AB101" s="33">
        <f>IFERROR((R101+T101+V101+X101)/4, "NA")</f>
        <v>5184.1625000000004</v>
      </c>
      <c r="AC101" s="34">
        <f>IFERROR(AB101/AB148, "NA")</f>
        <v>0.20186626992984844</v>
      </c>
      <c r="AD101" s="15">
        <f>IFERROR(X101-AB101, "NA")</f>
        <v>4459.9574999999968</v>
      </c>
      <c r="AE101" s="16">
        <f>IFERROR(AD101/AD148, "NA")</f>
        <v>3.5111762355659568</v>
      </c>
      <c r="AF101" s="15">
        <f>IFERROR((X101-AB101)/AB101, "NA")</f>
        <v>0.86030434038284809</v>
      </c>
      <c r="AG101" s="33">
        <f>IFERROR((J101+L101+N101+P101+R101+T101+V101+X101)/8, "NA")</f>
        <v>6870.7349999999969</v>
      </c>
      <c r="AH101" s="34">
        <f>IFERROR(AG101/AG148, "NA")</f>
        <v>0.2228338958314329</v>
      </c>
      <c r="AI101" s="15">
        <f>IFERROR(X101-AG101, "NA")</f>
        <v>2773.3850000000002</v>
      </c>
      <c r="AJ101" s="16">
        <f>IFERROR(AI101/AI148, "NA")</f>
        <v>-0.71441294832172964</v>
      </c>
      <c r="AK101" s="15">
        <f>IFERROR((X101-AG101)/AG101, "NA")</f>
        <v>0.40365186548455173</v>
      </c>
      <c r="AL101" s="16">
        <f>IFERROR(AK101/AK148, "NA")</f>
        <v>-3.2060335599129925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2238.1499999999996</v>
      </c>
      <c r="E104" s="34">
        <f>IFERROR(D104/D148, "NA")</f>
        <v>8.7309661699685806E-2</v>
      </c>
      <c r="F104" s="39">
        <v>15169.11</v>
      </c>
      <c r="G104" s="34">
        <f>IFERROR(F104/F148, "NA")</f>
        <v>0.44047400920200419</v>
      </c>
      <c r="H104" s="39">
        <v>0</v>
      </c>
      <c r="I104" s="34">
        <f>IFERROR(H104/H148, "NA")</f>
        <v>0</v>
      </c>
      <c r="J104" s="39">
        <v>0</v>
      </c>
      <c r="K104" s="34">
        <f>IFERROR(J104/J148, "NA")</f>
        <v>0</v>
      </c>
      <c r="L104" s="39">
        <v>2588.61</v>
      </c>
      <c r="M104" s="34">
        <f>IFERROR(L104/L148, "NA")</f>
        <v>5.7005712000486236E-2</v>
      </c>
      <c r="N104" s="39">
        <v>12842.849999999999</v>
      </c>
      <c r="O104" s="34">
        <f>IFERROR(N104/N148, "NA")</f>
        <v>0.31714985067137375</v>
      </c>
      <c r="P104" s="39">
        <v>0</v>
      </c>
      <c r="Q104" s="34">
        <f>IFERROR(P104/P148, "NA")</f>
        <v>0</v>
      </c>
      <c r="R104" s="39">
        <v>0</v>
      </c>
      <c r="S104" s="34">
        <f>IFERROR(R104/R148, "NA")</f>
        <v>0</v>
      </c>
      <c r="T104" s="39">
        <v>2799.69</v>
      </c>
      <c r="U104" s="34">
        <f>IFERROR(T104/T148, "NA")</f>
        <v>0.11424298501006877</v>
      </c>
      <c r="V104" s="39">
        <v>12842.849999999999</v>
      </c>
      <c r="W104" s="34">
        <f>IFERROR(V104/V148, "NA")</f>
        <v>0.49692201139107284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3910.6349999999998</v>
      </c>
      <c r="AC104" s="34">
        <f>IFERROR(AB104/AB148, "NA")</f>
        <v>0.15227634174413179</v>
      </c>
      <c r="AD104" s="15">
        <f>IFERROR(X104-AB104, "NA")</f>
        <v>-3910.6349999999998</v>
      </c>
      <c r="AE104" s="16">
        <f>IFERROR(AD104/AD148, "NA")</f>
        <v>-3.0787128975943121</v>
      </c>
      <c r="AF104" s="15">
        <f>IFERROR((X104-AB104)/AB104, "NA")</f>
        <v>-1</v>
      </c>
      <c r="AG104" s="33">
        <f>IFERROR((J104+L104+N104+P104+R104+T104+V104+X104)/8, "NA")</f>
        <v>3884.2499999999995</v>
      </c>
      <c r="AH104" s="34">
        <f>IFERROR(AG104/AG148, "NA")</f>
        <v>0.12597525008361457</v>
      </c>
      <c r="AI104" s="15">
        <f>IFERROR(X104-AG104, "NA")</f>
        <v>-3884.2499999999995</v>
      </c>
      <c r="AJ104" s="16">
        <f>IFERROR(AI104/AI148, "NA")</f>
        <v>1.0005673552423042</v>
      </c>
      <c r="AK104" s="15">
        <f>IFERROR((X104-AG104)/AG104, "NA")</f>
        <v>-1</v>
      </c>
      <c r="AL104" s="16">
        <f>IFERROR(AK104/AK148, "NA")</f>
        <v>7.9425708984756112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2238.1499999999996</v>
      </c>
      <c r="E105" s="14">
        <f>IFERROR(D105/D148, "NA")</f>
        <v>8.7309661699685806E-2</v>
      </c>
      <c r="F105" s="13">
        <f>IFERROR(F104, "NA")</f>
        <v>15169.11</v>
      </c>
      <c r="G105" s="14">
        <f>IFERROR(F105/F148, "NA")</f>
        <v>0.44047400920200419</v>
      </c>
      <c r="H105" s="13">
        <f>IFERROR(H104, "NA")</f>
        <v>0</v>
      </c>
      <c r="I105" s="14">
        <f>IFERROR(H105/H148, "NA")</f>
        <v>0</v>
      </c>
      <c r="J105" s="13">
        <f>IFERROR(J104, "NA")</f>
        <v>0</v>
      </c>
      <c r="K105" s="14">
        <f>IFERROR(J105/J148, "NA")</f>
        <v>0</v>
      </c>
      <c r="L105" s="13">
        <f>IFERROR(L104, "NA")</f>
        <v>2588.61</v>
      </c>
      <c r="M105" s="14">
        <f>IFERROR(L105/L148, "NA")</f>
        <v>5.7005712000486236E-2</v>
      </c>
      <c r="N105" s="13">
        <f>IFERROR(N104, "NA")</f>
        <v>12842.849999999999</v>
      </c>
      <c r="O105" s="14">
        <f>IFERROR(N105/N148, "NA")</f>
        <v>0.31714985067137375</v>
      </c>
      <c r="P105" s="13">
        <f>IFERROR(P104, "NA")</f>
        <v>0</v>
      </c>
      <c r="Q105" s="14">
        <f>IFERROR(P105/P148, "NA")</f>
        <v>0</v>
      </c>
      <c r="R105" s="13">
        <f>IFERROR(R104, "NA")</f>
        <v>0</v>
      </c>
      <c r="S105" s="14">
        <f>IFERROR(R105/R148, "NA")</f>
        <v>0</v>
      </c>
      <c r="T105" s="13">
        <f>IFERROR(T104, "NA")</f>
        <v>2799.69</v>
      </c>
      <c r="U105" s="14">
        <f>IFERROR(T105/T148, "NA")</f>
        <v>0.11424298501006877</v>
      </c>
      <c r="V105" s="13">
        <f>IFERROR(V104, "NA")</f>
        <v>12842.849999999999</v>
      </c>
      <c r="W105" s="14">
        <f>IFERROR(V105/V148, "NA")</f>
        <v>0.49692201139107284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3910.6349999999998</v>
      </c>
      <c r="AC105" s="14">
        <f>IFERROR(AB105/AB148, "NA")</f>
        <v>0.15227634174413179</v>
      </c>
      <c r="AD105" s="15">
        <f>IFERROR(X105-AB105, "NA")</f>
        <v>-3910.6349999999998</v>
      </c>
      <c r="AE105" s="16">
        <f>IFERROR(AD105/AD148, "NA")</f>
        <v>-3.0787128975943121</v>
      </c>
      <c r="AF105" s="15">
        <f>IFERROR((X105-AB105)/AB105, "NA")</f>
        <v>-1</v>
      </c>
      <c r="AG105" s="13">
        <f>IFERROR((J105+L105+N105+P105+R105+T105+V105+X105)/8, "NA")</f>
        <v>3884.2499999999995</v>
      </c>
      <c r="AH105" s="14">
        <f>IFERROR(AG105/AG148, "NA")</f>
        <v>0.12597525008361457</v>
      </c>
      <c r="AI105" s="15">
        <f>IFERROR(X105-AG105, "NA")</f>
        <v>-3884.2499999999995</v>
      </c>
      <c r="AJ105" s="16">
        <f>IFERROR(AI105/AI148, "NA")</f>
        <v>1.0005673552423042</v>
      </c>
      <c r="AK105" s="15">
        <f>IFERROR((X105-AG105)/AG105, "NA")</f>
        <v>-1</v>
      </c>
      <c r="AL105" s="16">
        <f>IFERROR(AK105/AK148, "NA")</f>
        <v>7.9425708984756112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6945.0499999999993</v>
      </c>
      <c r="C107" s="34">
        <f>IFERROR(B107/B148, "NA")</f>
        <v>0.26615862479952013</v>
      </c>
      <c r="D107" s="33">
        <f>IFERROR(D87-D99-D105, "NA")</f>
        <v>2276.0999999999922</v>
      </c>
      <c r="E107" s="34">
        <f>IFERROR(D107/D148, "NA")</f>
        <v>8.8790081538169557E-2</v>
      </c>
      <c r="F107" s="33">
        <f>IFERROR(F87-F99-F105, "NA")</f>
        <v>-8975.7000000000044</v>
      </c>
      <c r="G107" s="34">
        <f>IFERROR(F107/F148, "NA")</f>
        <v>-0.26063246719118199</v>
      </c>
      <c r="H107" s="33">
        <f>IFERROR(H87-H99-H105, "NA")</f>
        <v>5342.9500000000044</v>
      </c>
      <c r="I107" s="34">
        <f>IFERROR(H107/H148, "NA")</f>
        <v>0.18715094952936873</v>
      </c>
      <c r="J107" s="33">
        <f>IFERROR(J87-J99-J105, "NA")</f>
        <v>8823.9899999999907</v>
      </c>
      <c r="K107" s="34">
        <f>IFERROR(J107/J148, "NA")</f>
        <v>0.25289225785983066</v>
      </c>
      <c r="L107" s="33">
        <f>IFERROR(L87-L99-L105, "NA")</f>
        <v>7803.5899999999892</v>
      </c>
      <c r="M107" s="34">
        <f>IFERROR(L107/L148, "NA")</f>
        <v>0.17184867713169374</v>
      </c>
      <c r="N107" s="33">
        <f>IFERROR(N87-N99-N105, "NA")</f>
        <v>-3528.2800000000025</v>
      </c>
      <c r="O107" s="34">
        <f>IFERROR(N107/N148, "NA")</f>
        <v>-8.7129685009697658E-2</v>
      </c>
      <c r="P107" s="33">
        <f>IFERROR(P87-P99-P105, "NA")</f>
        <v>5698.4699999999993</v>
      </c>
      <c r="Q107" s="34">
        <f>IFERROR(P107/P148, "NA")</f>
        <v>0.24619377282224184</v>
      </c>
      <c r="R107" s="33">
        <f>IFERROR(R87-R99-R105, "NA")</f>
        <v>6465.7700000000059</v>
      </c>
      <c r="S107" s="34">
        <f>IFERROR(R107/R148, "NA")</f>
        <v>0.2543370813919415</v>
      </c>
      <c r="T107" s="33">
        <f>IFERROR(T87-T99-T105, "NA")</f>
        <v>-1713.5899999999961</v>
      </c>
      <c r="U107" s="34">
        <f>IFERROR(T107/T148, "NA")</f>
        <v>-6.9924040405688948E-2</v>
      </c>
      <c r="V107" s="33">
        <f>IFERROR(V87-V99-V105, "NA")</f>
        <v>-9302.1900000000023</v>
      </c>
      <c r="W107" s="34">
        <f>IFERROR(V107/V148, "NA")</f>
        <v>-0.35992501392930115</v>
      </c>
      <c r="X107" s="33">
        <f>IFERROR(X87-X99-X105, "NA")</f>
        <v>9644.1199999999972</v>
      </c>
      <c r="Y107" s="34">
        <f>IFERROR(X107/X148, "NA")</f>
        <v>0.35783386311429566</v>
      </c>
      <c r="Z107" s="33">
        <f>IFERROR(Z87-Z99-Z105, "NA")</f>
        <v>9644.1199999999972</v>
      </c>
      <c r="AA107" s="34">
        <f>IFERROR(Z107/Z148, "NA")</f>
        <v>0.35783386311429566</v>
      </c>
      <c r="AB107" s="33">
        <f>IFERROR((R107+T107+V107+X107)/4, "NA")</f>
        <v>1273.5275000000011</v>
      </c>
      <c r="AC107" s="34">
        <f>IFERROR(AB107/AB148, "NA")</f>
        <v>4.9589928185716635E-2</v>
      </c>
      <c r="AD107" s="15">
        <f>IFERROR(X107-AB107, "NA")</f>
        <v>8370.5924999999952</v>
      </c>
      <c r="AE107" s="16">
        <f>IFERROR(AD107/AD148, "NA")</f>
        <v>6.589889133160268</v>
      </c>
      <c r="AF107" s="15">
        <f>IFERROR((X107-AB107)/AB107, "NA")</f>
        <v>6.5727614833601855</v>
      </c>
      <c r="AG107" s="33">
        <f>IFERROR((J107+L107+N107+P107+R107+T107+V107+X107)/8, "NA")</f>
        <v>2986.4849999999969</v>
      </c>
      <c r="AH107" s="34">
        <f>IFERROR(AG107/AG148, "NA")</f>
        <v>9.6858645747818314E-2</v>
      </c>
      <c r="AI107" s="15">
        <f>IFERROR(X107-AG107, "NA")</f>
        <v>6657.6350000000002</v>
      </c>
      <c r="AJ107" s="16">
        <f>IFERROR(AI107/AI148, "NA")</f>
        <v>-1.7149803035640341</v>
      </c>
      <c r="AK107" s="15">
        <f>IFERROR((X107-AG107)/AG107, "NA")</f>
        <v>2.2292544579999589</v>
      </c>
      <c r="AL107" s="16">
        <f>IFERROR(AK107/AK148, "NA")</f>
        <v>-17.706011583407495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535.04</v>
      </c>
      <c r="C128" s="8">
        <f>IFERROR(B128/B148, "NA")</f>
        <v>2.0504605526631955E-2</v>
      </c>
      <c r="D128" s="7">
        <v>472.31999999999994</v>
      </c>
      <c r="E128" s="8">
        <f>IFERROR(D128/D148, "NA")</f>
        <v>1.8425082954223623E-2</v>
      </c>
      <c r="F128" s="7">
        <v>-2024.8999999999999</v>
      </c>
      <c r="G128" s="8">
        <f>IFERROR(F128/F148, "NA")</f>
        <v>-5.8798164245175769E-2</v>
      </c>
      <c r="H128" s="7">
        <v>395.29</v>
      </c>
      <c r="I128" s="8">
        <f>IFERROR(H128/H148, "NA")</f>
        <v>1.3846077324224278E-2</v>
      </c>
      <c r="J128" s="7">
        <v>517.84</v>
      </c>
      <c r="K128" s="8">
        <f>IFERROR(J128/J148, "NA")</f>
        <v>1.4841100999676433E-2</v>
      </c>
      <c r="L128" s="7">
        <v>495.83000000000004</v>
      </c>
      <c r="M128" s="8">
        <f>IFERROR(L128/L148, "NA")</f>
        <v>1.0919042335925879E-2</v>
      </c>
      <c r="N128" s="7">
        <v>-1408.96</v>
      </c>
      <c r="O128" s="8">
        <f>IFERROR(N128/N148, "NA")</f>
        <v>-3.4793792156876301E-2</v>
      </c>
      <c r="P128" s="7">
        <v>320.27000000000004</v>
      </c>
      <c r="Q128" s="8">
        <f>IFERROR(P128/P148, "NA")</f>
        <v>1.3836780683548287E-2</v>
      </c>
      <c r="R128" s="7">
        <v>238.57999999999998</v>
      </c>
      <c r="S128" s="8">
        <f>IFERROR(R128/R148, "NA")</f>
        <v>9.3847663740729004E-3</v>
      </c>
      <c r="T128" s="7">
        <v>346.92999999999995</v>
      </c>
      <c r="U128" s="8">
        <f>IFERROR(T128/T148, "NA")</f>
        <v>1.415668120025544E-2</v>
      </c>
      <c r="V128" s="7">
        <v>-905.78000000000009</v>
      </c>
      <c r="W128" s="8">
        <f>IFERROR(V128/V148, "NA")</f>
        <v>-3.5046895313564051E-2</v>
      </c>
      <c r="X128" s="7">
        <v>379.11</v>
      </c>
      <c r="Y128" s="8">
        <f>IFERROR(X128/X148, "NA")</f>
        <v>1.4066435905532146E-2</v>
      </c>
      <c r="Z128" s="7">
        <v>379.11</v>
      </c>
      <c r="AA128" s="8">
        <f>IFERROR(Z128/Z148, "NA")</f>
        <v>1.4066435905532146E-2</v>
      </c>
      <c r="AB128" s="9">
        <f t="shared" si="42"/>
        <v>14.70999999999998</v>
      </c>
      <c r="AC128" s="8">
        <f>IFERROR(AB128/AB148, "NA")</f>
        <v>5.7279316199445251E-4</v>
      </c>
      <c r="AD128" s="10">
        <f t="shared" si="43"/>
        <v>364.40000000000003</v>
      </c>
      <c r="AE128" s="11">
        <f>IFERROR(AD128/AD148, "NA")</f>
        <v>0.2868800028341606</v>
      </c>
      <c r="AF128" s="10">
        <f t="shared" si="44"/>
        <v>24.772263766145517</v>
      </c>
      <c r="AG128" s="9">
        <f t="shared" si="45"/>
        <v>-2.022500000000008</v>
      </c>
      <c r="AH128" s="8">
        <f>IFERROR(AG128/AG148, "NA")</f>
        <v>-6.5594372991983392E-5</v>
      </c>
      <c r="AI128" s="10">
        <f t="shared" si="46"/>
        <v>381.13250000000005</v>
      </c>
      <c r="AJ128" s="11">
        <f>IFERROR(AI128/AI148, "NA")</f>
        <v>-9.8178216521049785E-2</v>
      </c>
      <c r="AK128" s="10">
        <f t="shared" si="47"/>
        <v>-188.44622991347271</v>
      </c>
      <c r="AL128" s="11">
        <f>IFERROR(AK128/AK148, "NA")</f>
        <v>1496.7475416381924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535.04</v>
      </c>
      <c r="C135" s="14">
        <f>IFERROR(B135/B148, "NA")</f>
        <v>2.0504605526631955E-2</v>
      </c>
      <c r="D135" s="13">
        <f>IFERROR(D110+D111+D112+D113+D114+D115+D116+D117+D118+D119+D120+D121+D122+D123+D124+D125+D126+D127+D128+D129+D130+D131+D132+D133+D134, "NA")</f>
        <v>472.31999999999994</v>
      </c>
      <c r="E135" s="14">
        <f>IFERROR(D135/D148, "NA")</f>
        <v>1.8425082954223623E-2</v>
      </c>
      <c r="F135" s="13">
        <f>IFERROR(F110+F111+F112+F113+F114+F115+F116+F117+F118+F119+F120+F121+F122+F123+F124+F125+F126+F127+F128+F129+F130+F131+F132+F133+F134, "NA")</f>
        <v>-2024.8999999999999</v>
      </c>
      <c r="G135" s="14">
        <f>IFERROR(F135/F148, "NA")</f>
        <v>-5.8798164245175769E-2</v>
      </c>
      <c r="H135" s="13">
        <f>IFERROR(H110+H111+H112+H113+H114+H115+H116+H117+H118+H119+H120+H121+H122+H123+H124+H125+H126+H127+H128+H129+H130+H131+H132+H133+H134, "NA")</f>
        <v>395.29</v>
      </c>
      <c r="I135" s="14">
        <f>IFERROR(H135/H148, "NA")</f>
        <v>1.3846077324224278E-2</v>
      </c>
      <c r="J135" s="13">
        <f>IFERROR(J110+J111+J112+J113+J114+J115+J116+J117+J118+J119+J120+J121+J122+J123+J124+J125+J126+J127+J128+J129+J130+J131+J132+J133+J134, "NA")</f>
        <v>517.84</v>
      </c>
      <c r="K135" s="14">
        <f>IFERROR(J135/J148, "NA")</f>
        <v>1.4841100999676433E-2</v>
      </c>
      <c r="L135" s="13">
        <f>IFERROR(L110+L111+L112+L113+L114+L115+L116+L117+L118+L119+L120+L121+L122+L123+L124+L125+L126+L127+L128+L129+L130+L131+L132+L133+L134, "NA")</f>
        <v>495.83000000000004</v>
      </c>
      <c r="M135" s="14">
        <f>IFERROR(L135/L148, "NA")</f>
        <v>1.0919042335925879E-2</v>
      </c>
      <c r="N135" s="13">
        <f>IFERROR(N110+N111+N112+N113+N114+N115+N116+N117+N118+N119+N120+N121+N122+N123+N124+N125+N126+N127+N128+N129+N130+N131+N132+N133+N134, "NA")</f>
        <v>-1408.96</v>
      </c>
      <c r="O135" s="14">
        <f>IFERROR(N135/N148, "NA")</f>
        <v>-3.4793792156876301E-2</v>
      </c>
      <c r="P135" s="13">
        <f>IFERROR(P110+P111+P112+P113+P114+P115+P116+P117+P118+P119+P120+P121+P122+P123+P124+P125+P126+P127+P128+P129+P130+P131+P132+P133+P134, "NA")</f>
        <v>320.27000000000004</v>
      </c>
      <c r="Q135" s="14">
        <f>IFERROR(P135/P148, "NA")</f>
        <v>1.3836780683548287E-2</v>
      </c>
      <c r="R135" s="13">
        <f>IFERROR(R110+R111+R112+R113+R114+R115+R116+R117+R118+R119+R120+R121+R122+R123+R124+R125+R126+R127+R128+R129+R130+R131+R132+R133+R134, "NA")</f>
        <v>238.57999999999998</v>
      </c>
      <c r="S135" s="14">
        <f>IFERROR(R135/R148, "NA")</f>
        <v>9.3847663740729004E-3</v>
      </c>
      <c r="T135" s="13">
        <f>IFERROR(T110+T111+T112+T113+T114+T115+T116+T117+T118+T119+T120+T121+T122+T123+T124+T125+T126+T127+T128+T129+T130+T131+T132+T133+T134, "NA")</f>
        <v>346.92999999999995</v>
      </c>
      <c r="U135" s="14">
        <f>IFERROR(T135/T148, "NA")</f>
        <v>1.415668120025544E-2</v>
      </c>
      <c r="V135" s="13">
        <f>IFERROR(V110+V111+V112+V113+V114+V115+V116+V117+V118+V119+V120+V121+V122+V123+V124+V125+V126+V127+V128+V129+V130+V131+V132+V133+V134, "NA")</f>
        <v>-905.78000000000009</v>
      </c>
      <c r="W135" s="14">
        <f>IFERROR(V135/V148, "NA")</f>
        <v>-3.5046895313564051E-2</v>
      </c>
      <c r="X135" s="13">
        <f>IFERROR(X110+X111+X112+X113+X114+X115+X116+X117+X118+X119+X120+X121+X122+X123+X124+X125+X126+X127+X128+X129+X130+X131+X132+X133+X134, "NA")</f>
        <v>379.11</v>
      </c>
      <c r="Y135" s="14">
        <f>IFERROR(X135/X148, "NA")</f>
        <v>1.4066435905532146E-2</v>
      </c>
      <c r="Z135" s="13">
        <f>IFERROR(Z110+Z111+Z112+Z113+Z114+Z115+Z116+Z117+Z118+Z119+Z120+Z121+Z122+Z123+Z124+Z125+Z126+Z127+Z128+Z129+Z130+Z131+Z132+Z133+Z134, "NA")</f>
        <v>379.11</v>
      </c>
      <c r="AA135" s="14">
        <f>IFERROR(Z135/Z148, "NA")</f>
        <v>1.4066435905532146E-2</v>
      </c>
      <c r="AB135" s="13">
        <f t="shared" si="42"/>
        <v>14.70999999999998</v>
      </c>
      <c r="AC135" s="14">
        <f>IFERROR(AB135/AB148, "NA")</f>
        <v>5.7279316199445251E-4</v>
      </c>
      <c r="AD135" s="15">
        <f t="shared" si="43"/>
        <v>364.40000000000003</v>
      </c>
      <c r="AE135" s="16">
        <f>IFERROR(AD135/AD148, "NA")</f>
        <v>0.2868800028341606</v>
      </c>
      <c r="AF135" s="15">
        <f t="shared" si="44"/>
        <v>24.772263766145517</v>
      </c>
      <c r="AG135" s="13">
        <f t="shared" si="45"/>
        <v>-2.022500000000008</v>
      </c>
      <c r="AH135" s="14">
        <f>IFERROR(AG135/AG148, "NA")</f>
        <v>-6.5594372991983392E-5</v>
      </c>
      <c r="AI135" s="15">
        <f t="shared" si="46"/>
        <v>381.13250000000005</v>
      </c>
      <c r="AJ135" s="16">
        <f>IFERROR(AI135/AI148, "NA")</f>
        <v>-9.8178216521049785E-2</v>
      </c>
      <c r="AK135" s="15">
        <f t="shared" si="47"/>
        <v>-188.44622991347271</v>
      </c>
      <c r="AL135" s="16">
        <f>IFERROR(AK135/AK148, "NA")</f>
        <v>1496.7475416381924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6410.0099999999993</v>
      </c>
      <c r="C137" s="34">
        <f>IFERROR(B137/B148, "NA")</f>
        <v>0.24565401927288819</v>
      </c>
      <c r="D137" s="33">
        <f>IFERROR(D107-D135, "NA")</f>
        <v>1803.7799999999922</v>
      </c>
      <c r="E137" s="34">
        <f>IFERROR(D137/D148, "NA")</f>
        <v>7.0364998583945945E-2</v>
      </c>
      <c r="F137" s="33">
        <f>IFERROR(F107-F135, "NA")</f>
        <v>-6950.8000000000047</v>
      </c>
      <c r="G137" s="34">
        <f>IFERROR(F137/F148, "NA")</f>
        <v>-0.20183430294600624</v>
      </c>
      <c r="H137" s="33">
        <f>IFERROR(H107-H135, "NA")</f>
        <v>4947.6600000000044</v>
      </c>
      <c r="I137" s="34">
        <f>IFERROR(H137/H148, "NA")</f>
        <v>0.17330487220514446</v>
      </c>
      <c r="J137" s="33">
        <f>IFERROR(J107-J135, "NA")</f>
        <v>8306.1499999999905</v>
      </c>
      <c r="K137" s="34">
        <f>IFERROR(J137/J148, "NA")</f>
        <v>0.23805115686015421</v>
      </c>
      <c r="L137" s="33">
        <f>IFERROR(L107-L135, "NA")</f>
        <v>7307.7599999999893</v>
      </c>
      <c r="M137" s="34">
        <f>IFERROR(L137/L148, "NA")</f>
        <v>0.16092963479576788</v>
      </c>
      <c r="N137" s="33">
        <f>IFERROR(N107-N135, "NA")</f>
        <v>-2119.3200000000024</v>
      </c>
      <c r="O137" s="34">
        <f>IFERROR(N137/N148, "NA")</f>
        <v>-5.233589285282135E-2</v>
      </c>
      <c r="P137" s="33">
        <f>IFERROR(P107-P135, "NA")</f>
        <v>5378.1999999999989</v>
      </c>
      <c r="Q137" s="34">
        <f>IFERROR(P137/P148, "NA")</f>
        <v>0.23235699213869351</v>
      </c>
      <c r="R137" s="33">
        <f>IFERROR(R107-R135, "NA")</f>
        <v>6227.190000000006</v>
      </c>
      <c r="S137" s="34">
        <f>IFERROR(R137/R148, "NA")</f>
        <v>0.2449523150178686</v>
      </c>
      <c r="T137" s="33">
        <f>IFERROR(T107-T135, "NA")</f>
        <v>-2060.5199999999959</v>
      </c>
      <c r="U137" s="34">
        <f>IFERROR(T137/T148, "NA")</f>
        <v>-8.4080721605944389E-2</v>
      </c>
      <c r="V137" s="33">
        <f>IFERROR(V107-V135, "NA")</f>
        <v>-8396.4100000000017</v>
      </c>
      <c r="W137" s="34">
        <f>IFERROR(V137/V148, "NA")</f>
        <v>-0.32487811861573707</v>
      </c>
      <c r="X137" s="33">
        <f>IFERROR(X107-X135, "NA")</f>
        <v>9265.0099999999966</v>
      </c>
      <c r="Y137" s="34">
        <f>IFERROR(X137/X148, "NA")</f>
        <v>0.34376742720876352</v>
      </c>
      <c r="Z137" s="33">
        <f>IFERROR(Z107-Z135, "NA")</f>
        <v>9265.0099999999966</v>
      </c>
      <c r="AA137" s="34">
        <f>IFERROR(Z137/Z148, "NA")</f>
        <v>0.34376742720876352</v>
      </c>
      <c r="AB137" s="33">
        <f>IFERROR((R137+T137+V137+X137)/4, "NA")</f>
        <v>1258.8175000000012</v>
      </c>
      <c r="AC137" s="34">
        <f>IFERROR(AB137/AB148, "NA")</f>
        <v>4.9017135023722194E-2</v>
      </c>
      <c r="AD137" s="15">
        <f>IFERROR(X137-AB137, "NA")</f>
        <v>8006.1924999999956</v>
      </c>
      <c r="AE137" s="16">
        <f>IFERROR(AD137/AD148, "NA")</f>
        <v>6.3030091303261075</v>
      </c>
      <c r="AF137" s="15">
        <f>IFERROR((X137-AB137)/AB137, "NA")</f>
        <v>6.3600899256643535</v>
      </c>
      <c r="AG137" s="33">
        <f>IFERROR((J137+L137+N137+P137+R137+T137+V137+X137)/8, "NA")</f>
        <v>2988.5074999999979</v>
      </c>
      <c r="AH137" s="34">
        <f>IFERROR(AG137/AG148, "NA")</f>
        <v>9.6924240120810329E-2</v>
      </c>
      <c r="AI137" s="15">
        <f>IFERROR(X137-AG137, "NA")</f>
        <v>6276.5024999999987</v>
      </c>
      <c r="AJ137" s="16">
        <f>IFERROR(AI137/AI148, "NA")</f>
        <v>-1.6168020870429838</v>
      </c>
      <c r="AK137" s="15">
        <f>IFERROR((X137-AG137)/AG137, "NA")</f>
        <v>2.1002130662211833</v>
      </c>
      <c r="AL137" s="16">
        <f>IFERROR(AK137/AK148, "NA")</f>
        <v>-16.6810911803666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-82.53</v>
      </c>
      <c r="E140" s="8">
        <f>IFERROR(D140/D148, "NA")</f>
        <v>-3.2194742890668949E-3</v>
      </c>
      <c r="F140" s="7">
        <v>3752.76</v>
      </c>
      <c r="G140" s="8">
        <f>IFERROR(F140/F148, "NA")</f>
        <v>0.10897101034753609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3445.4100000000003</v>
      </c>
      <c r="O140" s="8">
        <f>IFERROR(N140/N148, "NA")</f>
        <v>8.5083238300039166E-2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3305.3500000000004</v>
      </c>
      <c r="W140" s="8">
        <f>IFERROR(V140/V148, "NA")</f>
        <v>0.12789226459481212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826.33750000000009</v>
      </c>
      <c r="AC140" s="8">
        <f>IFERROR(AB140/AB148, "NA")</f>
        <v>3.2176782426892703E-2</v>
      </c>
      <c r="AD140" s="10">
        <f>IFERROR(X140-AB140, "NA")</f>
        <v>-826.33750000000009</v>
      </c>
      <c r="AE140" s="11">
        <f>IFERROR(AD140/AD148, "NA")</f>
        <v>-0.65054803606469036</v>
      </c>
      <c r="AF140" s="10">
        <f>IFERROR((X140-AB140)/AB140, "NA")</f>
        <v>-1</v>
      </c>
      <c r="AG140" s="9">
        <f>IFERROR((J140+L140+N140+P140+R140+T140+V140+X140)/8, "NA")</f>
        <v>843.84500000000003</v>
      </c>
      <c r="AH140" s="8">
        <f>IFERROR(AG140/AG148, "NA")</f>
        <v>2.7367853486981463E-2</v>
      </c>
      <c r="AI140" s="10">
        <f>IFERROR(X140-AG140, "NA")</f>
        <v>-843.84500000000003</v>
      </c>
      <c r="AJ140" s="11">
        <f>IFERROR(AI140/AI148, "NA")</f>
        <v>0.21737111665944323</v>
      </c>
      <c r="AK140" s="10">
        <f>IFERROR((X140-AG140)/AG140, "NA")</f>
        <v>-1</v>
      </c>
      <c r="AL140" s="11">
        <f>IFERROR(AK140/AK148, "NA")</f>
        <v>7.9425708984756112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-82.53</v>
      </c>
      <c r="E141" s="14">
        <f>IFERROR(D141/D148, "NA")</f>
        <v>-3.2194742890668949E-3</v>
      </c>
      <c r="F141" s="13">
        <f>IFERROR(F140, "NA")</f>
        <v>3752.76</v>
      </c>
      <c r="G141" s="14">
        <f>IFERROR(F141/F148, "NA")</f>
        <v>0.10897101034753609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3445.4100000000003</v>
      </c>
      <c r="O141" s="14">
        <f>IFERROR(N141/N148, "NA")</f>
        <v>8.5083238300039166E-2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3305.3500000000004</v>
      </c>
      <c r="W141" s="14">
        <f>IFERROR(V141/V148, "NA")</f>
        <v>0.12789226459481212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826.33750000000009</v>
      </c>
      <c r="AC141" s="14">
        <f>IFERROR(AB141/AB148, "NA")</f>
        <v>3.2176782426892703E-2</v>
      </c>
      <c r="AD141" s="15">
        <f>IFERROR(X141-AB141, "NA")</f>
        <v>-826.33750000000009</v>
      </c>
      <c r="AE141" s="16">
        <f>IFERROR(AD141/AD148, "NA")</f>
        <v>-0.65054803606469036</v>
      </c>
      <c r="AF141" s="15">
        <f>IFERROR((X141-AB141)/AB141, "NA")</f>
        <v>-1</v>
      </c>
      <c r="AG141" s="13">
        <f>IFERROR((J141+L141+N141+P141+R141+T141+V141+X141)/8, "NA")</f>
        <v>843.84500000000003</v>
      </c>
      <c r="AH141" s="14">
        <f>IFERROR(AG141/AG148, "NA")</f>
        <v>2.7367853486981463E-2</v>
      </c>
      <c r="AI141" s="15">
        <f>IFERROR(X141-AG141, "NA")</f>
        <v>-843.84500000000003</v>
      </c>
      <c r="AJ141" s="16">
        <f>IFERROR(AI141/AI148, "NA")</f>
        <v>0.21737111665944323</v>
      </c>
      <c r="AK141" s="15">
        <f>IFERROR((X141-AG141)/AG141, "NA")</f>
        <v>-1</v>
      </c>
      <c r="AL141" s="16">
        <f>IFERROR(AK141/AK148, "NA")</f>
        <v>7.9425708984756112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6410.0099999999993</v>
      </c>
      <c r="C147" s="34">
        <f>IFERROR(B147/B148, "NA")</f>
        <v>0.24565401927288819</v>
      </c>
      <c r="D147" s="33">
        <f>IFERROR(D137-D141-D145, "NA")</f>
        <v>1886.3099999999922</v>
      </c>
      <c r="E147" s="34">
        <f>IFERROR(D147/D148, "NA")</f>
        <v>7.3584472873012841E-2</v>
      </c>
      <c r="F147" s="33">
        <f>IFERROR(F137-F141-F145, "NA")</f>
        <v>-10703.560000000005</v>
      </c>
      <c r="G147" s="34">
        <f>IFERROR(F147/F148, "NA")</f>
        <v>-0.31080531329354233</v>
      </c>
      <c r="H147" s="33">
        <f>IFERROR(H137-H141-H145, "NA")</f>
        <v>4947.6600000000044</v>
      </c>
      <c r="I147" s="34">
        <f>IFERROR(H147/H148, "NA")</f>
        <v>0.17330487220514446</v>
      </c>
      <c r="J147" s="33">
        <f>IFERROR(J137-J141-J145, "NA")</f>
        <v>8306.1499999999905</v>
      </c>
      <c r="K147" s="34">
        <f>IFERROR(J147/J148, "NA")</f>
        <v>0.23805115686015421</v>
      </c>
      <c r="L147" s="33">
        <f>IFERROR(L137-L141-L145, "NA")</f>
        <v>7307.7599999999893</v>
      </c>
      <c r="M147" s="34">
        <f>IFERROR(L147/L148, "NA")</f>
        <v>0.16092963479576788</v>
      </c>
      <c r="N147" s="33">
        <f>IFERROR(N137-N141-N145, "NA")</f>
        <v>-5564.7300000000032</v>
      </c>
      <c r="O147" s="34">
        <f>IFERROR(N147/N148, "NA")</f>
        <v>-0.13741913115286053</v>
      </c>
      <c r="P147" s="33">
        <f>IFERROR(P137-P141-P145, "NA")</f>
        <v>5378.1999999999989</v>
      </c>
      <c r="Q147" s="34">
        <f>IFERROR(P147/P148, "NA")</f>
        <v>0.23235699213869351</v>
      </c>
      <c r="R147" s="33">
        <f>IFERROR(R137-R141-R145, "NA")</f>
        <v>6227.190000000006</v>
      </c>
      <c r="S147" s="34">
        <f>IFERROR(R147/R148, "NA")</f>
        <v>0.2449523150178686</v>
      </c>
      <c r="T147" s="33">
        <f>IFERROR(T137-T141-T145, "NA")</f>
        <v>-2060.5199999999959</v>
      </c>
      <c r="U147" s="34">
        <f>IFERROR(T147/T148, "NA")</f>
        <v>-8.4080721605944389E-2</v>
      </c>
      <c r="V147" s="33">
        <f>IFERROR(V137-V141-V145, "NA")</f>
        <v>-11701.760000000002</v>
      </c>
      <c r="W147" s="34">
        <f>IFERROR(V147/V148, "NA")</f>
        <v>-0.45277038321054924</v>
      </c>
      <c r="X147" s="33">
        <f>IFERROR(X137-X141-X145, "NA")</f>
        <v>9265.0099999999966</v>
      </c>
      <c r="Y147" s="34">
        <f>IFERROR(X147/X148, "NA")</f>
        <v>0.34376742720876352</v>
      </c>
      <c r="Z147" s="33">
        <f>IFERROR(Z137-Z141-Z145, "NA")</f>
        <v>9265.0099999999966</v>
      </c>
      <c r="AA147" s="34">
        <f>IFERROR(Z147/Z148, "NA")</f>
        <v>0.34376742720876352</v>
      </c>
      <c r="AB147" s="33">
        <f>IFERROR((R147+T147+V147+X147)/4, "NA")</f>
        <v>432.48000000000116</v>
      </c>
      <c r="AC147" s="34">
        <f>IFERROR(AB147/AB148, "NA")</f>
        <v>1.6840352596829491E-2</v>
      </c>
      <c r="AD147" s="15">
        <f>IFERROR(X147-AB147, "NA")</f>
        <v>8832.5299999999952</v>
      </c>
      <c r="AE147" s="16">
        <f>IFERROR(AD147/AD148, "NA")</f>
        <v>6.953557166390798</v>
      </c>
      <c r="AF147" s="15">
        <f>IFERROR((X147-AB147)/AB147, "NA")</f>
        <v>20.42297909729923</v>
      </c>
      <c r="AG147" s="33">
        <f>IFERROR((J147+L147+N147+P147+R147+T147+V147+X147)/8, "NA")</f>
        <v>2144.6624999999976</v>
      </c>
      <c r="AH147" s="34">
        <f>IFERROR(AG147/AG148, "NA")</f>
        <v>6.9556386633828862E-2</v>
      </c>
      <c r="AI147" s="15">
        <f>IFERROR(X147-AG147, "NA")</f>
        <v>7120.3474999999989</v>
      </c>
      <c r="AJ147" s="16">
        <f>IFERROR(AI147/AI148, "NA")</f>
        <v>-1.8341732037024272</v>
      </c>
      <c r="AK147" s="15">
        <f>IFERROR((X147-AG147)/AG147, "NA")</f>
        <v>3.3200317066205085</v>
      </c>
      <c r="AL147" s="16">
        <f>IFERROR(AK147/AK148, "NA")</f>
        <v>-26.369587215020367</v>
      </c>
    </row>
    <row r="148" spans="1:38" ht="15.6" hidden="1">
      <c r="A148" s="40" t="s">
        <v>25</v>
      </c>
      <c r="B148" s="7">
        <v>26093.65</v>
      </c>
      <c r="C148" s="41"/>
      <c r="D148" s="7">
        <v>25634.62</v>
      </c>
      <c r="E148" s="41"/>
      <c r="F148" s="7">
        <v>34438.15</v>
      </c>
      <c r="G148" s="41"/>
      <c r="H148" s="7">
        <v>28548.880000000001</v>
      </c>
      <c r="I148" s="41"/>
      <c r="J148" s="7">
        <v>34892.29</v>
      </c>
      <c r="K148" s="41"/>
      <c r="L148" s="7">
        <v>45409.66</v>
      </c>
      <c r="M148" s="41"/>
      <c r="N148" s="7">
        <v>40494.58</v>
      </c>
      <c r="O148" s="41"/>
      <c r="P148" s="7">
        <v>23146.28</v>
      </c>
      <c r="Q148" s="41"/>
      <c r="R148" s="7">
        <v>25422.05</v>
      </c>
      <c r="S148" s="41"/>
      <c r="T148" s="7">
        <v>24506.45</v>
      </c>
      <c r="U148" s="41"/>
      <c r="V148" s="7">
        <v>25844.799999999999</v>
      </c>
      <c r="W148" s="41"/>
      <c r="X148" s="7">
        <v>26951.39</v>
      </c>
      <c r="Y148" s="41"/>
      <c r="Z148" s="7">
        <v>26951.39</v>
      </c>
      <c r="AA148" s="41"/>
      <c r="AB148" s="9">
        <f>IFERROR((R148+T148+V148+X148)/4, "NA")</f>
        <v>25681.172500000001</v>
      </c>
      <c r="AC148" s="41"/>
      <c r="AD148" s="10">
        <f>IFERROR(X148-AB148, "NA")</f>
        <v>1270.2174999999988</v>
      </c>
      <c r="AE148" s="42"/>
      <c r="AF148" s="10">
        <f>IFERROR((X148-AB148)/AB148, "NA")</f>
        <v>4.9461039989509778E-2</v>
      </c>
      <c r="AG148" s="9">
        <f>IFERROR((J148+L148+N148+P148+R148+T148+V148+X148)/8, "NA")</f>
        <v>30833.4375</v>
      </c>
      <c r="AH148" s="41"/>
      <c r="AI148" s="10">
        <f>IFERROR(X148-AG148, "NA")</f>
        <v>-3882.0475000000006</v>
      </c>
      <c r="AJ148" s="42"/>
      <c r="AK148" s="10">
        <f>IFERROR((X148-AG148)/AG148, "NA")</f>
        <v>-0.12590381789250712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83 A85:AL153 A84:AE84 AG84:AL8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154</v>
      </c>
      <c r="B3" s="46" t="s">
        <v>154</v>
      </c>
      <c r="C3" s="46" t="s">
        <v>154</v>
      </c>
      <c r="D3" s="46" t="s">
        <v>154</v>
      </c>
      <c r="E3" s="46" t="s">
        <v>154</v>
      </c>
      <c r="F3" s="46" t="s">
        <v>154</v>
      </c>
      <c r="G3" s="46" t="s">
        <v>154</v>
      </c>
      <c r="H3" s="46" t="s">
        <v>154</v>
      </c>
      <c r="I3" s="46" t="s">
        <v>154</v>
      </c>
      <c r="J3" s="46" t="s">
        <v>154</v>
      </c>
      <c r="K3" s="46" t="s">
        <v>154</v>
      </c>
      <c r="L3" s="46" t="s">
        <v>154</v>
      </c>
      <c r="M3" s="46" t="s">
        <v>154</v>
      </c>
      <c r="N3" s="46" t="s">
        <v>154</v>
      </c>
      <c r="O3" s="46" t="s">
        <v>154</v>
      </c>
      <c r="P3" s="46" t="s">
        <v>154</v>
      </c>
      <c r="Q3" s="46" t="s">
        <v>154</v>
      </c>
      <c r="R3" s="46" t="s">
        <v>154</v>
      </c>
      <c r="S3" s="46" t="s">
        <v>154</v>
      </c>
      <c r="T3" s="46" t="s">
        <v>154</v>
      </c>
      <c r="U3" s="46" t="s">
        <v>154</v>
      </c>
      <c r="V3" s="46" t="s">
        <v>154</v>
      </c>
      <c r="W3" s="46" t="s">
        <v>154</v>
      </c>
      <c r="X3" s="46" t="s">
        <v>154</v>
      </c>
      <c r="Y3" s="46" t="s">
        <v>154</v>
      </c>
      <c r="Z3" s="46" t="s">
        <v>154</v>
      </c>
      <c r="AA3" s="46" t="s">
        <v>154</v>
      </c>
      <c r="AB3" s="46" t="s">
        <v>154</v>
      </c>
      <c r="AC3" s="46" t="s">
        <v>154</v>
      </c>
      <c r="AD3" s="46" t="s">
        <v>154</v>
      </c>
      <c r="AE3" s="46" t="s">
        <v>154</v>
      </c>
      <c r="AF3" s="46" t="s">
        <v>154</v>
      </c>
      <c r="AG3" s="46" t="s">
        <v>154</v>
      </c>
      <c r="AH3" s="46" t="s">
        <v>154</v>
      </c>
      <c r="AI3" s="46" t="s">
        <v>154</v>
      </c>
      <c r="AJ3" s="46" t="s">
        <v>154</v>
      </c>
      <c r="AK3" s="46" t="s">
        <v>154</v>
      </c>
      <c r="AL3" s="46" t="s">
        <v>154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25239.139999999996</v>
      </c>
      <c r="C7" s="8">
        <f>IFERROR(B7/B148, "NA")</f>
        <v>0.99999999999999989</v>
      </c>
      <c r="D7" s="7">
        <v>33248.910000000003</v>
      </c>
      <c r="E7" s="8">
        <f>IFERROR(D7/D148, "NA")</f>
        <v>1</v>
      </c>
      <c r="F7" s="7">
        <v>33375.4</v>
      </c>
      <c r="G7" s="8">
        <f>IFERROR(F7/F148, "NA")</f>
        <v>1</v>
      </c>
      <c r="H7" s="7">
        <v>27216.920000000002</v>
      </c>
      <c r="I7" s="8">
        <f>IFERROR(H7/H148, "NA")</f>
        <v>1.0000000000000002</v>
      </c>
      <c r="J7" s="7">
        <v>41263.460000000006</v>
      </c>
      <c r="K7" s="8">
        <f>IFERROR(J7/J148, "NA")</f>
        <v>1.0000000000000002</v>
      </c>
      <c r="L7" s="7">
        <v>32026.440000000002</v>
      </c>
      <c r="M7" s="8">
        <f>IFERROR(L7/L148, "NA")</f>
        <v>1.0000000000000002</v>
      </c>
      <c r="N7" s="7">
        <v>28859.779999999992</v>
      </c>
      <c r="O7" s="8">
        <f>IFERROR(N7/N148, "NA")</f>
        <v>0.99999999999999978</v>
      </c>
      <c r="P7" s="7">
        <v>25879.01</v>
      </c>
      <c r="Q7" s="8">
        <f>IFERROR(P7/P148, "NA")</f>
        <v>1</v>
      </c>
      <c r="R7" s="7">
        <v>25696.730000000003</v>
      </c>
      <c r="S7" s="8">
        <f>IFERROR(R7/R148, "NA")</f>
        <v>1.0000000000000002</v>
      </c>
      <c r="T7" s="7">
        <v>25164.289999999997</v>
      </c>
      <c r="U7" s="8">
        <f>IFERROR(T7/T148, "NA")</f>
        <v>0.99999999999999989</v>
      </c>
      <c r="V7" s="7">
        <v>28633.51999999999</v>
      </c>
      <c r="W7" s="8">
        <f>IFERROR(V7/V148, "NA")</f>
        <v>0.99999999999999967</v>
      </c>
      <c r="X7" s="7">
        <v>28077.239999999998</v>
      </c>
      <c r="Y7" s="8">
        <f>IFERROR(X7/X148, "NA")</f>
        <v>0.99999999999999989</v>
      </c>
      <c r="Z7" s="7">
        <v>28077.239999999998</v>
      </c>
      <c r="AA7" s="8">
        <f>IFERROR(Z7/Z148, "NA")</f>
        <v>0.99999999999999989</v>
      </c>
      <c r="AB7" s="9">
        <f>IFERROR((R7+T7+V7+X7)/4, "NA")</f>
        <v>26892.945</v>
      </c>
      <c r="AC7" s="8">
        <f>IFERROR(AB7/AB148, "NA")</f>
        <v>0.99999999999999989</v>
      </c>
      <c r="AD7" s="10">
        <f>IFERROR(X7-AB7, "NA")</f>
        <v>1184.2949999999983</v>
      </c>
      <c r="AE7" s="11">
        <f>IFERROR(AD7/AD148, "NA")</f>
        <v>1</v>
      </c>
      <c r="AF7" s="10">
        <f>IFERROR((X7-AB7)/AB7, "NA")</f>
        <v>4.403738601332053E-2</v>
      </c>
      <c r="AG7" s="9">
        <f>IFERROR((J7+L7+N7+P7+R7+T7+V7+X7)/8, "NA")</f>
        <v>29450.058749999997</v>
      </c>
      <c r="AH7" s="8">
        <f>IFERROR(AG7/AG148, "NA")</f>
        <v>1</v>
      </c>
      <c r="AI7" s="10">
        <f>IFERROR(X7-AG7, "NA")</f>
        <v>-1372.8187499999985</v>
      </c>
      <c r="AJ7" s="11">
        <f>IFERROR(AI7/AI148, "NA")</f>
        <v>1.0000000000000027</v>
      </c>
      <c r="AK7" s="10">
        <f>IFERROR((X7-AG7)/AG7, "NA")</f>
        <v>-4.6615144698140841E-2</v>
      </c>
      <c r="AL7" s="11">
        <f>IFERROR(AK7/AK148, "NA")</f>
        <v>1.0000000000000027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25239.139999999996</v>
      </c>
      <c r="C9" s="14">
        <f>IFERROR(B9/B148, "NA")</f>
        <v>0.99999999999999989</v>
      </c>
      <c r="D9" s="13">
        <f>IFERROR(D7+D8, "NA")</f>
        <v>33248.910000000003</v>
      </c>
      <c r="E9" s="14">
        <f>IFERROR(D9/D148, "NA")</f>
        <v>1</v>
      </c>
      <c r="F9" s="13">
        <f>IFERROR(F7+F8, "NA")</f>
        <v>33375.4</v>
      </c>
      <c r="G9" s="14">
        <f>IFERROR(F9/F148, "NA")</f>
        <v>1</v>
      </c>
      <c r="H9" s="13">
        <f>IFERROR(H7+H8, "NA")</f>
        <v>27216.920000000002</v>
      </c>
      <c r="I9" s="14">
        <f>IFERROR(H9/H148, "NA")</f>
        <v>1.0000000000000002</v>
      </c>
      <c r="J9" s="13">
        <f>IFERROR(J7+J8, "NA")</f>
        <v>41263.460000000006</v>
      </c>
      <c r="K9" s="14">
        <f>IFERROR(J9/J148, "NA")</f>
        <v>1.0000000000000002</v>
      </c>
      <c r="L9" s="13">
        <f>IFERROR(L7+L8, "NA")</f>
        <v>32026.440000000002</v>
      </c>
      <c r="M9" s="14">
        <f>IFERROR(L9/L148, "NA")</f>
        <v>1.0000000000000002</v>
      </c>
      <c r="N9" s="13">
        <f>IFERROR(N7+N8, "NA")</f>
        <v>28859.779999999992</v>
      </c>
      <c r="O9" s="14">
        <f>IFERROR(N9/N148, "NA")</f>
        <v>0.99999999999999978</v>
      </c>
      <c r="P9" s="13">
        <f>IFERROR(P7+P8, "NA")</f>
        <v>25879.01</v>
      </c>
      <c r="Q9" s="14">
        <f>IFERROR(P9/P148, "NA")</f>
        <v>1</v>
      </c>
      <c r="R9" s="13">
        <f>IFERROR(R7+R8, "NA")</f>
        <v>25696.730000000003</v>
      </c>
      <c r="S9" s="14">
        <f>IFERROR(R9/R148, "NA")</f>
        <v>1.0000000000000002</v>
      </c>
      <c r="T9" s="13">
        <f>IFERROR(T7+T8, "NA")</f>
        <v>25164.289999999997</v>
      </c>
      <c r="U9" s="14">
        <f>IFERROR(T9/T148, "NA")</f>
        <v>0.99999999999999989</v>
      </c>
      <c r="V9" s="13">
        <f>IFERROR(V7+V8, "NA")</f>
        <v>28633.51999999999</v>
      </c>
      <c r="W9" s="14">
        <f>IFERROR(V9/V148, "NA")</f>
        <v>0.99999999999999967</v>
      </c>
      <c r="X9" s="13">
        <f>IFERROR(X7+X8, "NA")</f>
        <v>28077.239999999998</v>
      </c>
      <c r="Y9" s="14">
        <f>IFERROR(X9/X148, "NA")</f>
        <v>0.99999999999999989</v>
      </c>
      <c r="Z9" s="13">
        <f>IFERROR(Z7+Z8, "NA")</f>
        <v>28077.239999999998</v>
      </c>
      <c r="AA9" s="14">
        <f>IFERROR(Z9/Z148, "NA")</f>
        <v>0.99999999999999989</v>
      </c>
      <c r="AB9" s="13">
        <f>IFERROR((R9+T9+V9+X9)/4, "NA")</f>
        <v>26892.945</v>
      </c>
      <c r="AC9" s="14">
        <f>IFERROR(AB9/AB148, "NA")</f>
        <v>0.99999999999999989</v>
      </c>
      <c r="AD9" s="15">
        <f>IFERROR(X9-AB9, "NA")</f>
        <v>1184.2949999999983</v>
      </c>
      <c r="AE9" s="16">
        <f>IFERROR(AD9/AD148, "NA")</f>
        <v>1</v>
      </c>
      <c r="AF9" s="15">
        <f>IFERROR((X9-AB9)/AB9, "NA")</f>
        <v>4.403738601332053E-2</v>
      </c>
      <c r="AG9" s="13">
        <f>IFERROR((J9+L9+N9+P9+R9+T9+V9+X9)/8, "NA")</f>
        <v>29450.058749999997</v>
      </c>
      <c r="AH9" s="14">
        <f>IFERROR(AG9/AG148, "NA")</f>
        <v>1</v>
      </c>
      <c r="AI9" s="15">
        <f>IFERROR(X9-AG9, "NA")</f>
        <v>-1372.8187499999985</v>
      </c>
      <c r="AJ9" s="16">
        <f>IFERROR(AI9/AI148, "NA")</f>
        <v>1.0000000000000027</v>
      </c>
      <c r="AK9" s="15">
        <f>IFERROR((X9-AG9)/AG9, "NA")</f>
        <v>-4.6615144698140841E-2</v>
      </c>
      <c r="AL9" s="16">
        <f>IFERROR(AK9/AK148, "NA")</f>
        <v>1.0000000000000027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1149.03</v>
      </c>
      <c r="C16" s="8">
        <f>IFERROR(B16/B148, "NA")</f>
        <v>4.5525719180605995E-2</v>
      </c>
      <c r="D16" s="7">
        <v>1712.22</v>
      </c>
      <c r="E16" s="8">
        <f>IFERROR(D16/D148, "NA")</f>
        <v>5.1497026519064834E-2</v>
      </c>
      <c r="F16" s="7">
        <v>1520.71</v>
      </c>
      <c r="G16" s="8">
        <f>IFERROR(F16/F148, "NA")</f>
        <v>4.5563798486310272E-2</v>
      </c>
      <c r="H16" s="7">
        <v>1446.51</v>
      </c>
      <c r="I16" s="8">
        <f>IFERROR(H16/H148, "NA")</f>
        <v>5.3147453863258594E-2</v>
      </c>
      <c r="J16" s="7">
        <v>1797.44</v>
      </c>
      <c r="K16" s="8">
        <f>IFERROR(J16/J148, "NA")</f>
        <v>4.3560089241183361E-2</v>
      </c>
      <c r="L16" s="7">
        <v>1525.35</v>
      </c>
      <c r="M16" s="8">
        <f>IFERROR(L16/L148, "NA")</f>
        <v>4.7627835001330152E-2</v>
      </c>
      <c r="N16" s="7">
        <v>985.6</v>
      </c>
      <c r="O16" s="8">
        <f>IFERROR(N16/N148, "NA")</f>
        <v>3.4151334486957285E-2</v>
      </c>
      <c r="P16" s="7">
        <v>1373.17</v>
      </c>
      <c r="Q16" s="8">
        <f>IFERROR(P16/P148, "NA")</f>
        <v>5.3061148784285028E-2</v>
      </c>
      <c r="R16" s="7">
        <v>1250.25</v>
      </c>
      <c r="S16" s="8">
        <f>IFERROR(R16/R148, "NA")</f>
        <v>4.8654050534834591E-2</v>
      </c>
      <c r="T16" s="7">
        <v>1005.87</v>
      </c>
      <c r="U16" s="8">
        <f>IFERROR(T16/T148, "NA")</f>
        <v>3.9972119221325139E-2</v>
      </c>
      <c r="V16" s="7">
        <v>1408</v>
      </c>
      <c r="W16" s="8">
        <f>IFERROR(V16/V148, "NA")</f>
        <v>4.9173136938804589E-2</v>
      </c>
      <c r="X16" s="7">
        <v>887.71</v>
      </c>
      <c r="Y16" s="8">
        <f>IFERROR(X16/X148, "NA")</f>
        <v>3.1616711614104523E-2</v>
      </c>
      <c r="Z16" s="7">
        <v>887.71</v>
      </c>
      <c r="AA16" s="8">
        <f>IFERROR(Z16/Z148, "NA")</f>
        <v>3.1616711614104523E-2</v>
      </c>
      <c r="AB16" s="9">
        <f t="shared" si="0"/>
        <v>1137.9575</v>
      </c>
      <c r="AC16" s="8">
        <f>IFERROR(AB16/AB148, "NA")</f>
        <v>4.23143504737023E-2</v>
      </c>
      <c r="AD16" s="10">
        <f t="shared" si="1"/>
        <v>-250.24749999999995</v>
      </c>
      <c r="AE16" s="11">
        <f>IFERROR(AD16/AD148, "NA")</f>
        <v>-0.21130503801839939</v>
      </c>
      <c r="AF16" s="10">
        <f t="shared" si="2"/>
        <v>-0.21990935513848273</v>
      </c>
      <c r="AG16" s="9">
        <f t="shared" si="3"/>
        <v>1279.1737499999999</v>
      </c>
      <c r="AH16" s="8">
        <f>IFERROR(AG16/AG148, "NA")</f>
        <v>4.3435354776669169E-2</v>
      </c>
      <c r="AI16" s="10">
        <f t="shared" si="4"/>
        <v>-391.46374999999989</v>
      </c>
      <c r="AJ16" s="11">
        <f>IFERROR(AI16/AI148, "NA")</f>
        <v>0.28515326586266493</v>
      </c>
      <c r="AK16" s="10">
        <f t="shared" si="5"/>
        <v>-0.30602859853870507</v>
      </c>
      <c r="AL16" s="11">
        <f>IFERROR(AK16/AK148, "NA")</f>
        <v>6.5650037240131374</v>
      </c>
    </row>
    <row r="17" spans="1:38" ht="16.5" customHeight="1">
      <c r="A17" s="25" t="s">
        <v>32</v>
      </c>
      <c r="B17" s="7">
        <v>828.91</v>
      </c>
      <c r="C17" s="8">
        <f>IFERROR(B17/B148, "NA")</f>
        <v>3.2842244228606834E-2</v>
      </c>
      <c r="D17" s="7">
        <v>778.71</v>
      </c>
      <c r="E17" s="8">
        <f>IFERROR(D17/D148, "NA")</f>
        <v>2.342061739768311E-2</v>
      </c>
      <c r="F17" s="7">
        <v>865.19</v>
      </c>
      <c r="G17" s="8">
        <f>IFERROR(F17/F148, "NA")</f>
        <v>2.5922985192686831E-2</v>
      </c>
      <c r="H17" s="7">
        <v>800.97</v>
      </c>
      <c r="I17" s="8">
        <f>IFERROR(H17/H148, "NA")</f>
        <v>2.942911982693119E-2</v>
      </c>
      <c r="J17" s="7">
        <v>916.43</v>
      </c>
      <c r="K17" s="8">
        <f>IFERROR(J17/J148, "NA")</f>
        <v>2.2209237906855119E-2</v>
      </c>
      <c r="L17" s="7">
        <v>952.09</v>
      </c>
      <c r="M17" s="8">
        <f>IFERROR(L17/L148, "NA")</f>
        <v>2.9728249533822682E-2</v>
      </c>
      <c r="N17" s="7">
        <v>664.03</v>
      </c>
      <c r="O17" s="8">
        <f>IFERROR(N17/N148, "NA")</f>
        <v>2.3008837905209256E-2</v>
      </c>
      <c r="P17" s="7">
        <v>878.91</v>
      </c>
      <c r="Q17" s="8">
        <f>IFERROR(P17/P148, "NA")</f>
        <v>3.3962272899929327E-2</v>
      </c>
      <c r="R17" s="7">
        <v>782.46</v>
      </c>
      <c r="S17" s="8">
        <f>IFERROR(R17/R148, "NA")</f>
        <v>3.0449788747439852E-2</v>
      </c>
      <c r="T17" s="7">
        <v>900.14</v>
      </c>
      <c r="U17" s="8">
        <f>IFERROR(T17/T148, "NA")</f>
        <v>3.5770530382538114E-2</v>
      </c>
      <c r="V17" s="7">
        <v>926.87</v>
      </c>
      <c r="W17" s="8">
        <f>IFERROR(V17/V148, "NA")</f>
        <v>3.2370103291526856E-2</v>
      </c>
      <c r="X17" s="7">
        <v>801.45</v>
      </c>
      <c r="Y17" s="8">
        <f>IFERROR(X17/X148, "NA")</f>
        <v>2.8544472319928883E-2</v>
      </c>
      <c r="Z17" s="7">
        <v>801.45</v>
      </c>
      <c r="AA17" s="8">
        <f>IFERROR(Z17/Z148, "NA")</f>
        <v>2.8544472319928883E-2</v>
      </c>
      <c r="AB17" s="9">
        <f t="shared" si="0"/>
        <v>852.73</v>
      </c>
      <c r="AC17" s="8">
        <f>IFERROR(AB17/AB148, "NA")</f>
        <v>3.1708316065793461E-2</v>
      </c>
      <c r="AD17" s="10">
        <f t="shared" si="1"/>
        <v>-51.279999999999973</v>
      </c>
      <c r="AE17" s="11">
        <f>IFERROR(AD17/AD148, "NA")</f>
        <v>-4.3300022376181649E-2</v>
      </c>
      <c r="AF17" s="10">
        <f t="shared" si="2"/>
        <v>-6.0136268220890521E-2</v>
      </c>
      <c r="AG17" s="9">
        <f t="shared" si="3"/>
        <v>852.79750000000001</v>
      </c>
      <c r="AH17" s="8">
        <f>IFERROR(AG17/AG148, "NA")</f>
        <v>2.8957412521290814E-2</v>
      </c>
      <c r="AI17" s="10">
        <f t="shared" si="4"/>
        <v>-51.347499999999968</v>
      </c>
      <c r="AJ17" s="11">
        <f>IFERROR(AI17/AI148, "NA")</f>
        <v>3.7402971076844746E-2</v>
      </c>
      <c r="AK17" s="10">
        <f t="shared" si="5"/>
        <v>-6.0210659623181312E-2</v>
      </c>
      <c r="AL17" s="11">
        <f>IFERROR(AK17/AK148, "NA")</f>
        <v>1.2916544615077181</v>
      </c>
    </row>
    <row r="18" spans="1:38" ht="16.5" customHeight="1">
      <c r="A18" s="25" t="s">
        <v>33</v>
      </c>
      <c r="B18" s="7">
        <v>1181.53</v>
      </c>
      <c r="C18" s="8">
        <f>IFERROR(B18/B148, "NA")</f>
        <v>4.6813401724464465E-2</v>
      </c>
      <c r="D18" s="7">
        <v>1474.91</v>
      </c>
      <c r="E18" s="8">
        <f>IFERROR(D18/D148, "NA")</f>
        <v>4.4359649684756579E-2</v>
      </c>
      <c r="F18" s="7">
        <v>1469.81</v>
      </c>
      <c r="G18" s="8">
        <f>IFERROR(F18/F148, "NA")</f>
        <v>4.4038723131408157E-2</v>
      </c>
      <c r="H18" s="7">
        <v>939.71</v>
      </c>
      <c r="I18" s="8">
        <f>IFERROR(H18/H148, "NA")</f>
        <v>3.4526684136191754E-2</v>
      </c>
      <c r="J18" s="7">
        <v>1409.23</v>
      </c>
      <c r="K18" s="8">
        <f>IFERROR(J18/J148, "NA")</f>
        <v>3.4152007611576926E-2</v>
      </c>
      <c r="L18" s="7">
        <v>1012.97</v>
      </c>
      <c r="M18" s="8">
        <f>IFERROR(L18/L148, "NA")</f>
        <v>3.1629178890941363E-2</v>
      </c>
      <c r="N18" s="7">
        <v>1102.24</v>
      </c>
      <c r="O18" s="8">
        <f>IFERROR(N18/N148, "NA")</f>
        <v>3.8192945337767646E-2</v>
      </c>
      <c r="P18" s="7">
        <v>1133.23</v>
      </c>
      <c r="Q18" s="8">
        <f>IFERROR(P18/P148, "NA")</f>
        <v>4.3789542181095806E-2</v>
      </c>
      <c r="R18" s="7">
        <v>739.44</v>
      </c>
      <c r="S18" s="8">
        <f>IFERROR(R18/R148, "NA")</f>
        <v>2.8775645772827908E-2</v>
      </c>
      <c r="T18" s="7">
        <v>861.57</v>
      </c>
      <c r="U18" s="8">
        <f>IFERROR(T18/T148, "NA")</f>
        <v>3.4237802854759664E-2</v>
      </c>
      <c r="V18" s="7">
        <v>912.62</v>
      </c>
      <c r="W18" s="8">
        <f>IFERROR(V18/V148, "NA")</f>
        <v>3.1872434824639091E-2</v>
      </c>
      <c r="X18" s="7">
        <v>944.58</v>
      </c>
      <c r="Y18" s="8">
        <f>IFERROR(X18/X148, "NA")</f>
        <v>3.364219560042226E-2</v>
      </c>
      <c r="Z18" s="7">
        <v>944.58</v>
      </c>
      <c r="AA18" s="8">
        <f>IFERROR(Z18/Z148, "NA")</f>
        <v>3.364219560042226E-2</v>
      </c>
      <c r="AB18" s="9">
        <f t="shared" si="0"/>
        <v>864.55250000000001</v>
      </c>
      <c r="AC18" s="8">
        <f>IFERROR(AB18/AB148, "NA")</f>
        <v>3.2147929503444118E-2</v>
      </c>
      <c r="AD18" s="10">
        <f t="shared" si="1"/>
        <v>80.027500000000032</v>
      </c>
      <c r="AE18" s="11">
        <f>IFERROR(AD18/AD148, "NA")</f>
        <v>6.7573957502142748E-2</v>
      </c>
      <c r="AF18" s="10">
        <f t="shared" si="2"/>
        <v>9.2565228832257193E-2</v>
      </c>
      <c r="AG18" s="9">
        <f t="shared" si="3"/>
        <v>1014.485</v>
      </c>
      <c r="AH18" s="8">
        <f>IFERROR(AG18/AG148, "NA")</f>
        <v>3.4447639259802841E-2</v>
      </c>
      <c r="AI18" s="10">
        <f t="shared" si="4"/>
        <v>-69.904999999999973</v>
      </c>
      <c r="AJ18" s="11">
        <f>IFERROR(AI18/AI148, "NA")</f>
        <v>5.0920778871937925E-2</v>
      </c>
      <c r="AK18" s="10">
        <f t="shared" si="5"/>
        <v>-6.8906883788326073E-2</v>
      </c>
      <c r="AL18" s="11">
        <f>IFERROR(AK18/AK148, "NA")</f>
        <v>1.4782080852593489</v>
      </c>
    </row>
    <row r="19" spans="1:38" ht="16.5" customHeight="1">
      <c r="A19" s="25" t="s">
        <v>34</v>
      </c>
      <c r="B19" s="7">
        <v>586.21</v>
      </c>
      <c r="C19" s="8">
        <f>IFERROR(B19/B148, "NA")</f>
        <v>2.32262272010853E-2</v>
      </c>
      <c r="D19" s="7">
        <v>678.21</v>
      </c>
      <c r="E19" s="8">
        <f>IFERROR(D19/D148, "NA")</f>
        <v>2.0397961918150097E-2</v>
      </c>
      <c r="F19" s="7">
        <v>756.68</v>
      </c>
      <c r="G19" s="8">
        <f>IFERROR(F19/F148, "NA")</f>
        <v>2.2671788203287448E-2</v>
      </c>
      <c r="H19" s="7">
        <v>541.12</v>
      </c>
      <c r="I19" s="8">
        <f>IFERROR(H19/H148, "NA")</f>
        <v>1.9881750029026063E-2</v>
      </c>
      <c r="J19" s="7">
        <v>759.24</v>
      </c>
      <c r="K19" s="8">
        <f>IFERROR(J19/J148, "NA")</f>
        <v>1.8399814266665957E-2</v>
      </c>
      <c r="L19" s="7">
        <v>724.77</v>
      </c>
      <c r="M19" s="8">
        <f>IFERROR(L19/L148, "NA")</f>
        <v>2.2630364161611467E-2</v>
      </c>
      <c r="N19" s="7">
        <v>522.03</v>
      </c>
      <c r="O19" s="8">
        <f>IFERROR(N19/N148, "NA")</f>
        <v>1.8088495477096497E-2</v>
      </c>
      <c r="P19" s="7">
        <v>669.18</v>
      </c>
      <c r="Q19" s="8">
        <f>IFERROR(P19/P148, "NA")</f>
        <v>2.5858021616746545E-2</v>
      </c>
      <c r="R19" s="7">
        <v>550.16</v>
      </c>
      <c r="S19" s="8">
        <f>IFERROR(R19/R148, "NA")</f>
        <v>2.1409728008194039E-2</v>
      </c>
      <c r="T19" s="7">
        <v>576.92999999999995</v>
      </c>
      <c r="U19" s="8">
        <f>IFERROR(T19/T148, "NA")</f>
        <v>2.2926535976178941E-2</v>
      </c>
      <c r="V19" s="7">
        <v>685.73</v>
      </c>
      <c r="W19" s="8">
        <f>IFERROR(V19/V148, "NA")</f>
        <v>2.3948505108697778E-2</v>
      </c>
      <c r="X19" s="7">
        <v>706.48</v>
      </c>
      <c r="Y19" s="8">
        <f>IFERROR(X19/X148, "NA")</f>
        <v>2.5162017349283618E-2</v>
      </c>
      <c r="Z19" s="7">
        <v>706.48</v>
      </c>
      <c r="AA19" s="8">
        <f>IFERROR(Z19/Z148, "NA")</f>
        <v>2.5162017349283618E-2</v>
      </c>
      <c r="AB19" s="9">
        <f t="shared" si="0"/>
        <v>629.82500000000005</v>
      </c>
      <c r="AC19" s="8">
        <f>IFERROR(AB19/AB148, "NA")</f>
        <v>2.3419711005990603E-2</v>
      </c>
      <c r="AD19" s="10">
        <f t="shared" si="1"/>
        <v>76.654999999999973</v>
      </c>
      <c r="AE19" s="11">
        <f>IFERROR(AD19/AD148, "NA")</f>
        <v>6.472627174817093E-2</v>
      </c>
      <c r="AF19" s="10">
        <f t="shared" si="2"/>
        <v>0.12170841106656606</v>
      </c>
      <c r="AG19" s="9">
        <f t="shared" si="3"/>
        <v>649.31499999999983</v>
      </c>
      <c r="AH19" s="8">
        <f>IFERROR(AG19/AG148, "NA")</f>
        <v>2.2048003554492056E-2</v>
      </c>
      <c r="AI19" s="10">
        <f t="shared" si="4"/>
        <v>57.165000000000191</v>
      </c>
      <c r="AJ19" s="11">
        <f>IFERROR(AI19/AI148, "NA")</f>
        <v>-4.1640602592294435E-2</v>
      </c>
      <c r="AK19" s="10">
        <f t="shared" si="5"/>
        <v>8.8038933337440547E-2</v>
      </c>
      <c r="AL19" s="11">
        <f>IFERROR(AK19/AK148, "NA")</f>
        <v>-1.8886337027921325</v>
      </c>
    </row>
    <row r="20" spans="1:38" ht="16.5" customHeight="1">
      <c r="A20" s="25" t="s">
        <v>35</v>
      </c>
      <c r="B20" s="7">
        <v>302.91000000000003</v>
      </c>
      <c r="C20" s="8">
        <f>IFERROR(B20/B148, "NA")</f>
        <v>1.2001597518774413E-2</v>
      </c>
      <c r="D20" s="7">
        <v>387.64</v>
      </c>
      <c r="E20" s="8">
        <f>IFERROR(D20/D148, "NA")</f>
        <v>1.1658728060558976E-2</v>
      </c>
      <c r="F20" s="7">
        <v>257.45</v>
      </c>
      <c r="G20" s="8">
        <f>IFERROR(F20/F148, "NA")</f>
        <v>7.7137652282819073E-3</v>
      </c>
      <c r="H20" s="7">
        <v>321.56</v>
      </c>
      <c r="I20" s="8">
        <f>IFERROR(H20/H148, "NA")</f>
        <v>1.1814709379312576E-2</v>
      </c>
      <c r="J20" s="7">
        <v>373.42</v>
      </c>
      <c r="K20" s="8">
        <f>IFERROR(J20/J148, "NA")</f>
        <v>9.049653131366105E-3</v>
      </c>
      <c r="L20" s="7">
        <v>317.22000000000003</v>
      </c>
      <c r="M20" s="8">
        <f>IFERROR(L20/L148, "NA")</f>
        <v>9.904941042463665E-3</v>
      </c>
      <c r="N20" s="7">
        <v>304.60000000000002</v>
      </c>
      <c r="O20" s="8">
        <f>IFERROR(N20/N148, "NA")</f>
        <v>1.0554481011289762E-2</v>
      </c>
      <c r="P20" s="7">
        <v>329.62</v>
      </c>
      <c r="Q20" s="8">
        <f>IFERROR(P20/P148, "NA")</f>
        <v>1.2736963276415908E-2</v>
      </c>
      <c r="R20" s="7">
        <v>322.23</v>
      </c>
      <c r="S20" s="8">
        <f>IFERROR(R20/R148, "NA")</f>
        <v>1.2539727817508299E-2</v>
      </c>
      <c r="T20" s="7">
        <v>329.17</v>
      </c>
      <c r="U20" s="8">
        <f>IFERROR(T20/T148, "NA")</f>
        <v>1.308083796522771E-2</v>
      </c>
      <c r="V20" s="7">
        <v>268.38</v>
      </c>
      <c r="W20" s="8">
        <f>IFERROR(V20/V148, "NA")</f>
        <v>9.3729307469008344E-3</v>
      </c>
      <c r="X20" s="7">
        <v>342.37</v>
      </c>
      <c r="Y20" s="8">
        <f>IFERROR(X20/X148, "NA")</f>
        <v>1.2193862359690624E-2</v>
      </c>
      <c r="Z20" s="7">
        <v>342.37</v>
      </c>
      <c r="AA20" s="8">
        <f>IFERROR(Z20/Z148, "NA")</f>
        <v>1.2193862359690624E-2</v>
      </c>
      <c r="AB20" s="9">
        <f t="shared" si="0"/>
        <v>315.53750000000002</v>
      </c>
      <c r="AC20" s="8">
        <f>IFERROR(AB20/AB148, "NA")</f>
        <v>1.1733095798916779E-2</v>
      </c>
      <c r="AD20" s="10">
        <f t="shared" si="1"/>
        <v>26.832499999999982</v>
      </c>
      <c r="AE20" s="11">
        <f>IFERROR(AD20/AD148, "NA")</f>
        <v>2.2656939360547853E-2</v>
      </c>
      <c r="AF20" s="10">
        <f t="shared" si="2"/>
        <v>8.5037436120904739E-2</v>
      </c>
      <c r="AG20" s="9">
        <f t="shared" si="3"/>
        <v>323.37625000000003</v>
      </c>
      <c r="AH20" s="8">
        <f>IFERROR(AG20/AG148, "NA")</f>
        <v>1.0980495921761108E-2</v>
      </c>
      <c r="AI20" s="10">
        <f t="shared" si="4"/>
        <v>18.993749999999977</v>
      </c>
      <c r="AJ20" s="11">
        <f>IFERROR(AI20/AI148, "NA")</f>
        <v>-1.3835584631984411E-2</v>
      </c>
      <c r="AK20" s="10">
        <f t="shared" si="5"/>
        <v>5.8735760588478514E-2</v>
      </c>
      <c r="AL20" s="11">
        <f>IFERROR(AK20/AK148, "NA")</f>
        <v>-1.2600145503961342</v>
      </c>
    </row>
    <row r="21" spans="1:38" ht="16.5" customHeight="1">
      <c r="A21" s="25" t="s">
        <v>36</v>
      </c>
      <c r="B21" s="7">
        <v>167.44</v>
      </c>
      <c r="C21" s="8">
        <f>IFERROR(B21/B148, "NA")</f>
        <v>6.6341404659588247E-3</v>
      </c>
      <c r="D21" s="7">
        <v>208.74</v>
      </c>
      <c r="E21" s="8">
        <f>IFERROR(D21/D148, "NA")</f>
        <v>6.2781005452509564E-3</v>
      </c>
      <c r="F21" s="7">
        <v>165.76</v>
      </c>
      <c r="G21" s="8">
        <f>IFERROR(F21/F148, "NA")</f>
        <v>4.9665322363177666E-3</v>
      </c>
      <c r="H21" s="7">
        <v>207.64</v>
      </c>
      <c r="I21" s="8">
        <f>IFERROR(H21/H148, "NA")</f>
        <v>7.6290777942544562E-3</v>
      </c>
      <c r="J21" s="7">
        <v>302.86</v>
      </c>
      <c r="K21" s="8">
        <f>IFERROR(J21/J148, "NA")</f>
        <v>7.3396656509173014E-3</v>
      </c>
      <c r="L21" s="7">
        <v>162.44999999999999</v>
      </c>
      <c r="M21" s="8">
        <f>IFERROR(L21/L148, "NA")</f>
        <v>5.0723714530868866E-3</v>
      </c>
      <c r="N21" s="7">
        <v>141.19</v>
      </c>
      <c r="O21" s="8">
        <f>IFERROR(N21/N148, "NA")</f>
        <v>4.892275686093241E-3</v>
      </c>
      <c r="P21" s="7">
        <v>209.26</v>
      </c>
      <c r="Q21" s="8">
        <f>IFERROR(P21/P148, "NA")</f>
        <v>8.0860898465590463E-3</v>
      </c>
      <c r="R21" s="7">
        <v>150.63</v>
      </c>
      <c r="S21" s="8">
        <f>IFERROR(R21/R148, "NA")</f>
        <v>5.8618353385819907E-3</v>
      </c>
      <c r="T21" s="7">
        <v>131.27000000000001</v>
      </c>
      <c r="U21" s="8">
        <f>IFERROR(T21/T148, "NA")</f>
        <v>5.2165191229317422E-3</v>
      </c>
      <c r="V21" s="7">
        <v>139</v>
      </c>
      <c r="W21" s="8">
        <f>IFERROR(V21/V148, "NA")</f>
        <v>4.8544503085893734E-3</v>
      </c>
      <c r="X21" s="7">
        <v>167.84</v>
      </c>
      <c r="Y21" s="8">
        <f>IFERROR(X21/X148, "NA")</f>
        <v>5.9777955383078958E-3</v>
      </c>
      <c r="Z21" s="7">
        <v>167.84</v>
      </c>
      <c r="AA21" s="8">
        <f>IFERROR(Z21/Z148, "NA")</f>
        <v>5.9777955383078958E-3</v>
      </c>
      <c r="AB21" s="9">
        <f t="shared" si="0"/>
        <v>147.185</v>
      </c>
      <c r="AC21" s="8">
        <f>IFERROR(AB21/AB148, "NA")</f>
        <v>5.4729967283241006E-3</v>
      </c>
      <c r="AD21" s="10">
        <f t="shared" si="1"/>
        <v>20.655000000000001</v>
      </c>
      <c r="AE21" s="11">
        <f>IFERROR(AD21/AD148, "NA")</f>
        <v>1.7440755892746344E-2</v>
      </c>
      <c r="AF21" s="10">
        <f t="shared" si="2"/>
        <v>0.14033359377653973</v>
      </c>
      <c r="AG21" s="9">
        <f t="shared" si="3"/>
        <v>175.5625</v>
      </c>
      <c r="AH21" s="8">
        <f>IFERROR(AG21/AG148, "NA")</f>
        <v>5.9613633198609501E-3</v>
      </c>
      <c r="AI21" s="10">
        <f t="shared" si="4"/>
        <v>-7.7224999999999966</v>
      </c>
      <c r="AJ21" s="11">
        <f>IFERROR(AI21/AI148, "NA")</f>
        <v>5.6252873877196278E-3</v>
      </c>
      <c r="AK21" s="10">
        <f t="shared" si="5"/>
        <v>-4.3987184051263777E-2</v>
      </c>
      <c r="AL21" s="11">
        <f>IFERROR(AK21/AK148, "NA")</f>
        <v>0.94362431643418754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162.33000000000001</v>
      </c>
      <c r="C23" s="8">
        <f>IFERROR(B23/B148, "NA")</f>
        <v>6.4316771490629246E-3</v>
      </c>
      <c r="D23" s="7">
        <v>115.68</v>
      </c>
      <c r="E23" s="8">
        <f>IFERROR(D23/D148, "NA")</f>
        <v>3.479211799725164E-3</v>
      </c>
      <c r="F23" s="7">
        <v>427.77</v>
      </c>
      <c r="G23" s="8">
        <f>IFERROR(F23/F148, "NA")</f>
        <v>1.2816925040598764E-2</v>
      </c>
      <c r="H23" s="7">
        <v>15.31</v>
      </c>
      <c r="I23" s="8">
        <f>IFERROR(H23/H148, "NA")</f>
        <v>5.625177279427651E-4</v>
      </c>
      <c r="J23" s="7">
        <v>228.72</v>
      </c>
      <c r="K23" s="8">
        <f>IFERROR(J23/J148, "NA")</f>
        <v>5.5429186015908509E-3</v>
      </c>
      <c r="L23" s="7">
        <v>248.42</v>
      </c>
      <c r="M23" s="8">
        <f>IFERROR(L23/L148, "NA")</f>
        <v>7.756716013393933E-3</v>
      </c>
      <c r="N23" s="7">
        <v>139.55000000000001</v>
      </c>
      <c r="O23" s="8">
        <f>IFERROR(N23/N148, "NA")</f>
        <v>4.8354491960784186E-3</v>
      </c>
      <c r="P23" s="7">
        <v>165.64</v>
      </c>
      <c r="Q23" s="8">
        <f>IFERROR(P23/P148, "NA")</f>
        <v>6.4005539624583784E-3</v>
      </c>
      <c r="R23" s="7">
        <v>208.2</v>
      </c>
      <c r="S23" s="8">
        <f>IFERROR(R23/R148, "NA")</f>
        <v>8.1021982174385616E-3</v>
      </c>
      <c r="T23" s="7">
        <v>55.83</v>
      </c>
      <c r="U23" s="8">
        <f>IFERROR(T23/T148, "NA")</f>
        <v>2.2186201160453961E-3</v>
      </c>
      <c r="V23" s="7">
        <v>266.02999999999997</v>
      </c>
      <c r="W23" s="8">
        <f>IFERROR(V23/V148, "NA")</f>
        <v>9.2908591049930284E-3</v>
      </c>
      <c r="X23" s="7">
        <v>60.71</v>
      </c>
      <c r="Y23" s="8">
        <f>IFERROR(X23/X148, "NA")</f>
        <v>2.162249565840517E-3</v>
      </c>
      <c r="Z23" s="7">
        <v>60.71</v>
      </c>
      <c r="AA23" s="8">
        <f>IFERROR(Z23/Z148, "NA")</f>
        <v>2.162249565840517E-3</v>
      </c>
      <c r="AB23" s="9">
        <f t="shared" si="0"/>
        <v>147.6925</v>
      </c>
      <c r="AC23" s="8">
        <f>IFERROR(AB23/AB148, "NA")</f>
        <v>5.4918678486123394E-3</v>
      </c>
      <c r="AD23" s="10">
        <f t="shared" si="1"/>
        <v>-86.982499999999987</v>
      </c>
      <c r="AE23" s="11">
        <f>IFERROR(AD23/AD148, "NA")</f>
        <v>-7.3446649694544106E-2</v>
      </c>
      <c r="AF23" s="10">
        <f t="shared" si="2"/>
        <v>-0.58894324356348493</v>
      </c>
      <c r="AG23" s="9">
        <f t="shared" si="3"/>
        <v>171.63749999999999</v>
      </c>
      <c r="AH23" s="8">
        <f>IFERROR(AG23/AG148, "NA")</f>
        <v>5.8280868454973801E-3</v>
      </c>
      <c r="AI23" s="10">
        <f t="shared" si="4"/>
        <v>-110.92749999999998</v>
      </c>
      <c r="AJ23" s="11">
        <f>IFERROR(AI23/AI148, "NA")</f>
        <v>8.0802727963906668E-2</v>
      </c>
      <c r="AK23" s="10">
        <f t="shared" si="5"/>
        <v>-0.64628941810501772</v>
      </c>
      <c r="AL23" s="11">
        <f>IFERROR(AK23/AK148, "NA")</f>
        <v>13.864365804077307</v>
      </c>
    </row>
    <row r="24" spans="1:38" ht="16.5" customHeight="1">
      <c r="A24" s="25" t="s">
        <v>39</v>
      </c>
      <c r="B24" s="7">
        <v>1304.72</v>
      </c>
      <c r="C24" s="8">
        <f>IFERROR(B24/B148, "NA")</f>
        <v>5.1694312880708297E-2</v>
      </c>
      <c r="D24" s="7">
        <v>2150.52</v>
      </c>
      <c r="E24" s="8">
        <f>IFERROR(D24/D148, "NA")</f>
        <v>6.4679413550699852E-2</v>
      </c>
      <c r="F24" s="7">
        <v>1716.16</v>
      </c>
      <c r="G24" s="8">
        <f>IFERROR(F24/F148, "NA")</f>
        <v>5.1419908076008075E-2</v>
      </c>
      <c r="H24" s="7">
        <v>1650.36</v>
      </c>
      <c r="I24" s="8">
        <f>IFERROR(H24/H148, "NA")</f>
        <v>6.0637280044913235E-2</v>
      </c>
      <c r="J24" s="7">
        <v>2114.33</v>
      </c>
      <c r="K24" s="8">
        <f>IFERROR(J24/J148, "NA")</f>
        <v>5.123976515784183E-2</v>
      </c>
      <c r="L24" s="7">
        <v>1887.25</v>
      </c>
      <c r="M24" s="8">
        <f>IFERROR(L24/L148, "NA")</f>
        <v>5.8927873344648989E-2</v>
      </c>
      <c r="N24" s="7">
        <v>1617.4</v>
      </c>
      <c r="O24" s="8">
        <f>IFERROR(N24/N148, "NA")</f>
        <v>5.6043393262180108E-2</v>
      </c>
      <c r="P24" s="7">
        <v>1722.85</v>
      </c>
      <c r="Q24" s="8">
        <f>IFERROR(P24/P148, "NA")</f>
        <v>6.6573257632343744E-2</v>
      </c>
      <c r="R24" s="7">
        <v>1643.39</v>
      </c>
      <c r="S24" s="8">
        <f>IFERROR(R24/R148, "NA")</f>
        <v>6.395327343206704E-2</v>
      </c>
      <c r="T24" s="7">
        <v>1560.27</v>
      </c>
      <c r="U24" s="8">
        <f>IFERROR(T24/T148, "NA")</f>
        <v>6.200333885835841E-2</v>
      </c>
      <c r="V24" s="7">
        <v>1768.55</v>
      </c>
      <c r="W24" s="8">
        <f>IFERROR(V24/V148, "NA")</f>
        <v>6.1765022253638391E-2</v>
      </c>
      <c r="X24" s="7">
        <v>1798.09</v>
      </c>
      <c r="Y24" s="8">
        <f>IFERROR(X24/X148, "NA")</f>
        <v>6.4040838771902073E-2</v>
      </c>
      <c r="Z24" s="7">
        <v>1798.09</v>
      </c>
      <c r="AA24" s="8">
        <f>IFERROR(Z24/Z148, "NA")</f>
        <v>6.4040838771902073E-2</v>
      </c>
      <c r="AB24" s="9">
        <f t="shared" si="0"/>
        <v>1692.575</v>
      </c>
      <c r="AC24" s="8">
        <f>IFERROR(AB24/AB148, "NA")</f>
        <v>6.2937510190869753E-2</v>
      </c>
      <c r="AD24" s="10">
        <f t="shared" si="1"/>
        <v>105.51499999999987</v>
      </c>
      <c r="AE24" s="11">
        <f>IFERROR(AD24/AD148, "NA")</f>
        <v>8.9095200097948593E-2</v>
      </c>
      <c r="AF24" s="10">
        <f t="shared" si="2"/>
        <v>6.233992585262093E-2</v>
      </c>
      <c r="AG24" s="9">
        <f t="shared" si="3"/>
        <v>1764.0162499999999</v>
      </c>
      <c r="AH24" s="8">
        <f>IFERROR(AG24/AG148, "NA")</f>
        <v>5.9898564718482948E-2</v>
      </c>
      <c r="AI24" s="10">
        <f t="shared" si="4"/>
        <v>34.073750000000018</v>
      </c>
      <c r="AJ24" s="11">
        <f>IFERROR(AI24/AI148, "NA")</f>
        <v>-2.4820283085440188E-2</v>
      </c>
      <c r="AK24" s="10">
        <f t="shared" si="5"/>
        <v>1.9316006867850576E-2</v>
      </c>
      <c r="AL24" s="11">
        <f>IFERROR(AK24/AK148, "NA")</f>
        <v>-0.41437191695816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5683.08</v>
      </c>
      <c r="C27" s="14">
        <f>IFERROR(B27/B148, "NA")</f>
        <v>0.22516932034926707</v>
      </c>
      <c r="D27" s="13">
        <f>IFERROR(D15+D16+D17+D18+D19+D20+D21+D22+D23+D24+D25+D26, "NA")</f>
        <v>7506.630000000001</v>
      </c>
      <c r="E27" s="14">
        <f>IFERROR(D27/D148, "NA")</f>
        <v>0.22577070947588959</v>
      </c>
      <c r="F27" s="13">
        <f>IFERROR(F15+F16+F17+F18+F19+F20+F21+F22+F23+F24+F25+F26, "NA")</f>
        <v>7179.5300000000007</v>
      </c>
      <c r="G27" s="14">
        <f>IFERROR(F27/F148, "NA")</f>
        <v>0.21511442559489924</v>
      </c>
      <c r="H27" s="13">
        <f>IFERROR(H15+H16+H17+H18+H19+H20+H21+H22+H23+H24+H25+H26, "NA")</f>
        <v>5923.18</v>
      </c>
      <c r="I27" s="14">
        <f>IFERROR(H27/H148, "NA")</f>
        <v>0.21762859280183064</v>
      </c>
      <c r="J27" s="13">
        <f>IFERROR(J15+J16+J17+J18+J19+J20+J21+J22+J23+J24+J25+J26, "NA")</f>
        <v>7901.67</v>
      </c>
      <c r="K27" s="14">
        <f>IFERROR(J27/J148, "NA")</f>
        <v>0.19149315156799745</v>
      </c>
      <c r="L27" s="13">
        <f>IFERROR(L15+L16+L17+L18+L19+L20+L21+L22+L23+L24+L25+L26, "NA")</f>
        <v>6830.52</v>
      </c>
      <c r="M27" s="14">
        <f>IFERROR(L27/L148, "NA")</f>
        <v>0.21327752944129916</v>
      </c>
      <c r="N27" s="13">
        <f>IFERROR(N15+N16+N17+N18+N19+N20+N21+N22+N23+N24+N25+N26, "NA")</f>
        <v>5476.6399999999994</v>
      </c>
      <c r="O27" s="14">
        <f>IFERROR(N27/N148, "NA")</f>
        <v>0.18976721236267219</v>
      </c>
      <c r="P27" s="13">
        <f>IFERROR(P15+P16+P17+P18+P19+P20+P21+P22+P23+P24+P25+P26, "NA")</f>
        <v>6481.8600000000006</v>
      </c>
      <c r="Q27" s="14">
        <f>IFERROR(P27/P148, "NA")</f>
        <v>0.25046785019983381</v>
      </c>
      <c r="R27" s="13">
        <f>IFERROR(R15+R16+R17+R18+R19+R20+R21+R22+R23+R24+R25+R26, "NA")</f>
        <v>5646.76</v>
      </c>
      <c r="S27" s="14">
        <f>IFERROR(R27/R148, "NA")</f>
        <v>0.21974624786889227</v>
      </c>
      <c r="T27" s="13">
        <f>IFERROR(T15+T16+T17+T18+T19+T20+T21+T22+T23+T24+T25+T26, "NA")</f>
        <v>5421.0499999999993</v>
      </c>
      <c r="U27" s="14">
        <f>IFERROR(T27/T148, "NA")</f>
        <v>0.21542630449736508</v>
      </c>
      <c r="V27" s="13">
        <f>IFERROR(V15+V16+V17+V18+V19+V20+V21+V22+V23+V24+V25+V26, "NA")</f>
        <v>6375.1799999999994</v>
      </c>
      <c r="W27" s="14">
        <f>IFERROR(V27/V148, "NA")</f>
        <v>0.22264744257778993</v>
      </c>
      <c r="X27" s="13">
        <f>IFERROR(X15+X16+X17+X18+X19+X20+X21+X22+X23+X24+X25+X26, "NA")</f>
        <v>5709.2300000000005</v>
      </c>
      <c r="Y27" s="14">
        <f>IFERROR(X27/X148, "NA")</f>
        <v>0.2033401431194804</v>
      </c>
      <c r="Z27" s="13">
        <f>IFERROR(Z15+Z16+Z17+Z18+Z19+Z20+Z21+Z22+Z23+Z24+Z25+Z26, "NA")</f>
        <v>5709.2300000000005</v>
      </c>
      <c r="AA27" s="14">
        <f>IFERROR(Z27/Z148, "NA")</f>
        <v>0.2033401431194804</v>
      </c>
      <c r="AB27" s="13">
        <f t="shared" si="0"/>
        <v>5788.0549999999994</v>
      </c>
      <c r="AC27" s="14">
        <f>IFERROR(AB27/AB148, "NA")</f>
        <v>0.21522577761565342</v>
      </c>
      <c r="AD27" s="15">
        <f t="shared" si="1"/>
        <v>-78.824999999998909</v>
      </c>
      <c r="AE27" s="16">
        <f>IFERROR(AD27/AD148, "NA")</f>
        <v>-6.6558585487567726E-2</v>
      </c>
      <c r="AF27" s="15">
        <f t="shared" si="2"/>
        <v>-1.3618564440040552E-2</v>
      </c>
      <c r="AG27" s="13">
        <f t="shared" si="3"/>
        <v>6230.3637500000004</v>
      </c>
      <c r="AH27" s="14">
        <f>IFERROR(AG27/AG148, "NA")</f>
        <v>0.2115569209178573</v>
      </c>
      <c r="AI27" s="15">
        <f t="shared" si="4"/>
        <v>-521.13374999999996</v>
      </c>
      <c r="AJ27" s="16">
        <f>IFERROR(AI27/AI148, "NA")</f>
        <v>0.37960856085335509</v>
      </c>
      <c r="AK27" s="15">
        <f t="shared" si="5"/>
        <v>-8.364419332659348E-2</v>
      </c>
      <c r="AL27" s="16">
        <f>IFERROR(AK27/AK148, "NA")</f>
        <v>1.7943566166797653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203.28</v>
      </c>
      <c r="C30" s="8">
        <f>IFERROR(B30/B148, "NA")</f>
        <v>8.0541571543245923E-3</v>
      </c>
      <c r="D30" s="7">
        <v>441.15</v>
      </c>
      <c r="E30" s="8">
        <f>IFERROR(D30/D148, "NA")</f>
        <v>1.3268104127323269E-2</v>
      </c>
      <c r="F30" s="7">
        <v>301.58999999999997</v>
      </c>
      <c r="G30" s="8">
        <f>IFERROR(F30/F148, "NA")</f>
        <v>9.0362961942029151E-3</v>
      </c>
      <c r="H30" s="7">
        <v>472.94</v>
      </c>
      <c r="I30" s="8">
        <f>IFERROR(H30/H148, "NA")</f>
        <v>1.7376690676241105E-2</v>
      </c>
      <c r="J30" s="7">
        <v>319.44</v>
      </c>
      <c r="K30" s="8">
        <f>IFERROR(J30/J148, "NA")</f>
        <v>7.7414739335964558E-3</v>
      </c>
      <c r="L30" s="7">
        <v>405.43</v>
      </c>
      <c r="M30" s="8">
        <f>IFERROR(L30/L148, "NA")</f>
        <v>1.2659227813019494E-2</v>
      </c>
      <c r="N30" s="7">
        <v>314.38</v>
      </c>
      <c r="O30" s="8">
        <f>IFERROR(N30/N148, "NA")</f>
        <v>1.089336093345133E-2</v>
      </c>
      <c r="P30" s="7">
        <v>422.15</v>
      </c>
      <c r="Q30" s="8">
        <f>IFERROR(P30/P148, "NA")</f>
        <v>1.6312447810020555E-2</v>
      </c>
      <c r="R30" s="7">
        <v>333.37</v>
      </c>
      <c r="S30" s="8">
        <f>IFERROR(R30/R148, "NA")</f>
        <v>1.2973246012235798E-2</v>
      </c>
      <c r="T30" s="7">
        <v>228.5</v>
      </c>
      <c r="U30" s="8">
        <f>IFERROR(T30/T148, "NA")</f>
        <v>9.0803277183659856E-3</v>
      </c>
      <c r="V30" s="7">
        <v>313.14999999999998</v>
      </c>
      <c r="W30" s="8">
        <f>IFERROR(V30/V148, "NA")</f>
        <v>1.0936482835501886E-2</v>
      </c>
      <c r="X30" s="7">
        <v>295.60000000000002</v>
      </c>
      <c r="Y30" s="8">
        <f>IFERROR(X30/X148, "NA")</f>
        <v>1.0528100340346843E-2</v>
      </c>
      <c r="Z30" s="7">
        <v>295.60000000000002</v>
      </c>
      <c r="AA30" s="8">
        <f>IFERROR(Z30/Z148, "NA")</f>
        <v>1.0528100340346843E-2</v>
      </c>
      <c r="AB30" s="9">
        <f t="shared" si="6"/>
        <v>292.65499999999997</v>
      </c>
      <c r="AC30" s="8">
        <f>IFERROR(AB30/AB148, "NA")</f>
        <v>1.0882222084639667E-2</v>
      </c>
      <c r="AD30" s="10">
        <f t="shared" si="7"/>
        <v>2.94500000000005</v>
      </c>
      <c r="AE30" s="11">
        <f>IFERROR(AD30/AD148, "NA")</f>
        <v>2.4867115034683542E-3</v>
      </c>
      <c r="AF30" s="10">
        <f t="shared" si="8"/>
        <v>1.0063043515402267E-2</v>
      </c>
      <c r="AG30" s="9">
        <f t="shared" si="9"/>
        <v>329.0025</v>
      </c>
      <c r="AH30" s="8">
        <f>IFERROR(AG30/AG148, "NA")</f>
        <v>1.1171539683261244E-2</v>
      </c>
      <c r="AI30" s="10">
        <f t="shared" si="10"/>
        <v>-33.402499999999975</v>
      </c>
      <c r="AJ30" s="11">
        <f>IFERROR(AI30/AI148, "NA")</f>
        <v>2.4331325602888289E-2</v>
      </c>
      <c r="AK30" s="10">
        <f t="shared" si="11"/>
        <v>-0.10152658414449731</v>
      </c>
      <c r="AL30" s="11">
        <f>IFERROR(AK30/AK148, "NA")</f>
        <v>2.1779742356682372</v>
      </c>
    </row>
    <row r="31" spans="1:38" ht="16.5" customHeight="1">
      <c r="A31" s="25" t="s">
        <v>46</v>
      </c>
      <c r="B31" s="7">
        <v>19.48</v>
      </c>
      <c r="C31" s="8">
        <f>IFERROR(B31/B148, "NA")</f>
        <v>7.7181710628809069E-4</v>
      </c>
      <c r="D31" s="7">
        <v>46.27</v>
      </c>
      <c r="E31" s="8">
        <f>IFERROR(D31/D148, "NA")</f>
        <v>1.3916245675422141E-3</v>
      </c>
      <c r="F31" s="7">
        <v>19.489999999999998</v>
      </c>
      <c r="G31" s="8">
        <f>IFERROR(F31/F148, "NA")</f>
        <v>5.8396303864522965E-4</v>
      </c>
      <c r="H31" s="7">
        <v>21.92</v>
      </c>
      <c r="I31" s="8">
        <f>IFERROR(H31/H148, "NA")</f>
        <v>8.0538135836090213E-4</v>
      </c>
      <c r="J31" s="7">
        <v>19.48</v>
      </c>
      <c r="K31" s="8">
        <f>IFERROR(J31/J148, "NA")</f>
        <v>4.720883803733376E-4</v>
      </c>
      <c r="L31" s="7">
        <v>29.22</v>
      </c>
      <c r="M31" s="8">
        <f>IFERROR(L31/L148, "NA")</f>
        <v>9.1237115333455733E-4</v>
      </c>
      <c r="N31" s="7">
        <v>-4.87</v>
      </c>
      <c r="O31" s="8">
        <f>IFERROR(N31/N148, "NA")</f>
        <v>-1.6874695510499387E-4</v>
      </c>
      <c r="P31" s="7">
        <v>7.31</v>
      </c>
      <c r="Q31" s="8">
        <f>IFERROR(P31/P148, "NA")</f>
        <v>2.8246830153085456E-4</v>
      </c>
      <c r="R31" s="7">
        <v>24.35</v>
      </c>
      <c r="S31" s="8">
        <f>IFERROR(R31/R148, "NA")</f>
        <v>9.475913861413496E-4</v>
      </c>
      <c r="T31" s="7">
        <v>12.18</v>
      </c>
      <c r="U31" s="8">
        <f>IFERROR(T31/T148, "NA")</f>
        <v>4.8401921929845822E-4</v>
      </c>
      <c r="V31" s="7">
        <v>14.61</v>
      </c>
      <c r="W31" s="8">
        <f>IFERROR(V31/V148, "NA")</f>
        <v>5.1024114394597659E-4</v>
      </c>
      <c r="X31" s="7">
        <v>-4.87</v>
      </c>
      <c r="Y31" s="8">
        <f>IFERROR(X31/X148, "NA")</f>
        <v>-1.734500969468509E-4</v>
      </c>
      <c r="Z31" s="7">
        <v>-4.87</v>
      </c>
      <c r="AA31" s="8">
        <f>IFERROR(Z31/Z148, "NA")</f>
        <v>-1.734500969468509E-4</v>
      </c>
      <c r="AB31" s="9">
        <f t="shared" si="6"/>
        <v>11.567500000000001</v>
      </c>
      <c r="AC31" s="8">
        <f>IFERROR(AB31/AB148, "NA")</f>
        <v>4.3013139691469267E-4</v>
      </c>
      <c r="AD31" s="10">
        <f t="shared" si="7"/>
        <v>-16.4375</v>
      </c>
      <c r="AE31" s="11">
        <f>IFERROR(AD31/AD148, "NA")</f>
        <v>-1.3879565479884677E-2</v>
      </c>
      <c r="AF31" s="10">
        <f t="shared" si="8"/>
        <v>-1.4210071320510049</v>
      </c>
      <c r="AG31" s="9">
        <f t="shared" si="9"/>
        <v>12.176250000000001</v>
      </c>
      <c r="AH31" s="8">
        <f>IFERROR(AG31/AG148, "NA")</f>
        <v>4.1345418368647575E-4</v>
      </c>
      <c r="AI31" s="10">
        <f t="shared" si="10"/>
        <v>-17.046250000000001</v>
      </c>
      <c r="AJ31" s="11">
        <f>IFERROR(AI31/AI148, "NA")</f>
        <v>1.2416970557839527E-2</v>
      </c>
      <c r="AK31" s="10">
        <f t="shared" si="11"/>
        <v>-1.3999589364541627</v>
      </c>
      <c r="AL31" s="11">
        <f>IFERROR(AK31/AK148, "NA")</f>
        <v>30.032276967489523</v>
      </c>
    </row>
    <row r="32" spans="1:38" ht="16.5" customHeight="1">
      <c r="A32" s="25" t="s">
        <v>47</v>
      </c>
      <c r="B32" s="7">
        <v>1.99</v>
      </c>
      <c r="C32" s="8">
        <f>IFERROR(B32/B148, "NA")</f>
        <v>7.8845792685487706E-5</v>
      </c>
      <c r="D32" s="7">
        <v>-1.99</v>
      </c>
      <c r="E32" s="8">
        <f>IFERROR(D32/D148, "NA")</f>
        <v>-5.9851586112146223E-5</v>
      </c>
      <c r="F32" s="7">
        <v>0</v>
      </c>
      <c r="G32" s="8">
        <f>IFERROR(F32/F148, "NA")</f>
        <v>0</v>
      </c>
      <c r="H32" s="7">
        <v>1.99</v>
      </c>
      <c r="I32" s="8">
        <f>IFERROR(H32/H148, "NA")</f>
        <v>7.3116282077472406E-5</v>
      </c>
      <c r="J32" s="7">
        <v>-1.99</v>
      </c>
      <c r="K32" s="8">
        <f>IFERROR(J32/J148, "NA")</f>
        <v>-4.8226687728077092E-5</v>
      </c>
      <c r="L32" s="7">
        <v>-29.9</v>
      </c>
      <c r="M32" s="8">
        <f>IFERROR(L32/L148, "NA")</f>
        <v>-9.3360361001722323E-4</v>
      </c>
      <c r="N32" s="7">
        <v>26.9</v>
      </c>
      <c r="O32" s="8">
        <f>IFERROR(N32/N148, "NA")</f>
        <v>9.3209303743826185E-4</v>
      </c>
      <c r="P32" s="7">
        <v>0</v>
      </c>
      <c r="Q32" s="8">
        <f>IFERROR(P32/P148, "NA")</f>
        <v>0</v>
      </c>
      <c r="R32" s="7">
        <v>-26.9</v>
      </c>
      <c r="S32" s="8">
        <f>IFERROR(R32/R148, "NA")</f>
        <v>-1.0468258023491705E-3</v>
      </c>
      <c r="T32" s="7">
        <v>26.9</v>
      </c>
      <c r="U32" s="8">
        <f>IFERROR(T32/T148, "NA")</f>
        <v>1.0689751230811599E-3</v>
      </c>
      <c r="V32" s="7">
        <v>3</v>
      </c>
      <c r="W32" s="8">
        <f>IFERROR(V32/V148, "NA")</f>
        <v>1.0477230881847568E-4</v>
      </c>
      <c r="X32" s="7">
        <v>-29.9</v>
      </c>
      <c r="Y32" s="8">
        <f>IFERROR(X32/X148, "NA")</f>
        <v>-1.0649194863882631E-3</v>
      </c>
      <c r="Z32" s="7">
        <v>-29.9</v>
      </c>
      <c r="AA32" s="8">
        <f>IFERROR(Z32/Z148, "NA")</f>
        <v>-1.0649194863882631E-3</v>
      </c>
      <c r="AB32" s="9">
        <f t="shared" si="6"/>
        <v>-6.7249999999999996</v>
      </c>
      <c r="AC32" s="8">
        <f>IFERROR(AB32/AB148, "NA")</f>
        <v>-2.5006558411509039E-4</v>
      </c>
      <c r="AD32" s="10">
        <f t="shared" si="7"/>
        <v>-23.174999999999997</v>
      </c>
      <c r="AE32" s="11">
        <f>IFERROR(AD32/AD148, "NA")</f>
        <v>-1.9568604106240447E-2</v>
      </c>
      <c r="AF32" s="10">
        <f t="shared" si="8"/>
        <v>3.4460966542750926</v>
      </c>
      <c r="AG32" s="9">
        <f t="shared" si="9"/>
        <v>-3.9862499999999996</v>
      </c>
      <c r="AH32" s="8">
        <f>IFERROR(AG32/AG148, "NA")</f>
        <v>-1.3535626647943444E-4</v>
      </c>
      <c r="AI32" s="10">
        <f t="shared" si="10"/>
        <v>-25.91375</v>
      </c>
      <c r="AJ32" s="11">
        <f>IFERROR(AI32/AI148, "NA")</f>
        <v>1.8876308325480037E-2</v>
      </c>
      <c r="AK32" s="10">
        <f t="shared" si="11"/>
        <v>6.5007839448102862</v>
      </c>
      <c r="AL32" s="11">
        <f>IFERROR(AK32/AK148, "NA")</f>
        <v>-139.45647893847629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14.36</v>
      </c>
      <c r="E33" s="8">
        <f>IFERROR(D33/D148, "NA")</f>
        <v>4.3189385757307525E-4</v>
      </c>
      <c r="F33" s="7">
        <v>-7.35</v>
      </c>
      <c r="G33" s="8">
        <f>IFERROR(F33/F148, "NA")</f>
        <v>-2.2022207973537394E-4</v>
      </c>
      <c r="H33" s="7">
        <v>21.03</v>
      </c>
      <c r="I33" s="8">
        <f>IFERROR(H33/H148, "NA")</f>
        <v>7.7268111160263555E-4</v>
      </c>
      <c r="J33" s="7">
        <v>-14.7</v>
      </c>
      <c r="K33" s="8">
        <f>IFERROR(J33/J148, "NA")</f>
        <v>-3.5624739176016746E-4</v>
      </c>
      <c r="L33" s="7">
        <v>14.7</v>
      </c>
      <c r="M33" s="8">
        <f>IFERROR(L33/L148, "NA")</f>
        <v>4.5899575475763152E-4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7.35</v>
      </c>
      <c r="S33" s="8">
        <f>IFERROR(R33/R148, "NA")</f>
        <v>2.8602861142254288E-4</v>
      </c>
      <c r="T33" s="7">
        <v>-7.01</v>
      </c>
      <c r="U33" s="8">
        <f>IFERROR(T33/T148, "NA")</f>
        <v>-2.7856935363564794E-4</v>
      </c>
      <c r="V33" s="7">
        <v>7.01</v>
      </c>
      <c r="W33" s="8">
        <f>IFERROR(V33/V148, "NA")</f>
        <v>2.4481796160583818E-4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1.8374999999999999</v>
      </c>
      <c r="AC33" s="8">
        <f>IFERROR(AB33/AB148, "NA")</f>
        <v>6.8326470009141791E-5</v>
      </c>
      <c r="AD33" s="10">
        <f t="shared" si="7"/>
        <v>-1.8374999999999999</v>
      </c>
      <c r="AE33" s="11">
        <f>IFERROR(AD33/AD148, "NA")</f>
        <v>-1.5515559890061199E-3</v>
      </c>
      <c r="AF33" s="10">
        <f t="shared" si="8"/>
        <v>-1</v>
      </c>
      <c r="AG33" s="9">
        <f t="shared" si="9"/>
        <v>0.91874999999999996</v>
      </c>
      <c r="AH33" s="8">
        <f>IFERROR(AG33/AG148, "NA")</f>
        <v>3.1196881737969372E-5</v>
      </c>
      <c r="AI33" s="10">
        <f t="shared" si="10"/>
        <v>-0.91874999999999996</v>
      </c>
      <c r="AJ33" s="11">
        <f>IFERROR(AI33/AI148, "NA")</f>
        <v>6.6924348170507094E-4</v>
      </c>
      <c r="AK33" s="10">
        <f t="shared" si="11"/>
        <v>-1</v>
      </c>
      <c r="AL33" s="11">
        <f>IFERROR(AK33/AK148, "NA")</f>
        <v>21.452255623694029</v>
      </c>
    </row>
    <row r="34" spans="1:38" ht="16.5" customHeight="1">
      <c r="A34" s="26" t="s">
        <v>49</v>
      </c>
      <c r="B34" s="13">
        <f>IFERROR(B29+B30+B31+B32+B33, "NA")</f>
        <v>224.75</v>
      </c>
      <c r="C34" s="14">
        <f>IFERROR(B34/B148, "NA")</f>
        <v>8.9048200532981705E-3</v>
      </c>
      <c r="D34" s="13">
        <f>IFERROR(D29+D30+D31+D32+D33, "NA")</f>
        <v>499.78999999999996</v>
      </c>
      <c r="E34" s="14">
        <f>IFERROR(D34/D148, "NA")</f>
        <v>1.5031770966326413E-2</v>
      </c>
      <c r="F34" s="13">
        <f>IFERROR(F29+F30+F31+F32+F33, "NA")</f>
        <v>313.72999999999996</v>
      </c>
      <c r="G34" s="14">
        <f>IFERROR(F34/F148, "NA")</f>
        <v>9.4000371531127707E-3</v>
      </c>
      <c r="H34" s="13">
        <f>IFERROR(H29+H30+H31+H32+H33, "NA")</f>
        <v>517.88</v>
      </c>
      <c r="I34" s="14">
        <f>IFERROR(H34/H148, "NA")</f>
        <v>1.9027869428282114E-2</v>
      </c>
      <c r="J34" s="13">
        <f>IFERROR(J29+J30+J31+J32+J33, "NA")</f>
        <v>322.23</v>
      </c>
      <c r="K34" s="14">
        <f>IFERROR(J34/J148, "NA")</f>
        <v>7.8090882344815492E-3</v>
      </c>
      <c r="L34" s="13">
        <f>IFERROR(L29+L30+L31+L32+L33, "NA")</f>
        <v>419.45</v>
      </c>
      <c r="M34" s="14">
        <f>IFERROR(L34/L148, "NA")</f>
        <v>1.3096991111094459E-2</v>
      </c>
      <c r="N34" s="13">
        <f>IFERROR(N29+N30+N31+N32+N33, "NA")</f>
        <v>336.40999999999997</v>
      </c>
      <c r="O34" s="14">
        <f>IFERROR(N34/N148, "NA")</f>
        <v>1.1656707015784596E-2</v>
      </c>
      <c r="P34" s="13">
        <f>IFERROR(P29+P30+P31+P32+P33, "NA")</f>
        <v>429.46</v>
      </c>
      <c r="Q34" s="14">
        <f>IFERROR(P34/P148, "NA")</f>
        <v>1.6594916111551408E-2</v>
      </c>
      <c r="R34" s="13">
        <f>IFERROR(R29+R30+R31+R32+R33, "NA")</f>
        <v>338.17000000000007</v>
      </c>
      <c r="S34" s="14">
        <f>IFERROR(R34/R148, "NA")</f>
        <v>1.3160040207450523E-2</v>
      </c>
      <c r="T34" s="13">
        <f>IFERROR(T29+T30+T31+T32+T33, "NA")</f>
        <v>260.57</v>
      </c>
      <c r="U34" s="14">
        <f>IFERROR(T34/T148, "NA")</f>
        <v>1.0354752707109956E-2</v>
      </c>
      <c r="V34" s="13">
        <f>IFERROR(V29+V30+V31+V32+V33, "NA")</f>
        <v>337.77</v>
      </c>
      <c r="W34" s="14">
        <f>IFERROR(V34/V148, "NA")</f>
        <v>1.1796314249872177E-2</v>
      </c>
      <c r="X34" s="13">
        <f>IFERROR(X29+X30+X31+X32+X33, "NA")</f>
        <v>260.83000000000004</v>
      </c>
      <c r="Y34" s="14">
        <f>IFERROR(X34/X148, "NA")</f>
        <v>9.2897307570117306E-3</v>
      </c>
      <c r="Z34" s="13">
        <f>IFERROR(Z29+Z30+Z31+Z32+Z33, "NA")</f>
        <v>260.83000000000004</v>
      </c>
      <c r="AA34" s="14">
        <f>IFERROR(Z34/Z148, "NA")</f>
        <v>9.2897307570117306E-3</v>
      </c>
      <c r="AB34" s="13">
        <f t="shared" si="6"/>
        <v>299.33500000000004</v>
      </c>
      <c r="AC34" s="14">
        <f>IFERROR(AB34/AB148, "NA")</f>
        <v>1.1130614367448414E-2</v>
      </c>
      <c r="AD34" s="15">
        <f t="shared" si="7"/>
        <v>-38.504999999999995</v>
      </c>
      <c r="AE34" s="16">
        <f>IFERROR(AD34/AD148, "NA")</f>
        <v>-3.2513014071662932E-2</v>
      </c>
      <c r="AF34" s="15">
        <f t="shared" si="8"/>
        <v>-0.12863514122972586</v>
      </c>
      <c r="AG34" s="13">
        <f t="shared" si="9"/>
        <v>338.11125000000004</v>
      </c>
      <c r="AH34" s="14">
        <f>IFERROR(AG34/AG148, "NA")</f>
        <v>1.1480834482206256E-2</v>
      </c>
      <c r="AI34" s="15">
        <f t="shared" si="10"/>
        <v>-77.28125</v>
      </c>
      <c r="AJ34" s="16">
        <f>IFERROR(AI34/AI148, "NA")</f>
        <v>5.6293847967912945E-2</v>
      </c>
      <c r="AK34" s="15">
        <f t="shared" si="11"/>
        <v>-0.22856752030581648</v>
      </c>
      <c r="AL34" s="16">
        <f>IFERROR(AK34/AK148, "NA")</f>
        <v>4.9032888728742501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5907.829999999999</v>
      </c>
      <c r="C35" s="14">
        <f>IFERROR(B35/B148, "NA")</f>
        <v>0.23407414040256519</v>
      </c>
      <c r="D35" s="13">
        <f>IFERROR(D13+D15+D16+D17+D18+D19+D20+D21+D22+D23+D24+D25+D26+D29+D30+D31+D32+D33, "NA")</f>
        <v>8006.420000000001</v>
      </c>
      <c r="E35" s="14">
        <f>IFERROR(D35/D148, "NA")</f>
        <v>0.240802480442216</v>
      </c>
      <c r="F35" s="13">
        <f>IFERROR(F13+F15+F16+F17+F18+F19+F20+F21+F22+F23+F24+F25+F26+F29+F30+F31+F32+F33, "NA")</f>
        <v>7493.26</v>
      </c>
      <c r="G35" s="14">
        <f>IFERROR(F35/F148, "NA")</f>
        <v>0.22451446274801201</v>
      </c>
      <c r="H35" s="13">
        <f>IFERROR(H13+H15+H16+H17+H18+H19+H20+H21+H22+H23+H24+H25+H26+H29+H30+H31+H32+H33, "NA")</f>
        <v>6441.0599999999995</v>
      </c>
      <c r="I35" s="14">
        <f>IFERROR(H35/H148, "NA")</f>
        <v>0.23665646223011275</v>
      </c>
      <c r="J35" s="13">
        <f>IFERROR(J13+J15+J16+J17+J18+J19+J20+J21+J22+J23+J24+J25+J26+J29+J30+J31+J32+J33, "NA")</f>
        <v>8223.9</v>
      </c>
      <c r="K35" s="14">
        <f>IFERROR(J35/J148, "NA")</f>
        <v>0.19930223980247899</v>
      </c>
      <c r="L35" s="13">
        <f>IFERROR(L13+L15+L16+L17+L18+L19+L20+L21+L22+L23+L24+L25+L26+L29+L30+L31+L32+L33, "NA")</f>
        <v>7249.9700000000012</v>
      </c>
      <c r="M35" s="14">
        <f>IFERROR(L35/L148, "NA")</f>
        <v>0.22637452055239363</v>
      </c>
      <c r="N35" s="13">
        <f>IFERROR(N13+N15+N16+N17+N18+N19+N20+N21+N22+N23+N24+N25+N26+N29+N30+N31+N32+N33, "NA")</f>
        <v>5813.0499999999993</v>
      </c>
      <c r="O35" s="14">
        <f>IFERROR(N35/N148, "NA")</f>
        <v>0.20142391937845677</v>
      </c>
      <c r="P35" s="13">
        <f>IFERROR(P13+P15+P16+P17+P18+P19+P20+P21+P22+P23+P24+P25+P26+P29+P30+P31+P32+P33, "NA")</f>
        <v>6911.3200000000006</v>
      </c>
      <c r="Q35" s="14">
        <f>IFERROR(P35/P148, "NA")</f>
        <v>0.2670627663113852</v>
      </c>
      <c r="R35" s="13">
        <f>IFERROR(R13+R15+R16+R17+R18+R19+R20+R21+R22+R23+R24+R25+R26+R29+R30+R31+R32+R33, "NA")</f>
        <v>5984.9300000000012</v>
      </c>
      <c r="S35" s="14">
        <f>IFERROR(R35/R148, "NA")</f>
        <v>0.23290628807634284</v>
      </c>
      <c r="T35" s="13">
        <f>IFERROR(T13+T15+T16+T17+T18+T19+T20+T21+T22+T23+T24+T25+T26+T29+T30+T31+T32+T33, "NA")</f>
        <v>5681.619999999999</v>
      </c>
      <c r="U35" s="14">
        <f>IFERROR(T35/T148, "NA")</f>
        <v>0.22578105720447503</v>
      </c>
      <c r="V35" s="13">
        <f>IFERROR(V13+V15+V16+V17+V18+V19+V20+V21+V22+V23+V24+V25+V26+V29+V30+V31+V32+V33, "NA")</f>
        <v>6712.9499999999989</v>
      </c>
      <c r="W35" s="14">
        <f>IFERROR(V35/V148, "NA")</f>
        <v>0.23444375682766208</v>
      </c>
      <c r="X35" s="13">
        <f>IFERROR(X13+X15+X16+X17+X18+X19+X20+X21+X22+X23+X24+X25+X26+X29+X30+X31+X32+X33, "NA")</f>
        <v>5970.0600000000013</v>
      </c>
      <c r="Y35" s="14">
        <f>IFERROR(X35/X148, "NA")</f>
        <v>0.21262987387649218</v>
      </c>
      <c r="Z35" s="13">
        <f>IFERROR(Z13+Z15+Z16+Z17+Z18+Z19+Z20+Z21+Z22+Z23+Z24+Z25+Z26+Z29+Z30+Z31+Z32+Z33, "NA")</f>
        <v>5970.0600000000013</v>
      </c>
      <c r="AA35" s="14">
        <f>IFERROR(Z35/Z148, "NA")</f>
        <v>0.21262987387649218</v>
      </c>
      <c r="AB35" s="13">
        <f t="shared" si="6"/>
        <v>6087.39</v>
      </c>
      <c r="AC35" s="14">
        <f>IFERROR(AB35/AB148, "NA")</f>
        <v>0.22635639198310187</v>
      </c>
      <c r="AD35" s="15">
        <f t="shared" si="7"/>
        <v>-117.32999999999902</v>
      </c>
      <c r="AE35" s="16">
        <f>IFERROR(AD35/AD148, "NA")</f>
        <v>-9.9071599559230755E-2</v>
      </c>
      <c r="AF35" s="15">
        <f t="shared" si="8"/>
        <v>-1.927427025375391E-2</v>
      </c>
      <c r="AG35" s="13">
        <f t="shared" si="9"/>
        <v>6568.4749999999985</v>
      </c>
      <c r="AH35" s="14">
        <f>IFERROR(AG35/AG148, "NA")</f>
        <v>0.22303775540006349</v>
      </c>
      <c r="AI35" s="15">
        <f t="shared" si="10"/>
        <v>-598.41499999999724</v>
      </c>
      <c r="AJ35" s="16">
        <f>IFERROR(AI35/AI148, "NA")</f>
        <v>0.43590240882126607</v>
      </c>
      <c r="AK35" s="15">
        <f t="shared" si="11"/>
        <v>-9.1104099505592603E-2</v>
      </c>
      <c r="AL35" s="16">
        <f>IFERROR(AK35/AK148, "NA")</f>
        <v>1.9543884309604291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917.2</v>
      </c>
      <c r="C40" s="8">
        <f>IFERROR(B40/B148, "NA")</f>
        <v>3.6340382437753428E-2</v>
      </c>
      <c r="D40" s="7">
        <v>824.36</v>
      </c>
      <c r="E40" s="8">
        <f>IFERROR(D40/D148, "NA")</f>
        <v>2.479359473739139E-2</v>
      </c>
      <c r="F40" s="7">
        <v>1097.3499999999999</v>
      </c>
      <c r="G40" s="8">
        <f>IFERROR(F40/F148, "NA")</f>
        <v>3.2879006693552731E-2</v>
      </c>
      <c r="H40" s="7">
        <v>688.11</v>
      </c>
      <c r="I40" s="8">
        <f>IFERROR(H40/H148, "NA")</f>
        <v>2.5282434603180672E-2</v>
      </c>
      <c r="J40" s="7">
        <v>1006.73</v>
      </c>
      <c r="K40" s="8">
        <f>IFERROR(J40/J148, "NA")</f>
        <v>2.4397614741953292E-2</v>
      </c>
      <c r="L40" s="7">
        <v>854.98</v>
      </c>
      <c r="M40" s="8">
        <f>IFERROR(L40/L148, "NA")</f>
        <v>2.6696067374331958E-2</v>
      </c>
      <c r="N40" s="7">
        <v>814.85</v>
      </c>
      <c r="O40" s="8">
        <f>IFERROR(N40/N148, "NA")</f>
        <v>2.8234795968645639E-2</v>
      </c>
      <c r="P40" s="7">
        <v>538.86</v>
      </c>
      <c r="Q40" s="8">
        <f>IFERROR(P40/P148, "NA")</f>
        <v>2.0822280295884583E-2</v>
      </c>
      <c r="R40" s="7">
        <v>1029.03</v>
      </c>
      <c r="S40" s="8">
        <f>IFERROR(R40/R148, "NA")</f>
        <v>4.0045173062876097E-2</v>
      </c>
      <c r="T40" s="7">
        <v>636.66</v>
      </c>
      <c r="U40" s="8">
        <f>IFERROR(T40/T148, "NA")</f>
        <v>2.5300137615645025E-2</v>
      </c>
      <c r="V40" s="7">
        <v>845.14</v>
      </c>
      <c r="W40" s="8">
        <f>IFERROR(V40/V148, "NA")</f>
        <v>2.9515756358282179E-2</v>
      </c>
      <c r="X40" s="7">
        <v>745.4</v>
      </c>
      <c r="Y40" s="8">
        <f>IFERROR(X40/X148, "NA")</f>
        <v>2.654819348340506E-2</v>
      </c>
      <c r="Z40" s="7">
        <v>745.4</v>
      </c>
      <c r="AA40" s="8">
        <f>IFERROR(Z40/Z148, "NA")</f>
        <v>2.654819348340506E-2</v>
      </c>
      <c r="AB40" s="9">
        <f t="shared" si="12"/>
        <v>814.0575</v>
      </c>
      <c r="AC40" s="8">
        <f>IFERROR(AB40/AB148, "NA")</f>
        <v>3.0270299515356161E-2</v>
      </c>
      <c r="AD40" s="10">
        <f t="shared" si="13"/>
        <v>-68.657500000000027</v>
      </c>
      <c r="AE40" s="11">
        <f>IFERROR(AD40/AD148, "NA")</f>
        <v>-5.7973309015068142E-2</v>
      </c>
      <c r="AF40" s="10">
        <f t="shared" si="14"/>
        <v>-8.4339865427196514E-2</v>
      </c>
      <c r="AG40" s="9">
        <f t="shared" si="15"/>
        <v>808.95624999999995</v>
      </c>
      <c r="AH40" s="8">
        <f>IFERROR(AG40/AG148, "NA")</f>
        <v>2.7468748258439386E-2</v>
      </c>
      <c r="AI40" s="10">
        <f t="shared" si="16"/>
        <v>-63.556249999999977</v>
      </c>
      <c r="AJ40" s="11">
        <f>IFERROR(AI40/AI148, "NA")</f>
        <v>4.6296169833053499E-2</v>
      </c>
      <c r="AK40" s="10">
        <f t="shared" si="17"/>
        <v>-7.8565744439207913E-2</v>
      </c>
      <c r="AL40" s="11">
        <f>IFERROR(AK40/AK148, "NA")</f>
        <v>1.6854124329757056</v>
      </c>
    </row>
    <row r="41" spans="1:38" ht="16.5" customHeight="1">
      <c r="A41" s="25" t="s">
        <v>56</v>
      </c>
      <c r="B41" s="7">
        <v>164.12</v>
      </c>
      <c r="C41" s="8">
        <f>IFERROR(B41/B148, "NA")</f>
        <v>6.5025987414785132E-3</v>
      </c>
      <c r="D41" s="7">
        <v>430.02</v>
      </c>
      <c r="E41" s="8">
        <f>IFERROR(D41/D148, "NA")</f>
        <v>1.2933356311530211E-2</v>
      </c>
      <c r="F41" s="7">
        <v>173.71</v>
      </c>
      <c r="G41" s="8">
        <f>IFERROR(F41/F148, "NA")</f>
        <v>5.2047316286845998E-3</v>
      </c>
      <c r="H41" s="7">
        <v>137.46</v>
      </c>
      <c r="I41" s="8">
        <f>IFERROR(H41/H148, "NA")</f>
        <v>5.0505347408891241E-3</v>
      </c>
      <c r="J41" s="7">
        <v>560.49</v>
      </c>
      <c r="K41" s="8">
        <f>IFERROR(J41/J148, "NA")</f>
        <v>1.3583204122969815E-2</v>
      </c>
      <c r="L41" s="7">
        <v>429.82</v>
      </c>
      <c r="M41" s="8">
        <f>IFERROR(L41/L148, "NA")</f>
        <v>1.3420786075505115E-2</v>
      </c>
      <c r="N41" s="7">
        <v>261.86</v>
      </c>
      <c r="O41" s="8">
        <f>IFERROR(N41/N148, "NA")</f>
        <v>9.0735272410254007E-3</v>
      </c>
      <c r="P41" s="7">
        <v>341.4</v>
      </c>
      <c r="Q41" s="8">
        <f>IFERROR(P41/P148, "NA")</f>
        <v>1.3192158432644834E-2</v>
      </c>
      <c r="R41" s="7">
        <v>102.98</v>
      </c>
      <c r="S41" s="8">
        <f>IFERROR(R41/R148, "NA")</f>
        <v>4.0075137965025123E-3</v>
      </c>
      <c r="T41" s="7">
        <v>240.27</v>
      </c>
      <c r="U41" s="8">
        <f>IFERROR(T41/T148, "NA")</f>
        <v>9.5480540082791918E-3</v>
      </c>
      <c r="V41" s="7">
        <v>298.58</v>
      </c>
      <c r="W41" s="8">
        <f>IFERROR(V41/V148, "NA")</f>
        <v>1.0427638655673489E-2</v>
      </c>
      <c r="X41" s="7">
        <v>282.13</v>
      </c>
      <c r="Y41" s="8">
        <f>IFERROR(X41/X148, "NA")</f>
        <v>1.0048352330927114E-2</v>
      </c>
      <c r="Z41" s="7">
        <v>282.13</v>
      </c>
      <c r="AA41" s="8">
        <f>IFERROR(Z41/Z148, "NA")</f>
        <v>1.0048352330927114E-2</v>
      </c>
      <c r="AB41" s="9">
        <f t="shared" si="12"/>
        <v>230.98999999999998</v>
      </c>
      <c r="AC41" s="8">
        <f>IFERROR(AB41/AB148, "NA")</f>
        <v>8.5892415278430809E-3</v>
      </c>
      <c r="AD41" s="10">
        <f t="shared" si="13"/>
        <v>51.140000000000015</v>
      </c>
      <c r="AE41" s="11">
        <f>IFERROR(AD41/AD148, "NA")</f>
        <v>4.3181808586543122E-2</v>
      </c>
      <c r="AF41" s="10">
        <f t="shared" si="14"/>
        <v>0.22139486557859656</v>
      </c>
      <c r="AG41" s="9">
        <f t="shared" si="15"/>
        <v>314.69125000000003</v>
      </c>
      <c r="AH41" s="8">
        <f>IFERROR(AG41/AG148, "NA")</f>
        <v>1.0685589888678917E-2</v>
      </c>
      <c r="AI41" s="10">
        <f t="shared" si="16"/>
        <v>-32.56125000000003</v>
      </c>
      <c r="AJ41" s="11">
        <f>IFERROR(AI41/AI148, "NA")</f>
        <v>2.3718535312837293E-2</v>
      </c>
      <c r="AK41" s="10">
        <f t="shared" si="17"/>
        <v>-0.1034704650987278</v>
      </c>
      <c r="AL41" s="11">
        <f>IFERROR(AK41/AK148, "NA")</f>
        <v>2.2196748668004203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1081.3200000000002</v>
      </c>
      <c r="C44" s="14">
        <f>IFERROR(B44/B148, "NA")</f>
        <v>4.2842981179231944E-2</v>
      </c>
      <c r="D44" s="13">
        <f>IFERROR(D39+D40+D41+D42+D43, "NA")</f>
        <v>1254.3800000000001</v>
      </c>
      <c r="E44" s="14">
        <f>IFERROR(D44/D148, "NA")</f>
        <v>3.7726951048921605E-2</v>
      </c>
      <c r="F44" s="13">
        <f>IFERROR(F39+F40+F41+F42+F43, "NA")</f>
        <v>1271.06</v>
      </c>
      <c r="G44" s="14">
        <f>IFERROR(F44/F148, "NA")</f>
        <v>3.8083738322237333E-2</v>
      </c>
      <c r="H44" s="13">
        <f>IFERROR(H39+H40+H41+H42+H43, "NA")</f>
        <v>825.57</v>
      </c>
      <c r="I44" s="14">
        <f>IFERROR(H44/H148, "NA")</f>
        <v>3.0332969344069795E-2</v>
      </c>
      <c r="J44" s="13">
        <f>IFERROR(J39+J40+J41+J42+J43, "NA")</f>
        <v>1567.22</v>
      </c>
      <c r="K44" s="14">
        <f>IFERROR(J44/J148, "NA")</f>
        <v>3.7980818864923105E-2</v>
      </c>
      <c r="L44" s="13">
        <f>IFERROR(L39+L40+L41+L42+L43, "NA")</f>
        <v>1284.8</v>
      </c>
      <c r="M44" s="14">
        <f>IFERROR(L44/L148, "NA")</f>
        <v>4.0116853449837071E-2</v>
      </c>
      <c r="N44" s="13">
        <f>IFERROR(N39+N40+N41+N42+N43, "NA")</f>
        <v>1076.71</v>
      </c>
      <c r="O44" s="14">
        <f>IFERROR(N44/N148, "NA")</f>
        <v>3.7308323209671042E-2</v>
      </c>
      <c r="P44" s="13">
        <f>IFERROR(P39+P40+P41+P42+P43, "NA")</f>
        <v>880.26</v>
      </c>
      <c r="Q44" s="14">
        <f>IFERROR(P44/P148, "NA")</f>
        <v>3.4014438728529418E-2</v>
      </c>
      <c r="R44" s="13">
        <f>IFERROR(R39+R40+R41+R42+R43, "NA")</f>
        <v>1132.01</v>
      </c>
      <c r="S44" s="14">
        <f>IFERROR(R44/R148, "NA")</f>
        <v>4.4052686859378604E-2</v>
      </c>
      <c r="T44" s="13">
        <f>IFERROR(T39+T40+T41+T42+T43, "NA")</f>
        <v>876.93</v>
      </c>
      <c r="U44" s="14">
        <f>IFERROR(T44/T148, "NA")</f>
        <v>3.4848191623924218E-2</v>
      </c>
      <c r="V44" s="13">
        <f>IFERROR(V39+V40+V41+V42+V43, "NA")</f>
        <v>1143.72</v>
      </c>
      <c r="W44" s="14">
        <f>IFERROR(V44/V148, "NA")</f>
        <v>3.994339501395567E-2</v>
      </c>
      <c r="X44" s="13">
        <f>IFERROR(X39+X40+X41+X42+X43, "NA")</f>
        <v>1027.53</v>
      </c>
      <c r="Y44" s="14">
        <f>IFERROR(X44/X148, "NA")</f>
        <v>3.6596545814332172E-2</v>
      </c>
      <c r="Z44" s="13">
        <f>IFERROR(Z39+Z40+Z41+Z42+Z43, "NA")</f>
        <v>1027.53</v>
      </c>
      <c r="AA44" s="14">
        <f>IFERROR(Z44/Z148, "NA")</f>
        <v>3.6596545814332172E-2</v>
      </c>
      <c r="AB44" s="13">
        <f t="shared" si="12"/>
        <v>1045.0474999999999</v>
      </c>
      <c r="AC44" s="14">
        <f>IFERROR(AB44/AB148, "NA")</f>
        <v>3.885954104319924E-2</v>
      </c>
      <c r="AD44" s="15">
        <f t="shared" si="13"/>
        <v>-17.517499999999927</v>
      </c>
      <c r="AE44" s="16">
        <f>IFERROR(AD44/AD148, "NA")</f>
        <v>-1.4791500428524947E-2</v>
      </c>
      <c r="AF44" s="15">
        <f t="shared" si="14"/>
        <v>-1.6762395967647337E-2</v>
      </c>
      <c r="AG44" s="13">
        <f t="shared" si="15"/>
        <v>1123.6475</v>
      </c>
      <c r="AH44" s="14">
        <f>IFERROR(AG44/AG148, "NA")</f>
        <v>3.8154338147118307E-2</v>
      </c>
      <c r="AI44" s="15">
        <f t="shared" si="16"/>
        <v>-96.117500000000064</v>
      </c>
      <c r="AJ44" s="16">
        <f>IFERROR(AI44/AI148, "NA")</f>
        <v>7.0014705145890838E-2</v>
      </c>
      <c r="AK44" s="15">
        <f t="shared" si="17"/>
        <v>-8.5540616607966524E-2</v>
      </c>
      <c r="AL44" s="16">
        <f>IFERROR(AK44/AK148, "NA")</f>
        <v>1.8350391736825047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144.33000000000001</v>
      </c>
      <c r="C47" s="8">
        <f>IFERROR(B47/B148, "NA")</f>
        <v>5.7184991247720808E-3</v>
      </c>
      <c r="D47" s="7">
        <v>103.74</v>
      </c>
      <c r="E47" s="8">
        <f>IFERROR(D47/D148, "NA")</f>
        <v>3.1201022830522861E-3</v>
      </c>
      <c r="F47" s="7">
        <v>21.24</v>
      </c>
      <c r="G47" s="8">
        <f>IFERROR(F47/F148, "NA")</f>
        <v>6.3639686715365206E-4</v>
      </c>
      <c r="H47" s="7">
        <v>46.84</v>
      </c>
      <c r="I47" s="8">
        <f>IFERROR(H47/H148, "NA")</f>
        <v>1.7209882675923655E-3</v>
      </c>
      <c r="J47" s="7">
        <v>118.01</v>
      </c>
      <c r="K47" s="8">
        <f>IFERROR(J47/J148, "NA")</f>
        <v>2.8599152858243106E-3</v>
      </c>
      <c r="L47" s="7">
        <v>111.85</v>
      </c>
      <c r="M47" s="8">
        <f>IFERROR(L47/L148, "NA")</f>
        <v>3.492426882288509E-3</v>
      </c>
      <c r="N47" s="7">
        <v>105.15</v>
      </c>
      <c r="O47" s="8">
        <f>IFERROR(N47/N148, "NA")</f>
        <v>3.6434789177187078E-3</v>
      </c>
      <c r="P47" s="7">
        <v>93.55</v>
      </c>
      <c r="Q47" s="8">
        <f>IFERROR(P47/P148, "NA")</f>
        <v>3.6148987152136037E-3</v>
      </c>
      <c r="R47" s="7">
        <v>135.35</v>
      </c>
      <c r="S47" s="8">
        <f>IFERROR(R47/R148, "NA")</f>
        <v>5.2672071504817923E-3</v>
      </c>
      <c r="T47" s="7">
        <v>114.13</v>
      </c>
      <c r="U47" s="8">
        <f>IFERROR(T47/T148, "NA")</f>
        <v>4.535395196923895E-3</v>
      </c>
      <c r="V47" s="7">
        <v>113.14</v>
      </c>
      <c r="W47" s="8">
        <f>IFERROR(V47/V148, "NA")</f>
        <v>3.9513130065741133E-3</v>
      </c>
      <c r="X47" s="7">
        <v>138.27000000000001</v>
      </c>
      <c r="Y47" s="8">
        <f>IFERROR(X47/X148, "NA")</f>
        <v>4.9246293439098717E-3</v>
      </c>
      <c r="Z47" s="7">
        <v>138.27000000000001</v>
      </c>
      <c r="AA47" s="8">
        <f>IFERROR(Z47/Z148, "NA")</f>
        <v>4.9246293439098717E-3</v>
      </c>
      <c r="AB47" s="9">
        <f t="shared" si="18"/>
        <v>125.2225</v>
      </c>
      <c r="AC47" s="8">
        <f>IFERROR(AB47/AB148, "NA")</f>
        <v>4.6563327296434056E-3</v>
      </c>
      <c r="AD47" s="10">
        <f t="shared" si="19"/>
        <v>13.047500000000014</v>
      </c>
      <c r="AE47" s="11">
        <f>IFERROR(AD47/AD148, "NA")</f>
        <v>1.1017103002208092E-2</v>
      </c>
      <c r="AF47" s="10">
        <f t="shared" si="20"/>
        <v>0.10419453372996078</v>
      </c>
      <c r="AG47" s="9">
        <f t="shared" si="21"/>
        <v>116.18124999999999</v>
      </c>
      <c r="AH47" s="8">
        <f>IFERROR(AG47/AG148, "NA")</f>
        <v>3.9450260858987255E-3</v>
      </c>
      <c r="AI47" s="10">
        <f t="shared" si="22"/>
        <v>22.088750000000019</v>
      </c>
      <c r="AJ47" s="11">
        <f>IFERROR(AI47/AI148, "NA")</f>
        <v>-1.6090070156748734E-2</v>
      </c>
      <c r="AK47" s="10">
        <f t="shared" si="23"/>
        <v>0.1901231911345421</v>
      </c>
      <c r="AL47" s="11">
        <f>IFERROR(AK47/AK148, "NA")</f>
        <v>-4.0785712962106349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144.33000000000001</v>
      </c>
      <c r="C52" s="14">
        <f>IFERROR(B52/B148, "NA")</f>
        <v>5.7184991247720808E-3</v>
      </c>
      <c r="D52" s="13">
        <f>IFERROR(D46+D47+D48+D49+D50+D51, "NA")</f>
        <v>103.74</v>
      </c>
      <c r="E52" s="14">
        <f>IFERROR(D52/D148, "NA")</f>
        <v>3.1201022830522861E-3</v>
      </c>
      <c r="F52" s="13">
        <f>IFERROR(F46+F47+F48+F49+F50+F51, "NA")</f>
        <v>21.24</v>
      </c>
      <c r="G52" s="14">
        <f>IFERROR(F52/F148, "NA")</f>
        <v>6.3639686715365206E-4</v>
      </c>
      <c r="H52" s="13">
        <f>IFERROR(H46+H47+H48+H49+H50+H51, "NA")</f>
        <v>46.84</v>
      </c>
      <c r="I52" s="14">
        <f>IFERROR(H52/H148, "NA")</f>
        <v>1.7209882675923655E-3</v>
      </c>
      <c r="J52" s="13">
        <f>IFERROR(J46+J47+J48+J49+J50+J51, "NA")</f>
        <v>118.01</v>
      </c>
      <c r="K52" s="14">
        <f>IFERROR(J52/J148, "NA")</f>
        <v>2.8599152858243106E-3</v>
      </c>
      <c r="L52" s="13">
        <f>IFERROR(L46+L47+L48+L49+L50+L51, "NA")</f>
        <v>111.85</v>
      </c>
      <c r="M52" s="14">
        <f>IFERROR(L52/L148, "NA")</f>
        <v>3.492426882288509E-3</v>
      </c>
      <c r="N52" s="13">
        <f>IFERROR(N46+N47+N48+N49+N50+N51, "NA")</f>
        <v>105.15</v>
      </c>
      <c r="O52" s="14">
        <f>IFERROR(N52/N148, "NA")</f>
        <v>3.6434789177187078E-3</v>
      </c>
      <c r="P52" s="13">
        <f>IFERROR(P46+P47+P48+P49+P50+P51, "NA")</f>
        <v>93.55</v>
      </c>
      <c r="Q52" s="14">
        <f>IFERROR(P52/P148, "NA")</f>
        <v>3.6148987152136037E-3</v>
      </c>
      <c r="R52" s="13">
        <f>IFERROR(R46+R47+R48+R49+R50+R51, "NA")</f>
        <v>135.35</v>
      </c>
      <c r="S52" s="14">
        <f>IFERROR(R52/R148, "NA")</f>
        <v>5.2672071504817923E-3</v>
      </c>
      <c r="T52" s="13">
        <f>IFERROR(T46+T47+T48+T49+T50+T51, "NA")</f>
        <v>114.13</v>
      </c>
      <c r="U52" s="14">
        <f>IFERROR(T52/T148, "NA")</f>
        <v>4.535395196923895E-3</v>
      </c>
      <c r="V52" s="13">
        <f>IFERROR(V46+V47+V48+V49+V50+V51, "NA")</f>
        <v>113.14</v>
      </c>
      <c r="W52" s="14">
        <f>IFERROR(V52/V148, "NA")</f>
        <v>3.9513130065741133E-3</v>
      </c>
      <c r="X52" s="13">
        <f>IFERROR(X46+X47+X48+X49+X50+X51, "NA")</f>
        <v>138.27000000000001</v>
      </c>
      <c r="Y52" s="14">
        <f>IFERROR(X52/X148, "NA")</f>
        <v>4.9246293439098717E-3</v>
      </c>
      <c r="Z52" s="13">
        <f>IFERROR(Z46+Z47+Z48+Z49+Z50+Z51, "NA")</f>
        <v>138.27000000000001</v>
      </c>
      <c r="AA52" s="14">
        <f>IFERROR(Z52/Z148, "NA")</f>
        <v>4.9246293439098717E-3</v>
      </c>
      <c r="AB52" s="13">
        <f t="shared" si="18"/>
        <v>125.2225</v>
      </c>
      <c r="AC52" s="14">
        <f>IFERROR(AB52/AB148, "NA")</f>
        <v>4.6563327296434056E-3</v>
      </c>
      <c r="AD52" s="15">
        <f t="shared" si="19"/>
        <v>13.047500000000014</v>
      </c>
      <c r="AE52" s="16">
        <f>IFERROR(AD52/AD148, "NA")</f>
        <v>1.1017103002208092E-2</v>
      </c>
      <c r="AF52" s="15">
        <f t="shared" si="20"/>
        <v>0.10419453372996078</v>
      </c>
      <c r="AG52" s="13">
        <f t="shared" si="21"/>
        <v>116.18124999999999</v>
      </c>
      <c r="AH52" s="14">
        <f>IFERROR(AG52/AG148, "NA")</f>
        <v>3.9450260858987255E-3</v>
      </c>
      <c r="AI52" s="15">
        <f t="shared" si="22"/>
        <v>22.088750000000019</v>
      </c>
      <c r="AJ52" s="16">
        <f>IFERROR(AI52/AI148, "NA")</f>
        <v>-1.6090070156748734E-2</v>
      </c>
      <c r="AK52" s="15">
        <f t="shared" si="23"/>
        <v>0.1901231911345421</v>
      </c>
      <c r="AL52" s="16">
        <f>IFERROR(AK52/AK148, "NA")</f>
        <v>-4.0785712962106349</v>
      </c>
    </row>
    <row r="53" spans="1:38" ht="16.5" customHeight="1">
      <c r="A53" s="23" t="s">
        <v>68</v>
      </c>
      <c r="B53" s="7">
        <v>32.369999999999997</v>
      </c>
      <c r="C53" s="8">
        <f>IFERROR(B53/B148, "NA")</f>
        <v>1.2825318136830334E-3</v>
      </c>
      <c r="D53" s="7">
        <v>39.93</v>
      </c>
      <c r="E53" s="8">
        <f>IFERROR(D53/D148, "NA")</f>
        <v>1.2009416248532658E-3</v>
      </c>
      <c r="F53" s="7">
        <v>23.53</v>
      </c>
      <c r="G53" s="8">
        <f>IFERROR(F53/F148, "NA")</f>
        <v>7.0501027703038762E-4</v>
      </c>
      <c r="H53" s="7">
        <v>32.729999999999997</v>
      </c>
      <c r="I53" s="8">
        <f>IFERROR(H53/H148, "NA")</f>
        <v>1.2025607599978247E-3</v>
      </c>
      <c r="J53" s="7">
        <v>97.09</v>
      </c>
      <c r="K53" s="8">
        <f>IFERROR(J53/J148, "NA")</f>
        <v>2.3529292017683444E-3</v>
      </c>
      <c r="L53" s="7">
        <v>28.93</v>
      </c>
      <c r="M53" s="8">
        <f>IFERROR(L53/L148, "NA")</f>
        <v>9.0331613504342038E-4</v>
      </c>
      <c r="N53" s="7">
        <v>36.39</v>
      </c>
      <c r="O53" s="8">
        <f>IFERROR(N53/N148, "NA")</f>
        <v>1.260924372950868E-3</v>
      </c>
      <c r="P53" s="7">
        <v>19.510000000000002</v>
      </c>
      <c r="Q53" s="8">
        <f>IFERROR(P53/P148, "NA")</f>
        <v>7.5389282665758867E-4</v>
      </c>
      <c r="R53" s="7">
        <v>27.95</v>
      </c>
      <c r="S53" s="8">
        <f>IFERROR(R53/R148, "NA")</f>
        <v>1.0876870325523908E-3</v>
      </c>
      <c r="T53" s="7">
        <v>27.83</v>
      </c>
      <c r="U53" s="8">
        <f>IFERROR(T53/T148, "NA")</f>
        <v>1.1059322555891701E-3</v>
      </c>
      <c r="V53" s="7">
        <v>19.600000000000001</v>
      </c>
      <c r="W53" s="8">
        <f>IFERROR(V53/V148, "NA")</f>
        <v>6.8451241761404119E-4</v>
      </c>
      <c r="X53" s="7">
        <v>14.28</v>
      </c>
      <c r="Y53" s="8">
        <f>IFERROR(X53/X148, "NA")</f>
        <v>5.0859699885031425E-4</v>
      </c>
      <c r="Z53" s="7">
        <v>14.28</v>
      </c>
      <c r="AA53" s="8">
        <f>IFERROR(Z53/Z148, "NA")</f>
        <v>5.0859699885031425E-4</v>
      </c>
      <c r="AB53" s="9">
        <f t="shared" si="18"/>
        <v>22.414999999999999</v>
      </c>
      <c r="AC53" s="8">
        <f>IFERROR(AB53/AB148, "NA")</f>
        <v>8.3348997292784395E-4</v>
      </c>
      <c r="AD53" s="10">
        <f t="shared" si="19"/>
        <v>-8.1349999999999998</v>
      </c>
      <c r="AE53" s="11">
        <f>IFERROR(AD53/AD148, "NA")</f>
        <v>-6.8690655622121281E-3</v>
      </c>
      <c r="AF53" s="10">
        <f t="shared" si="20"/>
        <v>-0.36292661164398843</v>
      </c>
      <c r="AG53" s="9">
        <f t="shared" si="21"/>
        <v>33.947499999999998</v>
      </c>
      <c r="AH53" s="8">
        <f>IFERROR(AG53/AG148, "NA")</f>
        <v>1.1527141690337037E-3</v>
      </c>
      <c r="AI53" s="10">
        <f t="shared" si="22"/>
        <v>-19.667499999999997</v>
      </c>
      <c r="AJ53" s="11">
        <f>IFERROR(AI53/AI148, "NA")</f>
        <v>1.432636318523481E-2</v>
      </c>
      <c r="AK53" s="10">
        <f t="shared" si="23"/>
        <v>-0.57935046763384634</v>
      </c>
      <c r="AL53" s="11">
        <f>IFERROR(AK53/AK148, "NA")</f>
        <v>12.428374327387944</v>
      </c>
    </row>
    <row r="54" spans="1:38" ht="16.5" customHeight="1">
      <c r="A54" s="23" t="s">
        <v>69</v>
      </c>
      <c r="B54" s="7">
        <v>31</v>
      </c>
      <c r="C54" s="8">
        <f>IFERROR(B54/B148, "NA")</f>
        <v>1.2282510418342306E-3</v>
      </c>
      <c r="D54" s="7">
        <v>34.31</v>
      </c>
      <c r="E54" s="8">
        <f>IFERROR(D54/D148, "NA")</f>
        <v>1.0319135273908226E-3</v>
      </c>
      <c r="F54" s="7">
        <v>34</v>
      </c>
      <c r="G54" s="8">
        <f>IFERROR(F54/F148, "NA")</f>
        <v>1.0187143824493489E-3</v>
      </c>
      <c r="H54" s="7">
        <v>36</v>
      </c>
      <c r="I54" s="8">
        <f>IFERROR(H54/H148, "NA")</f>
        <v>1.3227066104467369E-3</v>
      </c>
      <c r="J54" s="7">
        <v>39</v>
      </c>
      <c r="K54" s="8">
        <f>IFERROR(J54/J148, "NA")</f>
        <v>9.4514614140452601E-4</v>
      </c>
      <c r="L54" s="7">
        <v>33.25</v>
      </c>
      <c r="M54" s="8">
        <f>IFERROR(L54/L148, "NA")</f>
        <v>1.0382046833803571E-3</v>
      </c>
      <c r="N54" s="7">
        <v>29.56</v>
      </c>
      <c r="O54" s="8">
        <f>IFERROR(N54/N148, "NA")</f>
        <v>1.0242628322184022E-3</v>
      </c>
      <c r="P54" s="7">
        <v>31</v>
      </c>
      <c r="Q54" s="8">
        <f>IFERROR(P54/P148, "NA")</f>
        <v>1.1978819900761275E-3</v>
      </c>
      <c r="R54" s="7">
        <v>34</v>
      </c>
      <c r="S54" s="8">
        <f>IFERROR(R54/R148, "NA")</f>
        <v>1.3231255494376133E-3</v>
      </c>
      <c r="T54" s="7">
        <v>31</v>
      </c>
      <c r="U54" s="8">
        <f>IFERROR(T54/T148, "NA")</f>
        <v>1.2319044169336786E-3</v>
      </c>
      <c r="V54" s="7">
        <v>43</v>
      </c>
      <c r="W54" s="8">
        <f>IFERROR(V54/V148, "NA")</f>
        <v>1.5017364263981514E-3</v>
      </c>
      <c r="X54" s="7">
        <v>36</v>
      </c>
      <c r="Y54" s="8">
        <f>IFERROR(X54/X148, "NA")</f>
        <v>1.2821773080260025E-3</v>
      </c>
      <c r="Z54" s="7">
        <v>36</v>
      </c>
      <c r="AA54" s="8">
        <f>IFERROR(Z54/Z148, "NA")</f>
        <v>1.2821773080260025E-3</v>
      </c>
      <c r="AB54" s="9">
        <f t="shared" si="18"/>
        <v>36</v>
      </c>
      <c r="AC54" s="8">
        <f>IFERROR(AB54/AB148, "NA")</f>
        <v>1.3386410450770638E-3</v>
      </c>
      <c r="AD54" s="10">
        <f t="shared" si="19"/>
        <v>0</v>
      </c>
      <c r="AE54" s="11">
        <f>IFERROR(AD54/AD148, "NA")</f>
        <v>0</v>
      </c>
      <c r="AF54" s="10">
        <f t="shared" si="20"/>
        <v>0</v>
      </c>
      <c r="AG54" s="9">
        <f t="shared" si="21"/>
        <v>34.60125</v>
      </c>
      <c r="AH54" s="8">
        <f>IFERROR(AG54/AG148, "NA")</f>
        <v>1.1749127665152792E-3</v>
      </c>
      <c r="AI54" s="10">
        <f t="shared" si="22"/>
        <v>1.3987499999999997</v>
      </c>
      <c r="AJ54" s="11">
        <f>IFERROR(AI54/AI148, "NA")</f>
        <v>-1.0188890558203731E-3</v>
      </c>
      <c r="AK54" s="10">
        <f t="shared" si="23"/>
        <v>4.0424840143058409E-2</v>
      </c>
      <c r="AL54" s="11">
        <f>IFERROR(AK54/AK148, "NA")</f>
        <v>-0.86720400429585687</v>
      </c>
    </row>
    <row r="55" spans="1:38" ht="16.5" customHeight="1">
      <c r="A55" s="23" t="s">
        <v>70</v>
      </c>
      <c r="B55" s="7">
        <v>-240.84</v>
      </c>
      <c r="C55" s="8">
        <f>IFERROR(B55/B148, "NA")</f>
        <v>-9.5423219650114868E-3</v>
      </c>
      <c r="D55" s="7">
        <v>-237.66</v>
      </c>
      <c r="E55" s="8">
        <f>IFERROR(D55/D148, "NA")</f>
        <v>-7.1479034951822474E-3</v>
      </c>
      <c r="F55" s="7">
        <v>-186.55</v>
      </c>
      <c r="G55" s="8">
        <f>IFERROR(F55/F148, "NA")</f>
        <v>-5.5894461189978251E-3</v>
      </c>
      <c r="H55" s="7">
        <v>-215.46</v>
      </c>
      <c r="I55" s="8">
        <f>IFERROR(H55/H148, "NA")</f>
        <v>-7.9163990635237203E-3</v>
      </c>
      <c r="J55" s="7">
        <v>-142.84</v>
      </c>
      <c r="K55" s="8">
        <f>IFERROR(J55/J148, "NA")</f>
        <v>-3.461658329185192E-3</v>
      </c>
      <c r="L55" s="7">
        <v>-126.81</v>
      </c>
      <c r="M55" s="8">
        <f>IFERROR(L55/L148, "NA")</f>
        <v>-3.95954092930716E-3</v>
      </c>
      <c r="N55" s="7">
        <v>-164.03</v>
      </c>
      <c r="O55" s="8">
        <f>IFERROR(N55/N148, "NA")</f>
        <v>-5.6836885104460258E-3</v>
      </c>
      <c r="P55" s="7">
        <v>-255.33</v>
      </c>
      <c r="Q55" s="8">
        <f>IFERROR(P55/P148, "NA")</f>
        <v>-9.8662970492302462E-3</v>
      </c>
      <c r="R55" s="7">
        <v>-184.1</v>
      </c>
      <c r="S55" s="8">
        <f>IFERROR(R55/R148, "NA")</f>
        <v>-7.1643356956313121E-3</v>
      </c>
      <c r="T55" s="7">
        <v>-311.56</v>
      </c>
      <c r="U55" s="8">
        <f>IFERROR(T55/T148, "NA")</f>
        <v>-1.2381036778705062E-2</v>
      </c>
      <c r="V55" s="7">
        <v>-369.55</v>
      </c>
      <c r="W55" s="8">
        <f>IFERROR(V55/V148, "NA")</f>
        <v>-1.290620224128923E-2</v>
      </c>
      <c r="X55" s="7">
        <v>-335.54</v>
      </c>
      <c r="Y55" s="8">
        <f>IFERROR(X55/X148, "NA")</f>
        <v>-1.1950604831529025E-2</v>
      </c>
      <c r="Z55" s="7">
        <v>-335.54</v>
      </c>
      <c r="AA55" s="8">
        <f>IFERROR(Z55/Z148, "NA")</f>
        <v>-1.1950604831529025E-2</v>
      </c>
      <c r="AB55" s="9">
        <f t="shared" si="18"/>
        <v>-300.1875</v>
      </c>
      <c r="AC55" s="8">
        <f>IFERROR(AB55/AB148, "NA")</f>
        <v>-1.1162314131085307E-2</v>
      </c>
      <c r="AD55" s="10">
        <f t="shared" si="19"/>
        <v>-35.35250000000002</v>
      </c>
      <c r="AE55" s="11">
        <f>IFERROR(AD55/AD148, "NA")</f>
        <v>-2.9851092844266059E-2</v>
      </c>
      <c r="AF55" s="10">
        <f t="shared" si="20"/>
        <v>0.11776806162814914</v>
      </c>
      <c r="AG55" s="9">
        <f t="shared" si="21"/>
        <v>-236.22</v>
      </c>
      <c r="AH55" s="8">
        <f>IFERROR(AG55/AG148, "NA")</f>
        <v>-8.0210366303598638E-3</v>
      </c>
      <c r="AI55" s="10">
        <f t="shared" si="22"/>
        <v>-99.320000000000022</v>
      </c>
      <c r="AJ55" s="11">
        <f>IFERROR(AI55/AI148, "NA")</f>
        <v>7.2347496710691336E-2</v>
      </c>
      <c r="AK55" s="10">
        <f t="shared" si="23"/>
        <v>0.42045550757768191</v>
      </c>
      <c r="AL55" s="11">
        <f>IFERROR(AK55/AK148, "NA")</f>
        <v>-9.0197190269464542</v>
      </c>
    </row>
    <row r="56" spans="1:38" ht="16.5" customHeight="1">
      <c r="A56" s="27" t="s">
        <v>71</v>
      </c>
      <c r="B56" s="13">
        <f>IFERROR(B37+B39+B40+B41+B42+B43+B46+B47+B48+B49+B50+B51+B53+B54+B55, "NA")</f>
        <v>1048.18</v>
      </c>
      <c r="C56" s="14">
        <f>IFERROR(B56/B148, "NA")</f>
        <v>4.1529941194509798E-2</v>
      </c>
      <c r="D56" s="13">
        <f>IFERROR(D37+D39+D40+D41+D42+D43+D46+D47+D48+D49+D50+D51+D53+D54+D55, "NA")</f>
        <v>1194.7</v>
      </c>
      <c r="E56" s="14">
        <f>IFERROR(D56/D148, "NA")</f>
        <v>3.5932004989035732E-2</v>
      </c>
      <c r="F56" s="13">
        <f>IFERROR(F37+F39+F40+F41+F42+F43+F46+F47+F48+F49+F50+F51+F53+F54+F55, "NA")</f>
        <v>1163.28</v>
      </c>
      <c r="G56" s="14">
        <f>IFERROR(F56/F148, "NA")</f>
        <v>3.4854413729872899E-2</v>
      </c>
      <c r="H56" s="13">
        <f>IFERROR(H37+H39+H40+H41+H42+H43+H46+H47+H48+H49+H50+H51+H53+H54+H55, "NA")</f>
        <v>725.68000000000006</v>
      </c>
      <c r="I56" s="14">
        <f>IFERROR(H56/H148, "NA")</f>
        <v>2.6662825918583002E-2</v>
      </c>
      <c r="J56" s="13">
        <f>IFERROR(J37+J39+J40+J41+J42+J43+J46+J47+J48+J49+J50+J51+J53+J54+J55, "NA")</f>
        <v>1678.48</v>
      </c>
      <c r="K56" s="14">
        <f>IFERROR(J56/J148, "NA")</f>
        <v>4.0677151164735095E-2</v>
      </c>
      <c r="L56" s="13">
        <f>IFERROR(L37+L39+L40+L41+L42+L43+L46+L47+L48+L49+L50+L51+L53+L54+L55, "NA")</f>
        <v>1332.02</v>
      </c>
      <c r="M56" s="14">
        <f>IFERROR(L56/L148, "NA")</f>
        <v>4.1591260221242203E-2</v>
      </c>
      <c r="N56" s="13">
        <f>IFERROR(N37+N39+N40+N41+N42+N43+N46+N47+N48+N49+N50+N51+N53+N54+N55, "NA")</f>
        <v>1083.7800000000002</v>
      </c>
      <c r="O56" s="14">
        <f>IFERROR(N56/N148, "NA")</f>
        <v>3.7553300822113E-2</v>
      </c>
      <c r="P56" s="13">
        <f>IFERROR(P37+P39+P40+P41+P42+P43+P46+P47+P48+P49+P50+P51+P53+P54+P55, "NA")</f>
        <v>768.9899999999999</v>
      </c>
      <c r="Q56" s="14">
        <f>IFERROR(P56/P148, "NA")</f>
        <v>2.9714815211246488E-2</v>
      </c>
      <c r="R56" s="13">
        <f>IFERROR(R37+R39+R40+R41+R42+R43+R46+R47+R48+R49+R50+R51+R53+R54+R55, "NA")</f>
        <v>1145.21</v>
      </c>
      <c r="S56" s="14">
        <f>IFERROR(R56/R148, "NA")</f>
        <v>4.4566370896219093E-2</v>
      </c>
      <c r="T56" s="13">
        <f>IFERROR(T37+T39+T40+T41+T42+T43+T46+T47+T48+T49+T50+T51+T53+T54+T55, "NA")</f>
        <v>738.32999999999993</v>
      </c>
      <c r="U56" s="14">
        <f>IFERROR(T56/T148, "NA")</f>
        <v>2.9340386714665899E-2</v>
      </c>
      <c r="V56" s="13">
        <f>IFERROR(V37+V39+V40+V41+V42+V43+V46+V47+V48+V49+V50+V51+V53+V54+V55, "NA")</f>
        <v>949.91000000000008</v>
      </c>
      <c r="W56" s="14">
        <f>IFERROR(V56/V148, "NA")</f>
        <v>3.3174754623252749E-2</v>
      </c>
      <c r="X56" s="13">
        <f>IFERROR(X37+X39+X40+X41+X42+X43+X46+X47+X48+X49+X50+X51+X53+X54+X55, "NA")</f>
        <v>880.54</v>
      </c>
      <c r="Y56" s="14">
        <f>IFERROR(X56/X148, "NA")</f>
        <v>3.136134463358934E-2</v>
      </c>
      <c r="Z56" s="13">
        <f>IFERROR(Z37+Z39+Z40+Z41+Z42+Z43+Z46+Z47+Z48+Z49+Z50+Z51+Z53+Z54+Z55, "NA")</f>
        <v>880.54</v>
      </c>
      <c r="AA56" s="14">
        <f>IFERROR(Z56/Z148, "NA")</f>
        <v>3.136134463358934E-2</v>
      </c>
      <c r="AB56" s="13">
        <f t="shared" si="18"/>
        <v>928.49749999999995</v>
      </c>
      <c r="AC56" s="14">
        <f>IFERROR(AB56/AB148, "NA")</f>
        <v>3.452569065976225E-2</v>
      </c>
      <c r="AD56" s="15">
        <f t="shared" si="19"/>
        <v>-47.957499999999982</v>
      </c>
      <c r="AE56" s="16">
        <f>IFERROR(AD56/AD148, "NA")</f>
        <v>-4.0494555832795084E-2</v>
      </c>
      <c r="AF56" s="15">
        <f t="shared" si="20"/>
        <v>-5.1650650647955418E-2</v>
      </c>
      <c r="AG56" s="13">
        <f t="shared" si="21"/>
        <v>1072.1575</v>
      </c>
      <c r="AH56" s="14">
        <f>IFERROR(AG56/AG148, "NA")</f>
        <v>3.6405954538206151E-2</v>
      </c>
      <c r="AI56" s="15">
        <f t="shared" si="22"/>
        <v>-191.61750000000006</v>
      </c>
      <c r="AJ56" s="16">
        <f>IFERROR(AI56/AI148, "NA")</f>
        <v>0.13957960582924786</v>
      </c>
      <c r="AK56" s="15">
        <f t="shared" si="23"/>
        <v>-0.17872140986748689</v>
      </c>
      <c r="AL56" s="16">
        <f>IFERROR(AK56/AK148, "NA")</f>
        <v>3.8339773699043209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6956.0099999999984</v>
      </c>
      <c r="C57" s="29">
        <f>IFERROR(B57/B148, "NA")</f>
        <v>0.27560408159707495</v>
      </c>
      <c r="D57" s="28">
        <f>IFERROR(D13+D15+D16+D17+D18+D19+D20+D21+D22+D23+D24+D25+D26+D29+D30+D31+D32+D33+D37+D39+D40+D41+D42+D43+D46+D47+D48+D49+D50+D51+D53+D54+D55, "NA")</f>
        <v>9201.1200000000008</v>
      </c>
      <c r="E57" s="29">
        <f>IFERROR(D57/D148, "NA")</f>
        <v>0.27673448543125173</v>
      </c>
      <c r="F57" s="28">
        <f>IFERROR(F13+F15+F16+F17+F18+F19+F20+F21+F22+F23+F24+F25+F26+F29+F30+F31+F32+F33+F37+F39+F40+F41+F42+F43+F46+F47+F48+F49+F50+F51+F53+F54+F55, "NA")</f>
        <v>8656.5400000000009</v>
      </c>
      <c r="G57" s="29">
        <f>IFERROR(F57/F148, "NA")</f>
        <v>0.25936887647788492</v>
      </c>
      <c r="H57" s="28">
        <f>IFERROR(H13+H15+H16+H17+H18+H19+H20+H21+H22+H23+H24+H25+H26+H29+H30+H31+H32+H33+H37+H39+H40+H41+H42+H43+H46+H47+H48+H49+H50+H51+H53+H54+H55, "NA")</f>
        <v>7166.7399999999989</v>
      </c>
      <c r="I57" s="29">
        <f>IFERROR(H57/H148, "NA")</f>
        <v>0.26331928814869571</v>
      </c>
      <c r="J57" s="28">
        <f>IFERROR(J13+J15+J16+J17+J18+J19+J20+J21+J22+J23+J24+J25+J26+J29+J30+J31+J32+J33+J37+J39+J40+J41+J42+J43+J46+J47+J48+J49+J50+J51+J53+J54+J55, "NA")</f>
        <v>9902.3799999999992</v>
      </c>
      <c r="K57" s="29">
        <f>IFERROR(J57/J148, "NA")</f>
        <v>0.23997939096721407</v>
      </c>
      <c r="L57" s="28">
        <f>IFERROR(L13+L15+L16+L17+L18+L19+L20+L21+L22+L23+L24+L25+L26+L29+L30+L31+L32+L33+L37+L39+L40+L41+L42+L43+L46+L47+L48+L49+L50+L51+L53+L54+L55, "NA")</f>
        <v>8581.9900000000016</v>
      </c>
      <c r="M57" s="29">
        <f>IFERROR(L57/L148, "NA")</f>
        <v>0.26796578077363586</v>
      </c>
      <c r="N57" s="28">
        <f>IFERROR(N13+N15+N16+N17+N18+N19+N20+N21+N22+N23+N24+N25+N26+N29+N30+N31+N32+N33+N37+N39+N40+N41+N42+N43+N46+N47+N48+N49+N50+N51+N53+N54+N55, "NA")</f>
        <v>6896.83</v>
      </c>
      <c r="O57" s="29">
        <f>IFERROR(N57/N148, "NA")</f>
        <v>0.2389772202005698</v>
      </c>
      <c r="P57" s="28">
        <f>IFERROR(P13+P15+P16+P17+P18+P19+P20+P21+P22+P23+P24+P25+P26+P29+P30+P31+P32+P33+P37+P39+P40+P41+P42+P43+P46+P47+P48+P49+P50+P51+P53+P54+P55, "NA")</f>
        <v>7680.31</v>
      </c>
      <c r="Q57" s="29">
        <f>IFERROR(P57/P148, "NA")</f>
        <v>0.29677758152263167</v>
      </c>
      <c r="R57" s="28">
        <f>IFERROR(R13+R15+R16+R17+R18+R19+R20+R21+R22+R23+R24+R25+R26+R29+R30+R31+R32+R33+R37+R39+R40+R41+R42+R43+R46+R47+R48+R49+R50+R51+R53+R54+R55, "NA")</f>
        <v>7130.14</v>
      </c>
      <c r="S57" s="29">
        <f>IFERROR(R57/R148, "NA")</f>
        <v>0.2774726589725619</v>
      </c>
      <c r="T57" s="28">
        <f>IFERROR(T13+T15+T16+T17+T18+T19+T20+T21+T22+T23+T24+T25+T26+T29+T30+T31+T32+T33+T37+T39+T40+T41+T42+T43+T46+T47+T48+T49+T50+T51+T53+T54+T55, "NA")</f>
        <v>6419.9499999999989</v>
      </c>
      <c r="U57" s="29">
        <f>IFERROR(T57/T148, "NA")</f>
        <v>0.25512144391914093</v>
      </c>
      <c r="V57" s="28">
        <f>IFERROR(V13+V15+V16+V17+V18+V19+V20+V21+V22+V23+V24+V25+V26+V29+V30+V31+V32+V33+V37+V39+V40+V41+V42+V43+V46+V47+V48+V49+V50+V51+V53+V54+V55, "NA")</f>
        <v>7662.86</v>
      </c>
      <c r="W57" s="29">
        <f>IFERROR(V57/V148, "NA")</f>
        <v>0.26761851145091486</v>
      </c>
      <c r="X57" s="28">
        <f>IFERROR(X13+X15+X16+X17+X18+X19+X20+X21+X22+X23+X24+X25+X26+X29+X30+X31+X32+X33+X37+X39+X40+X41+X42+X43+X46+X47+X48+X49+X50+X51+X53+X54+X55, "NA")</f>
        <v>6850.6000000000013</v>
      </c>
      <c r="Y57" s="29">
        <f>IFERROR(X57/X148, "NA")</f>
        <v>0.24399121851008151</v>
      </c>
      <c r="Z57" s="28">
        <f>IFERROR(Z13+Z15+Z16+Z17+Z18+Z19+Z20+Z21+Z22+Z23+Z24+Z25+Z26+Z29+Z30+Z31+Z32+Z33+Z37+Z39+Z40+Z41+Z42+Z43+Z46+Z47+Z48+Z49+Z50+Z51+Z53+Z54+Z55, "NA")</f>
        <v>6850.6000000000013</v>
      </c>
      <c r="AA57" s="29">
        <f>IFERROR(Z57/Z148, "NA")</f>
        <v>0.24399121851008151</v>
      </c>
      <c r="AB57" s="28">
        <f t="shared" si="18"/>
        <v>7015.8875000000007</v>
      </c>
      <c r="AC57" s="29">
        <f>IFERROR(AB57/AB148, "NA")</f>
        <v>0.26088208264286411</v>
      </c>
      <c r="AD57" s="30">
        <f t="shared" si="19"/>
        <v>-165.28749999999945</v>
      </c>
      <c r="AE57" s="31">
        <f>IFERROR(AD57/AD148, "NA")</f>
        <v>-0.13956615539202621</v>
      </c>
      <c r="AF57" s="30">
        <f t="shared" si="20"/>
        <v>-2.355902941716204E-2</v>
      </c>
      <c r="AG57" s="28">
        <f t="shared" si="21"/>
        <v>7640.6324999999997</v>
      </c>
      <c r="AH57" s="29">
        <f>IFERROR(AG57/AG148, "NA")</f>
        <v>0.25944370993826965</v>
      </c>
      <c r="AI57" s="30">
        <f t="shared" si="22"/>
        <v>-790.03249999999844</v>
      </c>
      <c r="AJ57" s="31">
        <f>IFERROR(AI57/AI148, "NA")</f>
        <v>0.57548201465051474</v>
      </c>
      <c r="AK57" s="30">
        <f t="shared" si="23"/>
        <v>-0.10339883510952771</v>
      </c>
      <c r="AL57" s="31">
        <f>IFERROR(AK57/AK148, "NA")</f>
        <v>2.2181382419617774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18283.129999999997</v>
      </c>
      <c r="C59" s="34">
        <f>IFERROR(B59/B148, "NA")</f>
        <v>0.72439591840292494</v>
      </c>
      <c r="D59" s="33">
        <f>IFERROR(D9-D57, "NA")</f>
        <v>24047.79</v>
      </c>
      <c r="E59" s="34">
        <f>IFERROR(D59/D148, "NA")</f>
        <v>0.72326551456874821</v>
      </c>
      <c r="F59" s="33">
        <f>IFERROR(F9-F57, "NA")</f>
        <v>24718.86</v>
      </c>
      <c r="G59" s="34">
        <f>IFERROR(F59/F148, "NA")</f>
        <v>0.74063112352211513</v>
      </c>
      <c r="H59" s="33">
        <f>IFERROR(H9-H57, "NA")</f>
        <v>20050.180000000004</v>
      </c>
      <c r="I59" s="34">
        <f>IFERROR(H59/H148, "NA")</f>
        <v>0.73668071185130446</v>
      </c>
      <c r="J59" s="33">
        <f>IFERROR(J9-J57, "NA")</f>
        <v>31361.080000000009</v>
      </c>
      <c r="K59" s="34">
        <f>IFERROR(J59/J148, "NA")</f>
        <v>0.76002060903278612</v>
      </c>
      <c r="L59" s="33">
        <f>IFERROR(L9-L57, "NA")</f>
        <v>23444.45</v>
      </c>
      <c r="M59" s="34">
        <f>IFERROR(L59/L148, "NA")</f>
        <v>0.73203421922636425</v>
      </c>
      <c r="N59" s="33">
        <f>IFERROR(N9-N57, "NA")</f>
        <v>21962.94999999999</v>
      </c>
      <c r="O59" s="34">
        <f>IFERROR(N59/N148, "NA")</f>
        <v>0.76102277979942989</v>
      </c>
      <c r="P59" s="33">
        <f>IFERROR(P9-P57, "NA")</f>
        <v>18198.699999999997</v>
      </c>
      <c r="Q59" s="34">
        <f>IFERROR(P59/P148, "NA")</f>
        <v>0.70322241847736822</v>
      </c>
      <c r="R59" s="33">
        <f>IFERROR(R9-R57, "NA")</f>
        <v>18566.590000000004</v>
      </c>
      <c r="S59" s="34">
        <f>IFERROR(R59/R148, "NA")</f>
        <v>0.72252734102743832</v>
      </c>
      <c r="T59" s="33">
        <f>IFERROR(T9-T57, "NA")</f>
        <v>18744.339999999997</v>
      </c>
      <c r="U59" s="34">
        <f>IFERROR(T59/T148, "NA")</f>
        <v>0.74487855608085884</v>
      </c>
      <c r="V59" s="33">
        <f>IFERROR(V9-V57, "NA")</f>
        <v>20970.659999999989</v>
      </c>
      <c r="W59" s="34">
        <f>IFERROR(V59/V148, "NA")</f>
        <v>0.73238148854908469</v>
      </c>
      <c r="X59" s="33">
        <f>IFERROR(X9-X57, "NA")</f>
        <v>21226.639999999996</v>
      </c>
      <c r="Y59" s="34">
        <f>IFERROR(X59/X148, "NA")</f>
        <v>0.75600878148991835</v>
      </c>
      <c r="Z59" s="33">
        <f>IFERROR(Z9-Z57, "NA")</f>
        <v>21226.639999999996</v>
      </c>
      <c r="AA59" s="34">
        <f>IFERROR(Z59/Z148, "NA")</f>
        <v>0.75600878148991835</v>
      </c>
      <c r="AB59" s="33">
        <f>IFERROR((R59+T59+V59+X59)/4, "NA")</f>
        <v>19877.057499999995</v>
      </c>
      <c r="AC59" s="34">
        <f>IFERROR(AB59/AB148, "NA")</f>
        <v>0.73911791735713561</v>
      </c>
      <c r="AD59" s="15">
        <f>IFERROR(X59-AB59, "NA")</f>
        <v>1349.5825000000004</v>
      </c>
      <c r="AE59" s="16">
        <f>IFERROR(AD59/AD148, "NA")</f>
        <v>1.1395661553920284</v>
      </c>
      <c r="AF59" s="15">
        <f>IFERROR((X59-AB59)/AB59, "NA")</f>
        <v>6.7896493230952357E-2</v>
      </c>
      <c r="AG59" s="33">
        <f>IFERROR((J59+L59+N59+P59+R59+T59+V59+X59)/8, "NA")</f>
        <v>21809.42625</v>
      </c>
      <c r="AH59" s="34">
        <f>IFERROR(AG59/AG148, "NA")</f>
        <v>0.7405562900617304</v>
      </c>
      <c r="AI59" s="15">
        <f>IFERROR(X59-AG59, "NA")</f>
        <v>-582.78625000000466</v>
      </c>
      <c r="AJ59" s="16">
        <f>IFERROR(AI59/AI148, "NA")</f>
        <v>0.4245179853494912</v>
      </c>
      <c r="AK59" s="15">
        <f>IFERROR((X59-AG59)/AG59, "NA")</f>
        <v>-2.6721759817042626E-2</v>
      </c>
      <c r="AL59" s="16">
        <f>IFERROR(AK59/AK148, "NA")</f>
        <v>0.57324202231015375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1461.54</v>
      </c>
      <c r="C66" s="8">
        <f>IFERROR(B66/B148, "NA")</f>
        <v>5.7907678312335523E-2</v>
      </c>
      <c r="D66" s="7">
        <v>1461.54</v>
      </c>
      <c r="E66" s="8">
        <f>IFERROR(D66/D148, "NA")</f>
        <v>4.3957531239369949E-2</v>
      </c>
      <c r="F66" s="7">
        <v>1461.54</v>
      </c>
      <c r="G66" s="8">
        <f>IFERROR(F66/F148, "NA")</f>
        <v>4.3790935838971215E-2</v>
      </c>
      <c r="H66" s="7">
        <v>1461.54</v>
      </c>
      <c r="I66" s="8">
        <f>IFERROR(H66/H148, "NA")</f>
        <v>5.3699683873120102E-2</v>
      </c>
      <c r="J66" s="7">
        <v>1461.54</v>
      </c>
      <c r="K66" s="8">
        <f>IFERROR(J66/J148, "NA")</f>
        <v>3.5419715166881305E-2</v>
      </c>
      <c r="L66" s="7">
        <v>1461.54</v>
      </c>
      <c r="M66" s="8">
        <f>IFERROR(L66/L148, "NA")</f>
        <v>4.5635418735269981E-2</v>
      </c>
      <c r="N66" s="7">
        <v>1461.54</v>
      </c>
      <c r="O66" s="8">
        <f>IFERROR(N66/N148, "NA")</f>
        <v>5.0642797692844507E-2</v>
      </c>
      <c r="P66" s="7">
        <v>1461.54</v>
      </c>
      <c r="Q66" s="8">
        <f>IFERROR(P66/P148, "NA")</f>
        <v>5.6475885283092359E-2</v>
      </c>
      <c r="R66" s="7">
        <v>1461.54</v>
      </c>
      <c r="S66" s="8">
        <f>IFERROR(R66/R148, "NA")</f>
        <v>5.6876497515442624E-2</v>
      </c>
      <c r="T66" s="7">
        <v>1461.54</v>
      </c>
      <c r="U66" s="8">
        <f>IFERROR(T66/T148, "NA")</f>
        <v>5.8079921984685437E-2</v>
      </c>
      <c r="V66" s="7">
        <v>1461.54</v>
      </c>
      <c r="W66" s="8">
        <f>IFERROR(V66/V148, "NA")</f>
        <v>5.1042973410184982E-2</v>
      </c>
      <c r="X66" s="7">
        <v>1461.54</v>
      </c>
      <c r="Y66" s="8">
        <f>IFERROR(X66/X148, "NA")</f>
        <v>5.2054261743675653E-2</v>
      </c>
      <c r="Z66" s="7">
        <v>1461.54</v>
      </c>
      <c r="AA66" s="8">
        <f>IFERROR(Z66/Z148, "NA")</f>
        <v>5.2054261743675653E-2</v>
      </c>
      <c r="AB66" s="9">
        <f t="shared" si="24"/>
        <v>1461.54</v>
      </c>
      <c r="AC66" s="8">
        <f>IFERROR(AB66/AB148, "NA")</f>
        <v>5.4346595361720325E-2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1461.54</v>
      </c>
      <c r="AH66" s="8">
        <f>IFERROR(AG66/AG148, "NA")</f>
        <v>4.9627744800339324E-2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5039.3500000000004</v>
      </c>
      <c r="C68" s="8">
        <f>IFERROR(B68/B148, "NA")</f>
        <v>0.19966409315055902</v>
      </c>
      <c r="D68" s="7">
        <v>5521.4</v>
      </c>
      <c r="E68" s="8">
        <f>IFERROR(D68/D148, "NA")</f>
        <v>0.16606258671336893</v>
      </c>
      <c r="F68" s="7">
        <v>5217.59</v>
      </c>
      <c r="G68" s="8">
        <f>IFERROR(F68/F148, "NA")</f>
        <v>0.15633041102129114</v>
      </c>
      <c r="H68" s="7">
        <v>4662.72</v>
      </c>
      <c r="I68" s="8">
        <f>IFERROR(H68/H148, "NA")</f>
        <v>0.17131696018506137</v>
      </c>
      <c r="J68" s="7">
        <v>5021.32</v>
      </c>
      <c r="K68" s="8">
        <f>IFERROR(J68/J148, "NA")</f>
        <v>0.12168926212198394</v>
      </c>
      <c r="L68" s="7">
        <v>4837.6099999999997</v>
      </c>
      <c r="M68" s="8">
        <f>IFERROR(L68/L148, "NA")</f>
        <v>0.15105050701857589</v>
      </c>
      <c r="N68" s="7">
        <v>4549.33</v>
      </c>
      <c r="O68" s="8">
        <f>IFERROR(N68/N148, "NA")</f>
        <v>0.15763564379215642</v>
      </c>
      <c r="P68" s="7">
        <v>4700.25</v>
      </c>
      <c r="Q68" s="8">
        <f>IFERROR(P68/P148, "NA")</f>
        <v>0.18162402657597798</v>
      </c>
      <c r="R68" s="7">
        <v>4553.26</v>
      </c>
      <c r="S68" s="8">
        <f>IFERROR(R68/R148, "NA")</f>
        <v>0.17719219527153846</v>
      </c>
      <c r="T68" s="7">
        <v>4447.0200000000004</v>
      </c>
      <c r="U68" s="8">
        <f>IFERROR(T68/T148, "NA")</f>
        <v>0.17671947032878735</v>
      </c>
      <c r="V68" s="7">
        <v>4779.2</v>
      </c>
      <c r="W68" s="8">
        <f>IFERROR(V68/V148, "NA")</f>
        <v>0.16690927276841966</v>
      </c>
      <c r="X68" s="7">
        <v>5852.11</v>
      </c>
      <c r="Y68" s="8">
        <f>IFERROR(X68/X148, "NA")</f>
        <v>0.20842896239089026</v>
      </c>
      <c r="Z68" s="7">
        <v>5852.11</v>
      </c>
      <c r="AA68" s="8">
        <f>IFERROR(Z68/Z148, "NA")</f>
        <v>0.20842896239089026</v>
      </c>
      <c r="AB68" s="9">
        <f t="shared" si="24"/>
        <v>4907.8975</v>
      </c>
      <c r="AC68" s="8">
        <f>IFERROR(AB68/AB148, "NA")</f>
        <v>0.18249758440364189</v>
      </c>
      <c r="AD68" s="10">
        <f t="shared" si="25"/>
        <v>944.21249999999964</v>
      </c>
      <c r="AE68" s="11">
        <f>IFERROR(AD68/AD148, "NA")</f>
        <v>0.79727812749357296</v>
      </c>
      <c r="AF68" s="10">
        <f t="shared" si="26"/>
        <v>0.19238635281197286</v>
      </c>
      <c r="AG68" s="9">
        <f t="shared" si="27"/>
        <v>4842.5125000000007</v>
      </c>
      <c r="AH68" s="8">
        <f>IFERROR(AG68/AG148, "NA")</f>
        <v>0.16443133581185135</v>
      </c>
      <c r="AI68" s="10">
        <f t="shared" si="28"/>
        <v>1009.5974999999989</v>
      </c>
      <c r="AJ68" s="11">
        <f>IFERROR(AI68/AI148, "NA")</f>
        <v>-0.73541936981848677</v>
      </c>
      <c r="AK68" s="10">
        <f t="shared" si="29"/>
        <v>0.20848629714430242</v>
      </c>
      <c r="AL68" s="11">
        <f>IFERROR(AK68/AK148, "NA")</f>
        <v>-4.472501340377006</v>
      </c>
    </row>
    <row r="69" spans="1:38" ht="16.5" customHeight="1">
      <c r="A69" s="25" t="s">
        <v>81</v>
      </c>
      <c r="B69" s="7">
        <v>33.67</v>
      </c>
      <c r="C69" s="8">
        <f>IFERROR(B69/B148, "NA")</f>
        <v>1.3340391154373723E-3</v>
      </c>
      <c r="D69" s="7">
        <v>71.709999999999994</v>
      </c>
      <c r="E69" s="8">
        <f>IFERROR(D69/D148, "NA")</f>
        <v>2.156762432212063E-3</v>
      </c>
      <c r="F69" s="7">
        <v>416.73</v>
      </c>
      <c r="G69" s="8">
        <f>IFERROR(F69/F148, "NA")</f>
        <v>1.2486142488179917E-2</v>
      </c>
      <c r="H69" s="7">
        <v>0</v>
      </c>
      <c r="I69" s="8">
        <f>IFERROR(H69/H148, "NA")</f>
        <v>0</v>
      </c>
      <c r="J69" s="7">
        <v>411.69</v>
      </c>
      <c r="K69" s="8">
        <f>IFERROR(J69/J148, "NA")</f>
        <v>9.9771080757648529E-3</v>
      </c>
      <c r="L69" s="7">
        <v>54.34</v>
      </c>
      <c r="M69" s="8">
        <f>IFERROR(L69/L148, "NA")</f>
        <v>1.6967230825530408E-3</v>
      </c>
      <c r="N69" s="7">
        <v>31.51</v>
      </c>
      <c r="O69" s="8">
        <f>IFERROR(N69/N148, "NA")</f>
        <v>1.0918309148579789E-3</v>
      </c>
      <c r="P69" s="7">
        <v>31.69</v>
      </c>
      <c r="Q69" s="8">
        <f>IFERROR(P69/P148, "NA")</f>
        <v>1.224544524693951E-3</v>
      </c>
      <c r="R69" s="7">
        <v>247.91</v>
      </c>
      <c r="S69" s="8">
        <f>IFERROR(R69/R148, "NA")</f>
        <v>9.6475310282670215E-3</v>
      </c>
      <c r="T69" s="7">
        <v>16.97</v>
      </c>
      <c r="U69" s="8">
        <f>IFERROR(T69/T148, "NA")</f>
        <v>6.743683211407911E-4</v>
      </c>
      <c r="V69" s="7">
        <v>21.02</v>
      </c>
      <c r="W69" s="8">
        <f>IFERROR(V69/V148, "NA")</f>
        <v>7.3410464378811967E-4</v>
      </c>
      <c r="X69" s="7">
        <v>72.989999999999995</v>
      </c>
      <c r="Y69" s="8">
        <f>IFERROR(X69/X148, "NA")</f>
        <v>2.59961449202272E-3</v>
      </c>
      <c r="Z69" s="7">
        <v>72.989999999999995</v>
      </c>
      <c r="AA69" s="8">
        <f>IFERROR(Z69/Z148, "NA")</f>
        <v>2.59961449202272E-3</v>
      </c>
      <c r="AB69" s="9">
        <f t="shared" si="24"/>
        <v>89.722499999999997</v>
      </c>
      <c r="AC69" s="8">
        <f>IFERROR(AB69/AB148, "NA")</f>
        <v>3.3362839213035233E-3</v>
      </c>
      <c r="AD69" s="10">
        <f t="shared" si="25"/>
        <v>-16.732500000000002</v>
      </c>
      <c r="AE69" s="11">
        <f>IFERROR(AD69/AD148, "NA")</f>
        <v>-1.4128658822337362E-2</v>
      </c>
      <c r="AF69" s="10">
        <f t="shared" si="26"/>
        <v>-0.18649168268828892</v>
      </c>
      <c r="AG69" s="9">
        <f t="shared" si="27"/>
        <v>111.015</v>
      </c>
      <c r="AH69" s="8">
        <f>IFERROR(AG69/AG148, "NA")</f>
        <v>3.7696019876361031E-3</v>
      </c>
      <c r="AI69" s="10">
        <f t="shared" si="28"/>
        <v>-38.025000000000006</v>
      </c>
      <c r="AJ69" s="11">
        <f>IFERROR(AI69/AI148, "NA")</f>
        <v>2.7698485324446614E-2</v>
      </c>
      <c r="AK69" s="10">
        <f t="shared" si="29"/>
        <v>-0.34252128090798545</v>
      </c>
      <c r="AL69" s="11">
        <f>IFERROR(AK69/AK148, "NA")</f>
        <v>7.3478540745932124</v>
      </c>
    </row>
    <row r="70" spans="1:38" ht="16.5" customHeight="1">
      <c r="A70" s="26" t="s">
        <v>82</v>
      </c>
      <c r="B70" s="13">
        <f>IFERROR(B65+B66+B67+B68+B69, "NA")</f>
        <v>6534.56</v>
      </c>
      <c r="C70" s="14">
        <f>IFERROR(B70/B148, "NA")</f>
        <v>0.25890581057833195</v>
      </c>
      <c r="D70" s="13">
        <f>IFERROR(D65+D66+D67+D68+D69, "NA")</f>
        <v>7054.65</v>
      </c>
      <c r="E70" s="14">
        <f>IFERROR(D70/D148, "NA")</f>
        <v>0.21217688038495094</v>
      </c>
      <c r="F70" s="13">
        <f>IFERROR(F65+F66+F67+F68+F69, "NA")</f>
        <v>7095.8600000000006</v>
      </c>
      <c r="G70" s="14">
        <f>IFERROR(F70/F148, "NA")</f>
        <v>0.21260748934844229</v>
      </c>
      <c r="H70" s="13">
        <f>IFERROR(H65+H66+H67+H68+H69, "NA")</f>
        <v>6124.26</v>
      </c>
      <c r="I70" s="14">
        <f>IFERROR(H70/H148, "NA")</f>
        <v>0.22501664405818148</v>
      </c>
      <c r="J70" s="13">
        <f>IFERROR(J65+J66+J67+J68+J69, "NA")</f>
        <v>6894.5499999999993</v>
      </c>
      <c r="K70" s="14">
        <f>IFERROR(J70/J148, "NA")</f>
        <v>0.1670860853646301</v>
      </c>
      <c r="L70" s="13">
        <f>IFERROR(L65+L66+L67+L68+L69, "NA")</f>
        <v>6353.49</v>
      </c>
      <c r="M70" s="14">
        <f>IFERROR(L70/L148, "NA")</f>
        <v>0.19838264883639892</v>
      </c>
      <c r="N70" s="13">
        <f>IFERROR(N65+N66+N67+N68+N69, "NA")</f>
        <v>6042.38</v>
      </c>
      <c r="O70" s="14">
        <f>IFERROR(N70/N148, "NA")</f>
        <v>0.20937027239985892</v>
      </c>
      <c r="P70" s="13">
        <f>IFERROR(P65+P66+P67+P68+P69, "NA")</f>
        <v>6193.48</v>
      </c>
      <c r="Q70" s="14">
        <f>IFERROR(P70/P148, "NA")</f>
        <v>0.23932445638376429</v>
      </c>
      <c r="R70" s="13">
        <f>IFERROR(R65+R66+R67+R68+R69, "NA")</f>
        <v>6262.71</v>
      </c>
      <c r="S70" s="14">
        <f>IFERROR(R70/R148, "NA")</f>
        <v>0.2437162238152481</v>
      </c>
      <c r="T70" s="13">
        <f>IFERROR(T65+T66+T67+T68+T69, "NA")</f>
        <v>5925.5300000000007</v>
      </c>
      <c r="U70" s="14">
        <f>IFERROR(T70/T148, "NA")</f>
        <v>0.23547376063461359</v>
      </c>
      <c r="V70" s="13">
        <f>IFERROR(V65+V66+V67+V68+V69, "NA")</f>
        <v>6261.76</v>
      </c>
      <c r="W70" s="14">
        <f>IFERROR(V70/V148, "NA")</f>
        <v>0.21868635082239277</v>
      </c>
      <c r="X70" s="13">
        <f>IFERROR(X65+X66+X67+X68+X69, "NA")</f>
        <v>7386.6399999999994</v>
      </c>
      <c r="Y70" s="14">
        <f>IFERROR(X70/X148, "NA")</f>
        <v>0.2630828386265886</v>
      </c>
      <c r="Z70" s="13">
        <f>IFERROR(Z65+Z66+Z67+Z68+Z69, "NA")</f>
        <v>7386.6399999999994</v>
      </c>
      <c r="AA70" s="14">
        <f>IFERROR(Z70/Z148, "NA")</f>
        <v>0.2630828386265886</v>
      </c>
      <c r="AB70" s="13">
        <f t="shared" si="24"/>
        <v>6459.16</v>
      </c>
      <c r="AC70" s="14">
        <f>IFERROR(AB70/AB148, "NA")</f>
        <v>0.24018046368666573</v>
      </c>
      <c r="AD70" s="15">
        <f t="shared" si="25"/>
        <v>927.47999999999956</v>
      </c>
      <c r="AE70" s="16">
        <f>IFERROR(AD70/AD148, "NA")</f>
        <v>0.78314946867123558</v>
      </c>
      <c r="AF70" s="15">
        <f t="shared" si="26"/>
        <v>0.14359142674898898</v>
      </c>
      <c r="AG70" s="13">
        <f t="shared" si="27"/>
        <v>6415.0675000000001</v>
      </c>
      <c r="AH70" s="14">
        <f>IFERROR(AG70/AG148, "NA")</f>
        <v>0.21782868259982677</v>
      </c>
      <c r="AI70" s="15">
        <f t="shared" si="28"/>
        <v>971.57249999999931</v>
      </c>
      <c r="AJ70" s="16">
        <f>IFERROR(AI70/AI148, "NA")</f>
        <v>-0.70772088449404036</v>
      </c>
      <c r="AK70" s="15">
        <f t="shared" si="29"/>
        <v>0.15145164099988026</v>
      </c>
      <c r="AL70" s="16">
        <f>IFERROR(AK70/AK148, "NA")</f>
        <v>-3.2489793173573704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525</v>
      </c>
      <c r="G72" s="8">
        <f>IFERROR(F72/F148, "NA")</f>
        <v>1.5730148552526711E-2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-875</v>
      </c>
      <c r="O72" s="8">
        <f>IFERROR(N72/N148, "NA")</f>
        <v>-3.0319011440835656E-2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350</v>
      </c>
      <c r="W72" s="8">
        <f>IFERROR(V72/V148, "NA")</f>
        <v>1.2223436028822164E-2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87.5</v>
      </c>
      <c r="AC72" s="8">
        <f>IFERROR(AB72/AB148, "NA")</f>
        <v>3.2536414290067523E-3</v>
      </c>
      <c r="AD72" s="10">
        <f t="shared" si="25"/>
        <v>-87.5</v>
      </c>
      <c r="AE72" s="11">
        <f>IFERROR(AD72/AD148, "NA")</f>
        <v>-7.3883618524100941E-2</v>
      </c>
      <c r="AF72" s="10">
        <f t="shared" si="26"/>
        <v>-1</v>
      </c>
      <c r="AG72" s="9">
        <f t="shared" si="27"/>
        <v>-65.625</v>
      </c>
      <c r="AH72" s="8">
        <f>IFERROR(AG72/AG148, "NA")</f>
        <v>-2.2283486955692409E-3</v>
      </c>
      <c r="AI72" s="10">
        <f t="shared" si="28"/>
        <v>65.625</v>
      </c>
      <c r="AJ72" s="11">
        <f>IFERROR(AI72/AI148, "NA")</f>
        <v>-4.7803105836076498E-2</v>
      </c>
      <c r="AK72" s="10">
        <f t="shared" si="29"/>
        <v>-1</v>
      </c>
      <c r="AL72" s="11">
        <f>IFERROR(AK72/AK148, "NA")</f>
        <v>21.452255623694029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564.79</v>
      </c>
      <c r="C74" s="8">
        <f>IFERROR(B74/B148, "NA")</f>
        <v>2.2377545352179194E-2</v>
      </c>
      <c r="D74" s="7">
        <v>632.85</v>
      </c>
      <c r="E74" s="8">
        <f>IFERROR(D74/D148, "NA")</f>
        <v>1.9033706668880272E-2</v>
      </c>
      <c r="F74" s="7">
        <v>630.77</v>
      </c>
      <c r="G74" s="8">
        <f>IFERROR(F74/F148, "NA")</f>
        <v>1.8899249147575757E-2</v>
      </c>
      <c r="H74" s="7">
        <v>534.32000000000005</v>
      </c>
      <c r="I74" s="8">
        <f>IFERROR(H74/H148, "NA")</f>
        <v>1.9631905447052792E-2</v>
      </c>
      <c r="J74" s="7">
        <v>592.94000000000005</v>
      </c>
      <c r="K74" s="8">
        <f>IFERROR(J74/J148, "NA")</f>
        <v>1.4369614181651273E-2</v>
      </c>
      <c r="L74" s="7">
        <v>559.88</v>
      </c>
      <c r="M74" s="8">
        <f>IFERROR(L74/L148, "NA")</f>
        <v>1.7481805658075018E-2</v>
      </c>
      <c r="N74" s="7">
        <v>536.89</v>
      </c>
      <c r="O74" s="8">
        <f>IFERROR(N74/N148, "NA")</f>
        <v>1.8603398917108861E-2</v>
      </c>
      <c r="P74" s="7">
        <v>566.77</v>
      </c>
      <c r="Q74" s="8">
        <f>IFERROR(P74/P148, "NA")</f>
        <v>2.190076050049828E-2</v>
      </c>
      <c r="R74" s="7">
        <v>539.84</v>
      </c>
      <c r="S74" s="8">
        <f>IFERROR(R74/R148, "NA")</f>
        <v>2.1008120488482388E-2</v>
      </c>
      <c r="T74" s="7">
        <v>522.09</v>
      </c>
      <c r="U74" s="8">
        <f>IFERROR(T74/T148, "NA")</f>
        <v>2.0747257323771105E-2</v>
      </c>
      <c r="V74" s="7">
        <v>557.29</v>
      </c>
      <c r="W74" s="8">
        <f>IFERROR(V74/V148, "NA")</f>
        <v>1.9462853327149438E-2</v>
      </c>
      <c r="X74" s="7">
        <v>652.52</v>
      </c>
      <c r="Y74" s="8">
        <f>IFERROR(X74/X148, "NA")</f>
        <v>2.3240176028697976E-2</v>
      </c>
      <c r="Z74" s="7">
        <v>652.52</v>
      </c>
      <c r="AA74" s="8">
        <f>IFERROR(Z74/Z148, "NA")</f>
        <v>2.3240176028697976E-2</v>
      </c>
      <c r="AB74" s="9">
        <f t="shared" ref="AB74:AB85" si="30">IFERROR((R74+T74+V74+X74)/4, "NA")</f>
        <v>567.93499999999995</v>
      </c>
      <c r="AC74" s="8">
        <f>IFERROR(AB74/AB148, "NA")</f>
        <v>2.1118363942662279E-2</v>
      </c>
      <c r="AD74" s="10">
        <f t="shared" ref="AD74:AD85" si="31">IFERROR(X74-AB74, "NA")</f>
        <v>84.585000000000036</v>
      </c>
      <c r="AE74" s="11">
        <f>IFERROR(AD74/AD148, "NA")</f>
        <v>7.1422238546983791E-2</v>
      </c>
      <c r="AF74" s="10">
        <f t="shared" ref="AF74:AF85" si="32">IFERROR((X74-AB74)/AB74, "NA")</f>
        <v>0.14893429705864236</v>
      </c>
      <c r="AG74" s="9">
        <f t="shared" ref="AG74:AG85" si="33">IFERROR((J74+L74+N74+P74+R74+T74+V74+X74)/8, "NA")</f>
        <v>566.02750000000003</v>
      </c>
      <c r="AH74" s="8">
        <f>IFERROR(AG74/AG148, "NA")</f>
        <v>1.9219910724286759E-2</v>
      </c>
      <c r="AI74" s="10">
        <f t="shared" ref="AI74:AI85" si="34">IFERROR(X74-AG74, "NA")</f>
        <v>86.49249999999995</v>
      </c>
      <c r="AJ74" s="11">
        <f>IFERROR(AI74/AI148, "NA")</f>
        <v>-6.3003582956599524E-2</v>
      </c>
      <c r="AK74" s="10">
        <f t="shared" ref="AK74:AK85" si="35">IFERROR((X74-AG74)/AG74, "NA")</f>
        <v>0.1528061799117533</v>
      </c>
      <c r="AL74" s="11">
        <f>IFERROR(AK74/AK148, "NA")</f>
        <v>-3.2780372323471112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564.79</v>
      </c>
      <c r="C81" s="14">
        <f>IFERROR(B81/B148, "NA")</f>
        <v>2.2377545352179194E-2</v>
      </c>
      <c r="D81" s="13">
        <f>IFERROR(D74+D75+D76+D77+D78+D79+D80, "NA")</f>
        <v>632.85</v>
      </c>
      <c r="E81" s="14">
        <f>IFERROR(D81/D148, "NA")</f>
        <v>1.9033706668880272E-2</v>
      </c>
      <c r="F81" s="13">
        <f>IFERROR(F74+F75+F76+F77+F78+F79+F80, "NA")</f>
        <v>630.77</v>
      </c>
      <c r="G81" s="14">
        <f>IFERROR(F81/F148, "NA")</f>
        <v>1.8899249147575757E-2</v>
      </c>
      <c r="H81" s="13">
        <f>IFERROR(H74+H75+H76+H77+H78+H79+H80, "NA")</f>
        <v>534.32000000000005</v>
      </c>
      <c r="I81" s="14">
        <f>IFERROR(H81/H148, "NA")</f>
        <v>1.9631905447052792E-2</v>
      </c>
      <c r="J81" s="13">
        <f>IFERROR(J74+J75+J76+J77+J78+J79+J80, "NA")</f>
        <v>592.94000000000005</v>
      </c>
      <c r="K81" s="14">
        <f>IFERROR(J81/J148, "NA")</f>
        <v>1.4369614181651273E-2</v>
      </c>
      <c r="L81" s="13">
        <f>IFERROR(L74+L75+L76+L77+L78+L79+L80, "NA")</f>
        <v>559.88</v>
      </c>
      <c r="M81" s="14">
        <f>IFERROR(L81/L148, "NA")</f>
        <v>1.7481805658075018E-2</v>
      </c>
      <c r="N81" s="13">
        <f>IFERROR(N74+N75+N76+N77+N78+N79+N80, "NA")</f>
        <v>536.89</v>
      </c>
      <c r="O81" s="14">
        <f>IFERROR(N81/N148, "NA")</f>
        <v>1.8603398917108861E-2</v>
      </c>
      <c r="P81" s="13">
        <f>IFERROR(P74+P75+P76+P77+P78+P79+P80, "NA")</f>
        <v>566.77</v>
      </c>
      <c r="Q81" s="14">
        <f>IFERROR(P81/P148, "NA")</f>
        <v>2.190076050049828E-2</v>
      </c>
      <c r="R81" s="13">
        <f>IFERROR(R74+R75+R76+R77+R78+R79+R80, "NA")</f>
        <v>539.84</v>
      </c>
      <c r="S81" s="14">
        <f>IFERROR(R81/R148, "NA")</f>
        <v>2.1008120488482388E-2</v>
      </c>
      <c r="T81" s="13">
        <f>IFERROR(T74+T75+T76+T77+T78+T79+T80, "NA")</f>
        <v>522.09</v>
      </c>
      <c r="U81" s="14">
        <f>IFERROR(T81/T148, "NA")</f>
        <v>2.0747257323771105E-2</v>
      </c>
      <c r="V81" s="13">
        <f>IFERROR(V74+V75+V76+V77+V78+V79+V80, "NA")</f>
        <v>557.29</v>
      </c>
      <c r="W81" s="14">
        <f>IFERROR(V81/V148, "NA")</f>
        <v>1.9462853327149438E-2</v>
      </c>
      <c r="X81" s="13">
        <f>IFERROR(X74+X75+X76+X77+X78+X79+X80, "NA")</f>
        <v>652.52</v>
      </c>
      <c r="Y81" s="14">
        <f>IFERROR(X81/X148, "NA")</f>
        <v>2.3240176028697976E-2</v>
      </c>
      <c r="Z81" s="13">
        <f>IFERROR(Z74+Z75+Z76+Z77+Z78+Z79+Z80, "NA")</f>
        <v>652.52</v>
      </c>
      <c r="AA81" s="14">
        <f>IFERROR(Z81/Z148, "NA")</f>
        <v>2.3240176028697976E-2</v>
      </c>
      <c r="AB81" s="13">
        <f t="shared" si="30"/>
        <v>567.93499999999995</v>
      </c>
      <c r="AC81" s="14">
        <f>IFERROR(AB81/AB148, "NA")</f>
        <v>2.1118363942662279E-2</v>
      </c>
      <c r="AD81" s="15">
        <f t="shared" si="31"/>
        <v>84.585000000000036</v>
      </c>
      <c r="AE81" s="16">
        <f>IFERROR(AD81/AD148, "NA")</f>
        <v>7.1422238546983791E-2</v>
      </c>
      <c r="AF81" s="15">
        <f t="shared" si="32"/>
        <v>0.14893429705864236</v>
      </c>
      <c r="AG81" s="13">
        <f t="shared" si="33"/>
        <v>566.02750000000003</v>
      </c>
      <c r="AH81" s="14">
        <f>IFERROR(AG81/AG148, "NA")</f>
        <v>1.9219910724286759E-2</v>
      </c>
      <c r="AI81" s="15">
        <f t="shared" si="34"/>
        <v>86.49249999999995</v>
      </c>
      <c r="AJ81" s="16">
        <f>IFERROR(AI81/AI148, "NA")</f>
        <v>-6.3003582956599524E-2</v>
      </c>
      <c r="AK81" s="15">
        <f t="shared" si="35"/>
        <v>0.1528061799117533</v>
      </c>
      <c r="AL81" s="16">
        <f>IFERROR(AK81/AK148, "NA")</f>
        <v>-3.2780372323471112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248</v>
      </c>
      <c r="I82" s="8">
        <f>IFERROR(H82/H148, "NA")</f>
        <v>9.1119788719664103E-3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248</v>
      </c>
      <c r="Q82" s="8">
        <f>IFERROR(P82/P148, "NA")</f>
        <v>9.5830559206090196E-3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0</v>
      </c>
      <c r="AA82" s="8">
        <f>IFERROR(Z82/Z148, "NA")</f>
        <v>0</v>
      </c>
      <c r="AB82" s="9">
        <f t="shared" si="30"/>
        <v>0</v>
      </c>
      <c r="AC82" s="8">
        <f>IFERROR(AB82/AB148, "NA")</f>
        <v>0</v>
      </c>
      <c r="AD82" s="10">
        <f t="shared" si="31"/>
        <v>0</v>
      </c>
      <c r="AE82" s="11">
        <f>IFERROR(AD82/AD148, "NA")</f>
        <v>0</v>
      </c>
      <c r="AF82" s="10" t="str">
        <f t="shared" si="32"/>
        <v>NA</v>
      </c>
      <c r="AG82" s="9">
        <f t="shared" si="33"/>
        <v>31</v>
      </c>
      <c r="AH82" s="8">
        <f>IFERROR(AG82/AG148, "NA")</f>
        <v>1.052629479049851E-3</v>
      </c>
      <c r="AI82" s="10">
        <f t="shared" si="34"/>
        <v>-31</v>
      </c>
      <c r="AJ82" s="11">
        <f>IFERROR(AI82/AI148, "NA")</f>
        <v>2.2581276661613279E-2</v>
      </c>
      <c r="AK82" s="10">
        <f t="shared" si="35"/>
        <v>-1</v>
      </c>
      <c r="AL82" s="11">
        <f>IFERROR(AK82/AK148, "NA")</f>
        <v>21.452255623694029</v>
      </c>
    </row>
    <row r="83" spans="1:38" ht="16.5" customHeight="1">
      <c r="A83" s="23" t="s">
        <v>95</v>
      </c>
      <c r="B83" s="7">
        <v>-159.66</v>
      </c>
      <c r="C83" s="8">
        <f>IFERROR(B83/B148, "NA")</f>
        <v>-6.325889075459782E-3</v>
      </c>
      <c r="D83" s="7">
        <v>2466.0100000000002</v>
      </c>
      <c r="E83" s="8">
        <f>IFERROR(D83/D148, "NA")</f>
        <v>7.4168145662519461E-2</v>
      </c>
      <c r="F83" s="7">
        <v>-159.66</v>
      </c>
      <c r="G83" s="8">
        <f>IFERROR(F83/F148, "NA")</f>
        <v>-4.7837628912312654E-3</v>
      </c>
      <c r="H83" s="7">
        <v>-159.66</v>
      </c>
      <c r="I83" s="8">
        <f>IFERROR(H83/H148, "NA")</f>
        <v>-5.8662038173312777E-3</v>
      </c>
      <c r="J83" s="7">
        <v>-159.66</v>
      </c>
      <c r="K83" s="8">
        <f>IFERROR(J83/J148, "NA")</f>
        <v>-3.8692828958114514E-3</v>
      </c>
      <c r="L83" s="7">
        <v>1330.66</v>
      </c>
      <c r="M83" s="8">
        <f>IFERROR(L83/L148, "NA")</f>
        <v>4.1548795307876869E-2</v>
      </c>
      <c r="N83" s="7">
        <v>-159.66</v>
      </c>
      <c r="O83" s="8">
        <f>IFERROR(N83/N148, "NA")</f>
        <v>-5.532266704735795E-3</v>
      </c>
      <c r="P83" s="7">
        <v>-159.66</v>
      </c>
      <c r="Q83" s="8">
        <f>IFERROR(P83/P148, "NA")</f>
        <v>-6.1694786624372422E-3</v>
      </c>
      <c r="R83" s="7">
        <v>-159.66</v>
      </c>
      <c r="S83" s="8">
        <f>IFERROR(R83/R148, "NA")</f>
        <v>-6.2132419183296862E-3</v>
      </c>
      <c r="T83" s="7">
        <v>1214.48</v>
      </c>
      <c r="U83" s="8">
        <f>IFERROR(T83/T148, "NA")</f>
        <v>4.8262041170245615E-2</v>
      </c>
      <c r="V83" s="7">
        <v>-159.66</v>
      </c>
      <c r="W83" s="8">
        <f>IFERROR(V83/V148, "NA")</f>
        <v>-5.5759822753192762E-3</v>
      </c>
      <c r="X83" s="7">
        <v>-159.66</v>
      </c>
      <c r="Y83" s="8">
        <f>IFERROR(X83/X148, "NA")</f>
        <v>-5.6864563610953206E-3</v>
      </c>
      <c r="Z83" s="7">
        <v>-159.66</v>
      </c>
      <c r="AA83" s="8">
        <f>IFERROR(Z83/Z148, "NA")</f>
        <v>-5.6864563610953206E-3</v>
      </c>
      <c r="AB83" s="9">
        <f t="shared" si="30"/>
        <v>183.875</v>
      </c>
      <c r="AC83" s="8">
        <f>IFERROR(AB83/AB148, "NA")</f>
        <v>6.837295060098475E-3</v>
      </c>
      <c r="AD83" s="10">
        <f t="shared" si="31"/>
        <v>-343.53499999999997</v>
      </c>
      <c r="AE83" s="11">
        <f>IFERROR(AD83/AD148, "NA")</f>
        <v>-0.29007553016773735</v>
      </c>
      <c r="AF83" s="10">
        <f t="shared" si="32"/>
        <v>-1.8683072739632902</v>
      </c>
      <c r="AG83" s="9">
        <f t="shared" si="33"/>
        <v>198.39749999999998</v>
      </c>
      <c r="AH83" s="8">
        <f>IFERROR(AG83/AG148, "NA")</f>
        <v>6.7367437764449282E-3</v>
      </c>
      <c r="AI83" s="10">
        <f t="shared" si="34"/>
        <v>-358.0575</v>
      </c>
      <c r="AJ83" s="11">
        <f>IFERROR(AI83/AI148, "NA")</f>
        <v>0.26081920865372893</v>
      </c>
      <c r="AK83" s="10">
        <f t="shared" si="35"/>
        <v>-1.8047480437001477</v>
      </c>
      <c r="AL83" s="11">
        <f>IFERROR(AK83/AK148, "NA")</f>
        <v>38.715916369817286</v>
      </c>
    </row>
    <row r="84" spans="1:38" ht="16.5" customHeight="1">
      <c r="A84" s="27" t="s">
        <v>96</v>
      </c>
      <c r="B84" s="13">
        <f>IFERROR(B63+B65+B66+B67+B68+B69+B71+B72+B74+B75+B76+B77+B78+B79+B80+B82+B83, "NA")</f>
        <v>6939.6900000000005</v>
      </c>
      <c r="C84" s="14">
        <f>IFERROR(B84/B148, "NA")</f>
        <v>0.27495746685505135</v>
      </c>
      <c r="D84" s="13">
        <f>IFERROR(D63+D65+D66+D67+D68+D69+D71+D72+D74+D75+D76+D77+D78+D79+D80+D82+D83, "NA")</f>
        <v>10153.51</v>
      </c>
      <c r="E84" s="14">
        <f>IFERROR(D84/D148, "NA")</f>
        <v>0.30537873271635069</v>
      </c>
      <c r="F84" s="13">
        <f>IFERROR(F63+F65+F66+F67+F68+F69+F71+F72+F74+F75+F76+F77+F78+F79+F80+F82+F83, "NA")</f>
        <v>8091.9700000000012</v>
      </c>
      <c r="G84" s="14">
        <f>IFERROR(F84/F148, "NA")</f>
        <v>0.24245312415731349</v>
      </c>
      <c r="H84" s="13">
        <f>IFERROR(H63+H65+H66+H67+H68+H69+H71+H72+H74+H75+H76+H77+H78+H79+H80+H82+H83, "NA")</f>
        <v>6746.92</v>
      </c>
      <c r="I84" s="14">
        <f>IFERROR(H84/H148, "NA")</f>
        <v>0.2478943245598694</v>
      </c>
      <c r="J84" s="13">
        <f>IFERROR(J63+J65+J66+J67+J68+J69+J71+J72+J74+J75+J76+J77+J78+J79+J80+J82+J83, "NA")</f>
        <v>7327.83</v>
      </c>
      <c r="K84" s="14">
        <f>IFERROR(J84/J148, "NA")</f>
        <v>0.17758641665046992</v>
      </c>
      <c r="L84" s="13">
        <f>IFERROR(L63+L65+L66+L67+L68+L69+L71+L72+L74+L75+L76+L77+L78+L79+L80+L82+L83, "NA")</f>
        <v>8244.0300000000007</v>
      </c>
      <c r="M84" s="14">
        <f>IFERROR(L84/L148, "NA")</f>
        <v>0.25741324980235086</v>
      </c>
      <c r="N84" s="13">
        <f>IFERROR(N63+N65+N66+N67+N68+N69+N71+N72+N74+N75+N76+N77+N78+N79+N80+N82+N83, "NA")</f>
        <v>5544.6100000000006</v>
      </c>
      <c r="O84" s="14">
        <f>IFERROR(N84/N148, "NA")</f>
        <v>0.19212239317139634</v>
      </c>
      <c r="P84" s="13">
        <f>IFERROR(P63+P65+P66+P67+P68+P69+P71+P72+P74+P75+P76+P77+P78+P79+P80+P82+P83, "NA")</f>
        <v>6848.59</v>
      </c>
      <c r="Q84" s="14">
        <f>IFERROR(P84/P148, "NA")</f>
        <v>0.26463879414243435</v>
      </c>
      <c r="R84" s="13">
        <f>IFERROR(R63+R65+R66+R67+R68+R69+R71+R72+R74+R75+R76+R77+R78+R79+R80+R82+R83, "NA")</f>
        <v>6642.89</v>
      </c>
      <c r="S84" s="14">
        <f>IFERROR(R84/R148, "NA")</f>
        <v>0.25851110238540081</v>
      </c>
      <c r="T84" s="13">
        <f>IFERROR(T63+T65+T66+T67+T68+T69+T71+T72+T74+T75+T76+T77+T78+T79+T80+T82+T83, "NA")</f>
        <v>7662.1</v>
      </c>
      <c r="U84" s="14">
        <f>IFERROR(T84/T148, "NA")</f>
        <v>0.30448305912863027</v>
      </c>
      <c r="V84" s="13">
        <f>IFERROR(V63+V65+V66+V67+V68+V69+V71+V72+V74+V75+V76+V77+V78+V79+V80+V82+V83, "NA")</f>
        <v>7009.39</v>
      </c>
      <c r="W84" s="14">
        <f>IFERROR(V84/V148, "NA")</f>
        <v>0.24479665790304511</v>
      </c>
      <c r="X84" s="13">
        <f>IFERROR(X63+X65+X66+X67+X68+X69+X71+X72+X74+X75+X76+X77+X78+X79+X80+X82+X83, "NA")</f>
        <v>7879.5</v>
      </c>
      <c r="Y84" s="14">
        <f>IFERROR(X84/X148, "NA")</f>
        <v>0.28063655829419132</v>
      </c>
      <c r="Z84" s="13">
        <f>IFERROR(Z63+Z65+Z66+Z67+Z68+Z69+Z71+Z72+Z74+Z75+Z76+Z77+Z78+Z79+Z80+Z82+Z83, "NA")</f>
        <v>7879.5</v>
      </c>
      <c r="AA84" s="14">
        <f>IFERROR(Z84/Z148, "NA")</f>
        <v>0.28063655829419132</v>
      </c>
      <c r="AB84" s="13">
        <f t="shared" si="30"/>
        <v>7298.47</v>
      </c>
      <c r="AC84" s="14">
        <f>IFERROR(AB84/AB148, "NA")</f>
        <v>0.27138976411843324</v>
      </c>
      <c r="AD84" s="15">
        <f t="shared" si="31"/>
        <v>581.02999999999975</v>
      </c>
      <c r="AE84" s="16">
        <f>IFERROR(AD84/AD148, "NA")</f>
        <v>0.49061255852638119</v>
      </c>
      <c r="AF84" s="15">
        <f t="shared" si="32"/>
        <v>7.9609836034127662E-2</v>
      </c>
      <c r="AG84" s="13">
        <f t="shared" si="33"/>
        <v>7144.8675000000003</v>
      </c>
      <c r="AH84" s="14">
        <f>IFERROR(AG84/AG148, "NA")</f>
        <v>0.24260961788403906</v>
      </c>
      <c r="AI84" s="15">
        <f t="shared" si="34"/>
        <v>734.63249999999971</v>
      </c>
      <c r="AJ84" s="16">
        <f>IFERROR(AI84/AI148, "NA")</f>
        <v>-0.53512708797137454</v>
      </c>
      <c r="AK84" s="15">
        <f t="shared" si="35"/>
        <v>0.10281961142036569</v>
      </c>
      <c r="AL84" s="16">
        <f>IFERROR(AK84/AK148, "NA")</f>
        <v>-2.2057125873185743</v>
      </c>
    </row>
    <row r="85" spans="1:38" ht="16.5" customHeight="1">
      <c r="A85" s="12" t="s">
        <v>96</v>
      </c>
      <c r="B85" s="28">
        <f>IFERROR(B63+B65+B66+B67+B68+B69+B71+B72+B74+B75+B76+B77+B78+B79+B80+B82+B83, "NA")</f>
        <v>6939.6900000000005</v>
      </c>
      <c r="C85" s="29">
        <f>IFERROR(B85/B148, "NA")</f>
        <v>0.27495746685505135</v>
      </c>
      <c r="D85" s="28">
        <f>IFERROR(D63+D65+D66+D67+D68+D69+D71+D72+D74+D75+D76+D77+D78+D79+D80+D82+D83, "NA")</f>
        <v>10153.51</v>
      </c>
      <c r="E85" s="29">
        <f>IFERROR(D85/D148, "NA")</f>
        <v>0.30537873271635069</v>
      </c>
      <c r="F85" s="28">
        <f>IFERROR(F63+F65+F66+F67+F68+F69+F71+F72+F74+F75+F76+F77+F78+F79+F80+F82+F83, "NA")</f>
        <v>8091.9700000000012</v>
      </c>
      <c r="G85" s="29">
        <f>IFERROR(F85/F148, "NA")</f>
        <v>0.24245312415731349</v>
      </c>
      <c r="H85" s="28">
        <f>IFERROR(H63+H65+H66+H67+H68+H69+H71+H72+H74+H75+H76+H77+H78+H79+H80+H82+H83, "NA")</f>
        <v>6746.92</v>
      </c>
      <c r="I85" s="29">
        <f>IFERROR(H85/H148, "NA")</f>
        <v>0.2478943245598694</v>
      </c>
      <c r="J85" s="28">
        <f>IFERROR(J63+J65+J66+J67+J68+J69+J71+J72+J74+J75+J76+J77+J78+J79+J80+J82+J83, "NA")</f>
        <v>7327.83</v>
      </c>
      <c r="K85" s="29">
        <f>IFERROR(J85/J148, "NA")</f>
        <v>0.17758641665046992</v>
      </c>
      <c r="L85" s="28">
        <f>IFERROR(L63+L65+L66+L67+L68+L69+L71+L72+L74+L75+L76+L77+L78+L79+L80+L82+L83, "NA")</f>
        <v>8244.0300000000007</v>
      </c>
      <c r="M85" s="29">
        <f>IFERROR(L85/L148, "NA")</f>
        <v>0.25741324980235086</v>
      </c>
      <c r="N85" s="28">
        <f>IFERROR(N63+N65+N66+N67+N68+N69+N71+N72+N74+N75+N76+N77+N78+N79+N80+N82+N83, "NA")</f>
        <v>5544.6100000000006</v>
      </c>
      <c r="O85" s="29">
        <f>IFERROR(N85/N148, "NA")</f>
        <v>0.19212239317139634</v>
      </c>
      <c r="P85" s="28">
        <f>IFERROR(P63+P65+P66+P67+P68+P69+P71+P72+P74+P75+P76+P77+P78+P79+P80+P82+P83, "NA")</f>
        <v>6848.59</v>
      </c>
      <c r="Q85" s="29">
        <f>IFERROR(P85/P148, "NA")</f>
        <v>0.26463879414243435</v>
      </c>
      <c r="R85" s="28">
        <f>IFERROR(R63+R65+R66+R67+R68+R69+R71+R72+R74+R75+R76+R77+R78+R79+R80+R82+R83, "NA")</f>
        <v>6642.89</v>
      </c>
      <c r="S85" s="29">
        <f>IFERROR(R85/R148, "NA")</f>
        <v>0.25851110238540081</v>
      </c>
      <c r="T85" s="28">
        <f>IFERROR(T63+T65+T66+T67+T68+T69+T71+T72+T74+T75+T76+T77+T78+T79+T80+T82+T83, "NA")</f>
        <v>7662.1</v>
      </c>
      <c r="U85" s="29">
        <f>IFERROR(T85/T148, "NA")</f>
        <v>0.30448305912863027</v>
      </c>
      <c r="V85" s="28">
        <f>IFERROR(V63+V65+V66+V67+V68+V69+V71+V72+V74+V75+V76+V77+V78+V79+V80+V82+V83, "NA")</f>
        <v>7009.39</v>
      </c>
      <c r="W85" s="29">
        <f>IFERROR(V85/V148, "NA")</f>
        <v>0.24479665790304511</v>
      </c>
      <c r="X85" s="28">
        <f>IFERROR(X63+X65+X66+X67+X68+X69+X71+X72+X74+X75+X76+X77+X78+X79+X80+X82+X83, "NA")</f>
        <v>7879.5</v>
      </c>
      <c r="Y85" s="29">
        <f>IFERROR(X85/X148, "NA")</f>
        <v>0.28063655829419132</v>
      </c>
      <c r="Z85" s="28">
        <f>IFERROR(Z63+Z65+Z66+Z67+Z68+Z69+Z71+Z72+Z74+Z75+Z76+Z77+Z78+Z79+Z80+Z82+Z83, "NA")</f>
        <v>7879.5</v>
      </c>
      <c r="AA85" s="29">
        <f>IFERROR(Z85/Z148, "NA")</f>
        <v>0.28063655829419132</v>
      </c>
      <c r="AB85" s="28">
        <f t="shared" si="30"/>
        <v>7298.47</v>
      </c>
      <c r="AC85" s="29">
        <f>IFERROR(AB85/AB148, "NA")</f>
        <v>0.27138976411843324</v>
      </c>
      <c r="AD85" s="30">
        <f t="shared" si="31"/>
        <v>581.02999999999975</v>
      </c>
      <c r="AE85" s="31">
        <f>IFERROR(AD85/AD148, "NA")</f>
        <v>0.49061255852638119</v>
      </c>
      <c r="AF85" s="30">
        <f t="shared" si="32"/>
        <v>7.9609836034127662E-2</v>
      </c>
      <c r="AG85" s="28">
        <f t="shared" si="33"/>
        <v>7144.8675000000003</v>
      </c>
      <c r="AH85" s="29">
        <f>IFERROR(AG85/AG148, "NA")</f>
        <v>0.24260961788403906</v>
      </c>
      <c r="AI85" s="30">
        <f t="shared" si="34"/>
        <v>734.63249999999971</v>
      </c>
      <c r="AJ85" s="31">
        <f>IFERROR(AI85/AI148, "NA")</f>
        <v>-0.53512708797137454</v>
      </c>
      <c r="AK85" s="30">
        <f t="shared" si="35"/>
        <v>0.10281961142036569</v>
      </c>
      <c r="AL85" s="31">
        <f>IFERROR(AK85/AK148, "NA")</f>
        <v>-2.2057125873185743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11343.439999999997</v>
      </c>
      <c r="C87" s="34">
        <f>IFERROR(B87/B148, "NA")</f>
        <v>0.44943845154787354</v>
      </c>
      <c r="D87" s="33">
        <f>IFERROR(D59-D85, "NA")</f>
        <v>13894.28</v>
      </c>
      <c r="E87" s="34">
        <f>IFERROR(D87/D148, "NA")</f>
        <v>0.41788678185239753</v>
      </c>
      <c r="F87" s="33">
        <f>IFERROR(F59-F85, "NA")</f>
        <v>16626.89</v>
      </c>
      <c r="G87" s="34">
        <f>IFERROR(F87/F148, "NA")</f>
        <v>0.49817799936480156</v>
      </c>
      <c r="H87" s="33">
        <f>IFERROR(H59-H85, "NA")</f>
        <v>13303.260000000004</v>
      </c>
      <c r="I87" s="34">
        <f>IFERROR(H87/H148, "NA")</f>
        <v>0.48878638729143509</v>
      </c>
      <c r="J87" s="33">
        <f>IFERROR(J59-J85, "NA")</f>
        <v>24033.250000000007</v>
      </c>
      <c r="K87" s="34">
        <f>IFERROR(J87/J148, "NA")</f>
        <v>0.5824341923823162</v>
      </c>
      <c r="L87" s="33">
        <f>IFERROR(L59-L85, "NA")</f>
        <v>15200.42</v>
      </c>
      <c r="M87" s="34">
        <f>IFERROR(L87/L148, "NA")</f>
        <v>0.47462096942401344</v>
      </c>
      <c r="N87" s="33">
        <f>IFERROR(N59-N85, "NA")</f>
        <v>16418.339999999989</v>
      </c>
      <c r="O87" s="34">
        <f>IFERROR(N87/N148, "NA")</f>
        <v>0.56890038662803355</v>
      </c>
      <c r="P87" s="33">
        <f>IFERROR(P59-P85, "NA")</f>
        <v>11350.109999999997</v>
      </c>
      <c r="Q87" s="34">
        <f>IFERROR(P87/P148, "NA")</f>
        <v>0.43858362433493392</v>
      </c>
      <c r="R87" s="33">
        <f>IFERROR(R59-R85, "NA")</f>
        <v>11923.700000000004</v>
      </c>
      <c r="S87" s="34">
        <f>IFERROR(R87/R148, "NA")</f>
        <v>0.4640162386420375</v>
      </c>
      <c r="T87" s="33">
        <f>IFERROR(T59-T85, "NA")</f>
        <v>11082.239999999996</v>
      </c>
      <c r="U87" s="34">
        <f>IFERROR(T87/T148, "NA")</f>
        <v>0.44039549695222857</v>
      </c>
      <c r="V87" s="33">
        <f>IFERROR(V59-V85, "NA")</f>
        <v>13961.26999999999</v>
      </c>
      <c r="W87" s="34">
        <f>IFERROR(V87/V148, "NA")</f>
        <v>0.48758483064603964</v>
      </c>
      <c r="X87" s="33">
        <f>IFERROR(X59-X85, "NA")</f>
        <v>13347.139999999996</v>
      </c>
      <c r="Y87" s="34">
        <f>IFERROR(X87/X148, "NA")</f>
        <v>0.47537222319572703</v>
      </c>
      <c r="Z87" s="33">
        <f>IFERROR(Z59-Z85, "NA")</f>
        <v>13347.139999999996</v>
      </c>
      <c r="AA87" s="34">
        <f>IFERROR(Z87/Z148, "NA")</f>
        <v>0.47537222319572703</v>
      </c>
      <c r="AB87" s="33">
        <f>IFERROR((R87+T87+V87+X87)/4, "NA")</f>
        <v>12578.587499999998</v>
      </c>
      <c r="AC87" s="34">
        <f>IFERROR(AB87/AB148, "NA")</f>
        <v>0.46772815323870243</v>
      </c>
      <c r="AD87" s="15">
        <f>IFERROR(X87-AB87, "NA")</f>
        <v>768.55249999999796</v>
      </c>
      <c r="AE87" s="16">
        <f>IFERROR(AD87/AD148, "NA")</f>
        <v>0.64895359686564502</v>
      </c>
      <c r="AF87" s="15">
        <f>IFERROR((X87-AB87)/AB87, "NA")</f>
        <v>6.1100063898271419E-2</v>
      </c>
      <c r="AG87" s="33">
        <f>IFERROR((J87+L87+N87+P87+R87+T87+V87+X87)/8, "NA")</f>
        <v>14664.558749999998</v>
      </c>
      <c r="AH87" s="34">
        <f>IFERROR(AG87/AG148, "NA")</f>
        <v>0.49794667217769134</v>
      </c>
      <c r="AI87" s="15">
        <f>IFERROR(X87-AG87, "NA")</f>
        <v>-1317.4187500000025</v>
      </c>
      <c r="AJ87" s="16">
        <f>IFERROR(AI87/AI148, "NA")</f>
        <v>0.95964507332086446</v>
      </c>
      <c r="AK87" s="15">
        <f>IFERROR((X87-AG87)/AG87, "NA")</f>
        <v>-8.9836917186478779E-2</v>
      </c>
      <c r="AL87" s="16">
        <f>IFERROR(AK87/AK148, "NA")</f>
        <v>1.927204511928974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460.36</v>
      </c>
      <c r="C90" s="8">
        <f>IFERROR(B90/B148, "NA")</f>
        <v>1.823992418125182E-2</v>
      </c>
      <c r="D90" s="7">
        <v>715.32</v>
      </c>
      <c r="E90" s="8">
        <f>IFERROR(D90/D148, "NA")</f>
        <v>2.1514088732532886E-2</v>
      </c>
      <c r="F90" s="7">
        <v>748.79</v>
      </c>
      <c r="G90" s="8">
        <f>IFERROR(F90/F148, "NA")</f>
        <v>2.2435386542183761E-2</v>
      </c>
      <c r="H90" s="7">
        <v>604.50999999999988</v>
      </c>
      <c r="I90" s="8">
        <f>IFERROR(H90/H148, "NA")</f>
        <v>2.2210815918921021E-2</v>
      </c>
      <c r="J90" s="7">
        <v>932.04</v>
      </c>
      <c r="K90" s="8">
        <f>IFERROR(J90/J148, "NA")</f>
        <v>2.2587538708581392E-2</v>
      </c>
      <c r="L90" s="7">
        <v>804.93999999999994</v>
      </c>
      <c r="M90" s="8">
        <f>IFERROR(L90/L148, "NA")</f>
        <v>2.5133608356095776E-2</v>
      </c>
      <c r="N90" s="7">
        <v>606.45000000000005</v>
      </c>
      <c r="O90" s="8">
        <f>IFERROR(N90/N148, "NA")</f>
        <v>2.1013673700908325E-2</v>
      </c>
      <c r="P90" s="7">
        <v>807.9</v>
      </c>
      <c r="Q90" s="8">
        <f>IFERROR(P90/P148, "NA")</f>
        <v>3.1218350315564622E-2</v>
      </c>
      <c r="R90" s="7">
        <v>327.81000000000006</v>
      </c>
      <c r="S90" s="8">
        <f>IFERROR(R90/R148, "NA")</f>
        <v>1.2756876069445415E-2</v>
      </c>
      <c r="T90" s="7">
        <v>568.85</v>
      </c>
      <c r="U90" s="8">
        <f>IFERROR(T90/T148, "NA")</f>
        <v>2.2605446050733002E-2</v>
      </c>
      <c r="V90" s="7">
        <v>535.33000000000004</v>
      </c>
      <c r="W90" s="8">
        <f>IFERROR(V90/V148, "NA")</f>
        <v>1.8695920026598197E-2</v>
      </c>
      <c r="X90" s="7">
        <v>547.77</v>
      </c>
      <c r="Y90" s="8">
        <f>IFERROR(X90/X148, "NA")</f>
        <v>1.9509396222705647E-2</v>
      </c>
      <c r="Z90" s="7">
        <v>547.77</v>
      </c>
      <c r="AA90" s="8">
        <f>IFERROR(Z90/Z148, "NA")</f>
        <v>1.9509396222705647E-2</v>
      </c>
      <c r="AB90" s="9">
        <f t="shared" ref="AB90:AB99" si="36">IFERROR((R90+T90+V90+X90)/4, "NA")</f>
        <v>494.94000000000005</v>
      </c>
      <c r="AC90" s="8">
        <f>IFERROR(AB90/AB148, "NA")</f>
        <v>1.8404083301401166E-2</v>
      </c>
      <c r="AD90" s="10">
        <f t="shared" ref="AD90:AD99" si="37">IFERROR(X90-AB90, "NA")</f>
        <v>52.829999999999927</v>
      </c>
      <c r="AE90" s="11">
        <f>IFERROR(AD90/AD148, "NA")</f>
        <v>4.4608817904322827E-2</v>
      </c>
      <c r="AF90" s="10">
        <f t="shared" ref="AF90:AF99" si="38">IFERROR((X90-AB90)/AB90, "NA")</f>
        <v>0.10674021093465859</v>
      </c>
      <c r="AG90" s="9">
        <f t="shared" ref="AG90:AG99" si="39">IFERROR((J90+L90+N90+P90+R90+T90+V90+X90)/8, "NA")</f>
        <v>641.38625000000002</v>
      </c>
      <c r="AH90" s="8">
        <f>IFERROR(AG90/AG148, "NA")</f>
        <v>2.177877658733024E-2</v>
      </c>
      <c r="AI90" s="10">
        <f t="shared" ref="AI90:AI99" si="40">IFERROR(X90-AG90, "NA")</f>
        <v>-93.616250000000036</v>
      </c>
      <c r="AJ90" s="11">
        <f>IFERROR(AI90/AI148, "NA")</f>
        <v>6.8192723912024356E-2</v>
      </c>
      <c r="AK90" s="10">
        <f t="shared" ref="AK90:AK99" si="41">IFERROR((X90-AG90)/AG90, "NA")</f>
        <v>-0.14595924062918411</v>
      </c>
      <c r="AL90" s="11">
        <f>IFERROR(AK90/AK148, "NA")</f>
        <v>3.1311549406175248</v>
      </c>
    </row>
    <row r="91" spans="1:38" ht="16.5" hidden="1" customHeight="1">
      <c r="A91" s="6" t="s">
        <v>100</v>
      </c>
      <c r="B91" s="7">
        <v>240.8</v>
      </c>
      <c r="C91" s="8">
        <f>IFERROR(B91/B148, "NA")</f>
        <v>9.5407371249575067E-3</v>
      </c>
      <c r="D91" s="7">
        <v>943.42</v>
      </c>
      <c r="E91" s="8">
        <f>IFERROR(D91/D148, "NA")</f>
        <v>2.8374464004985424E-2</v>
      </c>
      <c r="F91" s="7">
        <v>2082.83</v>
      </c>
      <c r="G91" s="8">
        <f>IFERROR(F91/F148, "NA")</f>
        <v>6.2406143446969917E-2</v>
      </c>
      <c r="H91" s="7">
        <v>1819.76</v>
      </c>
      <c r="I91" s="8">
        <f>IFERROR(H91/H148, "NA")</f>
        <v>6.6861349484070937E-2</v>
      </c>
      <c r="J91" s="7">
        <v>1842.5900000000001</v>
      </c>
      <c r="K91" s="8">
        <f>IFERROR(J91/J148, "NA")</f>
        <v>4.465427765873245E-2</v>
      </c>
      <c r="L91" s="7">
        <v>1975.75</v>
      </c>
      <c r="M91" s="8">
        <f>IFERROR(L91/L148, "NA")</f>
        <v>6.1691215133495951E-2</v>
      </c>
      <c r="N91" s="7">
        <v>1229.8600000000001</v>
      </c>
      <c r="O91" s="8">
        <f>IFERROR(N91/N148, "NA")</f>
        <v>4.2615016469287018E-2</v>
      </c>
      <c r="P91" s="7">
        <v>1082.6399999999999</v>
      </c>
      <c r="Q91" s="8">
        <f>IFERROR(P91/P148, "NA")</f>
        <v>4.1834676056000594E-2</v>
      </c>
      <c r="R91" s="7">
        <v>1517.56</v>
      </c>
      <c r="S91" s="8">
        <f>IFERROR(R91/R148, "NA")</f>
        <v>5.9056541435427774E-2</v>
      </c>
      <c r="T91" s="7">
        <v>1691.7400000000002</v>
      </c>
      <c r="U91" s="8">
        <f>IFERROR(T91/T148, "NA")</f>
        <v>6.7227805751721992E-2</v>
      </c>
      <c r="V91" s="7">
        <v>1378.79</v>
      </c>
      <c r="W91" s="8">
        <f>IFERROR(V91/V148, "NA")</f>
        <v>4.8153003891942027E-2</v>
      </c>
      <c r="X91" s="7">
        <v>1062.1199999999999</v>
      </c>
      <c r="Y91" s="8">
        <f>IFERROR(X91/X148, "NA")</f>
        <v>3.7828504511127153E-2</v>
      </c>
      <c r="Z91" s="7">
        <v>1062.1199999999999</v>
      </c>
      <c r="AA91" s="8">
        <f>IFERROR(Z91/Z148, "NA")</f>
        <v>3.7828504511127153E-2</v>
      </c>
      <c r="AB91" s="9">
        <f t="shared" si="36"/>
        <v>1412.5525</v>
      </c>
      <c r="AC91" s="8">
        <f>IFERROR(AB91/AB148, "NA")</f>
        <v>5.2525020967394975E-2</v>
      </c>
      <c r="AD91" s="10">
        <f t="shared" si="37"/>
        <v>-350.43250000000012</v>
      </c>
      <c r="AE91" s="11">
        <f>IFERROR(AD91/AD148, "NA")</f>
        <v>-0.29589967026796588</v>
      </c>
      <c r="AF91" s="10">
        <f t="shared" si="38"/>
        <v>-0.24808458446677212</v>
      </c>
      <c r="AG91" s="9">
        <f t="shared" si="39"/>
        <v>1472.6312499999999</v>
      </c>
      <c r="AH91" s="8">
        <f>IFERROR(AG91/AG148, "NA")</f>
        <v>5.0004356952259056E-2</v>
      </c>
      <c r="AI91" s="10">
        <f t="shared" si="40"/>
        <v>-410.51125000000002</v>
      </c>
      <c r="AJ91" s="11">
        <f>IFERROR(AI91/AI148, "NA")</f>
        <v>0.29902800351466757</v>
      </c>
      <c r="AK91" s="10">
        <f t="shared" si="41"/>
        <v>-0.27876038213911325</v>
      </c>
      <c r="AL91" s="11">
        <f>IFERROR(AK91/AK148, "NA")</f>
        <v>5.9800389754068881</v>
      </c>
    </row>
    <row r="92" spans="1:38" ht="16.5" hidden="1" customHeight="1">
      <c r="A92" s="6" t="s">
        <v>101</v>
      </c>
      <c r="B92" s="7">
        <v>210.77</v>
      </c>
      <c r="C92" s="8">
        <f>IFERROR(B92/B148, "NA")</f>
        <v>8.3509184544322823E-3</v>
      </c>
      <c r="D92" s="7">
        <v>309.92</v>
      </c>
      <c r="E92" s="8">
        <f>IFERROR(D92/D148, "NA")</f>
        <v>9.3212078230534463E-3</v>
      </c>
      <c r="F92" s="7">
        <v>328.07</v>
      </c>
      <c r="G92" s="8">
        <f>IFERROR(F92/F148, "NA")</f>
        <v>9.829694925004644E-3</v>
      </c>
      <c r="H92" s="7">
        <v>282.31</v>
      </c>
      <c r="I92" s="8">
        <f>IFERROR(H92/H148, "NA")</f>
        <v>1.037259175542273E-2</v>
      </c>
      <c r="J92" s="7">
        <v>593.71</v>
      </c>
      <c r="K92" s="8">
        <f>IFERROR(J92/J148, "NA")</f>
        <v>1.43882747593149E-2</v>
      </c>
      <c r="L92" s="7">
        <v>388.66</v>
      </c>
      <c r="M92" s="8">
        <f>IFERROR(L92/L148, "NA")</f>
        <v>1.2135597962183747E-2</v>
      </c>
      <c r="N92" s="7">
        <v>387.35</v>
      </c>
      <c r="O92" s="8">
        <f>IFERROR(N92/N148, "NA")</f>
        <v>1.3421793236123077E-2</v>
      </c>
      <c r="P92" s="7">
        <v>334.09</v>
      </c>
      <c r="Q92" s="8">
        <f>IFERROR(P92/P148, "NA")</f>
        <v>1.290969013111398E-2</v>
      </c>
      <c r="R92" s="7">
        <v>187.85999999999999</v>
      </c>
      <c r="S92" s="8">
        <f>IFERROR(R92/R148, "NA")</f>
        <v>7.3106578152161766E-3</v>
      </c>
      <c r="T92" s="7">
        <v>306.83</v>
      </c>
      <c r="U92" s="8">
        <f>IFERROR(T92/T148, "NA")</f>
        <v>1.2193072007992276E-2</v>
      </c>
      <c r="V92" s="7">
        <v>210.22</v>
      </c>
      <c r="W92" s="8">
        <f>IFERROR(V92/V148, "NA")</f>
        <v>7.341744919939986E-3</v>
      </c>
      <c r="X92" s="7">
        <v>0</v>
      </c>
      <c r="Y92" s="8">
        <f>IFERROR(X92/X148, "NA")</f>
        <v>0</v>
      </c>
      <c r="Z92" s="7">
        <v>0</v>
      </c>
      <c r="AA92" s="8">
        <f>IFERROR(Z92/Z148, "NA")</f>
        <v>0</v>
      </c>
      <c r="AB92" s="9">
        <f t="shared" si="36"/>
        <v>176.22749999999999</v>
      </c>
      <c r="AC92" s="8">
        <f>IFERROR(AB92/AB148, "NA")</f>
        <v>6.552926799203284E-3</v>
      </c>
      <c r="AD92" s="10">
        <f t="shared" si="37"/>
        <v>-176.22749999999999</v>
      </c>
      <c r="AE92" s="11">
        <f>IFERROR(AD92/AD148, "NA")</f>
        <v>-0.14880371866806855</v>
      </c>
      <c r="AF92" s="10">
        <f t="shared" si="38"/>
        <v>-1</v>
      </c>
      <c r="AG92" s="9">
        <f t="shared" si="39"/>
        <v>301.08999999999997</v>
      </c>
      <c r="AH92" s="8">
        <f>IFERROR(AG92/AG148, "NA")</f>
        <v>1.0223748704745792E-2</v>
      </c>
      <c r="AI92" s="10">
        <f t="shared" si="40"/>
        <v>-301.08999999999997</v>
      </c>
      <c r="AJ92" s="11">
        <f>IFERROR(AI92/AI148, "NA")</f>
        <v>0.21932247064661747</v>
      </c>
      <c r="AK92" s="10">
        <f t="shared" si="41"/>
        <v>-1</v>
      </c>
      <c r="AL92" s="11">
        <f>IFERROR(AK92/AK148, "NA")</f>
        <v>21.452255623694029</v>
      </c>
    </row>
    <row r="93" spans="1:38" ht="16.5" hidden="1" customHeight="1">
      <c r="A93" s="6" t="s">
        <v>102</v>
      </c>
      <c r="B93" s="7">
        <v>1233.83</v>
      </c>
      <c r="C93" s="8">
        <f>IFERROR(B93/B148, "NA")</f>
        <v>4.8885580095042853E-2</v>
      </c>
      <c r="D93" s="7">
        <v>1856.18</v>
      </c>
      <c r="E93" s="8">
        <f>IFERROR(D93/D148, "NA")</f>
        <v>5.5826792517408838E-2</v>
      </c>
      <c r="F93" s="7">
        <v>2270.0699999999997</v>
      </c>
      <c r="G93" s="8">
        <f>IFERROR(F93/F148, "NA")</f>
        <v>6.8016263475493915E-2</v>
      </c>
      <c r="H93" s="7">
        <v>1419.15</v>
      </c>
      <c r="I93" s="8">
        <f>IFERROR(H93/H148, "NA")</f>
        <v>5.2142196839319074E-2</v>
      </c>
      <c r="J93" s="7">
        <v>4185.07</v>
      </c>
      <c r="K93" s="8">
        <f>IFERROR(J93/J148, "NA")</f>
        <v>0.10142314774379074</v>
      </c>
      <c r="L93" s="7">
        <v>2236.6999999999998</v>
      </c>
      <c r="M93" s="8">
        <f>IFERROR(L93/L148, "NA")</f>
        <v>6.983917038546901E-2</v>
      </c>
      <c r="N93" s="7">
        <v>2198.42</v>
      </c>
      <c r="O93" s="8">
        <f>IFERROR(N93/N148, "NA")</f>
        <v>7.6175909864870772E-2</v>
      </c>
      <c r="P93" s="7">
        <v>1160.69</v>
      </c>
      <c r="Q93" s="8">
        <f>IFERROR(P93/P148, "NA")</f>
        <v>4.4850633776176138E-2</v>
      </c>
      <c r="R93" s="7">
        <v>1403.12</v>
      </c>
      <c r="S93" s="8">
        <f>IFERROR(R93/R148, "NA")</f>
        <v>5.4603056497850112E-2</v>
      </c>
      <c r="T93" s="7">
        <v>1238.4000000000001</v>
      </c>
      <c r="U93" s="8">
        <f>IFERROR(T93/T148, "NA")</f>
        <v>4.9212594513892503E-2</v>
      </c>
      <c r="V93" s="7">
        <v>1526.92</v>
      </c>
      <c r="W93" s="8">
        <f>IFERROR(V93/V148, "NA")</f>
        <v>5.3326311260368971E-2</v>
      </c>
      <c r="X93" s="7">
        <v>1207.6199999999999</v>
      </c>
      <c r="Y93" s="8">
        <f>IFERROR(X93/X148, "NA")</f>
        <v>4.3010637797732253E-2</v>
      </c>
      <c r="Z93" s="7">
        <v>1207.6199999999999</v>
      </c>
      <c r="AA93" s="8">
        <f>IFERROR(Z93/Z148, "NA")</f>
        <v>4.3010637797732253E-2</v>
      </c>
      <c r="AB93" s="9">
        <f t="shared" si="36"/>
        <v>1344.0150000000001</v>
      </c>
      <c r="AC93" s="8">
        <f>IFERROR(AB93/AB148, "NA")</f>
        <v>4.997649011664583E-2</v>
      </c>
      <c r="AD93" s="10">
        <f t="shared" si="37"/>
        <v>-136.39500000000021</v>
      </c>
      <c r="AE93" s="11">
        <f>IFERROR(AD93/AD148, "NA")</f>
        <v>-0.11516978455536873</v>
      </c>
      <c r="AF93" s="10">
        <f t="shared" si="38"/>
        <v>-0.10148324237452722</v>
      </c>
      <c r="AG93" s="9">
        <f t="shared" si="39"/>
        <v>1894.6174999999998</v>
      </c>
      <c r="AH93" s="8">
        <f>IFERROR(AG93/AG148, "NA")</f>
        <v>6.4333233291088088E-2</v>
      </c>
      <c r="AI93" s="10">
        <f t="shared" si="40"/>
        <v>-686.99749999999995</v>
      </c>
      <c r="AJ93" s="11">
        <f>IFERROR(AI93/AI148, "NA")</f>
        <v>0.50042840688182799</v>
      </c>
      <c r="AK93" s="10">
        <f t="shared" si="41"/>
        <v>-0.36260485295844674</v>
      </c>
      <c r="AL93" s="11">
        <f>IFERROR(AK93/AK148, "NA")</f>
        <v>7.778691996056585</v>
      </c>
    </row>
    <row r="94" spans="1:38" ht="16.5" hidden="1" customHeight="1">
      <c r="A94" s="6" t="s">
        <v>103</v>
      </c>
      <c r="B94" s="7">
        <v>663.01</v>
      </c>
      <c r="C94" s="8">
        <f>IFERROR(B94/B148, "NA")</f>
        <v>2.6269120104726231E-2</v>
      </c>
      <c r="D94" s="7">
        <v>1028.6099999999999</v>
      </c>
      <c r="E94" s="8">
        <f>IFERROR(D94/D148, "NA")</f>
        <v>3.0936653261715942E-2</v>
      </c>
      <c r="F94" s="7">
        <v>914.66</v>
      </c>
      <c r="G94" s="8">
        <f>IFERROR(F94/F148, "NA")</f>
        <v>2.7405214619150631E-2</v>
      </c>
      <c r="H94" s="7">
        <v>773.61</v>
      </c>
      <c r="I94" s="8">
        <f>IFERROR(H94/H148, "NA")</f>
        <v>2.8423862802991671E-2</v>
      </c>
      <c r="J94" s="7">
        <v>1353.57</v>
      </c>
      <c r="K94" s="8">
        <f>IFERROR(J94/J148, "NA")</f>
        <v>3.2803114426177539E-2</v>
      </c>
      <c r="L94" s="7">
        <v>954.09</v>
      </c>
      <c r="M94" s="8">
        <f>IFERROR(L94/L148, "NA")</f>
        <v>2.9790697935830522E-2</v>
      </c>
      <c r="N94" s="7">
        <v>908.04</v>
      </c>
      <c r="O94" s="8">
        <f>IFERROR(N94/N148, "NA")</f>
        <v>3.1463857312841612E-2</v>
      </c>
      <c r="P94" s="7">
        <v>790.1</v>
      </c>
      <c r="Q94" s="8">
        <f>IFERROR(P94/P148, "NA")</f>
        <v>3.0530534205133814E-2</v>
      </c>
      <c r="R94" s="7">
        <v>718.73</v>
      </c>
      <c r="S94" s="8">
        <f>IFERROR(R94/R148, "NA")</f>
        <v>2.7969706651391053E-2</v>
      </c>
      <c r="T94" s="7">
        <v>650.54</v>
      </c>
      <c r="U94" s="8">
        <f>IFERROR(T94/T148, "NA")</f>
        <v>2.5851712883614038E-2</v>
      </c>
      <c r="V94" s="7">
        <v>744.94</v>
      </c>
      <c r="W94" s="8">
        <f>IFERROR(V94/V148, "NA")</f>
        <v>2.6016361243745095E-2</v>
      </c>
      <c r="X94" s="7">
        <v>580.35</v>
      </c>
      <c r="Y94" s="8">
        <f>IFERROR(X94/X148, "NA")</f>
        <v>2.0669766686469183E-2</v>
      </c>
      <c r="Z94" s="7">
        <v>580.35</v>
      </c>
      <c r="AA94" s="8">
        <f>IFERROR(Z94/Z148, "NA")</f>
        <v>2.0669766686469183E-2</v>
      </c>
      <c r="AB94" s="9">
        <f t="shared" si="36"/>
        <v>673.64</v>
      </c>
      <c r="AC94" s="8">
        <f>IFERROR(AB94/AB148, "NA")</f>
        <v>2.5048948711269812E-2</v>
      </c>
      <c r="AD94" s="10">
        <f t="shared" si="37"/>
        <v>-93.289999999999964</v>
      </c>
      <c r="AE94" s="11">
        <f>IFERROR(AD94/AD148, "NA")</f>
        <v>-7.877260310986714E-2</v>
      </c>
      <c r="AF94" s="10">
        <f t="shared" si="38"/>
        <v>-0.13848643192209484</v>
      </c>
      <c r="AG94" s="9">
        <f t="shared" si="39"/>
        <v>837.54500000000007</v>
      </c>
      <c r="AH94" s="8">
        <f>IFERROR(AG94/AG148, "NA")</f>
        <v>2.8439501839703465E-2</v>
      </c>
      <c r="AI94" s="10">
        <f t="shared" si="40"/>
        <v>-257.19500000000005</v>
      </c>
      <c r="AJ94" s="11">
        <f>IFERROR(AI94/AI148, "NA")</f>
        <v>0.18734811132205254</v>
      </c>
      <c r="AK94" s="10">
        <f t="shared" si="41"/>
        <v>-0.30708200753392356</v>
      </c>
      <c r="AL94" s="11">
        <f>IFERROR(AK94/AK148, "NA")</f>
        <v>6.5876017230548634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1204.99</v>
      </c>
      <c r="G95" s="8">
        <f>IFERROR(F95/F148, "NA")</f>
        <v>3.61041365796365E-2</v>
      </c>
      <c r="H95" s="7">
        <v>0</v>
      </c>
      <c r="I95" s="8">
        <f>IFERROR(H95/H148, "NA")</f>
        <v>0</v>
      </c>
      <c r="J95" s="7">
        <v>-1346</v>
      </c>
      <c r="K95" s="8">
        <f>IFERROR(J95/J148, "NA")</f>
        <v>-3.2619659136679281E-2</v>
      </c>
      <c r="L95" s="7">
        <v>0</v>
      </c>
      <c r="M95" s="8">
        <f>IFERROR(L95/L148, "NA")</f>
        <v>0</v>
      </c>
      <c r="N95" s="7">
        <v>1204.99</v>
      </c>
      <c r="O95" s="8">
        <f>IFERROR(N95/N148, "NA")</f>
        <v>4.1753263538391497E-2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1204.99</v>
      </c>
      <c r="W95" s="8">
        <f>IFERROR(V95/V148, "NA")</f>
        <v>4.2083194801058342E-2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301.2475</v>
      </c>
      <c r="AC95" s="8">
        <f>IFERROR(AB95/AB148, "NA")</f>
        <v>1.1201729672968131E-2</v>
      </c>
      <c r="AD95" s="10">
        <f t="shared" si="37"/>
        <v>-301.2475</v>
      </c>
      <c r="AE95" s="11">
        <f>IFERROR(AD95/AD148, "NA")</f>
        <v>-0.25436863281530397</v>
      </c>
      <c r="AF95" s="10">
        <f t="shared" si="38"/>
        <v>-1</v>
      </c>
      <c r="AG95" s="9">
        <f t="shared" si="39"/>
        <v>132.9975</v>
      </c>
      <c r="AH95" s="8">
        <f>IFERROR(AG95/AG148, "NA")</f>
        <v>4.5160351335462113E-3</v>
      </c>
      <c r="AI95" s="10">
        <f t="shared" si="40"/>
        <v>-132.9975</v>
      </c>
      <c r="AJ95" s="11">
        <f>IFERROR(AI95/AI148, "NA")</f>
        <v>9.6879140090416524E-2</v>
      </c>
      <c r="AK95" s="10">
        <f t="shared" si="41"/>
        <v>-1</v>
      </c>
      <c r="AL95" s="11">
        <f>IFERROR(AK95/AK148, "NA")</f>
        <v>21.452255623694029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322.39999999999998</v>
      </c>
      <c r="C97" s="8">
        <f>IFERROR(B97/B148, "NA")</f>
        <v>1.2773810835075996E-2</v>
      </c>
      <c r="D97" s="7">
        <v>2863.75</v>
      </c>
      <c r="E97" s="8">
        <f>IFERROR(D97/D148, "NA")</f>
        <v>8.6130643079728023E-2</v>
      </c>
      <c r="F97" s="7">
        <v>437.49</v>
      </c>
      <c r="G97" s="8">
        <f>IFERROR(F97/F148, "NA")</f>
        <v>1.3108157505228401E-2</v>
      </c>
      <c r="H97" s="7">
        <v>1407.54</v>
      </c>
      <c r="I97" s="8">
        <f>IFERROR(H97/H148, "NA")</f>
        <v>5.1715623957450003E-2</v>
      </c>
      <c r="J97" s="7">
        <v>386.99</v>
      </c>
      <c r="K97" s="8">
        <f>IFERROR(J97/J148, "NA")</f>
        <v>9.378515519541988E-3</v>
      </c>
      <c r="L97" s="7">
        <v>1815.2800000000002</v>
      </c>
      <c r="M97" s="8">
        <f>IFERROR(L97/L148, "NA")</f>
        <v>5.6680667598396836E-2</v>
      </c>
      <c r="N97" s="7">
        <v>331.01</v>
      </c>
      <c r="O97" s="8">
        <f>IFERROR(N97/N148, "NA")</f>
        <v>1.1469595402321155E-2</v>
      </c>
      <c r="P97" s="7">
        <v>381.01</v>
      </c>
      <c r="Q97" s="8">
        <f>IFERROR(P97/P148, "NA")</f>
        <v>1.4722742485125976E-2</v>
      </c>
      <c r="R97" s="7">
        <v>683.54</v>
      </c>
      <c r="S97" s="8">
        <f>IFERROR(R97/R148, "NA")</f>
        <v>2.6600271707723121E-2</v>
      </c>
      <c r="T97" s="7">
        <v>538.83999999999992</v>
      </c>
      <c r="U97" s="8">
        <f>IFERROR(T97/T148, "NA")</f>
        <v>2.1412883097436879E-2</v>
      </c>
      <c r="V97" s="7">
        <v>1023.8900000000001</v>
      </c>
      <c r="W97" s="8">
        <f>IFERROR(V97/V148, "NA")</f>
        <v>3.5758439758716364E-2</v>
      </c>
      <c r="X97" s="7">
        <v>2428.29</v>
      </c>
      <c r="Y97" s="8">
        <f>IFERROR(X97/X148, "NA")</f>
        <v>8.648606486962393E-2</v>
      </c>
      <c r="Z97" s="7">
        <v>2428.29</v>
      </c>
      <c r="AA97" s="8">
        <f>IFERROR(Z97/Z148, "NA")</f>
        <v>8.648606486962393E-2</v>
      </c>
      <c r="AB97" s="9">
        <f t="shared" si="36"/>
        <v>1168.6399999999999</v>
      </c>
      <c r="AC97" s="8">
        <f>IFERROR(AB97/AB148, "NA")</f>
        <v>4.3455263081079436E-2</v>
      </c>
      <c r="AD97" s="10">
        <f t="shared" si="37"/>
        <v>1259.6500000000001</v>
      </c>
      <c r="AE97" s="11">
        <f>IFERROR(AD97/AD148, "NA")</f>
        <v>1.0636285722729573</v>
      </c>
      <c r="AF97" s="10">
        <f t="shared" si="38"/>
        <v>1.0778768483023002</v>
      </c>
      <c r="AG97" s="9">
        <f t="shared" si="39"/>
        <v>948.60625000000016</v>
      </c>
      <c r="AH97" s="8">
        <f>IFERROR(AG97/AG148, "NA")</f>
        <v>3.2210674282610735E-2</v>
      </c>
      <c r="AI97" s="10">
        <f t="shared" si="40"/>
        <v>1479.6837499999997</v>
      </c>
      <c r="AJ97" s="11">
        <f>IFERROR(AI97/AI148, "NA")</f>
        <v>-1.0778434880788197</v>
      </c>
      <c r="AK97" s="10">
        <f t="shared" si="41"/>
        <v>1.5598503066999605</v>
      </c>
      <c r="AL97" s="11">
        <f>IFERROR(AK97/AK148, "NA")</f>
        <v>-33.462307514025078</v>
      </c>
    </row>
    <row r="98" spans="1:38" ht="16.5" hidden="1" customHeight="1">
      <c r="A98" s="6" t="s">
        <v>107</v>
      </c>
      <c r="B98" s="7">
        <v>390.07</v>
      </c>
      <c r="C98" s="8">
        <f>IFERROR(B98/B148, "NA")</f>
        <v>1.5454963996396074E-2</v>
      </c>
      <c r="D98" s="7">
        <v>2351.77</v>
      </c>
      <c r="E98" s="8">
        <f>IFERROR(D98/D148, "NA")</f>
        <v>7.0732243553247295E-2</v>
      </c>
      <c r="F98" s="7">
        <v>1256.95</v>
      </c>
      <c r="G98" s="8">
        <f>IFERROR(F98/F148, "NA")</f>
        <v>3.766097185352086E-2</v>
      </c>
      <c r="H98" s="7">
        <v>408.23</v>
      </c>
      <c r="I98" s="8">
        <f>IFERROR(H98/H148, "NA")</f>
        <v>1.4999125543963095E-2</v>
      </c>
      <c r="J98" s="7">
        <v>244.34</v>
      </c>
      <c r="K98" s="8">
        <f>IFERROR(J98/J148, "NA")</f>
        <v>5.9214617484815869E-3</v>
      </c>
      <c r="L98" s="7">
        <v>2294.29</v>
      </c>
      <c r="M98" s="8">
        <f>IFERROR(L98/L148, "NA")</f>
        <v>7.1637372121284792E-2</v>
      </c>
      <c r="N98" s="7">
        <v>1322.25</v>
      </c>
      <c r="O98" s="8">
        <f>IFERROR(N98/N148, "NA")</f>
        <v>4.5816357574451363E-2</v>
      </c>
      <c r="P98" s="7">
        <v>299.10000000000002</v>
      </c>
      <c r="Q98" s="8">
        <f>IFERROR(P98/P148, "NA")</f>
        <v>1.1557629136508702E-2</v>
      </c>
      <c r="R98" s="7">
        <v>204.31</v>
      </c>
      <c r="S98" s="8">
        <f>IFERROR(R98/R148, "NA")</f>
        <v>7.9508170883999633E-3</v>
      </c>
      <c r="T98" s="7">
        <v>2483.29</v>
      </c>
      <c r="U98" s="8">
        <f>IFERROR(T98/T148, "NA")</f>
        <v>9.8683094178297889E-2</v>
      </c>
      <c r="V98" s="7">
        <v>1510.3500000000001</v>
      </c>
      <c r="W98" s="8">
        <f>IFERROR(V98/V148, "NA")</f>
        <v>5.2747618874661589E-2</v>
      </c>
      <c r="X98" s="7">
        <v>662.74</v>
      </c>
      <c r="Y98" s="8">
        <f>IFERROR(X98/X148, "NA")</f>
        <v>2.3604171920032026E-2</v>
      </c>
      <c r="Z98" s="7">
        <v>662.74</v>
      </c>
      <c r="AA98" s="8">
        <f>IFERROR(Z98/Z148, "NA")</f>
        <v>2.3604171920032026E-2</v>
      </c>
      <c r="AB98" s="9">
        <f t="shared" si="36"/>
        <v>1215.1724999999999</v>
      </c>
      <c r="AC98" s="8">
        <f>IFERROR(AB98/AB148, "NA")</f>
        <v>4.5185549593025225E-2</v>
      </c>
      <c r="AD98" s="10">
        <f t="shared" si="37"/>
        <v>-552.43249999999989</v>
      </c>
      <c r="AE98" s="11">
        <f>IFERROR(AD98/AD148, "NA")</f>
        <v>-0.46646528103217588</v>
      </c>
      <c r="AF98" s="10">
        <f t="shared" si="38"/>
        <v>-0.45461241099514671</v>
      </c>
      <c r="AG98" s="9">
        <f t="shared" si="39"/>
        <v>1127.58375</v>
      </c>
      <c r="AH98" s="8">
        <f>IFERROR(AG98/AG148, "NA")</f>
        <v>3.8287996624115396E-2</v>
      </c>
      <c r="AI98" s="10">
        <f t="shared" si="40"/>
        <v>-464.84375</v>
      </c>
      <c r="AJ98" s="11">
        <f>IFERROR(AI98/AI148, "NA")</f>
        <v>0.33860533300554185</v>
      </c>
      <c r="AK98" s="10">
        <f t="shared" si="41"/>
        <v>-0.41224764901055022</v>
      </c>
      <c r="AL98" s="11">
        <f>IFERROR(AK98/AK148, "NA")</f>
        <v>8.8436419468412168</v>
      </c>
    </row>
    <row r="99" spans="1:38" ht="16.5" hidden="1" customHeight="1">
      <c r="A99" s="12" t="s">
        <v>108</v>
      </c>
      <c r="B99" s="13">
        <f>IFERROR(B90+B91+B92+B93+B94+B95+B96+B97+B98, "NA")</f>
        <v>3521.2400000000007</v>
      </c>
      <c r="C99" s="14">
        <f>IFERROR(B99/B148, "NA")</f>
        <v>0.13951505479188281</v>
      </c>
      <c r="D99" s="13">
        <f>IFERROR(D90+D91+D92+D93+D94+D95+D96+D97+D98, "NA")</f>
        <v>10068.969999999999</v>
      </c>
      <c r="E99" s="14">
        <f>IFERROR(D99/D148, "NA")</f>
        <v>0.30283609297267183</v>
      </c>
      <c r="F99" s="13">
        <f>IFERROR(F90+F91+F92+F93+F94+F95+F96+F97+F98, "NA")</f>
        <v>9243.85</v>
      </c>
      <c r="G99" s="14">
        <f>IFERROR(F99/F148, "NA")</f>
        <v>0.27696596894718867</v>
      </c>
      <c r="H99" s="13">
        <f>IFERROR(H90+H91+H92+H93+H94+H95+H96+H97+H98, "NA")</f>
        <v>6715.1099999999988</v>
      </c>
      <c r="I99" s="14">
        <f>IFERROR(H99/H148, "NA")</f>
        <v>0.24672556630213849</v>
      </c>
      <c r="J99" s="13">
        <f>IFERROR(J90+J91+J92+J93+J94+J95+J96+J97+J98, "NA")</f>
        <v>8192.31</v>
      </c>
      <c r="K99" s="14">
        <f>IFERROR(J99/J148, "NA")</f>
        <v>0.19853667142794132</v>
      </c>
      <c r="L99" s="13">
        <f>IFERROR(L90+L91+L92+L93+L94+L95+L96+L97+L98, "NA")</f>
        <v>10469.709999999999</v>
      </c>
      <c r="M99" s="14">
        <f>IFERROR(L99/L148, "NA")</f>
        <v>0.32690832949275661</v>
      </c>
      <c r="N99" s="13">
        <f>IFERROR(N90+N91+N92+N93+N94+N95+N96+N97+N98, "NA")</f>
        <v>8188.37</v>
      </c>
      <c r="O99" s="14">
        <f>IFERROR(N99/N148, "NA")</f>
        <v>0.28372946709919478</v>
      </c>
      <c r="P99" s="13">
        <f>IFERROR(P90+P91+P92+P93+P94+P95+P96+P97+P98, "NA")</f>
        <v>4855.5300000000007</v>
      </c>
      <c r="Q99" s="14">
        <f>IFERROR(P99/P148, "NA")</f>
        <v>0.18762425610562386</v>
      </c>
      <c r="R99" s="13">
        <f>IFERROR(R90+R91+R92+R93+R94+R95+R96+R97+R98, "NA")</f>
        <v>5042.93</v>
      </c>
      <c r="S99" s="14">
        <f>IFERROR(R99/R148, "NA")</f>
        <v>0.19624792726545365</v>
      </c>
      <c r="T99" s="13">
        <f>IFERROR(T90+T91+T92+T93+T94+T95+T96+T97+T98, "NA")</f>
        <v>7478.4900000000007</v>
      </c>
      <c r="U99" s="14">
        <f>IFERROR(T99/T148, "NA")</f>
        <v>0.29718660848368861</v>
      </c>
      <c r="V99" s="13">
        <f>IFERROR(V90+V91+V92+V93+V94+V95+V96+V97+V98, "NA")</f>
        <v>8135.43</v>
      </c>
      <c r="W99" s="14">
        <f>IFERROR(V99/V148, "NA")</f>
        <v>0.28412259477703056</v>
      </c>
      <c r="X99" s="13">
        <f>IFERROR(X90+X91+X92+X93+X94+X95+X96+X97+X98, "NA")</f>
        <v>6488.8899999999994</v>
      </c>
      <c r="Y99" s="14">
        <f>IFERROR(X99/X148, "NA")</f>
        <v>0.23110854200769018</v>
      </c>
      <c r="Z99" s="13">
        <f>IFERROR(Z90+Z91+Z92+Z93+Z94+Z95+Z96+Z97+Z98, "NA")</f>
        <v>6488.8899999999994</v>
      </c>
      <c r="AA99" s="14">
        <f>IFERROR(Z99/Z148, "NA")</f>
        <v>0.23110854200769018</v>
      </c>
      <c r="AB99" s="13">
        <f t="shared" si="36"/>
        <v>6786.4350000000004</v>
      </c>
      <c r="AC99" s="14">
        <f>IFERROR(AB99/AB148, "NA")</f>
        <v>0.25235001224298786</v>
      </c>
      <c r="AD99" s="15">
        <f t="shared" si="37"/>
        <v>-297.54500000000098</v>
      </c>
      <c r="AE99" s="16">
        <f>IFERROR(AD99/AD148, "NA")</f>
        <v>-0.25124230027147071</v>
      </c>
      <c r="AF99" s="15">
        <f t="shared" si="38"/>
        <v>-4.3844080139277979E-2</v>
      </c>
      <c r="AG99" s="13">
        <f t="shared" si="39"/>
        <v>7356.4574999999995</v>
      </c>
      <c r="AH99" s="14">
        <f>IFERROR(AG99/AG148, "NA")</f>
        <v>0.24979432341539898</v>
      </c>
      <c r="AI99" s="15">
        <f t="shared" si="40"/>
        <v>-867.56750000000011</v>
      </c>
      <c r="AJ99" s="16">
        <f>IFERROR(AI99/AI148, "NA")</f>
        <v>0.63196070129432846</v>
      </c>
      <c r="AK99" s="15">
        <f t="shared" si="41"/>
        <v>-0.11793278218490356</v>
      </c>
      <c r="AL99" s="16">
        <f>IFERROR(AK99/AK148, "NA")</f>
        <v>2.5299241898439804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7822.1999999999962</v>
      </c>
      <c r="C101" s="34">
        <f>IFERROR(B101/B148, "NA")</f>
        <v>0.30992339675599073</v>
      </c>
      <c r="D101" s="33">
        <f>IFERROR(D87-D99, "NA")</f>
        <v>3825.3100000000013</v>
      </c>
      <c r="E101" s="34">
        <f>IFERROR(D101/D148, "NA")</f>
        <v>0.11505068887972571</v>
      </c>
      <c r="F101" s="33">
        <f>IFERROR(F87-F99, "NA")</f>
        <v>7383.0399999999991</v>
      </c>
      <c r="G101" s="34">
        <f>IFERROR(F101/F148, "NA")</f>
        <v>0.22121203041761295</v>
      </c>
      <c r="H101" s="33">
        <f>IFERROR(H87-H99, "NA")</f>
        <v>6588.1500000000051</v>
      </c>
      <c r="I101" s="34">
        <f>IFERROR(H101/H148, "NA")</f>
        <v>0.24206082098929657</v>
      </c>
      <c r="J101" s="33">
        <f>IFERROR(J87-J99, "NA")</f>
        <v>15840.940000000008</v>
      </c>
      <c r="K101" s="34">
        <f>IFERROR(J101/J148, "NA")</f>
        <v>0.38389752095437485</v>
      </c>
      <c r="L101" s="33">
        <f>IFERROR(L87-L99, "NA")</f>
        <v>4730.7100000000009</v>
      </c>
      <c r="M101" s="34">
        <f>IFERROR(L101/L148, "NA")</f>
        <v>0.14771263993125683</v>
      </c>
      <c r="N101" s="33">
        <f>IFERROR(N87-N99, "NA")</f>
        <v>8229.9699999999903</v>
      </c>
      <c r="O101" s="34">
        <f>IFERROR(N101/N148, "NA")</f>
        <v>0.28517091952883877</v>
      </c>
      <c r="P101" s="33">
        <f>IFERROR(P87-P99, "NA")</f>
        <v>6494.5799999999963</v>
      </c>
      <c r="Q101" s="34">
        <f>IFERROR(P101/P148, "NA")</f>
        <v>0.25095936822931003</v>
      </c>
      <c r="R101" s="33">
        <f>IFERROR(R87-R99, "NA")</f>
        <v>6880.7700000000041</v>
      </c>
      <c r="S101" s="34">
        <f>IFERROR(R101/R148, "NA")</f>
        <v>0.26776831137658386</v>
      </c>
      <c r="T101" s="33">
        <f>IFERROR(T87-T99, "NA")</f>
        <v>3603.7499999999955</v>
      </c>
      <c r="U101" s="34">
        <f>IFERROR(T101/T148, "NA")</f>
        <v>0.14320888846853996</v>
      </c>
      <c r="V101" s="33">
        <f>IFERROR(V87-V99, "NA")</f>
        <v>5825.8399999999892</v>
      </c>
      <c r="W101" s="34">
        <f>IFERROR(V101/V148, "NA")</f>
        <v>0.20346223586900908</v>
      </c>
      <c r="X101" s="33">
        <f>IFERROR(X87-X99, "NA")</f>
        <v>6858.2499999999964</v>
      </c>
      <c r="Y101" s="34">
        <f>IFERROR(X101/X148, "NA")</f>
        <v>0.24426368118803685</v>
      </c>
      <c r="Z101" s="33">
        <f>IFERROR(Z87-Z99, "NA")</f>
        <v>6858.2499999999964</v>
      </c>
      <c r="AA101" s="34">
        <f>IFERROR(Z101/Z148, "NA")</f>
        <v>0.24426368118803685</v>
      </c>
      <c r="AB101" s="33">
        <f>IFERROR((R101+T101+V101+X101)/4, "NA")</f>
        <v>5792.1524999999965</v>
      </c>
      <c r="AC101" s="34">
        <f>IFERROR(AB101/AB148, "NA")</f>
        <v>0.21537814099571451</v>
      </c>
      <c r="AD101" s="15">
        <f>IFERROR(X101-AB101, "NA")</f>
        <v>1066.0974999999999</v>
      </c>
      <c r="AE101" s="16">
        <f>IFERROR(AD101/AD148, "NA")</f>
        <v>0.90019589713711656</v>
      </c>
      <c r="AF101" s="15">
        <f>IFERROR((X101-AB101)/AB101, "NA")</f>
        <v>0.18405894872415746</v>
      </c>
      <c r="AG101" s="33">
        <f>IFERROR((J101+L101+N101+P101+R101+T101+V101+X101)/8, "NA")</f>
        <v>7308.1012499999979</v>
      </c>
      <c r="AH101" s="34">
        <f>IFERROR(AG101/AG148, "NA")</f>
        <v>0.24815234876229234</v>
      </c>
      <c r="AI101" s="15">
        <f>IFERROR(X101-AG101, "NA")</f>
        <v>-449.85125000000153</v>
      </c>
      <c r="AJ101" s="16">
        <f>IFERROR(AI101/AI148, "NA")</f>
        <v>0.32768437202653533</v>
      </c>
      <c r="AK101" s="15">
        <f>IFERROR((X101-AG101)/AG101, "NA")</f>
        <v>-6.1555147446814812E-2</v>
      </c>
      <c r="AL101" s="16">
        <f>IFERROR(AK101/AK148, "NA")</f>
        <v>1.3204967579832481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927.82999999999993</v>
      </c>
      <c r="E104" s="34">
        <f>IFERROR(D104/D148, "NA")</f>
        <v>2.7905576453483735E-2</v>
      </c>
      <c r="F104" s="39">
        <v>25414.949999999997</v>
      </c>
      <c r="G104" s="34">
        <f>IFERROR(F104/F148, "NA")</f>
        <v>0.76148750277150223</v>
      </c>
      <c r="H104" s="39">
        <v>-5483</v>
      </c>
      <c r="I104" s="34">
        <f>IFERROR(H104/H148, "NA")</f>
        <v>-0.20145556514109605</v>
      </c>
      <c r="J104" s="39">
        <v>0</v>
      </c>
      <c r="K104" s="34">
        <f>IFERROR(J104/J148, "NA")</f>
        <v>0</v>
      </c>
      <c r="L104" s="39">
        <v>861.28</v>
      </c>
      <c r="M104" s="34">
        <f>IFERROR(L104/L148, "NA")</f>
        <v>2.6892779840656657E-2</v>
      </c>
      <c r="N104" s="39">
        <v>23042.880000000001</v>
      </c>
      <c r="O104" s="34">
        <f>IFERROR(N104/N148, "NA")</f>
        <v>0.79844267697120364</v>
      </c>
      <c r="P104" s="39">
        <v>-6233</v>
      </c>
      <c r="Q104" s="34">
        <f>IFERROR(P104/P148, "NA")</f>
        <v>-0.24085156271433877</v>
      </c>
      <c r="R104" s="39">
        <v>0</v>
      </c>
      <c r="S104" s="34">
        <f>IFERROR(R104/R148, "NA")</f>
        <v>0</v>
      </c>
      <c r="T104" s="39">
        <v>827.97</v>
      </c>
      <c r="U104" s="34">
        <f>IFERROR(T104/T148, "NA")</f>
        <v>3.2902577422212191E-2</v>
      </c>
      <c r="V104" s="39">
        <v>17181.88</v>
      </c>
      <c r="W104" s="34">
        <f>IFERROR(V104/V148, "NA")</f>
        <v>0.60006174581399707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4502.4625000000005</v>
      </c>
      <c r="AC104" s="34">
        <f>IFERROR(AB104/AB148, "NA")</f>
        <v>0.16742169740056362</v>
      </c>
      <c r="AD104" s="15">
        <f>IFERROR(X104-AB104, "NA")</f>
        <v>-4502.4625000000005</v>
      </c>
      <c r="AE104" s="16">
        <f>IFERROR(AD104/AD148, "NA")</f>
        <v>-3.8018082487893703</v>
      </c>
      <c r="AF104" s="15">
        <f>IFERROR((X104-AB104)/AB104, "NA")</f>
        <v>-1</v>
      </c>
      <c r="AG104" s="33">
        <f>IFERROR((J104+L104+N104+P104+R104+T104+V104+X104)/8, "NA")</f>
        <v>4460.1262500000003</v>
      </c>
      <c r="AH104" s="34">
        <f>IFERROR(AG104/AG148, "NA")</f>
        <v>0.15144710874303438</v>
      </c>
      <c r="AI104" s="15">
        <f>IFERROR(X104-AG104, "NA")</f>
        <v>-4460.1262500000003</v>
      </c>
      <c r="AJ104" s="16">
        <f>IFERROR(AI104/AI148, "NA")</f>
        <v>3.24888209022496</v>
      </c>
      <c r="AK104" s="15">
        <f>IFERROR((X104-AG104)/AG104, "NA")</f>
        <v>-1</v>
      </c>
      <c r="AL104" s="16">
        <f>IFERROR(AK104/AK148, "NA")</f>
        <v>21.452255623694029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927.82999999999993</v>
      </c>
      <c r="E105" s="14">
        <f>IFERROR(D105/D148, "NA")</f>
        <v>2.7905576453483735E-2</v>
      </c>
      <c r="F105" s="13">
        <f>IFERROR(F104, "NA")</f>
        <v>25414.949999999997</v>
      </c>
      <c r="G105" s="14">
        <f>IFERROR(F105/F148, "NA")</f>
        <v>0.76148750277150223</v>
      </c>
      <c r="H105" s="13">
        <f>IFERROR(H104, "NA")</f>
        <v>-5483</v>
      </c>
      <c r="I105" s="14">
        <f>IFERROR(H105/H148, "NA")</f>
        <v>-0.20145556514109605</v>
      </c>
      <c r="J105" s="13">
        <f>IFERROR(J104, "NA")</f>
        <v>0</v>
      </c>
      <c r="K105" s="14">
        <f>IFERROR(J105/J148, "NA")</f>
        <v>0</v>
      </c>
      <c r="L105" s="13">
        <f>IFERROR(L104, "NA")</f>
        <v>861.28</v>
      </c>
      <c r="M105" s="14">
        <f>IFERROR(L105/L148, "NA")</f>
        <v>2.6892779840656657E-2</v>
      </c>
      <c r="N105" s="13">
        <f>IFERROR(N104, "NA")</f>
        <v>23042.880000000001</v>
      </c>
      <c r="O105" s="14">
        <f>IFERROR(N105/N148, "NA")</f>
        <v>0.79844267697120364</v>
      </c>
      <c r="P105" s="13">
        <f>IFERROR(P104, "NA")</f>
        <v>-6233</v>
      </c>
      <c r="Q105" s="14">
        <f>IFERROR(P105/P148, "NA")</f>
        <v>-0.24085156271433877</v>
      </c>
      <c r="R105" s="13">
        <f>IFERROR(R104, "NA")</f>
        <v>0</v>
      </c>
      <c r="S105" s="14">
        <f>IFERROR(R105/R148, "NA")</f>
        <v>0</v>
      </c>
      <c r="T105" s="13">
        <f>IFERROR(T104, "NA")</f>
        <v>827.97</v>
      </c>
      <c r="U105" s="14">
        <f>IFERROR(T105/T148, "NA")</f>
        <v>3.2902577422212191E-2</v>
      </c>
      <c r="V105" s="13">
        <f>IFERROR(V104, "NA")</f>
        <v>17181.88</v>
      </c>
      <c r="W105" s="14">
        <f>IFERROR(V105/V148, "NA")</f>
        <v>0.60006174581399707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4502.4625000000005</v>
      </c>
      <c r="AC105" s="14">
        <f>IFERROR(AB105/AB148, "NA")</f>
        <v>0.16742169740056362</v>
      </c>
      <c r="AD105" s="15">
        <f>IFERROR(X105-AB105, "NA")</f>
        <v>-4502.4625000000005</v>
      </c>
      <c r="AE105" s="16">
        <f>IFERROR(AD105/AD148, "NA")</f>
        <v>-3.8018082487893703</v>
      </c>
      <c r="AF105" s="15">
        <f>IFERROR((X105-AB105)/AB105, "NA")</f>
        <v>-1</v>
      </c>
      <c r="AG105" s="13">
        <f>IFERROR((J105+L105+N105+P105+R105+T105+V105+X105)/8, "NA")</f>
        <v>4460.1262500000003</v>
      </c>
      <c r="AH105" s="14">
        <f>IFERROR(AG105/AG148, "NA")</f>
        <v>0.15144710874303438</v>
      </c>
      <c r="AI105" s="15">
        <f>IFERROR(X105-AG105, "NA")</f>
        <v>-4460.1262500000003</v>
      </c>
      <c r="AJ105" s="16">
        <f>IFERROR(AI105/AI148, "NA")</f>
        <v>3.24888209022496</v>
      </c>
      <c r="AK105" s="15">
        <f>IFERROR((X105-AG105)/AG105, "NA")</f>
        <v>-1</v>
      </c>
      <c r="AL105" s="16">
        <f>IFERROR(AK105/AK148, "NA")</f>
        <v>21.452255623694029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7822.1999999999962</v>
      </c>
      <c r="C107" s="34">
        <f>IFERROR(B107/B148, "NA")</f>
        <v>0.30992339675599073</v>
      </c>
      <c r="D107" s="33">
        <f>IFERROR(D87-D99-D105, "NA")</f>
        <v>2897.4800000000014</v>
      </c>
      <c r="E107" s="34">
        <f>IFERROR(D107/D148, "NA")</f>
        <v>8.7145112426241969E-2</v>
      </c>
      <c r="F107" s="33">
        <f>IFERROR(F87-F99-F105, "NA")</f>
        <v>-18031.909999999996</v>
      </c>
      <c r="G107" s="34">
        <f>IFERROR(F107/F148, "NA")</f>
        <v>-0.54027547235388929</v>
      </c>
      <c r="H107" s="33">
        <f>IFERROR(H87-H99-H105, "NA")</f>
        <v>12071.150000000005</v>
      </c>
      <c r="I107" s="34">
        <f>IFERROR(H107/H148, "NA")</f>
        <v>0.44351638613039263</v>
      </c>
      <c r="J107" s="33">
        <f>IFERROR(J87-J99-J105, "NA")</f>
        <v>15840.940000000008</v>
      </c>
      <c r="K107" s="34">
        <f>IFERROR(J107/J148, "NA")</f>
        <v>0.38389752095437485</v>
      </c>
      <c r="L107" s="33">
        <f>IFERROR(L87-L99-L105, "NA")</f>
        <v>3869.4300000000012</v>
      </c>
      <c r="M107" s="34">
        <f>IFERROR(L107/L148, "NA")</f>
        <v>0.12081986009060018</v>
      </c>
      <c r="N107" s="33">
        <f>IFERROR(N87-N99-N105, "NA")</f>
        <v>-14812.910000000011</v>
      </c>
      <c r="O107" s="34">
        <f>IFERROR(N107/N148, "NA")</f>
        <v>-0.51327175744236486</v>
      </c>
      <c r="P107" s="33">
        <f>IFERROR(P87-P99-P105, "NA")</f>
        <v>12727.579999999996</v>
      </c>
      <c r="Q107" s="34">
        <f>IFERROR(P107/P148, "NA")</f>
        <v>0.49181093094364881</v>
      </c>
      <c r="R107" s="33">
        <f>IFERROR(R87-R99-R105, "NA")</f>
        <v>6880.7700000000041</v>
      </c>
      <c r="S107" s="34">
        <f>IFERROR(R107/R148, "NA")</f>
        <v>0.26776831137658386</v>
      </c>
      <c r="T107" s="33">
        <f>IFERROR(T87-T99-T105, "NA")</f>
        <v>2775.7799999999952</v>
      </c>
      <c r="U107" s="34">
        <f>IFERROR(T107/T148, "NA")</f>
        <v>0.11030631104632775</v>
      </c>
      <c r="V107" s="33">
        <f>IFERROR(V87-V99-V105, "NA")</f>
        <v>-11356.040000000012</v>
      </c>
      <c r="W107" s="34">
        <f>IFERROR(V107/V148, "NA")</f>
        <v>-0.39659950994498794</v>
      </c>
      <c r="X107" s="33">
        <f>IFERROR(X87-X99-X105, "NA")</f>
        <v>6858.2499999999964</v>
      </c>
      <c r="Y107" s="34">
        <f>IFERROR(X107/X148, "NA")</f>
        <v>0.24426368118803685</v>
      </c>
      <c r="Z107" s="33">
        <f>IFERROR(Z87-Z99-Z105, "NA")</f>
        <v>6858.2499999999964</v>
      </c>
      <c r="AA107" s="34">
        <f>IFERROR(Z107/Z148, "NA")</f>
        <v>0.24426368118803685</v>
      </c>
      <c r="AB107" s="33">
        <f>IFERROR((R107+T107+V107+X107)/4, "NA")</f>
        <v>1289.689999999996</v>
      </c>
      <c r="AC107" s="34">
        <f>IFERROR(AB107/AB148, "NA")</f>
        <v>4.7956443595150916E-2</v>
      </c>
      <c r="AD107" s="15">
        <f>IFERROR(X107-AB107, "NA")</f>
        <v>5568.56</v>
      </c>
      <c r="AE107" s="16">
        <f>IFERROR(AD107/AD148, "NA")</f>
        <v>4.7020041459264865</v>
      </c>
      <c r="AF107" s="15">
        <f>IFERROR((X107-AB107)/AB107, "NA")</f>
        <v>4.3177507773185946</v>
      </c>
      <c r="AG107" s="33">
        <f>IFERROR((J107+L107+N107+P107+R107+T107+V107+X107)/8, "NA")</f>
        <v>2847.9749999999972</v>
      </c>
      <c r="AH107" s="34">
        <f>IFERROR(AG107/AG148, "NA")</f>
        <v>9.670524001925794E-2</v>
      </c>
      <c r="AI107" s="15">
        <f>IFERROR(X107-AG107, "NA")</f>
        <v>4010.2749999999992</v>
      </c>
      <c r="AJ107" s="16">
        <f>IFERROR(AI107/AI148, "NA")</f>
        <v>-2.921197718198425</v>
      </c>
      <c r="AK107" s="15">
        <f>IFERROR((X107-AG107)/AG107, "NA")</f>
        <v>1.4081145375222757</v>
      </c>
      <c r="AL107" s="16">
        <f>IFERROR(AK107/AK148, "NA")</f>
        <v>-30.207233006367552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301.05</v>
      </c>
      <c r="C128" s="8">
        <f>IFERROR(B128/B148, "NA")</f>
        <v>1.1927902456264359E-2</v>
      </c>
      <c r="D128" s="7">
        <v>285.37</v>
      </c>
      <c r="E128" s="8">
        <f>IFERROR(D128/D148, "NA")</f>
        <v>8.5828377531774712E-3</v>
      </c>
      <c r="F128" s="7">
        <v>-1346.44</v>
      </c>
      <c r="G128" s="8">
        <f>IFERROR(F128/F148, "NA")</f>
        <v>-4.0342288032502983E-2</v>
      </c>
      <c r="H128" s="7">
        <v>300.64999999999998</v>
      </c>
      <c r="I128" s="8">
        <f>IFERROR(H128/H148, "NA")</f>
        <v>1.1046437289744762E-2</v>
      </c>
      <c r="J128" s="7">
        <v>245.37</v>
      </c>
      <c r="K128" s="8">
        <f>IFERROR(J128/J148, "NA")</f>
        <v>5.9464233004212445E-3</v>
      </c>
      <c r="L128" s="7">
        <v>251.6</v>
      </c>
      <c r="M128" s="8">
        <f>IFERROR(L128/L148, "NA")</f>
        <v>7.8560089725864014E-3</v>
      </c>
      <c r="N128" s="7">
        <v>-797.62</v>
      </c>
      <c r="O128" s="8">
        <f>IFERROR(N128/N148, "NA")</f>
        <v>-2.7637771320502099E-2</v>
      </c>
      <c r="P128" s="7">
        <v>359.13</v>
      </c>
      <c r="Q128" s="8">
        <f>IFERROR(P128/P148, "NA")</f>
        <v>1.3877269648259343E-2</v>
      </c>
      <c r="R128" s="7">
        <v>451.77</v>
      </c>
      <c r="S128" s="8">
        <f>IFERROR(R128/R148, "NA")</f>
        <v>1.7580836160865605E-2</v>
      </c>
      <c r="T128" s="7">
        <v>455.64000000000004</v>
      </c>
      <c r="U128" s="8">
        <f>IFERROR(T128/T148, "NA")</f>
        <v>1.8106610597795527E-2</v>
      </c>
      <c r="V128" s="7">
        <v>-1266.54</v>
      </c>
      <c r="W128" s="8">
        <f>IFERROR(V128/V148, "NA")</f>
        <v>-4.4232773336984062E-2</v>
      </c>
      <c r="X128" s="7">
        <v>388.45</v>
      </c>
      <c r="Y128" s="8">
        <f>IFERROR(X128/X148, "NA")</f>
        <v>1.3835049313963907E-2</v>
      </c>
      <c r="Z128" s="7">
        <v>388.45</v>
      </c>
      <c r="AA128" s="8">
        <f>IFERROR(Z128/Z148, "NA")</f>
        <v>1.3835049313963907E-2</v>
      </c>
      <c r="AB128" s="9">
        <f t="shared" si="42"/>
        <v>7.3300000000000267</v>
      </c>
      <c r="AC128" s="8">
        <f>IFERROR(AB128/AB148, "NA")</f>
        <v>2.725621905670809E-4</v>
      </c>
      <c r="AD128" s="10">
        <f t="shared" si="43"/>
        <v>381.11999999999995</v>
      </c>
      <c r="AE128" s="11">
        <f>IFERROR(AD128/AD148, "NA")</f>
        <v>0.32181171076463255</v>
      </c>
      <c r="AF128" s="10">
        <f t="shared" si="44"/>
        <v>51.994542974078932</v>
      </c>
      <c r="AG128" s="9">
        <f t="shared" si="45"/>
        <v>10.975000000000016</v>
      </c>
      <c r="AH128" s="8">
        <f>IFERROR(AG128/AG148, "NA")</f>
        <v>3.7266479137329451E-4</v>
      </c>
      <c r="AI128" s="10">
        <f t="shared" si="46"/>
        <v>377.47499999999997</v>
      </c>
      <c r="AJ128" s="11">
        <f>IFERROR(AI128/AI148, "NA")</f>
        <v>-0.27496346476911199</v>
      </c>
      <c r="AK128" s="10">
        <f t="shared" si="47"/>
        <v>34.394077448747097</v>
      </c>
      <c r="AL128" s="11">
        <f>IFERROR(AK128/AK148, "NA")</f>
        <v>-737.83054137165288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301.05</v>
      </c>
      <c r="C135" s="14">
        <f>IFERROR(B135/B148, "NA")</f>
        <v>1.1927902456264359E-2</v>
      </c>
      <c r="D135" s="13">
        <f>IFERROR(D110+D111+D112+D113+D114+D115+D116+D117+D118+D119+D120+D121+D122+D123+D124+D125+D126+D127+D128+D129+D130+D131+D132+D133+D134, "NA")</f>
        <v>285.37</v>
      </c>
      <c r="E135" s="14">
        <f>IFERROR(D135/D148, "NA")</f>
        <v>8.5828377531774712E-3</v>
      </c>
      <c r="F135" s="13">
        <f>IFERROR(F110+F111+F112+F113+F114+F115+F116+F117+F118+F119+F120+F121+F122+F123+F124+F125+F126+F127+F128+F129+F130+F131+F132+F133+F134, "NA")</f>
        <v>-1346.44</v>
      </c>
      <c r="G135" s="14">
        <f>IFERROR(F135/F148, "NA")</f>
        <v>-4.0342288032502983E-2</v>
      </c>
      <c r="H135" s="13">
        <f>IFERROR(H110+H111+H112+H113+H114+H115+H116+H117+H118+H119+H120+H121+H122+H123+H124+H125+H126+H127+H128+H129+H130+H131+H132+H133+H134, "NA")</f>
        <v>300.64999999999998</v>
      </c>
      <c r="I135" s="14">
        <f>IFERROR(H135/H148, "NA")</f>
        <v>1.1046437289744762E-2</v>
      </c>
      <c r="J135" s="13">
        <f>IFERROR(J110+J111+J112+J113+J114+J115+J116+J117+J118+J119+J120+J121+J122+J123+J124+J125+J126+J127+J128+J129+J130+J131+J132+J133+J134, "NA")</f>
        <v>245.37</v>
      </c>
      <c r="K135" s="14">
        <f>IFERROR(J135/J148, "NA")</f>
        <v>5.9464233004212445E-3</v>
      </c>
      <c r="L135" s="13">
        <f>IFERROR(L110+L111+L112+L113+L114+L115+L116+L117+L118+L119+L120+L121+L122+L123+L124+L125+L126+L127+L128+L129+L130+L131+L132+L133+L134, "NA")</f>
        <v>251.6</v>
      </c>
      <c r="M135" s="14">
        <f>IFERROR(L135/L148, "NA")</f>
        <v>7.8560089725864014E-3</v>
      </c>
      <c r="N135" s="13">
        <f>IFERROR(N110+N111+N112+N113+N114+N115+N116+N117+N118+N119+N120+N121+N122+N123+N124+N125+N126+N127+N128+N129+N130+N131+N132+N133+N134, "NA")</f>
        <v>-797.62</v>
      </c>
      <c r="O135" s="14">
        <f>IFERROR(N135/N148, "NA")</f>
        <v>-2.7637771320502099E-2</v>
      </c>
      <c r="P135" s="13">
        <f>IFERROR(P110+P111+P112+P113+P114+P115+P116+P117+P118+P119+P120+P121+P122+P123+P124+P125+P126+P127+P128+P129+P130+P131+P132+P133+P134, "NA")</f>
        <v>359.13</v>
      </c>
      <c r="Q135" s="14">
        <f>IFERROR(P135/P148, "NA")</f>
        <v>1.3877269648259343E-2</v>
      </c>
      <c r="R135" s="13">
        <f>IFERROR(R110+R111+R112+R113+R114+R115+R116+R117+R118+R119+R120+R121+R122+R123+R124+R125+R126+R127+R128+R129+R130+R131+R132+R133+R134, "NA")</f>
        <v>451.77</v>
      </c>
      <c r="S135" s="14">
        <f>IFERROR(R135/R148, "NA")</f>
        <v>1.7580836160865605E-2</v>
      </c>
      <c r="T135" s="13">
        <f>IFERROR(T110+T111+T112+T113+T114+T115+T116+T117+T118+T119+T120+T121+T122+T123+T124+T125+T126+T127+T128+T129+T130+T131+T132+T133+T134, "NA")</f>
        <v>455.64000000000004</v>
      </c>
      <c r="U135" s="14">
        <f>IFERROR(T135/T148, "NA")</f>
        <v>1.8106610597795527E-2</v>
      </c>
      <c r="V135" s="13">
        <f>IFERROR(V110+V111+V112+V113+V114+V115+V116+V117+V118+V119+V120+V121+V122+V123+V124+V125+V126+V127+V128+V129+V130+V131+V132+V133+V134, "NA")</f>
        <v>-1266.54</v>
      </c>
      <c r="W135" s="14">
        <f>IFERROR(V135/V148, "NA")</f>
        <v>-4.4232773336984062E-2</v>
      </c>
      <c r="X135" s="13">
        <f>IFERROR(X110+X111+X112+X113+X114+X115+X116+X117+X118+X119+X120+X121+X122+X123+X124+X125+X126+X127+X128+X129+X130+X131+X132+X133+X134, "NA")</f>
        <v>388.45</v>
      </c>
      <c r="Y135" s="14">
        <f>IFERROR(X135/X148, "NA")</f>
        <v>1.3835049313963907E-2</v>
      </c>
      <c r="Z135" s="13">
        <f>IFERROR(Z110+Z111+Z112+Z113+Z114+Z115+Z116+Z117+Z118+Z119+Z120+Z121+Z122+Z123+Z124+Z125+Z126+Z127+Z128+Z129+Z130+Z131+Z132+Z133+Z134, "NA")</f>
        <v>388.45</v>
      </c>
      <c r="AA135" s="14">
        <f>IFERROR(Z135/Z148, "NA")</f>
        <v>1.3835049313963907E-2</v>
      </c>
      <c r="AB135" s="13">
        <f t="shared" si="42"/>
        <v>7.3300000000000267</v>
      </c>
      <c r="AC135" s="14">
        <f>IFERROR(AB135/AB148, "NA")</f>
        <v>2.725621905670809E-4</v>
      </c>
      <c r="AD135" s="15">
        <f t="shared" si="43"/>
        <v>381.11999999999995</v>
      </c>
      <c r="AE135" s="16">
        <f>IFERROR(AD135/AD148, "NA")</f>
        <v>0.32181171076463255</v>
      </c>
      <c r="AF135" s="15">
        <f t="shared" si="44"/>
        <v>51.994542974078932</v>
      </c>
      <c r="AG135" s="13">
        <f t="shared" si="45"/>
        <v>10.975000000000016</v>
      </c>
      <c r="AH135" s="14">
        <f>IFERROR(AG135/AG148, "NA")</f>
        <v>3.7266479137329451E-4</v>
      </c>
      <c r="AI135" s="15">
        <f t="shared" si="46"/>
        <v>377.47499999999997</v>
      </c>
      <c r="AJ135" s="16">
        <f>IFERROR(AI135/AI148, "NA")</f>
        <v>-0.27496346476911199</v>
      </c>
      <c r="AK135" s="15">
        <f t="shared" si="47"/>
        <v>34.394077448747097</v>
      </c>
      <c r="AL135" s="16">
        <f>IFERROR(AK135/AK148, "NA")</f>
        <v>-737.83054137165288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7521.149999999996</v>
      </c>
      <c r="C137" s="34">
        <f>IFERROR(B137/B148, "NA")</f>
        <v>0.29799549429972638</v>
      </c>
      <c r="D137" s="33">
        <f>IFERROR(D107-D135, "NA")</f>
        <v>2612.1100000000015</v>
      </c>
      <c r="E137" s="34">
        <f>IFERROR(D137/D148, "NA")</f>
        <v>7.8562274673064508E-2</v>
      </c>
      <c r="F137" s="33">
        <f>IFERROR(F107-F135, "NA")</f>
        <v>-16685.469999999998</v>
      </c>
      <c r="G137" s="34">
        <f>IFERROR(F137/F148, "NA")</f>
        <v>-0.49993318432138634</v>
      </c>
      <c r="H137" s="33">
        <f>IFERROR(H107-H135, "NA")</f>
        <v>11770.500000000005</v>
      </c>
      <c r="I137" s="34">
        <f>IFERROR(H137/H148, "NA")</f>
        <v>0.43246994884064788</v>
      </c>
      <c r="J137" s="33">
        <f>IFERROR(J107-J135, "NA")</f>
        <v>15595.570000000007</v>
      </c>
      <c r="K137" s="34">
        <f>IFERROR(J137/J148, "NA")</f>
        <v>0.37795109765395357</v>
      </c>
      <c r="L137" s="33">
        <f>IFERROR(L107-L135, "NA")</f>
        <v>3617.8300000000013</v>
      </c>
      <c r="M137" s="34">
        <f>IFERROR(L137/L148, "NA")</f>
        <v>0.11296385111801378</v>
      </c>
      <c r="N137" s="33">
        <f>IFERROR(N107-N135, "NA")</f>
        <v>-14015.29000000001</v>
      </c>
      <c r="O137" s="34">
        <f>IFERROR(N137/N148, "NA")</f>
        <v>-0.4856339861218627</v>
      </c>
      <c r="P137" s="33">
        <f>IFERROR(P107-P135, "NA")</f>
        <v>12368.449999999997</v>
      </c>
      <c r="Q137" s="34">
        <f>IFERROR(P137/P148, "NA")</f>
        <v>0.4779336612953895</v>
      </c>
      <c r="R137" s="33">
        <f>IFERROR(R107-R135, "NA")</f>
        <v>6429.0000000000036</v>
      </c>
      <c r="S137" s="34">
        <f>IFERROR(R137/R148, "NA")</f>
        <v>0.25018747521571827</v>
      </c>
      <c r="T137" s="33">
        <f>IFERROR(T107-T135, "NA")</f>
        <v>2320.1399999999953</v>
      </c>
      <c r="U137" s="34">
        <f>IFERROR(T137/T148, "NA")</f>
        <v>9.2199700448532235E-2</v>
      </c>
      <c r="V137" s="33">
        <f>IFERROR(V107-V135, "NA")</f>
        <v>-10089.500000000011</v>
      </c>
      <c r="W137" s="34">
        <f>IFERROR(V137/V148, "NA")</f>
        <v>-0.35236673660800388</v>
      </c>
      <c r="X137" s="33">
        <f>IFERROR(X107-X135, "NA")</f>
        <v>6469.7999999999965</v>
      </c>
      <c r="Y137" s="34">
        <f>IFERROR(X137/X148, "NA")</f>
        <v>0.23042863187407295</v>
      </c>
      <c r="Z137" s="33">
        <f>IFERROR(Z107-Z135, "NA")</f>
        <v>6469.7999999999965</v>
      </c>
      <c r="AA137" s="34">
        <f>IFERROR(Z137/Z148, "NA")</f>
        <v>0.23042863187407295</v>
      </c>
      <c r="AB137" s="33">
        <f>IFERROR((R137+T137+V137+X137)/4, "NA")</f>
        <v>1282.3599999999963</v>
      </c>
      <c r="AC137" s="34">
        <f>IFERROR(AB137/AB148, "NA")</f>
        <v>4.7683881404583843E-2</v>
      </c>
      <c r="AD137" s="15">
        <f>IFERROR(X137-AB137, "NA")</f>
        <v>5187.4400000000005</v>
      </c>
      <c r="AE137" s="16">
        <f>IFERROR(AD137/AD148, "NA")</f>
        <v>4.3801924351618542</v>
      </c>
      <c r="AF137" s="15">
        <f>IFERROR((X137-AB137)/AB137, "NA")</f>
        <v>4.0452291088306058</v>
      </c>
      <c r="AG137" s="33">
        <f>IFERROR((J137+L137+N137+P137+R137+T137+V137+X137)/8, "NA")</f>
        <v>2836.9999999999977</v>
      </c>
      <c r="AH137" s="34">
        <f>IFERROR(AG137/AG148, "NA")</f>
        <v>9.6332575227884673E-2</v>
      </c>
      <c r="AI137" s="15">
        <f>IFERROR(X137-AG137, "NA")</f>
        <v>3632.7999999999988</v>
      </c>
      <c r="AJ137" s="16">
        <f>IFERROR(AI137/AI148, "NA")</f>
        <v>-2.6462342534293128</v>
      </c>
      <c r="AK137" s="15">
        <f>IFERROR((X137-AG137)/AG137, "NA")</f>
        <v>1.2805075784279174</v>
      </c>
      <c r="AL137" s="16">
        <f>IFERROR(AK137/AK148, "NA")</f>
        <v>-27.469775900513113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-159.82999999999998</v>
      </c>
      <c r="E140" s="8">
        <f>IFERROR(D140/D148, "NA")</f>
        <v>-4.8070748785448893E-3</v>
      </c>
      <c r="F140" s="7">
        <v>8772.99</v>
      </c>
      <c r="G140" s="8">
        <f>IFERROR(F140/F148, "NA")</f>
        <v>0.26285797323777393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600.96</v>
      </c>
      <c r="M140" s="8">
        <f>IFERROR(L140/L148, "NA")</f>
        <v>1.8764495835316072E-2</v>
      </c>
      <c r="N140" s="7">
        <v>8270.2400000000016</v>
      </c>
      <c r="O140" s="8">
        <f>IFERROR(N140/N148, "NA")</f>
        <v>0.28656628706109338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8232.2100000000009</v>
      </c>
      <c r="W140" s="8">
        <f>IFERROR(V140/V148, "NA")</f>
        <v>0.28750254945951459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2058.0525000000002</v>
      </c>
      <c r="AC140" s="8">
        <f>IFERROR(AB140/AB148, "NA")</f>
        <v>7.6527598595096225E-2</v>
      </c>
      <c r="AD140" s="10">
        <f>IFERROR(X140-AB140, "NA")</f>
        <v>-2058.0525000000002</v>
      </c>
      <c r="AE140" s="11">
        <f>IFERROR(AD140/AD148, "NA")</f>
        <v>-1.737787037857969</v>
      </c>
      <c r="AF140" s="10">
        <f>IFERROR((X140-AB140)/AB140, "NA")</f>
        <v>-1</v>
      </c>
      <c r="AG140" s="9">
        <f>IFERROR((J140+L140+N140+P140+R140+T140+V140+X140)/8, "NA")</f>
        <v>2137.9262500000004</v>
      </c>
      <c r="AH140" s="8">
        <f>IFERROR(AG140/AG148, "NA")</f>
        <v>7.2594974025306513E-2</v>
      </c>
      <c r="AI140" s="10">
        <f>IFERROR(X140-AG140, "NA")</f>
        <v>-2137.9262500000004</v>
      </c>
      <c r="AJ140" s="11">
        <f>IFERROR(AI140/AI148, "NA")</f>
        <v>1.5573259397863035</v>
      </c>
      <c r="AK140" s="10">
        <f>IFERROR((X140-AG140)/AG140, "NA")</f>
        <v>-1</v>
      </c>
      <c r="AL140" s="11">
        <f>IFERROR(AK140/AK148, "NA")</f>
        <v>21.452255623694029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-159.82999999999998</v>
      </c>
      <c r="E141" s="14">
        <f>IFERROR(D141/D148, "NA")</f>
        <v>-4.8070748785448893E-3</v>
      </c>
      <c r="F141" s="13">
        <f>IFERROR(F140, "NA")</f>
        <v>8772.99</v>
      </c>
      <c r="G141" s="14">
        <f>IFERROR(F141/F148, "NA")</f>
        <v>0.26285797323777393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600.96</v>
      </c>
      <c r="M141" s="14">
        <f>IFERROR(L141/L148, "NA")</f>
        <v>1.8764495835316072E-2</v>
      </c>
      <c r="N141" s="13">
        <f>IFERROR(N140, "NA")</f>
        <v>8270.2400000000016</v>
      </c>
      <c r="O141" s="14">
        <f>IFERROR(N141/N148, "NA")</f>
        <v>0.28656628706109338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8232.2100000000009</v>
      </c>
      <c r="W141" s="14">
        <f>IFERROR(V141/V148, "NA")</f>
        <v>0.28750254945951459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2058.0525000000002</v>
      </c>
      <c r="AC141" s="14">
        <f>IFERROR(AB141/AB148, "NA")</f>
        <v>7.6527598595096225E-2</v>
      </c>
      <c r="AD141" s="15">
        <f>IFERROR(X141-AB141, "NA")</f>
        <v>-2058.0525000000002</v>
      </c>
      <c r="AE141" s="16">
        <f>IFERROR(AD141/AD148, "NA")</f>
        <v>-1.737787037857969</v>
      </c>
      <c r="AF141" s="15">
        <f>IFERROR((X141-AB141)/AB141, "NA")</f>
        <v>-1</v>
      </c>
      <c r="AG141" s="13">
        <f>IFERROR((J141+L141+N141+P141+R141+T141+V141+X141)/8, "NA")</f>
        <v>2137.9262500000004</v>
      </c>
      <c r="AH141" s="14">
        <f>IFERROR(AG141/AG148, "NA")</f>
        <v>7.2594974025306513E-2</v>
      </c>
      <c r="AI141" s="15">
        <f>IFERROR(X141-AG141, "NA")</f>
        <v>-2137.9262500000004</v>
      </c>
      <c r="AJ141" s="16">
        <f>IFERROR(AI141/AI148, "NA")</f>
        <v>1.5573259397863035</v>
      </c>
      <c r="AK141" s="15">
        <f>IFERROR((X141-AG141)/AG141, "NA")</f>
        <v>-1</v>
      </c>
      <c r="AL141" s="16">
        <f>IFERROR(AK141/AK148, "NA")</f>
        <v>21.452255623694029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7521.149999999996</v>
      </c>
      <c r="C147" s="34">
        <f>IFERROR(B147/B148, "NA")</f>
        <v>0.29799549429972638</v>
      </c>
      <c r="D147" s="33">
        <f>IFERROR(D137-D141-D145, "NA")</f>
        <v>2771.9400000000014</v>
      </c>
      <c r="E147" s="34">
        <f>IFERROR(D147/D148, "NA")</f>
        <v>8.3369349551609392E-2</v>
      </c>
      <c r="F147" s="33">
        <f>IFERROR(F137-F141-F145, "NA")</f>
        <v>-25458.46</v>
      </c>
      <c r="G147" s="34">
        <f>IFERROR(F147/F148, "NA")</f>
        <v>-0.76279115755916027</v>
      </c>
      <c r="H147" s="33">
        <f>IFERROR(H137-H141-H145, "NA")</f>
        <v>11770.500000000005</v>
      </c>
      <c r="I147" s="34">
        <f>IFERROR(H147/H148, "NA")</f>
        <v>0.43246994884064788</v>
      </c>
      <c r="J147" s="33">
        <f>IFERROR(J137-J141-J145, "NA")</f>
        <v>15595.570000000007</v>
      </c>
      <c r="K147" s="34">
        <f>IFERROR(J147/J148, "NA")</f>
        <v>0.37795109765395357</v>
      </c>
      <c r="L147" s="33">
        <f>IFERROR(L137-L141-L145, "NA")</f>
        <v>3016.8700000000013</v>
      </c>
      <c r="M147" s="34">
        <f>IFERROR(L147/L148, "NA")</f>
        <v>9.4199355282697711E-2</v>
      </c>
      <c r="N147" s="33">
        <f>IFERROR(N137-N141-N145, "NA")</f>
        <v>-22285.530000000013</v>
      </c>
      <c r="O147" s="34">
        <f>IFERROR(N147/N148, "NA")</f>
        <v>-0.77220027318295614</v>
      </c>
      <c r="P147" s="33">
        <f>IFERROR(P137-P141-P145, "NA")</f>
        <v>12368.449999999997</v>
      </c>
      <c r="Q147" s="34">
        <f>IFERROR(P147/P148, "NA")</f>
        <v>0.4779336612953895</v>
      </c>
      <c r="R147" s="33">
        <f>IFERROR(R137-R141-R145, "NA")</f>
        <v>6429.0000000000036</v>
      </c>
      <c r="S147" s="34">
        <f>IFERROR(R147/R148, "NA")</f>
        <v>0.25018747521571827</v>
      </c>
      <c r="T147" s="33">
        <f>IFERROR(T137-T141-T145, "NA")</f>
        <v>2320.1399999999953</v>
      </c>
      <c r="U147" s="34">
        <f>IFERROR(T147/T148, "NA")</f>
        <v>9.2199700448532235E-2</v>
      </c>
      <c r="V147" s="33">
        <f>IFERROR(V137-V141-V145, "NA")</f>
        <v>-18321.710000000014</v>
      </c>
      <c r="W147" s="34">
        <f>IFERROR(V147/V148, "NA")</f>
        <v>-0.63986928606751858</v>
      </c>
      <c r="X147" s="33">
        <f>IFERROR(X137-X141-X145, "NA")</f>
        <v>6469.7999999999965</v>
      </c>
      <c r="Y147" s="34">
        <f>IFERROR(X147/X148, "NA")</f>
        <v>0.23042863187407295</v>
      </c>
      <c r="Z147" s="33">
        <f>IFERROR(Z137-Z141-Z145, "NA")</f>
        <v>6469.7999999999965</v>
      </c>
      <c r="AA147" s="34">
        <f>IFERROR(Z147/Z148, "NA")</f>
        <v>0.23042863187407295</v>
      </c>
      <c r="AB147" s="33">
        <f>IFERROR((R147+T147+V147+X147)/4, "NA")</f>
        <v>-775.69250000000443</v>
      </c>
      <c r="AC147" s="34">
        <f>IFERROR(AB147/AB148, "NA")</f>
        <v>-2.8843717190512395E-2</v>
      </c>
      <c r="AD147" s="15">
        <f>IFERROR(X147-AB147, "NA")</f>
        <v>7245.4925000000012</v>
      </c>
      <c r="AE147" s="16">
        <f>IFERROR(AD147/AD148, "NA")</f>
        <v>6.1179794730198234</v>
      </c>
      <c r="AF147" s="15">
        <f>IFERROR((X147-AB147)/AB147, "NA")</f>
        <v>-9.340676234461414</v>
      </c>
      <c r="AG147" s="33">
        <f>IFERROR((J147+L147+N147+P147+R147+T147+V147+X147)/8, "NA")</f>
        <v>699.07374999999695</v>
      </c>
      <c r="AH147" s="34">
        <f>IFERROR(AG147/AG148, "NA")</f>
        <v>2.3737601202578146E-2</v>
      </c>
      <c r="AI147" s="15">
        <f>IFERROR(X147-AG147, "NA")</f>
        <v>5770.7262499999997</v>
      </c>
      <c r="AJ147" s="16">
        <f>IFERROR(AI147/AI148, "NA")</f>
        <v>-4.2035601932156164</v>
      </c>
      <c r="AK147" s="15">
        <f>IFERROR((X147-AG147)/AG147, "NA")</f>
        <v>8.2548175353459126</v>
      </c>
      <c r="AL147" s="16">
        <f>IFERROR(AK147/AK148, "NA")</f>
        <v>-177.08445589519243</v>
      </c>
    </row>
    <row r="148" spans="1:38" ht="15.6" hidden="1">
      <c r="A148" s="40" t="s">
        <v>25</v>
      </c>
      <c r="B148" s="7">
        <v>25239.14</v>
      </c>
      <c r="C148" s="41"/>
      <c r="D148" s="7">
        <v>33248.910000000003</v>
      </c>
      <c r="E148" s="41"/>
      <c r="F148" s="7">
        <v>33375.4</v>
      </c>
      <c r="G148" s="41"/>
      <c r="H148" s="7">
        <v>27216.92</v>
      </c>
      <c r="I148" s="41"/>
      <c r="J148" s="7">
        <v>41263.46</v>
      </c>
      <c r="K148" s="41"/>
      <c r="L148" s="7">
        <v>32026.44</v>
      </c>
      <c r="M148" s="41"/>
      <c r="N148" s="7">
        <v>28859.78</v>
      </c>
      <c r="O148" s="41"/>
      <c r="P148" s="7">
        <v>25879.01</v>
      </c>
      <c r="Q148" s="41"/>
      <c r="R148" s="7">
        <v>25696.73</v>
      </c>
      <c r="S148" s="41"/>
      <c r="T148" s="7">
        <v>25164.29</v>
      </c>
      <c r="U148" s="41"/>
      <c r="V148" s="7">
        <v>28633.52</v>
      </c>
      <c r="W148" s="41"/>
      <c r="X148" s="7">
        <v>28077.24</v>
      </c>
      <c r="Y148" s="41"/>
      <c r="Z148" s="7">
        <v>28077.24</v>
      </c>
      <c r="AA148" s="41"/>
      <c r="AB148" s="9">
        <f>IFERROR((R148+T148+V148+X148)/4, "NA")</f>
        <v>26892.945000000003</v>
      </c>
      <c r="AC148" s="41"/>
      <c r="AD148" s="10">
        <f>IFERROR(X148-AB148, "NA")</f>
        <v>1184.2949999999983</v>
      </c>
      <c r="AE148" s="42"/>
      <c r="AF148" s="10">
        <f>IFERROR((X148-AB148)/AB148, "NA")</f>
        <v>4.4037386013320523E-2</v>
      </c>
      <c r="AG148" s="9">
        <f>IFERROR((J148+L148+N148+P148+R148+T148+V148+X148)/8, "NA")</f>
        <v>29450.058749999997</v>
      </c>
      <c r="AH148" s="41"/>
      <c r="AI148" s="10">
        <f>IFERROR(X148-AG148, "NA")</f>
        <v>-1372.8187499999949</v>
      </c>
      <c r="AJ148" s="42"/>
      <c r="AK148" s="10">
        <f>IFERROR((X148-AG148)/AG148, "NA")</f>
        <v>-4.6615144698140716E-2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155</v>
      </c>
      <c r="B3" s="46" t="s">
        <v>155</v>
      </c>
      <c r="C3" s="46" t="s">
        <v>155</v>
      </c>
      <c r="D3" s="46" t="s">
        <v>155</v>
      </c>
      <c r="E3" s="46" t="s">
        <v>155</v>
      </c>
      <c r="F3" s="46" t="s">
        <v>155</v>
      </c>
      <c r="G3" s="46" t="s">
        <v>155</v>
      </c>
      <c r="H3" s="46" t="s">
        <v>155</v>
      </c>
      <c r="I3" s="46" t="s">
        <v>155</v>
      </c>
      <c r="J3" s="46" t="s">
        <v>155</v>
      </c>
      <c r="K3" s="46" t="s">
        <v>155</v>
      </c>
      <c r="L3" s="46" t="s">
        <v>155</v>
      </c>
      <c r="M3" s="46" t="s">
        <v>155</v>
      </c>
      <c r="N3" s="46" t="s">
        <v>155</v>
      </c>
      <c r="O3" s="46" t="s">
        <v>155</v>
      </c>
      <c r="P3" s="46" t="s">
        <v>155</v>
      </c>
      <c r="Q3" s="46" t="s">
        <v>155</v>
      </c>
      <c r="R3" s="46" t="s">
        <v>155</v>
      </c>
      <c r="S3" s="46" t="s">
        <v>155</v>
      </c>
      <c r="T3" s="46" t="s">
        <v>155</v>
      </c>
      <c r="U3" s="46" t="s">
        <v>155</v>
      </c>
      <c r="V3" s="46" t="s">
        <v>155</v>
      </c>
      <c r="W3" s="46" t="s">
        <v>155</v>
      </c>
      <c r="X3" s="46" t="s">
        <v>155</v>
      </c>
      <c r="Y3" s="46" t="s">
        <v>155</v>
      </c>
      <c r="Z3" s="46" t="s">
        <v>155</v>
      </c>
      <c r="AA3" s="46" t="s">
        <v>155</v>
      </c>
      <c r="AB3" s="46" t="s">
        <v>155</v>
      </c>
      <c r="AC3" s="46" t="s">
        <v>155</v>
      </c>
      <c r="AD3" s="46" t="s">
        <v>155</v>
      </c>
      <c r="AE3" s="46" t="s">
        <v>155</v>
      </c>
      <c r="AF3" s="46" t="s">
        <v>155</v>
      </c>
      <c r="AG3" s="46" t="s">
        <v>155</v>
      </c>
      <c r="AH3" s="46" t="s">
        <v>155</v>
      </c>
      <c r="AI3" s="46" t="s">
        <v>155</v>
      </c>
      <c r="AJ3" s="46" t="s">
        <v>155</v>
      </c>
      <c r="AK3" s="46" t="s">
        <v>155</v>
      </c>
      <c r="AL3" s="46" t="s">
        <v>155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24876.73</v>
      </c>
      <c r="C7" s="8">
        <f>IFERROR(B7/B148, "NA")</f>
        <v>1</v>
      </c>
      <c r="D7" s="7">
        <v>30546.13</v>
      </c>
      <c r="E7" s="8">
        <f>IFERROR(D7/D148, "NA")</f>
        <v>1</v>
      </c>
      <c r="F7" s="7">
        <v>33828.819999999992</v>
      </c>
      <c r="G7" s="8">
        <f>IFERROR(F7/F148, "NA")</f>
        <v>0.99999999999999978</v>
      </c>
      <c r="H7" s="7">
        <v>24888.17</v>
      </c>
      <c r="I7" s="8">
        <f>IFERROR(H7/H148, "NA")</f>
        <v>1</v>
      </c>
      <c r="J7" s="7">
        <v>31639.470000000012</v>
      </c>
      <c r="K7" s="8">
        <f>IFERROR(J7/J148, "NA")</f>
        <v>1.0000000000000004</v>
      </c>
      <c r="L7" s="7">
        <v>30080.689999999991</v>
      </c>
      <c r="M7" s="8">
        <f>IFERROR(L7/L148, "NA")</f>
        <v>0.99999999999999978</v>
      </c>
      <c r="N7" s="7">
        <v>26696.989999999998</v>
      </c>
      <c r="O7" s="8">
        <f>IFERROR(N7/N148, "NA")</f>
        <v>0.99999999999999989</v>
      </c>
      <c r="P7" s="7">
        <v>22852.069999999996</v>
      </c>
      <c r="Q7" s="8">
        <f>IFERROR(P7/P148, "NA")</f>
        <v>0.99999999999999989</v>
      </c>
      <c r="R7" s="7">
        <v>26960.43</v>
      </c>
      <c r="S7" s="8">
        <f>IFERROR(R7/R148, "NA")</f>
        <v>1</v>
      </c>
      <c r="T7" s="7">
        <v>24051.489999999998</v>
      </c>
      <c r="U7" s="8">
        <f>IFERROR(T7/T148, "NA")</f>
        <v>0.99999999999999989</v>
      </c>
      <c r="V7" s="7">
        <v>25100.74</v>
      </c>
      <c r="W7" s="8">
        <f>IFERROR(V7/V148, "NA")</f>
        <v>1</v>
      </c>
      <c r="X7" s="7">
        <v>22603.070000000003</v>
      </c>
      <c r="Y7" s="8">
        <f>IFERROR(X7/X148, "NA")</f>
        <v>1.0000000000000002</v>
      </c>
      <c r="Z7" s="7">
        <v>22603.070000000003</v>
      </c>
      <c r="AA7" s="8">
        <f>IFERROR(Z7/Z148, "NA")</f>
        <v>1.0000000000000002</v>
      </c>
      <c r="AB7" s="9">
        <f>IFERROR((R7+T7+V7+X7)/4, "NA")</f>
        <v>24678.932500000003</v>
      </c>
      <c r="AC7" s="8">
        <f>IFERROR(AB7/AB148, "NA")</f>
        <v>1</v>
      </c>
      <c r="AD7" s="10">
        <f>IFERROR(X7-AB7, "NA")</f>
        <v>-2075.8624999999993</v>
      </c>
      <c r="AE7" s="11">
        <f>IFERROR(AD7/AD148, "NA")</f>
        <v>0.99999999999999822</v>
      </c>
      <c r="AF7" s="10">
        <f>IFERROR((X7-AB7)/AB7, "NA")</f>
        <v>-8.4114760636425381E-2</v>
      </c>
      <c r="AG7" s="9">
        <f>IFERROR((J7+L7+N7+P7+R7+T7+V7+X7)/8, "NA")</f>
        <v>26248.118749999998</v>
      </c>
      <c r="AH7" s="8">
        <f>IFERROR(AG7/AG148, "NA")</f>
        <v>1</v>
      </c>
      <c r="AI7" s="10">
        <f>IFERROR(X7-AG7, "NA")</f>
        <v>-3645.0487499999945</v>
      </c>
      <c r="AJ7" s="11">
        <f>IFERROR(AI7/AI148, "NA")</f>
        <v>0.999999999999999</v>
      </c>
      <c r="AK7" s="10">
        <f>IFERROR((X7-AG7)/AG7, "NA")</f>
        <v>-0.13886895227491283</v>
      </c>
      <c r="AL7" s="11">
        <f>IFERROR(AK7/AK148, "NA")</f>
        <v>0.999999999999999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24876.73</v>
      </c>
      <c r="C9" s="14">
        <f>IFERROR(B9/B148, "NA")</f>
        <v>1</v>
      </c>
      <c r="D9" s="13">
        <f>IFERROR(D7+D8, "NA")</f>
        <v>30546.13</v>
      </c>
      <c r="E9" s="14">
        <f>IFERROR(D9/D148, "NA")</f>
        <v>1</v>
      </c>
      <c r="F9" s="13">
        <f>IFERROR(F7+F8, "NA")</f>
        <v>33828.819999999992</v>
      </c>
      <c r="G9" s="14">
        <f>IFERROR(F9/F148, "NA")</f>
        <v>0.99999999999999978</v>
      </c>
      <c r="H9" s="13">
        <f>IFERROR(H7+H8, "NA")</f>
        <v>24888.17</v>
      </c>
      <c r="I9" s="14">
        <f>IFERROR(H9/H148, "NA")</f>
        <v>1</v>
      </c>
      <c r="J9" s="13">
        <f>IFERROR(J7+J8, "NA")</f>
        <v>31639.470000000012</v>
      </c>
      <c r="K9" s="14">
        <f>IFERROR(J9/J148, "NA")</f>
        <v>1.0000000000000004</v>
      </c>
      <c r="L9" s="13">
        <f>IFERROR(L7+L8, "NA")</f>
        <v>30080.689999999991</v>
      </c>
      <c r="M9" s="14">
        <f>IFERROR(L9/L148, "NA")</f>
        <v>0.99999999999999978</v>
      </c>
      <c r="N9" s="13">
        <f>IFERROR(N7+N8, "NA")</f>
        <v>26696.989999999998</v>
      </c>
      <c r="O9" s="14">
        <f>IFERROR(N9/N148, "NA")</f>
        <v>0.99999999999999989</v>
      </c>
      <c r="P9" s="13">
        <f>IFERROR(P7+P8, "NA")</f>
        <v>22852.069999999996</v>
      </c>
      <c r="Q9" s="14">
        <f>IFERROR(P9/P148, "NA")</f>
        <v>0.99999999999999989</v>
      </c>
      <c r="R9" s="13">
        <f>IFERROR(R7+R8, "NA")</f>
        <v>26960.43</v>
      </c>
      <c r="S9" s="14">
        <f>IFERROR(R9/R148, "NA")</f>
        <v>1</v>
      </c>
      <c r="T9" s="13">
        <f>IFERROR(T7+T8, "NA")</f>
        <v>24051.489999999998</v>
      </c>
      <c r="U9" s="14">
        <f>IFERROR(T9/T148, "NA")</f>
        <v>0.99999999999999989</v>
      </c>
      <c r="V9" s="13">
        <f>IFERROR(V7+V8, "NA")</f>
        <v>25100.74</v>
      </c>
      <c r="W9" s="14">
        <f>IFERROR(V9/V148, "NA")</f>
        <v>1</v>
      </c>
      <c r="X9" s="13">
        <f>IFERROR(X7+X8, "NA")</f>
        <v>22603.070000000003</v>
      </c>
      <c r="Y9" s="14">
        <f>IFERROR(X9/X148, "NA")</f>
        <v>1.0000000000000002</v>
      </c>
      <c r="Z9" s="13">
        <f>IFERROR(Z7+Z8, "NA")</f>
        <v>22603.070000000003</v>
      </c>
      <c r="AA9" s="14">
        <f>IFERROR(Z9/Z148, "NA")</f>
        <v>1.0000000000000002</v>
      </c>
      <c r="AB9" s="13">
        <f>IFERROR((R9+T9+V9+X9)/4, "NA")</f>
        <v>24678.932500000003</v>
      </c>
      <c r="AC9" s="14">
        <f>IFERROR(AB9/AB148, "NA")</f>
        <v>1</v>
      </c>
      <c r="AD9" s="15">
        <f>IFERROR(X9-AB9, "NA")</f>
        <v>-2075.8624999999993</v>
      </c>
      <c r="AE9" s="16">
        <f>IFERROR(AD9/AD148, "NA")</f>
        <v>0.99999999999999822</v>
      </c>
      <c r="AF9" s="15">
        <f>IFERROR((X9-AB9)/AB9, "NA")</f>
        <v>-8.4114760636425381E-2</v>
      </c>
      <c r="AG9" s="13">
        <f>IFERROR((J9+L9+N9+P9+R9+T9+V9+X9)/8, "NA")</f>
        <v>26248.118749999998</v>
      </c>
      <c r="AH9" s="14">
        <f>IFERROR(AG9/AG148, "NA")</f>
        <v>1</v>
      </c>
      <c r="AI9" s="15">
        <f>IFERROR(X9-AG9, "NA")</f>
        <v>-3645.0487499999945</v>
      </c>
      <c r="AJ9" s="16">
        <f>IFERROR(AI9/AI148, "NA")</f>
        <v>0.999999999999999</v>
      </c>
      <c r="AK9" s="15">
        <f>IFERROR((X9-AG9)/AG9, "NA")</f>
        <v>-0.13886895227491283</v>
      </c>
      <c r="AL9" s="16">
        <f>IFERROR(AK9/AK148, "NA")</f>
        <v>0.999999999999999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1340.64</v>
      </c>
      <c r="C16" s="8">
        <f>IFERROR(B16/B148, "NA")</f>
        <v>5.3891327356931563E-2</v>
      </c>
      <c r="D16" s="7">
        <v>1291.1600000000001</v>
      </c>
      <c r="E16" s="8">
        <f>IFERROR(D16/D148, "NA")</f>
        <v>4.2269184345119989E-2</v>
      </c>
      <c r="F16" s="7">
        <v>1648.44</v>
      </c>
      <c r="G16" s="8">
        <f>IFERROR(F16/F148, "NA")</f>
        <v>4.8728864914590581E-2</v>
      </c>
      <c r="H16" s="7">
        <v>1064.31</v>
      </c>
      <c r="I16" s="8">
        <f>IFERROR(H16/H148, "NA")</f>
        <v>4.2763690540525881E-2</v>
      </c>
      <c r="J16" s="7">
        <v>1557.6</v>
      </c>
      <c r="K16" s="8">
        <f>IFERROR(J16/J148, "NA")</f>
        <v>4.9229648916369328E-2</v>
      </c>
      <c r="L16" s="7">
        <v>1210.77</v>
      </c>
      <c r="M16" s="8">
        <f>IFERROR(L16/L148, "NA")</f>
        <v>4.0250738929193446E-2</v>
      </c>
      <c r="N16" s="7">
        <v>1128.83</v>
      </c>
      <c r="O16" s="8">
        <f>IFERROR(N16/N148, "NA")</f>
        <v>4.228304389371236E-2</v>
      </c>
      <c r="P16" s="7">
        <v>1390.83</v>
      </c>
      <c r="Q16" s="8">
        <f>IFERROR(P16/P148, "NA")</f>
        <v>6.0862320131174111E-2</v>
      </c>
      <c r="R16" s="7">
        <v>937.83</v>
      </c>
      <c r="S16" s="8">
        <f>IFERROR(R16/R148, "NA")</f>
        <v>3.4785424416450335E-2</v>
      </c>
      <c r="T16" s="7">
        <v>1158.81</v>
      </c>
      <c r="U16" s="8">
        <f>IFERROR(T16/T148, "NA")</f>
        <v>4.8180383003298334E-2</v>
      </c>
      <c r="V16" s="7">
        <v>1233.2</v>
      </c>
      <c r="W16" s="8">
        <f>IFERROR(V16/V148, "NA")</f>
        <v>4.9130025648646214E-2</v>
      </c>
      <c r="X16" s="7">
        <v>620.80999999999995</v>
      </c>
      <c r="Y16" s="8">
        <f>IFERROR(X16/X148, "NA")</f>
        <v>2.7465738061245661E-2</v>
      </c>
      <c r="Z16" s="7">
        <v>620.80999999999995</v>
      </c>
      <c r="AA16" s="8">
        <f>IFERROR(Z16/Z148, "NA")</f>
        <v>2.7465738061245661E-2</v>
      </c>
      <c r="AB16" s="9">
        <f t="shared" si="0"/>
        <v>987.66250000000002</v>
      </c>
      <c r="AC16" s="8">
        <f>IFERROR(AB16/AB148, "NA")</f>
        <v>4.0020470901648598E-2</v>
      </c>
      <c r="AD16" s="10">
        <f t="shared" si="1"/>
        <v>-366.85250000000008</v>
      </c>
      <c r="AE16" s="11">
        <f>IFERROR(AD16/AD148, "NA")</f>
        <v>0.17672292842131865</v>
      </c>
      <c r="AF16" s="10">
        <f t="shared" si="2"/>
        <v>-0.37143508030324129</v>
      </c>
      <c r="AG16" s="9">
        <f t="shared" si="3"/>
        <v>1154.835</v>
      </c>
      <c r="AH16" s="8">
        <f>IFERROR(AG16/AG148, "NA")</f>
        <v>4.3996867394544233E-2</v>
      </c>
      <c r="AI16" s="10">
        <f t="shared" si="4"/>
        <v>-534.02500000000009</v>
      </c>
      <c r="AJ16" s="11">
        <f>IFERROR(AI16/AI148, "NA")</f>
        <v>0.14650695686854678</v>
      </c>
      <c r="AK16" s="10">
        <f t="shared" si="5"/>
        <v>-0.46242536812618257</v>
      </c>
      <c r="AL16" s="11">
        <f>IFERROR(AK16/AK148, "NA")</f>
        <v>3.3299406422447739</v>
      </c>
    </row>
    <row r="17" spans="1:38" ht="16.5" customHeight="1">
      <c r="A17" s="25" t="s">
        <v>32</v>
      </c>
      <c r="B17" s="7">
        <v>735.9</v>
      </c>
      <c r="C17" s="8">
        <f>IFERROR(B17/B148, "NA")</f>
        <v>2.9581862246364374E-2</v>
      </c>
      <c r="D17" s="7">
        <v>790.03</v>
      </c>
      <c r="E17" s="8">
        <f>IFERROR(D17/D148, "NA")</f>
        <v>2.5863505458792978E-2</v>
      </c>
      <c r="F17" s="7">
        <v>808.58</v>
      </c>
      <c r="G17" s="8">
        <f>IFERROR(F17/F148, "NA")</f>
        <v>2.3902104773385533E-2</v>
      </c>
      <c r="H17" s="7">
        <v>591.70000000000005</v>
      </c>
      <c r="I17" s="8">
        <f>IFERROR(H17/H148, "NA")</f>
        <v>2.3774347410838163E-2</v>
      </c>
      <c r="J17" s="7">
        <v>1035.24</v>
      </c>
      <c r="K17" s="8">
        <f>IFERROR(J17/J148, "NA")</f>
        <v>3.2719890693491391E-2</v>
      </c>
      <c r="L17" s="7">
        <v>689.43</v>
      </c>
      <c r="M17" s="8">
        <f>IFERROR(L17/L148, "NA")</f>
        <v>2.2919354575975485E-2</v>
      </c>
      <c r="N17" s="7">
        <v>574.75</v>
      </c>
      <c r="O17" s="8">
        <f>IFERROR(N17/N148, "NA")</f>
        <v>2.1528644240418112E-2</v>
      </c>
      <c r="P17" s="7">
        <v>707.48</v>
      </c>
      <c r="Q17" s="8">
        <f>IFERROR(P17/P148, "NA")</f>
        <v>3.0959120989914702E-2</v>
      </c>
      <c r="R17" s="7">
        <v>701.24</v>
      </c>
      <c r="S17" s="8">
        <f>IFERROR(R17/R148, "NA")</f>
        <v>2.6009970909217695E-2</v>
      </c>
      <c r="T17" s="7">
        <v>666.89</v>
      </c>
      <c r="U17" s="8">
        <f>IFERROR(T17/T148, "NA")</f>
        <v>2.7727596086562618E-2</v>
      </c>
      <c r="V17" s="7">
        <v>785.74</v>
      </c>
      <c r="W17" s="8">
        <f>IFERROR(V17/V148, "NA")</f>
        <v>3.1303459579279332E-2</v>
      </c>
      <c r="X17" s="7">
        <v>625.59</v>
      </c>
      <c r="Y17" s="8">
        <f>IFERROR(X17/X148, "NA")</f>
        <v>2.7677213759015922E-2</v>
      </c>
      <c r="Z17" s="7">
        <v>625.59</v>
      </c>
      <c r="AA17" s="8">
        <f>IFERROR(Z17/Z148, "NA")</f>
        <v>2.7677213759015922E-2</v>
      </c>
      <c r="AB17" s="9">
        <f t="shared" si="0"/>
        <v>694.86500000000001</v>
      </c>
      <c r="AC17" s="8">
        <f>IFERROR(AB17/AB148, "NA")</f>
        <v>2.8156201650942559E-2</v>
      </c>
      <c r="AD17" s="10">
        <f t="shared" si="1"/>
        <v>-69.274999999999977</v>
      </c>
      <c r="AE17" s="11">
        <f>IFERROR(AD17/AD148, "NA")</f>
        <v>3.3371670811530092E-2</v>
      </c>
      <c r="AF17" s="10">
        <f t="shared" si="2"/>
        <v>-9.969562432990578E-2</v>
      </c>
      <c r="AG17" s="9">
        <f t="shared" si="3"/>
        <v>723.29500000000007</v>
      </c>
      <c r="AH17" s="8">
        <f>IFERROR(AG17/AG148, "NA")</f>
        <v>2.7556070089785011E-2</v>
      </c>
      <c r="AI17" s="10">
        <f t="shared" si="4"/>
        <v>-97.705000000000041</v>
      </c>
      <c r="AJ17" s="11">
        <f>IFERROR(AI17/AI148, "NA")</f>
        <v>2.6804854118892125E-2</v>
      </c>
      <c r="AK17" s="10">
        <f t="shared" si="5"/>
        <v>-0.13508319565322591</v>
      </c>
      <c r="AL17" s="11">
        <f>IFERROR(AK17/AK148, "NA")</f>
        <v>0.97273863912941061</v>
      </c>
    </row>
    <row r="18" spans="1:38" ht="16.5" customHeight="1">
      <c r="A18" s="25" t="s">
        <v>33</v>
      </c>
      <c r="B18" s="7">
        <v>1063.78</v>
      </c>
      <c r="C18" s="8">
        <f>IFERROR(B18/B148, "NA")</f>
        <v>4.2762051121670731E-2</v>
      </c>
      <c r="D18" s="7">
        <v>1288.9100000000001</v>
      </c>
      <c r="E18" s="8">
        <f>IFERROR(D18/D148, "NA")</f>
        <v>4.2195525259664649E-2</v>
      </c>
      <c r="F18" s="7">
        <v>1385.16</v>
      </c>
      <c r="G18" s="8">
        <f>IFERROR(F18/F148, "NA")</f>
        <v>4.09461518314857E-2</v>
      </c>
      <c r="H18" s="7">
        <v>1064.04</v>
      </c>
      <c r="I18" s="8">
        <f>IFERROR(H18/H148, "NA")</f>
        <v>4.2752842012892069E-2</v>
      </c>
      <c r="J18" s="7">
        <v>1439.44</v>
      </c>
      <c r="K18" s="8">
        <f>IFERROR(J18/J148, "NA")</f>
        <v>4.549507308434686E-2</v>
      </c>
      <c r="L18" s="7">
        <v>741.82</v>
      </c>
      <c r="M18" s="8">
        <f>IFERROR(L18/L148, "NA")</f>
        <v>2.4661003454375552E-2</v>
      </c>
      <c r="N18" s="7">
        <v>864.7</v>
      </c>
      <c r="O18" s="8">
        <f>IFERROR(N18/N148, "NA")</f>
        <v>3.2389419181712994E-2</v>
      </c>
      <c r="P18" s="7">
        <v>1060.17</v>
      </c>
      <c r="Q18" s="8">
        <f>IFERROR(P18/P148, "NA")</f>
        <v>4.6392733787354937E-2</v>
      </c>
      <c r="R18" s="7">
        <v>705.55</v>
      </c>
      <c r="S18" s="8">
        <f>IFERROR(R18/R148, "NA")</f>
        <v>2.6169834828302069E-2</v>
      </c>
      <c r="T18" s="7">
        <v>825.11</v>
      </c>
      <c r="U18" s="8">
        <f>IFERROR(T18/T148, "NA")</f>
        <v>3.4305982706268924E-2</v>
      </c>
      <c r="V18" s="7">
        <v>822.02</v>
      </c>
      <c r="W18" s="8">
        <f>IFERROR(V18/V148, "NA")</f>
        <v>3.2748835293302109E-2</v>
      </c>
      <c r="X18" s="7">
        <v>658.77</v>
      </c>
      <c r="Y18" s="8">
        <f>IFERROR(X18/X148, "NA")</f>
        <v>2.9145155945630392E-2</v>
      </c>
      <c r="Z18" s="7">
        <v>658.77</v>
      </c>
      <c r="AA18" s="8">
        <f>IFERROR(Z18/Z148, "NA")</f>
        <v>2.9145155945630392E-2</v>
      </c>
      <c r="AB18" s="9">
        <f t="shared" si="0"/>
        <v>752.86249999999995</v>
      </c>
      <c r="AC18" s="8">
        <f>IFERROR(AB18/AB148, "NA")</f>
        <v>3.0506283041213385E-2</v>
      </c>
      <c r="AD18" s="10">
        <f t="shared" si="1"/>
        <v>-94.092499999999973</v>
      </c>
      <c r="AE18" s="11">
        <f>IFERROR(AD18/AD148, "NA")</f>
        <v>4.5326942415501913E-2</v>
      </c>
      <c r="AF18" s="10">
        <f t="shared" si="2"/>
        <v>-0.12497966096066676</v>
      </c>
      <c r="AG18" s="9">
        <f t="shared" si="3"/>
        <v>889.69749999999999</v>
      </c>
      <c r="AH18" s="8">
        <f>IFERROR(AG18/AG148, "NA")</f>
        <v>3.3895667284726837E-2</v>
      </c>
      <c r="AI18" s="10">
        <f t="shared" si="4"/>
        <v>-230.92750000000001</v>
      </c>
      <c r="AJ18" s="11">
        <f>IFERROR(AI18/AI148, "NA")</f>
        <v>6.3353748012286562E-2</v>
      </c>
      <c r="AK18" s="10">
        <f t="shared" si="5"/>
        <v>-0.25955732144914423</v>
      </c>
      <c r="AL18" s="11">
        <f>IFERROR(AK18/AK148, "NA")</f>
        <v>1.8690810090891274</v>
      </c>
    </row>
    <row r="19" spans="1:38" ht="16.5" customHeight="1">
      <c r="A19" s="25" t="s">
        <v>34</v>
      </c>
      <c r="B19" s="7">
        <v>515.22</v>
      </c>
      <c r="C19" s="8">
        <f>IFERROR(B19/B148, "NA")</f>
        <v>2.0710921411294814E-2</v>
      </c>
      <c r="D19" s="7">
        <v>709.53</v>
      </c>
      <c r="E19" s="8">
        <f>IFERROR(D19/D148, "NA")</f>
        <v>2.3228147068057391E-2</v>
      </c>
      <c r="F19" s="7">
        <v>517.1</v>
      </c>
      <c r="G19" s="8">
        <f>IFERROR(F19/F148, "NA")</f>
        <v>1.5285782950750278E-2</v>
      </c>
      <c r="H19" s="7">
        <v>448.49</v>
      </c>
      <c r="I19" s="8">
        <f>IFERROR(H19/H148, "NA")</f>
        <v>1.8020207994400555E-2</v>
      </c>
      <c r="J19" s="7">
        <v>675.3</v>
      </c>
      <c r="K19" s="8">
        <f>IFERROR(J19/J148, "NA")</f>
        <v>2.134359393504379E-2</v>
      </c>
      <c r="L19" s="7">
        <v>756.02</v>
      </c>
      <c r="M19" s="8">
        <f>IFERROR(L19/L148, "NA")</f>
        <v>2.5133067093873179E-2</v>
      </c>
      <c r="N19" s="7">
        <v>481.56</v>
      </c>
      <c r="O19" s="8">
        <f>IFERROR(N19/N148, "NA")</f>
        <v>1.80379885522675E-2</v>
      </c>
      <c r="P19" s="7">
        <v>496.13</v>
      </c>
      <c r="Q19" s="8">
        <f>IFERROR(P19/P148, "NA")</f>
        <v>2.1710505875397721E-2</v>
      </c>
      <c r="R19" s="7">
        <v>487.62</v>
      </c>
      <c r="S19" s="8">
        <f>IFERROR(R19/R148, "NA")</f>
        <v>1.8086506780492746E-2</v>
      </c>
      <c r="T19" s="7">
        <v>547.07000000000005</v>
      </c>
      <c r="U19" s="8">
        <f>IFERROR(T19/T148, "NA")</f>
        <v>2.274578414892383E-2</v>
      </c>
      <c r="V19" s="7">
        <v>522.16999999999996</v>
      </c>
      <c r="W19" s="8">
        <f>IFERROR(V19/V148, "NA")</f>
        <v>2.0802972342648062E-2</v>
      </c>
      <c r="X19" s="7">
        <v>634.34</v>
      </c>
      <c r="Y19" s="8">
        <f>IFERROR(X19/X148, "NA")</f>
        <v>2.8064329314557716E-2</v>
      </c>
      <c r="Z19" s="7">
        <v>634.34</v>
      </c>
      <c r="AA19" s="8">
        <f>IFERROR(Z19/Z148, "NA")</f>
        <v>2.8064329314557716E-2</v>
      </c>
      <c r="AB19" s="9">
        <f t="shared" si="0"/>
        <v>547.80000000000007</v>
      </c>
      <c r="AC19" s="8">
        <f>IFERROR(AB19/AB148, "NA")</f>
        <v>2.2197070314933599E-2</v>
      </c>
      <c r="AD19" s="10">
        <f t="shared" si="1"/>
        <v>86.539999999999964</v>
      </c>
      <c r="AE19" s="11">
        <f>IFERROR(AD19/AD148, "NA")</f>
        <v>-4.1688695662646172E-2</v>
      </c>
      <c r="AF19" s="10">
        <f t="shared" si="2"/>
        <v>0.15797736400146031</v>
      </c>
      <c r="AG19" s="9">
        <f t="shared" si="3"/>
        <v>575.02625</v>
      </c>
      <c r="AH19" s="8">
        <f>IFERROR(AG19/AG148, "NA")</f>
        <v>2.1907331930216906E-2</v>
      </c>
      <c r="AI19" s="10">
        <f t="shared" si="4"/>
        <v>59.313750000000027</v>
      </c>
      <c r="AJ19" s="11">
        <f>IFERROR(AI19/AI148, "NA")</f>
        <v>-1.6272416109661101E-2</v>
      </c>
      <c r="AK19" s="10">
        <f t="shared" si="5"/>
        <v>0.10314963882083648</v>
      </c>
      <c r="AL19" s="11">
        <f>IFERROR(AK19/AK148, "NA")</f>
        <v>-0.74278402141780053</v>
      </c>
    </row>
    <row r="20" spans="1:38" ht="16.5" customHeight="1">
      <c r="A20" s="25" t="s">
        <v>35</v>
      </c>
      <c r="B20" s="7">
        <v>284.64999999999998</v>
      </c>
      <c r="C20" s="8">
        <f>IFERROR(B20/B148, "NA")</f>
        <v>1.1442420285945942E-2</v>
      </c>
      <c r="D20" s="7">
        <v>445.93</v>
      </c>
      <c r="E20" s="8">
        <f>IFERROR(D20/D148, "NA")</f>
        <v>1.4598575989822605E-2</v>
      </c>
      <c r="F20" s="7">
        <v>523.4</v>
      </c>
      <c r="G20" s="8">
        <f>IFERROR(F20/F148, "NA")</f>
        <v>1.5472014690432596E-2</v>
      </c>
      <c r="H20" s="7">
        <v>323.89999999999998</v>
      </c>
      <c r="I20" s="8">
        <f>IFERROR(H20/H148, "NA")</f>
        <v>1.3014215187376171E-2</v>
      </c>
      <c r="J20" s="7">
        <v>678.43</v>
      </c>
      <c r="K20" s="8">
        <f>IFERROR(J20/J148, "NA")</f>
        <v>2.1442521003038291E-2</v>
      </c>
      <c r="L20" s="7">
        <v>219.33</v>
      </c>
      <c r="M20" s="8">
        <f>IFERROR(L20/L148, "NA")</f>
        <v>7.2913885951419342E-3</v>
      </c>
      <c r="N20" s="7">
        <v>374.18</v>
      </c>
      <c r="O20" s="8">
        <f>IFERROR(N20/N148, "NA")</f>
        <v>1.4015812269473075E-2</v>
      </c>
      <c r="P20" s="7">
        <v>255.21</v>
      </c>
      <c r="Q20" s="8">
        <f>IFERROR(P20/P148, "NA")</f>
        <v>1.1167916079374866E-2</v>
      </c>
      <c r="R20" s="7">
        <v>360.39</v>
      </c>
      <c r="S20" s="8">
        <f>IFERROR(R20/R148, "NA")</f>
        <v>1.3367368398797793E-2</v>
      </c>
      <c r="T20" s="7">
        <v>336.44</v>
      </c>
      <c r="U20" s="8">
        <f>IFERROR(T20/T148, "NA")</f>
        <v>1.398832255298944E-2</v>
      </c>
      <c r="V20" s="7">
        <v>357.1</v>
      </c>
      <c r="W20" s="8">
        <f>IFERROR(V20/V148, "NA")</f>
        <v>1.4226672201696046E-2</v>
      </c>
      <c r="X20" s="7">
        <v>341.56</v>
      </c>
      <c r="Y20" s="8">
        <f>IFERROR(X20/X148, "NA")</f>
        <v>1.5111221617240491E-2</v>
      </c>
      <c r="Z20" s="7">
        <v>341.56</v>
      </c>
      <c r="AA20" s="8">
        <f>IFERROR(Z20/Z148, "NA")</f>
        <v>1.5111221617240491E-2</v>
      </c>
      <c r="AB20" s="9">
        <f t="shared" si="0"/>
        <v>348.87249999999995</v>
      </c>
      <c r="AC20" s="8">
        <f>IFERROR(AB20/AB148, "NA")</f>
        <v>1.4136450188840214E-2</v>
      </c>
      <c r="AD20" s="10">
        <f t="shared" si="1"/>
        <v>-7.3124999999999432</v>
      </c>
      <c r="AE20" s="11">
        <f>IFERROR(AD20/AD148, "NA")</f>
        <v>3.5226321589218617E-3</v>
      </c>
      <c r="AF20" s="10">
        <f t="shared" si="2"/>
        <v>-2.0960379508272921E-2</v>
      </c>
      <c r="AG20" s="9">
        <f t="shared" si="3"/>
        <v>365.33</v>
      </c>
      <c r="AH20" s="8">
        <f>IFERROR(AG20/AG148, "NA")</f>
        <v>1.3918330813708316E-2</v>
      </c>
      <c r="AI20" s="10">
        <f t="shared" si="4"/>
        <v>-23.769999999999982</v>
      </c>
      <c r="AJ20" s="11">
        <f>IFERROR(AI20/AI148, "NA")</f>
        <v>6.5211747853852415E-3</v>
      </c>
      <c r="AK20" s="10">
        <f t="shared" si="5"/>
        <v>-6.5064462266991446E-2</v>
      </c>
      <c r="AL20" s="11">
        <f>IFERROR(AK20/AK148, "NA")</f>
        <v>0.46853138301343333</v>
      </c>
    </row>
    <row r="21" spans="1:38" ht="16.5" customHeight="1">
      <c r="A21" s="25" t="s">
        <v>36</v>
      </c>
      <c r="B21" s="7">
        <v>138.72</v>
      </c>
      <c r="C21" s="8">
        <f>IFERROR(B21/B148, "NA")</f>
        <v>5.5762955983362766E-3</v>
      </c>
      <c r="D21" s="7">
        <v>244.05</v>
      </c>
      <c r="E21" s="8">
        <f>IFERROR(D21/D148, "NA")</f>
        <v>7.9895554690561452E-3</v>
      </c>
      <c r="F21" s="7">
        <v>228.17</v>
      </c>
      <c r="G21" s="8">
        <f>IFERROR(F21/F148, "NA")</f>
        <v>6.7448406417959595E-3</v>
      </c>
      <c r="H21" s="7">
        <v>191.21</v>
      </c>
      <c r="I21" s="8">
        <f>IFERROR(H21/H148, "NA")</f>
        <v>7.6827665513374433E-3</v>
      </c>
      <c r="J21" s="7">
        <v>172.15</v>
      </c>
      <c r="K21" s="8">
        <f>IFERROR(J21/J148, "NA")</f>
        <v>5.4409887396975991E-3</v>
      </c>
      <c r="L21" s="7">
        <v>227.91</v>
      </c>
      <c r="M21" s="8">
        <f>IFERROR(L21/L148, "NA")</f>
        <v>7.5766214139369814E-3</v>
      </c>
      <c r="N21" s="7">
        <v>82.32</v>
      </c>
      <c r="O21" s="8">
        <f>IFERROR(N21/N148, "NA")</f>
        <v>3.0834936822465749E-3</v>
      </c>
      <c r="P21" s="7">
        <v>163.47999999999999</v>
      </c>
      <c r="Q21" s="8">
        <f>IFERROR(P21/P148, "NA")</f>
        <v>7.1538377048556206E-3</v>
      </c>
      <c r="R21" s="7">
        <v>165.2</v>
      </c>
      <c r="S21" s="8">
        <f>IFERROR(R21/R148, "NA")</f>
        <v>6.1274987082921154E-3</v>
      </c>
      <c r="T21" s="7">
        <v>108.73</v>
      </c>
      <c r="U21" s="8">
        <f>IFERROR(T21/T148, "NA")</f>
        <v>4.5207178432604385E-3</v>
      </c>
      <c r="V21" s="7">
        <v>149.22999999999999</v>
      </c>
      <c r="W21" s="8">
        <f>IFERROR(V21/V148, "NA")</f>
        <v>5.9452430486113149E-3</v>
      </c>
      <c r="X21" s="7">
        <v>147.18</v>
      </c>
      <c r="Y21" s="8">
        <f>IFERROR(X21/X148, "NA")</f>
        <v>6.5115048531018136E-3</v>
      </c>
      <c r="Z21" s="7">
        <v>147.18</v>
      </c>
      <c r="AA21" s="8">
        <f>IFERROR(Z21/Z148, "NA")</f>
        <v>6.5115048531018136E-3</v>
      </c>
      <c r="AB21" s="9">
        <f t="shared" si="0"/>
        <v>142.58499999999998</v>
      </c>
      <c r="AC21" s="8">
        <f>IFERROR(AB21/AB148, "NA")</f>
        <v>5.7775999833055971E-3</v>
      </c>
      <c r="AD21" s="10">
        <f t="shared" si="1"/>
        <v>4.5950000000000273</v>
      </c>
      <c r="AE21" s="11">
        <f>IFERROR(AD21/AD148, "NA")</f>
        <v>-2.2135377463584514E-3</v>
      </c>
      <c r="AF21" s="10">
        <f t="shared" si="2"/>
        <v>3.2226391275379795E-2</v>
      </c>
      <c r="AG21" s="9">
        <f t="shared" si="3"/>
        <v>152.02500000000001</v>
      </c>
      <c r="AH21" s="8">
        <f>IFERROR(AG21/AG148, "NA")</f>
        <v>5.791843653557077E-3</v>
      </c>
      <c r="AI21" s="10">
        <f t="shared" si="4"/>
        <v>-4.8449999999999989</v>
      </c>
      <c r="AJ21" s="11">
        <f>IFERROR(AI21/AI148, "NA")</f>
        <v>1.3292003296252214E-3</v>
      </c>
      <c r="AK21" s="10">
        <f t="shared" si="5"/>
        <v>-3.1869758263443501E-2</v>
      </c>
      <c r="AL21" s="11">
        <f>IFERROR(AK21/AK148, "NA")</f>
        <v>0.22949520206901464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178.14</v>
      </c>
      <c r="C23" s="8">
        <f>IFERROR(B23/B148, "NA")</f>
        <v>7.1609090101472338E-3</v>
      </c>
      <c r="D23" s="7">
        <v>131.59</v>
      </c>
      <c r="E23" s="8">
        <f>IFERROR(D23/D148, "NA")</f>
        <v>4.3079106911415622E-3</v>
      </c>
      <c r="F23" s="7">
        <v>183.04</v>
      </c>
      <c r="G23" s="8">
        <f>IFERROR(F23/F148, "NA")</f>
        <v>5.4107710526113528E-3</v>
      </c>
      <c r="H23" s="7">
        <v>233.65</v>
      </c>
      <c r="I23" s="8">
        <f>IFERROR(H23/H148, "NA")</f>
        <v>9.3879943764447141E-3</v>
      </c>
      <c r="J23" s="7">
        <v>183.79</v>
      </c>
      <c r="K23" s="8">
        <f>IFERROR(J23/J148, "NA")</f>
        <v>5.8088836507059058E-3</v>
      </c>
      <c r="L23" s="7">
        <v>88.56</v>
      </c>
      <c r="M23" s="8">
        <f>IFERROR(L23/L148, "NA")</f>
        <v>2.9440814023880438E-3</v>
      </c>
      <c r="N23" s="7">
        <v>76.66</v>
      </c>
      <c r="O23" s="8">
        <f>IFERROR(N23/N148, "NA")</f>
        <v>2.8714847628889995E-3</v>
      </c>
      <c r="P23" s="7">
        <v>165.99</v>
      </c>
      <c r="Q23" s="8">
        <f>IFERROR(P23/P148, "NA")</f>
        <v>7.2636745817774937E-3</v>
      </c>
      <c r="R23" s="7">
        <v>121.4</v>
      </c>
      <c r="S23" s="8">
        <f>IFERROR(R23/R148, "NA")</f>
        <v>4.5028955398708406E-3</v>
      </c>
      <c r="T23" s="7">
        <v>226.67</v>
      </c>
      <c r="U23" s="8">
        <f>IFERROR(T23/T148, "NA")</f>
        <v>9.4243641454230063E-3</v>
      </c>
      <c r="V23" s="7">
        <v>113.26</v>
      </c>
      <c r="W23" s="8">
        <f>IFERROR(V23/V148, "NA")</f>
        <v>4.512217568087634E-3</v>
      </c>
      <c r="X23" s="7">
        <v>92</v>
      </c>
      <c r="Y23" s="8">
        <f>IFERROR(X23/X148, "NA")</f>
        <v>4.0702435554108357E-3</v>
      </c>
      <c r="Z23" s="7">
        <v>92</v>
      </c>
      <c r="AA23" s="8">
        <f>IFERROR(Z23/Z148, "NA")</f>
        <v>4.0702435554108357E-3</v>
      </c>
      <c r="AB23" s="9">
        <f t="shared" si="0"/>
        <v>138.33249999999998</v>
      </c>
      <c r="AC23" s="8">
        <f>IFERROR(AB23/AB148, "NA")</f>
        <v>5.6052870196067013E-3</v>
      </c>
      <c r="AD23" s="10">
        <f t="shared" si="1"/>
        <v>-46.332499999999982</v>
      </c>
      <c r="AE23" s="11">
        <f>IFERROR(AD23/AD148, "NA")</f>
        <v>2.2319638222666444E-2</v>
      </c>
      <c r="AF23" s="10">
        <f t="shared" si="2"/>
        <v>-0.33493575262501574</v>
      </c>
      <c r="AG23" s="9">
        <f t="shared" si="3"/>
        <v>133.54124999999999</v>
      </c>
      <c r="AH23" s="8">
        <f>IFERROR(AG23/AG148, "NA")</f>
        <v>5.0876503292259755E-3</v>
      </c>
      <c r="AI23" s="10">
        <f t="shared" si="4"/>
        <v>-41.541249999999991</v>
      </c>
      <c r="AJ23" s="11">
        <f>IFERROR(AI23/AI148, "NA")</f>
        <v>1.139662398205237E-2</v>
      </c>
      <c r="AK23" s="10">
        <f t="shared" si="5"/>
        <v>-0.31107429352353672</v>
      </c>
      <c r="AL23" s="11">
        <f>IFERROR(AK23/AK148, "NA")</f>
        <v>2.2400564591840237</v>
      </c>
    </row>
    <row r="24" spans="1:38" ht="16.5" customHeight="1">
      <c r="A24" s="25" t="s">
        <v>39</v>
      </c>
      <c r="B24" s="7">
        <v>1511.09</v>
      </c>
      <c r="C24" s="8">
        <f>IFERROR(B24/B148, "NA")</f>
        <v>6.0743112137326728E-2</v>
      </c>
      <c r="D24" s="7">
        <v>2023.88</v>
      </c>
      <c r="E24" s="8">
        <f>IFERROR(D24/D148, "NA")</f>
        <v>6.6256511053937109E-2</v>
      </c>
      <c r="F24" s="7">
        <v>1939.95</v>
      </c>
      <c r="G24" s="8">
        <f>IFERROR(F24/F148, "NA")</f>
        <v>5.7346073555033843E-2</v>
      </c>
      <c r="H24" s="7">
        <v>2170.73</v>
      </c>
      <c r="I24" s="8">
        <f>IFERROR(H24/H148, "NA")</f>
        <v>8.7219349594606602E-2</v>
      </c>
      <c r="J24" s="7">
        <v>1835.14</v>
      </c>
      <c r="K24" s="8">
        <f>IFERROR(J24/J148, "NA")</f>
        <v>5.8001603693108639E-2</v>
      </c>
      <c r="L24" s="7">
        <v>1723.82</v>
      </c>
      <c r="M24" s="8">
        <f>IFERROR(L24/L148, "NA")</f>
        <v>5.730653119991596E-2</v>
      </c>
      <c r="N24" s="7">
        <v>1584.58</v>
      </c>
      <c r="O24" s="8">
        <f>IFERROR(N24/N148, "NA")</f>
        <v>5.9354256790746816E-2</v>
      </c>
      <c r="P24" s="7">
        <v>1387.28</v>
      </c>
      <c r="Q24" s="8">
        <f>IFERROR(P24/P148, "NA")</f>
        <v>6.0706973153854336E-2</v>
      </c>
      <c r="R24" s="7">
        <v>2000.62</v>
      </c>
      <c r="S24" s="8">
        <f>IFERROR(R24/R148, "NA")</f>
        <v>7.4205789744451398E-2</v>
      </c>
      <c r="T24" s="7">
        <v>1487.37</v>
      </c>
      <c r="U24" s="8">
        <f>IFERROR(T24/T148, "NA")</f>
        <v>6.1841075126738504E-2</v>
      </c>
      <c r="V24" s="7">
        <v>1514.4</v>
      </c>
      <c r="W24" s="8">
        <f>IFERROR(V24/V148, "NA")</f>
        <v>6.033288261620972E-2</v>
      </c>
      <c r="X24" s="7">
        <v>1316.19</v>
      </c>
      <c r="Y24" s="8">
        <f>IFERROR(X24/X148, "NA")</f>
        <v>5.8230585491262914E-2</v>
      </c>
      <c r="Z24" s="7">
        <v>1316.19</v>
      </c>
      <c r="AA24" s="8">
        <f>IFERROR(Z24/Z148, "NA")</f>
        <v>5.8230585491262914E-2</v>
      </c>
      <c r="AB24" s="9">
        <f t="shared" si="0"/>
        <v>1579.645</v>
      </c>
      <c r="AC24" s="8">
        <f>IFERROR(AB24/AB148, "NA")</f>
        <v>6.4007833402032269E-2</v>
      </c>
      <c r="AD24" s="10">
        <f t="shared" si="1"/>
        <v>-263.45499999999993</v>
      </c>
      <c r="AE24" s="11">
        <f>IFERROR(AD24/AD148, "NA")</f>
        <v>0.12691351185350647</v>
      </c>
      <c r="AF24" s="10">
        <f t="shared" si="2"/>
        <v>-0.16678114386460244</v>
      </c>
      <c r="AG24" s="9">
        <f t="shared" si="3"/>
        <v>1606.1749999999997</v>
      </c>
      <c r="AH24" s="8">
        <f>IFERROR(AG24/AG148, "NA")</f>
        <v>6.119200447460639E-2</v>
      </c>
      <c r="AI24" s="10">
        <f t="shared" si="4"/>
        <v>-289.98499999999967</v>
      </c>
      <c r="AJ24" s="11">
        <f>IFERROR(AI24/AI148, "NA")</f>
        <v>7.9555863278920433E-2</v>
      </c>
      <c r="AK24" s="10">
        <f t="shared" si="5"/>
        <v>-0.1805438386228149</v>
      </c>
      <c r="AL24" s="11">
        <f>IFERROR(AK24/AK148, "NA")</f>
        <v>1.3001022594697764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5768.14</v>
      </c>
      <c r="C27" s="14">
        <f>IFERROR(B27/B148, "NA")</f>
        <v>0.23186889916801767</v>
      </c>
      <c r="D27" s="13">
        <f>IFERROR(D15+D16+D17+D18+D19+D20+D21+D22+D23+D24+D25+D26, "NA")</f>
        <v>6925.0800000000008</v>
      </c>
      <c r="E27" s="14">
        <f>IFERROR(D27/D148, "NA")</f>
        <v>0.22670891533559245</v>
      </c>
      <c r="F27" s="13">
        <f>IFERROR(F15+F16+F17+F18+F19+F20+F21+F22+F23+F24+F25+F26, "NA")</f>
        <v>7233.84</v>
      </c>
      <c r="G27" s="14">
        <f>IFERROR(F27/F148, "NA")</f>
        <v>0.21383660441008584</v>
      </c>
      <c r="H27" s="13">
        <f>IFERROR(H15+H16+H17+H18+H19+H20+H21+H22+H23+H24+H25+H26, "NA")</f>
        <v>6088.0300000000007</v>
      </c>
      <c r="I27" s="14">
        <f>IFERROR(H27/H148, "NA")</f>
        <v>0.24461541366842163</v>
      </c>
      <c r="J27" s="13">
        <f>IFERROR(J15+J16+J17+J18+J19+J20+J21+J22+J23+J24+J25+J26, "NA")</f>
        <v>7577.09</v>
      </c>
      <c r="K27" s="14">
        <f>IFERROR(J27/J148, "NA")</f>
        <v>0.23948220371580181</v>
      </c>
      <c r="L27" s="13">
        <f>IFERROR(L15+L16+L17+L18+L19+L20+L21+L22+L23+L24+L25+L26, "NA")</f>
        <v>5657.66</v>
      </c>
      <c r="M27" s="14">
        <f>IFERROR(L27/L148, "NA")</f>
        <v>0.18808278666480058</v>
      </c>
      <c r="N27" s="13">
        <f>IFERROR(N15+N16+N17+N18+N19+N20+N21+N22+N23+N24+N25+N26, "NA")</f>
        <v>5167.58</v>
      </c>
      <c r="O27" s="14">
        <f>IFERROR(N27/N148, "NA")</f>
        <v>0.19356414337346645</v>
      </c>
      <c r="P27" s="13">
        <f>IFERROR(P15+P16+P17+P18+P19+P20+P21+P22+P23+P24+P25+P26, "NA")</f>
        <v>5626.57</v>
      </c>
      <c r="Q27" s="14">
        <f>IFERROR(P27/P148, "NA")</f>
        <v>0.24621708230370376</v>
      </c>
      <c r="R27" s="13">
        <f>IFERROR(R15+R16+R17+R18+R19+R20+R21+R22+R23+R24+R25+R26, "NA")</f>
        <v>5479.8499999999995</v>
      </c>
      <c r="S27" s="14">
        <f>IFERROR(R27/R148, "NA")</f>
        <v>0.20325528932587497</v>
      </c>
      <c r="T27" s="13">
        <f>IFERROR(T15+T16+T17+T18+T19+T20+T21+T22+T23+T24+T25+T26, "NA")</f>
        <v>5357.09</v>
      </c>
      <c r="U27" s="14">
        <f>IFERROR(T27/T148, "NA")</f>
        <v>0.22273422561346509</v>
      </c>
      <c r="V27" s="13">
        <f>IFERROR(V15+V16+V17+V18+V19+V20+V21+V22+V23+V24+V25+V26, "NA")</f>
        <v>5497.1200000000008</v>
      </c>
      <c r="W27" s="14">
        <f>IFERROR(V27/V148, "NA")</f>
        <v>0.21900230829848047</v>
      </c>
      <c r="X27" s="13">
        <f>IFERROR(X15+X16+X17+X18+X19+X20+X21+X22+X23+X24+X25+X26, "NA")</f>
        <v>4436.4400000000005</v>
      </c>
      <c r="Y27" s="14">
        <f>IFERROR(X27/X148, "NA")</f>
        <v>0.19627599259746575</v>
      </c>
      <c r="Z27" s="13">
        <f>IFERROR(Z15+Z16+Z17+Z18+Z19+Z20+Z21+Z22+Z23+Z24+Z25+Z26, "NA")</f>
        <v>4436.4400000000005</v>
      </c>
      <c r="AA27" s="14">
        <f>IFERROR(Z27/Z148, "NA")</f>
        <v>0.19627599259746575</v>
      </c>
      <c r="AB27" s="13">
        <f t="shared" si="0"/>
        <v>5192.625</v>
      </c>
      <c r="AC27" s="14">
        <f>IFERROR(AB27/AB148, "NA")</f>
        <v>0.21040719650252293</v>
      </c>
      <c r="AD27" s="15">
        <f t="shared" si="1"/>
        <v>-756.18499999999949</v>
      </c>
      <c r="AE27" s="16">
        <f>IFERROR(AD27/AD148, "NA")</f>
        <v>0.36427509047444057</v>
      </c>
      <c r="AF27" s="15">
        <f t="shared" si="2"/>
        <v>-0.14562673021833841</v>
      </c>
      <c r="AG27" s="13">
        <f t="shared" si="3"/>
        <v>5599.9250000000002</v>
      </c>
      <c r="AH27" s="14">
        <f>IFERROR(AG27/AG148, "NA")</f>
        <v>0.21334576597037075</v>
      </c>
      <c r="AI27" s="15">
        <f t="shared" si="4"/>
        <v>-1163.4849999999997</v>
      </c>
      <c r="AJ27" s="16">
        <f>IFERROR(AI27/AI148, "NA")</f>
        <v>0.31919600526604763</v>
      </c>
      <c r="AK27" s="15">
        <f t="shared" si="5"/>
        <v>-0.20776796117805144</v>
      </c>
      <c r="AL27" s="16">
        <f>IFERROR(AK27/AK148, "NA")</f>
        <v>1.4961440824205401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352.35</v>
      </c>
      <c r="C30" s="8">
        <f>IFERROR(B30/B148, "NA")</f>
        <v>1.416383905762534E-2</v>
      </c>
      <c r="D30" s="7">
        <v>395.9</v>
      </c>
      <c r="E30" s="8">
        <f>IFERROR(D30/D148, "NA")</f>
        <v>1.2960725303008923E-2</v>
      </c>
      <c r="F30" s="7">
        <v>296.76</v>
      </c>
      <c r="G30" s="8">
        <f>IFERROR(F30/F148, "NA")</f>
        <v>8.7724017568451985E-3</v>
      </c>
      <c r="H30" s="7">
        <v>312.8</v>
      </c>
      <c r="I30" s="8">
        <f>IFERROR(H30/H148, "NA")</f>
        <v>1.2568220162430586E-2</v>
      </c>
      <c r="J30" s="7">
        <v>341.14</v>
      </c>
      <c r="K30" s="8">
        <f>IFERROR(J30/J148, "NA")</f>
        <v>1.0782102228640365E-2</v>
      </c>
      <c r="L30" s="7">
        <v>289.75</v>
      </c>
      <c r="M30" s="8">
        <f>IFERROR(L30/L148, "NA")</f>
        <v>9.6324253200308907E-3</v>
      </c>
      <c r="N30" s="7">
        <v>291.43</v>
      </c>
      <c r="O30" s="8">
        <f>IFERROR(N30/N148, "NA")</f>
        <v>1.0916211902540324E-2</v>
      </c>
      <c r="P30" s="7">
        <v>209.55</v>
      </c>
      <c r="Q30" s="8">
        <f>IFERROR(P30/P148, "NA")</f>
        <v>9.1698476330590618E-3</v>
      </c>
      <c r="R30" s="7">
        <v>282.5</v>
      </c>
      <c r="S30" s="8">
        <f>IFERROR(R30/R148, "NA")</f>
        <v>1.0478319522351832E-2</v>
      </c>
      <c r="T30" s="7">
        <v>223.03</v>
      </c>
      <c r="U30" s="8">
        <f>IFERROR(T30/T148, "NA")</f>
        <v>9.273022170352023E-3</v>
      </c>
      <c r="V30" s="7">
        <v>262.33</v>
      </c>
      <c r="W30" s="8">
        <f>IFERROR(V30/V148, "NA")</f>
        <v>1.0451086302634902E-2</v>
      </c>
      <c r="X30" s="7">
        <v>235.09</v>
      </c>
      <c r="Y30" s="8">
        <f>IFERROR(X30/X148, "NA")</f>
        <v>1.0400799537407971E-2</v>
      </c>
      <c r="Z30" s="7">
        <v>235.09</v>
      </c>
      <c r="AA30" s="8">
        <f>IFERROR(Z30/Z148, "NA")</f>
        <v>1.0400799537407971E-2</v>
      </c>
      <c r="AB30" s="9">
        <f t="shared" si="6"/>
        <v>250.73749999999998</v>
      </c>
      <c r="AC30" s="8">
        <f>IFERROR(AB30/AB148, "NA")</f>
        <v>1.0159981595638303E-2</v>
      </c>
      <c r="AD30" s="10">
        <f t="shared" si="7"/>
        <v>-15.64749999999998</v>
      </c>
      <c r="AE30" s="11">
        <f>IFERROR(AD30/AD148, "NA")</f>
        <v>7.5378306607494271E-3</v>
      </c>
      <c r="AF30" s="10">
        <f t="shared" si="8"/>
        <v>-6.2405902587367189E-2</v>
      </c>
      <c r="AG30" s="9">
        <f t="shared" si="9"/>
        <v>266.85249999999996</v>
      </c>
      <c r="AH30" s="8">
        <f>IFERROR(AG30/AG148, "NA")</f>
        <v>1.0166538125708533E-2</v>
      </c>
      <c r="AI30" s="10">
        <f t="shared" si="10"/>
        <v>-31.76249999999996</v>
      </c>
      <c r="AJ30" s="11">
        <f>IFERROR(AI30/AI148, "NA")</f>
        <v>8.7138752259486186E-3</v>
      </c>
      <c r="AK30" s="10">
        <f t="shared" si="11"/>
        <v>-0.11902642845766843</v>
      </c>
      <c r="AL30" s="11">
        <f>IFERROR(AK30/AK148, "NA")</f>
        <v>0.85711331804417212</v>
      </c>
    </row>
    <row r="31" spans="1:38" ht="16.5" customHeight="1">
      <c r="A31" s="25" t="s">
        <v>46</v>
      </c>
      <c r="B31" s="7">
        <v>10.78</v>
      </c>
      <c r="C31" s="8">
        <f>IFERROR(B31/B148, "NA")</f>
        <v>4.3333669658351395E-4</v>
      </c>
      <c r="D31" s="7">
        <v>17.86</v>
      </c>
      <c r="E31" s="8">
        <f>IFERROR(D31/D148, "NA")</f>
        <v>5.846894516588517E-4</v>
      </c>
      <c r="F31" s="7">
        <v>12.3</v>
      </c>
      <c r="G31" s="8">
        <f>IFERROR(F31/F148, "NA")</f>
        <v>3.6359530128452606E-4</v>
      </c>
      <c r="H31" s="7">
        <v>11.33</v>
      </c>
      <c r="I31" s="8">
        <f>IFERROR(H31/H148, "NA")</f>
        <v>4.5523636330031499E-4</v>
      </c>
      <c r="J31" s="7">
        <v>27.42</v>
      </c>
      <c r="K31" s="8">
        <f>IFERROR(J31/J148, "NA")</f>
        <v>8.6663904294224903E-4</v>
      </c>
      <c r="L31" s="7">
        <v>1.36</v>
      </c>
      <c r="M31" s="8">
        <f>IFERROR(L31/L148, "NA")</f>
        <v>4.5211728853294258E-5</v>
      </c>
      <c r="N31" s="7">
        <v>9.1199999999999992</v>
      </c>
      <c r="O31" s="8">
        <f>IFERROR(N31/N148, "NA")</f>
        <v>3.4161154497192373E-4</v>
      </c>
      <c r="P31" s="7">
        <v>2.79</v>
      </c>
      <c r="Q31" s="8">
        <f>IFERROR(P31/P148, "NA")</f>
        <v>1.2208959625976991E-4</v>
      </c>
      <c r="R31" s="7">
        <v>8.42</v>
      </c>
      <c r="S31" s="8">
        <f>IFERROR(R31/R148, "NA")</f>
        <v>3.1230955886089352E-4</v>
      </c>
      <c r="T31" s="7">
        <v>8.42</v>
      </c>
      <c r="U31" s="8">
        <f>IFERROR(T31/T148, "NA")</f>
        <v>3.5008226101584559E-4</v>
      </c>
      <c r="V31" s="7">
        <v>6.93</v>
      </c>
      <c r="W31" s="8">
        <f>IFERROR(V31/V148, "NA")</f>
        <v>2.7608747789905795E-4</v>
      </c>
      <c r="X31" s="7">
        <v>9.98</v>
      </c>
      <c r="Y31" s="8">
        <f>IFERROR(X31/X148, "NA")</f>
        <v>4.4153294220652332E-4</v>
      </c>
      <c r="Z31" s="7">
        <v>9.98</v>
      </c>
      <c r="AA31" s="8">
        <f>IFERROR(Z31/Z148, "NA")</f>
        <v>4.4153294220652332E-4</v>
      </c>
      <c r="AB31" s="9">
        <f t="shared" si="6"/>
        <v>8.4375</v>
      </c>
      <c r="AC31" s="8">
        <f>IFERROR(AB31/AB148, "NA")</f>
        <v>3.418908009898726E-4</v>
      </c>
      <c r="AD31" s="10">
        <f t="shared" si="7"/>
        <v>1.5425000000000004</v>
      </c>
      <c r="AE31" s="11">
        <f>IFERROR(AD31/AD148, "NA")</f>
        <v>-7.4306462976232691E-4</v>
      </c>
      <c r="AF31" s="10">
        <f t="shared" si="8"/>
        <v>0.18281481481481487</v>
      </c>
      <c r="AG31" s="9">
        <f t="shared" si="9"/>
        <v>9.3050000000000015</v>
      </c>
      <c r="AH31" s="8">
        <f>IFERROR(AG31/AG148, "NA")</f>
        <v>3.5450159642393429E-4</v>
      </c>
      <c r="AI31" s="10">
        <f t="shared" si="10"/>
        <v>0.67499999999999893</v>
      </c>
      <c r="AJ31" s="11">
        <f>IFERROR(AI31/AI148, "NA")</f>
        <v>-1.8518270846171791E-4</v>
      </c>
      <c r="AK31" s="10">
        <f t="shared" si="11"/>
        <v>7.2541644277270154E-2</v>
      </c>
      <c r="AL31" s="11">
        <f>IFERROR(AK31/AK148, "NA")</f>
        <v>-0.52237482236967225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-15.19</v>
      </c>
      <c r="S33" s="8">
        <f>IFERROR(R33/R148, "NA")</f>
        <v>-5.6341831343194445E-4</v>
      </c>
      <c r="T33" s="7">
        <v>15.19</v>
      </c>
      <c r="U33" s="8">
        <f>IFERROR(T33/T148, "NA")</f>
        <v>6.3156170366160261E-4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363.13</v>
      </c>
      <c r="C34" s="14">
        <f>IFERROR(B34/B148, "NA")</f>
        <v>1.4597175754208854E-2</v>
      </c>
      <c r="D34" s="13">
        <f>IFERROR(D29+D30+D31+D32+D33, "NA")</f>
        <v>413.76</v>
      </c>
      <c r="E34" s="14">
        <f>IFERROR(D34/D148, "NA")</f>
        <v>1.3545414754667775E-2</v>
      </c>
      <c r="F34" s="13">
        <f>IFERROR(F29+F30+F31+F32+F33, "NA")</f>
        <v>309.06</v>
      </c>
      <c r="G34" s="14">
        <f>IFERROR(F34/F148, "NA")</f>
        <v>9.1359970581297249E-3</v>
      </c>
      <c r="H34" s="13">
        <f>IFERROR(H29+H30+H31+H32+H33, "NA")</f>
        <v>324.13</v>
      </c>
      <c r="I34" s="14">
        <f>IFERROR(H34/H148, "NA")</f>
        <v>1.3023456525730901E-2</v>
      </c>
      <c r="J34" s="13">
        <f>IFERROR(J29+J30+J31+J32+J33, "NA")</f>
        <v>368.56</v>
      </c>
      <c r="K34" s="14">
        <f>IFERROR(J34/J148, "NA")</f>
        <v>1.1648741271582615E-2</v>
      </c>
      <c r="L34" s="13">
        <f>IFERROR(L29+L30+L31+L32+L33, "NA")</f>
        <v>291.11</v>
      </c>
      <c r="M34" s="14">
        <f>IFERROR(L34/L148, "NA")</f>
        <v>9.677637048884186E-3</v>
      </c>
      <c r="N34" s="13">
        <f>IFERROR(N29+N30+N31+N32+N33, "NA")</f>
        <v>300.55</v>
      </c>
      <c r="O34" s="14">
        <f>IFERROR(N34/N148, "NA")</f>
        <v>1.1257823447512248E-2</v>
      </c>
      <c r="P34" s="13">
        <f>IFERROR(P29+P30+P31+P32+P33, "NA")</f>
        <v>212.34</v>
      </c>
      <c r="Q34" s="14">
        <f>IFERROR(P34/P148, "NA")</f>
        <v>9.2919372293188314E-3</v>
      </c>
      <c r="R34" s="13">
        <f>IFERROR(R29+R30+R31+R32+R33, "NA")</f>
        <v>275.73</v>
      </c>
      <c r="S34" s="14">
        <f>IFERROR(R34/R148, "NA")</f>
        <v>1.0227210767780782E-2</v>
      </c>
      <c r="T34" s="13">
        <f>IFERROR(T29+T30+T31+T32+T33, "NA")</f>
        <v>246.64</v>
      </c>
      <c r="U34" s="14">
        <f>IFERROR(T34/T148, "NA")</f>
        <v>1.0254666135029471E-2</v>
      </c>
      <c r="V34" s="13">
        <f>IFERROR(V29+V30+V31+V32+V33, "NA")</f>
        <v>269.26</v>
      </c>
      <c r="W34" s="14">
        <f>IFERROR(V34/V148, "NA")</f>
        <v>1.072717378053396E-2</v>
      </c>
      <c r="X34" s="13">
        <f>IFERROR(X29+X30+X31+X32+X33, "NA")</f>
        <v>245.07</v>
      </c>
      <c r="Y34" s="14">
        <f>IFERROR(X34/X148, "NA")</f>
        <v>1.0842332479614495E-2</v>
      </c>
      <c r="Z34" s="13">
        <f>IFERROR(Z29+Z30+Z31+Z32+Z33, "NA")</f>
        <v>245.07</v>
      </c>
      <c r="AA34" s="14">
        <f>IFERROR(Z34/Z148, "NA")</f>
        <v>1.0842332479614495E-2</v>
      </c>
      <c r="AB34" s="13">
        <f t="shared" si="6"/>
        <v>259.17500000000001</v>
      </c>
      <c r="AC34" s="14">
        <f>IFERROR(AB34/AB148, "NA")</f>
        <v>1.0501872396628175E-2</v>
      </c>
      <c r="AD34" s="15">
        <f t="shared" si="7"/>
        <v>-14.105000000000018</v>
      </c>
      <c r="AE34" s="16">
        <f>IFERROR(AD34/AD148, "NA")</f>
        <v>6.7947660309871189E-3</v>
      </c>
      <c r="AF34" s="15">
        <f t="shared" si="8"/>
        <v>-5.4422687373396422E-2</v>
      </c>
      <c r="AG34" s="13">
        <f t="shared" si="9"/>
        <v>276.15749999999997</v>
      </c>
      <c r="AH34" s="14">
        <f>IFERROR(AG34/AG148, "NA")</f>
        <v>1.0521039722132466E-2</v>
      </c>
      <c r="AI34" s="15">
        <f t="shared" si="10"/>
        <v>-31.087499999999977</v>
      </c>
      <c r="AJ34" s="16">
        <f>IFERROR(AI34/AI148, "NA")</f>
        <v>8.5286925174869049E-3</v>
      </c>
      <c r="AK34" s="15">
        <f t="shared" si="11"/>
        <v>-0.11257163031965448</v>
      </c>
      <c r="AL34" s="16">
        <f>IFERROR(AK34/AK148, "NA")</f>
        <v>0.8106320993680517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6131.27</v>
      </c>
      <c r="C35" s="14">
        <f>IFERROR(B35/B148, "NA")</f>
        <v>0.24646607492222652</v>
      </c>
      <c r="D35" s="13">
        <f>IFERROR(D13+D15+D16+D17+D18+D19+D20+D21+D22+D23+D24+D25+D26+D29+D30+D31+D32+D33, "NA")</f>
        <v>7338.84</v>
      </c>
      <c r="E35" s="14">
        <f>IFERROR(D35/D148, "NA")</f>
        <v>0.2402543300902602</v>
      </c>
      <c r="F35" s="13">
        <f>IFERROR(F13+F15+F16+F17+F18+F19+F20+F21+F22+F23+F24+F25+F26+F29+F30+F31+F32+F33, "NA")</f>
        <v>7542.9000000000005</v>
      </c>
      <c r="G35" s="14">
        <f>IFERROR(F35/F148, "NA")</f>
        <v>0.22297260146821557</v>
      </c>
      <c r="H35" s="13">
        <f>IFERROR(H13+H15+H16+H17+H18+H19+H20+H21+H22+H23+H24+H25+H26+H29+H30+H31+H32+H33, "NA")</f>
        <v>6412.1600000000008</v>
      </c>
      <c r="I35" s="14">
        <f>IFERROR(H35/H148, "NA")</f>
        <v>0.25763887019415255</v>
      </c>
      <c r="J35" s="13">
        <f>IFERROR(J13+J15+J16+J17+J18+J19+J20+J21+J22+J23+J24+J25+J26+J29+J30+J31+J32+J33, "NA")</f>
        <v>7945.6500000000005</v>
      </c>
      <c r="K35" s="14">
        <f>IFERROR(J35/J148, "NA")</f>
        <v>0.25113094498738442</v>
      </c>
      <c r="L35" s="13">
        <f>IFERROR(L13+L15+L16+L17+L18+L19+L20+L21+L22+L23+L24+L25+L26+L29+L30+L31+L32+L33, "NA")</f>
        <v>5948.7699999999995</v>
      </c>
      <c r="M35" s="14">
        <f>IFERROR(L35/L148, "NA")</f>
        <v>0.19776042371368474</v>
      </c>
      <c r="N35" s="13">
        <f>IFERROR(N13+N15+N16+N17+N18+N19+N20+N21+N22+N23+N24+N25+N26+N29+N30+N31+N32+N33, "NA")</f>
        <v>5468.13</v>
      </c>
      <c r="O35" s="14">
        <f>IFERROR(N35/N148, "NA")</f>
        <v>0.2048219668209787</v>
      </c>
      <c r="P35" s="13">
        <f>IFERROR(P13+P15+P16+P17+P18+P19+P20+P21+P22+P23+P24+P25+P26+P29+P30+P31+P32+P33, "NA")</f>
        <v>5838.91</v>
      </c>
      <c r="Q35" s="14">
        <f>IFERROR(P35/P148, "NA")</f>
        <v>0.25550901953302263</v>
      </c>
      <c r="R35" s="13">
        <f>IFERROR(R13+R15+R16+R17+R18+R19+R20+R21+R22+R23+R24+R25+R26+R29+R30+R31+R32+R33, "NA")</f>
        <v>5755.58</v>
      </c>
      <c r="S35" s="14">
        <f>IFERROR(R35/R148, "NA")</f>
        <v>0.21348250009365577</v>
      </c>
      <c r="T35" s="13">
        <f>IFERROR(T13+T15+T16+T17+T18+T19+T20+T21+T22+T23+T24+T25+T26+T29+T30+T31+T32+T33, "NA")</f>
        <v>5603.73</v>
      </c>
      <c r="U35" s="14">
        <f>IFERROR(T35/T148, "NA")</f>
        <v>0.23298889174849455</v>
      </c>
      <c r="V35" s="13">
        <f>IFERROR(V13+V15+V16+V17+V18+V19+V20+V21+V22+V23+V24+V25+V26+V29+V30+V31+V32+V33, "NA")</f>
        <v>5766.380000000001</v>
      </c>
      <c r="W35" s="14">
        <f>IFERROR(V35/V148, "NA")</f>
        <v>0.22972948207901442</v>
      </c>
      <c r="X35" s="13">
        <f>IFERROR(X13+X15+X16+X17+X18+X19+X20+X21+X22+X23+X24+X25+X26+X29+X30+X31+X32+X33, "NA")</f>
        <v>4681.51</v>
      </c>
      <c r="Y35" s="14">
        <f>IFERROR(X35/X148, "NA")</f>
        <v>0.20711832507708025</v>
      </c>
      <c r="Z35" s="13">
        <f>IFERROR(Z13+Z15+Z16+Z17+Z18+Z19+Z20+Z21+Z22+Z23+Z24+Z25+Z26+Z29+Z30+Z31+Z32+Z33, "NA")</f>
        <v>4681.51</v>
      </c>
      <c r="AA35" s="14">
        <f>IFERROR(Z35/Z148, "NA")</f>
        <v>0.20711832507708025</v>
      </c>
      <c r="AB35" s="13">
        <f t="shared" si="6"/>
        <v>5451.8000000000011</v>
      </c>
      <c r="AC35" s="14">
        <f>IFERROR(AB35/AB148, "NA")</f>
        <v>0.22090906889915116</v>
      </c>
      <c r="AD35" s="15">
        <f t="shared" si="7"/>
        <v>-770.29000000000087</v>
      </c>
      <c r="AE35" s="16">
        <f>IFERROR(AD35/AD148, "NA")</f>
        <v>0.37106985650542834</v>
      </c>
      <c r="AF35" s="15">
        <f t="shared" si="8"/>
        <v>-0.14129094977805509</v>
      </c>
      <c r="AG35" s="13">
        <f t="shared" si="9"/>
        <v>5876.0825000000013</v>
      </c>
      <c r="AH35" s="14">
        <f>IFERROR(AG35/AG148, "NA")</f>
        <v>0.22386680569250328</v>
      </c>
      <c r="AI35" s="15">
        <f t="shared" si="10"/>
        <v>-1194.5725000000011</v>
      </c>
      <c r="AJ35" s="16">
        <f>IFERROR(AI35/AI148, "NA")</f>
        <v>0.32772469778353491</v>
      </c>
      <c r="AK35" s="15">
        <f t="shared" si="11"/>
        <v>-0.20329403135507387</v>
      </c>
      <c r="AL35" s="16">
        <f>IFERROR(AK35/AK148, "NA")</f>
        <v>1.4639271631618658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815.47</v>
      </c>
      <c r="C40" s="8">
        <f>IFERROR(B40/B148, "NA")</f>
        <v>3.2780433762797608E-2</v>
      </c>
      <c r="D40" s="7">
        <v>816.43</v>
      </c>
      <c r="E40" s="8">
        <f>IFERROR(D40/D148, "NA")</f>
        <v>2.6727772061468997E-2</v>
      </c>
      <c r="F40" s="7">
        <v>942.18</v>
      </c>
      <c r="G40" s="8">
        <f>IFERROR(F40/F148, "NA")</f>
        <v>2.7851400078394692E-2</v>
      </c>
      <c r="H40" s="7">
        <v>838.65</v>
      </c>
      <c r="I40" s="8">
        <f>IFERROR(H40/H148, "NA")</f>
        <v>3.3696732222578039E-2</v>
      </c>
      <c r="J40" s="7">
        <v>795.43</v>
      </c>
      <c r="K40" s="8">
        <f>IFERROR(J40/J148, "NA")</f>
        <v>2.5140433768327974E-2</v>
      </c>
      <c r="L40" s="7">
        <v>867.54</v>
      </c>
      <c r="M40" s="8">
        <f>IFERROR(L40/L148, "NA")</f>
        <v>2.8840428859843309E-2</v>
      </c>
      <c r="N40" s="7">
        <v>769.11</v>
      </c>
      <c r="O40" s="8">
        <f>IFERROR(N40/N148, "NA")</f>
        <v>2.8808865718569769E-2</v>
      </c>
      <c r="P40" s="7">
        <v>773.49</v>
      </c>
      <c r="Q40" s="8">
        <f>IFERROR(P40/P148, "NA")</f>
        <v>3.3847699573824164E-2</v>
      </c>
      <c r="R40" s="7">
        <v>632.12</v>
      </c>
      <c r="S40" s="8">
        <f>IFERROR(R40/R148, "NA")</f>
        <v>2.3446213580421382E-2</v>
      </c>
      <c r="T40" s="7">
        <v>793.98</v>
      </c>
      <c r="U40" s="8">
        <f>IFERROR(T40/T148, "NA")</f>
        <v>3.301167619968659E-2</v>
      </c>
      <c r="V40" s="7">
        <v>805.91</v>
      </c>
      <c r="W40" s="8">
        <f>IFERROR(V40/V148, "NA")</f>
        <v>3.2107021545978325E-2</v>
      </c>
      <c r="X40" s="7">
        <v>628.97</v>
      </c>
      <c r="Y40" s="8">
        <f>IFERROR(X40/X148, "NA")</f>
        <v>2.7826750967899494E-2</v>
      </c>
      <c r="Z40" s="7">
        <v>628.97</v>
      </c>
      <c r="AA40" s="8">
        <f>IFERROR(Z40/Z148, "NA")</f>
        <v>2.7826750967899494E-2</v>
      </c>
      <c r="AB40" s="9">
        <f t="shared" si="12"/>
        <v>715.24499999999989</v>
      </c>
      <c r="AC40" s="8">
        <f>IFERROR(AB40/AB148, "NA")</f>
        <v>2.8982007224177944E-2</v>
      </c>
      <c r="AD40" s="10">
        <f t="shared" si="13"/>
        <v>-86.274999999999864</v>
      </c>
      <c r="AE40" s="11">
        <f>IFERROR(AD40/AD148, "NA")</f>
        <v>4.1561037881844169E-2</v>
      </c>
      <c r="AF40" s="10">
        <f t="shared" si="14"/>
        <v>-0.12062300330655912</v>
      </c>
      <c r="AG40" s="9">
        <f t="shared" si="15"/>
        <v>758.31875000000002</v>
      </c>
      <c r="AH40" s="8">
        <f>IFERROR(AG40/AG148, "NA")</f>
        <v>2.8890403812273216E-2</v>
      </c>
      <c r="AI40" s="10">
        <f t="shared" si="16"/>
        <v>-129.34875</v>
      </c>
      <c r="AJ40" s="11">
        <f>IFERROR(AI40/AI148, "NA")</f>
        <v>3.548615090538914E-2</v>
      </c>
      <c r="AK40" s="10">
        <f t="shared" si="17"/>
        <v>-0.17057306047094312</v>
      </c>
      <c r="AL40" s="11">
        <f>IFERROR(AK40/AK148, "NA")</f>
        <v>1.2283023503573849</v>
      </c>
    </row>
    <row r="41" spans="1:38" ht="16.5" customHeight="1">
      <c r="A41" s="25" t="s">
        <v>56</v>
      </c>
      <c r="B41" s="7">
        <v>106.74</v>
      </c>
      <c r="C41" s="8">
        <f>IFERROR(B41/B148, "NA")</f>
        <v>4.2907568639447384E-3</v>
      </c>
      <c r="D41" s="7">
        <v>485.56</v>
      </c>
      <c r="E41" s="8">
        <f>IFERROR(D41/D148, "NA")</f>
        <v>1.5895958014976036E-2</v>
      </c>
      <c r="F41" s="7">
        <v>248.46</v>
      </c>
      <c r="G41" s="8">
        <f>IFERROR(F41/F148, "NA")</f>
        <v>7.3446250859474259E-3</v>
      </c>
      <c r="H41" s="7">
        <v>248.12</v>
      </c>
      <c r="I41" s="8">
        <f>IFERROR(H41/H148, "NA")</f>
        <v>9.9693950981530593E-3</v>
      </c>
      <c r="J41" s="7">
        <v>439.62</v>
      </c>
      <c r="K41" s="8">
        <f>IFERROR(J41/J148, "NA")</f>
        <v>1.3894670169885905E-2</v>
      </c>
      <c r="L41" s="7">
        <v>257.66000000000003</v>
      </c>
      <c r="M41" s="8">
        <f>IFERROR(L41/L148, "NA")</f>
        <v>8.5656279826027935E-3</v>
      </c>
      <c r="N41" s="7">
        <v>-0.57999999999999996</v>
      </c>
      <c r="O41" s="8">
        <f>IFERROR(N41/N148, "NA")</f>
        <v>-2.1725295623214448E-5</v>
      </c>
      <c r="P41" s="7">
        <v>139.15</v>
      </c>
      <c r="Q41" s="8">
        <f>IFERROR(P41/P148, "NA")</f>
        <v>6.0891639138161225E-3</v>
      </c>
      <c r="R41" s="7">
        <v>118.1</v>
      </c>
      <c r="S41" s="8">
        <f>IFERROR(R41/R148, "NA")</f>
        <v>4.3804939312911554E-3</v>
      </c>
      <c r="T41" s="7">
        <v>140.34</v>
      </c>
      <c r="U41" s="8">
        <f>IFERROR(T41/T148, "NA")</f>
        <v>5.8349815333686187E-3</v>
      </c>
      <c r="V41" s="7">
        <v>34.340000000000003</v>
      </c>
      <c r="W41" s="8">
        <f>IFERROR(V41/V148, "NA")</f>
        <v>1.3680871559961978E-3</v>
      </c>
      <c r="X41" s="7">
        <v>154.06</v>
      </c>
      <c r="Y41" s="8">
        <f>IFERROR(X41/X148, "NA")</f>
        <v>6.8158882842021019E-3</v>
      </c>
      <c r="Z41" s="7">
        <v>154.06</v>
      </c>
      <c r="AA41" s="8">
        <f>IFERROR(Z41/Z148, "NA")</f>
        <v>6.8158882842021019E-3</v>
      </c>
      <c r="AB41" s="9">
        <f t="shared" si="12"/>
        <v>111.71</v>
      </c>
      <c r="AC41" s="8">
        <f>IFERROR(AB41/AB148, "NA")</f>
        <v>4.5265329041278418E-3</v>
      </c>
      <c r="AD41" s="10">
        <f t="shared" si="13"/>
        <v>42.350000000000009</v>
      </c>
      <c r="AE41" s="11">
        <f>IFERROR(AD41/AD148, "NA")</f>
        <v>-2.0401158554576689E-2</v>
      </c>
      <c r="AF41" s="10">
        <f t="shared" si="14"/>
        <v>0.3791066153432997</v>
      </c>
      <c r="AG41" s="9">
        <f t="shared" si="15"/>
        <v>160.33624999999998</v>
      </c>
      <c r="AH41" s="8">
        <f>IFERROR(AG41/AG148, "NA")</f>
        <v>6.1084853938341765E-3</v>
      </c>
      <c r="AI41" s="10">
        <f t="shared" si="16"/>
        <v>-6.2762499999999761</v>
      </c>
      <c r="AJ41" s="11">
        <f>IFERROR(AI41/AI148, "NA")</f>
        <v>1.7218562577523769E-3</v>
      </c>
      <c r="AK41" s="10">
        <f t="shared" si="17"/>
        <v>-3.9144298310581527E-2</v>
      </c>
      <c r="AL41" s="11">
        <f>IFERROR(AK41/AK148, "NA")</f>
        <v>0.28187940982725368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922.21</v>
      </c>
      <c r="C44" s="14">
        <f>IFERROR(B44/B148, "NA")</f>
        <v>3.7071190626742342E-2</v>
      </c>
      <c r="D44" s="13">
        <f>IFERROR(D39+D40+D41+D42+D43, "NA")</f>
        <v>1301.99</v>
      </c>
      <c r="E44" s="14">
        <f>IFERROR(D44/D148, "NA")</f>
        <v>4.2623730076445036E-2</v>
      </c>
      <c r="F44" s="13">
        <f>IFERROR(F39+F40+F41+F42+F43, "NA")</f>
        <v>1190.6399999999999</v>
      </c>
      <c r="G44" s="14">
        <f>IFERROR(F44/F148, "NA")</f>
        <v>3.5196025164342115E-2</v>
      </c>
      <c r="H44" s="13">
        <f>IFERROR(H39+H40+H41+H42+H43, "NA")</f>
        <v>1086.77</v>
      </c>
      <c r="I44" s="14">
        <f>IFERROR(H44/H148, "NA")</f>
        <v>4.3666127320731093E-2</v>
      </c>
      <c r="J44" s="13">
        <f>IFERROR(J39+J40+J41+J42+J43, "NA")</f>
        <v>1235.05</v>
      </c>
      <c r="K44" s="14">
        <f>IFERROR(J44/J148, "NA")</f>
        <v>3.9035103938213883E-2</v>
      </c>
      <c r="L44" s="13">
        <f>IFERROR(L39+L40+L41+L42+L43, "NA")</f>
        <v>1125.2</v>
      </c>
      <c r="M44" s="14">
        <f>IFERROR(L44/L148, "NA")</f>
        <v>3.7406056842446106E-2</v>
      </c>
      <c r="N44" s="13">
        <f>IFERROR(N39+N40+N41+N42+N43, "NA")</f>
        <v>768.53</v>
      </c>
      <c r="O44" s="14">
        <f>IFERROR(N44/N148, "NA")</f>
        <v>2.8787140422946556E-2</v>
      </c>
      <c r="P44" s="13">
        <f>IFERROR(P39+P40+P41+P42+P43, "NA")</f>
        <v>912.64</v>
      </c>
      <c r="Q44" s="14">
        <f>IFERROR(P44/P148, "NA")</f>
        <v>3.9936863487640285E-2</v>
      </c>
      <c r="R44" s="13">
        <f>IFERROR(R39+R40+R41+R42+R43, "NA")</f>
        <v>750.22</v>
      </c>
      <c r="S44" s="14">
        <f>IFERROR(R44/R148, "NA")</f>
        <v>2.7826707511712536E-2</v>
      </c>
      <c r="T44" s="13">
        <f>IFERROR(T39+T40+T41+T42+T43, "NA")</f>
        <v>934.32</v>
      </c>
      <c r="U44" s="14">
        <f>IFERROR(T44/T148, "NA")</f>
        <v>3.8846657733055207E-2</v>
      </c>
      <c r="V44" s="13">
        <f>IFERROR(V39+V40+V41+V42+V43, "NA")</f>
        <v>840.25</v>
      </c>
      <c r="W44" s="14">
        <f>IFERROR(V44/V148, "NA")</f>
        <v>3.3475108701974524E-2</v>
      </c>
      <c r="X44" s="13">
        <f>IFERROR(X39+X40+X41+X42+X43, "NA")</f>
        <v>783.03</v>
      </c>
      <c r="Y44" s="14">
        <f>IFERROR(X44/X148, "NA")</f>
        <v>3.4642639252101592E-2</v>
      </c>
      <c r="Z44" s="13">
        <f>IFERROR(Z39+Z40+Z41+Z42+Z43, "NA")</f>
        <v>783.03</v>
      </c>
      <c r="AA44" s="14">
        <f>IFERROR(Z44/Z148, "NA")</f>
        <v>3.4642639252101592E-2</v>
      </c>
      <c r="AB44" s="13">
        <f t="shared" si="12"/>
        <v>826.95499999999993</v>
      </c>
      <c r="AC44" s="14">
        <f>IFERROR(AB44/AB148, "NA")</f>
        <v>3.3508540128305786E-2</v>
      </c>
      <c r="AD44" s="15">
        <f t="shared" si="13"/>
        <v>-43.924999999999955</v>
      </c>
      <c r="AE44" s="16">
        <f>IFERROR(AD44/AD148, "NA")</f>
        <v>2.1159879327267529E-2</v>
      </c>
      <c r="AF44" s="15">
        <f t="shared" si="14"/>
        <v>-5.3116554105120541E-2</v>
      </c>
      <c r="AG44" s="13">
        <f t="shared" si="15"/>
        <v>918.65499999999986</v>
      </c>
      <c r="AH44" s="14">
        <f>IFERROR(AG44/AG148, "NA")</f>
        <v>3.4998889206107386E-2</v>
      </c>
      <c r="AI44" s="15">
        <f t="shared" si="16"/>
        <v>-135.62499999999989</v>
      </c>
      <c r="AJ44" s="16">
        <f>IFERROR(AI44/AI148, "NA")</f>
        <v>3.7208007163141495E-2</v>
      </c>
      <c r="AK44" s="15">
        <f t="shared" si="17"/>
        <v>-0.14763431320789622</v>
      </c>
      <c r="AL44" s="16">
        <f>IFERROR(AK44/AK148, "NA")</f>
        <v>1.0631196591418852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196.03</v>
      </c>
      <c r="C47" s="8">
        <f>IFERROR(B47/B148, "NA")</f>
        <v>7.8800549750710804E-3</v>
      </c>
      <c r="D47" s="7">
        <v>89.6</v>
      </c>
      <c r="E47" s="8">
        <f>IFERROR(D47/D148, "NA")</f>
        <v>2.933268469688304E-3</v>
      </c>
      <c r="F47" s="7">
        <v>120.7</v>
      </c>
      <c r="G47" s="8">
        <f>IFERROR(F47/F148, "NA")</f>
        <v>3.5679636475644139E-3</v>
      </c>
      <c r="H47" s="7">
        <v>113.62</v>
      </c>
      <c r="I47" s="8">
        <f>IFERROR(H47/H148, "NA")</f>
        <v>4.5652211472358159E-3</v>
      </c>
      <c r="J47" s="7">
        <v>81.19</v>
      </c>
      <c r="K47" s="8">
        <f>IFERROR(J47/J148, "NA")</f>
        <v>2.5660986103749526E-3</v>
      </c>
      <c r="L47" s="7">
        <v>138.65</v>
      </c>
      <c r="M47" s="8">
        <f>IFERROR(L47/L148, "NA")</f>
        <v>4.6092692687568007E-3</v>
      </c>
      <c r="N47" s="7">
        <v>142.69</v>
      </c>
      <c r="O47" s="8">
        <f>IFERROR(N47/N148, "NA")</f>
        <v>5.3447972973732242E-3</v>
      </c>
      <c r="P47" s="7">
        <v>184.49</v>
      </c>
      <c r="Q47" s="8">
        <f>IFERROR(P47/P148, "NA")</f>
        <v>8.0732292523171875E-3</v>
      </c>
      <c r="R47" s="7">
        <v>190.87</v>
      </c>
      <c r="S47" s="8">
        <f>IFERROR(R47/R148, "NA")</f>
        <v>7.0796348574559088E-3</v>
      </c>
      <c r="T47" s="7">
        <v>177.7</v>
      </c>
      <c r="U47" s="8">
        <f>IFERROR(T47/T148, "NA")</f>
        <v>7.3883156511301371E-3</v>
      </c>
      <c r="V47" s="7">
        <v>194.62</v>
      </c>
      <c r="W47" s="8">
        <f>IFERROR(V47/V148, "NA")</f>
        <v>7.7535562696557951E-3</v>
      </c>
      <c r="X47" s="7">
        <v>109.65</v>
      </c>
      <c r="Y47" s="8">
        <f>IFERROR(X47/X148, "NA")</f>
        <v>4.8511109331608494E-3</v>
      </c>
      <c r="Z47" s="7">
        <v>109.65</v>
      </c>
      <c r="AA47" s="8">
        <f>IFERROR(Z47/Z148, "NA")</f>
        <v>4.8511109331608494E-3</v>
      </c>
      <c r="AB47" s="9">
        <f t="shared" si="18"/>
        <v>168.21</v>
      </c>
      <c r="AC47" s="8">
        <f>IFERROR(AB47/AB148, "NA")</f>
        <v>6.8159350085341009E-3</v>
      </c>
      <c r="AD47" s="10">
        <f t="shared" si="19"/>
        <v>-58.56</v>
      </c>
      <c r="AE47" s="11">
        <f>IFERROR(AD47/AD148, "NA")</f>
        <v>2.8209960919858574E-2</v>
      </c>
      <c r="AF47" s="10">
        <f t="shared" si="20"/>
        <v>-0.34813625824861777</v>
      </c>
      <c r="AG47" s="9">
        <f t="shared" si="21"/>
        <v>152.48250000000002</v>
      </c>
      <c r="AH47" s="8">
        <f>IFERROR(AG47/AG148, "NA")</f>
        <v>5.809273474122789E-3</v>
      </c>
      <c r="AI47" s="10">
        <f t="shared" si="22"/>
        <v>-42.83250000000001</v>
      </c>
      <c r="AJ47" s="11">
        <f>IFERROR(AI47/AI148, "NA")</f>
        <v>1.1750871644720809E-2</v>
      </c>
      <c r="AK47" s="10">
        <f t="shared" si="23"/>
        <v>-0.28090108700998478</v>
      </c>
      <c r="AL47" s="11">
        <f>IFERROR(AK47/AK148, "NA")</f>
        <v>2.0227781833760567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196.03</v>
      </c>
      <c r="C52" s="14">
        <f>IFERROR(B52/B148, "NA")</f>
        <v>7.8800549750710804E-3</v>
      </c>
      <c r="D52" s="13">
        <f>IFERROR(D46+D47+D48+D49+D50+D51, "NA")</f>
        <v>89.6</v>
      </c>
      <c r="E52" s="14">
        <f>IFERROR(D52/D148, "NA")</f>
        <v>2.933268469688304E-3</v>
      </c>
      <c r="F52" s="13">
        <f>IFERROR(F46+F47+F48+F49+F50+F51, "NA")</f>
        <v>120.7</v>
      </c>
      <c r="G52" s="14">
        <f>IFERROR(F52/F148, "NA")</f>
        <v>3.5679636475644139E-3</v>
      </c>
      <c r="H52" s="13">
        <f>IFERROR(H46+H47+H48+H49+H50+H51, "NA")</f>
        <v>113.62</v>
      </c>
      <c r="I52" s="14">
        <f>IFERROR(H52/H148, "NA")</f>
        <v>4.5652211472358159E-3</v>
      </c>
      <c r="J52" s="13">
        <f>IFERROR(J46+J47+J48+J49+J50+J51, "NA")</f>
        <v>81.19</v>
      </c>
      <c r="K52" s="14">
        <f>IFERROR(J52/J148, "NA")</f>
        <v>2.5660986103749526E-3</v>
      </c>
      <c r="L52" s="13">
        <f>IFERROR(L46+L47+L48+L49+L50+L51, "NA")</f>
        <v>138.65</v>
      </c>
      <c r="M52" s="14">
        <f>IFERROR(L52/L148, "NA")</f>
        <v>4.6092692687568007E-3</v>
      </c>
      <c r="N52" s="13">
        <f>IFERROR(N46+N47+N48+N49+N50+N51, "NA")</f>
        <v>142.69</v>
      </c>
      <c r="O52" s="14">
        <f>IFERROR(N52/N148, "NA")</f>
        <v>5.3447972973732242E-3</v>
      </c>
      <c r="P52" s="13">
        <f>IFERROR(P46+P47+P48+P49+P50+P51, "NA")</f>
        <v>184.49</v>
      </c>
      <c r="Q52" s="14">
        <f>IFERROR(P52/P148, "NA")</f>
        <v>8.0732292523171875E-3</v>
      </c>
      <c r="R52" s="13">
        <f>IFERROR(R46+R47+R48+R49+R50+R51, "NA")</f>
        <v>190.87</v>
      </c>
      <c r="S52" s="14">
        <f>IFERROR(R52/R148, "NA")</f>
        <v>7.0796348574559088E-3</v>
      </c>
      <c r="T52" s="13">
        <f>IFERROR(T46+T47+T48+T49+T50+T51, "NA")</f>
        <v>177.7</v>
      </c>
      <c r="U52" s="14">
        <f>IFERROR(T52/T148, "NA")</f>
        <v>7.3883156511301371E-3</v>
      </c>
      <c r="V52" s="13">
        <f>IFERROR(V46+V47+V48+V49+V50+V51, "NA")</f>
        <v>194.62</v>
      </c>
      <c r="W52" s="14">
        <f>IFERROR(V52/V148, "NA")</f>
        <v>7.7535562696557951E-3</v>
      </c>
      <c r="X52" s="13">
        <f>IFERROR(X46+X47+X48+X49+X50+X51, "NA")</f>
        <v>109.65</v>
      </c>
      <c r="Y52" s="14">
        <f>IFERROR(X52/X148, "NA")</f>
        <v>4.8511109331608494E-3</v>
      </c>
      <c r="Z52" s="13">
        <f>IFERROR(Z46+Z47+Z48+Z49+Z50+Z51, "NA")</f>
        <v>109.65</v>
      </c>
      <c r="AA52" s="14">
        <f>IFERROR(Z52/Z148, "NA")</f>
        <v>4.8511109331608494E-3</v>
      </c>
      <c r="AB52" s="13">
        <f t="shared" si="18"/>
        <v>168.21</v>
      </c>
      <c r="AC52" s="14">
        <f>IFERROR(AB52/AB148, "NA")</f>
        <v>6.8159350085341009E-3</v>
      </c>
      <c r="AD52" s="15">
        <f t="shared" si="19"/>
        <v>-58.56</v>
      </c>
      <c r="AE52" s="16">
        <f>IFERROR(AD52/AD148, "NA")</f>
        <v>2.8209960919858574E-2</v>
      </c>
      <c r="AF52" s="15">
        <f t="shared" si="20"/>
        <v>-0.34813625824861777</v>
      </c>
      <c r="AG52" s="13">
        <f t="shared" si="21"/>
        <v>152.48250000000002</v>
      </c>
      <c r="AH52" s="14">
        <f>IFERROR(AG52/AG148, "NA")</f>
        <v>5.809273474122789E-3</v>
      </c>
      <c r="AI52" s="15">
        <f t="shared" si="22"/>
        <v>-42.83250000000001</v>
      </c>
      <c r="AJ52" s="16">
        <f>IFERROR(AI52/AI148, "NA")</f>
        <v>1.1750871644720809E-2</v>
      </c>
      <c r="AK52" s="15">
        <f t="shared" si="23"/>
        <v>-0.28090108700998478</v>
      </c>
      <c r="AL52" s="16">
        <f>IFERROR(AK52/AK148, "NA")</f>
        <v>2.0227781833760567</v>
      </c>
    </row>
    <row r="53" spans="1:38" ht="16.5" customHeight="1">
      <c r="A53" s="23" t="s">
        <v>68</v>
      </c>
      <c r="B53" s="7">
        <v>25.44</v>
      </c>
      <c r="C53" s="8">
        <f>IFERROR(B53/B148, "NA")</f>
        <v>1.0226424453696286E-3</v>
      </c>
      <c r="D53" s="7">
        <v>26.76</v>
      </c>
      <c r="E53" s="8">
        <f>IFERROR(D53/D148, "NA")</f>
        <v>8.7605205634887304E-4</v>
      </c>
      <c r="F53" s="7">
        <v>38.28</v>
      </c>
      <c r="G53" s="8">
        <f>IFERROR(F53/F148, "NA")</f>
        <v>1.1315795230220859E-3</v>
      </c>
      <c r="H53" s="7">
        <v>33.17</v>
      </c>
      <c r="I53" s="8">
        <f>IFERROR(H53/H148, "NA")</f>
        <v>1.3327617096797395E-3</v>
      </c>
      <c r="J53" s="7">
        <v>44.24</v>
      </c>
      <c r="K53" s="8">
        <f>IFERROR(J53/J148, "NA")</f>
        <v>1.3982535105676549E-3</v>
      </c>
      <c r="L53" s="7">
        <v>21.3</v>
      </c>
      <c r="M53" s="8">
        <f>IFERROR(L53/L148, "NA")</f>
        <v>7.0809545924644681E-4</v>
      </c>
      <c r="N53" s="7">
        <v>33.29</v>
      </c>
      <c r="O53" s="8">
        <f>IFERROR(N53/N148, "NA")</f>
        <v>1.2469570539600156E-3</v>
      </c>
      <c r="P53" s="7">
        <v>7.97</v>
      </c>
      <c r="Q53" s="8">
        <f>IFERROR(P53/P148, "NA")</f>
        <v>3.4876490401088389E-4</v>
      </c>
      <c r="R53" s="7">
        <v>20.260000000000002</v>
      </c>
      <c r="S53" s="8">
        <f>IFERROR(R53/R148, "NA")</f>
        <v>7.5147169388618807E-4</v>
      </c>
      <c r="T53" s="7">
        <v>19.75</v>
      </c>
      <c r="U53" s="8">
        <f>IFERROR(T53/T148, "NA")</f>
        <v>8.2115494715711993E-4</v>
      </c>
      <c r="V53" s="7">
        <v>41.27</v>
      </c>
      <c r="W53" s="8">
        <f>IFERROR(V53/V148, "NA")</f>
        <v>1.6441746338952557E-3</v>
      </c>
      <c r="X53" s="7">
        <v>28.65</v>
      </c>
      <c r="Y53" s="8">
        <f>IFERROR(X53/X148, "NA")</f>
        <v>1.2675269332882656E-3</v>
      </c>
      <c r="Z53" s="7">
        <v>28.65</v>
      </c>
      <c r="AA53" s="8">
        <f>IFERROR(Z53/Z148, "NA")</f>
        <v>1.2675269332882656E-3</v>
      </c>
      <c r="AB53" s="9">
        <f t="shared" si="18"/>
        <v>27.482500000000002</v>
      </c>
      <c r="AC53" s="8">
        <f>IFERROR(AB53/AB148, "NA")</f>
        <v>1.1136016519353096E-3</v>
      </c>
      <c r="AD53" s="10">
        <f t="shared" si="19"/>
        <v>1.1674999999999969</v>
      </c>
      <c r="AE53" s="11">
        <f>IFERROR(AD53/AD148, "NA")</f>
        <v>-5.6241682674068984E-4</v>
      </c>
      <c r="AF53" s="10">
        <f t="shared" si="20"/>
        <v>4.2481579186755089E-2</v>
      </c>
      <c r="AG53" s="9">
        <f t="shared" si="21"/>
        <v>27.091250000000002</v>
      </c>
      <c r="AH53" s="8">
        <f>IFERROR(AG53/AG148, "NA")</f>
        <v>1.0321215877614088E-3</v>
      </c>
      <c r="AI53" s="10">
        <f t="shared" si="22"/>
        <v>1.5587499999999963</v>
      </c>
      <c r="AJ53" s="11">
        <f>IFERROR(AI53/AI148, "NA")</f>
        <v>-4.2763488416992974E-4</v>
      </c>
      <c r="AK53" s="10">
        <f t="shared" si="23"/>
        <v>5.7537027638074882E-2</v>
      </c>
      <c r="AL53" s="11">
        <f>IFERROR(AK53/AK148, "NA")</f>
        <v>-0.41432607285875728</v>
      </c>
    </row>
    <row r="54" spans="1:38" ht="16.5" customHeight="1">
      <c r="A54" s="23" t="s">
        <v>69</v>
      </c>
      <c r="B54" s="7">
        <v>24</v>
      </c>
      <c r="C54" s="8">
        <f>IFERROR(B54/B148, "NA")</f>
        <v>9.6475702393361183E-4</v>
      </c>
      <c r="D54" s="7">
        <v>40.31</v>
      </c>
      <c r="E54" s="8">
        <f>IFERROR(D54/D148, "NA")</f>
        <v>1.319643437646602E-3</v>
      </c>
      <c r="F54" s="7">
        <v>33</v>
      </c>
      <c r="G54" s="8">
        <f>IFERROR(F54/F148, "NA")</f>
        <v>9.7549958881214304E-4</v>
      </c>
      <c r="H54" s="7">
        <v>37</v>
      </c>
      <c r="I54" s="8">
        <f>IFERROR(H54/H148, "NA")</f>
        <v>1.4866500831519553E-3</v>
      </c>
      <c r="J54" s="7">
        <v>23.25</v>
      </c>
      <c r="K54" s="8">
        <f>IFERROR(J54/J148, "NA")</f>
        <v>7.3484163925628329E-4</v>
      </c>
      <c r="L54" s="7">
        <v>39.31</v>
      </c>
      <c r="M54" s="8">
        <f>IFERROR(L54/L148, "NA")</f>
        <v>1.3068184273698511E-3</v>
      </c>
      <c r="N54" s="7">
        <v>33</v>
      </c>
      <c r="O54" s="8">
        <f>IFERROR(N54/N148, "NA")</f>
        <v>1.2360944061484084E-3</v>
      </c>
      <c r="P54" s="7">
        <v>30</v>
      </c>
      <c r="Q54" s="8">
        <f>IFERROR(P54/P148, "NA")</f>
        <v>1.3127913576319345E-3</v>
      </c>
      <c r="R54" s="7">
        <v>18</v>
      </c>
      <c r="S54" s="8">
        <f>IFERROR(R54/R148, "NA")</f>
        <v>6.676451377073733E-4</v>
      </c>
      <c r="T54" s="7">
        <v>28</v>
      </c>
      <c r="U54" s="8">
        <f>IFERROR(T54/T148, "NA")</f>
        <v>1.1641690390075624E-3</v>
      </c>
      <c r="V54" s="7">
        <v>33</v>
      </c>
      <c r="W54" s="8">
        <f>IFERROR(V54/V148, "NA")</f>
        <v>1.3147022757097997E-3</v>
      </c>
      <c r="X54" s="7">
        <v>37</v>
      </c>
      <c r="Y54" s="8">
        <f>IFERROR(X54/X148, "NA")</f>
        <v>1.6369457777195753E-3</v>
      </c>
      <c r="Z54" s="7">
        <v>37</v>
      </c>
      <c r="AA54" s="8">
        <f>IFERROR(Z54/Z148, "NA")</f>
        <v>1.6369457777195753E-3</v>
      </c>
      <c r="AB54" s="9">
        <f t="shared" si="18"/>
        <v>29</v>
      </c>
      <c r="AC54" s="8">
        <f>IFERROR(AB54/AB148, "NA")</f>
        <v>1.175091345624451E-3</v>
      </c>
      <c r="AD54" s="10">
        <f t="shared" si="19"/>
        <v>8</v>
      </c>
      <c r="AE54" s="11">
        <f>IFERROR(AD54/AD148, "NA")</f>
        <v>-3.8538197977948871E-3</v>
      </c>
      <c r="AF54" s="10">
        <f t="shared" si="20"/>
        <v>0.27586206896551724</v>
      </c>
      <c r="AG54" s="9">
        <f t="shared" si="21"/>
        <v>30.195</v>
      </c>
      <c r="AH54" s="8">
        <f>IFERROR(AG54/AG148, "NA")</f>
        <v>1.1503681573369901E-3</v>
      </c>
      <c r="AI54" s="10">
        <f t="shared" si="22"/>
        <v>6.8049999999999997</v>
      </c>
      <c r="AJ54" s="11">
        <f>IFERROR(AI54/AI148, "NA")</f>
        <v>-1.8669160460473961E-3</v>
      </c>
      <c r="AK54" s="10">
        <f t="shared" si="23"/>
        <v>0.22536843848319257</v>
      </c>
      <c r="AL54" s="11">
        <f>IFERROR(AK54/AK148, "NA")</f>
        <v>-1.6228857119699458</v>
      </c>
    </row>
    <row r="55" spans="1:38" ht="16.5" customHeight="1">
      <c r="A55" s="23" t="s">
        <v>70</v>
      </c>
      <c r="B55" s="7">
        <v>-234.94</v>
      </c>
      <c r="C55" s="8">
        <f>IFERROR(B55/B148, "NA")</f>
        <v>-9.4441673001234485E-3</v>
      </c>
      <c r="D55" s="7">
        <v>-252.29</v>
      </c>
      <c r="E55" s="8">
        <f>IFERROR(D55/D148, "NA")</f>
        <v>-8.2593114086792659E-3</v>
      </c>
      <c r="F55" s="7">
        <v>-116.88</v>
      </c>
      <c r="G55" s="8">
        <f>IFERROR(F55/F148, "NA")</f>
        <v>-3.4550421800110085E-3</v>
      </c>
      <c r="H55" s="7">
        <v>-210.01</v>
      </c>
      <c r="I55" s="8">
        <f>IFERROR(H55/H148, "NA")</f>
        <v>-8.4381455125065452E-3</v>
      </c>
      <c r="J55" s="7">
        <v>-233.82</v>
      </c>
      <c r="K55" s="8">
        <f>IFERROR(J55/J148, "NA")</f>
        <v>-7.3901364340173831E-3</v>
      </c>
      <c r="L55" s="7">
        <v>-188.18</v>
      </c>
      <c r="M55" s="8">
        <f>IFERROR(L55/L148, "NA")</f>
        <v>-6.2558405408918482E-3</v>
      </c>
      <c r="N55" s="7">
        <v>-194.74</v>
      </c>
      <c r="O55" s="8">
        <f>IFERROR(N55/N148, "NA")</f>
        <v>-7.2944552925254865E-3</v>
      </c>
      <c r="P55" s="7">
        <v>-215.72</v>
      </c>
      <c r="Q55" s="8">
        <f>IFERROR(P55/P148, "NA")</f>
        <v>-9.4398450556120294E-3</v>
      </c>
      <c r="R55" s="7">
        <v>-208.72</v>
      </c>
      <c r="S55" s="8">
        <f>IFERROR(R55/R148, "NA")</f>
        <v>-7.7417162856823867E-3</v>
      </c>
      <c r="T55" s="7">
        <v>-346.4</v>
      </c>
      <c r="U55" s="8">
        <f>IFERROR(T55/T148, "NA")</f>
        <v>-1.44024341111507E-2</v>
      </c>
      <c r="V55" s="7">
        <v>-377.58</v>
      </c>
      <c r="W55" s="8">
        <f>IFERROR(V55/V148, "NA")</f>
        <v>-1.5042584401894125E-2</v>
      </c>
      <c r="X55" s="7">
        <v>-341.95</v>
      </c>
      <c r="Y55" s="8">
        <f>IFERROR(X55/X148, "NA")</f>
        <v>-1.5128475910573209E-2</v>
      </c>
      <c r="Z55" s="7">
        <v>-341.95</v>
      </c>
      <c r="AA55" s="8">
        <f>IFERROR(Z55/Z148, "NA")</f>
        <v>-1.5128475910573209E-2</v>
      </c>
      <c r="AB55" s="9">
        <f t="shared" si="18"/>
        <v>-318.66250000000002</v>
      </c>
      <c r="AC55" s="8">
        <f>IFERROR(AB55/AB148, "NA")</f>
        <v>-1.2912329169829368E-2</v>
      </c>
      <c r="AD55" s="10">
        <f t="shared" si="19"/>
        <v>-23.287499999999966</v>
      </c>
      <c r="AE55" s="11">
        <f>IFERROR(AD55/AD148, "NA")</f>
        <v>1.1218228567643538E-2</v>
      </c>
      <c r="AF55" s="10">
        <f t="shared" si="20"/>
        <v>7.3078884399638999E-2</v>
      </c>
      <c r="AG55" s="9">
        <f t="shared" si="21"/>
        <v>-263.38874999999996</v>
      </c>
      <c r="AH55" s="8">
        <f>IFERROR(AG55/AG148, "NA")</f>
        <v>-1.0034576287491079E-2</v>
      </c>
      <c r="AI55" s="10">
        <f t="shared" si="22"/>
        <v>-78.56125000000003</v>
      </c>
      <c r="AJ55" s="11">
        <f>IFERROR(AI55/AI148, "NA")</f>
        <v>2.1552866748352835E-2</v>
      </c>
      <c r="AK55" s="10">
        <f t="shared" si="23"/>
        <v>0.29827109168481963</v>
      </c>
      <c r="AL55" s="11">
        <f>IFERROR(AK55/AK148, "NA")</f>
        <v>-2.147860171756355</v>
      </c>
    </row>
    <row r="56" spans="1:38" ht="16.5" customHeight="1">
      <c r="A56" s="27" t="s">
        <v>71</v>
      </c>
      <c r="B56" s="13">
        <f>IFERROR(B37+B39+B40+B41+B42+B43+B46+B47+B48+B49+B50+B51+B53+B54+B55, "NA")</f>
        <v>932.74</v>
      </c>
      <c r="C56" s="14">
        <f>IFERROR(B56/B148, "NA")</f>
        <v>3.7494477770993212E-2</v>
      </c>
      <c r="D56" s="13">
        <f>IFERROR(D37+D39+D40+D41+D42+D43+D46+D47+D48+D49+D50+D51+D53+D54+D55, "NA")</f>
        <v>1206.3699999999999</v>
      </c>
      <c r="E56" s="14">
        <f>IFERROR(D56/D148, "NA")</f>
        <v>3.9493382631449546E-2</v>
      </c>
      <c r="F56" s="13">
        <f>IFERROR(F37+F39+F40+F41+F42+F43+F46+F47+F48+F49+F50+F51+F53+F54+F55, "NA")</f>
        <v>1265.7399999999998</v>
      </c>
      <c r="G56" s="14">
        <f>IFERROR(F56/F148, "NA")</f>
        <v>3.741602574372975E-2</v>
      </c>
      <c r="H56" s="13">
        <f>IFERROR(H37+H39+H40+H41+H42+H43+H46+H47+H48+H49+H50+H51+H53+H54+H55, "NA")</f>
        <v>1060.55</v>
      </c>
      <c r="I56" s="14">
        <f>IFERROR(H56/H148, "NA")</f>
        <v>4.261261474829206E-2</v>
      </c>
      <c r="J56" s="13">
        <f>IFERROR(J37+J39+J40+J41+J42+J43+J46+J47+J48+J49+J50+J51+J53+J54+J55, "NA")</f>
        <v>1149.9100000000001</v>
      </c>
      <c r="K56" s="14">
        <f>IFERROR(J56/J148, "NA")</f>
        <v>3.6344161264395394E-2</v>
      </c>
      <c r="L56" s="13">
        <f>IFERROR(L37+L39+L40+L41+L42+L43+L46+L47+L48+L49+L50+L51+L53+L54+L55, "NA")</f>
        <v>1136.28</v>
      </c>
      <c r="M56" s="14">
        <f>IFERROR(L56/L148, "NA")</f>
        <v>3.777439945692735E-2</v>
      </c>
      <c r="N56" s="13">
        <f>IFERROR(N37+N39+N40+N41+N42+N43+N46+N47+N48+N49+N50+N51+N53+N54+N55, "NA")</f>
        <v>782.77</v>
      </c>
      <c r="O56" s="14">
        <f>IFERROR(N56/N148, "NA")</f>
        <v>2.9320533887902716E-2</v>
      </c>
      <c r="P56" s="13">
        <f>IFERROR(P37+P39+P40+P41+P42+P43+P46+P47+P48+P49+P50+P51+P53+P54+P55, "NA")</f>
        <v>919.38000000000011</v>
      </c>
      <c r="Q56" s="14">
        <f>IFERROR(P56/P148, "NA")</f>
        <v>4.023180394598827E-2</v>
      </c>
      <c r="R56" s="13">
        <f>IFERROR(R37+R39+R40+R41+R42+R43+R46+R47+R48+R49+R50+R51+R53+R54+R55, "NA")</f>
        <v>770.63</v>
      </c>
      <c r="S56" s="14">
        <f>IFERROR(R56/R148, "NA")</f>
        <v>2.8583742915079619E-2</v>
      </c>
      <c r="T56" s="13">
        <f>IFERROR(T37+T39+T40+T41+T42+T43+T46+T47+T48+T49+T50+T51+T53+T54+T55, "NA")</f>
        <v>813.37</v>
      </c>
      <c r="U56" s="14">
        <f>IFERROR(T56/T148, "NA")</f>
        <v>3.3817863259199325E-2</v>
      </c>
      <c r="V56" s="13">
        <f>IFERROR(V37+V39+V40+V41+V42+V43+V46+V47+V48+V49+V50+V51+V53+V54+V55, "NA")</f>
        <v>731.56</v>
      </c>
      <c r="W56" s="14">
        <f>IFERROR(V56/V148, "NA")</f>
        <v>2.9144957479341243E-2</v>
      </c>
      <c r="X56" s="13">
        <f>IFERROR(X37+X39+X40+X41+X42+X43+X46+X47+X48+X49+X50+X51+X53+X54+X55, "NA")</f>
        <v>616.37999999999988</v>
      </c>
      <c r="Y56" s="14">
        <f>IFERROR(X56/X148, "NA")</f>
        <v>2.726974698569707E-2</v>
      </c>
      <c r="Z56" s="13">
        <f>IFERROR(Z37+Z39+Z40+Z41+Z42+Z43+Z46+Z47+Z48+Z49+Z50+Z51+Z53+Z54+Z55, "NA")</f>
        <v>616.37999999999988</v>
      </c>
      <c r="AA56" s="14">
        <f>IFERROR(Z56/Z148, "NA")</f>
        <v>2.726974698569707E-2</v>
      </c>
      <c r="AB56" s="13">
        <f t="shared" si="18"/>
        <v>732.9849999999999</v>
      </c>
      <c r="AC56" s="14">
        <f>IFERROR(AB56/AB148, "NA")</f>
        <v>2.9700838964570278E-2</v>
      </c>
      <c r="AD56" s="15">
        <f t="shared" si="19"/>
        <v>-116.60500000000002</v>
      </c>
      <c r="AE56" s="16">
        <f>IFERROR(AD56/AD148, "NA")</f>
        <v>5.6171832190234111E-2</v>
      </c>
      <c r="AF56" s="15">
        <f t="shared" si="20"/>
        <v>-0.15908238231341709</v>
      </c>
      <c r="AG56" s="13">
        <f t="shared" si="21"/>
        <v>865.03499999999997</v>
      </c>
      <c r="AH56" s="14">
        <f>IFERROR(AG56/AG148, "NA")</f>
        <v>3.2956076137837499E-2</v>
      </c>
      <c r="AI56" s="15">
        <f t="shared" si="22"/>
        <v>-248.65500000000009</v>
      </c>
      <c r="AJ56" s="16">
        <f>IFERROR(AI56/AI148, "NA")</f>
        <v>6.821719462599786E-2</v>
      </c>
      <c r="AK56" s="15">
        <f t="shared" si="23"/>
        <v>-0.28745079678856938</v>
      </c>
      <c r="AL56" s="16">
        <f>IFERROR(AK56/AK148, "NA")</f>
        <v>2.0699428639708843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7064.01</v>
      </c>
      <c r="C57" s="29">
        <f>IFERROR(B57/B148, "NA")</f>
        <v>0.28396055269321974</v>
      </c>
      <c r="D57" s="28">
        <f>IFERROR(D13+D15+D16+D17+D18+D19+D20+D21+D22+D23+D24+D25+D26+D29+D30+D31+D32+D33+D37+D39+D40+D41+D42+D43+D46+D47+D48+D49+D50+D51+D53+D54+D55, "NA")</f>
        <v>8545.2099999999991</v>
      </c>
      <c r="E57" s="29">
        <f>IFERROR(D57/D148, "NA")</f>
        <v>0.27974771272170973</v>
      </c>
      <c r="F57" s="28">
        <f>IFERROR(F13+F15+F16+F17+F18+F19+F20+F21+F22+F23+F24+F25+F26+F29+F30+F31+F32+F33+F37+F39+F40+F41+F42+F43+F46+F47+F48+F49+F50+F51+F53+F54+F55, "NA")</f>
        <v>8808.6400000000012</v>
      </c>
      <c r="G57" s="29">
        <f>IFERROR(F57/F148, "NA")</f>
        <v>0.26038862721194533</v>
      </c>
      <c r="H57" s="28">
        <f>IFERROR(H13+H15+H16+H17+H18+H19+H20+H21+H22+H23+H24+H25+H26+H29+H30+H31+H32+H33+H37+H39+H40+H41+H42+H43+H46+H47+H48+H49+H50+H51+H53+H54+H55, "NA")</f>
        <v>7472.71</v>
      </c>
      <c r="I57" s="29">
        <f>IFERROR(H57/H148, "NA")</f>
        <v>0.30025148494244458</v>
      </c>
      <c r="J57" s="28">
        <f>IFERROR(J13+J15+J16+J17+J18+J19+J20+J21+J22+J23+J24+J25+J26+J29+J30+J31+J32+J33+J37+J39+J40+J41+J42+J43+J46+J47+J48+J49+J50+J51+J53+J54+J55, "NA")</f>
        <v>9095.5600000000013</v>
      </c>
      <c r="K57" s="29">
        <f>IFERROR(J57/J148, "NA")</f>
        <v>0.28747510625177985</v>
      </c>
      <c r="L57" s="28">
        <f>IFERROR(L13+L15+L16+L17+L18+L19+L20+L21+L22+L23+L24+L25+L26+L29+L30+L31+L32+L33+L37+L39+L40+L41+L42+L43+L46+L47+L48+L49+L50+L51+L53+L54+L55, "NA")</f>
        <v>7085.0499999999993</v>
      </c>
      <c r="M57" s="29">
        <f>IFERROR(L57/L148, "NA")</f>
        <v>0.23553482317061208</v>
      </c>
      <c r="N57" s="28">
        <f>IFERROR(N13+N15+N16+N17+N18+N19+N20+N21+N22+N23+N24+N25+N26+N29+N30+N31+N32+N33+N37+N39+N40+N41+N42+N43+N46+N47+N48+N49+N50+N51+N53+N54+N55, "NA")</f>
        <v>6250.9</v>
      </c>
      <c r="O57" s="29">
        <f>IFERROR(N57/N148, "NA")</f>
        <v>0.23414250070888137</v>
      </c>
      <c r="P57" s="28">
        <f>IFERROR(P13+P15+P16+P17+P18+P19+P20+P21+P22+P23+P24+P25+P26+P29+P30+P31+P32+P33+P37+P39+P40+P41+P42+P43+P46+P47+P48+P49+P50+P51+P53+P54+P55, "NA")</f>
        <v>6758.2899999999991</v>
      </c>
      <c r="Q57" s="29">
        <f>IFERROR(P57/P148, "NA")</f>
        <v>0.29574082347901082</v>
      </c>
      <c r="R57" s="28">
        <f>IFERROR(R13+R15+R16+R17+R18+R19+R20+R21+R22+R23+R24+R25+R26+R29+R30+R31+R32+R33+R37+R39+R40+R41+R42+R43+R46+R47+R48+R49+R50+R51+R53+R54+R55, "NA")</f>
        <v>6526.21</v>
      </c>
      <c r="S57" s="29">
        <f>IFERROR(R57/R148, "NA")</f>
        <v>0.24206624300873539</v>
      </c>
      <c r="T57" s="28">
        <f>IFERROR(T13+T15+T16+T17+T18+T19+T20+T21+T22+T23+T24+T25+T26+T29+T30+T31+T32+T33+T37+T39+T40+T41+T42+T43+T46+T47+T48+T49+T50+T51+T53+T54+T55, "NA")</f>
        <v>6417.0999999999995</v>
      </c>
      <c r="U57" s="29">
        <f>IFERROR(T57/T148, "NA")</f>
        <v>0.26680675500769385</v>
      </c>
      <c r="V57" s="28">
        <f>IFERROR(V13+V15+V16+V17+V18+V19+V20+V21+V22+V23+V24+V25+V26+V29+V30+V31+V32+V33+V37+V39+V40+V41+V42+V43+V46+V47+V48+V49+V50+V51+V53+V54+V55, "NA")</f>
        <v>6497.9400000000014</v>
      </c>
      <c r="W57" s="29">
        <f>IFERROR(V57/V148, "NA")</f>
        <v>0.25887443955835571</v>
      </c>
      <c r="X57" s="28">
        <f>IFERROR(X13+X15+X16+X17+X18+X19+X20+X21+X22+X23+X24+X25+X26+X29+X30+X31+X32+X33+X37+X39+X40+X41+X42+X43+X46+X47+X48+X49+X50+X51+X53+X54+X55, "NA")</f>
        <v>5297.89</v>
      </c>
      <c r="Y57" s="29">
        <f>IFERROR(X57/X148, "NA")</f>
        <v>0.23438807206277734</v>
      </c>
      <c r="Z57" s="28">
        <f>IFERROR(Z13+Z15+Z16+Z17+Z18+Z19+Z20+Z21+Z22+Z23+Z24+Z25+Z26+Z29+Z30+Z31+Z32+Z33+Z37+Z39+Z40+Z41+Z42+Z43+Z46+Z47+Z48+Z49+Z50+Z51+Z53+Z54+Z55, "NA")</f>
        <v>5297.89</v>
      </c>
      <c r="AA57" s="29">
        <f>IFERROR(Z57/Z148, "NA")</f>
        <v>0.23438807206277734</v>
      </c>
      <c r="AB57" s="28">
        <f t="shared" si="18"/>
        <v>6184.7849999999999</v>
      </c>
      <c r="AC57" s="29">
        <f>IFERROR(AB57/AB148, "NA")</f>
        <v>0.25060990786372139</v>
      </c>
      <c r="AD57" s="30">
        <f t="shared" si="19"/>
        <v>-886.89499999999953</v>
      </c>
      <c r="AE57" s="31">
        <f>IFERROR(AD57/AD148, "NA")</f>
        <v>0.42724168869566181</v>
      </c>
      <c r="AF57" s="30">
        <f t="shared" si="20"/>
        <v>-0.14339948761355481</v>
      </c>
      <c r="AG57" s="28">
        <f t="shared" si="21"/>
        <v>6741.1175000000003</v>
      </c>
      <c r="AH57" s="29">
        <f>IFERROR(AG57/AG148, "NA")</f>
        <v>0.25682288183034074</v>
      </c>
      <c r="AI57" s="30">
        <f t="shared" si="22"/>
        <v>-1443.2275</v>
      </c>
      <c r="AJ57" s="31">
        <f>IFERROR(AI57/AI148, "NA")</f>
        <v>0.39594189240953243</v>
      </c>
      <c r="AK57" s="30">
        <f t="shared" si="23"/>
        <v>-0.21409321229009878</v>
      </c>
      <c r="AL57" s="31">
        <f>IFERROR(AK57/AK148, "NA")</f>
        <v>1.5416924286018054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17812.72</v>
      </c>
      <c r="C59" s="34">
        <f>IFERROR(B59/B148, "NA")</f>
        <v>0.71603944730678037</v>
      </c>
      <c r="D59" s="33">
        <f>IFERROR(D9-D57, "NA")</f>
        <v>22000.920000000002</v>
      </c>
      <c r="E59" s="34">
        <f>IFERROR(D59/D148, "NA")</f>
        <v>0.72025228727829027</v>
      </c>
      <c r="F59" s="33">
        <f>IFERROR(F9-F57, "NA")</f>
        <v>25020.179999999993</v>
      </c>
      <c r="G59" s="34">
        <f>IFERROR(F59/F148, "NA")</f>
        <v>0.73961137278805444</v>
      </c>
      <c r="H59" s="33">
        <f>IFERROR(H9-H57, "NA")</f>
        <v>17415.46</v>
      </c>
      <c r="I59" s="34">
        <f>IFERROR(H59/H148, "NA")</f>
        <v>0.69974851505755542</v>
      </c>
      <c r="J59" s="33">
        <f>IFERROR(J9-J57, "NA")</f>
        <v>22543.910000000011</v>
      </c>
      <c r="K59" s="34">
        <f>IFERROR(J59/J148, "NA")</f>
        <v>0.71252489374822048</v>
      </c>
      <c r="L59" s="33">
        <f>IFERROR(L9-L57, "NA")</f>
        <v>22995.639999999992</v>
      </c>
      <c r="M59" s="34">
        <f>IFERROR(L59/L148, "NA")</f>
        <v>0.76446517682938764</v>
      </c>
      <c r="N59" s="33">
        <f>IFERROR(N9-N57, "NA")</f>
        <v>20446.089999999997</v>
      </c>
      <c r="O59" s="34">
        <f>IFERROR(N59/N148, "NA")</f>
        <v>0.76585749929111846</v>
      </c>
      <c r="P59" s="33">
        <f>IFERROR(P9-P57, "NA")</f>
        <v>16093.779999999997</v>
      </c>
      <c r="Q59" s="34">
        <f>IFERROR(P59/P148, "NA")</f>
        <v>0.70425917652098902</v>
      </c>
      <c r="R59" s="33">
        <f>IFERROR(R9-R57, "NA")</f>
        <v>20434.22</v>
      </c>
      <c r="S59" s="34">
        <f>IFERROR(R59/R148, "NA")</f>
        <v>0.75793375699126464</v>
      </c>
      <c r="T59" s="33">
        <f>IFERROR(T9-T57, "NA")</f>
        <v>17634.39</v>
      </c>
      <c r="U59" s="34">
        <f>IFERROR(T59/T148, "NA")</f>
        <v>0.73319324499230598</v>
      </c>
      <c r="V59" s="33">
        <f>IFERROR(V9-V57, "NA")</f>
        <v>18602.8</v>
      </c>
      <c r="W59" s="34">
        <f>IFERROR(V59/V148, "NA")</f>
        <v>0.74112556044164424</v>
      </c>
      <c r="X59" s="33">
        <f>IFERROR(X9-X57, "NA")</f>
        <v>17305.180000000004</v>
      </c>
      <c r="Y59" s="34">
        <f>IFERROR(X59/X148, "NA")</f>
        <v>0.76561192793722288</v>
      </c>
      <c r="Z59" s="33">
        <f>IFERROR(Z9-Z57, "NA")</f>
        <v>17305.180000000004</v>
      </c>
      <c r="AA59" s="34">
        <f>IFERROR(Z59/Z148, "NA")</f>
        <v>0.76561192793722288</v>
      </c>
      <c r="AB59" s="33">
        <f>IFERROR((R59+T59+V59+X59)/4, "NA")</f>
        <v>18494.147500000003</v>
      </c>
      <c r="AC59" s="34">
        <f>IFERROR(AB59/AB148, "NA")</f>
        <v>0.74939009213627861</v>
      </c>
      <c r="AD59" s="15">
        <f>IFERROR(X59-AB59, "NA")</f>
        <v>-1188.9674999999988</v>
      </c>
      <c r="AE59" s="16">
        <f>IFERROR(AD59/AD148, "NA")</f>
        <v>0.57275831130433597</v>
      </c>
      <c r="AF59" s="15">
        <f>IFERROR((X59-AB59)/AB59, "NA")</f>
        <v>-6.4288851378523859E-2</v>
      </c>
      <c r="AG59" s="33">
        <f>IFERROR((J59+L59+N59+P59+R59+T59+V59+X59)/8, "NA")</f>
        <v>19507.001249999998</v>
      </c>
      <c r="AH59" s="34">
        <f>IFERROR(AG59/AG148, "NA")</f>
        <v>0.74317711816965926</v>
      </c>
      <c r="AI59" s="15">
        <f>IFERROR(X59-AG59, "NA")</f>
        <v>-2201.8212499999936</v>
      </c>
      <c r="AJ59" s="16">
        <f>IFERROR(AI59/AI148, "NA")</f>
        <v>0.6040581075904663</v>
      </c>
      <c r="AK59" s="15">
        <f>IFERROR((X59-AG59)/AG59, "NA")</f>
        <v>-0.11287338437013705</v>
      </c>
      <c r="AL59" s="16">
        <f>IFERROR(AK59/AK148, "NA")</f>
        <v>0.81280504044335555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1298.08</v>
      </c>
      <c r="C66" s="8">
        <f>IFERROR(B66/B148, "NA")</f>
        <v>5.2180491567822618E-2</v>
      </c>
      <c r="D66" s="7">
        <v>1298.08</v>
      </c>
      <c r="E66" s="8">
        <f>IFERROR(D66/D148, "NA")</f>
        <v>4.2495726954609306E-2</v>
      </c>
      <c r="F66" s="7">
        <v>1298.08</v>
      </c>
      <c r="G66" s="8">
        <f>IFERROR(F66/F148, "NA")</f>
        <v>3.8372015340765654E-2</v>
      </c>
      <c r="H66" s="7">
        <v>1298.08</v>
      </c>
      <c r="I66" s="8">
        <f>IFERROR(H66/H148, "NA")</f>
        <v>5.2156506484807845E-2</v>
      </c>
      <c r="J66" s="7">
        <v>1298.08</v>
      </c>
      <c r="K66" s="8">
        <f>IFERROR(J66/J148, "NA")</f>
        <v>4.1027235917668652E-2</v>
      </c>
      <c r="L66" s="7">
        <v>1298.08</v>
      </c>
      <c r="M66" s="8">
        <f>IFERROR(L66/L148, "NA")</f>
        <v>4.3153265433738389E-2</v>
      </c>
      <c r="N66" s="7">
        <v>1298.08</v>
      </c>
      <c r="O66" s="8">
        <f>IFERROR(N66/N148, "NA")</f>
        <v>4.8622709901003813E-2</v>
      </c>
      <c r="P66" s="7">
        <v>1298.08</v>
      </c>
      <c r="Q66" s="8">
        <f>IFERROR(P66/P148, "NA")</f>
        <v>5.6803606850495382E-2</v>
      </c>
      <c r="R66" s="7">
        <v>1298.08</v>
      </c>
      <c r="S66" s="8">
        <f>IFERROR(R66/R148, "NA")</f>
        <v>4.8147600019732617E-2</v>
      </c>
      <c r="T66" s="7">
        <v>1298.08</v>
      </c>
      <c r="U66" s="8">
        <f>IFERROR(T66/T148, "NA")</f>
        <v>5.3970876648390592E-2</v>
      </c>
      <c r="V66" s="7">
        <v>1298.08</v>
      </c>
      <c r="W66" s="8">
        <f>IFERROR(V66/V148, "NA")</f>
        <v>5.1714810001617477E-2</v>
      </c>
      <c r="X66" s="7">
        <v>1298.08</v>
      </c>
      <c r="Y66" s="8">
        <f>IFERROR(X66/X148, "NA")</f>
        <v>5.7429366895735842E-2</v>
      </c>
      <c r="Z66" s="7">
        <v>1298.08</v>
      </c>
      <c r="AA66" s="8">
        <f>IFERROR(Z66/Z148, "NA")</f>
        <v>5.7429366895735842E-2</v>
      </c>
      <c r="AB66" s="9">
        <f t="shared" si="24"/>
        <v>1298.08</v>
      </c>
      <c r="AC66" s="8">
        <f>IFERROR(AB66/AB148, "NA")</f>
        <v>5.2598709445799564E-2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1298.08</v>
      </c>
      <c r="AH66" s="8">
        <f>IFERROR(AG66/AG148, "NA")</f>
        <v>4.9454210885113432E-2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5508.42</v>
      </c>
      <c r="C68" s="8">
        <f>IFERROR(B68/B148, "NA")</f>
        <v>0.22142862024068277</v>
      </c>
      <c r="D68" s="7">
        <v>5924.51</v>
      </c>
      <c r="E68" s="8">
        <f>IFERROR(D68/D148, "NA")</f>
        <v>0.19395288372045821</v>
      </c>
      <c r="F68" s="7">
        <v>6025.8</v>
      </c>
      <c r="G68" s="8">
        <f>IFERROR(F68/F148, "NA")</f>
        <v>0.17812622491709731</v>
      </c>
      <c r="H68" s="7">
        <v>4873.3999999999996</v>
      </c>
      <c r="I68" s="8">
        <f>IFERROR(H68/H148, "NA")</f>
        <v>0.19581190581710106</v>
      </c>
      <c r="J68" s="7">
        <v>6079.82</v>
      </c>
      <c r="K68" s="8">
        <f>IFERROR(J68/J148, "NA")</f>
        <v>0.19215935033045747</v>
      </c>
      <c r="L68" s="7">
        <v>6198.51</v>
      </c>
      <c r="M68" s="8">
        <f>IFERROR(L68/L148, "NA")</f>
        <v>0.20606275986355369</v>
      </c>
      <c r="N68" s="7">
        <v>5639.93</v>
      </c>
      <c r="O68" s="8">
        <f>IFERROR(N68/N148, "NA")</f>
        <v>0.2112571492141998</v>
      </c>
      <c r="P68" s="7">
        <v>6116.84</v>
      </c>
      <c r="Q68" s="8">
        <f>IFERROR(P68/P148, "NA")</f>
        <v>0.26767115626724408</v>
      </c>
      <c r="R68" s="7">
        <v>5143.54</v>
      </c>
      <c r="S68" s="8">
        <f>IFERROR(R68/R148, "NA")</f>
        <v>0.19078108175574351</v>
      </c>
      <c r="T68" s="7">
        <v>6607.72</v>
      </c>
      <c r="U68" s="8">
        <f>IFERROR(T68/T148, "NA")</f>
        <v>0.27473225151539465</v>
      </c>
      <c r="V68" s="7">
        <v>4847.05</v>
      </c>
      <c r="W68" s="8">
        <f>IFERROR(V68/V148, "NA")</f>
        <v>0.19310386865088439</v>
      </c>
      <c r="X68" s="7">
        <v>5263.34</v>
      </c>
      <c r="Y68" s="8">
        <f>IFERROR(X68/X148, "NA")</f>
        <v>0.23285951864060944</v>
      </c>
      <c r="Z68" s="7">
        <v>5263.34</v>
      </c>
      <c r="AA68" s="8">
        <f>IFERROR(Z68/Z148, "NA")</f>
        <v>0.23285951864060944</v>
      </c>
      <c r="AB68" s="9">
        <f t="shared" si="24"/>
        <v>5465.4125000000004</v>
      </c>
      <c r="AC68" s="8">
        <f>IFERROR(AB68/AB148, "NA")</f>
        <v>0.2214606527247481</v>
      </c>
      <c r="AD68" s="10">
        <f t="shared" si="25"/>
        <v>-202.07250000000022</v>
      </c>
      <c r="AE68" s="11">
        <f>IFERROR(AD68/AD148, "NA")</f>
        <v>9.7343875136238517E-2</v>
      </c>
      <c r="AF68" s="10">
        <f t="shared" si="26"/>
        <v>-3.697296407178785E-2</v>
      </c>
      <c r="AG68" s="9">
        <f t="shared" si="27"/>
        <v>5737.09375</v>
      </c>
      <c r="AH68" s="8">
        <f>IFERROR(AG68/AG148, "NA")</f>
        <v>0.21857161668014782</v>
      </c>
      <c r="AI68" s="10">
        <f t="shared" si="28"/>
        <v>-473.75374999999985</v>
      </c>
      <c r="AJ68" s="11">
        <f>IFERROR(AI68/AI148, "NA")</f>
        <v>0.12997185565762326</v>
      </c>
      <c r="AK68" s="10">
        <f t="shared" si="29"/>
        <v>-8.2577306672041023E-2</v>
      </c>
      <c r="AL68" s="11">
        <f>IFERROR(AK68/AK148, "NA")</f>
        <v>0.5946419650993422</v>
      </c>
    </row>
    <row r="69" spans="1:38" ht="16.5" customHeight="1">
      <c r="A69" s="25" t="s">
        <v>81</v>
      </c>
      <c r="B69" s="7">
        <v>0</v>
      </c>
      <c r="C69" s="8">
        <f>IFERROR(B69/B148, "NA")</f>
        <v>0</v>
      </c>
      <c r="D69" s="7">
        <v>0</v>
      </c>
      <c r="E69" s="8">
        <f>IFERROR(D69/D148, "NA")</f>
        <v>0</v>
      </c>
      <c r="F69" s="7">
        <v>175.69</v>
      </c>
      <c r="G69" s="8">
        <f>IFERROR(F69/F148, "NA")</f>
        <v>5.1935006896486483E-3</v>
      </c>
      <c r="H69" s="7">
        <v>0</v>
      </c>
      <c r="I69" s="8">
        <f>IFERROR(H69/H148, "NA")</f>
        <v>0</v>
      </c>
      <c r="J69" s="7">
        <v>68.260000000000005</v>
      </c>
      <c r="K69" s="8">
        <f>IFERROR(J69/J148, "NA")</f>
        <v>2.1574318406724262E-3</v>
      </c>
      <c r="L69" s="7">
        <v>13.35</v>
      </c>
      <c r="M69" s="8">
        <f>IFERROR(L69/L148, "NA")</f>
        <v>4.4380630896432232E-4</v>
      </c>
      <c r="N69" s="7">
        <v>0</v>
      </c>
      <c r="O69" s="8">
        <f>IFERROR(N69/N148, "NA")</f>
        <v>0</v>
      </c>
      <c r="P69" s="7">
        <v>0</v>
      </c>
      <c r="Q69" s="8">
        <f>IFERROR(P69/P148, "NA")</f>
        <v>0</v>
      </c>
      <c r="R69" s="7">
        <v>0</v>
      </c>
      <c r="S69" s="8">
        <f>IFERROR(R69/R148, "NA")</f>
        <v>0</v>
      </c>
      <c r="T69" s="7">
        <v>23.26</v>
      </c>
      <c r="U69" s="8">
        <f>IFERROR(T69/T148, "NA")</f>
        <v>9.6709185168985373E-4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5.8150000000000004</v>
      </c>
      <c r="AC69" s="8">
        <f>IFERROR(AB69/AB148, "NA")</f>
        <v>2.3562607499331666E-4</v>
      </c>
      <c r="AD69" s="10">
        <f t="shared" si="25"/>
        <v>-5.8150000000000004</v>
      </c>
      <c r="AE69" s="11">
        <f>IFERROR(AD69/AD148, "NA")</f>
        <v>2.8012452655221589E-3</v>
      </c>
      <c r="AF69" s="10">
        <f t="shared" si="26"/>
        <v>-1</v>
      </c>
      <c r="AG69" s="9">
        <f t="shared" si="27"/>
        <v>13.108750000000001</v>
      </c>
      <c r="AH69" s="8">
        <f>IFERROR(AG69/AG148, "NA")</f>
        <v>4.9941674391426626E-4</v>
      </c>
      <c r="AI69" s="10">
        <f t="shared" si="28"/>
        <v>-13.108750000000001</v>
      </c>
      <c r="AJ69" s="11">
        <f>IFERROR(AI69/AI148, "NA")</f>
        <v>3.5963167845148867E-3</v>
      </c>
      <c r="AK69" s="10">
        <f t="shared" si="29"/>
        <v>-1</v>
      </c>
      <c r="AL69" s="11">
        <f>IFERROR(AK69/AK148, "NA")</f>
        <v>7.2010336624441615</v>
      </c>
    </row>
    <row r="70" spans="1:38" ht="16.5" customHeight="1">
      <c r="A70" s="26" t="s">
        <v>82</v>
      </c>
      <c r="B70" s="13">
        <f>IFERROR(B65+B66+B67+B68+B69, "NA")</f>
        <v>6806.5</v>
      </c>
      <c r="C70" s="14">
        <f>IFERROR(B70/B148, "NA")</f>
        <v>0.27360911180850539</v>
      </c>
      <c r="D70" s="13">
        <f>IFERROR(D65+D66+D67+D68+D69, "NA")</f>
        <v>7222.59</v>
      </c>
      <c r="E70" s="14">
        <f>IFERROR(D70/D148, "NA")</f>
        <v>0.23644861067506751</v>
      </c>
      <c r="F70" s="13">
        <f>IFERROR(F65+F66+F67+F68+F69, "NA")</f>
        <v>7499.57</v>
      </c>
      <c r="G70" s="14">
        <f>IFERROR(F70/F148, "NA")</f>
        <v>0.22169174094751162</v>
      </c>
      <c r="H70" s="13">
        <f>IFERROR(H65+H66+H67+H68+H69, "NA")</f>
        <v>6171.48</v>
      </c>
      <c r="I70" s="14">
        <f>IFERROR(H70/H148, "NA")</f>
        <v>0.24796841230190889</v>
      </c>
      <c r="J70" s="13">
        <f>IFERROR(J65+J66+J67+J68+J69, "NA")</f>
        <v>7446.16</v>
      </c>
      <c r="K70" s="14">
        <f>IFERROR(J70/J148, "NA")</f>
        <v>0.23534401808879857</v>
      </c>
      <c r="L70" s="13">
        <f>IFERROR(L65+L66+L67+L68+L69, "NA")</f>
        <v>7509.9400000000005</v>
      </c>
      <c r="M70" s="14">
        <f>IFERROR(L70/L148, "NA")</f>
        <v>0.2496598316062564</v>
      </c>
      <c r="N70" s="13">
        <f>IFERROR(N65+N66+N67+N68+N69, "NA")</f>
        <v>6938.01</v>
      </c>
      <c r="O70" s="14">
        <f>IFERROR(N70/N148, "NA")</f>
        <v>0.25987985911520362</v>
      </c>
      <c r="P70" s="13">
        <f>IFERROR(P65+P66+P67+P68+P69, "NA")</f>
        <v>7414.92</v>
      </c>
      <c r="Q70" s="14">
        <f>IFERROR(P70/P148, "NA")</f>
        <v>0.32447476311773943</v>
      </c>
      <c r="R70" s="13">
        <f>IFERROR(R65+R66+R67+R68+R69, "NA")</f>
        <v>6441.62</v>
      </c>
      <c r="S70" s="14">
        <f>IFERROR(R70/R148, "NA")</f>
        <v>0.23892868177547613</v>
      </c>
      <c r="T70" s="13">
        <f>IFERROR(T65+T66+T67+T68+T69, "NA")</f>
        <v>7929.06</v>
      </c>
      <c r="U70" s="14">
        <f>IFERROR(T70/T148, "NA")</f>
        <v>0.32967022001547513</v>
      </c>
      <c r="V70" s="13">
        <f>IFERROR(V65+V66+V67+V68+V69, "NA")</f>
        <v>6145.13</v>
      </c>
      <c r="W70" s="14">
        <f>IFERROR(V70/V148, "NA")</f>
        <v>0.24481867865250187</v>
      </c>
      <c r="X70" s="13">
        <f>IFERROR(X65+X66+X67+X68+X69, "NA")</f>
        <v>6561.42</v>
      </c>
      <c r="Y70" s="14">
        <f>IFERROR(X70/X148, "NA")</f>
        <v>0.2902888855363453</v>
      </c>
      <c r="Z70" s="13">
        <f>IFERROR(Z65+Z66+Z67+Z68+Z69, "NA")</f>
        <v>6561.42</v>
      </c>
      <c r="AA70" s="14">
        <f>IFERROR(Z70/Z148, "NA")</f>
        <v>0.2902888855363453</v>
      </c>
      <c r="AB70" s="13">
        <f t="shared" si="24"/>
        <v>6769.3075000000008</v>
      </c>
      <c r="AC70" s="14">
        <f>IFERROR(AB70/AB148, "NA")</f>
        <v>0.27429498824554099</v>
      </c>
      <c r="AD70" s="15">
        <f t="shared" si="25"/>
        <v>-207.88750000000073</v>
      </c>
      <c r="AE70" s="16">
        <f>IFERROR(AD70/AD148, "NA")</f>
        <v>0.10014512040176092</v>
      </c>
      <c r="AF70" s="15">
        <f t="shared" si="26"/>
        <v>-3.0710305300800815E-2</v>
      </c>
      <c r="AG70" s="13">
        <f t="shared" si="27"/>
        <v>7048.2824999999993</v>
      </c>
      <c r="AH70" s="14">
        <f>IFERROR(AG70/AG148, "NA")</f>
        <v>0.26852524430917551</v>
      </c>
      <c r="AI70" s="15">
        <f t="shared" si="28"/>
        <v>-486.86249999999927</v>
      </c>
      <c r="AJ70" s="16">
        <f>IFERROR(AI70/AI148, "NA")</f>
        <v>0.13356817244213798</v>
      </c>
      <c r="AK70" s="15">
        <f t="shared" si="29"/>
        <v>-6.9075338566523023E-2</v>
      </c>
      <c r="AL70" s="16">
        <f>IFERROR(AK70/AK148, "NA")</f>
        <v>0.49741383826225971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488</v>
      </c>
      <c r="G72" s="8">
        <f>IFERROR(F72/F148, "NA")</f>
        <v>1.4425569676979569E-2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-813</v>
      </c>
      <c r="O72" s="8">
        <f>IFERROR(N72/N148, "NA")</f>
        <v>-3.0452871278747153E-2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325</v>
      </c>
      <c r="W72" s="8">
        <f>IFERROR(V72/V148, "NA")</f>
        <v>1.2947825442596513E-2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81.25</v>
      </c>
      <c r="AC72" s="8">
        <f>IFERROR(AB72/AB148, "NA")</f>
        <v>3.2922817873098842E-3</v>
      </c>
      <c r="AD72" s="10">
        <f t="shared" si="25"/>
        <v>-81.25</v>
      </c>
      <c r="AE72" s="11">
        <f>IFERROR(AD72/AD148, "NA")</f>
        <v>3.9140357321354319E-2</v>
      </c>
      <c r="AF72" s="10">
        <f t="shared" si="26"/>
        <v>-1</v>
      </c>
      <c r="AG72" s="9">
        <f t="shared" si="27"/>
        <v>-61</v>
      </c>
      <c r="AH72" s="8">
        <f>IFERROR(AG72/AG148, "NA")</f>
        <v>-2.3239760754282632E-3</v>
      </c>
      <c r="AI72" s="10">
        <f t="shared" si="28"/>
        <v>61</v>
      </c>
      <c r="AJ72" s="11">
        <f>IFERROR(AI72/AI148, "NA")</f>
        <v>-1.6735029949873793E-2</v>
      </c>
      <c r="AK72" s="10">
        <f t="shared" si="29"/>
        <v>-1</v>
      </c>
      <c r="AL72" s="11">
        <f>IFERROR(AK72/AK148, "NA")</f>
        <v>7.2010336624441615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609.27</v>
      </c>
      <c r="C74" s="8">
        <f>IFERROR(B74/B148, "NA")</f>
        <v>2.4491562998834655E-2</v>
      </c>
      <c r="D74" s="7">
        <v>629.49</v>
      </c>
      <c r="E74" s="8">
        <f>IFERROR(D74/D148, "NA")</f>
        <v>2.0607847868126011E-2</v>
      </c>
      <c r="F74" s="7">
        <v>647.77</v>
      </c>
      <c r="G74" s="8">
        <f>IFERROR(F74/F148, "NA")</f>
        <v>1.9148465716510361E-2</v>
      </c>
      <c r="H74" s="7">
        <v>548.44000000000005</v>
      </c>
      <c r="I74" s="8">
        <f>IFERROR(H74/H148, "NA")</f>
        <v>2.2036172205509689E-2</v>
      </c>
      <c r="J74" s="7">
        <v>652.21</v>
      </c>
      <c r="K74" s="8">
        <f>IFERROR(J74/J148, "NA")</f>
        <v>2.0613809270509272E-2</v>
      </c>
      <c r="L74" s="7">
        <v>663.13</v>
      </c>
      <c r="M74" s="8">
        <f>IFERROR(L74/L148, "NA")</f>
        <v>2.2045039525356632E-2</v>
      </c>
      <c r="N74" s="7">
        <v>621.16</v>
      </c>
      <c r="O74" s="8">
        <f>IFERROR(N74/N148, "NA")</f>
        <v>2.3267042464337737E-2</v>
      </c>
      <c r="P74" s="7">
        <v>634.97</v>
      </c>
      <c r="Q74" s="8">
        <f>IFERROR(P74/P148, "NA")</f>
        <v>2.7786104278518315E-2</v>
      </c>
      <c r="R74" s="7">
        <v>555.4</v>
      </c>
      <c r="S74" s="8">
        <f>IFERROR(R74/R148, "NA")</f>
        <v>2.0600561637926396E-2</v>
      </c>
      <c r="T74" s="7">
        <v>692.95</v>
      </c>
      <c r="U74" s="8">
        <f>IFERROR(T74/T148, "NA")</f>
        <v>2.881110484215323E-2</v>
      </c>
      <c r="V74" s="7">
        <v>536.48</v>
      </c>
      <c r="W74" s="8">
        <f>IFERROR(V74/V148, "NA")</f>
        <v>2.1373075056751314E-2</v>
      </c>
      <c r="X74" s="7">
        <v>564.29999999999995</v>
      </c>
      <c r="Y74" s="8">
        <f>IFERROR(X74/X148, "NA")</f>
        <v>2.4965635199112331E-2</v>
      </c>
      <c r="Z74" s="7">
        <v>564.29999999999995</v>
      </c>
      <c r="AA74" s="8">
        <f>IFERROR(Z74/Z148, "NA")</f>
        <v>2.4965635199112331E-2</v>
      </c>
      <c r="AB74" s="9">
        <f t="shared" ref="AB74:AB85" si="30">IFERROR((R74+T74+V74+X74)/4, "NA")</f>
        <v>587.28250000000003</v>
      </c>
      <c r="AC74" s="8">
        <f>IFERROR(AB74/AB148, "NA")</f>
        <v>2.379691666161006E-2</v>
      </c>
      <c r="AD74" s="10">
        <f t="shared" ref="AD74:AD85" si="31">IFERROR(X74-AB74, "NA")</f>
        <v>-22.982500000000073</v>
      </c>
      <c r="AE74" s="11">
        <f>IFERROR(AD74/AD148, "NA")</f>
        <v>1.1071301687852659E-2</v>
      </c>
      <c r="AF74" s="10">
        <f t="shared" ref="AF74:AF85" si="32">IFERROR((X74-AB74)/AB74, "NA")</f>
        <v>-3.9133636708058001E-2</v>
      </c>
      <c r="AG74" s="9">
        <f t="shared" ref="AG74:AG85" si="33">IFERROR((J74+L74+N74+P74+R74+T74+V74+X74)/8, "NA")</f>
        <v>615.07500000000016</v>
      </c>
      <c r="AH74" s="8">
        <f>IFERROR(AG74/AG148, "NA")</f>
        <v>2.3433107944164578E-2</v>
      </c>
      <c r="AI74" s="10">
        <f t="shared" ref="AI74:AI85" si="34">IFERROR(X74-AG74, "NA")</f>
        <v>-50.775000000000205</v>
      </c>
      <c r="AJ74" s="11">
        <f>IFERROR(AI74/AI148, "NA")</f>
        <v>1.3929854847620413E-2</v>
      </c>
      <c r="AK74" s="10">
        <f t="shared" ref="AK74:AK85" si="35">IFERROR((X74-AG74)/AG74, "NA")</f>
        <v>-8.2550908425802039E-2</v>
      </c>
      <c r="AL74" s="11">
        <f>IFERROR(AK74/AK148, "NA")</f>
        <v>0.59445187043954584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609.27</v>
      </c>
      <c r="C81" s="14">
        <f>IFERROR(B81/B148, "NA")</f>
        <v>2.4491562998834655E-2</v>
      </c>
      <c r="D81" s="13">
        <f>IFERROR(D74+D75+D76+D77+D78+D79+D80, "NA")</f>
        <v>629.49</v>
      </c>
      <c r="E81" s="14">
        <f>IFERROR(D81/D148, "NA")</f>
        <v>2.0607847868126011E-2</v>
      </c>
      <c r="F81" s="13">
        <f>IFERROR(F74+F75+F76+F77+F78+F79+F80, "NA")</f>
        <v>647.77</v>
      </c>
      <c r="G81" s="14">
        <f>IFERROR(F81/F148, "NA")</f>
        <v>1.9148465716510361E-2</v>
      </c>
      <c r="H81" s="13">
        <f>IFERROR(H74+H75+H76+H77+H78+H79+H80, "NA")</f>
        <v>548.44000000000005</v>
      </c>
      <c r="I81" s="14">
        <f>IFERROR(H81/H148, "NA")</f>
        <v>2.2036172205509689E-2</v>
      </c>
      <c r="J81" s="13">
        <f>IFERROR(J74+J75+J76+J77+J78+J79+J80, "NA")</f>
        <v>652.21</v>
      </c>
      <c r="K81" s="14">
        <f>IFERROR(J81/J148, "NA")</f>
        <v>2.0613809270509272E-2</v>
      </c>
      <c r="L81" s="13">
        <f>IFERROR(L74+L75+L76+L77+L78+L79+L80, "NA")</f>
        <v>663.13</v>
      </c>
      <c r="M81" s="14">
        <f>IFERROR(L81/L148, "NA")</f>
        <v>2.2045039525356632E-2</v>
      </c>
      <c r="N81" s="13">
        <f>IFERROR(N74+N75+N76+N77+N78+N79+N80, "NA")</f>
        <v>621.16</v>
      </c>
      <c r="O81" s="14">
        <f>IFERROR(N81/N148, "NA")</f>
        <v>2.3267042464337737E-2</v>
      </c>
      <c r="P81" s="13">
        <f>IFERROR(P74+P75+P76+P77+P78+P79+P80, "NA")</f>
        <v>634.97</v>
      </c>
      <c r="Q81" s="14">
        <f>IFERROR(P81/P148, "NA")</f>
        <v>2.7786104278518315E-2</v>
      </c>
      <c r="R81" s="13">
        <f>IFERROR(R74+R75+R76+R77+R78+R79+R80, "NA")</f>
        <v>555.4</v>
      </c>
      <c r="S81" s="14">
        <f>IFERROR(R81/R148, "NA")</f>
        <v>2.0600561637926396E-2</v>
      </c>
      <c r="T81" s="13">
        <f>IFERROR(T74+T75+T76+T77+T78+T79+T80, "NA")</f>
        <v>692.95</v>
      </c>
      <c r="U81" s="14">
        <f>IFERROR(T81/T148, "NA")</f>
        <v>2.881110484215323E-2</v>
      </c>
      <c r="V81" s="13">
        <f>IFERROR(V74+V75+V76+V77+V78+V79+V80, "NA")</f>
        <v>536.48</v>
      </c>
      <c r="W81" s="14">
        <f>IFERROR(V81/V148, "NA")</f>
        <v>2.1373075056751314E-2</v>
      </c>
      <c r="X81" s="13">
        <f>IFERROR(X74+X75+X76+X77+X78+X79+X80, "NA")</f>
        <v>564.29999999999995</v>
      </c>
      <c r="Y81" s="14">
        <f>IFERROR(X81/X148, "NA")</f>
        <v>2.4965635199112331E-2</v>
      </c>
      <c r="Z81" s="13">
        <f>IFERROR(Z74+Z75+Z76+Z77+Z78+Z79+Z80, "NA")</f>
        <v>564.29999999999995</v>
      </c>
      <c r="AA81" s="14">
        <f>IFERROR(Z81/Z148, "NA")</f>
        <v>2.4965635199112331E-2</v>
      </c>
      <c r="AB81" s="13">
        <f t="shared" si="30"/>
        <v>587.28250000000003</v>
      </c>
      <c r="AC81" s="14">
        <f>IFERROR(AB81/AB148, "NA")</f>
        <v>2.379691666161006E-2</v>
      </c>
      <c r="AD81" s="15">
        <f t="shared" si="31"/>
        <v>-22.982500000000073</v>
      </c>
      <c r="AE81" s="16">
        <f>IFERROR(AD81/AD148, "NA")</f>
        <v>1.1071301687852659E-2</v>
      </c>
      <c r="AF81" s="15">
        <f t="shared" si="32"/>
        <v>-3.9133636708058001E-2</v>
      </c>
      <c r="AG81" s="13">
        <f t="shared" si="33"/>
        <v>615.07500000000016</v>
      </c>
      <c r="AH81" s="14">
        <f>IFERROR(AG81/AG148, "NA")</f>
        <v>2.3433107944164578E-2</v>
      </c>
      <c r="AI81" s="15">
        <f t="shared" si="34"/>
        <v>-50.775000000000205</v>
      </c>
      <c r="AJ81" s="16">
        <f>IFERROR(AI81/AI148, "NA")</f>
        <v>1.3929854847620413E-2</v>
      </c>
      <c r="AK81" s="15">
        <f t="shared" si="35"/>
        <v>-8.2550908425802039E-2</v>
      </c>
      <c r="AL81" s="16">
        <f>IFERROR(AK81/AK148, "NA")</f>
        <v>0.59445187043954584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288.32</v>
      </c>
      <c r="I82" s="8">
        <f>IFERROR(H82/H148, "NA")</f>
        <v>1.158462032363167E-2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301.04000000000002</v>
      </c>
      <c r="Q82" s="8">
        <f>IFERROR(P82/P148, "NA")</f>
        <v>1.3173423676717252E-2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0</v>
      </c>
      <c r="AA82" s="8">
        <f>IFERROR(Z82/Z148, "NA")</f>
        <v>0</v>
      </c>
      <c r="AB82" s="9">
        <f t="shared" si="30"/>
        <v>0</v>
      </c>
      <c r="AC82" s="8">
        <f>IFERROR(AB82/AB148, "NA")</f>
        <v>0</v>
      </c>
      <c r="AD82" s="10">
        <f t="shared" si="31"/>
        <v>0</v>
      </c>
      <c r="AE82" s="11">
        <f>IFERROR(AD82/AD148, "NA")</f>
        <v>0</v>
      </c>
      <c r="AF82" s="10" t="str">
        <f t="shared" si="32"/>
        <v>NA</v>
      </c>
      <c r="AG82" s="9">
        <f t="shared" si="33"/>
        <v>37.630000000000003</v>
      </c>
      <c r="AH82" s="8">
        <f>IFERROR(AG82/AG148, "NA")</f>
        <v>1.4336265527600909E-3</v>
      </c>
      <c r="AI82" s="10">
        <f t="shared" si="34"/>
        <v>-37.630000000000003</v>
      </c>
      <c r="AJ82" s="11">
        <f>IFERROR(AI82/AI148, "NA")</f>
        <v>1.0323593065799195E-2</v>
      </c>
      <c r="AK82" s="10">
        <f t="shared" si="35"/>
        <v>-1</v>
      </c>
      <c r="AL82" s="11">
        <f>IFERROR(AK82/AK148, "NA")</f>
        <v>7.2010336624441615</v>
      </c>
    </row>
    <row r="83" spans="1:38" ht="16.5" hidden="1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0</v>
      </c>
      <c r="U83" s="8">
        <f>IFERROR(T83/T148, "NA")</f>
        <v>0</v>
      </c>
      <c r="V83" s="7">
        <v>0</v>
      </c>
      <c r="W83" s="8">
        <f>IFERROR(V83/V148, "NA")</f>
        <v>0</v>
      </c>
      <c r="X83" s="7">
        <v>0</v>
      </c>
      <c r="Y83" s="8">
        <f>IFERROR(X83/X148, "NA")</f>
        <v>0</v>
      </c>
      <c r="Z83" s="7">
        <v>0</v>
      </c>
      <c r="AA83" s="8">
        <f>IFERROR(Z83/Z148, "NA")</f>
        <v>0</v>
      </c>
      <c r="AB83" s="9">
        <f t="shared" si="30"/>
        <v>0</v>
      </c>
      <c r="AC83" s="8">
        <f>IFERROR(AB83/AB148, "NA")</f>
        <v>0</v>
      </c>
      <c r="AD83" s="10">
        <f t="shared" si="31"/>
        <v>0</v>
      </c>
      <c r="AE83" s="11">
        <f>IFERROR(AD83/AD148, "NA")</f>
        <v>0</v>
      </c>
      <c r="AF83" s="10" t="str">
        <f t="shared" si="32"/>
        <v>NA</v>
      </c>
      <c r="AG83" s="9">
        <f t="shared" si="33"/>
        <v>0</v>
      </c>
      <c r="AH83" s="8">
        <f>IFERROR(AG83/AG148, "NA")</f>
        <v>0</v>
      </c>
      <c r="AI83" s="10">
        <f t="shared" si="34"/>
        <v>0</v>
      </c>
      <c r="AJ83" s="11">
        <f>IFERROR(AI83/AI148, "NA")</f>
        <v>0</v>
      </c>
      <c r="AK83" s="10" t="str">
        <f t="shared" si="35"/>
        <v>NA</v>
      </c>
      <c r="AL83" s="11" t="str">
        <f>IFERROR(AK83/AK148, "NA")</f>
        <v>NA</v>
      </c>
    </row>
    <row r="84" spans="1:38" ht="16.5" customHeight="1">
      <c r="A84" s="27" t="s">
        <v>96</v>
      </c>
      <c r="B84" s="13">
        <f>IFERROR(B63+B65+B66+B67+B68+B69+B71+B72+B74+B75+B76+B77+B78+B79+B80+B82+B83, "NA")</f>
        <v>7415.77</v>
      </c>
      <c r="C84" s="14">
        <f>IFERROR(B84/B148, "NA")</f>
        <v>0.29810067480734004</v>
      </c>
      <c r="D84" s="13">
        <f>IFERROR(D63+D65+D66+D67+D68+D69+D71+D72+D74+D75+D76+D77+D78+D79+D80+D82+D83, "NA")</f>
        <v>7852.08</v>
      </c>
      <c r="E84" s="14">
        <f>IFERROR(D84/D148, "NA")</f>
        <v>0.25705645854319353</v>
      </c>
      <c r="F84" s="13">
        <f>IFERROR(F63+F65+F66+F67+F68+F69+F71+F72+F74+F75+F76+F77+F78+F79+F80+F82+F83, "NA")</f>
        <v>8635.34</v>
      </c>
      <c r="G84" s="14">
        <f>IFERROR(F84/F148, "NA")</f>
        <v>0.25526577634100156</v>
      </c>
      <c r="H84" s="13">
        <f>IFERROR(H63+H65+H66+H67+H68+H69+H71+H72+H74+H75+H76+H77+H78+H79+H80+H82+H83, "NA")</f>
        <v>7008.24</v>
      </c>
      <c r="I84" s="14">
        <f>IFERROR(H84/H148, "NA")</f>
        <v>0.28158920483105027</v>
      </c>
      <c r="J84" s="13">
        <f>IFERROR(J63+J65+J66+J67+J68+J69+J71+J72+J74+J75+J76+J77+J78+J79+J80+J82+J83, "NA")</f>
        <v>8098.37</v>
      </c>
      <c r="K84" s="14">
        <f>IFERROR(J84/J148, "NA")</f>
        <v>0.25595782735930783</v>
      </c>
      <c r="L84" s="13">
        <f>IFERROR(L63+L65+L66+L67+L68+L69+L71+L72+L74+L75+L76+L77+L78+L79+L80+L82+L83, "NA")</f>
        <v>8173.0700000000006</v>
      </c>
      <c r="M84" s="14">
        <f>IFERROR(L84/L148, "NA")</f>
        <v>0.27170487113161301</v>
      </c>
      <c r="N84" s="13">
        <f>IFERROR(N63+N65+N66+N67+N68+N69+N71+N72+N74+N75+N76+N77+N78+N79+N80+N82+N83, "NA")</f>
        <v>6746.17</v>
      </c>
      <c r="O84" s="14">
        <f>IFERROR(N84/N148, "NA")</f>
        <v>0.25269403030079418</v>
      </c>
      <c r="P84" s="13">
        <f>IFERROR(P63+P65+P66+P67+P68+P69+P71+P72+P74+P75+P76+P77+P78+P79+P80+P82+P83, "NA")</f>
        <v>8350.93</v>
      </c>
      <c r="Q84" s="14">
        <f>IFERROR(P84/P148, "NA")</f>
        <v>0.36543429107297504</v>
      </c>
      <c r="R84" s="13">
        <f>IFERROR(R63+R65+R66+R67+R68+R69+R71+R72+R74+R75+R76+R77+R78+R79+R80+R82+R83, "NA")</f>
        <v>6997.0199999999995</v>
      </c>
      <c r="S84" s="14">
        <f>IFERROR(R84/R148, "NA")</f>
        <v>0.2595292434134025</v>
      </c>
      <c r="T84" s="13">
        <f>IFERROR(T63+T65+T66+T67+T68+T69+T71+T72+T74+T75+T76+T77+T78+T79+T80+T82+T83, "NA")</f>
        <v>8622.01</v>
      </c>
      <c r="U84" s="14">
        <f>IFERROR(T84/T148, "NA")</f>
        <v>0.35848132485762835</v>
      </c>
      <c r="V84" s="13">
        <f>IFERROR(V63+V65+V66+V67+V68+V69+V71+V72+V74+V75+V76+V77+V78+V79+V80+V82+V83, "NA")</f>
        <v>7006.6100000000006</v>
      </c>
      <c r="W84" s="14">
        <f>IFERROR(V84/V148, "NA")</f>
        <v>0.27913957915184973</v>
      </c>
      <c r="X84" s="13">
        <f>IFERROR(X63+X65+X66+X67+X68+X69+X71+X72+X74+X75+X76+X77+X78+X79+X80+X82+X83, "NA")</f>
        <v>7125.72</v>
      </c>
      <c r="Y84" s="14">
        <f>IFERROR(X84/X148, "NA")</f>
        <v>0.31525452073545762</v>
      </c>
      <c r="Z84" s="13">
        <f>IFERROR(Z63+Z65+Z66+Z67+Z68+Z69+Z71+Z72+Z74+Z75+Z76+Z77+Z78+Z79+Z80+Z82+Z83, "NA")</f>
        <v>7125.72</v>
      </c>
      <c r="AA84" s="14">
        <f>IFERROR(Z84/Z148, "NA")</f>
        <v>0.31525452073545762</v>
      </c>
      <c r="AB84" s="13">
        <f t="shared" si="30"/>
        <v>7437.84</v>
      </c>
      <c r="AC84" s="14">
        <f>IFERROR(AB84/AB148, "NA")</f>
        <v>0.30138418669446093</v>
      </c>
      <c r="AD84" s="15">
        <f t="shared" si="31"/>
        <v>-312.11999999999989</v>
      </c>
      <c r="AE84" s="16">
        <f>IFERROR(AD84/AD148, "NA")</f>
        <v>0.15035677941096748</v>
      </c>
      <c r="AF84" s="15">
        <f t="shared" si="32"/>
        <v>-4.1963795940756977E-2</v>
      </c>
      <c r="AG84" s="13">
        <f t="shared" si="33"/>
        <v>7639.9875000000002</v>
      </c>
      <c r="AH84" s="14">
        <f>IFERROR(AG84/AG148, "NA")</f>
        <v>0.2910680027306719</v>
      </c>
      <c r="AI84" s="15">
        <f t="shared" si="34"/>
        <v>-514.26749999999993</v>
      </c>
      <c r="AJ84" s="16">
        <f>IFERROR(AI84/AI148, "NA")</f>
        <v>0.14108659040568391</v>
      </c>
      <c r="AK84" s="15">
        <f t="shared" si="35"/>
        <v>-6.7312610131888287E-2</v>
      </c>
      <c r="AL84" s="16">
        <f>IFERROR(AK84/AK148, "NA")</f>
        <v>0.48472037146670749</v>
      </c>
    </row>
    <row r="85" spans="1:38" ht="16.5" customHeight="1">
      <c r="A85" s="12" t="s">
        <v>96</v>
      </c>
      <c r="B85" s="28">
        <f>IFERROR(B63+B65+B66+B67+B68+B69+B71+B72+B74+B75+B76+B77+B78+B79+B80+B82+B83, "NA")</f>
        <v>7415.77</v>
      </c>
      <c r="C85" s="29">
        <f>IFERROR(B85/B148, "NA")</f>
        <v>0.29810067480734004</v>
      </c>
      <c r="D85" s="28">
        <f>IFERROR(D63+D65+D66+D67+D68+D69+D71+D72+D74+D75+D76+D77+D78+D79+D80+D82+D83, "NA")</f>
        <v>7852.08</v>
      </c>
      <c r="E85" s="29">
        <f>IFERROR(D85/D148, "NA")</f>
        <v>0.25705645854319353</v>
      </c>
      <c r="F85" s="28">
        <f>IFERROR(F63+F65+F66+F67+F68+F69+F71+F72+F74+F75+F76+F77+F78+F79+F80+F82+F83, "NA")</f>
        <v>8635.34</v>
      </c>
      <c r="G85" s="29">
        <f>IFERROR(F85/F148, "NA")</f>
        <v>0.25526577634100156</v>
      </c>
      <c r="H85" s="28">
        <f>IFERROR(H63+H65+H66+H67+H68+H69+H71+H72+H74+H75+H76+H77+H78+H79+H80+H82+H83, "NA")</f>
        <v>7008.24</v>
      </c>
      <c r="I85" s="29">
        <f>IFERROR(H85/H148, "NA")</f>
        <v>0.28158920483105027</v>
      </c>
      <c r="J85" s="28">
        <f>IFERROR(J63+J65+J66+J67+J68+J69+J71+J72+J74+J75+J76+J77+J78+J79+J80+J82+J83, "NA")</f>
        <v>8098.37</v>
      </c>
      <c r="K85" s="29">
        <f>IFERROR(J85/J148, "NA")</f>
        <v>0.25595782735930783</v>
      </c>
      <c r="L85" s="28">
        <f>IFERROR(L63+L65+L66+L67+L68+L69+L71+L72+L74+L75+L76+L77+L78+L79+L80+L82+L83, "NA")</f>
        <v>8173.0700000000006</v>
      </c>
      <c r="M85" s="29">
        <f>IFERROR(L85/L148, "NA")</f>
        <v>0.27170487113161301</v>
      </c>
      <c r="N85" s="28">
        <f>IFERROR(N63+N65+N66+N67+N68+N69+N71+N72+N74+N75+N76+N77+N78+N79+N80+N82+N83, "NA")</f>
        <v>6746.17</v>
      </c>
      <c r="O85" s="29">
        <f>IFERROR(N85/N148, "NA")</f>
        <v>0.25269403030079418</v>
      </c>
      <c r="P85" s="28">
        <f>IFERROR(P63+P65+P66+P67+P68+P69+P71+P72+P74+P75+P76+P77+P78+P79+P80+P82+P83, "NA")</f>
        <v>8350.93</v>
      </c>
      <c r="Q85" s="29">
        <f>IFERROR(P85/P148, "NA")</f>
        <v>0.36543429107297504</v>
      </c>
      <c r="R85" s="28">
        <f>IFERROR(R63+R65+R66+R67+R68+R69+R71+R72+R74+R75+R76+R77+R78+R79+R80+R82+R83, "NA")</f>
        <v>6997.0199999999995</v>
      </c>
      <c r="S85" s="29">
        <f>IFERROR(R85/R148, "NA")</f>
        <v>0.2595292434134025</v>
      </c>
      <c r="T85" s="28">
        <f>IFERROR(T63+T65+T66+T67+T68+T69+T71+T72+T74+T75+T76+T77+T78+T79+T80+T82+T83, "NA")</f>
        <v>8622.01</v>
      </c>
      <c r="U85" s="29">
        <f>IFERROR(T85/T148, "NA")</f>
        <v>0.35848132485762835</v>
      </c>
      <c r="V85" s="28">
        <f>IFERROR(V63+V65+V66+V67+V68+V69+V71+V72+V74+V75+V76+V77+V78+V79+V80+V82+V83, "NA")</f>
        <v>7006.6100000000006</v>
      </c>
      <c r="W85" s="29">
        <f>IFERROR(V85/V148, "NA")</f>
        <v>0.27913957915184973</v>
      </c>
      <c r="X85" s="28">
        <f>IFERROR(X63+X65+X66+X67+X68+X69+X71+X72+X74+X75+X76+X77+X78+X79+X80+X82+X83, "NA")</f>
        <v>7125.72</v>
      </c>
      <c r="Y85" s="29">
        <f>IFERROR(X85/X148, "NA")</f>
        <v>0.31525452073545762</v>
      </c>
      <c r="Z85" s="28">
        <f>IFERROR(Z63+Z65+Z66+Z67+Z68+Z69+Z71+Z72+Z74+Z75+Z76+Z77+Z78+Z79+Z80+Z82+Z83, "NA")</f>
        <v>7125.72</v>
      </c>
      <c r="AA85" s="29">
        <f>IFERROR(Z85/Z148, "NA")</f>
        <v>0.31525452073545762</v>
      </c>
      <c r="AB85" s="28">
        <f t="shared" si="30"/>
        <v>7437.84</v>
      </c>
      <c r="AC85" s="29">
        <f>IFERROR(AB85/AB148, "NA")</f>
        <v>0.30138418669446093</v>
      </c>
      <c r="AD85" s="30">
        <f t="shared" si="31"/>
        <v>-312.11999999999989</v>
      </c>
      <c r="AE85" s="31">
        <f>IFERROR(AD85/AD148, "NA")</f>
        <v>0.15035677941096748</v>
      </c>
      <c r="AF85" s="30">
        <f t="shared" si="32"/>
        <v>-4.1963795940756977E-2</v>
      </c>
      <c r="AG85" s="28">
        <f t="shared" si="33"/>
        <v>7639.9875000000002</v>
      </c>
      <c r="AH85" s="29">
        <f>IFERROR(AG85/AG148, "NA")</f>
        <v>0.2910680027306719</v>
      </c>
      <c r="AI85" s="30">
        <f t="shared" si="34"/>
        <v>-514.26749999999993</v>
      </c>
      <c r="AJ85" s="31">
        <f>IFERROR(AI85/AI148, "NA")</f>
        <v>0.14108659040568391</v>
      </c>
      <c r="AK85" s="30">
        <f t="shared" si="35"/>
        <v>-6.7312610131888287E-2</v>
      </c>
      <c r="AL85" s="31">
        <f>IFERROR(AK85/AK148, "NA")</f>
        <v>0.48472037146670749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10396.950000000001</v>
      </c>
      <c r="C87" s="34">
        <f>IFERROR(B87/B148, "NA")</f>
        <v>0.41793877249944028</v>
      </c>
      <c r="D87" s="33">
        <f>IFERROR(D59-D85, "NA")</f>
        <v>14148.840000000002</v>
      </c>
      <c r="E87" s="34">
        <f>IFERROR(D87/D148, "NA")</f>
        <v>0.46319582873509679</v>
      </c>
      <c r="F87" s="33">
        <f>IFERROR(F59-F85, "NA")</f>
        <v>16384.839999999993</v>
      </c>
      <c r="G87" s="34">
        <f>IFERROR(F87/F148, "NA")</f>
        <v>0.48434559644705294</v>
      </c>
      <c r="H87" s="33">
        <f>IFERROR(H59-H85, "NA")</f>
        <v>10407.219999999999</v>
      </c>
      <c r="I87" s="34">
        <f>IFERROR(H87/H148, "NA")</f>
        <v>0.41815931022650521</v>
      </c>
      <c r="J87" s="33">
        <f>IFERROR(J59-J85, "NA")</f>
        <v>14445.540000000012</v>
      </c>
      <c r="K87" s="34">
        <f>IFERROR(J87/J148, "NA")</f>
        <v>0.4565670663889127</v>
      </c>
      <c r="L87" s="33">
        <f>IFERROR(L59-L85, "NA")</f>
        <v>14822.569999999992</v>
      </c>
      <c r="M87" s="34">
        <f>IFERROR(L87/L148, "NA")</f>
        <v>0.49276030569777468</v>
      </c>
      <c r="N87" s="33">
        <f>IFERROR(N59-N85, "NA")</f>
        <v>13699.919999999996</v>
      </c>
      <c r="O87" s="34">
        <f>IFERROR(N87/N148, "NA")</f>
        <v>0.51316346899032417</v>
      </c>
      <c r="P87" s="33">
        <f>IFERROR(P59-P85, "NA")</f>
        <v>7742.8499999999967</v>
      </c>
      <c r="Q87" s="34">
        <f>IFERROR(P87/P148, "NA")</f>
        <v>0.33882488544801398</v>
      </c>
      <c r="R87" s="33">
        <f>IFERROR(R59-R85, "NA")</f>
        <v>13437.2</v>
      </c>
      <c r="S87" s="34">
        <f>IFERROR(R87/R148, "NA")</f>
        <v>0.49840451357786208</v>
      </c>
      <c r="T87" s="33">
        <f>IFERROR(T59-T85, "NA")</f>
        <v>9012.3799999999992</v>
      </c>
      <c r="U87" s="34">
        <f>IFERROR(T87/T148, "NA")</f>
        <v>0.37471192013467769</v>
      </c>
      <c r="V87" s="33">
        <f>IFERROR(V59-V85, "NA")</f>
        <v>11596.189999999999</v>
      </c>
      <c r="W87" s="34">
        <f>IFERROR(V87/V148, "NA")</f>
        <v>0.46198598128979457</v>
      </c>
      <c r="X87" s="33">
        <f>IFERROR(X59-X85, "NA")</f>
        <v>10179.460000000003</v>
      </c>
      <c r="Y87" s="34">
        <f>IFERROR(X87/X148, "NA")</f>
        <v>0.4503574072017652</v>
      </c>
      <c r="Z87" s="33">
        <f>IFERROR(Z59-Z85, "NA")</f>
        <v>10179.460000000003</v>
      </c>
      <c r="AA87" s="34">
        <f>IFERROR(Z87/Z148, "NA")</f>
        <v>0.4503574072017652</v>
      </c>
      <c r="AB87" s="33">
        <f>IFERROR((R87+T87+V87+X87)/4, "NA")</f>
        <v>11056.307500000003</v>
      </c>
      <c r="AC87" s="34">
        <f>IFERROR(AB87/AB148, "NA")</f>
        <v>0.44800590544181768</v>
      </c>
      <c r="AD87" s="15">
        <f>IFERROR(X87-AB87, "NA")</f>
        <v>-876.84749999999985</v>
      </c>
      <c r="AE87" s="16">
        <f>IFERROR(AD87/AD148, "NA")</f>
        <v>0.42240153189336899</v>
      </c>
      <c r="AF87" s="15">
        <f>IFERROR((X87-AB87)/AB87, "NA")</f>
        <v>-7.9307445094123838E-2</v>
      </c>
      <c r="AG87" s="33">
        <f>IFERROR((J87+L87+N87+P87+R87+T87+V87+X87)/8, "NA")</f>
        <v>11867.013750000002</v>
      </c>
      <c r="AH87" s="34">
        <f>IFERROR(AG87/AG148, "NA")</f>
        <v>0.45210911543898752</v>
      </c>
      <c r="AI87" s="15">
        <f>IFERROR(X87-AG87, "NA")</f>
        <v>-1687.5537499999991</v>
      </c>
      <c r="AJ87" s="16">
        <f>IFERROR(AI87/AI148, "NA")</f>
        <v>0.46297151718478385</v>
      </c>
      <c r="AK87" s="15">
        <f>IFERROR((X87-AG87)/AG87, "NA")</f>
        <v>-0.14220542636516276</v>
      </c>
      <c r="AL87" s="16">
        <f>IFERROR(AK87/AK148, "NA")</f>
        <v>1.0240260622377615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415.53999999999996</v>
      </c>
      <c r="C90" s="8">
        <f>IFERROR(B90/B148, "NA")</f>
        <v>1.6703963905223877E-2</v>
      </c>
      <c r="D90" s="7">
        <v>659.28</v>
      </c>
      <c r="E90" s="8">
        <f>IFERROR(D90/D148, "NA")</f>
        <v>2.1583094159554745E-2</v>
      </c>
      <c r="F90" s="7">
        <v>579.51999999999987</v>
      </c>
      <c r="G90" s="8">
        <f>IFERROR(F90/F148, "NA")</f>
        <v>1.7130955203285243E-2</v>
      </c>
      <c r="H90" s="7">
        <v>686.5200000000001</v>
      </c>
      <c r="I90" s="8">
        <f>IFERROR(H90/H148, "NA")</f>
        <v>2.7584189596904882E-2</v>
      </c>
      <c r="J90" s="7">
        <v>495.75</v>
      </c>
      <c r="K90" s="8">
        <f>IFERROR(J90/J148, "NA")</f>
        <v>1.5668720114464622E-2</v>
      </c>
      <c r="L90" s="7">
        <v>498.71999999999997</v>
      </c>
      <c r="M90" s="8">
        <f>IFERROR(L90/L148, "NA")</f>
        <v>1.6579406921849199E-2</v>
      </c>
      <c r="N90" s="7">
        <v>746.65</v>
      </c>
      <c r="O90" s="8">
        <f>IFERROR(N90/N148, "NA")</f>
        <v>2.7967572374263911E-2</v>
      </c>
      <c r="P90" s="7">
        <v>630.65000000000009</v>
      </c>
      <c r="Q90" s="8">
        <f>IFERROR(P90/P148, "NA")</f>
        <v>2.7597062323019318E-2</v>
      </c>
      <c r="R90" s="7">
        <v>206.54</v>
      </c>
      <c r="S90" s="8">
        <f>IFERROR(R90/R148, "NA")</f>
        <v>7.6608570412267157E-3</v>
      </c>
      <c r="T90" s="7">
        <v>271.68</v>
      </c>
      <c r="U90" s="8">
        <f>IFERROR(T90/T148, "NA")</f>
        <v>1.1295765875627663E-2</v>
      </c>
      <c r="V90" s="7">
        <v>667.75000000000011</v>
      </c>
      <c r="W90" s="8">
        <f>IFERROR(V90/V148, "NA")</f>
        <v>2.66028013516733E-2</v>
      </c>
      <c r="X90" s="7">
        <v>507.36999999999995</v>
      </c>
      <c r="Y90" s="8">
        <f>IFERROR(X90/X148, "NA")</f>
        <v>2.2446950790312996E-2</v>
      </c>
      <c r="Z90" s="7">
        <v>507.36999999999995</v>
      </c>
      <c r="AA90" s="8">
        <f>IFERROR(Z90/Z148, "NA")</f>
        <v>2.2446950790312996E-2</v>
      </c>
      <c r="AB90" s="9">
        <f t="shared" ref="AB90:AB99" si="36">IFERROR((R90+T90+V90+X90)/4, "NA")</f>
        <v>413.33500000000004</v>
      </c>
      <c r="AC90" s="8">
        <f>IFERROR(AB90/AB148, "NA")</f>
        <v>1.6748495908402845E-2</v>
      </c>
      <c r="AD90" s="10">
        <f t="shared" ref="AD90:AD99" si="37">IFERROR(X90-AB90, "NA")</f>
        <v>94.034999999999911</v>
      </c>
      <c r="AE90" s="11">
        <f>IFERROR(AD90/AD148, "NA")</f>
        <v>-4.5299243085705231E-2</v>
      </c>
      <c r="AF90" s="10">
        <f t="shared" ref="AF90:AF99" si="38">IFERROR((X90-AB90)/AB90, "NA")</f>
        <v>0.22750311490679451</v>
      </c>
      <c r="AG90" s="9">
        <f t="shared" ref="AG90:AG99" si="39">IFERROR((J90+L90+N90+P90+R90+T90+V90+X90)/8, "NA")</f>
        <v>503.13874999999996</v>
      </c>
      <c r="AH90" s="8">
        <f>IFERROR(AG90/AG148, "NA")</f>
        <v>1.9168564223293147E-2</v>
      </c>
      <c r="AI90" s="10">
        <f t="shared" ref="AI90:AI99" si="40">IFERROR(X90-AG90, "NA")</f>
        <v>4.2312499999999886</v>
      </c>
      <c r="AJ90" s="11">
        <f>IFERROR(AI90/AI148, "NA")</f>
        <v>-1.1608212373016933E-3</v>
      </c>
      <c r="AK90" s="10">
        <f t="shared" ref="AK90:AK99" si="41">IFERROR((X90-AG90)/AG90, "NA")</f>
        <v>8.4097080576679677E-3</v>
      </c>
      <c r="AL90" s="11">
        <f>IFERROR(AK90/AK148, "NA")</f>
        <v>-6.0558590814594943E-2</v>
      </c>
    </row>
    <row r="91" spans="1:38" ht="16.5" hidden="1" customHeight="1">
      <c r="A91" s="6" t="s">
        <v>100</v>
      </c>
      <c r="B91" s="7">
        <v>224.47</v>
      </c>
      <c r="C91" s="8">
        <f>IFERROR(B91/B148, "NA")</f>
        <v>9.0232920484324113E-3</v>
      </c>
      <c r="D91" s="7">
        <v>1465.79</v>
      </c>
      <c r="E91" s="8">
        <f>IFERROR(D91/D148, "NA")</f>
        <v>4.7986111497593964E-2</v>
      </c>
      <c r="F91" s="7">
        <v>2319.98</v>
      </c>
      <c r="G91" s="8">
        <f>IFERROR(F91/F148, "NA")</f>
        <v>6.8579985940981691E-2</v>
      </c>
      <c r="H91" s="7">
        <v>1871.9</v>
      </c>
      <c r="I91" s="8">
        <f>IFERROR(H91/H148, "NA")</f>
        <v>7.5212440287895824E-2</v>
      </c>
      <c r="J91" s="7">
        <v>2080.5099999999998</v>
      </c>
      <c r="K91" s="8">
        <f>IFERROR(J91/J148, "NA")</f>
        <v>6.5756790489853334E-2</v>
      </c>
      <c r="L91" s="7">
        <v>2348.48</v>
      </c>
      <c r="M91" s="8">
        <f>IFERROR(L91/L148, "NA")</f>
        <v>7.8072677189253314E-2</v>
      </c>
      <c r="N91" s="7">
        <v>470.75</v>
      </c>
      <c r="O91" s="8">
        <f>IFERROR(N91/N148, "NA")</f>
        <v>1.7633073990738282E-2</v>
      </c>
      <c r="P91" s="7">
        <v>864.56</v>
      </c>
      <c r="Q91" s="8">
        <f>IFERROR(P91/P148, "NA")</f>
        <v>3.7832896538475505E-2</v>
      </c>
      <c r="R91" s="7">
        <v>885.07000000000016</v>
      </c>
      <c r="S91" s="8">
        <f>IFERROR(R91/R148, "NA")</f>
        <v>3.2828482335036949E-2</v>
      </c>
      <c r="T91" s="7">
        <v>561.47</v>
      </c>
      <c r="U91" s="8">
        <f>IFERROR(T91/T148, "NA")</f>
        <v>2.3344499654699147E-2</v>
      </c>
      <c r="V91" s="7">
        <v>1084.8699999999999</v>
      </c>
      <c r="W91" s="8">
        <f>IFERROR(V91/V148, "NA")</f>
        <v>4.3220638116645158E-2</v>
      </c>
      <c r="X91" s="7">
        <v>1294</v>
      </c>
      <c r="Y91" s="8">
        <f>IFERROR(X91/X148, "NA")</f>
        <v>5.7248860442408928E-2</v>
      </c>
      <c r="Z91" s="7">
        <v>1294</v>
      </c>
      <c r="AA91" s="8">
        <f>IFERROR(Z91/Z148, "NA")</f>
        <v>5.7248860442408928E-2</v>
      </c>
      <c r="AB91" s="9">
        <f t="shared" si="36"/>
        <v>956.35249999999996</v>
      </c>
      <c r="AC91" s="8">
        <f>IFERROR(AB91/AB148, "NA")</f>
        <v>3.8751777452286473E-2</v>
      </c>
      <c r="AD91" s="10">
        <f t="shared" si="37"/>
        <v>337.64750000000004</v>
      </c>
      <c r="AE91" s="11">
        <f>IFERROR(AD91/AD148, "NA")</f>
        <v>-0.16265407752199365</v>
      </c>
      <c r="AF91" s="10">
        <f t="shared" si="38"/>
        <v>0.3530575807560497</v>
      </c>
      <c r="AG91" s="9">
        <f t="shared" si="39"/>
        <v>1198.7137499999999</v>
      </c>
      <c r="AH91" s="8">
        <f>IFERROR(AG91/AG148, "NA")</f>
        <v>4.5668558627654031E-2</v>
      </c>
      <c r="AI91" s="10">
        <f t="shared" si="40"/>
        <v>95.286250000000109</v>
      </c>
      <c r="AJ91" s="11">
        <f>IFERROR(AI91/AI148, "NA")</f>
        <v>-2.6141282746904321E-2</v>
      </c>
      <c r="AK91" s="10">
        <f t="shared" si="41"/>
        <v>7.9490412118823295E-2</v>
      </c>
      <c r="AL91" s="11">
        <f>IFERROR(AK91/AK148, "NA")</f>
        <v>-0.57241313350920586</v>
      </c>
    </row>
    <row r="92" spans="1:38" ht="16.5" hidden="1" customHeight="1">
      <c r="A92" s="6" t="s">
        <v>101</v>
      </c>
      <c r="B92" s="7">
        <v>103.74</v>
      </c>
      <c r="C92" s="8">
        <f>IFERROR(B92/B148, "NA")</f>
        <v>4.1701622359530373E-3</v>
      </c>
      <c r="D92" s="7">
        <v>471.99</v>
      </c>
      <c r="E92" s="8">
        <f>IFERROR(D92/D148, "NA")</f>
        <v>1.5451711886252039E-2</v>
      </c>
      <c r="F92" s="7">
        <v>346.53</v>
      </c>
      <c r="G92" s="8">
        <f>IFERROR(F92/F148, "NA")</f>
        <v>1.0243632500335512E-2</v>
      </c>
      <c r="H92" s="7">
        <v>223.78</v>
      </c>
      <c r="I92" s="8">
        <f>IFERROR(H92/H148, "NA")</f>
        <v>8.9914204218309347E-3</v>
      </c>
      <c r="J92" s="7">
        <v>408.2</v>
      </c>
      <c r="K92" s="8">
        <f>IFERROR(J92/J148, "NA")</f>
        <v>1.2901606758899564E-2</v>
      </c>
      <c r="L92" s="7">
        <v>332.44</v>
      </c>
      <c r="M92" s="8">
        <f>IFERROR(L92/L148, "NA")</f>
        <v>1.1051608191168488E-2</v>
      </c>
      <c r="N92" s="7">
        <v>231.6</v>
      </c>
      <c r="O92" s="8">
        <f>IFERROR(N92/N148, "NA")</f>
        <v>8.6751352867870113E-3</v>
      </c>
      <c r="P92" s="7">
        <v>155.82</v>
      </c>
      <c r="Q92" s="8">
        <f>IFERROR(P92/P148, "NA")</f>
        <v>6.8186383115402677E-3</v>
      </c>
      <c r="R92" s="7">
        <v>377.34999999999997</v>
      </c>
      <c r="S92" s="8">
        <f>IFERROR(R92/R148, "NA")</f>
        <v>1.3996438484104295E-2</v>
      </c>
      <c r="T92" s="7">
        <v>153.05000000000001</v>
      </c>
      <c r="U92" s="8">
        <f>IFERROR(T92/T148, "NA")</f>
        <v>6.3634311221466948E-3</v>
      </c>
      <c r="V92" s="7">
        <v>183.82</v>
      </c>
      <c r="W92" s="8">
        <f>IFERROR(V92/V148, "NA")</f>
        <v>7.3232900703325866E-3</v>
      </c>
      <c r="X92" s="7">
        <v>0</v>
      </c>
      <c r="Y92" s="8">
        <f>IFERROR(X92/X148, "NA")</f>
        <v>0</v>
      </c>
      <c r="Z92" s="7">
        <v>0</v>
      </c>
      <c r="AA92" s="8">
        <f>IFERROR(Z92/Z148, "NA")</f>
        <v>0</v>
      </c>
      <c r="AB92" s="9">
        <f t="shared" si="36"/>
        <v>178.55500000000001</v>
      </c>
      <c r="AC92" s="8">
        <f>IFERROR(AB92/AB148, "NA")</f>
        <v>7.2351184557922022E-3</v>
      </c>
      <c r="AD92" s="10">
        <f t="shared" si="37"/>
        <v>-178.55500000000001</v>
      </c>
      <c r="AE92" s="11">
        <f>IFERROR(AD92/AD148, "NA")</f>
        <v>8.6014849249408262E-2</v>
      </c>
      <c r="AF92" s="10">
        <f t="shared" si="38"/>
        <v>-1</v>
      </c>
      <c r="AG92" s="9">
        <f t="shared" si="39"/>
        <v>230.28499999999997</v>
      </c>
      <c r="AH92" s="8">
        <f>IFERROR(AG92/AG148, "NA")</f>
        <v>8.7733906644261884E-3</v>
      </c>
      <c r="AI92" s="10">
        <f t="shared" si="40"/>
        <v>-230.28499999999997</v>
      </c>
      <c r="AJ92" s="11">
        <f>IFERROR(AI92/AI148, "NA")</f>
        <v>6.3177481508306321E-2</v>
      </c>
      <c r="AK92" s="10">
        <f t="shared" si="41"/>
        <v>-1</v>
      </c>
      <c r="AL92" s="11">
        <f>IFERROR(AK92/AK148, "NA")</f>
        <v>7.2010336624441615</v>
      </c>
    </row>
    <row r="93" spans="1:38" ht="16.5" hidden="1" customHeight="1">
      <c r="A93" s="6" t="s">
        <v>102</v>
      </c>
      <c r="B93" s="7">
        <v>1796.1100000000001</v>
      </c>
      <c r="C93" s="8">
        <f>IFERROR(B93/B148, "NA")</f>
        <v>7.2200405760724992E-2</v>
      </c>
      <c r="D93" s="7">
        <v>2600.67</v>
      </c>
      <c r="E93" s="8">
        <f>IFERROR(D93/D148, "NA")</f>
        <v>8.5139099453842432E-2</v>
      </c>
      <c r="F93" s="7">
        <v>3687.86</v>
      </c>
      <c r="G93" s="8">
        <f>IFERROR(F93/F148, "NA")</f>
        <v>0.10901533071505302</v>
      </c>
      <c r="H93" s="7">
        <v>2023.51</v>
      </c>
      <c r="I93" s="8">
        <f>IFERROR(H93/H148, "NA")</f>
        <v>8.1304089452940903E-2</v>
      </c>
      <c r="J93" s="7">
        <v>2336.8000000000002</v>
      </c>
      <c r="K93" s="8">
        <f>IFERROR(J93/J148, "NA")</f>
        <v>7.3857115811358412E-2</v>
      </c>
      <c r="L93" s="7">
        <v>2663.27</v>
      </c>
      <c r="M93" s="8">
        <f>IFERROR(L93/L148, "NA")</f>
        <v>8.8537530222877206E-2</v>
      </c>
      <c r="N93" s="7">
        <v>2008.33</v>
      </c>
      <c r="O93" s="8">
        <f>IFERROR(N93/N148, "NA")</f>
        <v>7.5226832687879788E-2</v>
      </c>
      <c r="P93" s="7">
        <v>1688.7200000000003</v>
      </c>
      <c r="Q93" s="8">
        <f>IFERROR(P93/P148, "NA")</f>
        <v>7.3897900715340026E-2</v>
      </c>
      <c r="R93" s="7">
        <v>2496.86</v>
      </c>
      <c r="S93" s="8">
        <f>IFERROR(R93/R148, "NA")</f>
        <v>9.2612024363112902E-2</v>
      </c>
      <c r="T93" s="7">
        <v>1622.19</v>
      </c>
      <c r="U93" s="8">
        <f>IFERROR(T93/T148, "NA")</f>
        <v>6.744654904955992E-2</v>
      </c>
      <c r="V93" s="7">
        <v>1946.97</v>
      </c>
      <c r="W93" s="8">
        <f>IFERROR(V93/V148, "NA")</f>
        <v>7.7566239082991179E-2</v>
      </c>
      <c r="X93" s="7">
        <v>1460.32</v>
      </c>
      <c r="Y93" s="8">
        <f>IFERROR(X93/X148, "NA")</f>
        <v>6.4607152922147304E-2</v>
      </c>
      <c r="Z93" s="7">
        <v>1460.32</v>
      </c>
      <c r="AA93" s="8">
        <f>IFERROR(Z93/Z148, "NA")</f>
        <v>6.4607152922147304E-2</v>
      </c>
      <c r="AB93" s="9">
        <f t="shared" si="36"/>
        <v>1881.585</v>
      </c>
      <c r="AC93" s="8">
        <f>IFERROR(AB93/AB148, "NA")</f>
        <v>7.6242560329544226E-2</v>
      </c>
      <c r="AD93" s="10">
        <f t="shared" si="37"/>
        <v>-421.2650000000001</v>
      </c>
      <c r="AE93" s="11">
        <f>IFERROR(AD93/AD148, "NA")</f>
        <v>0.20293492463975793</v>
      </c>
      <c r="AF93" s="10">
        <f t="shared" si="38"/>
        <v>-0.22388837070873763</v>
      </c>
      <c r="AG93" s="9">
        <f t="shared" si="39"/>
        <v>2027.9324999999999</v>
      </c>
      <c r="AH93" s="8">
        <f>IFERROR(AG93/AG148, "NA")</f>
        <v>7.7260108403006983E-2</v>
      </c>
      <c r="AI93" s="10">
        <f t="shared" si="40"/>
        <v>-567.61249999999995</v>
      </c>
      <c r="AJ93" s="11">
        <f>IFERROR(AI93/AI148, "NA")</f>
        <v>0.1557215112692252</v>
      </c>
      <c r="AK93" s="10">
        <f t="shared" si="41"/>
        <v>-0.27989713661574039</v>
      </c>
      <c r="AL93" s="11">
        <f>IFERROR(AK93/AK148, "NA")</f>
        <v>2.015548702791679</v>
      </c>
    </row>
    <row r="94" spans="1:38" ht="16.5" hidden="1" customHeight="1">
      <c r="A94" s="6" t="s">
        <v>103</v>
      </c>
      <c r="B94" s="7">
        <v>559.14</v>
      </c>
      <c r="C94" s="8">
        <f>IFERROR(B94/B148, "NA")</f>
        <v>2.2476426765093323E-2</v>
      </c>
      <c r="D94" s="7">
        <v>831.99</v>
      </c>
      <c r="E94" s="8">
        <f>IFERROR(D94/D148, "NA")</f>
        <v>2.7237165559106831E-2</v>
      </c>
      <c r="F94" s="7">
        <v>824.22</v>
      </c>
      <c r="G94" s="8">
        <f>IFERROR(F94/F148, "NA")</f>
        <v>2.436443245729529E-2</v>
      </c>
      <c r="H94" s="7">
        <v>668.43</v>
      </c>
      <c r="I94" s="8">
        <f>IFERROR(H94/H148, "NA")</f>
        <v>2.68573382454395E-2</v>
      </c>
      <c r="J94" s="7">
        <v>938.05</v>
      </c>
      <c r="K94" s="8">
        <f>IFERROR(J94/J148, "NA")</f>
        <v>2.9648094610940066E-2</v>
      </c>
      <c r="L94" s="7">
        <v>748.84</v>
      </c>
      <c r="M94" s="8">
        <f>IFERROR(L94/L148, "NA")</f>
        <v>2.4894375760662408E-2</v>
      </c>
      <c r="N94" s="7">
        <v>751.16</v>
      </c>
      <c r="O94" s="8">
        <f>IFERROR(N94/N148, "NA")</f>
        <v>2.8136505276437528E-2</v>
      </c>
      <c r="P94" s="7">
        <v>478.17</v>
      </c>
      <c r="Q94" s="8">
        <f>IFERROR(P94/P148, "NA")</f>
        <v>2.0924581449295404E-2</v>
      </c>
      <c r="R94" s="7">
        <v>753.05</v>
      </c>
      <c r="S94" s="8">
        <f>IFERROR(R94/R148, "NA")</f>
        <v>2.7931676163918749E-2</v>
      </c>
      <c r="T94" s="7">
        <v>497.17</v>
      </c>
      <c r="U94" s="8">
        <f>IFERROR(T94/T148, "NA")</f>
        <v>2.0671068611549638E-2</v>
      </c>
      <c r="V94" s="7">
        <v>737.94</v>
      </c>
      <c r="W94" s="8">
        <f>IFERROR(V94/V148, "NA")</f>
        <v>2.9399133252645142E-2</v>
      </c>
      <c r="X94" s="7">
        <v>608.70000000000005</v>
      </c>
      <c r="Y94" s="8">
        <f>IFERROR(X94/X148, "NA")</f>
        <v>2.6929970132375827E-2</v>
      </c>
      <c r="Z94" s="7">
        <v>608.70000000000005</v>
      </c>
      <c r="AA94" s="8">
        <f>IFERROR(Z94/Z148, "NA")</f>
        <v>2.6929970132375827E-2</v>
      </c>
      <c r="AB94" s="9">
        <f t="shared" si="36"/>
        <v>649.21500000000003</v>
      </c>
      <c r="AC94" s="8">
        <f>IFERROR(AB94/AB148, "NA")</f>
        <v>2.630644579136476E-2</v>
      </c>
      <c r="AD94" s="10">
        <f t="shared" si="37"/>
        <v>-40.514999999999986</v>
      </c>
      <c r="AE94" s="11">
        <f>IFERROR(AD94/AD148, "NA")</f>
        <v>1.9517188638457476E-2</v>
      </c>
      <c r="AF94" s="10">
        <f t="shared" si="38"/>
        <v>-6.2406136641944478E-2</v>
      </c>
      <c r="AG94" s="9">
        <f t="shared" si="39"/>
        <v>689.13499999999988</v>
      </c>
      <c r="AH94" s="8">
        <f>IFERROR(AG94/AG148, "NA")</f>
        <v>2.6254643487545175E-2</v>
      </c>
      <c r="AI94" s="10">
        <f t="shared" si="40"/>
        <v>-80.434999999999832</v>
      </c>
      <c r="AJ94" s="11">
        <f>IFERROR(AI94/AI148, "NA")</f>
        <v>2.2066920229804849E-2</v>
      </c>
      <c r="AK94" s="10">
        <f t="shared" si="41"/>
        <v>-0.11671878514369441</v>
      </c>
      <c r="AL94" s="11">
        <f>IFERROR(AK94/AK148, "NA")</f>
        <v>0.8404959008593309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-236.67999999999998</v>
      </c>
      <c r="G95" s="8">
        <f>IFERROR(F95/F148, "NA")</f>
        <v>-6.9964012933350908E-3</v>
      </c>
      <c r="H95" s="7">
        <v>0</v>
      </c>
      <c r="I95" s="8">
        <f>IFERROR(H95/H148, "NA")</f>
        <v>0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572.02</v>
      </c>
      <c r="O95" s="8">
        <f>IFERROR(N95/N148, "NA")</f>
        <v>2.1426385521364017E-2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572.02</v>
      </c>
      <c r="W95" s="8">
        <f>IFERROR(V95/V148, "NA")</f>
        <v>2.2788969568227867E-2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143.005</v>
      </c>
      <c r="AC95" s="8">
        <f>IFERROR(AB95/AB148, "NA")</f>
        <v>5.794618547621538E-3</v>
      </c>
      <c r="AD95" s="10">
        <f t="shared" si="37"/>
        <v>-143.005</v>
      </c>
      <c r="AE95" s="11">
        <f>IFERROR(AD95/AD148, "NA")</f>
        <v>6.8889437522957231E-2</v>
      </c>
      <c r="AF95" s="10">
        <f t="shared" si="38"/>
        <v>-1</v>
      </c>
      <c r="AG95" s="9">
        <f t="shared" si="39"/>
        <v>143.005</v>
      </c>
      <c r="AH95" s="8">
        <f>IFERROR(AG95/AG148, "NA")</f>
        <v>5.448199978141291E-3</v>
      </c>
      <c r="AI95" s="10">
        <f t="shared" si="40"/>
        <v>-143.005</v>
      </c>
      <c r="AJ95" s="11">
        <f>IFERROR(AI95/AI148, "NA")</f>
        <v>3.9232671442322981E-2</v>
      </c>
      <c r="AK95" s="10">
        <f t="shared" si="41"/>
        <v>-1</v>
      </c>
      <c r="AL95" s="11">
        <f>IFERROR(AK95/AK148, "NA")</f>
        <v>7.2010336624441615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252.3</v>
      </c>
      <c r="C97" s="8">
        <f>IFERROR(B97/B148, "NA")</f>
        <v>1.0142008214102095E-2</v>
      </c>
      <c r="D97" s="7">
        <v>0</v>
      </c>
      <c r="E97" s="8">
        <f>IFERROR(D97/D148, "NA")</f>
        <v>0</v>
      </c>
      <c r="F97" s="7">
        <v>746.86</v>
      </c>
      <c r="G97" s="8">
        <f>IFERROR(F97/F148, "NA")</f>
        <v>2.2077624936370822E-2</v>
      </c>
      <c r="H97" s="7">
        <v>627.79999999999995</v>
      </c>
      <c r="I97" s="8">
        <f>IFERROR(H97/H148, "NA")</f>
        <v>2.5224835735210744E-2</v>
      </c>
      <c r="J97" s="7">
        <v>14.58</v>
      </c>
      <c r="K97" s="8">
        <f>IFERROR(J97/J148, "NA")</f>
        <v>4.6081682152071448E-4</v>
      </c>
      <c r="L97" s="7">
        <v>250.05</v>
      </c>
      <c r="M97" s="8">
        <f>IFERROR(L97/L148, "NA")</f>
        <v>8.3126417645339925E-3</v>
      </c>
      <c r="N97" s="7">
        <v>2739.1100000000006</v>
      </c>
      <c r="O97" s="8">
        <f>IFERROR(N97/N148, "NA")</f>
        <v>0.10259995602500509</v>
      </c>
      <c r="P97" s="7">
        <v>27.08</v>
      </c>
      <c r="Q97" s="8">
        <f>IFERROR(P97/P148, "NA")</f>
        <v>1.1850129988224261E-3</v>
      </c>
      <c r="R97" s="7">
        <v>0</v>
      </c>
      <c r="S97" s="8">
        <f>IFERROR(R97/R148, "NA")</f>
        <v>0</v>
      </c>
      <c r="T97" s="7">
        <v>250.05</v>
      </c>
      <c r="U97" s="8">
        <f>IFERROR(T97/T148, "NA")</f>
        <v>1.0396445292994322E-2</v>
      </c>
      <c r="V97" s="7">
        <v>532.96</v>
      </c>
      <c r="W97" s="8">
        <f>IFERROR(V97/V148, "NA")</f>
        <v>2.123284014734227E-2</v>
      </c>
      <c r="X97" s="7">
        <v>0</v>
      </c>
      <c r="Y97" s="8">
        <f>IFERROR(X97/X148, "NA")</f>
        <v>0</v>
      </c>
      <c r="Z97" s="7">
        <v>0</v>
      </c>
      <c r="AA97" s="8">
        <f>IFERROR(Z97/Z148, "NA")</f>
        <v>0</v>
      </c>
      <c r="AB97" s="9">
        <f t="shared" si="36"/>
        <v>195.7525</v>
      </c>
      <c r="AC97" s="8">
        <f>IFERROR(AB97/AB148, "NA")</f>
        <v>7.9319678839431147E-3</v>
      </c>
      <c r="AD97" s="10">
        <f t="shared" si="37"/>
        <v>-195.7525</v>
      </c>
      <c r="AE97" s="11">
        <f>IFERROR(AD97/AD148, "NA")</f>
        <v>9.4299357495980451E-2</v>
      </c>
      <c r="AF97" s="10">
        <f t="shared" si="38"/>
        <v>-1</v>
      </c>
      <c r="AG97" s="9">
        <f t="shared" si="39"/>
        <v>476.7287500000001</v>
      </c>
      <c r="AH97" s="8">
        <f>IFERROR(AG97/AG148, "NA")</f>
        <v>1.8162396876538062E-2</v>
      </c>
      <c r="AI97" s="10">
        <f t="shared" si="40"/>
        <v>-476.7287500000001</v>
      </c>
      <c r="AJ97" s="11">
        <f>IFERROR(AI97/AI148, "NA")</f>
        <v>0.13078803129862127</v>
      </c>
      <c r="AK97" s="10">
        <f t="shared" si="41"/>
        <v>-1</v>
      </c>
      <c r="AL97" s="11">
        <f>IFERROR(AK97/AK148, "NA")</f>
        <v>7.2010336624441615</v>
      </c>
    </row>
    <row r="98" spans="1:38" ht="16.5" hidden="1" customHeight="1">
      <c r="A98" s="6" t="s">
        <v>107</v>
      </c>
      <c r="B98" s="7">
        <v>577.83999999999992</v>
      </c>
      <c r="C98" s="8">
        <f>IFERROR(B98/B148, "NA")</f>
        <v>2.3228133279574924E-2</v>
      </c>
      <c r="D98" s="7">
        <v>2689.6899999999996</v>
      </c>
      <c r="E98" s="8">
        <f>IFERROR(D98/D148, "NA")</f>
        <v>8.8053380248168903E-2</v>
      </c>
      <c r="F98" s="7">
        <v>1166.8</v>
      </c>
      <c r="G98" s="8">
        <f>IFERROR(F98/F148, "NA")</f>
        <v>3.4491300612909344E-2</v>
      </c>
      <c r="H98" s="7">
        <v>520.75</v>
      </c>
      <c r="I98" s="8">
        <f>IFERROR(H98/H148, "NA")</f>
        <v>2.0923595427064345E-2</v>
      </c>
      <c r="J98" s="7">
        <v>27.419999999999987</v>
      </c>
      <c r="K98" s="8">
        <f>IFERROR(J98/J148, "NA")</f>
        <v>8.666390429422486E-4</v>
      </c>
      <c r="L98" s="7">
        <v>2700.2499999999995</v>
      </c>
      <c r="M98" s="8">
        <f>IFERROR(L98/L148, "NA")</f>
        <v>8.9766890320667495E-2</v>
      </c>
      <c r="N98" s="7">
        <v>1292.94</v>
      </c>
      <c r="O98" s="8">
        <f>IFERROR(N98/N148, "NA")</f>
        <v>4.8430178832894646E-2</v>
      </c>
      <c r="P98" s="7">
        <v>495.82000000000005</v>
      </c>
      <c r="Q98" s="8">
        <f>IFERROR(P98/P148, "NA")</f>
        <v>2.1696940364702193E-2</v>
      </c>
      <c r="R98" s="7">
        <v>312.16999999999996</v>
      </c>
      <c r="S98" s="8">
        <f>IFERROR(R98/R148, "NA")</f>
        <v>1.1578821257672817E-2</v>
      </c>
      <c r="T98" s="7">
        <v>2661.59</v>
      </c>
      <c r="U98" s="8">
        <f>IFERROR(T98/T148, "NA")</f>
        <v>0.1106621668761478</v>
      </c>
      <c r="V98" s="7">
        <v>1363.3</v>
      </c>
      <c r="W98" s="8">
        <f>IFERROR(V98/V148, "NA")</f>
        <v>5.4313139771974842E-2</v>
      </c>
      <c r="X98" s="7">
        <v>494.2</v>
      </c>
      <c r="Y98" s="8">
        <f>IFERROR(X98/X148, "NA")</f>
        <v>2.1864286577000382E-2</v>
      </c>
      <c r="Z98" s="7">
        <v>494.2</v>
      </c>
      <c r="AA98" s="8">
        <f>IFERROR(Z98/Z148, "NA")</f>
        <v>2.1864286577000382E-2</v>
      </c>
      <c r="AB98" s="9">
        <f t="shared" si="36"/>
        <v>1207.8150000000001</v>
      </c>
      <c r="AC98" s="8">
        <f>IFERROR(AB98/AB148, "NA")</f>
        <v>4.8941136331565389E-2</v>
      </c>
      <c r="AD98" s="10">
        <f t="shared" si="37"/>
        <v>-713.61500000000001</v>
      </c>
      <c r="AE98" s="11">
        <f>IFERROR(AD98/AD148, "NA")</f>
        <v>0.3437679518754248</v>
      </c>
      <c r="AF98" s="10">
        <f t="shared" si="38"/>
        <v>-0.59083137732185809</v>
      </c>
      <c r="AG98" s="9">
        <f t="shared" si="39"/>
        <v>1168.4612500000001</v>
      </c>
      <c r="AH98" s="8">
        <f>IFERROR(AG98/AG148, "NA")</f>
        <v>4.4515999837131191E-2</v>
      </c>
      <c r="AI98" s="10">
        <f t="shared" si="40"/>
        <v>-674.26125000000002</v>
      </c>
      <c r="AJ98" s="11">
        <f>IFERROR(AI98/AI148, "NA")</f>
        <v>0.1849800362752351</v>
      </c>
      <c r="AK98" s="10">
        <f t="shared" si="41"/>
        <v>-0.57705058682947341</v>
      </c>
      <c r="AL98" s="11">
        <f>IFERROR(AK98/AK148, "NA")</f>
        <v>4.1553607006921958</v>
      </c>
    </row>
    <row r="99" spans="1:38" ht="16.5" hidden="1" customHeight="1">
      <c r="A99" s="12" t="s">
        <v>108</v>
      </c>
      <c r="B99" s="13">
        <f>IFERROR(B90+B91+B92+B93+B94+B95+B96+B97+B98, "NA")</f>
        <v>3929.1400000000003</v>
      </c>
      <c r="C99" s="14">
        <f>IFERROR(B99/B148, "NA")</f>
        <v>0.15794439220910467</v>
      </c>
      <c r="D99" s="13">
        <f>IFERROR(D90+D91+D92+D93+D94+D95+D96+D97+D98, "NA")</f>
        <v>8719.41</v>
      </c>
      <c r="E99" s="14">
        <f>IFERROR(D99/D148, "NA")</f>
        <v>0.28545056280451891</v>
      </c>
      <c r="F99" s="13">
        <f>IFERROR(F90+F91+F92+F93+F94+F95+F96+F97+F98, "NA")</f>
        <v>9435.0899999999983</v>
      </c>
      <c r="G99" s="14">
        <f>IFERROR(F99/F148, "NA")</f>
        <v>0.27890686107289581</v>
      </c>
      <c r="H99" s="13">
        <f>IFERROR(H90+H91+H92+H93+H94+H95+H96+H97+H98, "NA")</f>
        <v>6622.6900000000005</v>
      </c>
      <c r="I99" s="14">
        <f>IFERROR(H99/H148, "NA")</f>
        <v>0.26609790916728715</v>
      </c>
      <c r="J99" s="13">
        <f>IFERROR(J90+J91+J92+J93+J94+J95+J96+J97+J98, "NA")</f>
        <v>6301.31</v>
      </c>
      <c r="K99" s="14">
        <f>IFERROR(J99/J148, "NA")</f>
        <v>0.19915978364997897</v>
      </c>
      <c r="L99" s="13">
        <f>IFERROR(L90+L91+L92+L93+L94+L95+L96+L97+L98, "NA")</f>
        <v>9542.0499999999993</v>
      </c>
      <c r="M99" s="14">
        <f>IFERROR(L99/L148, "NA")</f>
        <v>0.31721513037101207</v>
      </c>
      <c r="N99" s="13">
        <f>IFERROR(N90+N91+N92+N93+N94+N95+N96+N97+N98, "NA")</f>
        <v>8812.5600000000013</v>
      </c>
      <c r="O99" s="14">
        <f>IFERROR(N99/N148, "NA")</f>
        <v>0.33009563999537028</v>
      </c>
      <c r="P99" s="13">
        <f>IFERROR(P90+P91+P92+P93+P94+P95+P96+P97+P98, "NA")</f>
        <v>4340.82</v>
      </c>
      <c r="Q99" s="14">
        <f>IFERROR(P99/P148, "NA")</f>
        <v>0.18995303270119512</v>
      </c>
      <c r="R99" s="13">
        <f>IFERROR(R90+R91+R92+R93+R94+R95+R96+R97+R98, "NA")</f>
        <v>5031.04</v>
      </c>
      <c r="S99" s="14">
        <f>IFERROR(R99/R148, "NA")</f>
        <v>0.18660829964507242</v>
      </c>
      <c r="T99" s="13">
        <f>IFERROR(T90+T91+T92+T93+T94+T95+T96+T97+T98, "NA")</f>
        <v>6017.2000000000007</v>
      </c>
      <c r="U99" s="14">
        <f>IFERROR(T99/T148, "NA")</f>
        <v>0.25017992648272519</v>
      </c>
      <c r="V99" s="13">
        <f>IFERROR(V90+V91+V92+V93+V94+V95+V96+V97+V98, "NA")</f>
        <v>7089.630000000001</v>
      </c>
      <c r="W99" s="14">
        <f>IFERROR(V99/V148, "NA")</f>
        <v>0.2824470513618324</v>
      </c>
      <c r="X99" s="13">
        <f>IFERROR(X90+X91+X92+X93+X94+X95+X96+X97+X98, "NA")</f>
        <v>4364.5899999999992</v>
      </c>
      <c r="Y99" s="14">
        <f>IFERROR(X99/X148, "NA")</f>
        <v>0.19309722086424541</v>
      </c>
      <c r="Z99" s="13">
        <f>IFERROR(Z90+Z91+Z92+Z93+Z94+Z95+Z96+Z97+Z98, "NA")</f>
        <v>4364.5899999999992</v>
      </c>
      <c r="AA99" s="14">
        <f>IFERROR(Z99/Z148, "NA")</f>
        <v>0.19309722086424541</v>
      </c>
      <c r="AB99" s="13">
        <f t="shared" si="36"/>
        <v>5625.6150000000007</v>
      </c>
      <c r="AC99" s="14">
        <f>IFERROR(AB99/AB148, "NA")</f>
        <v>0.22795212070052057</v>
      </c>
      <c r="AD99" s="15">
        <f t="shared" si="37"/>
        <v>-1261.0250000000015</v>
      </c>
      <c r="AE99" s="16">
        <f>IFERROR(AD99/AD148, "NA")</f>
        <v>0.60747038881428783</v>
      </c>
      <c r="AF99" s="15">
        <f t="shared" si="38"/>
        <v>-0.22415771431212433</v>
      </c>
      <c r="AG99" s="13">
        <f t="shared" si="39"/>
        <v>6437.4</v>
      </c>
      <c r="AH99" s="14">
        <f>IFERROR(AG99/AG148, "NA")</f>
        <v>0.24525186209773606</v>
      </c>
      <c r="AI99" s="15">
        <f t="shared" si="40"/>
        <v>-2072.8100000000004</v>
      </c>
      <c r="AJ99" s="16">
        <f>IFERROR(AI99/AI148, "NA")</f>
        <v>0.56866454803930988</v>
      </c>
      <c r="AK99" s="15">
        <f t="shared" si="41"/>
        <v>-0.32199490477521991</v>
      </c>
      <c r="AL99" s="16">
        <f>IFERROR(AK99/AK148, "NA")</f>
        <v>2.3186961484218607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6467.81</v>
      </c>
      <c r="C101" s="34">
        <f>IFERROR(B101/B148, "NA")</f>
        <v>0.25999438029033561</v>
      </c>
      <c r="D101" s="33">
        <f>IFERROR(D87-D99, "NA")</f>
        <v>5429.4300000000021</v>
      </c>
      <c r="E101" s="34">
        <f>IFERROR(D101/D148, "NA")</f>
        <v>0.17774526593057785</v>
      </c>
      <c r="F101" s="33">
        <f>IFERROR(F87-F99, "NA")</f>
        <v>6949.7499999999945</v>
      </c>
      <c r="G101" s="34">
        <f>IFERROR(F101/F148, "NA")</f>
        <v>0.20543873537415713</v>
      </c>
      <c r="H101" s="33">
        <f>IFERROR(H87-H99, "NA")</f>
        <v>3784.5299999999988</v>
      </c>
      <c r="I101" s="34">
        <f>IFERROR(H101/H148, "NA")</f>
        <v>0.15206140105921806</v>
      </c>
      <c r="J101" s="33">
        <f>IFERROR(J87-J99, "NA")</f>
        <v>8144.2300000000114</v>
      </c>
      <c r="K101" s="34">
        <f>IFERROR(J101/J148, "NA")</f>
        <v>0.25740728273893371</v>
      </c>
      <c r="L101" s="33">
        <f>IFERROR(L87-L99, "NA")</f>
        <v>5280.5199999999932</v>
      </c>
      <c r="M101" s="34">
        <f>IFERROR(L101/L148, "NA")</f>
        <v>0.17554517532676256</v>
      </c>
      <c r="N101" s="33">
        <f>IFERROR(N87-N99, "NA")</f>
        <v>4887.3599999999951</v>
      </c>
      <c r="O101" s="34">
        <f>IFERROR(N101/N148, "NA")</f>
        <v>0.18306782899495391</v>
      </c>
      <c r="P101" s="33">
        <f>IFERROR(P87-P99, "NA")</f>
        <v>3402.029999999997</v>
      </c>
      <c r="Q101" s="34">
        <f>IFERROR(P101/P148, "NA")</f>
        <v>0.14887185274681886</v>
      </c>
      <c r="R101" s="33">
        <f>IFERROR(R87-R99, "NA")</f>
        <v>8406.16</v>
      </c>
      <c r="S101" s="34">
        <f>IFERROR(R101/R148, "NA")</f>
        <v>0.31179621393278961</v>
      </c>
      <c r="T101" s="33">
        <f>IFERROR(T87-T99, "NA")</f>
        <v>2995.1799999999985</v>
      </c>
      <c r="U101" s="34">
        <f>IFERROR(T101/T148, "NA")</f>
        <v>0.12453199365195247</v>
      </c>
      <c r="V101" s="33">
        <f>IFERROR(V87-V99, "NA")</f>
        <v>4506.5599999999977</v>
      </c>
      <c r="W101" s="34">
        <f>IFERROR(V101/V148, "NA")</f>
        <v>0.17953892992796217</v>
      </c>
      <c r="X101" s="33">
        <f>IFERROR(X87-X99, "NA")</f>
        <v>5814.8700000000035</v>
      </c>
      <c r="Y101" s="34">
        <f>IFERROR(X101/X148, "NA")</f>
        <v>0.25726018633751979</v>
      </c>
      <c r="Z101" s="33">
        <f>IFERROR(Z87-Z99, "NA")</f>
        <v>5814.8700000000035</v>
      </c>
      <c r="AA101" s="34">
        <f>IFERROR(Z101/Z148, "NA")</f>
        <v>0.25726018633751979</v>
      </c>
      <c r="AB101" s="33">
        <f>IFERROR((R101+T101+V101+X101)/4, "NA")</f>
        <v>5430.6925000000001</v>
      </c>
      <c r="AC101" s="34">
        <f>IFERROR(AB101/AB148, "NA")</f>
        <v>0.22005378474129703</v>
      </c>
      <c r="AD101" s="15">
        <f>IFERROR(X101-AB101, "NA")</f>
        <v>384.17750000000342</v>
      </c>
      <c r="AE101" s="16">
        <f>IFERROR(AD101/AD148, "NA")</f>
        <v>-0.18506885692091979</v>
      </c>
      <c r="AF101" s="15">
        <f>IFERROR((X101-AB101)/AB101, "NA")</f>
        <v>7.0741898938303613E-2</v>
      </c>
      <c r="AG101" s="33">
        <f>IFERROR((J101+L101+N101+P101+R101+T101+V101+X101)/8, "NA")</f>
        <v>5429.6137499999995</v>
      </c>
      <c r="AH101" s="34">
        <f>IFERROR(AG101/AG148, "NA")</f>
        <v>0.20685725334125135</v>
      </c>
      <c r="AI101" s="15">
        <f>IFERROR(X101-AG101, "NA")</f>
        <v>385.256250000004</v>
      </c>
      <c r="AJ101" s="16">
        <f>IFERROR(AI101/AI148, "NA")</f>
        <v>-0.10569303085452676</v>
      </c>
      <c r="AK101" s="15">
        <f>IFERROR((X101-AG101)/AG101, "NA")</f>
        <v>7.0954632822639377E-2</v>
      </c>
      <c r="AL101" s="16">
        <f>IFERROR(AK101/AK148, "NA")</f>
        <v>-0.51094669946219151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3960.19</v>
      </c>
      <c r="E104" s="34">
        <f>IFERROR(D104/D148, "NA")</f>
        <v>0.1296462105019523</v>
      </c>
      <c r="F104" s="39">
        <v>25431.37</v>
      </c>
      <c r="G104" s="34">
        <f>IFERROR(F104/F148, "NA")</f>
        <v>0.75176639327058992</v>
      </c>
      <c r="H104" s="39">
        <v>1584.69</v>
      </c>
      <c r="I104" s="34">
        <f>IFERROR(H104/H148, "NA")</f>
        <v>6.3672419466758709E-2</v>
      </c>
      <c r="J104" s="39">
        <v>0</v>
      </c>
      <c r="K104" s="34">
        <f>IFERROR(J104/J148, "NA")</f>
        <v>0</v>
      </c>
      <c r="L104" s="39">
        <v>4462.3100000000004</v>
      </c>
      <c r="M104" s="34">
        <f>IFERROR(L104/L148, "NA")</f>
        <v>0.14834466895539963</v>
      </c>
      <c r="N104" s="39">
        <v>19887.580000000002</v>
      </c>
      <c r="O104" s="34">
        <f>IFERROR(N104/N148, "NA")</f>
        <v>0.74493716332815052</v>
      </c>
      <c r="P104" s="39">
        <v>401.84999999999997</v>
      </c>
      <c r="Q104" s="34">
        <f>IFERROR(P104/P148, "NA")</f>
        <v>1.7584840235479762E-2</v>
      </c>
      <c r="R104" s="39">
        <v>0</v>
      </c>
      <c r="S104" s="34">
        <f>IFERROR(R104/R148, "NA")</f>
        <v>0</v>
      </c>
      <c r="T104" s="39">
        <v>3946.2200000000003</v>
      </c>
      <c r="U104" s="34">
        <f>IFERROR(T104/T148, "NA")</f>
        <v>0.16407382661115799</v>
      </c>
      <c r="V104" s="39">
        <v>20350.45</v>
      </c>
      <c r="W104" s="34">
        <f>IFERROR(V104/V148, "NA")</f>
        <v>0.81075099777934834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6074.1675000000005</v>
      </c>
      <c r="AC104" s="34">
        <f>IFERROR(AB104/AB148, "NA")</f>
        <v>0.24612764348701063</v>
      </c>
      <c r="AD104" s="15">
        <f>IFERROR(X104-AB104, "NA")</f>
        <v>-6074.1675000000005</v>
      </c>
      <c r="AE104" s="16">
        <f>IFERROR(AD104/AD148, "NA")</f>
        <v>2.9260933708277848</v>
      </c>
      <c r="AF104" s="15">
        <f>IFERROR((X104-AB104)/AB104, "NA")</f>
        <v>-1</v>
      </c>
      <c r="AG104" s="33">
        <f>IFERROR((J104+L104+N104+P104+R104+T104+V104+X104)/8, "NA")</f>
        <v>6131.0512500000004</v>
      </c>
      <c r="AH104" s="34">
        <f>IFERROR(AG104/AG148, "NA")</f>
        <v>0.23358059708564832</v>
      </c>
      <c r="AI104" s="15">
        <f>IFERROR(X104-AG104, "NA")</f>
        <v>-6131.0512500000004</v>
      </c>
      <c r="AJ104" s="16">
        <f>IFERROR(AI104/AI148, "NA")</f>
        <v>1.6820217425075601</v>
      </c>
      <c r="AK104" s="15">
        <f>IFERROR((X104-AG104)/AG104, "NA")</f>
        <v>-1</v>
      </c>
      <c r="AL104" s="16">
        <f>IFERROR(AK104/AK148, "NA")</f>
        <v>7.2010336624441615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3960.19</v>
      </c>
      <c r="E105" s="14">
        <f>IFERROR(D105/D148, "NA")</f>
        <v>0.1296462105019523</v>
      </c>
      <c r="F105" s="13">
        <f>IFERROR(F104, "NA")</f>
        <v>25431.37</v>
      </c>
      <c r="G105" s="14">
        <f>IFERROR(F105/F148, "NA")</f>
        <v>0.75176639327058992</v>
      </c>
      <c r="H105" s="13">
        <f>IFERROR(H104, "NA")</f>
        <v>1584.69</v>
      </c>
      <c r="I105" s="14">
        <f>IFERROR(H105/H148, "NA")</f>
        <v>6.3672419466758709E-2</v>
      </c>
      <c r="J105" s="13">
        <f>IFERROR(J104, "NA")</f>
        <v>0</v>
      </c>
      <c r="K105" s="14">
        <f>IFERROR(J105/J148, "NA")</f>
        <v>0</v>
      </c>
      <c r="L105" s="13">
        <f>IFERROR(L104, "NA")</f>
        <v>4462.3100000000004</v>
      </c>
      <c r="M105" s="14">
        <f>IFERROR(L105/L148, "NA")</f>
        <v>0.14834466895539963</v>
      </c>
      <c r="N105" s="13">
        <f>IFERROR(N104, "NA")</f>
        <v>19887.580000000002</v>
      </c>
      <c r="O105" s="14">
        <f>IFERROR(N105/N148, "NA")</f>
        <v>0.74493716332815052</v>
      </c>
      <c r="P105" s="13">
        <f>IFERROR(P104, "NA")</f>
        <v>401.84999999999997</v>
      </c>
      <c r="Q105" s="14">
        <f>IFERROR(P105/P148, "NA")</f>
        <v>1.7584840235479762E-2</v>
      </c>
      <c r="R105" s="13">
        <f>IFERROR(R104, "NA")</f>
        <v>0</v>
      </c>
      <c r="S105" s="14">
        <f>IFERROR(R105/R148, "NA")</f>
        <v>0</v>
      </c>
      <c r="T105" s="13">
        <f>IFERROR(T104, "NA")</f>
        <v>3946.2200000000003</v>
      </c>
      <c r="U105" s="14">
        <f>IFERROR(T105/T148, "NA")</f>
        <v>0.16407382661115799</v>
      </c>
      <c r="V105" s="13">
        <f>IFERROR(V104, "NA")</f>
        <v>20350.45</v>
      </c>
      <c r="W105" s="14">
        <f>IFERROR(V105/V148, "NA")</f>
        <v>0.81075099777934834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6074.1675000000005</v>
      </c>
      <c r="AC105" s="14">
        <f>IFERROR(AB105/AB148, "NA")</f>
        <v>0.24612764348701063</v>
      </c>
      <c r="AD105" s="15">
        <f>IFERROR(X105-AB105, "NA")</f>
        <v>-6074.1675000000005</v>
      </c>
      <c r="AE105" s="16">
        <f>IFERROR(AD105/AD148, "NA")</f>
        <v>2.9260933708277848</v>
      </c>
      <c r="AF105" s="15">
        <f>IFERROR((X105-AB105)/AB105, "NA")</f>
        <v>-1</v>
      </c>
      <c r="AG105" s="13">
        <f>IFERROR((J105+L105+N105+P105+R105+T105+V105+X105)/8, "NA")</f>
        <v>6131.0512500000004</v>
      </c>
      <c r="AH105" s="14">
        <f>IFERROR(AG105/AG148, "NA")</f>
        <v>0.23358059708564832</v>
      </c>
      <c r="AI105" s="15">
        <f>IFERROR(X105-AG105, "NA")</f>
        <v>-6131.0512500000004</v>
      </c>
      <c r="AJ105" s="16">
        <f>IFERROR(AI105/AI148, "NA")</f>
        <v>1.6820217425075601</v>
      </c>
      <c r="AK105" s="15">
        <f>IFERROR((X105-AG105)/AG105, "NA")</f>
        <v>-1</v>
      </c>
      <c r="AL105" s="16">
        <f>IFERROR(AK105/AK148, "NA")</f>
        <v>7.2010336624441615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6467.81</v>
      </c>
      <c r="C107" s="34">
        <f>IFERROR(B107/B148, "NA")</f>
        <v>0.25999438029033561</v>
      </c>
      <c r="D107" s="33">
        <f>IFERROR(D87-D99-D105, "NA")</f>
        <v>1469.2400000000021</v>
      </c>
      <c r="E107" s="34">
        <f>IFERROR(D107/D148, "NA")</f>
        <v>4.809905542862556E-2</v>
      </c>
      <c r="F107" s="33">
        <f>IFERROR(F87-F99-F105, "NA")</f>
        <v>-18481.620000000003</v>
      </c>
      <c r="G107" s="34">
        <f>IFERROR(F107/F148, "NA")</f>
        <v>-0.54632765789643278</v>
      </c>
      <c r="H107" s="33">
        <f>IFERROR(H87-H99-H105, "NA")</f>
        <v>2199.8399999999988</v>
      </c>
      <c r="I107" s="34">
        <f>IFERROR(H107/H148, "NA")</f>
        <v>8.8388981592459351E-2</v>
      </c>
      <c r="J107" s="33">
        <f>IFERROR(J87-J99-J105, "NA")</f>
        <v>8144.2300000000114</v>
      </c>
      <c r="K107" s="34">
        <f>IFERROR(J107/J148, "NA")</f>
        <v>0.25740728273893371</v>
      </c>
      <c r="L107" s="33">
        <f>IFERROR(L87-L99-L105, "NA")</f>
        <v>818.20999999999276</v>
      </c>
      <c r="M107" s="34">
        <f>IFERROR(L107/L148, "NA")</f>
        <v>2.7200506371362919E-2</v>
      </c>
      <c r="N107" s="33">
        <f>IFERROR(N87-N99-N105, "NA")</f>
        <v>-15000.220000000007</v>
      </c>
      <c r="O107" s="34">
        <f>IFERROR(N107/N148, "NA")</f>
        <v>-0.56186933433319652</v>
      </c>
      <c r="P107" s="33">
        <f>IFERROR(P87-P99-P105, "NA")</f>
        <v>3000.1799999999971</v>
      </c>
      <c r="Q107" s="34">
        <f>IFERROR(P107/P148, "NA")</f>
        <v>0.13128701251133912</v>
      </c>
      <c r="R107" s="33">
        <f>IFERROR(R87-R99-R105, "NA")</f>
        <v>8406.16</v>
      </c>
      <c r="S107" s="34">
        <f>IFERROR(R107/R148, "NA")</f>
        <v>0.31179621393278961</v>
      </c>
      <c r="T107" s="33">
        <f>IFERROR(T87-T99-T105, "NA")</f>
        <v>-951.04000000000178</v>
      </c>
      <c r="U107" s="34">
        <f>IFERROR(T107/T148, "NA")</f>
        <v>-3.9541832959205513E-2</v>
      </c>
      <c r="V107" s="33">
        <f>IFERROR(V87-V99-V105, "NA")</f>
        <v>-15843.890000000003</v>
      </c>
      <c r="W107" s="34">
        <f>IFERROR(V107/V148, "NA")</f>
        <v>-0.63121206785138617</v>
      </c>
      <c r="X107" s="33">
        <f>IFERROR(X87-X99-X105, "NA")</f>
        <v>5814.8700000000035</v>
      </c>
      <c r="Y107" s="34">
        <f>IFERROR(X107/X148, "NA")</f>
        <v>0.25726018633751979</v>
      </c>
      <c r="Z107" s="33">
        <f>IFERROR(Z87-Z99-Z105, "NA")</f>
        <v>5814.8700000000035</v>
      </c>
      <c r="AA107" s="34">
        <f>IFERROR(Z107/Z148, "NA")</f>
        <v>0.25726018633751979</v>
      </c>
      <c r="AB107" s="33">
        <f>IFERROR((R107+T107+V107+X107)/4, "NA")</f>
        <v>-643.47500000000014</v>
      </c>
      <c r="AC107" s="34">
        <f>IFERROR(AB107/AB148, "NA")</f>
        <v>-2.607385874571358E-2</v>
      </c>
      <c r="AD107" s="15">
        <f>IFERROR(X107-AB107, "NA")</f>
        <v>6458.3450000000039</v>
      </c>
      <c r="AE107" s="16">
        <f>IFERROR(AD107/AD148, "NA")</f>
        <v>-3.1111622277487045</v>
      </c>
      <c r="AF107" s="15">
        <f>IFERROR((X107-AB107)/AB107, "NA")</f>
        <v>-10.03666809122344</v>
      </c>
      <c r="AG107" s="33">
        <f>IFERROR((J107+L107+N107+P107+R107+T107+V107+X107)/8, "NA")</f>
        <v>-701.4375000000008</v>
      </c>
      <c r="AH107" s="34">
        <f>IFERROR(AG107/AG148, "NA")</f>
        <v>-2.6723343744396954E-2</v>
      </c>
      <c r="AI107" s="15">
        <f>IFERROR(X107-AG107, "NA")</f>
        <v>6516.3075000000044</v>
      </c>
      <c r="AJ107" s="16">
        <f>IFERROR(AI107/AI148, "NA")</f>
        <v>-1.7877147733620868</v>
      </c>
      <c r="AK107" s="15">
        <f>IFERROR((X107-AG107)/AG107, "NA")</f>
        <v>-9.2899331729484054</v>
      </c>
      <c r="AL107" s="16">
        <f>IFERROR(AK107/AK148, "NA")</f>
        <v>66.897121500258166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327.92</v>
      </c>
      <c r="C128" s="8">
        <f>IFERROR(B128/B148, "NA")</f>
        <v>1.3181796803679584E-2</v>
      </c>
      <c r="D128" s="7">
        <v>337.45</v>
      </c>
      <c r="E128" s="8">
        <f>IFERROR(D128/D148, "NA")</f>
        <v>1.1047225949735694E-2</v>
      </c>
      <c r="F128" s="7">
        <v>-1384.3799999999999</v>
      </c>
      <c r="G128" s="8">
        <f>IFERROR(F128/F148, "NA")</f>
        <v>-4.0923094568477404E-2</v>
      </c>
      <c r="H128" s="7">
        <v>268.79000000000002</v>
      </c>
      <c r="I128" s="8">
        <f>IFERROR(H128/H148, "NA")</f>
        <v>1.07999101581193E-2</v>
      </c>
      <c r="J128" s="7">
        <v>287.24</v>
      </c>
      <c r="K128" s="8">
        <f>IFERROR(J128/J148, "NA")</f>
        <v>9.0785338692462303E-3</v>
      </c>
      <c r="L128" s="7">
        <v>303.3</v>
      </c>
      <c r="M128" s="8">
        <f>IFERROR(L128/L148, "NA")</f>
        <v>1.0082880412650109E-2</v>
      </c>
      <c r="N128" s="7">
        <v>-859.33</v>
      </c>
      <c r="O128" s="8">
        <f>IFERROR(N128/N148, "NA")</f>
        <v>-3.2188272910167029E-2</v>
      </c>
      <c r="P128" s="7">
        <v>320.02000000000004</v>
      </c>
      <c r="Q128" s="8">
        <f>IFERROR(P128/P148, "NA")</f>
        <v>1.4003983008979056E-2</v>
      </c>
      <c r="R128" s="7">
        <v>322.18</v>
      </c>
      <c r="S128" s="8">
        <f>IFERROR(R128/R148, "NA")</f>
        <v>1.1950106137031197E-2</v>
      </c>
      <c r="T128" s="7">
        <v>321.89</v>
      </c>
      <c r="U128" s="8">
        <f>IFERROR(T128/T148, "NA")</f>
        <v>1.3383370427362295E-2</v>
      </c>
      <c r="V128" s="7">
        <v>-964.09</v>
      </c>
      <c r="W128" s="8">
        <f>IFERROR(V128/V148, "NA")</f>
        <v>-3.8408827787547298E-2</v>
      </c>
      <c r="X128" s="7">
        <v>324.75</v>
      </c>
      <c r="Y128" s="8">
        <f>IFERROR(X128/X148, "NA")</f>
        <v>1.4367517332822488E-2</v>
      </c>
      <c r="Z128" s="7">
        <v>324.75</v>
      </c>
      <c r="AA128" s="8">
        <f>IFERROR(Z128/Z148, "NA")</f>
        <v>1.4367517332822488E-2</v>
      </c>
      <c r="AB128" s="9">
        <f t="shared" si="42"/>
        <v>1.1824999999999761</v>
      </c>
      <c r="AC128" s="8">
        <f>IFERROR(AB128/AB148, "NA")</f>
        <v>4.7915362627616734E-5</v>
      </c>
      <c r="AD128" s="10">
        <f t="shared" si="43"/>
        <v>323.5675</v>
      </c>
      <c r="AE128" s="11">
        <f>IFERROR(AD128/AD148, "NA")</f>
        <v>-0.15587135467787464</v>
      </c>
      <c r="AF128" s="10">
        <f t="shared" si="44"/>
        <v>273.63002114165459</v>
      </c>
      <c r="AG128" s="9">
        <f t="shared" si="45"/>
        <v>6.9949999999999903</v>
      </c>
      <c r="AH128" s="8">
        <f>IFERROR(AG128/AG148, "NA")</f>
        <v>2.66495289305257E-4</v>
      </c>
      <c r="AI128" s="10">
        <f t="shared" si="46"/>
        <v>317.755</v>
      </c>
      <c r="AJ128" s="11">
        <f>IFERROR(AI128/AI148, "NA")</f>
        <v>-8.7174417077412247E-2</v>
      </c>
      <c r="AK128" s="10">
        <f t="shared" si="47"/>
        <v>45.426018584703421</v>
      </c>
      <c r="AL128" s="11">
        <f>IFERROR(AK128/AK148, "NA")</f>
        <v>-327.11428897926339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327.92</v>
      </c>
      <c r="C135" s="14">
        <f>IFERROR(B135/B148, "NA")</f>
        <v>1.3181796803679584E-2</v>
      </c>
      <c r="D135" s="13">
        <f>IFERROR(D110+D111+D112+D113+D114+D115+D116+D117+D118+D119+D120+D121+D122+D123+D124+D125+D126+D127+D128+D129+D130+D131+D132+D133+D134, "NA")</f>
        <v>337.45</v>
      </c>
      <c r="E135" s="14">
        <f>IFERROR(D135/D148, "NA")</f>
        <v>1.1047225949735694E-2</v>
      </c>
      <c r="F135" s="13">
        <f>IFERROR(F110+F111+F112+F113+F114+F115+F116+F117+F118+F119+F120+F121+F122+F123+F124+F125+F126+F127+F128+F129+F130+F131+F132+F133+F134, "NA")</f>
        <v>-1384.3799999999999</v>
      </c>
      <c r="G135" s="14">
        <f>IFERROR(F135/F148, "NA")</f>
        <v>-4.0923094568477404E-2</v>
      </c>
      <c r="H135" s="13">
        <f>IFERROR(H110+H111+H112+H113+H114+H115+H116+H117+H118+H119+H120+H121+H122+H123+H124+H125+H126+H127+H128+H129+H130+H131+H132+H133+H134, "NA")</f>
        <v>268.79000000000002</v>
      </c>
      <c r="I135" s="14">
        <f>IFERROR(H135/H148, "NA")</f>
        <v>1.07999101581193E-2</v>
      </c>
      <c r="J135" s="13">
        <f>IFERROR(J110+J111+J112+J113+J114+J115+J116+J117+J118+J119+J120+J121+J122+J123+J124+J125+J126+J127+J128+J129+J130+J131+J132+J133+J134, "NA")</f>
        <v>287.24</v>
      </c>
      <c r="K135" s="14">
        <f>IFERROR(J135/J148, "NA")</f>
        <v>9.0785338692462303E-3</v>
      </c>
      <c r="L135" s="13">
        <f>IFERROR(L110+L111+L112+L113+L114+L115+L116+L117+L118+L119+L120+L121+L122+L123+L124+L125+L126+L127+L128+L129+L130+L131+L132+L133+L134, "NA")</f>
        <v>303.3</v>
      </c>
      <c r="M135" s="14">
        <f>IFERROR(L135/L148, "NA")</f>
        <v>1.0082880412650109E-2</v>
      </c>
      <c r="N135" s="13">
        <f>IFERROR(N110+N111+N112+N113+N114+N115+N116+N117+N118+N119+N120+N121+N122+N123+N124+N125+N126+N127+N128+N129+N130+N131+N132+N133+N134, "NA")</f>
        <v>-859.33</v>
      </c>
      <c r="O135" s="14">
        <f>IFERROR(N135/N148, "NA")</f>
        <v>-3.2188272910167029E-2</v>
      </c>
      <c r="P135" s="13">
        <f>IFERROR(P110+P111+P112+P113+P114+P115+P116+P117+P118+P119+P120+P121+P122+P123+P124+P125+P126+P127+P128+P129+P130+P131+P132+P133+P134, "NA")</f>
        <v>320.02000000000004</v>
      </c>
      <c r="Q135" s="14">
        <f>IFERROR(P135/P148, "NA")</f>
        <v>1.4003983008979056E-2</v>
      </c>
      <c r="R135" s="13">
        <f>IFERROR(R110+R111+R112+R113+R114+R115+R116+R117+R118+R119+R120+R121+R122+R123+R124+R125+R126+R127+R128+R129+R130+R131+R132+R133+R134, "NA")</f>
        <v>322.18</v>
      </c>
      <c r="S135" s="14">
        <f>IFERROR(R135/R148, "NA")</f>
        <v>1.1950106137031197E-2</v>
      </c>
      <c r="T135" s="13">
        <f>IFERROR(T110+T111+T112+T113+T114+T115+T116+T117+T118+T119+T120+T121+T122+T123+T124+T125+T126+T127+T128+T129+T130+T131+T132+T133+T134, "NA")</f>
        <v>321.89</v>
      </c>
      <c r="U135" s="14">
        <f>IFERROR(T135/T148, "NA")</f>
        <v>1.3383370427362295E-2</v>
      </c>
      <c r="V135" s="13">
        <f>IFERROR(V110+V111+V112+V113+V114+V115+V116+V117+V118+V119+V120+V121+V122+V123+V124+V125+V126+V127+V128+V129+V130+V131+V132+V133+V134, "NA")</f>
        <v>-964.09</v>
      </c>
      <c r="W135" s="14">
        <f>IFERROR(V135/V148, "NA")</f>
        <v>-3.8408827787547298E-2</v>
      </c>
      <c r="X135" s="13">
        <f>IFERROR(X110+X111+X112+X113+X114+X115+X116+X117+X118+X119+X120+X121+X122+X123+X124+X125+X126+X127+X128+X129+X130+X131+X132+X133+X134, "NA")</f>
        <v>324.75</v>
      </c>
      <c r="Y135" s="14">
        <f>IFERROR(X135/X148, "NA")</f>
        <v>1.4367517332822488E-2</v>
      </c>
      <c r="Z135" s="13">
        <f>IFERROR(Z110+Z111+Z112+Z113+Z114+Z115+Z116+Z117+Z118+Z119+Z120+Z121+Z122+Z123+Z124+Z125+Z126+Z127+Z128+Z129+Z130+Z131+Z132+Z133+Z134, "NA")</f>
        <v>324.75</v>
      </c>
      <c r="AA135" s="14">
        <f>IFERROR(Z135/Z148, "NA")</f>
        <v>1.4367517332822488E-2</v>
      </c>
      <c r="AB135" s="13">
        <f t="shared" si="42"/>
        <v>1.1824999999999761</v>
      </c>
      <c r="AC135" s="14">
        <f>IFERROR(AB135/AB148, "NA")</f>
        <v>4.7915362627616734E-5</v>
      </c>
      <c r="AD135" s="15">
        <f t="shared" si="43"/>
        <v>323.5675</v>
      </c>
      <c r="AE135" s="16">
        <f>IFERROR(AD135/AD148, "NA")</f>
        <v>-0.15587135467787464</v>
      </c>
      <c r="AF135" s="15">
        <f t="shared" si="44"/>
        <v>273.63002114165459</v>
      </c>
      <c r="AG135" s="13">
        <f t="shared" si="45"/>
        <v>6.9949999999999903</v>
      </c>
      <c r="AH135" s="14">
        <f>IFERROR(AG135/AG148, "NA")</f>
        <v>2.66495289305257E-4</v>
      </c>
      <c r="AI135" s="15">
        <f t="shared" si="46"/>
        <v>317.755</v>
      </c>
      <c r="AJ135" s="16">
        <f>IFERROR(AI135/AI148, "NA")</f>
        <v>-8.7174417077412247E-2</v>
      </c>
      <c r="AK135" s="15">
        <f t="shared" si="47"/>
        <v>45.426018584703421</v>
      </c>
      <c r="AL135" s="16">
        <f>IFERROR(AK135/AK148, "NA")</f>
        <v>-327.11428897926339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6139.89</v>
      </c>
      <c r="C137" s="34">
        <f>IFERROR(B137/B148, "NA")</f>
        <v>0.24681258348665602</v>
      </c>
      <c r="D137" s="33">
        <f>IFERROR(D107-D135, "NA")</f>
        <v>1131.790000000002</v>
      </c>
      <c r="E137" s="34">
        <f>IFERROR(D137/D148, "NA")</f>
        <v>3.705182947888986E-2</v>
      </c>
      <c r="F137" s="33">
        <f>IFERROR(F107-F135, "NA")</f>
        <v>-17097.240000000002</v>
      </c>
      <c r="G137" s="34">
        <f>IFERROR(F137/F148, "NA")</f>
        <v>-0.50540456332795536</v>
      </c>
      <c r="H137" s="33">
        <f>IFERROR(H107-H135, "NA")</f>
        <v>1931.0499999999988</v>
      </c>
      <c r="I137" s="34">
        <f>IFERROR(H137/H148, "NA")</f>
        <v>7.7589071434340046E-2</v>
      </c>
      <c r="J137" s="33">
        <f>IFERROR(J107-J135, "NA")</f>
        <v>7856.9900000000116</v>
      </c>
      <c r="K137" s="34">
        <f>IFERROR(J137/J148, "NA")</f>
        <v>0.2483287488696875</v>
      </c>
      <c r="L137" s="33">
        <f>IFERROR(L107-L135, "NA")</f>
        <v>514.90999999999281</v>
      </c>
      <c r="M137" s="34">
        <f>IFERROR(L137/L148, "NA")</f>
        <v>1.7117625958712811E-2</v>
      </c>
      <c r="N137" s="33">
        <f>IFERROR(N107-N135, "NA")</f>
        <v>-14140.890000000007</v>
      </c>
      <c r="O137" s="34">
        <f>IFERROR(N137/N148, "NA")</f>
        <v>-0.52968106142302951</v>
      </c>
      <c r="P137" s="33">
        <f>IFERROR(P107-P135, "NA")</f>
        <v>2680.1599999999971</v>
      </c>
      <c r="Q137" s="34">
        <f>IFERROR(P137/P148, "NA")</f>
        <v>0.11728302950236005</v>
      </c>
      <c r="R137" s="33">
        <f>IFERROR(R107-R135, "NA")</f>
        <v>8083.98</v>
      </c>
      <c r="S137" s="34">
        <f>IFERROR(R137/R148, "NA")</f>
        <v>0.29984610779575843</v>
      </c>
      <c r="T137" s="33">
        <f>IFERROR(T107-T135, "NA")</f>
        <v>-1272.9300000000017</v>
      </c>
      <c r="U137" s="34">
        <f>IFERROR(T137/T148, "NA")</f>
        <v>-5.2925203386567803E-2</v>
      </c>
      <c r="V137" s="33">
        <f>IFERROR(V107-V135, "NA")</f>
        <v>-14879.800000000003</v>
      </c>
      <c r="W137" s="34">
        <f>IFERROR(V137/V148, "NA")</f>
        <v>-0.59280324006383889</v>
      </c>
      <c r="X137" s="33">
        <f>IFERROR(X107-X135, "NA")</f>
        <v>5490.1200000000035</v>
      </c>
      <c r="Y137" s="34">
        <f>IFERROR(X137/X148, "NA")</f>
        <v>0.2428926690046973</v>
      </c>
      <c r="Z137" s="33">
        <f>IFERROR(Z107-Z135, "NA")</f>
        <v>5490.1200000000035</v>
      </c>
      <c r="AA137" s="34">
        <f>IFERROR(Z137/Z148, "NA")</f>
        <v>0.2428926690046973</v>
      </c>
      <c r="AB137" s="33">
        <f>IFERROR((R137+T137+V137+X137)/4, "NA")</f>
        <v>-644.65750000000048</v>
      </c>
      <c r="AC137" s="34">
        <f>IFERROR(AB137/AB148, "NA")</f>
        <v>-2.6121774108341211E-2</v>
      </c>
      <c r="AD137" s="15">
        <f>IFERROR(X137-AB137, "NA")</f>
        <v>6134.7775000000038</v>
      </c>
      <c r="AE137" s="16">
        <f>IFERROR(AD137/AD148, "NA")</f>
        <v>-2.9552908730708296</v>
      </c>
      <c r="AF137" s="15">
        <f>IFERROR((X137-AB137)/AB137, "NA")</f>
        <v>-9.5163361940255076</v>
      </c>
      <c r="AG137" s="33">
        <f>IFERROR((J137+L137+N137+P137+R137+T137+V137+X137)/8, "NA")</f>
        <v>-708.43250000000069</v>
      </c>
      <c r="AH137" s="34">
        <f>IFERROR(AG137/AG148, "NA")</f>
        <v>-2.6989839033702206E-2</v>
      </c>
      <c r="AI137" s="15">
        <f>IFERROR(X137-AG137, "NA")</f>
        <v>6198.5525000000043</v>
      </c>
      <c r="AJ137" s="16">
        <f>IFERROR(AI137/AI148, "NA")</f>
        <v>-1.7005403562846746</v>
      </c>
      <c r="AK137" s="15">
        <f>IFERROR((X137-AG137)/AG137, "NA")</f>
        <v>-8.749672692881818</v>
      </c>
      <c r="AL137" s="16">
        <f>IFERROR(AK137/AK148, "NA")</f>
        <v>63.006687596810423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-93.009999999999991</v>
      </c>
      <c r="E140" s="8">
        <f>IFERROR(D140/D148, "NA")</f>
        <v>-3.0449029058672895E-3</v>
      </c>
      <c r="F140" s="7">
        <v>11213.88</v>
      </c>
      <c r="G140" s="8">
        <f>IFERROR(F140/F148, "NA")</f>
        <v>0.33148894936329437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10675.49</v>
      </c>
      <c r="O140" s="8">
        <f>IFERROR(N140/N148, "NA")</f>
        <v>0.39987616581494767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10687.720000000001</v>
      </c>
      <c r="W140" s="8">
        <f>IFERROR(V140/V148, "NA")</f>
        <v>0.42579302442876188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2671.9300000000003</v>
      </c>
      <c r="AC140" s="8">
        <f>IFERROR(AB140/AB148, "NA")</f>
        <v>0.10826764893497723</v>
      </c>
      <c r="AD140" s="10">
        <f>IFERROR(X140-AB140, "NA")</f>
        <v>-2671.9300000000003</v>
      </c>
      <c r="AE140" s="11">
        <f>IFERROR(AD140/AD148, "NA")</f>
        <v>1.2871420915402618</v>
      </c>
      <c r="AF140" s="10">
        <f>IFERROR((X140-AB140)/AB140, "NA")</f>
        <v>-1</v>
      </c>
      <c r="AG140" s="9">
        <f>IFERROR((J140+L140+N140+P140+R140+T140+V140+X140)/8, "NA")</f>
        <v>2670.4012499999999</v>
      </c>
      <c r="AH140" s="8">
        <f>IFERROR(AG140/AG148, "NA")</f>
        <v>0.10173686257038898</v>
      </c>
      <c r="AI140" s="10">
        <f>IFERROR(X140-AG140, "NA")</f>
        <v>-2670.4012499999999</v>
      </c>
      <c r="AJ140" s="11">
        <f>IFERROR(AI140/AI148, "NA")</f>
        <v>0.73261057208082647</v>
      </c>
      <c r="AK140" s="10">
        <f>IFERROR((X140-AG140)/AG140, "NA")</f>
        <v>-1</v>
      </c>
      <c r="AL140" s="11">
        <f>IFERROR(AK140/AK148, "NA")</f>
        <v>7.2010336624441615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-93.009999999999991</v>
      </c>
      <c r="E141" s="14">
        <f>IFERROR(D141/D148, "NA")</f>
        <v>-3.0449029058672895E-3</v>
      </c>
      <c r="F141" s="13">
        <f>IFERROR(F140, "NA")</f>
        <v>11213.88</v>
      </c>
      <c r="G141" s="14">
        <f>IFERROR(F141/F148, "NA")</f>
        <v>0.33148894936329437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10675.49</v>
      </c>
      <c r="O141" s="14">
        <f>IFERROR(N141/N148, "NA")</f>
        <v>0.39987616581494767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10687.720000000001</v>
      </c>
      <c r="W141" s="14">
        <f>IFERROR(V141/V148, "NA")</f>
        <v>0.42579302442876188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2671.9300000000003</v>
      </c>
      <c r="AC141" s="14">
        <f>IFERROR(AB141/AB148, "NA")</f>
        <v>0.10826764893497723</v>
      </c>
      <c r="AD141" s="15">
        <f>IFERROR(X141-AB141, "NA")</f>
        <v>-2671.9300000000003</v>
      </c>
      <c r="AE141" s="16">
        <f>IFERROR(AD141/AD148, "NA")</f>
        <v>1.2871420915402618</v>
      </c>
      <c r="AF141" s="15">
        <f>IFERROR((X141-AB141)/AB141, "NA")</f>
        <v>-1</v>
      </c>
      <c r="AG141" s="13">
        <f>IFERROR((J141+L141+N141+P141+R141+T141+V141+X141)/8, "NA")</f>
        <v>2670.4012499999999</v>
      </c>
      <c r="AH141" s="14">
        <f>IFERROR(AG141/AG148, "NA")</f>
        <v>0.10173686257038898</v>
      </c>
      <c r="AI141" s="15">
        <f>IFERROR(X141-AG141, "NA")</f>
        <v>-2670.4012499999999</v>
      </c>
      <c r="AJ141" s="16">
        <f>IFERROR(AI141/AI148, "NA")</f>
        <v>0.73261057208082647</v>
      </c>
      <c r="AK141" s="15">
        <f>IFERROR((X141-AG141)/AG141, "NA")</f>
        <v>-1</v>
      </c>
      <c r="AL141" s="16">
        <f>IFERROR(AK141/AK148, "NA")</f>
        <v>7.2010336624441615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6139.89</v>
      </c>
      <c r="C147" s="34">
        <f>IFERROR(B147/B148, "NA")</f>
        <v>0.24681258348665602</v>
      </c>
      <c r="D147" s="33">
        <f>IFERROR(D137-D141-D145, "NA")</f>
        <v>1224.800000000002</v>
      </c>
      <c r="E147" s="34">
        <f>IFERROR(D147/D148, "NA")</f>
        <v>4.0096732384757153E-2</v>
      </c>
      <c r="F147" s="33">
        <f>IFERROR(F137-F141-F145, "NA")</f>
        <v>-28311.120000000003</v>
      </c>
      <c r="G147" s="34">
        <f>IFERROR(F147/F148, "NA")</f>
        <v>-0.83689351269124979</v>
      </c>
      <c r="H147" s="33">
        <f>IFERROR(H137-H141-H145, "NA")</f>
        <v>1931.0499999999988</v>
      </c>
      <c r="I147" s="34">
        <f>IFERROR(H147/H148, "NA")</f>
        <v>7.7589071434340046E-2</v>
      </c>
      <c r="J147" s="33">
        <f>IFERROR(J137-J141-J145, "NA")</f>
        <v>7856.9900000000116</v>
      </c>
      <c r="K147" s="34">
        <f>IFERROR(J147/J148, "NA")</f>
        <v>0.2483287488696875</v>
      </c>
      <c r="L147" s="33">
        <f>IFERROR(L137-L141-L145, "NA")</f>
        <v>514.90999999999281</v>
      </c>
      <c r="M147" s="34">
        <f>IFERROR(L147/L148, "NA")</f>
        <v>1.7117625958712811E-2</v>
      </c>
      <c r="N147" s="33">
        <f>IFERROR(N137-N141-N145, "NA")</f>
        <v>-24816.380000000005</v>
      </c>
      <c r="O147" s="34">
        <f>IFERROR(N147/N148, "NA")</f>
        <v>-0.92955722723797718</v>
      </c>
      <c r="P147" s="33">
        <f>IFERROR(P137-P141-P145, "NA")</f>
        <v>2680.1599999999971</v>
      </c>
      <c r="Q147" s="34">
        <f>IFERROR(P147/P148, "NA")</f>
        <v>0.11728302950236005</v>
      </c>
      <c r="R147" s="33">
        <f>IFERROR(R137-R141-R145, "NA")</f>
        <v>8083.98</v>
      </c>
      <c r="S147" s="34">
        <f>IFERROR(R147/R148, "NA")</f>
        <v>0.29984610779575843</v>
      </c>
      <c r="T147" s="33">
        <f>IFERROR(T137-T141-T145, "NA")</f>
        <v>-1272.9300000000017</v>
      </c>
      <c r="U147" s="34">
        <f>IFERROR(T147/T148, "NA")</f>
        <v>-5.2925203386567803E-2</v>
      </c>
      <c r="V147" s="33">
        <f>IFERROR(V137-V141-V145, "NA")</f>
        <v>-25567.520000000004</v>
      </c>
      <c r="W147" s="34">
        <f>IFERROR(V147/V148, "NA")</f>
        <v>-1.0185962644926008</v>
      </c>
      <c r="X147" s="33">
        <f>IFERROR(X137-X141-X145, "NA")</f>
        <v>5490.1200000000035</v>
      </c>
      <c r="Y147" s="34">
        <f>IFERROR(X147/X148, "NA")</f>
        <v>0.2428926690046973</v>
      </c>
      <c r="Z147" s="33">
        <f>IFERROR(Z137-Z141-Z145, "NA")</f>
        <v>5490.1200000000035</v>
      </c>
      <c r="AA147" s="34">
        <f>IFERROR(Z147/Z148, "NA")</f>
        <v>0.2428926690046973</v>
      </c>
      <c r="AB147" s="33">
        <f>IFERROR((R147+T147+V147+X147)/4, "NA")</f>
        <v>-3316.5875000000015</v>
      </c>
      <c r="AC147" s="34">
        <f>IFERROR(AB147/AB148, "NA")</f>
        <v>-0.13438942304331847</v>
      </c>
      <c r="AD147" s="15">
        <f>IFERROR(X147-AB147, "NA")</f>
        <v>8806.7075000000041</v>
      </c>
      <c r="AE147" s="16">
        <f>IFERROR(AD147/AD148, "NA")</f>
        <v>-4.2424329646110914</v>
      </c>
      <c r="AF147" s="15">
        <f>IFERROR((X147-AB147)/AB147, "NA")</f>
        <v>-2.6553520749867148</v>
      </c>
      <c r="AG147" s="33">
        <f>IFERROR((J147+L147+N147+P147+R147+T147+V147+X147)/8, "NA")</f>
        <v>-3378.8337500000007</v>
      </c>
      <c r="AH147" s="34">
        <f>IFERROR(AG147/AG148, "NA")</f>
        <v>-0.12872670160409119</v>
      </c>
      <c r="AI147" s="15">
        <f>IFERROR(X147-AG147, "NA")</f>
        <v>8868.9537500000042</v>
      </c>
      <c r="AJ147" s="16">
        <f>IFERROR(AI147/AI148, "NA")</f>
        <v>-2.4331509283655008</v>
      </c>
      <c r="AK147" s="15">
        <f>IFERROR((X147-AG147)/AG147, "NA")</f>
        <v>-2.624856505591612</v>
      </c>
      <c r="AL147" s="16">
        <f>IFERROR(AK147/AK148, "NA")</f>
        <v>18.901680055850751</v>
      </c>
    </row>
    <row r="148" spans="1:38" ht="15.6" hidden="1">
      <c r="A148" s="40" t="s">
        <v>25</v>
      </c>
      <c r="B148" s="7">
        <v>24876.73</v>
      </c>
      <c r="C148" s="41"/>
      <c r="D148" s="7">
        <v>30546.13</v>
      </c>
      <c r="E148" s="41"/>
      <c r="F148" s="7">
        <v>33828.82</v>
      </c>
      <c r="G148" s="41"/>
      <c r="H148" s="7">
        <v>24888.17</v>
      </c>
      <c r="I148" s="41"/>
      <c r="J148" s="7">
        <v>31639.47</v>
      </c>
      <c r="K148" s="41"/>
      <c r="L148" s="7">
        <v>30080.69</v>
      </c>
      <c r="M148" s="41"/>
      <c r="N148" s="7">
        <v>26696.99</v>
      </c>
      <c r="O148" s="41"/>
      <c r="P148" s="7">
        <v>22852.07</v>
      </c>
      <c r="Q148" s="41"/>
      <c r="R148" s="7">
        <v>26960.43</v>
      </c>
      <c r="S148" s="41"/>
      <c r="T148" s="7">
        <v>24051.49</v>
      </c>
      <c r="U148" s="41"/>
      <c r="V148" s="7">
        <v>25100.74</v>
      </c>
      <c r="W148" s="41"/>
      <c r="X148" s="7">
        <v>22603.07</v>
      </c>
      <c r="Y148" s="41"/>
      <c r="Z148" s="7">
        <v>22603.07</v>
      </c>
      <c r="AA148" s="41"/>
      <c r="AB148" s="9">
        <f>IFERROR((R148+T148+V148+X148)/4, "NA")</f>
        <v>24678.932500000003</v>
      </c>
      <c r="AC148" s="41"/>
      <c r="AD148" s="10">
        <f>IFERROR(X148-AB148, "NA")</f>
        <v>-2075.8625000000029</v>
      </c>
      <c r="AE148" s="42"/>
      <c r="AF148" s="10">
        <f>IFERROR((X148-AB148)/AB148, "NA")</f>
        <v>-8.4114760636425534E-2</v>
      </c>
      <c r="AG148" s="9">
        <f>IFERROR((J148+L148+N148+P148+R148+T148+V148+X148)/8, "NA")</f>
        <v>26248.118749999998</v>
      </c>
      <c r="AH148" s="41"/>
      <c r="AI148" s="10">
        <f>IFERROR(X148-AG148, "NA")</f>
        <v>-3645.0487499999981</v>
      </c>
      <c r="AJ148" s="42"/>
      <c r="AK148" s="10">
        <f>IFERROR((X148-AG148)/AG148, "NA")</f>
        <v>-0.13886895227491297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935857-c847-47b7-8f90-d10f9a0aecc2">
      <Terms xmlns="http://schemas.microsoft.com/office/infopath/2007/PartnerControls"/>
    </lcf76f155ced4ddcb4097134ff3c332f>
    <TaxCatchAll xmlns="55d49837-3260-4e28-958d-ec2e4c4dc82f" xsi:nil="true"/>
  </documentManagement>
</p:properties>
</file>

<file path=customXml/itemProps1.xml><?xml version="1.0" encoding="utf-8"?>
<ds:datastoreItem xmlns:ds="http://schemas.openxmlformats.org/officeDocument/2006/customXml" ds:itemID="{62DCB026-B14B-49EB-9DC4-98AAD4432A37}"/>
</file>

<file path=customXml/itemProps2.xml><?xml version="1.0" encoding="utf-8"?>
<ds:datastoreItem xmlns:ds="http://schemas.openxmlformats.org/officeDocument/2006/customXml" ds:itemID="{54464310-7C9F-4E65-9C19-6B0C4393D066}"/>
</file>

<file path=customXml/itemProps3.xml><?xml version="1.0" encoding="utf-8"?>
<ds:datastoreItem xmlns:ds="http://schemas.openxmlformats.org/officeDocument/2006/customXml" ds:itemID="{91B5F76B-A5AD-4435-AA43-2912B2C6D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Michl</cp:lastModifiedBy>
  <dcterms:created xsi:type="dcterms:W3CDTF">2026-09-03T19:02:18Z</dcterms:created>
  <dcterms:modified xsi:type="dcterms:W3CDTF">2026-09-03T19:06:18Z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0x0101005E53D96DC4024A4A95DFF1F4317A3F47</vt:lpwstr>
  </property>
</Properties>
</file>