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I:\RASA\16.Sales Import\Weekly PCR\"/>
    </mc:Choice>
  </mc:AlternateContent>
  <xr:revisionPtr revIDLastSave="0" documentId="13_ncr:1_{91C5C566-E3EE-466F-8CB5-70AD079BC9AA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ummary" sheetId="6" r:id="rId1"/>
    <sheet name="Comparison by Store" sheetId="7" r:id="rId2"/>
    <sheet name="Consolidated" sheetId="1" r:id="rId3"/>
    <sheet name="4 - RASA - MVT" sheetId="2" r:id="rId4"/>
    <sheet name="5 - RASA - National Landin" sheetId="3" r:id="rId5"/>
    <sheet name="6 - RASA - Mosaic" sheetId="4" r:id="rId6"/>
    <sheet name="7 - RASA - Rockville" sheetId="5" r:id="rId7"/>
  </sheets>
  <definedNames>
    <definedName name="_xlnm.Print_Titles" localSheetId="3">'4 - RASA - MVT'!$1:$5</definedName>
    <definedName name="_xlnm.Print_Titles" localSheetId="4">'5 - RASA - National Landin'!$1:$5</definedName>
    <definedName name="_xlnm.Print_Titles" localSheetId="5">'6 - RASA - Mosaic'!$1:$5</definedName>
    <definedName name="_xlnm.Print_Titles" localSheetId="6">'7 - RASA - Rockville'!$1:$5</definedName>
    <definedName name="_xlnm.Print_Titles" localSheetId="1">'Comparison by Store'!$1:$4</definedName>
    <definedName name="_xlnm.Print_Titles" localSheetId="2">Consolidated!$1:$5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48" i="5" l="1"/>
  <c r="AB148" i="5"/>
  <c r="Z145" i="5"/>
  <c r="AA145" i="5" s="1"/>
  <c r="X145" i="5"/>
  <c r="V145" i="5"/>
  <c r="W145" i="5" s="1"/>
  <c r="T145" i="5"/>
  <c r="U145" i="5" s="1"/>
  <c r="R145" i="5"/>
  <c r="P145" i="5"/>
  <c r="Q145" i="5" s="1"/>
  <c r="N145" i="5"/>
  <c r="O145" i="5" s="1"/>
  <c r="L145" i="5"/>
  <c r="M145" i="5" s="1"/>
  <c r="J145" i="5"/>
  <c r="H145" i="5"/>
  <c r="I145" i="5" s="1"/>
  <c r="F145" i="5"/>
  <c r="G145" i="5" s="1"/>
  <c r="D145" i="5"/>
  <c r="E145" i="5" s="1"/>
  <c r="B145" i="5"/>
  <c r="C145" i="5" s="1"/>
  <c r="AG144" i="5"/>
  <c r="AB144" i="5"/>
  <c r="AA144" i="5"/>
  <c r="Y144" i="5"/>
  <c r="W144" i="5"/>
  <c r="U144" i="5"/>
  <c r="S144" i="5"/>
  <c r="Q144" i="5"/>
  <c r="O144" i="5"/>
  <c r="M144" i="5"/>
  <c r="K144" i="5"/>
  <c r="I144" i="5"/>
  <c r="G144" i="5"/>
  <c r="E144" i="5"/>
  <c r="C144" i="5"/>
  <c r="Z141" i="5"/>
  <c r="AA141" i="5" s="1"/>
  <c r="X141" i="5"/>
  <c r="V141" i="5"/>
  <c r="W141" i="5" s="1"/>
  <c r="T141" i="5"/>
  <c r="U141" i="5" s="1"/>
  <c r="R141" i="5"/>
  <c r="P141" i="5"/>
  <c r="Q141" i="5" s="1"/>
  <c r="N141" i="5"/>
  <c r="O141" i="5" s="1"/>
  <c r="L141" i="5"/>
  <c r="M141" i="5" s="1"/>
  <c r="J141" i="5"/>
  <c r="H141" i="5"/>
  <c r="I141" i="5" s="1"/>
  <c r="F141" i="5"/>
  <c r="G141" i="5" s="1"/>
  <c r="D141" i="5"/>
  <c r="E141" i="5" s="1"/>
  <c r="B141" i="5"/>
  <c r="C141" i="5" s="1"/>
  <c r="AG140" i="5"/>
  <c r="AB140" i="5"/>
  <c r="AA140" i="5"/>
  <c r="Y140" i="5"/>
  <c r="W140" i="5"/>
  <c r="U140" i="5"/>
  <c r="S140" i="5"/>
  <c r="Q140" i="5"/>
  <c r="O140" i="5"/>
  <c r="M140" i="5"/>
  <c r="K140" i="5"/>
  <c r="I140" i="5"/>
  <c r="G140" i="5"/>
  <c r="E140" i="5"/>
  <c r="C140" i="5"/>
  <c r="Z135" i="5"/>
  <c r="AA135" i="5" s="1"/>
  <c r="X135" i="5"/>
  <c r="V135" i="5"/>
  <c r="W135" i="5" s="1"/>
  <c r="T135" i="5"/>
  <c r="U135" i="5" s="1"/>
  <c r="R135" i="5"/>
  <c r="P135" i="5"/>
  <c r="Q135" i="5" s="1"/>
  <c r="N135" i="5"/>
  <c r="O135" i="5" s="1"/>
  <c r="L135" i="5"/>
  <c r="M135" i="5" s="1"/>
  <c r="J135" i="5"/>
  <c r="H135" i="5"/>
  <c r="I135" i="5" s="1"/>
  <c r="F135" i="5"/>
  <c r="G135" i="5" s="1"/>
  <c r="D135" i="5"/>
  <c r="E135" i="5" s="1"/>
  <c r="B135" i="5"/>
  <c r="C135" i="5" s="1"/>
  <c r="AG134" i="5"/>
  <c r="AB134" i="5"/>
  <c r="AA134" i="5"/>
  <c r="Y134" i="5"/>
  <c r="W134" i="5"/>
  <c r="U134" i="5"/>
  <c r="S134" i="5"/>
  <c r="Q134" i="5"/>
  <c r="O134" i="5"/>
  <c r="M134" i="5"/>
  <c r="K134" i="5"/>
  <c r="I134" i="5"/>
  <c r="G134" i="5"/>
  <c r="E134" i="5"/>
  <c r="C134" i="5"/>
  <c r="AG133" i="5"/>
  <c r="AB133" i="5"/>
  <c r="AA133" i="5"/>
  <c r="Y133" i="5"/>
  <c r="W133" i="5"/>
  <c r="U133" i="5"/>
  <c r="S133" i="5"/>
  <c r="Q133" i="5"/>
  <c r="O133" i="5"/>
  <c r="M133" i="5"/>
  <c r="K133" i="5"/>
  <c r="I133" i="5"/>
  <c r="G133" i="5"/>
  <c r="E133" i="5"/>
  <c r="C133" i="5"/>
  <c r="AG132" i="5"/>
  <c r="AB132" i="5"/>
  <c r="AA132" i="5"/>
  <c r="Y132" i="5"/>
  <c r="W132" i="5"/>
  <c r="U132" i="5"/>
  <c r="S132" i="5"/>
  <c r="Q132" i="5"/>
  <c r="O132" i="5"/>
  <c r="M132" i="5"/>
  <c r="K132" i="5"/>
  <c r="I132" i="5"/>
  <c r="G132" i="5"/>
  <c r="E132" i="5"/>
  <c r="C132" i="5"/>
  <c r="AG131" i="5"/>
  <c r="AB131" i="5"/>
  <c r="AA131" i="5"/>
  <c r="Y131" i="5"/>
  <c r="W131" i="5"/>
  <c r="U131" i="5"/>
  <c r="S131" i="5"/>
  <c r="Q131" i="5"/>
  <c r="O131" i="5"/>
  <c r="M131" i="5"/>
  <c r="K131" i="5"/>
  <c r="I131" i="5"/>
  <c r="G131" i="5"/>
  <c r="E131" i="5"/>
  <c r="C131" i="5"/>
  <c r="AG130" i="5"/>
  <c r="AB130" i="5"/>
  <c r="AA130" i="5"/>
  <c r="Y130" i="5"/>
  <c r="W130" i="5"/>
  <c r="U130" i="5"/>
  <c r="S130" i="5"/>
  <c r="Q130" i="5"/>
  <c r="O130" i="5"/>
  <c r="M130" i="5"/>
  <c r="K130" i="5"/>
  <c r="I130" i="5"/>
  <c r="G130" i="5"/>
  <c r="E130" i="5"/>
  <c r="C130" i="5"/>
  <c r="AG129" i="5"/>
  <c r="AB129" i="5"/>
  <c r="AA129" i="5"/>
  <c r="Y129" i="5"/>
  <c r="W129" i="5"/>
  <c r="U129" i="5"/>
  <c r="S129" i="5"/>
  <c r="Q129" i="5"/>
  <c r="O129" i="5"/>
  <c r="M129" i="5"/>
  <c r="K129" i="5"/>
  <c r="I129" i="5"/>
  <c r="G129" i="5"/>
  <c r="E129" i="5"/>
  <c r="C129" i="5"/>
  <c r="AG128" i="5"/>
  <c r="AB128" i="5"/>
  <c r="AA128" i="5"/>
  <c r="Y128" i="5"/>
  <c r="W128" i="5"/>
  <c r="U128" i="5"/>
  <c r="S128" i="5"/>
  <c r="Q128" i="5"/>
  <c r="O128" i="5"/>
  <c r="M128" i="5"/>
  <c r="K128" i="5"/>
  <c r="I128" i="5"/>
  <c r="G128" i="5"/>
  <c r="E128" i="5"/>
  <c r="C128" i="5"/>
  <c r="AG127" i="5"/>
  <c r="AB127" i="5"/>
  <c r="AA127" i="5"/>
  <c r="Y127" i="5"/>
  <c r="W127" i="5"/>
  <c r="U127" i="5"/>
  <c r="S127" i="5"/>
  <c r="Q127" i="5"/>
  <c r="O127" i="5"/>
  <c r="M127" i="5"/>
  <c r="K127" i="5"/>
  <c r="I127" i="5"/>
  <c r="G127" i="5"/>
  <c r="E127" i="5"/>
  <c r="C127" i="5"/>
  <c r="AG126" i="5"/>
  <c r="AB126" i="5"/>
  <c r="AA126" i="5"/>
  <c r="Y126" i="5"/>
  <c r="W126" i="5"/>
  <c r="U126" i="5"/>
  <c r="S126" i="5"/>
  <c r="Q126" i="5"/>
  <c r="O126" i="5"/>
  <c r="M126" i="5"/>
  <c r="K126" i="5"/>
  <c r="I126" i="5"/>
  <c r="G126" i="5"/>
  <c r="E126" i="5"/>
  <c r="C126" i="5"/>
  <c r="AG125" i="5"/>
  <c r="AB125" i="5"/>
  <c r="AA125" i="5"/>
  <c r="Y125" i="5"/>
  <c r="W125" i="5"/>
  <c r="U125" i="5"/>
  <c r="S125" i="5"/>
  <c r="Q125" i="5"/>
  <c r="O125" i="5"/>
  <c r="M125" i="5"/>
  <c r="K125" i="5"/>
  <c r="I125" i="5"/>
  <c r="G125" i="5"/>
  <c r="E125" i="5"/>
  <c r="C125" i="5"/>
  <c r="AG124" i="5"/>
  <c r="AB124" i="5"/>
  <c r="AA124" i="5"/>
  <c r="Y124" i="5"/>
  <c r="W124" i="5"/>
  <c r="U124" i="5"/>
  <c r="S124" i="5"/>
  <c r="Q124" i="5"/>
  <c r="O124" i="5"/>
  <c r="M124" i="5"/>
  <c r="K124" i="5"/>
  <c r="I124" i="5"/>
  <c r="G124" i="5"/>
  <c r="E124" i="5"/>
  <c r="C124" i="5"/>
  <c r="AG123" i="5"/>
  <c r="AB123" i="5"/>
  <c r="AA123" i="5"/>
  <c r="Y123" i="5"/>
  <c r="W123" i="5"/>
  <c r="U123" i="5"/>
  <c r="S123" i="5"/>
  <c r="Q123" i="5"/>
  <c r="O123" i="5"/>
  <c r="M123" i="5"/>
  <c r="K123" i="5"/>
  <c r="I123" i="5"/>
  <c r="G123" i="5"/>
  <c r="E123" i="5"/>
  <c r="C123" i="5"/>
  <c r="AG122" i="5"/>
  <c r="AB122" i="5"/>
  <c r="AA122" i="5"/>
  <c r="Y122" i="5"/>
  <c r="W122" i="5"/>
  <c r="U122" i="5"/>
  <c r="S122" i="5"/>
  <c r="Q122" i="5"/>
  <c r="O122" i="5"/>
  <c r="M122" i="5"/>
  <c r="K122" i="5"/>
  <c r="I122" i="5"/>
  <c r="G122" i="5"/>
  <c r="E122" i="5"/>
  <c r="C122" i="5"/>
  <c r="AG121" i="5"/>
  <c r="AB121" i="5"/>
  <c r="AA121" i="5"/>
  <c r="Y121" i="5"/>
  <c r="W121" i="5"/>
  <c r="U121" i="5"/>
  <c r="S121" i="5"/>
  <c r="Q121" i="5"/>
  <c r="O121" i="5"/>
  <c r="M121" i="5"/>
  <c r="K121" i="5"/>
  <c r="I121" i="5"/>
  <c r="G121" i="5"/>
  <c r="E121" i="5"/>
  <c r="C121" i="5"/>
  <c r="AG120" i="5"/>
  <c r="AB120" i="5"/>
  <c r="AA120" i="5"/>
  <c r="Y120" i="5"/>
  <c r="W120" i="5"/>
  <c r="U120" i="5"/>
  <c r="S120" i="5"/>
  <c r="Q120" i="5"/>
  <c r="O120" i="5"/>
  <c r="M120" i="5"/>
  <c r="K120" i="5"/>
  <c r="I120" i="5"/>
  <c r="G120" i="5"/>
  <c r="E120" i="5"/>
  <c r="C120" i="5"/>
  <c r="AG119" i="5"/>
  <c r="AB119" i="5"/>
  <c r="AA119" i="5"/>
  <c r="Y119" i="5"/>
  <c r="W119" i="5"/>
  <c r="U119" i="5"/>
  <c r="S119" i="5"/>
  <c r="Q119" i="5"/>
  <c r="O119" i="5"/>
  <c r="M119" i="5"/>
  <c r="K119" i="5"/>
  <c r="I119" i="5"/>
  <c r="G119" i="5"/>
  <c r="E119" i="5"/>
  <c r="C119" i="5"/>
  <c r="AG118" i="5"/>
  <c r="AB118" i="5"/>
  <c r="AA118" i="5"/>
  <c r="Y118" i="5"/>
  <c r="W118" i="5"/>
  <c r="U118" i="5"/>
  <c r="S118" i="5"/>
  <c r="Q118" i="5"/>
  <c r="O118" i="5"/>
  <c r="M118" i="5"/>
  <c r="K118" i="5"/>
  <c r="I118" i="5"/>
  <c r="G118" i="5"/>
  <c r="E118" i="5"/>
  <c r="C118" i="5"/>
  <c r="AG117" i="5"/>
  <c r="AB117" i="5"/>
  <c r="AA117" i="5"/>
  <c r="Y117" i="5"/>
  <c r="W117" i="5"/>
  <c r="U117" i="5"/>
  <c r="S117" i="5"/>
  <c r="Q117" i="5"/>
  <c r="O117" i="5"/>
  <c r="M117" i="5"/>
  <c r="K117" i="5"/>
  <c r="I117" i="5"/>
  <c r="G117" i="5"/>
  <c r="E117" i="5"/>
  <c r="C117" i="5"/>
  <c r="AG116" i="5"/>
  <c r="AB116" i="5"/>
  <c r="AA116" i="5"/>
  <c r="Y116" i="5"/>
  <c r="W116" i="5"/>
  <c r="U116" i="5"/>
  <c r="S116" i="5"/>
  <c r="Q116" i="5"/>
  <c r="O116" i="5"/>
  <c r="M116" i="5"/>
  <c r="K116" i="5"/>
  <c r="I116" i="5"/>
  <c r="G116" i="5"/>
  <c r="E116" i="5"/>
  <c r="C116" i="5"/>
  <c r="AG115" i="5"/>
  <c r="AB115" i="5"/>
  <c r="AA115" i="5"/>
  <c r="Y115" i="5"/>
  <c r="W115" i="5"/>
  <c r="U115" i="5"/>
  <c r="S115" i="5"/>
  <c r="Q115" i="5"/>
  <c r="O115" i="5"/>
  <c r="M115" i="5"/>
  <c r="K115" i="5"/>
  <c r="I115" i="5"/>
  <c r="G115" i="5"/>
  <c r="E115" i="5"/>
  <c r="C115" i="5"/>
  <c r="AG114" i="5"/>
  <c r="AB114" i="5"/>
  <c r="AA114" i="5"/>
  <c r="Y114" i="5"/>
  <c r="W114" i="5"/>
  <c r="U114" i="5"/>
  <c r="S114" i="5"/>
  <c r="Q114" i="5"/>
  <c r="O114" i="5"/>
  <c r="M114" i="5"/>
  <c r="K114" i="5"/>
  <c r="I114" i="5"/>
  <c r="G114" i="5"/>
  <c r="E114" i="5"/>
  <c r="C114" i="5"/>
  <c r="AG113" i="5"/>
  <c r="AB113" i="5"/>
  <c r="AA113" i="5"/>
  <c r="Y113" i="5"/>
  <c r="W113" i="5"/>
  <c r="U113" i="5"/>
  <c r="S113" i="5"/>
  <c r="Q113" i="5"/>
  <c r="O113" i="5"/>
  <c r="M113" i="5"/>
  <c r="K113" i="5"/>
  <c r="I113" i="5"/>
  <c r="G113" i="5"/>
  <c r="E113" i="5"/>
  <c r="C113" i="5"/>
  <c r="AG112" i="5"/>
  <c r="AB112" i="5"/>
  <c r="AA112" i="5"/>
  <c r="Y112" i="5"/>
  <c r="W112" i="5"/>
  <c r="U112" i="5"/>
  <c r="S112" i="5"/>
  <c r="Q112" i="5"/>
  <c r="O112" i="5"/>
  <c r="M112" i="5"/>
  <c r="K112" i="5"/>
  <c r="I112" i="5"/>
  <c r="G112" i="5"/>
  <c r="E112" i="5"/>
  <c r="C112" i="5"/>
  <c r="AG111" i="5"/>
  <c r="AB111" i="5"/>
  <c r="AA111" i="5"/>
  <c r="Y111" i="5"/>
  <c r="W111" i="5"/>
  <c r="U111" i="5"/>
  <c r="S111" i="5"/>
  <c r="Q111" i="5"/>
  <c r="O111" i="5"/>
  <c r="M111" i="5"/>
  <c r="K111" i="5"/>
  <c r="I111" i="5"/>
  <c r="G111" i="5"/>
  <c r="E111" i="5"/>
  <c r="C111" i="5"/>
  <c r="AG110" i="5"/>
  <c r="AB110" i="5"/>
  <c r="AA110" i="5"/>
  <c r="Y110" i="5"/>
  <c r="W110" i="5"/>
  <c r="U110" i="5"/>
  <c r="S110" i="5"/>
  <c r="Q110" i="5"/>
  <c r="O110" i="5"/>
  <c r="M110" i="5"/>
  <c r="K110" i="5"/>
  <c r="I110" i="5"/>
  <c r="G110" i="5"/>
  <c r="E110" i="5"/>
  <c r="C110" i="5"/>
  <c r="Z105" i="5"/>
  <c r="AA105" i="5" s="1"/>
  <c r="X105" i="5"/>
  <c r="V105" i="5"/>
  <c r="W105" i="5" s="1"/>
  <c r="T105" i="5"/>
  <c r="U105" i="5" s="1"/>
  <c r="R105" i="5"/>
  <c r="P105" i="5"/>
  <c r="Q105" i="5" s="1"/>
  <c r="N105" i="5"/>
  <c r="O105" i="5" s="1"/>
  <c r="L105" i="5"/>
  <c r="M105" i="5" s="1"/>
  <c r="J105" i="5"/>
  <c r="H105" i="5"/>
  <c r="I105" i="5" s="1"/>
  <c r="F105" i="5"/>
  <c r="G105" i="5" s="1"/>
  <c r="D105" i="5"/>
  <c r="E105" i="5" s="1"/>
  <c r="B105" i="5"/>
  <c r="C105" i="5" s="1"/>
  <c r="AG104" i="5"/>
  <c r="AB104" i="5"/>
  <c r="AA104" i="5"/>
  <c r="Y104" i="5"/>
  <c r="W104" i="5"/>
  <c r="U104" i="5"/>
  <c r="S104" i="5"/>
  <c r="Q104" i="5"/>
  <c r="O104" i="5"/>
  <c r="M104" i="5"/>
  <c r="K104" i="5"/>
  <c r="I104" i="5"/>
  <c r="G104" i="5"/>
  <c r="E104" i="5"/>
  <c r="C104" i="5"/>
  <c r="Z99" i="5"/>
  <c r="AA99" i="5" s="1"/>
  <c r="X99" i="5"/>
  <c r="V99" i="5"/>
  <c r="W99" i="5" s="1"/>
  <c r="T99" i="5"/>
  <c r="U99" i="5" s="1"/>
  <c r="R99" i="5"/>
  <c r="P99" i="5"/>
  <c r="Q99" i="5" s="1"/>
  <c r="N99" i="5"/>
  <c r="O99" i="5" s="1"/>
  <c r="L99" i="5"/>
  <c r="M99" i="5" s="1"/>
  <c r="J99" i="5"/>
  <c r="H99" i="5"/>
  <c r="I99" i="5" s="1"/>
  <c r="F99" i="5"/>
  <c r="G99" i="5" s="1"/>
  <c r="D99" i="5"/>
  <c r="E99" i="5" s="1"/>
  <c r="B99" i="5"/>
  <c r="C99" i="5" s="1"/>
  <c r="AG98" i="5"/>
  <c r="AB98" i="5"/>
  <c r="AA98" i="5"/>
  <c r="Y98" i="5"/>
  <c r="W98" i="5"/>
  <c r="U98" i="5"/>
  <c r="S98" i="5"/>
  <c r="Q98" i="5"/>
  <c r="O98" i="5"/>
  <c r="M98" i="5"/>
  <c r="K98" i="5"/>
  <c r="I98" i="5"/>
  <c r="G98" i="5"/>
  <c r="E98" i="5"/>
  <c r="C98" i="5"/>
  <c r="AG97" i="5"/>
  <c r="AB97" i="5"/>
  <c r="AA97" i="5"/>
  <c r="Y97" i="5"/>
  <c r="W97" i="5"/>
  <c r="U97" i="5"/>
  <c r="S97" i="5"/>
  <c r="Q97" i="5"/>
  <c r="O97" i="5"/>
  <c r="M97" i="5"/>
  <c r="K97" i="5"/>
  <c r="I97" i="5"/>
  <c r="G97" i="5"/>
  <c r="E97" i="5"/>
  <c r="C97" i="5"/>
  <c r="AG96" i="5"/>
  <c r="AB96" i="5"/>
  <c r="AA96" i="5"/>
  <c r="Y96" i="5"/>
  <c r="W96" i="5"/>
  <c r="U96" i="5"/>
  <c r="S96" i="5"/>
  <c r="Q96" i="5"/>
  <c r="O96" i="5"/>
  <c r="M96" i="5"/>
  <c r="K96" i="5"/>
  <c r="I96" i="5"/>
  <c r="G96" i="5"/>
  <c r="E96" i="5"/>
  <c r="C96" i="5"/>
  <c r="AG95" i="5"/>
  <c r="AB95" i="5"/>
  <c r="AA95" i="5"/>
  <c r="Y95" i="5"/>
  <c r="W95" i="5"/>
  <c r="U95" i="5"/>
  <c r="S95" i="5"/>
  <c r="Q95" i="5"/>
  <c r="O95" i="5"/>
  <c r="M95" i="5"/>
  <c r="K95" i="5"/>
  <c r="I95" i="5"/>
  <c r="G95" i="5"/>
  <c r="E95" i="5"/>
  <c r="C95" i="5"/>
  <c r="AG94" i="5"/>
  <c r="AB94" i="5"/>
  <c r="AA94" i="5"/>
  <c r="Y94" i="5"/>
  <c r="W94" i="5"/>
  <c r="U94" i="5"/>
  <c r="S94" i="5"/>
  <c r="Q94" i="5"/>
  <c r="O94" i="5"/>
  <c r="M94" i="5"/>
  <c r="K94" i="5"/>
  <c r="I94" i="5"/>
  <c r="G94" i="5"/>
  <c r="E94" i="5"/>
  <c r="C94" i="5"/>
  <c r="AG93" i="5"/>
  <c r="AB93" i="5"/>
  <c r="AA93" i="5"/>
  <c r="Y93" i="5"/>
  <c r="W93" i="5"/>
  <c r="U93" i="5"/>
  <c r="S93" i="5"/>
  <c r="Q93" i="5"/>
  <c r="O93" i="5"/>
  <c r="M93" i="5"/>
  <c r="K93" i="5"/>
  <c r="I93" i="5"/>
  <c r="G93" i="5"/>
  <c r="E93" i="5"/>
  <c r="C93" i="5"/>
  <c r="AG92" i="5"/>
  <c r="AB92" i="5"/>
  <c r="AA92" i="5"/>
  <c r="Y92" i="5"/>
  <c r="W92" i="5"/>
  <c r="U92" i="5"/>
  <c r="S92" i="5"/>
  <c r="Q92" i="5"/>
  <c r="O92" i="5"/>
  <c r="M92" i="5"/>
  <c r="K92" i="5"/>
  <c r="I92" i="5"/>
  <c r="G92" i="5"/>
  <c r="E92" i="5"/>
  <c r="C92" i="5"/>
  <c r="AG91" i="5"/>
  <c r="AB91" i="5"/>
  <c r="AA91" i="5"/>
  <c r="Y91" i="5"/>
  <c r="W91" i="5"/>
  <c r="U91" i="5"/>
  <c r="S91" i="5"/>
  <c r="Q91" i="5"/>
  <c r="O91" i="5"/>
  <c r="M91" i="5"/>
  <c r="K91" i="5"/>
  <c r="I91" i="5"/>
  <c r="G91" i="5"/>
  <c r="E91" i="5"/>
  <c r="C91" i="5"/>
  <c r="AG90" i="5"/>
  <c r="AB90" i="5"/>
  <c r="AA90" i="5"/>
  <c r="Y90" i="5"/>
  <c r="W90" i="5"/>
  <c r="U90" i="5"/>
  <c r="S90" i="5"/>
  <c r="Q90" i="5"/>
  <c r="O90" i="5"/>
  <c r="M90" i="5"/>
  <c r="K90" i="5"/>
  <c r="I90" i="5"/>
  <c r="G90" i="5"/>
  <c r="E90" i="5"/>
  <c r="C90" i="5"/>
  <c r="Z85" i="5"/>
  <c r="AA85" i="5" s="1"/>
  <c r="X85" i="5"/>
  <c r="V85" i="5"/>
  <c r="W85" i="5" s="1"/>
  <c r="T85" i="5"/>
  <c r="U85" i="5" s="1"/>
  <c r="R85" i="5"/>
  <c r="P85" i="5"/>
  <c r="Q85" i="5" s="1"/>
  <c r="N85" i="5"/>
  <c r="O85" i="5" s="1"/>
  <c r="L85" i="5"/>
  <c r="M85" i="5" s="1"/>
  <c r="J85" i="5"/>
  <c r="H85" i="5"/>
  <c r="I85" i="5" s="1"/>
  <c r="F85" i="5"/>
  <c r="G85" i="5" s="1"/>
  <c r="D85" i="5"/>
  <c r="E85" i="5" s="1"/>
  <c r="B85" i="5"/>
  <c r="C85" i="5" s="1"/>
  <c r="Z84" i="5"/>
  <c r="AA84" i="5" s="1"/>
  <c r="X84" i="5"/>
  <c r="V84" i="5"/>
  <c r="W84" i="5" s="1"/>
  <c r="T84" i="5"/>
  <c r="U84" i="5" s="1"/>
  <c r="R84" i="5"/>
  <c r="P84" i="5"/>
  <c r="Q84" i="5" s="1"/>
  <c r="N84" i="5"/>
  <c r="O84" i="5" s="1"/>
  <c r="L84" i="5"/>
  <c r="M84" i="5" s="1"/>
  <c r="J84" i="5"/>
  <c r="H84" i="5"/>
  <c r="I84" i="5" s="1"/>
  <c r="F84" i="5"/>
  <c r="G84" i="5" s="1"/>
  <c r="D84" i="5"/>
  <c r="E84" i="5" s="1"/>
  <c r="B84" i="5"/>
  <c r="C84" i="5" s="1"/>
  <c r="AG83" i="5"/>
  <c r="AB83" i="5"/>
  <c r="AA83" i="5"/>
  <c r="Y83" i="5"/>
  <c r="W83" i="5"/>
  <c r="U83" i="5"/>
  <c r="S83" i="5"/>
  <c r="Q83" i="5"/>
  <c r="O83" i="5"/>
  <c r="M83" i="5"/>
  <c r="K83" i="5"/>
  <c r="I83" i="5"/>
  <c r="G83" i="5"/>
  <c r="E83" i="5"/>
  <c r="C83" i="5"/>
  <c r="AG82" i="5"/>
  <c r="AB82" i="5"/>
  <c r="AA82" i="5"/>
  <c r="Y82" i="5"/>
  <c r="W82" i="5"/>
  <c r="U82" i="5"/>
  <c r="S82" i="5"/>
  <c r="Q82" i="5"/>
  <c r="O82" i="5"/>
  <c r="M82" i="5"/>
  <c r="K82" i="5"/>
  <c r="I82" i="5"/>
  <c r="G82" i="5"/>
  <c r="E82" i="5"/>
  <c r="C82" i="5"/>
  <c r="Z81" i="5"/>
  <c r="AA81" i="5" s="1"/>
  <c r="X81" i="5"/>
  <c r="V81" i="5"/>
  <c r="W81" i="5" s="1"/>
  <c r="T81" i="5"/>
  <c r="U81" i="5" s="1"/>
  <c r="R81" i="5"/>
  <c r="P81" i="5"/>
  <c r="Q81" i="5" s="1"/>
  <c r="N81" i="5"/>
  <c r="O81" i="5" s="1"/>
  <c r="L81" i="5"/>
  <c r="M81" i="5" s="1"/>
  <c r="J81" i="5"/>
  <c r="H81" i="5"/>
  <c r="I81" i="5" s="1"/>
  <c r="F81" i="5"/>
  <c r="G81" i="5" s="1"/>
  <c r="D81" i="5"/>
  <c r="E81" i="5" s="1"/>
  <c r="B81" i="5"/>
  <c r="C81" i="5" s="1"/>
  <c r="AG80" i="5"/>
  <c r="AB80" i="5"/>
  <c r="AA80" i="5"/>
  <c r="Y80" i="5"/>
  <c r="W80" i="5"/>
  <c r="U80" i="5"/>
  <c r="S80" i="5"/>
  <c r="Q80" i="5"/>
  <c r="O80" i="5"/>
  <c r="M80" i="5"/>
  <c r="K80" i="5"/>
  <c r="I80" i="5"/>
  <c r="G80" i="5"/>
  <c r="E80" i="5"/>
  <c r="C80" i="5"/>
  <c r="AG79" i="5"/>
  <c r="AB79" i="5"/>
  <c r="AA79" i="5"/>
  <c r="Y79" i="5"/>
  <c r="W79" i="5"/>
  <c r="U79" i="5"/>
  <c r="S79" i="5"/>
  <c r="Q79" i="5"/>
  <c r="O79" i="5"/>
  <c r="M79" i="5"/>
  <c r="K79" i="5"/>
  <c r="I79" i="5"/>
  <c r="G79" i="5"/>
  <c r="E79" i="5"/>
  <c r="C79" i="5"/>
  <c r="AG78" i="5"/>
  <c r="AB78" i="5"/>
  <c r="AA78" i="5"/>
  <c r="Y78" i="5"/>
  <c r="W78" i="5"/>
  <c r="U78" i="5"/>
  <c r="S78" i="5"/>
  <c r="Q78" i="5"/>
  <c r="O78" i="5"/>
  <c r="M78" i="5"/>
  <c r="K78" i="5"/>
  <c r="I78" i="5"/>
  <c r="G78" i="5"/>
  <c r="E78" i="5"/>
  <c r="C78" i="5"/>
  <c r="AG77" i="5"/>
  <c r="AB77" i="5"/>
  <c r="AA77" i="5"/>
  <c r="Y77" i="5"/>
  <c r="W77" i="5"/>
  <c r="U77" i="5"/>
  <c r="S77" i="5"/>
  <c r="Q77" i="5"/>
  <c r="O77" i="5"/>
  <c r="M77" i="5"/>
  <c r="K77" i="5"/>
  <c r="I77" i="5"/>
  <c r="G77" i="5"/>
  <c r="E77" i="5"/>
  <c r="C77" i="5"/>
  <c r="AG76" i="5"/>
  <c r="AB76" i="5"/>
  <c r="AA76" i="5"/>
  <c r="Y76" i="5"/>
  <c r="W76" i="5"/>
  <c r="U76" i="5"/>
  <c r="S76" i="5"/>
  <c r="Q76" i="5"/>
  <c r="O76" i="5"/>
  <c r="M76" i="5"/>
  <c r="K76" i="5"/>
  <c r="I76" i="5"/>
  <c r="G76" i="5"/>
  <c r="E76" i="5"/>
  <c r="C76" i="5"/>
  <c r="AG75" i="5"/>
  <c r="AB75" i="5"/>
  <c r="AA75" i="5"/>
  <c r="Y75" i="5"/>
  <c r="W75" i="5"/>
  <c r="U75" i="5"/>
  <c r="S75" i="5"/>
  <c r="Q75" i="5"/>
  <c r="O75" i="5"/>
  <c r="M75" i="5"/>
  <c r="K75" i="5"/>
  <c r="I75" i="5"/>
  <c r="G75" i="5"/>
  <c r="E75" i="5"/>
  <c r="C75" i="5"/>
  <c r="AG74" i="5"/>
  <c r="AB74" i="5"/>
  <c r="AA74" i="5"/>
  <c r="Y74" i="5"/>
  <c r="W74" i="5"/>
  <c r="U74" i="5"/>
  <c r="S74" i="5"/>
  <c r="Q74" i="5"/>
  <c r="O74" i="5"/>
  <c r="M74" i="5"/>
  <c r="K74" i="5"/>
  <c r="I74" i="5"/>
  <c r="G74" i="5"/>
  <c r="E74" i="5"/>
  <c r="C74" i="5"/>
  <c r="AG72" i="5"/>
  <c r="AB72" i="5"/>
  <c r="AA72" i="5"/>
  <c r="Y72" i="5"/>
  <c r="W72" i="5"/>
  <c r="U72" i="5"/>
  <c r="S72" i="5"/>
  <c r="Q72" i="5"/>
  <c r="O72" i="5"/>
  <c r="M72" i="5"/>
  <c r="K72" i="5"/>
  <c r="I72" i="5"/>
  <c r="G72" i="5"/>
  <c r="E72" i="5"/>
  <c r="C72" i="5"/>
  <c r="AG71" i="5"/>
  <c r="AB71" i="5"/>
  <c r="AA71" i="5"/>
  <c r="Y71" i="5"/>
  <c r="W71" i="5"/>
  <c r="U71" i="5"/>
  <c r="S71" i="5"/>
  <c r="Q71" i="5"/>
  <c r="O71" i="5"/>
  <c r="M71" i="5"/>
  <c r="K71" i="5"/>
  <c r="I71" i="5"/>
  <c r="G71" i="5"/>
  <c r="E71" i="5"/>
  <c r="C71" i="5"/>
  <c r="Z70" i="5"/>
  <c r="AA70" i="5" s="1"/>
  <c r="X70" i="5"/>
  <c r="V70" i="5"/>
  <c r="W70" i="5" s="1"/>
  <c r="T70" i="5"/>
  <c r="U70" i="5" s="1"/>
  <c r="R70" i="5"/>
  <c r="P70" i="5"/>
  <c r="Q70" i="5" s="1"/>
  <c r="N70" i="5"/>
  <c r="O70" i="5" s="1"/>
  <c r="L70" i="5"/>
  <c r="M70" i="5" s="1"/>
  <c r="J70" i="5"/>
  <c r="H70" i="5"/>
  <c r="I70" i="5" s="1"/>
  <c r="F70" i="5"/>
  <c r="G70" i="5" s="1"/>
  <c r="D70" i="5"/>
  <c r="E70" i="5" s="1"/>
  <c r="B70" i="5"/>
  <c r="C70" i="5" s="1"/>
  <c r="AG69" i="5"/>
  <c r="AB69" i="5"/>
  <c r="AA69" i="5"/>
  <c r="Y69" i="5"/>
  <c r="W69" i="5"/>
  <c r="U69" i="5"/>
  <c r="S69" i="5"/>
  <c r="Q69" i="5"/>
  <c r="O69" i="5"/>
  <c r="M69" i="5"/>
  <c r="K69" i="5"/>
  <c r="I69" i="5"/>
  <c r="G69" i="5"/>
  <c r="E69" i="5"/>
  <c r="C69" i="5"/>
  <c r="AG68" i="5"/>
  <c r="AB68" i="5"/>
  <c r="AA68" i="5"/>
  <c r="Y68" i="5"/>
  <c r="W68" i="5"/>
  <c r="U68" i="5"/>
  <c r="S68" i="5"/>
  <c r="Q68" i="5"/>
  <c r="O68" i="5"/>
  <c r="M68" i="5"/>
  <c r="K68" i="5"/>
  <c r="I68" i="5"/>
  <c r="G68" i="5"/>
  <c r="E68" i="5"/>
  <c r="C68" i="5"/>
  <c r="AG67" i="5"/>
  <c r="AB67" i="5"/>
  <c r="AA67" i="5"/>
  <c r="Y67" i="5"/>
  <c r="W67" i="5"/>
  <c r="U67" i="5"/>
  <c r="S67" i="5"/>
  <c r="Q67" i="5"/>
  <c r="O67" i="5"/>
  <c r="M67" i="5"/>
  <c r="K67" i="5"/>
  <c r="I67" i="5"/>
  <c r="G67" i="5"/>
  <c r="E67" i="5"/>
  <c r="C67" i="5"/>
  <c r="AG66" i="5"/>
  <c r="AB66" i="5"/>
  <c r="AA66" i="5"/>
  <c r="Y66" i="5"/>
  <c r="W66" i="5"/>
  <c r="U66" i="5"/>
  <c r="S66" i="5"/>
  <c r="Q66" i="5"/>
  <c r="O66" i="5"/>
  <c r="M66" i="5"/>
  <c r="K66" i="5"/>
  <c r="I66" i="5"/>
  <c r="G66" i="5"/>
  <c r="E66" i="5"/>
  <c r="C66" i="5"/>
  <c r="AG65" i="5"/>
  <c r="AB65" i="5"/>
  <c r="AA65" i="5"/>
  <c r="Y65" i="5"/>
  <c r="W65" i="5"/>
  <c r="U65" i="5"/>
  <c r="S65" i="5"/>
  <c r="Q65" i="5"/>
  <c r="O65" i="5"/>
  <c r="M65" i="5"/>
  <c r="K65" i="5"/>
  <c r="I65" i="5"/>
  <c r="G65" i="5"/>
  <c r="E65" i="5"/>
  <c r="C65" i="5"/>
  <c r="AG63" i="5"/>
  <c r="AB63" i="5"/>
  <c r="AA63" i="5"/>
  <c r="Y63" i="5"/>
  <c r="W63" i="5"/>
  <c r="U63" i="5"/>
  <c r="S63" i="5"/>
  <c r="Q63" i="5"/>
  <c r="O63" i="5"/>
  <c r="M63" i="5"/>
  <c r="K63" i="5"/>
  <c r="I63" i="5"/>
  <c r="G63" i="5"/>
  <c r="E63" i="5"/>
  <c r="C63" i="5"/>
  <c r="Z57" i="5"/>
  <c r="AA57" i="5" s="1"/>
  <c r="X57" i="5"/>
  <c r="V57" i="5"/>
  <c r="W57" i="5" s="1"/>
  <c r="T57" i="5"/>
  <c r="U57" i="5" s="1"/>
  <c r="R57" i="5"/>
  <c r="P57" i="5"/>
  <c r="Q57" i="5" s="1"/>
  <c r="N57" i="5"/>
  <c r="O57" i="5" s="1"/>
  <c r="L57" i="5"/>
  <c r="M57" i="5" s="1"/>
  <c r="J57" i="5"/>
  <c r="H57" i="5"/>
  <c r="I57" i="5" s="1"/>
  <c r="F57" i="5"/>
  <c r="G57" i="5" s="1"/>
  <c r="D57" i="5"/>
  <c r="E57" i="5" s="1"/>
  <c r="B57" i="5"/>
  <c r="C57" i="5" s="1"/>
  <c r="Z56" i="5"/>
  <c r="AA56" i="5" s="1"/>
  <c r="X56" i="5"/>
  <c r="V56" i="5"/>
  <c r="W56" i="5" s="1"/>
  <c r="T56" i="5"/>
  <c r="U56" i="5" s="1"/>
  <c r="R56" i="5"/>
  <c r="P56" i="5"/>
  <c r="Q56" i="5" s="1"/>
  <c r="N56" i="5"/>
  <c r="O56" i="5" s="1"/>
  <c r="L56" i="5"/>
  <c r="M56" i="5" s="1"/>
  <c r="J56" i="5"/>
  <c r="H56" i="5"/>
  <c r="I56" i="5" s="1"/>
  <c r="F56" i="5"/>
  <c r="G56" i="5" s="1"/>
  <c r="D56" i="5"/>
  <c r="E56" i="5" s="1"/>
  <c r="B56" i="5"/>
  <c r="C56" i="5" s="1"/>
  <c r="AG55" i="5"/>
  <c r="AB55" i="5"/>
  <c r="AA55" i="5"/>
  <c r="Y55" i="5"/>
  <c r="W55" i="5"/>
  <c r="U55" i="5"/>
  <c r="S55" i="5"/>
  <c r="Q55" i="5"/>
  <c r="O55" i="5"/>
  <c r="M55" i="5"/>
  <c r="K55" i="5"/>
  <c r="I55" i="5"/>
  <c r="G55" i="5"/>
  <c r="E55" i="5"/>
  <c r="C55" i="5"/>
  <c r="AG54" i="5"/>
  <c r="AB54" i="5"/>
  <c r="AA54" i="5"/>
  <c r="Y54" i="5"/>
  <c r="W54" i="5"/>
  <c r="U54" i="5"/>
  <c r="S54" i="5"/>
  <c r="Q54" i="5"/>
  <c r="O54" i="5"/>
  <c r="M54" i="5"/>
  <c r="K54" i="5"/>
  <c r="I54" i="5"/>
  <c r="G54" i="5"/>
  <c r="E54" i="5"/>
  <c r="C54" i="5"/>
  <c r="AG53" i="5"/>
  <c r="AB53" i="5"/>
  <c r="AA53" i="5"/>
  <c r="Y53" i="5"/>
  <c r="W53" i="5"/>
  <c r="U53" i="5"/>
  <c r="S53" i="5"/>
  <c r="Q53" i="5"/>
  <c r="O53" i="5"/>
  <c r="M53" i="5"/>
  <c r="K53" i="5"/>
  <c r="I53" i="5"/>
  <c r="G53" i="5"/>
  <c r="E53" i="5"/>
  <c r="C53" i="5"/>
  <c r="Z52" i="5"/>
  <c r="AA52" i="5" s="1"/>
  <c r="X52" i="5"/>
  <c r="V52" i="5"/>
  <c r="W52" i="5" s="1"/>
  <c r="T52" i="5"/>
  <c r="U52" i="5" s="1"/>
  <c r="R52" i="5"/>
  <c r="P52" i="5"/>
  <c r="Q52" i="5" s="1"/>
  <c r="N52" i="5"/>
  <c r="O52" i="5" s="1"/>
  <c r="L52" i="5"/>
  <c r="M52" i="5" s="1"/>
  <c r="J52" i="5"/>
  <c r="H52" i="5"/>
  <c r="I52" i="5" s="1"/>
  <c r="F52" i="5"/>
  <c r="G52" i="5" s="1"/>
  <c r="D52" i="5"/>
  <c r="E52" i="5" s="1"/>
  <c r="B52" i="5"/>
  <c r="C52" i="5" s="1"/>
  <c r="AG51" i="5"/>
  <c r="AB51" i="5"/>
  <c r="AA51" i="5"/>
  <c r="Y51" i="5"/>
  <c r="W51" i="5"/>
  <c r="U51" i="5"/>
  <c r="S51" i="5"/>
  <c r="Q51" i="5"/>
  <c r="O51" i="5"/>
  <c r="M51" i="5"/>
  <c r="K51" i="5"/>
  <c r="I51" i="5"/>
  <c r="G51" i="5"/>
  <c r="E51" i="5"/>
  <c r="C51" i="5"/>
  <c r="AG50" i="5"/>
  <c r="AB50" i="5"/>
  <c r="AA50" i="5"/>
  <c r="Y50" i="5"/>
  <c r="W50" i="5"/>
  <c r="U50" i="5"/>
  <c r="S50" i="5"/>
  <c r="Q50" i="5"/>
  <c r="O50" i="5"/>
  <c r="M50" i="5"/>
  <c r="K50" i="5"/>
  <c r="I50" i="5"/>
  <c r="G50" i="5"/>
  <c r="E50" i="5"/>
  <c r="C50" i="5"/>
  <c r="AG49" i="5"/>
  <c r="AB49" i="5"/>
  <c r="AA49" i="5"/>
  <c r="Y49" i="5"/>
  <c r="W49" i="5"/>
  <c r="U49" i="5"/>
  <c r="S49" i="5"/>
  <c r="Q49" i="5"/>
  <c r="O49" i="5"/>
  <c r="M49" i="5"/>
  <c r="K49" i="5"/>
  <c r="I49" i="5"/>
  <c r="G49" i="5"/>
  <c r="E49" i="5"/>
  <c r="C49" i="5"/>
  <c r="AG48" i="5"/>
  <c r="AB48" i="5"/>
  <c r="AA48" i="5"/>
  <c r="Y48" i="5"/>
  <c r="W48" i="5"/>
  <c r="U48" i="5"/>
  <c r="S48" i="5"/>
  <c r="Q48" i="5"/>
  <c r="O48" i="5"/>
  <c r="M48" i="5"/>
  <c r="K48" i="5"/>
  <c r="I48" i="5"/>
  <c r="G48" i="5"/>
  <c r="E48" i="5"/>
  <c r="C48" i="5"/>
  <c r="AG47" i="5"/>
  <c r="AB47" i="5"/>
  <c r="AA47" i="5"/>
  <c r="Y47" i="5"/>
  <c r="W47" i="5"/>
  <c r="U47" i="5"/>
  <c r="S47" i="5"/>
  <c r="Q47" i="5"/>
  <c r="O47" i="5"/>
  <c r="M47" i="5"/>
  <c r="K47" i="5"/>
  <c r="I47" i="5"/>
  <c r="G47" i="5"/>
  <c r="E47" i="5"/>
  <c r="C47" i="5"/>
  <c r="AG46" i="5"/>
  <c r="AB46" i="5"/>
  <c r="AA46" i="5"/>
  <c r="Y46" i="5"/>
  <c r="W46" i="5"/>
  <c r="U46" i="5"/>
  <c r="S46" i="5"/>
  <c r="Q46" i="5"/>
  <c r="O46" i="5"/>
  <c r="M46" i="5"/>
  <c r="K46" i="5"/>
  <c r="I46" i="5"/>
  <c r="G46" i="5"/>
  <c r="E46" i="5"/>
  <c r="C46" i="5"/>
  <c r="Z44" i="5"/>
  <c r="AA44" i="5" s="1"/>
  <c r="X44" i="5"/>
  <c r="V44" i="5"/>
  <c r="W44" i="5" s="1"/>
  <c r="T44" i="5"/>
  <c r="U44" i="5" s="1"/>
  <c r="R44" i="5"/>
  <c r="P44" i="5"/>
  <c r="Q44" i="5" s="1"/>
  <c r="N44" i="5"/>
  <c r="O44" i="5" s="1"/>
  <c r="L44" i="5"/>
  <c r="M44" i="5" s="1"/>
  <c r="J44" i="5"/>
  <c r="H44" i="5"/>
  <c r="I44" i="5" s="1"/>
  <c r="F44" i="5"/>
  <c r="G44" i="5" s="1"/>
  <c r="D44" i="5"/>
  <c r="E44" i="5" s="1"/>
  <c r="B44" i="5"/>
  <c r="C44" i="5" s="1"/>
  <c r="AG43" i="5"/>
  <c r="AB43" i="5"/>
  <c r="AA43" i="5"/>
  <c r="Y43" i="5"/>
  <c r="W43" i="5"/>
  <c r="U43" i="5"/>
  <c r="S43" i="5"/>
  <c r="Q43" i="5"/>
  <c r="O43" i="5"/>
  <c r="M43" i="5"/>
  <c r="K43" i="5"/>
  <c r="I43" i="5"/>
  <c r="G43" i="5"/>
  <c r="E43" i="5"/>
  <c r="C43" i="5"/>
  <c r="AG42" i="5"/>
  <c r="AB42" i="5"/>
  <c r="AA42" i="5"/>
  <c r="Y42" i="5"/>
  <c r="W42" i="5"/>
  <c r="U42" i="5"/>
  <c r="S42" i="5"/>
  <c r="Q42" i="5"/>
  <c r="O42" i="5"/>
  <c r="M42" i="5"/>
  <c r="K42" i="5"/>
  <c r="I42" i="5"/>
  <c r="G42" i="5"/>
  <c r="E42" i="5"/>
  <c r="C42" i="5"/>
  <c r="AG41" i="5"/>
  <c r="AB41" i="5"/>
  <c r="AA41" i="5"/>
  <c r="Y41" i="5"/>
  <c r="W41" i="5"/>
  <c r="U41" i="5"/>
  <c r="S41" i="5"/>
  <c r="Q41" i="5"/>
  <c r="O41" i="5"/>
  <c r="M41" i="5"/>
  <c r="K41" i="5"/>
  <c r="I41" i="5"/>
  <c r="G41" i="5"/>
  <c r="E41" i="5"/>
  <c r="C41" i="5"/>
  <c r="AG40" i="5"/>
  <c r="AB40" i="5"/>
  <c r="AA40" i="5"/>
  <c r="Y40" i="5"/>
  <c r="W40" i="5"/>
  <c r="U40" i="5"/>
  <c r="S40" i="5"/>
  <c r="Q40" i="5"/>
  <c r="O40" i="5"/>
  <c r="M40" i="5"/>
  <c r="K40" i="5"/>
  <c r="I40" i="5"/>
  <c r="G40" i="5"/>
  <c r="E40" i="5"/>
  <c r="C40" i="5"/>
  <c r="AG39" i="5"/>
  <c r="AB39" i="5"/>
  <c r="AA39" i="5"/>
  <c r="Y39" i="5"/>
  <c r="W39" i="5"/>
  <c r="U39" i="5"/>
  <c r="S39" i="5"/>
  <c r="Q39" i="5"/>
  <c r="O39" i="5"/>
  <c r="M39" i="5"/>
  <c r="K39" i="5"/>
  <c r="I39" i="5"/>
  <c r="G39" i="5"/>
  <c r="E39" i="5"/>
  <c r="C39" i="5"/>
  <c r="AG37" i="5"/>
  <c r="AB37" i="5"/>
  <c r="AA37" i="5"/>
  <c r="Y37" i="5"/>
  <c r="W37" i="5"/>
  <c r="U37" i="5"/>
  <c r="S37" i="5"/>
  <c r="Q37" i="5"/>
  <c r="O37" i="5"/>
  <c r="M37" i="5"/>
  <c r="K37" i="5"/>
  <c r="I37" i="5"/>
  <c r="G37" i="5"/>
  <c r="E37" i="5"/>
  <c r="C37" i="5"/>
  <c r="Z35" i="5"/>
  <c r="AA35" i="5" s="1"/>
  <c r="X35" i="5"/>
  <c r="V35" i="5"/>
  <c r="W35" i="5" s="1"/>
  <c r="T35" i="5"/>
  <c r="U35" i="5" s="1"/>
  <c r="R35" i="5"/>
  <c r="P35" i="5"/>
  <c r="Q35" i="5" s="1"/>
  <c r="N35" i="5"/>
  <c r="O35" i="5" s="1"/>
  <c r="L35" i="5"/>
  <c r="M35" i="5" s="1"/>
  <c r="J35" i="5"/>
  <c r="H35" i="5"/>
  <c r="I35" i="5" s="1"/>
  <c r="F35" i="5"/>
  <c r="G35" i="5" s="1"/>
  <c r="D35" i="5"/>
  <c r="E35" i="5" s="1"/>
  <c r="B35" i="5"/>
  <c r="C35" i="5" s="1"/>
  <c r="Z34" i="5"/>
  <c r="AA34" i="5" s="1"/>
  <c r="X34" i="5"/>
  <c r="V34" i="5"/>
  <c r="W34" i="5" s="1"/>
  <c r="T34" i="5"/>
  <c r="U34" i="5" s="1"/>
  <c r="R34" i="5"/>
  <c r="P34" i="5"/>
  <c r="Q34" i="5" s="1"/>
  <c r="N34" i="5"/>
  <c r="O34" i="5" s="1"/>
  <c r="L34" i="5"/>
  <c r="M34" i="5" s="1"/>
  <c r="J34" i="5"/>
  <c r="H34" i="5"/>
  <c r="I34" i="5" s="1"/>
  <c r="F34" i="5"/>
  <c r="G34" i="5" s="1"/>
  <c r="D34" i="5"/>
  <c r="E34" i="5" s="1"/>
  <c r="B34" i="5"/>
  <c r="C34" i="5" s="1"/>
  <c r="AG33" i="5"/>
  <c r="AB33" i="5"/>
  <c r="AA33" i="5"/>
  <c r="Y33" i="5"/>
  <c r="W33" i="5"/>
  <c r="U33" i="5"/>
  <c r="S33" i="5"/>
  <c r="Q33" i="5"/>
  <c r="O33" i="5"/>
  <c r="M33" i="5"/>
  <c r="K33" i="5"/>
  <c r="I33" i="5"/>
  <c r="G33" i="5"/>
  <c r="E33" i="5"/>
  <c r="C33" i="5"/>
  <c r="AG32" i="5"/>
  <c r="AB32" i="5"/>
  <c r="AA32" i="5"/>
  <c r="Y32" i="5"/>
  <c r="W32" i="5"/>
  <c r="U32" i="5"/>
  <c r="S32" i="5"/>
  <c r="Q32" i="5"/>
  <c r="O32" i="5"/>
  <c r="M32" i="5"/>
  <c r="K32" i="5"/>
  <c r="I32" i="5"/>
  <c r="G32" i="5"/>
  <c r="E32" i="5"/>
  <c r="C32" i="5"/>
  <c r="AG31" i="5"/>
  <c r="AB31" i="5"/>
  <c r="AA31" i="5"/>
  <c r="Y31" i="5"/>
  <c r="W31" i="5"/>
  <c r="U31" i="5"/>
  <c r="S31" i="5"/>
  <c r="Q31" i="5"/>
  <c r="O31" i="5"/>
  <c r="M31" i="5"/>
  <c r="K31" i="5"/>
  <c r="I31" i="5"/>
  <c r="G31" i="5"/>
  <c r="E31" i="5"/>
  <c r="C31" i="5"/>
  <c r="AG30" i="5"/>
  <c r="AB30" i="5"/>
  <c r="AA30" i="5"/>
  <c r="Y30" i="5"/>
  <c r="W30" i="5"/>
  <c r="U30" i="5"/>
  <c r="S30" i="5"/>
  <c r="Q30" i="5"/>
  <c r="O30" i="5"/>
  <c r="M30" i="5"/>
  <c r="K30" i="5"/>
  <c r="I30" i="5"/>
  <c r="G30" i="5"/>
  <c r="E30" i="5"/>
  <c r="C30" i="5"/>
  <c r="AG29" i="5"/>
  <c r="AB29" i="5"/>
  <c r="AA29" i="5"/>
  <c r="Y29" i="5"/>
  <c r="W29" i="5"/>
  <c r="U29" i="5"/>
  <c r="S29" i="5"/>
  <c r="Q29" i="5"/>
  <c r="O29" i="5"/>
  <c r="M29" i="5"/>
  <c r="K29" i="5"/>
  <c r="I29" i="5"/>
  <c r="G29" i="5"/>
  <c r="E29" i="5"/>
  <c r="C29" i="5"/>
  <c r="Z27" i="5"/>
  <c r="AA27" i="5" s="1"/>
  <c r="X27" i="5"/>
  <c r="V27" i="5"/>
  <c r="W27" i="5" s="1"/>
  <c r="T27" i="5"/>
  <c r="U27" i="5" s="1"/>
  <c r="R27" i="5"/>
  <c r="P27" i="5"/>
  <c r="Q27" i="5" s="1"/>
  <c r="N27" i="5"/>
  <c r="O27" i="5" s="1"/>
  <c r="L27" i="5"/>
  <c r="M27" i="5" s="1"/>
  <c r="J27" i="5"/>
  <c r="H27" i="5"/>
  <c r="I27" i="5" s="1"/>
  <c r="F27" i="5"/>
  <c r="G27" i="5" s="1"/>
  <c r="D27" i="5"/>
  <c r="E27" i="5" s="1"/>
  <c r="B27" i="5"/>
  <c r="C27" i="5" s="1"/>
  <c r="AG26" i="5"/>
  <c r="AB26" i="5"/>
  <c r="AA26" i="5"/>
  <c r="Y26" i="5"/>
  <c r="W26" i="5"/>
  <c r="U26" i="5"/>
  <c r="S26" i="5"/>
  <c r="Q26" i="5"/>
  <c r="O26" i="5"/>
  <c r="M26" i="5"/>
  <c r="K26" i="5"/>
  <c r="I26" i="5"/>
  <c r="G26" i="5"/>
  <c r="E26" i="5"/>
  <c r="C26" i="5"/>
  <c r="AG25" i="5"/>
  <c r="AB25" i="5"/>
  <c r="AA25" i="5"/>
  <c r="Y25" i="5"/>
  <c r="W25" i="5"/>
  <c r="U25" i="5"/>
  <c r="S25" i="5"/>
  <c r="Q25" i="5"/>
  <c r="O25" i="5"/>
  <c r="M25" i="5"/>
  <c r="K25" i="5"/>
  <c r="I25" i="5"/>
  <c r="G25" i="5"/>
  <c r="E25" i="5"/>
  <c r="C25" i="5"/>
  <c r="AG24" i="5"/>
  <c r="AB24" i="5"/>
  <c r="AA24" i="5"/>
  <c r="Y24" i="5"/>
  <c r="W24" i="5"/>
  <c r="U24" i="5"/>
  <c r="S24" i="5"/>
  <c r="Q24" i="5"/>
  <c r="O24" i="5"/>
  <c r="M24" i="5"/>
  <c r="K24" i="5"/>
  <c r="I24" i="5"/>
  <c r="G24" i="5"/>
  <c r="E24" i="5"/>
  <c r="C24" i="5"/>
  <c r="AG23" i="5"/>
  <c r="AB23" i="5"/>
  <c r="AA23" i="5"/>
  <c r="Y23" i="5"/>
  <c r="W23" i="5"/>
  <c r="U23" i="5"/>
  <c r="S23" i="5"/>
  <c r="Q23" i="5"/>
  <c r="O23" i="5"/>
  <c r="M23" i="5"/>
  <c r="K23" i="5"/>
  <c r="I23" i="5"/>
  <c r="G23" i="5"/>
  <c r="E23" i="5"/>
  <c r="C23" i="5"/>
  <c r="AG22" i="5"/>
  <c r="AB22" i="5"/>
  <c r="AA22" i="5"/>
  <c r="Y22" i="5"/>
  <c r="W22" i="5"/>
  <c r="U22" i="5"/>
  <c r="S22" i="5"/>
  <c r="Q22" i="5"/>
  <c r="O22" i="5"/>
  <c r="M22" i="5"/>
  <c r="K22" i="5"/>
  <c r="I22" i="5"/>
  <c r="G22" i="5"/>
  <c r="E22" i="5"/>
  <c r="C22" i="5"/>
  <c r="AG21" i="5"/>
  <c r="AB21" i="5"/>
  <c r="AA21" i="5"/>
  <c r="Y21" i="5"/>
  <c r="W21" i="5"/>
  <c r="U21" i="5"/>
  <c r="S21" i="5"/>
  <c r="Q21" i="5"/>
  <c r="O21" i="5"/>
  <c r="M21" i="5"/>
  <c r="K21" i="5"/>
  <c r="I21" i="5"/>
  <c r="G21" i="5"/>
  <c r="E21" i="5"/>
  <c r="C21" i="5"/>
  <c r="AG20" i="5"/>
  <c r="AB20" i="5"/>
  <c r="AA20" i="5"/>
  <c r="Y20" i="5"/>
  <c r="W20" i="5"/>
  <c r="U20" i="5"/>
  <c r="S20" i="5"/>
  <c r="Q20" i="5"/>
  <c r="O20" i="5"/>
  <c r="M20" i="5"/>
  <c r="K20" i="5"/>
  <c r="I20" i="5"/>
  <c r="G20" i="5"/>
  <c r="E20" i="5"/>
  <c r="C20" i="5"/>
  <c r="AG19" i="5"/>
  <c r="AB19" i="5"/>
  <c r="AA19" i="5"/>
  <c r="Y19" i="5"/>
  <c r="W19" i="5"/>
  <c r="U19" i="5"/>
  <c r="S19" i="5"/>
  <c r="Q19" i="5"/>
  <c r="O19" i="5"/>
  <c r="M19" i="5"/>
  <c r="K19" i="5"/>
  <c r="I19" i="5"/>
  <c r="G19" i="5"/>
  <c r="E19" i="5"/>
  <c r="C19" i="5"/>
  <c r="AG18" i="5"/>
  <c r="AB18" i="5"/>
  <c r="AA18" i="5"/>
  <c r="Y18" i="5"/>
  <c r="W18" i="5"/>
  <c r="U18" i="5"/>
  <c r="S18" i="5"/>
  <c r="Q18" i="5"/>
  <c r="O18" i="5"/>
  <c r="M18" i="5"/>
  <c r="K18" i="5"/>
  <c r="I18" i="5"/>
  <c r="G18" i="5"/>
  <c r="E18" i="5"/>
  <c r="C18" i="5"/>
  <c r="AG17" i="5"/>
  <c r="AB17" i="5"/>
  <c r="AA17" i="5"/>
  <c r="Y17" i="5"/>
  <c r="W17" i="5"/>
  <c r="U17" i="5"/>
  <c r="S17" i="5"/>
  <c r="Q17" i="5"/>
  <c r="O17" i="5"/>
  <c r="M17" i="5"/>
  <c r="K17" i="5"/>
  <c r="I17" i="5"/>
  <c r="G17" i="5"/>
  <c r="E17" i="5"/>
  <c r="C17" i="5"/>
  <c r="AG16" i="5"/>
  <c r="AB16" i="5"/>
  <c r="AA16" i="5"/>
  <c r="Y16" i="5"/>
  <c r="W16" i="5"/>
  <c r="U16" i="5"/>
  <c r="S16" i="5"/>
  <c r="Q16" i="5"/>
  <c r="O16" i="5"/>
  <c r="M16" i="5"/>
  <c r="K16" i="5"/>
  <c r="I16" i="5"/>
  <c r="G16" i="5"/>
  <c r="E16" i="5"/>
  <c r="C16" i="5"/>
  <c r="AG15" i="5"/>
  <c r="AB15" i="5"/>
  <c r="AA15" i="5"/>
  <c r="Y15" i="5"/>
  <c r="W15" i="5"/>
  <c r="U15" i="5"/>
  <c r="S15" i="5"/>
  <c r="Q15" i="5"/>
  <c r="O15" i="5"/>
  <c r="M15" i="5"/>
  <c r="K15" i="5"/>
  <c r="I15" i="5"/>
  <c r="G15" i="5"/>
  <c r="E15" i="5"/>
  <c r="C15" i="5"/>
  <c r="AG13" i="5"/>
  <c r="AB13" i="5"/>
  <c r="AA13" i="5"/>
  <c r="Y13" i="5"/>
  <c r="W13" i="5"/>
  <c r="U13" i="5"/>
  <c r="S13" i="5"/>
  <c r="Q13" i="5"/>
  <c r="O13" i="5"/>
  <c r="M13" i="5"/>
  <c r="K13" i="5"/>
  <c r="I13" i="5"/>
  <c r="G13" i="5"/>
  <c r="E13" i="5"/>
  <c r="C13" i="5"/>
  <c r="Z9" i="5"/>
  <c r="X9" i="5"/>
  <c r="V9" i="5"/>
  <c r="T9" i="5"/>
  <c r="R9" i="5"/>
  <c r="P9" i="5"/>
  <c r="N9" i="5"/>
  <c r="L9" i="5"/>
  <c r="J9" i="5"/>
  <c r="H9" i="5"/>
  <c r="F9" i="5"/>
  <c r="D9" i="5"/>
  <c r="B9" i="5"/>
  <c r="AG8" i="5"/>
  <c r="AB8" i="5"/>
  <c r="AA8" i="5"/>
  <c r="Y8" i="5"/>
  <c r="W8" i="5"/>
  <c r="U8" i="5"/>
  <c r="S8" i="5"/>
  <c r="Q8" i="5"/>
  <c r="O8" i="5"/>
  <c r="M8" i="5"/>
  <c r="K8" i="5"/>
  <c r="I8" i="5"/>
  <c r="G8" i="5"/>
  <c r="E8" i="5"/>
  <c r="C8" i="5"/>
  <c r="AG7" i="5"/>
  <c r="AB7" i="5"/>
  <c r="AA7" i="5"/>
  <c r="Y7" i="5"/>
  <c r="W7" i="5"/>
  <c r="U7" i="5"/>
  <c r="S7" i="5"/>
  <c r="Q7" i="5"/>
  <c r="O7" i="5"/>
  <c r="M7" i="5"/>
  <c r="K7" i="5"/>
  <c r="I7" i="5"/>
  <c r="G7" i="5"/>
  <c r="E7" i="5"/>
  <c r="C7" i="5"/>
  <c r="AG148" i="4"/>
  <c r="AB148" i="4"/>
  <c r="Z145" i="4"/>
  <c r="AA145" i="4" s="1"/>
  <c r="X145" i="4"/>
  <c r="V145" i="4"/>
  <c r="W145" i="4" s="1"/>
  <c r="T145" i="4"/>
  <c r="U145" i="4" s="1"/>
  <c r="R145" i="4"/>
  <c r="P145" i="4"/>
  <c r="Q145" i="4" s="1"/>
  <c r="N145" i="4"/>
  <c r="O145" i="4" s="1"/>
  <c r="L145" i="4"/>
  <c r="M145" i="4" s="1"/>
  <c r="J145" i="4"/>
  <c r="H145" i="4"/>
  <c r="I145" i="4" s="1"/>
  <c r="F145" i="4"/>
  <c r="G145" i="4" s="1"/>
  <c r="D145" i="4"/>
  <c r="E145" i="4" s="1"/>
  <c r="B145" i="4"/>
  <c r="C145" i="4" s="1"/>
  <c r="AG144" i="4"/>
  <c r="AB144" i="4"/>
  <c r="AA144" i="4"/>
  <c r="Y144" i="4"/>
  <c r="W144" i="4"/>
  <c r="U144" i="4"/>
  <c r="S144" i="4"/>
  <c r="Q144" i="4"/>
  <c r="O144" i="4"/>
  <c r="M144" i="4"/>
  <c r="K144" i="4"/>
  <c r="I144" i="4"/>
  <c r="G144" i="4"/>
  <c r="E144" i="4"/>
  <c r="C144" i="4"/>
  <c r="Z141" i="4"/>
  <c r="AA141" i="4" s="1"/>
  <c r="X141" i="4"/>
  <c r="V141" i="4"/>
  <c r="W141" i="4" s="1"/>
  <c r="T141" i="4"/>
  <c r="U141" i="4" s="1"/>
  <c r="R141" i="4"/>
  <c r="P141" i="4"/>
  <c r="Q141" i="4" s="1"/>
  <c r="N141" i="4"/>
  <c r="O141" i="4" s="1"/>
  <c r="L141" i="4"/>
  <c r="M141" i="4" s="1"/>
  <c r="J141" i="4"/>
  <c r="H141" i="4"/>
  <c r="I141" i="4" s="1"/>
  <c r="F141" i="4"/>
  <c r="G141" i="4" s="1"/>
  <c r="D141" i="4"/>
  <c r="E141" i="4" s="1"/>
  <c r="B141" i="4"/>
  <c r="C141" i="4" s="1"/>
  <c r="AG140" i="4"/>
  <c r="AB140" i="4"/>
  <c r="AA140" i="4"/>
  <c r="Y140" i="4"/>
  <c r="W140" i="4"/>
  <c r="U140" i="4"/>
  <c r="S140" i="4"/>
  <c r="Q140" i="4"/>
  <c r="O140" i="4"/>
  <c r="M140" i="4"/>
  <c r="K140" i="4"/>
  <c r="I140" i="4"/>
  <c r="G140" i="4"/>
  <c r="E140" i="4"/>
  <c r="C140" i="4"/>
  <c r="Z135" i="4"/>
  <c r="AA135" i="4" s="1"/>
  <c r="X135" i="4"/>
  <c r="V135" i="4"/>
  <c r="W135" i="4" s="1"/>
  <c r="T135" i="4"/>
  <c r="U135" i="4" s="1"/>
  <c r="R135" i="4"/>
  <c r="P135" i="4"/>
  <c r="Q135" i="4" s="1"/>
  <c r="N135" i="4"/>
  <c r="O135" i="4" s="1"/>
  <c r="L135" i="4"/>
  <c r="M135" i="4" s="1"/>
  <c r="J135" i="4"/>
  <c r="H135" i="4"/>
  <c r="I135" i="4" s="1"/>
  <c r="F135" i="4"/>
  <c r="G135" i="4" s="1"/>
  <c r="D135" i="4"/>
  <c r="E135" i="4" s="1"/>
  <c r="B135" i="4"/>
  <c r="C135" i="4" s="1"/>
  <c r="AG134" i="4"/>
  <c r="AB134" i="4"/>
  <c r="AA134" i="4"/>
  <c r="Y134" i="4"/>
  <c r="W134" i="4"/>
  <c r="U134" i="4"/>
  <c r="S134" i="4"/>
  <c r="Q134" i="4"/>
  <c r="O134" i="4"/>
  <c r="M134" i="4"/>
  <c r="K134" i="4"/>
  <c r="I134" i="4"/>
  <c r="G134" i="4"/>
  <c r="E134" i="4"/>
  <c r="C134" i="4"/>
  <c r="AG133" i="4"/>
  <c r="AB133" i="4"/>
  <c r="AA133" i="4"/>
  <c r="Y133" i="4"/>
  <c r="W133" i="4"/>
  <c r="U133" i="4"/>
  <c r="S133" i="4"/>
  <c r="Q133" i="4"/>
  <c r="O133" i="4"/>
  <c r="M133" i="4"/>
  <c r="K133" i="4"/>
  <c r="I133" i="4"/>
  <c r="G133" i="4"/>
  <c r="E133" i="4"/>
  <c r="C133" i="4"/>
  <c r="AG132" i="4"/>
  <c r="AB132" i="4"/>
  <c r="AA132" i="4"/>
  <c r="Y132" i="4"/>
  <c r="W132" i="4"/>
  <c r="U132" i="4"/>
  <c r="S132" i="4"/>
  <c r="Q132" i="4"/>
  <c r="O132" i="4"/>
  <c r="M132" i="4"/>
  <c r="K132" i="4"/>
  <c r="I132" i="4"/>
  <c r="G132" i="4"/>
  <c r="E132" i="4"/>
  <c r="C132" i="4"/>
  <c r="AG131" i="4"/>
  <c r="AB131" i="4"/>
  <c r="AA131" i="4"/>
  <c r="Y131" i="4"/>
  <c r="W131" i="4"/>
  <c r="U131" i="4"/>
  <c r="S131" i="4"/>
  <c r="Q131" i="4"/>
  <c r="O131" i="4"/>
  <c r="M131" i="4"/>
  <c r="K131" i="4"/>
  <c r="I131" i="4"/>
  <c r="G131" i="4"/>
  <c r="E131" i="4"/>
  <c r="C131" i="4"/>
  <c r="AG130" i="4"/>
  <c r="AB130" i="4"/>
  <c r="AA130" i="4"/>
  <c r="Y130" i="4"/>
  <c r="W130" i="4"/>
  <c r="U130" i="4"/>
  <c r="S130" i="4"/>
  <c r="Q130" i="4"/>
  <c r="O130" i="4"/>
  <c r="M130" i="4"/>
  <c r="K130" i="4"/>
  <c r="I130" i="4"/>
  <c r="G130" i="4"/>
  <c r="E130" i="4"/>
  <c r="C130" i="4"/>
  <c r="AG129" i="4"/>
  <c r="AB129" i="4"/>
  <c r="AA129" i="4"/>
  <c r="Y129" i="4"/>
  <c r="W129" i="4"/>
  <c r="U129" i="4"/>
  <c r="S129" i="4"/>
  <c r="Q129" i="4"/>
  <c r="O129" i="4"/>
  <c r="M129" i="4"/>
  <c r="K129" i="4"/>
  <c r="I129" i="4"/>
  <c r="G129" i="4"/>
  <c r="E129" i="4"/>
  <c r="C129" i="4"/>
  <c r="AG128" i="4"/>
  <c r="AB128" i="4"/>
  <c r="AA128" i="4"/>
  <c r="Y128" i="4"/>
  <c r="W128" i="4"/>
  <c r="U128" i="4"/>
  <c r="S128" i="4"/>
  <c r="Q128" i="4"/>
  <c r="O128" i="4"/>
  <c r="M128" i="4"/>
  <c r="K128" i="4"/>
  <c r="I128" i="4"/>
  <c r="G128" i="4"/>
  <c r="E128" i="4"/>
  <c r="C128" i="4"/>
  <c r="AG127" i="4"/>
  <c r="AB127" i="4"/>
  <c r="AA127" i="4"/>
  <c r="Y127" i="4"/>
  <c r="W127" i="4"/>
  <c r="U127" i="4"/>
  <c r="S127" i="4"/>
  <c r="Q127" i="4"/>
  <c r="O127" i="4"/>
  <c r="M127" i="4"/>
  <c r="K127" i="4"/>
  <c r="I127" i="4"/>
  <c r="G127" i="4"/>
  <c r="E127" i="4"/>
  <c r="C127" i="4"/>
  <c r="AG126" i="4"/>
  <c r="AB126" i="4"/>
  <c r="AA126" i="4"/>
  <c r="Y126" i="4"/>
  <c r="W126" i="4"/>
  <c r="U126" i="4"/>
  <c r="S126" i="4"/>
  <c r="Q126" i="4"/>
  <c r="O126" i="4"/>
  <c r="M126" i="4"/>
  <c r="K126" i="4"/>
  <c r="I126" i="4"/>
  <c r="G126" i="4"/>
  <c r="E126" i="4"/>
  <c r="C126" i="4"/>
  <c r="AG125" i="4"/>
  <c r="AB125" i="4"/>
  <c r="AA125" i="4"/>
  <c r="Y125" i="4"/>
  <c r="W125" i="4"/>
  <c r="U125" i="4"/>
  <c r="S125" i="4"/>
  <c r="Q125" i="4"/>
  <c r="O125" i="4"/>
  <c r="M125" i="4"/>
  <c r="K125" i="4"/>
  <c r="I125" i="4"/>
  <c r="G125" i="4"/>
  <c r="E125" i="4"/>
  <c r="C125" i="4"/>
  <c r="AG124" i="4"/>
  <c r="AB124" i="4"/>
  <c r="AA124" i="4"/>
  <c r="Y124" i="4"/>
  <c r="W124" i="4"/>
  <c r="U124" i="4"/>
  <c r="S124" i="4"/>
  <c r="Q124" i="4"/>
  <c r="O124" i="4"/>
  <c r="M124" i="4"/>
  <c r="K124" i="4"/>
  <c r="I124" i="4"/>
  <c r="G124" i="4"/>
  <c r="E124" i="4"/>
  <c r="C124" i="4"/>
  <c r="AG123" i="4"/>
  <c r="AB123" i="4"/>
  <c r="AA123" i="4"/>
  <c r="Y123" i="4"/>
  <c r="W123" i="4"/>
  <c r="U123" i="4"/>
  <c r="S123" i="4"/>
  <c r="Q123" i="4"/>
  <c r="O123" i="4"/>
  <c r="M123" i="4"/>
  <c r="K123" i="4"/>
  <c r="I123" i="4"/>
  <c r="G123" i="4"/>
  <c r="E123" i="4"/>
  <c r="C123" i="4"/>
  <c r="AG122" i="4"/>
  <c r="AB122" i="4"/>
  <c r="AA122" i="4"/>
  <c r="Y122" i="4"/>
  <c r="W122" i="4"/>
  <c r="U122" i="4"/>
  <c r="S122" i="4"/>
  <c r="Q122" i="4"/>
  <c r="O122" i="4"/>
  <c r="M122" i="4"/>
  <c r="K122" i="4"/>
  <c r="I122" i="4"/>
  <c r="G122" i="4"/>
  <c r="E122" i="4"/>
  <c r="C122" i="4"/>
  <c r="AG121" i="4"/>
  <c r="AB121" i="4"/>
  <c r="AA121" i="4"/>
  <c r="Y121" i="4"/>
  <c r="W121" i="4"/>
  <c r="U121" i="4"/>
  <c r="S121" i="4"/>
  <c r="Q121" i="4"/>
  <c r="O121" i="4"/>
  <c r="M121" i="4"/>
  <c r="K121" i="4"/>
  <c r="I121" i="4"/>
  <c r="G121" i="4"/>
  <c r="E121" i="4"/>
  <c r="C121" i="4"/>
  <c r="AG120" i="4"/>
  <c r="AB120" i="4"/>
  <c r="AA120" i="4"/>
  <c r="Y120" i="4"/>
  <c r="W120" i="4"/>
  <c r="U120" i="4"/>
  <c r="S120" i="4"/>
  <c r="Q120" i="4"/>
  <c r="O120" i="4"/>
  <c r="M120" i="4"/>
  <c r="K120" i="4"/>
  <c r="I120" i="4"/>
  <c r="G120" i="4"/>
  <c r="E120" i="4"/>
  <c r="C120" i="4"/>
  <c r="AG119" i="4"/>
  <c r="AB119" i="4"/>
  <c r="AA119" i="4"/>
  <c r="Y119" i="4"/>
  <c r="W119" i="4"/>
  <c r="U119" i="4"/>
  <c r="S119" i="4"/>
  <c r="Q119" i="4"/>
  <c r="O119" i="4"/>
  <c r="M119" i="4"/>
  <c r="K119" i="4"/>
  <c r="I119" i="4"/>
  <c r="G119" i="4"/>
  <c r="E119" i="4"/>
  <c r="C119" i="4"/>
  <c r="AG118" i="4"/>
  <c r="AB118" i="4"/>
  <c r="AA118" i="4"/>
  <c r="Y118" i="4"/>
  <c r="W118" i="4"/>
  <c r="U118" i="4"/>
  <c r="S118" i="4"/>
  <c r="Q118" i="4"/>
  <c r="O118" i="4"/>
  <c r="M118" i="4"/>
  <c r="K118" i="4"/>
  <c r="I118" i="4"/>
  <c r="G118" i="4"/>
  <c r="E118" i="4"/>
  <c r="C118" i="4"/>
  <c r="AG117" i="4"/>
  <c r="AB117" i="4"/>
  <c r="AA117" i="4"/>
  <c r="Y117" i="4"/>
  <c r="W117" i="4"/>
  <c r="U117" i="4"/>
  <c r="S117" i="4"/>
  <c r="Q117" i="4"/>
  <c r="O117" i="4"/>
  <c r="M117" i="4"/>
  <c r="K117" i="4"/>
  <c r="I117" i="4"/>
  <c r="G117" i="4"/>
  <c r="E117" i="4"/>
  <c r="C117" i="4"/>
  <c r="AG116" i="4"/>
  <c r="AB116" i="4"/>
  <c r="AA116" i="4"/>
  <c r="Y116" i="4"/>
  <c r="W116" i="4"/>
  <c r="U116" i="4"/>
  <c r="S116" i="4"/>
  <c r="Q116" i="4"/>
  <c r="O116" i="4"/>
  <c r="M116" i="4"/>
  <c r="K116" i="4"/>
  <c r="I116" i="4"/>
  <c r="G116" i="4"/>
  <c r="E116" i="4"/>
  <c r="C116" i="4"/>
  <c r="AG115" i="4"/>
  <c r="AB115" i="4"/>
  <c r="AA115" i="4"/>
  <c r="Y115" i="4"/>
  <c r="W115" i="4"/>
  <c r="U115" i="4"/>
  <c r="S115" i="4"/>
  <c r="Q115" i="4"/>
  <c r="O115" i="4"/>
  <c r="M115" i="4"/>
  <c r="K115" i="4"/>
  <c r="I115" i="4"/>
  <c r="G115" i="4"/>
  <c r="E115" i="4"/>
  <c r="C115" i="4"/>
  <c r="AG114" i="4"/>
  <c r="AB114" i="4"/>
  <c r="AA114" i="4"/>
  <c r="Y114" i="4"/>
  <c r="W114" i="4"/>
  <c r="U114" i="4"/>
  <c r="S114" i="4"/>
  <c r="Q114" i="4"/>
  <c r="O114" i="4"/>
  <c r="M114" i="4"/>
  <c r="K114" i="4"/>
  <c r="I114" i="4"/>
  <c r="G114" i="4"/>
  <c r="E114" i="4"/>
  <c r="C114" i="4"/>
  <c r="AG113" i="4"/>
  <c r="AB113" i="4"/>
  <c r="AA113" i="4"/>
  <c r="Y113" i="4"/>
  <c r="W113" i="4"/>
  <c r="U113" i="4"/>
  <c r="S113" i="4"/>
  <c r="Q113" i="4"/>
  <c r="O113" i="4"/>
  <c r="M113" i="4"/>
  <c r="K113" i="4"/>
  <c r="I113" i="4"/>
  <c r="G113" i="4"/>
  <c r="E113" i="4"/>
  <c r="C113" i="4"/>
  <c r="AG112" i="4"/>
  <c r="AB112" i="4"/>
  <c r="AA112" i="4"/>
  <c r="Y112" i="4"/>
  <c r="W112" i="4"/>
  <c r="U112" i="4"/>
  <c r="S112" i="4"/>
  <c r="Q112" i="4"/>
  <c r="O112" i="4"/>
  <c r="M112" i="4"/>
  <c r="K112" i="4"/>
  <c r="I112" i="4"/>
  <c r="G112" i="4"/>
  <c r="E112" i="4"/>
  <c r="C112" i="4"/>
  <c r="AG111" i="4"/>
  <c r="AB111" i="4"/>
  <c r="AA111" i="4"/>
  <c r="Y111" i="4"/>
  <c r="W111" i="4"/>
  <c r="U111" i="4"/>
  <c r="S111" i="4"/>
  <c r="Q111" i="4"/>
  <c r="O111" i="4"/>
  <c r="M111" i="4"/>
  <c r="K111" i="4"/>
  <c r="I111" i="4"/>
  <c r="G111" i="4"/>
  <c r="E111" i="4"/>
  <c r="C111" i="4"/>
  <c r="AG110" i="4"/>
  <c r="AB110" i="4"/>
  <c r="AA110" i="4"/>
  <c r="Y110" i="4"/>
  <c r="W110" i="4"/>
  <c r="U110" i="4"/>
  <c r="S110" i="4"/>
  <c r="Q110" i="4"/>
  <c r="O110" i="4"/>
  <c r="M110" i="4"/>
  <c r="K110" i="4"/>
  <c r="I110" i="4"/>
  <c r="G110" i="4"/>
  <c r="E110" i="4"/>
  <c r="C110" i="4"/>
  <c r="Z105" i="4"/>
  <c r="AA105" i="4" s="1"/>
  <c r="X105" i="4"/>
  <c r="V105" i="4"/>
  <c r="W105" i="4" s="1"/>
  <c r="T105" i="4"/>
  <c r="U105" i="4" s="1"/>
  <c r="R105" i="4"/>
  <c r="P105" i="4"/>
  <c r="Q105" i="4" s="1"/>
  <c r="N105" i="4"/>
  <c r="O105" i="4" s="1"/>
  <c r="L105" i="4"/>
  <c r="M105" i="4" s="1"/>
  <c r="J105" i="4"/>
  <c r="H105" i="4"/>
  <c r="I105" i="4" s="1"/>
  <c r="F105" i="4"/>
  <c r="G105" i="4" s="1"/>
  <c r="D105" i="4"/>
  <c r="E105" i="4" s="1"/>
  <c r="B105" i="4"/>
  <c r="C105" i="4" s="1"/>
  <c r="AG104" i="4"/>
  <c r="AB104" i="4"/>
  <c r="AA104" i="4"/>
  <c r="Y104" i="4"/>
  <c r="W104" i="4"/>
  <c r="U104" i="4"/>
  <c r="S104" i="4"/>
  <c r="Q104" i="4"/>
  <c r="O104" i="4"/>
  <c r="M104" i="4"/>
  <c r="K104" i="4"/>
  <c r="I104" i="4"/>
  <c r="G104" i="4"/>
  <c r="E104" i="4"/>
  <c r="C104" i="4"/>
  <c r="Z99" i="4"/>
  <c r="AA99" i="4" s="1"/>
  <c r="X99" i="4"/>
  <c r="V99" i="4"/>
  <c r="W99" i="4" s="1"/>
  <c r="T99" i="4"/>
  <c r="U99" i="4" s="1"/>
  <c r="R99" i="4"/>
  <c r="P99" i="4"/>
  <c r="Q99" i="4" s="1"/>
  <c r="N99" i="4"/>
  <c r="O99" i="4" s="1"/>
  <c r="L99" i="4"/>
  <c r="M99" i="4" s="1"/>
  <c r="J99" i="4"/>
  <c r="H99" i="4"/>
  <c r="I99" i="4" s="1"/>
  <c r="F99" i="4"/>
  <c r="G99" i="4" s="1"/>
  <c r="D99" i="4"/>
  <c r="E99" i="4" s="1"/>
  <c r="B99" i="4"/>
  <c r="C99" i="4" s="1"/>
  <c r="AG98" i="4"/>
  <c r="AB98" i="4"/>
  <c r="AA98" i="4"/>
  <c r="Y98" i="4"/>
  <c r="W98" i="4"/>
  <c r="U98" i="4"/>
  <c r="S98" i="4"/>
  <c r="Q98" i="4"/>
  <c r="O98" i="4"/>
  <c r="M98" i="4"/>
  <c r="K98" i="4"/>
  <c r="I98" i="4"/>
  <c r="G98" i="4"/>
  <c r="E98" i="4"/>
  <c r="C98" i="4"/>
  <c r="AG97" i="4"/>
  <c r="AB97" i="4"/>
  <c r="AA97" i="4"/>
  <c r="Y97" i="4"/>
  <c r="W97" i="4"/>
  <c r="U97" i="4"/>
  <c r="S97" i="4"/>
  <c r="Q97" i="4"/>
  <c r="O97" i="4"/>
  <c r="M97" i="4"/>
  <c r="K97" i="4"/>
  <c r="I97" i="4"/>
  <c r="G97" i="4"/>
  <c r="E97" i="4"/>
  <c r="C97" i="4"/>
  <c r="AG96" i="4"/>
  <c r="AB96" i="4"/>
  <c r="AA96" i="4"/>
  <c r="Y96" i="4"/>
  <c r="W96" i="4"/>
  <c r="U96" i="4"/>
  <c r="S96" i="4"/>
  <c r="Q96" i="4"/>
  <c r="O96" i="4"/>
  <c r="M96" i="4"/>
  <c r="K96" i="4"/>
  <c r="I96" i="4"/>
  <c r="G96" i="4"/>
  <c r="E96" i="4"/>
  <c r="C96" i="4"/>
  <c r="AG95" i="4"/>
  <c r="AB95" i="4"/>
  <c r="AA95" i="4"/>
  <c r="Y95" i="4"/>
  <c r="W95" i="4"/>
  <c r="U95" i="4"/>
  <c r="S95" i="4"/>
  <c r="Q95" i="4"/>
  <c r="O95" i="4"/>
  <c r="M95" i="4"/>
  <c r="K95" i="4"/>
  <c r="I95" i="4"/>
  <c r="G95" i="4"/>
  <c r="E95" i="4"/>
  <c r="C95" i="4"/>
  <c r="AG94" i="4"/>
  <c r="AB94" i="4"/>
  <c r="AA94" i="4"/>
  <c r="Y94" i="4"/>
  <c r="W94" i="4"/>
  <c r="U94" i="4"/>
  <c r="S94" i="4"/>
  <c r="Q94" i="4"/>
  <c r="O94" i="4"/>
  <c r="M94" i="4"/>
  <c r="K94" i="4"/>
  <c r="I94" i="4"/>
  <c r="G94" i="4"/>
  <c r="E94" i="4"/>
  <c r="C94" i="4"/>
  <c r="AG93" i="4"/>
  <c r="AB93" i="4"/>
  <c r="AA93" i="4"/>
  <c r="Y93" i="4"/>
  <c r="W93" i="4"/>
  <c r="U93" i="4"/>
  <c r="S93" i="4"/>
  <c r="Q93" i="4"/>
  <c r="O93" i="4"/>
  <c r="M93" i="4"/>
  <c r="K93" i="4"/>
  <c r="I93" i="4"/>
  <c r="G93" i="4"/>
  <c r="E93" i="4"/>
  <c r="C93" i="4"/>
  <c r="AG92" i="4"/>
  <c r="AB92" i="4"/>
  <c r="AA92" i="4"/>
  <c r="Y92" i="4"/>
  <c r="W92" i="4"/>
  <c r="U92" i="4"/>
  <c r="S92" i="4"/>
  <c r="Q92" i="4"/>
  <c r="O92" i="4"/>
  <c r="M92" i="4"/>
  <c r="K92" i="4"/>
  <c r="I92" i="4"/>
  <c r="G92" i="4"/>
  <c r="E92" i="4"/>
  <c r="C92" i="4"/>
  <c r="AG91" i="4"/>
  <c r="AB91" i="4"/>
  <c r="AA91" i="4"/>
  <c r="Y91" i="4"/>
  <c r="W91" i="4"/>
  <c r="U91" i="4"/>
  <c r="S91" i="4"/>
  <c r="Q91" i="4"/>
  <c r="O91" i="4"/>
  <c r="M91" i="4"/>
  <c r="K91" i="4"/>
  <c r="I91" i="4"/>
  <c r="G91" i="4"/>
  <c r="E91" i="4"/>
  <c r="C91" i="4"/>
  <c r="AG90" i="4"/>
  <c r="AB90" i="4"/>
  <c r="AA90" i="4"/>
  <c r="Y90" i="4"/>
  <c r="W90" i="4"/>
  <c r="U90" i="4"/>
  <c r="S90" i="4"/>
  <c r="Q90" i="4"/>
  <c r="O90" i="4"/>
  <c r="M90" i="4"/>
  <c r="K90" i="4"/>
  <c r="I90" i="4"/>
  <c r="G90" i="4"/>
  <c r="E90" i="4"/>
  <c r="C90" i="4"/>
  <c r="Z85" i="4"/>
  <c r="AA85" i="4" s="1"/>
  <c r="X85" i="4"/>
  <c r="V85" i="4"/>
  <c r="W85" i="4" s="1"/>
  <c r="T85" i="4"/>
  <c r="U85" i="4" s="1"/>
  <c r="R85" i="4"/>
  <c r="P85" i="4"/>
  <c r="Q85" i="4" s="1"/>
  <c r="N85" i="4"/>
  <c r="O85" i="4" s="1"/>
  <c r="L85" i="4"/>
  <c r="M85" i="4" s="1"/>
  <c r="J85" i="4"/>
  <c r="H85" i="4"/>
  <c r="I85" i="4" s="1"/>
  <c r="F85" i="4"/>
  <c r="G85" i="4" s="1"/>
  <c r="D85" i="4"/>
  <c r="E85" i="4" s="1"/>
  <c r="B85" i="4"/>
  <c r="C85" i="4" s="1"/>
  <c r="Z84" i="4"/>
  <c r="AA84" i="4" s="1"/>
  <c r="X84" i="4"/>
  <c r="V84" i="4"/>
  <c r="W84" i="4" s="1"/>
  <c r="T84" i="4"/>
  <c r="U84" i="4" s="1"/>
  <c r="R84" i="4"/>
  <c r="P84" i="4"/>
  <c r="Q84" i="4" s="1"/>
  <c r="N84" i="4"/>
  <c r="O84" i="4" s="1"/>
  <c r="L84" i="4"/>
  <c r="M84" i="4" s="1"/>
  <c r="J84" i="4"/>
  <c r="H84" i="4"/>
  <c r="I84" i="4" s="1"/>
  <c r="F84" i="4"/>
  <c r="G84" i="4" s="1"/>
  <c r="D84" i="4"/>
  <c r="E84" i="4" s="1"/>
  <c r="B84" i="4"/>
  <c r="C84" i="4" s="1"/>
  <c r="AG83" i="4"/>
  <c r="AB83" i="4"/>
  <c r="AA83" i="4"/>
  <c r="Y83" i="4"/>
  <c r="W83" i="4"/>
  <c r="U83" i="4"/>
  <c r="S83" i="4"/>
  <c r="Q83" i="4"/>
  <c r="O83" i="4"/>
  <c r="M83" i="4"/>
  <c r="K83" i="4"/>
  <c r="I83" i="4"/>
  <c r="G83" i="4"/>
  <c r="E83" i="4"/>
  <c r="C83" i="4"/>
  <c r="AG82" i="4"/>
  <c r="AB82" i="4"/>
  <c r="AA82" i="4"/>
  <c r="Y82" i="4"/>
  <c r="W82" i="4"/>
  <c r="U82" i="4"/>
  <c r="S82" i="4"/>
  <c r="Q82" i="4"/>
  <c r="O82" i="4"/>
  <c r="M82" i="4"/>
  <c r="K82" i="4"/>
  <c r="I82" i="4"/>
  <c r="G82" i="4"/>
  <c r="E82" i="4"/>
  <c r="C82" i="4"/>
  <c r="Z81" i="4"/>
  <c r="AA81" i="4" s="1"/>
  <c r="X81" i="4"/>
  <c r="V81" i="4"/>
  <c r="W81" i="4" s="1"/>
  <c r="T81" i="4"/>
  <c r="U81" i="4" s="1"/>
  <c r="R81" i="4"/>
  <c r="P81" i="4"/>
  <c r="Q81" i="4" s="1"/>
  <c r="N81" i="4"/>
  <c r="O81" i="4" s="1"/>
  <c r="L81" i="4"/>
  <c r="M81" i="4" s="1"/>
  <c r="J81" i="4"/>
  <c r="H81" i="4"/>
  <c r="I81" i="4" s="1"/>
  <c r="F81" i="4"/>
  <c r="G81" i="4" s="1"/>
  <c r="D81" i="4"/>
  <c r="E81" i="4" s="1"/>
  <c r="B81" i="4"/>
  <c r="C81" i="4" s="1"/>
  <c r="AG80" i="4"/>
  <c r="AB80" i="4"/>
  <c r="AA80" i="4"/>
  <c r="Y80" i="4"/>
  <c r="W80" i="4"/>
  <c r="U80" i="4"/>
  <c r="S80" i="4"/>
  <c r="Q80" i="4"/>
  <c r="O80" i="4"/>
  <c r="M80" i="4"/>
  <c r="K80" i="4"/>
  <c r="I80" i="4"/>
  <c r="G80" i="4"/>
  <c r="E80" i="4"/>
  <c r="C80" i="4"/>
  <c r="AG79" i="4"/>
  <c r="AB79" i="4"/>
  <c r="AA79" i="4"/>
  <c r="Y79" i="4"/>
  <c r="W79" i="4"/>
  <c r="U79" i="4"/>
  <c r="S79" i="4"/>
  <c r="Q79" i="4"/>
  <c r="O79" i="4"/>
  <c r="M79" i="4"/>
  <c r="K79" i="4"/>
  <c r="I79" i="4"/>
  <c r="G79" i="4"/>
  <c r="E79" i="4"/>
  <c r="C79" i="4"/>
  <c r="AG78" i="4"/>
  <c r="AB78" i="4"/>
  <c r="AA78" i="4"/>
  <c r="Y78" i="4"/>
  <c r="W78" i="4"/>
  <c r="U78" i="4"/>
  <c r="S78" i="4"/>
  <c r="Q78" i="4"/>
  <c r="O78" i="4"/>
  <c r="M78" i="4"/>
  <c r="K78" i="4"/>
  <c r="I78" i="4"/>
  <c r="G78" i="4"/>
  <c r="E78" i="4"/>
  <c r="C78" i="4"/>
  <c r="AG77" i="4"/>
  <c r="AB77" i="4"/>
  <c r="AA77" i="4"/>
  <c r="Y77" i="4"/>
  <c r="W77" i="4"/>
  <c r="U77" i="4"/>
  <c r="S77" i="4"/>
  <c r="Q77" i="4"/>
  <c r="O77" i="4"/>
  <c r="M77" i="4"/>
  <c r="K77" i="4"/>
  <c r="I77" i="4"/>
  <c r="G77" i="4"/>
  <c r="E77" i="4"/>
  <c r="C77" i="4"/>
  <c r="AG76" i="4"/>
  <c r="AB76" i="4"/>
  <c r="AA76" i="4"/>
  <c r="Y76" i="4"/>
  <c r="W76" i="4"/>
  <c r="U76" i="4"/>
  <c r="S76" i="4"/>
  <c r="Q76" i="4"/>
  <c r="O76" i="4"/>
  <c r="M76" i="4"/>
  <c r="K76" i="4"/>
  <c r="I76" i="4"/>
  <c r="G76" i="4"/>
  <c r="E76" i="4"/>
  <c r="C76" i="4"/>
  <c r="AG75" i="4"/>
  <c r="AB75" i="4"/>
  <c r="AA75" i="4"/>
  <c r="Y75" i="4"/>
  <c r="W75" i="4"/>
  <c r="U75" i="4"/>
  <c r="S75" i="4"/>
  <c r="Q75" i="4"/>
  <c r="O75" i="4"/>
  <c r="M75" i="4"/>
  <c r="K75" i="4"/>
  <c r="I75" i="4"/>
  <c r="G75" i="4"/>
  <c r="E75" i="4"/>
  <c r="C75" i="4"/>
  <c r="AG74" i="4"/>
  <c r="AB74" i="4"/>
  <c r="AA74" i="4"/>
  <c r="Y74" i="4"/>
  <c r="W74" i="4"/>
  <c r="U74" i="4"/>
  <c r="S74" i="4"/>
  <c r="Q74" i="4"/>
  <c r="O74" i="4"/>
  <c r="M74" i="4"/>
  <c r="K74" i="4"/>
  <c r="I74" i="4"/>
  <c r="G74" i="4"/>
  <c r="E74" i="4"/>
  <c r="C74" i="4"/>
  <c r="AG72" i="4"/>
  <c r="AB72" i="4"/>
  <c r="AA72" i="4"/>
  <c r="Y72" i="4"/>
  <c r="W72" i="4"/>
  <c r="U72" i="4"/>
  <c r="S72" i="4"/>
  <c r="Q72" i="4"/>
  <c r="O72" i="4"/>
  <c r="M72" i="4"/>
  <c r="K72" i="4"/>
  <c r="I72" i="4"/>
  <c r="G72" i="4"/>
  <c r="E72" i="4"/>
  <c r="C72" i="4"/>
  <c r="AG71" i="4"/>
  <c r="AB71" i="4"/>
  <c r="AA71" i="4"/>
  <c r="Y71" i="4"/>
  <c r="W71" i="4"/>
  <c r="U71" i="4"/>
  <c r="S71" i="4"/>
  <c r="Q71" i="4"/>
  <c r="O71" i="4"/>
  <c r="M71" i="4"/>
  <c r="K71" i="4"/>
  <c r="I71" i="4"/>
  <c r="G71" i="4"/>
  <c r="E71" i="4"/>
  <c r="C71" i="4"/>
  <c r="Z70" i="4"/>
  <c r="AA70" i="4" s="1"/>
  <c r="X70" i="4"/>
  <c r="V70" i="4"/>
  <c r="W70" i="4" s="1"/>
  <c r="T70" i="4"/>
  <c r="U70" i="4" s="1"/>
  <c r="R70" i="4"/>
  <c r="P70" i="4"/>
  <c r="Q70" i="4" s="1"/>
  <c r="N70" i="4"/>
  <c r="O70" i="4" s="1"/>
  <c r="L70" i="4"/>
  <c r="M70" i="4" s="1"/>
  <c r="J70" i="4"/>
  <c r="H70" i="4"/>
  <c r="I70" i="4" s="1"/>
  <c r="F70" i="4"/>
  <c r="G70" i="4" s="1"/>
  <c r="D70" i="4"/>
  <c r="E70" i="4" s="1"/>
  <c r="B70" i="4"/>
  <c r="C70" i="4" s="1"/>
  <c r="AG69" i="4"/>
  <c r="AB69" i="4"/>
  <c r="AA69" i="4"/>
  <c r="Y69" i="4"/>
  <c r="W69" i="4"/>
  <c r="U69" i="4"/>
  <c r="S69" i="4"/>
  <c r="Q69" i="4"/>
  <c r="O69" i="4"/>
  <c r="M69" i="4"/>
  <c r="K69" i="4"/>
  <c r="I69" i="4"/>
  <c r="G69" i="4"/>
  <c r="E69" i="4"/>
  <c r="C69" i="4"/>
  <c r="AG68" i="4"/>
  <c r="AB68" i="4"/>
  <c r="AA68" i="4"/>
  <c r="Y68" i="4"/>
  <c r="W68" i="4"/>
  <c r="U68" i="4"/>
  <c r="S68" i="4"/>
  <c r="Q68" i="4"/>
  <c r="O68" i="4"/>
  <c r="M68" i="4"/>
  <c r="K68" i="4"/>
  <c r="I68" i="4"/>
  <c r="G68" i="4"/>
  <c r="E68" i="4"/>
  <c r="C68" i="4"/>
  <c r="AG67" i="4"/>
  <c r="AB67" i="4"/>
  <c r="AA67" i="4"/>
  <c r="Y67" i="4"/>
  <c r="W67" i="4"/>
  <c r="U67" i="4"/>
  <c r="S67" i="4"/>
  <c r="Q67" i="4"/>
  <c r="O67" i="4"/>
  <c r="M67" i="4"/>
  <c r="K67" i="4"/>
  <c r="I67" i="4"/>
  <c r="G67" i="4"/>
  <c r="E67" i="4"/>
  <c r="C67" i="4"/>
  <c r="AG66" i="4"/>
  <c r="AB66" i="4"/>
  <c r="AA66" i="4"/>
  <c r="Y66" i="4"/>
  <c r="W66" i="4"/>
  <c r="U66" i="4"/>
  <c r="S66" i="4"/>
  <c r="Q66" i="4"/>
  <c r="O66" i="4"/>
  <c r="M66" i="4"/>
  <c r="K66" i="4"/>
  <c r="I66" i="4"/>
  <c r="G66" i="4"/>
  <c r="E66" i="4"/>
  <c r="C66" i="4"/>
  <c r="AG65" i="4"/>
  <c r="AB65" i="4"/>
  <c r="AA65" i="4"/>
  <c r="Y65" i="4"/>
  <c r="W65" i="4"/>
  <c r="U65" i="4"/>
  <c r="S65" i="4"/>
  <c r="Q65" i="4"/>
  <c r="O65" i="4"/>
  <c r="M65" i="4"/>
  <c r="K65" i="4"/>
  <c r="I65" i="4"/>
  <c r="G65" i="4"/>
  <c r="E65" i="4"/>
  <c r="C65" i="4"/>
  <c r="AG63" i="4"/>
  <c r="AB63" i="4"/>
  <c r="AA63" i="4"/>
  <c r="Y63" i="4"/>
  <c r="W63" i="4"/>
  <c r="U63" i="4"/>
  <c r="S63" i="4"/>
  <c r="Q63" i="4"/>
  <c r="O63" i="4"/>
  <c r="M63" i="4"/>
  <c r="K63" i="4"/>
  <c r="I63" i="4"/>
  <c r="G63" i="4"/>
  <c r="E63" i="4"/>
  <c r="C63" i="4"/>
  <c r="Z57" i="4"/>
  <c r="AA57" i="4" s="1"/>
  <c r="X57" i="4"/>
  <c r="V57" i="4"/>
  <c r="W57" i="4" s="1"/>
  <c r="T57" i="4"/>
  <c r="U57" i="4" s="1"/>
  <c r="R57" i="4"/>
  <c r="P57" i="4"/>
  <c r="Q57" i="4" s="1"/>
  <c r="N57" i="4"/>
  <c r="O57" i="4" s="1"/>
  <c r="L57" i="4"/>
  <c r="M57" i="4" s="1"/>
  <c r="J57" i="4"/>
  <c r="H57" i="4"/>
  <c r="I57" i="4" s="1"/>
  <c r="F57" i="4"/>
  <c r="G57" i="4" s="1"/>
  <c r="D57" i="4"/>
  <c r="E57" i="4" s="1"/>
  <c r="B57" i="4"/>
  <c r="C57" i="4" s="1"/>
  <c r="Z56" i="4"/>
  <c r="AA56" i="4" s="1"/>
  <c r="X56" i="4"/>
  <c r="V56" i="4"/>
  <c r="W56" i="4" s="1"/>
  <c r="T56" i="4"/>
  <c r="U56" i="4" s="1"/>
  <c r="R56" i="4"/>
  <c r="P56" i="4"/>
  <c r="Q56" i="4" s="1"/>
  <c r="N56" i="4"/>
  <c r="O56" i="4" s="1"/>
  <c r="L56" i="4"/>
  <c r="M56" i="4" s="1"/>
  <c r="J56" i="4"/>
  <c r="H56" i="4"/>
  <c r="I56" i="4" s="1"/>
  <c r="F56" i="4"/>
  <c r="G56" i="4" s="1"/>
  <c r="D56" i="4"/>
  <c r="E56" i="4" s="1"/>
  <c r="B56" i="4"/>
  <c r="C56" i="4" s="1"/>
  <c r="AG55" i="4"/>
  <c r="AB55" i="4"/>
  <c r="AA55" i="4"/>
  <c r="Y55" i="4"/>
  <c r="W55" i="4"/>
  <c r="U55" i="4"/>
  <c r="S55" i="4"/>
  <c r="Q55" i="4"/>
  <c r="O55" i="4"/>
  <c r="M55" i="4"/>
  <c r="K55" i="4"/>
  <c r="I55" i="4"/>
  <c r="G55" i="4"/>
  <c r="E55" i="4"/>
  <c r="C55" i="4"/>
  <c r="AG54" i="4"/>
  <c r="AB54" i="4"/>
  <c r="AA54" i="4"/>
  <c r="Y54" i="4"/>
  <c r="W54" i="4"/>
  <c r="U54" i="4"/>
  <c r="S54" i="4"/>
  <c r="Q54" i="4"/>
  <c r="O54" i="4"/>
  <c r="M54" i="4"/>
  <c r="K54" i="4"/>
  <c r="I54" i="4"/>
  <c r="G54" i="4"/>
  <c r="E54" i="4"/>
  <c r="C54" i="4"/>
  <c r="AG53" i="4"/>
  <c r="AB53" i="4"/>
  <c r="AA53" i="4"/>
  <c r="Y53" i="4"/>
  <c r="W53" i="4"/>
  <c r="U53" i="4"/>
  <c r="S53" i="4"/>
  <c r="Q53" i="4"/>
  <c r="O53" i="4"/>
  <c r="M53" i="4"/>
  <c r="K53" i="4"/>
  <c r="I53" i="4"/>
  <c r="G53" i="4"/>
  <c r="E53" i="4"/>
  <c r="C53" i="4"/>
  <c r="Z52" i="4"/>
  <c r="AA52" i="4" s="1"/>
  <c r="X52" i="4"/>
  <c r="V52" i="4"/>
  <c r="W52" i="4" s="1"/>
  <c r="T52" i="4"/>
  <c r="U52" i="4" s="1"/>
  <c r="R52" i="4"/>
  <c r="P52" i="4"/>
  <c r="Q52" i="4" s="1"/>
  <c r="N52" i="4"/>
  <c r="O52" i="4" s="1"/>
  <c r="L52" i="4"/>
  <c r="M52" i="4" s="1"/>
  <c r="J52" i="4"/>
  <c r="H52" i="4"/>
  <c r="I52" i="4" s="1"/>
  <c r="F52" i="4"/>
  <c r="G52" i="4" s="1"/>
  <c r="D52" i="4"/>
  <c r="E52" i="4" s="1"/>
  <c r="B52" i="4"/>
  <c r="C52" i="4" s="1"/>
  <c r="AG51" i="4"/>
  <c r="AB51" i="4"/>
  <c r="AA51" i="4"/>
  <c r="Y51" i="4"/>
  <c r="W51" i="4"/>
  <c r="U51" i="4"/>
  <c r="S51" i="4"/>
  <c r="Q51" i="4"/>
  <c r="O51" i="4"/>
  <c r="M51" i="4"/>
  <c r="K51" i="4"/>
  <c r="I51" i="4"/>
  <c r="G51" i="4"/>
  <c r="E51" i="4"/>
  <c r="C51" i="4"/>
  <c r="AG50" i="4"/>
  <c r="AB50" i="4"/>
  <c r="AA50" i="4"/>
  <c r="Y50" i="4"/>
  <c r="W50" i="4"/>
  <c r="U50" i="4"/>
  <c r="S50" i="4"/>
  <c r="Q50" i="4"/>
  <c r="O50" i="4"/>
  <c r="M50" i="4"/>
  <c r="K50" i="4"/>
  <c r="I50" i="4"/>
  <c r="G50" i="4"/>
  <c r="E50" i="4"/>
  <c r="C50" i="4"/>
  <c r="AG49" i="4"/>
  <c r="AB49" i="4"/>
  <c r="AA49" i="4"/>
  <c r="Y49" i="4"/>
  <c r="W49" i="4"/>
  <c r="U49" i="4"/>
  <c r="S49" i="4"/>
  <c r="Q49" i="4"/>
  <c r="O49" i="4"/>
  <c r="M49" i="4"/>
  <c r="K49" i="4"/>
  <c r="I49" i="4"/>
  <c r="G49" i="4"/>
  <c r="E49" i="4"/>
  <c r="C49" i="4"/>
  <c r="AG48" i="4"/>
  <c r="AB48" i="4"/>
  <c r="AA48" i="4"/>
  <c r="Y48" i="4"/>
  <c r="W48" i="4"/>
  <c r="U48" i="4"/>
  <c r="S48" i="4"/>
  <c r="Q48" i="4"/>
  <c r="O48" i="4"/>
  <c r="M48" i="4"/>
  <c r="K48" i="4"/>
  <c r="I48" i="4"/>
  <c r="G48" i="4"/>
  <c r="E48" i="4"/>
  <c r="C48" i="4"/>
  <c r="AG47" i="4"/>
  <c r="AB47" i="4"/>
  <c r="AA47" i="4"/>
  <c r="Y47" i="4"/>
  <c r="W47" i="4"/>
  <c r="U47" i="4"/>
  <c r="S47" i="4"/>
  <c r="Q47" i="4"/>
  <c r="O47" i="4"/>
  <c r="M47" i="4"/>
  <c r="K47" i="4"/>
  <c r="I47" i="4"/>
  <c r="G47" i="4"/>
  <c r="E47" i="4"/>
  <c r="C47" i="4"/>
  <c r="AG46" i="4"/>
  <c r="AB46" i="4"/>
  <c r="AA46" i="4"/>
  <c r="Y46" i="4"/>
  <c r="W46" i="4"/>
  <c r="U46" i="4"/>
  <c r="S46" i="4"/>
  <c r="Q46" i="4"/>
  <c r="O46" i="4"/>
  <c r="M46" i="4"/>
  <c r="K46" i="4"/>
  <c r="I46" i="4"/>
  <c r="G46" i="4"/>
  <c r="E46" i="4"/>
  <c r="C46" i="4"/>
  <c r="Z44" i="4"/>
  <c r="AA44" i="4" s="1"/>
  <c r="X44" i="4"/>
  <c r="V44" i="4"/>
  <c r="W44" i="4" s="1"/>
  <c r="T44" i="4"/>
  <c r="U44" i="4" s="1"/>
  <c r="R44" i="4"/>
  <c r="P44" i="4"/>
  <c r="Q44" i="4" s="1"/>
  <c r="N44" i="4"/>
  <c r="O44" i="4" s="1"/>
  <c r="L44" i="4"/>
  <c r="M44" i="4" s="1"/>
  <c r="J44" i="4"/>
  <c r="H44" i="4"/>
  <c r="I44" i="4" s="1"/>
  <c r="F44" i="4"/>
  <c r="G44" i="4" s="1"/>
  <c r="D44" i="4"/>
  <c r="E44" i="4" s="1"/>
  <c r="B44" i="4"/>
  <c r="C44" i="4" s="1"/>
  <c r="AG43" i="4"/>
  <c r="AB43" i="4"/>
  <c r="AA43" i="4"/>
  <c r="Y43" i="4"/>
  <c r="W43" i="4"/>
  <c r="U43" i="4"/>
  <c r="S43" i="4"/>
  <c r="Q43" i="4"/>
  <c r="O43" i="4"/>
  <c r="M43" i="4"/>
  <c r="K43" i="4"/>
  <c r="I43" i="4"/>
  <c r="G43" i="4"/>
  <c r="E43" i="4"/>
  <c r="C43" i="4"/>
  <c r="AG42" i="4"/>
  <c r="AB42" i="4"/>
  <c r="AA42" i="4"/>
  <c r="Y42" i="4"/>
  <c r="W42" i="4"/>
  <c r="U42" i="4"/>
  <c r="S42" i="4"/>
  <c r="Q42" i="4"/>
  <c r="O42" i="4"/>
  <c r="M42" i="4"/>
  <c r="K42" i="4"/>
  <c r="I42" i="4"/>
  <c r="G42" i="4"/>
  <c r="E42" i="4"/>
  <c r="C42" i="4"/>
  <c r="AG41" i="4"/>
  <c r="AB41" i="4"/>
  <c r="AA41" i="4"/>
  <c r="Y41" i="4"/>
  <c r="W41" i="4"/>
  <c r="U41" i="4"/>
  <c r="S41" i="4"/>
  <c r="Q41" i="4"/>
  <c r="O41" i="4"/>
  <c r="M41" i="4"/>
  <c r="K41" i="4"/>
  <c r="I41" i="4"/>
  <c r="G41" i="4"/>
  <c r="E41" i="4"/>
  <c r="C41" i="4"/>
  <c r="AG40" i="4"/>
  <c r="AB40" i="4"/>
  <c r="AA40" i="4"/>
  <c r="Y40" i="4"/>
  <c r="W40" i="4"/>
  <c r="U40" i="4"/>
  <c r="S40" i="4"/>
  <c r="Q40" i="4"/>
  <c r="O40" i="4"/>
  <c r="M40" i="4"/>
  <c r="K40" i="4"/>
  <c r="I40" i="4"/>
  <c r="G40" i="4"/>
  <c r="E40" i="4"/>
  <c r="C40" i="4"/>
  <c r="AG39" i="4"/>
  <c r="AB39" i="4"/>
  <c r="AA39" i="4"/>
  <c r="Y39" i="4"/>
  <c r="W39" i="4"/>
  <c r="U39" i="4"/>
  <c r="S39" i="4"/>
  <c r="Q39" i="4"/>
  <c r="O39" i="4"/>
  <c r="M39" i="4"/>
  <c r="K39" i="4"/>
  <c r="I39" i="4"/>
  <c r="G39" i="4"/>
  <c r="E39" i="4"/>
  <c r="C39" i="4"/>
  <c r="AG37" i="4"/>
  <c r="AB37" i="4"/>
  <c r="AA37" i="4"/>
  <c r="Y37" i="4"/>
  <c r="W37" i="4"/>
  <c r="U37" i="4"/>
  <c r="S37" i="4"/>
  <c r="Q37" i="4"/>
  <c r="O37" i="4"/>
  <c r="M37" i="4"/>
  <c r="K37" i="4"/>
  <c r="I37" i="4"/>
  <c r="G37" i="4"/>
  <c r="E37" i="4"/>
  <c r="C37" i="4"/>
  <c r="Z35" i="4"/>
  <c r="AA35" i="4" s="1"/>
  <c r="X35" i="4"/>
  <c r="V35" i="4"/>
  <c r="W35" i="4" s="1"/>
  <c r="T35" i="4"/>
  <c r="U35" i="4" s="1"/>
  <c r="R35" i="4"/>
  <c r="P35" i="4"/>
  <c r="Q35" i="4" s="1"/>
  <c r="N35" i="4"/>
  <c r="O35" i="4" s="1"/>
  <c r="L35" i="4"/>
  <c r="M35" i="4" s="1"/>
  <c r="J35" i="4"/>
  <c r="H35" i="4"/>
  <c r="I35" i="4" s="1"/>
  <c r="F35" i="4"/>
  <c r="G35" i="4" s="1"/>
  <c r="D35" i="4"/>
  <c r="E35" i="4" s="1"/>
  <c r="B35" i="4"/>
  <c r="C35" i="4" s="1"/>
  <c r="Z34" i="4"/>
  <c r="AA34" i="4" s="1"/>
  <c r="X34" i="4"/>
  <c r="V34" i="4"/>
  <c r="W34" i="4" s="1"/>
  <c r="T34" i="4"/>
  <c r="U34" i="4" s="1"/>
  <c r="R34" i="4"/>
  <c r="P34" i="4"/>
  <c r="Q34" i="4" s="1"/>
  <c r="N34" i="4"/>
  <c r="O34" i="4" s="1"/>
  <c r="L34" i="4"/>
  <c r="M34" i="4" s="1"/>
  <c r="J34" i="4"/>
  <c r="H34" i="4"/>
  <c r="I34" i="4" s="1"/>
  <c r="F34" i="4"/>
  <c r="G34" i="4" s="1"/>
  <c r="D34" i="4"/>
  <c r="E34" i="4" s="1"/>
  <c r="B34" i="4"/>
  <c r="C34" i="4" s="1"/>
  <c r="AG33" i="4"/>
  <c r="AB33" i="4"/>
  <c r="AA33" i="4"/>
  <c r="Y33" i="4"/>
  <c r="W33" i="4"/>
  <c r="U33" i="4"/>
  <c r="S33" i="4"/>
  <c r="Q33" i="4"/>
  <c r="O33" i="4"/>
  <c r="M33" i="4"/>
  <c r="K33" i="4"/>
  <c r="I33" i="4"/>
  <c r="G33" i="4"/>
  <c r="E33" i="4"/>
  <c r="C33" i="4"/>
  <c r="AG32" i="4"/>
  <c r="AB32" i="4"/>
  <c r="AA32" i="4"/>
  <c r="Y32" i="4"/>
  <c r="W32" i="4"/>
  <c r="U32" i="4"/>
  <c r="S32" i="4"/>
  <c r="Q32" i="4"/>
  <c r="O32" i="4"/>
  <c r="M32" i="4"/>
  <c r="K32" i="4"/>
  <c r="I32" i="4"/>
  <c r="G32" i="4"/>
  <c r="E32" i="4"/>
  <c r="C32" i="4"/>
  <c r="AG31" i="4"/>
  <c r="AB31" i="4"/>
  <c r="AA31" i="4"/>
  <c r="Y31" i="4"/>
  <c r="W31" i="4"/>
  <c r="U31" i="4"/>
  <c r="S31" i="4"/>
  <c r="Q31" i="4"/>
  <c r="O31" i="4"/>
  <c r="M31" i="4"/>
  <c r="K31" i="4"/>
  <c r="I31" i="4"/>
  <c r="G31" i="4"/>
  <c r="E31" i="4"/>
  <c r="C31" i="4"/>
  <c r="AG30" i="4"/>
  <c r="AB30" i="4"/>
  <c r="AA30" i="4"/>
  <c r="Y30" i="4"/>
  <c r="W30" i="4"/>
  <c r="U30" i="4"/>
  <c r="S30" i="4"/>
  <c r="Q30" i="4"/>
  <c r="O30" i="4"/>
  <c r="M30" i="4"/>
  <c r="K30" i="4"/>
  <c r="I30" i="4"/>
  <c r="G30" i="4"/>
  <c r="E30" i="4"/>
  <c r="C30" i="4"/>
  <c r="AG29" i="4"/>
  <c r="AB29" i="4"/>
  <c r="AA29" i="4"/>
  <c r="Y29" i="4"/>
  <c r="W29" i="4"/>
  <c r="U29" i="4"/>
  <c r="S29" i="4"/>
  <c r="Q29" i="4"/>
  <c r="O29" i="4"/>
  <c r="M29" i="4"/>
  <c r="K29" i="4"/>
  <c r="I29" i="4"/>
  <c r="G29" i="4"/>
  <c r="E29" i="4"/>
  <c r="C29" i="4"/>
  <c r="Z27" i="4"/>
  <c r="AA27" i="4" s="1"/>
  <c r="X27" i="4"/>
  <c r="V27" i="4"/>
  <c r="W27" i="4" s="1"/>
  <c r="T27" i="4"/>
  <c r="U27" i="4" s="1"/>
  <c r="R27" i="4"/>
  <c r="P27" i="4"/>
  <c r="Q27" i="4" s="1"/>
  <c r="N27" i="4"/>
  <c r="O27" i="4" s="1"/>
  <c r="L27" i="4"/>
  <c r="M27" i="4" s="1"/>
  <c r="J27" i="4"/>
  <c r="H27" i="4"/>
  <c r="I27" i="4" s="1"/>
  <c r="F27" i="4"/>
  <c r="G27" i="4" s="1"/>
  <c r="D27" i="4"/>
  <c r="E27" i="4" s="1"/>
  <c r="B27" i="4"/>
  <c r="C27" i="4" s="1"/>
  <c r="AG26" i="4"/>
  <c r="AB26" i="4"/>
  <c r="AA26" i="4"/>
  <c r="Y26" i="4"/>
  <c r="W26" i="4"/>
  <c r="U26" i="4"/>
  <c r="S26" i="4"/>
  <c r="Q26" i="4"/>
  <c r="O26" i="4"/>
  <c r="M26" i="4"/>
  <c r="K26" i="4"/>
  <c r="I26" i="4"/>
  <c r="G26" i="4"/>
  <c r="E26" i="4"/>
  <c r="C26" i="4"/>
  <c r="AG25" i="4"/>
  <c r="AB25" i="4"/>
  <c r="AA25" i="4"/>
  <c r="Y25" i="4"/>
  <c r="W25" i="4"/>
  <c r="U25" i="4"/>
  <c r="S25" i="4"/>
  <c r="Q25" i="4"/>
  <c r="O25" i="4"/>
  <c r="M25" i="4"/>
  <c r="K25" i="4"/>
  <c r="I25" i="4"/>
  <c r="G25" i="4"/>
  <c r="E25" i="4"/>
  <c r="C25" i="4"/>
  <c r="AG24" i="4"/>
  <c r="AB24" i="4"/>
  <c r="AA24" i="4"/>
  <c r="Y24" i="4"/>
  <c r="W24" i="4"/>
  <c r="U24" i="4"/>
  <c r="S24" i="4"/>
  <c r="Q24" i="4"/>
  <c r="O24" i="4"/>
  <c r="M24" i="4"/>
  <c r="K24" i="4"/>
  <c r="I24" i="4"/>
  <c r="G24" i="4"/>
  <c r="E24" i="4"/>
  <c r="C24" i="4"/>
  <c r="AG23" i="4"/>
  <c r="AB23" i="4"/>
  <c r="AA23" i="4"/>
  <c r="Y23" i="4"/>
  <c r="W23" i="4"/>
  <c r="U23" i="4"/>
  <c r="S23" i="4"/>
  <c r="Q23" i="4"/>
  <c r="O23" i="4"/>
  <c r="M23" i="4"/>
  <c r="K23" i="4"/>
  <c r="I23" i="4"/>
  <c r="G23" i="4"/>
  <c r="E23" i="4"/>
  <c r="C23" i="4"/>
  <c r="AG22" i="4"/>
  <c r="AB22" i="4"/>
  <c r="AA22" i="4"/>
  <c r="Y22" i="4"/>
  <c r="W22" i="4"/>
  <c r="U22" i="4"/>
  <c r="S22" i="4"/>
  <c r="Q22" i="4"/>
  <c r="O22" i="4"/>
  <c r="M22" i="4"/>
  <c r="K22" i="4"/>
  <c r="I22" i="4"/>
  <c r="G22" i="4"/>
  <c r="E22" i="4"/>
  <c r="C22" i="4"/>
  <c r="AG21" i="4"/>
  <c r="AB21" i="4"/>
  <c r="AA21" i="4"/>
  <c r="Y21" i="4"/>
  <c r="W21" i="4"/>
  <c r="U21" i="4"/>
  <c r="S21" i="4"/>
  <c r="Q21" i="4"/>
  <c r="O21" i="4"/>
  <c r="M21" i="4"/>
  <c r="K21" i="4"/>
  <c r="I21" i="4"/>
  <c r="G21" i="4"/>
  <c r="E21" i="4"/>
  <c r="C21" i="4"/>
  <c r="AG20" i="4"/>
  <c r="AB20" i="4"/>
  <c r="AA20" i="4"/>
  <c r="Y20" i="4"/>
  <c r="W20" i="4"/>
  <c r="U20" i="4"/>
  <c r="S20" i="4"/>
  <c r="Q20" i="4"/>
  <c r="O20" i="4"/>
  <c r="M20" i="4"/>
  <c r="K20" i="4"/>
  <c r="I20" i="4"/>
  <c r="G20" i="4"/>
  <c r="E20" i="4"/>
  <c r="C20" i="4"/>
  <c r="AG19" i="4"/>
  <c r="AB19" i="4"/>
  <c r="AA19" i="4"/>
  <c r="Y19" i="4"/>
  <c r="W19" i="4"/>
  <c r="U19" i="4"/>
  <c r="S19" i="4"/>
  <c r="Q19" i="4"/>
  <c r="O19" i="4"/>
  <c r="M19" i="4"/>
  <c r="K19" i="4"/>
  <c r="I19" i="4"/>
  <c r="G19" i="4"/>
  <c r="E19" i="4"/>
  <c r="C19" i="4"/>
  <c r="AG18" i="4"/>
  <c r="AB18" i="4"/>
  <c r="AA18" i="4"/>
  <c r="Y18" i="4"/>
  <c r="W18" i="4"/>
  <c r="U18" i="4"/>
  <c r="S18" i="4"/>
  <c r="Q18" i="4"/>
  <c r="O18" i="4"/>
  <c r="M18" i="4"/>
  <c r="K18" i="4"/>
  <c r="I18" i="4"/>
  <c r="G18" i="4"/>
  <c r="E18" i="4"/>
  <c r="C18" i="4"/>
  <c r="AG17" i="4"/>
  <c r="AB17" i="4"/>
  <c r="AA17" i="4"/>
  <c r="Y17" i="4"/>
  <c r="W17" i="4"/>
  <c r="U17" i="4"/>
  <c r="S17" i="4"/>
  <c r="Q17" i="4"/>
  <c r="O17" i="4"/>
  <c r="M17" i="4"/>
  <c r="K17" i="4"/>
  <c r="I17" i="4"/>
  <c r="G17" i="4"/>
  <c r="E17" i="4"/>
  <c r="C17" i="4"/>
  <c r="AG16" i="4"/>
  <c r="AB16" i="4"/>
  <c r="AA16" i="4"/>
  <c r="Y16" i="4"/>
  <c r="W16" i="4"/>
  <c r="U16" i="4"/>
  <c r="S16" i="4"/>
  <c r="Q16" i="4"/>
  <c r="O16" i="4"/>
  <c r="M16" i="4"/>
  <c r="K16" i="4"/>
  <c r="I16" i="4"/>
  <c r="G16" i="4"/>
  <c r="E16" i="4"/>
  <c r="C16" i="4"/>
  <c r="AG15" i="4"/>
  <c r="AB15" i="4"/>
  <c r="AA15" i="4"/>
  <c r="Y15" i="4"/>
  <c r="W15" i="4"/>
  <c r="U15" i="4"/>
  <c r="S15" i="4"/>
  <c r="Q15" i="4"/>
  <c r="O15" i="4"/>
  <c r="M15" i="4"/>
  <c r="K15" i="4"/>
  <c r="I15" i="4"/>
  <c r="G15" i="4"/>
  <c r="E15" i="4"/>
  <c r="C15" i="4"/>
  <c r="AG13" i="4"/>
  <c r="AB13" i="4"/>
  <c r="AA13" i="4"/>
  <c r="Y13" i="4"/>
  <c r="W13" i="4"/>
  <c r="U13" i="4"/>
  <c r="S13" i="4"/>
  <c r="Q13" i="4"/>
  <c r="O13" i="4"/>
  <c r="M13" i="4"/>
  <c r="K13" i="4"/>
  <c r="I13" i="4"/>
  <c r="G13" i="4"/>
  <c r="E13" i="4"/>
  <c r="C13" i="4"/>
  <c r="Z9" i="4"/>
  <c r="X9" i="4"/>
  <c r="V9" i="4"/>
  <c r="T9" i="4"/>
  <c r="R9" i="4"/>
  <c r="P9" i="4"/>
  <c r="N9" i="4"/>
  <c r="L9" i="4"/>
  <c r="J9" i="4"/>
  <c r="H9" i="4"/>
  <c r="F9" i="4"/>
  <c r="D9" i="4"/>
  <c r="B9" i="4"/>
  <c r="AG8" i="4"/>
  <c r="AB8" i="4"/>
  <c r="AA8" i="4"/>
  <c r="Y8" i="4"/>
  <c r="W8" i="4"/>
  <c r="U8" i="4"/>
  <c r="S8" i="4"/>
  <c r="Q8" i="4"/>
  <c r="O8" i="4"/>
  <c r="M8" i="4"/>
  <c r="K8" i="4"/>
  <c r="I8" i="4"/>
  <c r="G8" i="4"/>
  <c r="E8" i="4"/>
  <c r="C8" i="4"/>
  <c r="AG7" i="4"/>
  <c r="AB7" i="4"/>
  <c r="AA7" i="4"/>
  <c r="Y7" i="4"/>
  <c r="W7" i="4"/>
  <c r="U7" i="4"/>
  <c r="S7" i="4"/>
  <c r="Q7" i="4"/>
  <c r="O7" i="4"/>
  <c r="M7" i="4"/>
  <c r="K7" i="4"/>
  <c r="I7" i="4"/>
  <c r="G7" i="4"/>
  <c r="E7" i="4"/>
  <c r="C7" i="4"/>
  <c r="AG148" i="3"/>
  <c r="AB148" i="3"/>
  <c r="Z145" i="3"/>
  <c r="AA145" i="3" s="1"/>
  <c r="X145" i="3"/>
  <c r="V145" i="3"/>
  <c r="W145" i="3" s="1"/>
  <c r="T145" i="3"/>
  <c r="U145" i="3" s="1"/>
  <c r="R145" i="3"/>
  <c r="P145" i="3"/>
  <c r="Q145" i="3" s="1"/>
  <c r="N145" i="3"/>
  <c r="O145" i="3" s="1"/>
  <c r="L145" i="3"/>
  <c r="M145" i="3" s="1"/>
  <c r="J145" i="3"/>
  <c r="H145" i="3"/>
  <c r="I145" i="3" s="1"/>
  <c r="F145" i="3"/>
  <c r="G145" i="3" s="1"/>
  <c r="D145" i="3"/>
  <c r="E145" i="3" s="1"/>
  <c r="B145" i="3"/>
  <c r="C145" i="3" s="1"/>
  <c r="AG144" i="3"/>
  <c r="AB144" i="3"/>
  <c r="AA144" i="3"/>
  <c r="Y144" i="3"/>
  <c r="W144" i="3"/>
  <c r="U144" i="3"/>
  <c r="S144" i="3"/>
  <c r="Q144" i="3"/>
  <c r="O144" i="3"/>
  <c r="M144" i="3"/>
  <c r="K144" i="3"/>
  <c r="I144" i="3"/>
  <c r="G144" i="3"/>
  <c r="E144" i="3"/>
  <c r="C144" i="3"/>
  <c r="Z141" i="3"/>
  <c r="AA141" i="3" s="1"/>
  <c r="X141" i="3"/>
  <c r="V141" i="3"/>
  <c r="W141" i="3" s="1"/>
  <c r="T141" i="3"/>
  <c r="U141" i="3" s="1"/>
  <c r="R141" i="3"/>
  <c r="P141" i="3"/>
  <c r="Q141" i="3" s="1"/>
  <c r="N141" i="3"/>
  <c r="O141" i="3" s="1"/>
  <c r="L141" i="3"/>
  <c r="M141" i="3" s="1"/>
  <c r="J141" i="3"/>
  <c r="H141" i="3"/>
  <c r="I141" i="3" s="1"/>
  <c r="F141" i="3"/>
  <c r="G141" i="3" s="1"/>
  <c r="D141" i="3"/>
  <c r="E141" i="3" s="1"/>
  <c r="B141" i="3"/>
  <c r="C141" i="3" s="1"/>
  <c r="AG140" i="3"/>
  <c r="AB140" i="3"/>
  <c r="AA140" i="3"/>
  <c r="Y140" i="3"/>
  <c r="W140" i="3"/>
  <c r="U140" i="3"/>
  <c r="S140" i="3"/>
  <c r="Q140" i="3"/>
  <c r="O140" i="3"/>
  <c r="M140" i="3"/>
  <c r="K140" i="3"/>
  <c r="I140" i="3"/>
  <c r="G140" i="3"/>
  <c r="E140" i="3"/>
  <c r="C140" i="3"/>
  <c r="Z135" i="3"/>
  <c r="AA135" i="3" s="1"/>
  <c r="X135" i="3"/>
  <c r="V135" i="3"/>
  <c r="W135" i="3" s="1"/>
  <c r="T135" i="3"/>
  <c r="U135" i="3" s="1"/>
  <c r="R135" i="3"/>
  <c r="P135" i="3"/>
  <c r="Q135" i="3" s="1"/>
  <c r="N135" i="3"/>
  <c r="O135" i="3" s="1"/>
  <c r="L135" i="3"/>
  <c r="M135" i="3" s="1"/>
  <c r="J135" i="3"/>
  <c r="H135" i="3"/>
  <c r="I135" i="3" s="1"/>
  <c r="F135" i="3"/>
  <c r="G135" i="3" s="1"/>
  <c r="D135" i="3"/>
  <c r="E135" i="3" s="1"/>
  <c r="B135" i="3"/>
  <c r="C135" i="3" s="1"/>
  <c r="AG134" i="3"/>
  <c r="AB134" i="3"/>
  <c r="AA134" i="3"/>
  <c r="Y134" i="3"/>
  <c r="W134" i="3"/>
  <c r="U134" i="3"/>
  <c r="S134" i="3"/>
  <c r="Q134" i="3"/>
  <c r="O134" i="3"/>
  <c r="M134" i="3"/>
  <c r="K134" i="3"/>
  <c r="I134" i="3"/>
  <c r="G134" i="3"/>
  <c r="E134" i="3"/>
  <c r="C134" i="3"/>
  <c r="AG133" i="3"/>
  <c r="AB133" i="3"/>
  <c r="AA133" i="3"/>
  <c r="Y133" i="3"/>
  <c r="W133" i="3"/>
  <c r="U133" i="3"/>
  <c r="S133" i="3"/>
  <c r="Q133" i="3"/>
  <c r="O133" i="3"/>
  <c r="M133" i="3"/>
  <c r="K133" i="3"/>
  <c r="I133" i="3"/>
  <c r="G133" i="3"/>
  <c r="E133" i="3"/>
  <c r="C133" i="3"/>
  <c r="AG132" i="3"/>
  <c r="AB132" i="3"/>
  <c r="AA132" i="3"/>
  <c r="Y132" i="3"/>
  <c r="W132" i="3"/>
  <c r="U132" i="3"/>
  <c r="S132" i="3"/>
  <c r="Q132" i="3"/>
  <c r="O132" i="3"/>
  <c r="M132" i="3"/>
  <c r="K132" i="3"/>
  <c r="I132" i="3"/>
  <c r="G132" i="3"/>
  <c r="E132" i="3"/>
  <c r="C132" i="3"/>
  <c r="AG131" i="3"/>
  <c r="AB131" i="3"/>
  <c r="AA131" i="3"/>
  <c r="Y131" i="3"/>
  <c r="W131" i="3"/>
  <c r="U131" i="3"/>
  <c r="S131" i="3"/>
  <c r="Q131" i="3"/>
  <c r="O131" i="3"/>
  <c r="M131" i="3"/>
  <c r="K131" i="3"/>
  <c r="I131" i="3"/>
  <c r="G131" i="3"/>
  <c r="E131" i="3"/>
  <c r="C131" i="3"/>
  <c r="AG130" i="3"/>
  <c r="AB130" i="3"/>
  <c r="AA130" i="3"/>
  <c r="Y130" i="3"/>
  <c r="W130" i="3"/>
  <c r="U130" i="3"/>
  <c r="S130" i="3"/>
  <c r="Q130" i="3"/>
  <c r="O130" i="3"/>
  <c r="M130" i="3"/>
  <c r="K130" i="3"/>
  <c r="I130" i="3"/>
  <c r="G130" i="3"/>
  <c r="E130" i="3"/>
  <c r="C130" i="3"/>
  <c r="AG129" i="3"/>
  <c r="AB129" i="3"/>
  <c r="AA129" i="3"/>
  <c r="Y129" i="3"/>
  <c r="W129" i="3"/>
  <c r="U129" i="3"/>
  <c r="S129" i="3"/>
  <c r="Q129" i="3"/>
  <c r="O129" i="3"/>
  <c r="M129" i="3"/>
  <c r="K129" i="3"/>
  <c r="I129" i="3"/>
  <c r="G129" i="3"/>
  <c r="E129" i="3"/>
  <c r="C129" i="3"/>
  <c r="AG128" i="3"/>
  <c r="AB128" i="3"/>
  <c r="AA128" i="3"/>
  <c r="Y128" i="3"/>
  <c r="W128" i="3"/>
  <c r="U128" i="3"/>
  <c r="S128" i="3"/>
  <c r="Q128" i="3"/>
  <c r="O128" i="3"/>
  <c r="M128" i="3"/>
  <c r="K128" i="3"/>
  <c r="I128" i="3"/>
  <c r="G128" i="3"/>
  <c r="E128" i="3"/>
  <c r="C128" i="3"/>
  <c r="AG127" i="3"/>
  <c r="AB127" i="3"/>
  <c r="AA127" i="3"/>
  <c r="Y127" i="3"/>
  <c r="W127" i="3"/>
  <c r="U127" i="3"/>
  <c r="S127" i="3"/>
  <c r="Q127" i="3"/>
  <c r="O127" i="3"/>
  <c r="M127" i="3"/>
  <c r="K127" i="3"/>
  <c r="I127" i="3"/>
  <c r="G127" i="3"/>
  <c r="E127" i="3"/>
  <c r="C127" i="3"/>
  <c r="AG126" i="3"/>
  <c r="AB126" i="3"/>
  <c r="AA126" i="3"/>
  <c r="Y126" i="3"/>
  <c r="W126" i="3"/>
  <c r="U126" i="3"/>
  <c r="S126" i="3"/>
  <c r="Q126" i="3"/>
  <c r="O126" i="3"/>
  <c r="M126" i="3"/>
  <c r="K126" i="3"/>
  <c r="I126" i="3"/>
  <c r="G126" i="3"/>
  <c r="E126" i="3"/>
  <c r="C126" i="3"/>
  <c r="AG125" i="3"/>
  <c r="AB125" i="3"/>
  <c r="AA125" i="3"/>
  <c r="Y125" i="3"/>
  <c r="W125" i="3"/>
  <c r="U125" i="3"/>
  <c r="S125" i="3"/>
  <c r="Q125" i="3"/>
  <c r="O125" i="3"/>
  <c r="M125" i="3"/>
  <c r="K125" i="3"/>
  <c r="I125" i="3"/>
  <c r="G125" i="3"/>
  <c r="E125" i="3"/>
  <c r="C125" i="3"/>
  <c r="AG124" i="3"/>
  <c r="AB124" i="3"/>
  <c r="AA124" i="3"/>
  <c r="Y124" i="3"/>
  <c r="W124" i="3"/>
  <c r="U124" i="3"/>
  <c r="S124" i="3"/>
  <c r="Q124" i="3"/>
  <c r="O124" i="3"/>
  <c r="M124" i="3"/>
  <c r="K124" i="3"/>
  <c r="I124" i="3"/>
  <c r="G124" i="3"/>
  <c r="E124" i="3"/>
  <c r="C124" i="3"/>
  <c r="AG123" i="3"/>
  <c r="AB123" i="3"/>
  <c r="AA123" i="3"/>
  <c r="Y123" i="3"/>
  <c r="W123" i="3"/>
  <c r="U123" i="3"/>
  <c r="S123" i="3"/>
  <c r="Q123" i="3"/>
  <c r="O123" i="3"/>
  <c r="M123" i="3"/>
  <c r="K123" i="3"/>
  <c r="I123" i="3"/>
  <c r="G123" i="3"/>
  <c r="E123" i="3"/>
  <c r="C123" i="3"/>
  <c r="AG122" i="3"/>
  <c r="AB122" i="3"/>
  <c r="AA122" i="3"/>
  <c r="Y122" i="3"/>
  <c r="W122" i="3"/>
  <c r="U122" i="3"/>
  <c r="S122" i="3"/>
  <c r="Q122" i="3"/>
  <c r="O122" i="3"/>
  <c r="M122" i="3"/>
  <c r="K122" i="3"/>
  <c r="I122" i="3"/>
  <c r="G122" i="3"/>
  <c r="E122" i="3"/>
  <c r="C122" i="3"/>
  <c r="AG121" i="3"/>
  <c r="AB121" i="3"/>
  <c r="AA121" i="3"/>
  <c r="Y121" i="3"/>
  <c r="W121" i="3"/>
  <c r="U121" i="3"/>
  <c r="S121" i="3"/>
  <c r="Q121" i="3"/>
  <c r="O121" i="3"/>
  <c r="M121" i="3"/>
  <c r="K121" i="3"/>
  <c r="I121" i="3"/>
  <c r="G121" i="3"/>
  <c r="E121" i="3"/>
  <c r="C121" i="3"/>
  <c r="AG120" i="3"/>
  <c r="AB120" i="3"/>
  <c r="AA120" i="3"/>
  <c r="Y120" i="3"/>
  <c r="W120" i="3"/>
  <c r="U120" i="3"/>
  <c r="S120" i="3"/>
  <c r="Q120" i="3"/>
  <c r="O120" i="3"/>
  <c r="M120" i="3"/>
  <c r="K120" i="3"/>
  <c r="I120" i="3"/>
  <c r="G120" i="3"/>
  <c r="E120" i="3"/>
  <c r="C120" i="3"/>
  <c r="AG119" i="3"/>
  <c r="AB119" i="3"/>
  <c r="AA119" i="3"/>
  <c r="Y119" i="3"/>
  <c r="W119" i="3"/>
  <c r="U119" i="3"/>
  <c r="S119" i="3"/>
  <c r="Q119" i="3"/>
  <c r="O119" i="3"/>
  <c r="M119" i="3"/>
  <c r="K119" i="3"/>
  <c r="I119" i="3"/>
  <c r="G119" i="3"/>
  <c r="E119" i="3"/>
  <c r="C119" i="3"/>
  <c r="AG118" i="3"/>
  <c r="AB118" i="3"/>
  <c r="AA118" i="3"/>
  <c r="Y118" i="3"/>
  <c r="W118" i="3"/>
  <c r="U118" i="3"/>
  <c r="S118" i="3"/>
  <c r="Q118" i="3"/>
  <c r="O118" i="3"/>
  <c r="M118" i="3"/>
  <c r="K118" i="3"/>
  <c r="I118" i="3"/>
  <c r="G118" i="3"/>
  <c r="E118" i="3"/>
  <c r="C118" i="3"/>
  <c r="AG117" i="3"/>
  <c r="AB117" i="3"/>
  <c r="AA117" i="3"/>
  <c r="Y117" i="3"/>
  <c r="W117" i="3"/>
  <c r="U117" i="3"/>
  <c r="S117" i="3"/>
  <c r="Q117" i="3"/>
  <c r="O117" i="3"/>
  <c r="M117" i="3"/>
  <c r="K117" i="3"/>
  <c r="I117" i="3"/>
  <c r="G117" i="3"/>
  <c r="E117" i="3"/>
  <c r="C117" i="3"/>
  <c r="AG116" i="3"/>
  <c r="AB116" i="3"/>
  <c r="AA116" i="3"/>
  <c r="Y116" i="3"/>
  <c r="W116" i="3"/>
  <c r="U116" i="3"/>
  <c r="S116" i="3"/>
  <c r="Q116" i="3"/>
  <c r="O116" i="3"/>
  <c r="M116" i="3"/>
  <c r="K116" i="3"/>
  <c r="I116" i="3"/>
  <c r="G116" i="3"/>
  <c r="E116" i="3"/>
  <c r="C116" i="3"/>
  <c r="AG115" i="3"/>
  <c r="AB115" i="3"/>
  <c r="AA115" i="3"/>
  <c r="Y115" i="3"/>
  <c r="W115" i="3"/>
  <c r="U115" i="3"/>
  <c r="S115" i="3"/>
  <c r="Q115" i="3"/>
  <c r="O115" i="3"/>
  <c r="M115" i="3"/>
  <c r="K115" i="3"/>
  <c r="I115" i="3"/>
  <c r="G115" i="3"/>
  <c r="E115" i="3"/>
  <c r="C115" i="3"/>
  <c r="AG114" i="3"/>
  <c r="AB114" i="3"/>
  <c r="AA114" i="3"/>
  <c r="Y114" i="3"/>
  <c r="W114" i="3"/>
  <c r="U114" i="3"/>
  <c r="S114" i="3"/>
  <c r="Q114" i="3"/>
  <c r="O114" i="3"/>
  <c r="M114" i="3"/>
  <c r="K114" i="3"/>
  <c r="I114" i="3"/>
  <c r="G114" i="3"/>
  <c r="E114" i="3"/>
  <c r="C114" i="3"/>
  <c r="AG113" i="3"/>
  <c r="AB113" i="3"/>
  <c r="AA113" i="3"/>
  <c r="Y113" i="3"/>
  <c r="W113" i="3"/>
  <c r="U113" i="3"/>
  <c r="S113" i="3"/>
  <c r="Q113" i="3"/>
  <c r="O113" i="3"/>
  <c r="M113" i="3"/>
  <c r="K113" i="3"/>
  <c r="I113" i="3"/>
  <c r="G113" i="3"/>
  <c r="E113" i="3"/>
  <c r="C113" i="3"/>
  <c r="AG112" i="3"/>
  <c r="AB112" i="3"/>
  <c r="AA112" i="3"/>
  <c r="Y112" i="3"/>
  <c r="W112" i="3"/>
  <c r="U112" i="3"/>
  <c r="S112" i="3"/>
  <c r="Q112" i="3"/>
  <c r="O112" i="3"/>
  <c r="M112" i="3"/>
  <c r="K112" i="3"/>
  <c r="I112" i="3"/>
  <c r="G112" i="3"/>
  <c r="E112" i="3"/>
  <c r="C112" i="3"/>
  <c r="AG111" i="3"/>
  <c r="AB111" i="3"/>
  <c r="AA111" i="3"/>
  <c r="Y111" i="3"/>
  <c r="W111" i="3"/>
  <c r="U111" i="3"/>
  <c r="S111" i="3"/>
  <c r="Q111" i="3"/>
  <c r="O111" i="3"/>
  <c r="M111" i="3"/>
  <c r="K111" i="3"/>
  <c r="I111" i="3"/>
  <c r="G111" i="3"/>
  <c r="E111" i="3"/>
  <c r="C111" i="3"/>
  <c r="AG110" i="3"/>
  <c r="AB110" i="3"/>
  <c r="AA110" i="3"/>
  <c r="Y110" i="3"/>
  <c r="W110" i="3"/>
  <c r="U110" i="3"/>
  <c r="S110" i="3"/>
  <c r="Q110" i="3"/>
  <c r="O110" i="3"/>
  <c r="M110" i="3"/>
  <c r="K110" i="3"/>
  <c r="I110" i="3"/>
  <c r="G110" i="3"/>
  <c r="E110" i="3"/>
  <c r="C110" i="3"/>
  <c r="Z105" i="3"/>
  <c r="AA105" i="3" s="1"/>
  <c r="X105" i="3"/>
  <c r="V105" i="3"/>
  <c r="W105" i="3" s="1"/>
  <c r="T105" i="3"/>
  <c r="U105" i="3" s="1"/>
  <c r="R105" i="3"/>
  <c r="P105" i="3"/>
  <c r="Q105" i="3" s="1"/>
  <c r="N105" i="3"/>
  <c r="O105" i="3" s="1"/>
  <c r="L105" i="3"/>
  <c r="M105" i="3" s="1"/>
  <c r="J105" i="3"/>
  <c r="H105" i="3"/>
  <c r="I105" i="3" s="1"/>
  <c r="F105" i="3"/>
  <c r="G105" i="3" s="1"/>
  <c r="D105" i="3"/>
  <c r="E105" i="3" s="1"/>
  <c r="B105" i="3"/>
  <c r="C105" i="3" s="1"/>
  <c r="AG104" i="3"/>
  <c r="AB104" i="3"/>
  <c r="AA104" i="3"/>
  <c r="Y104" i="3"/>
  <c r="W104" i="3"/>
  <c r="U104" i="3"/>
  <c r="S104" i="3"/>
  <c r="Q104" i="3"/>
  <c r="O104" i="3"/>
  <c r="M104" i="3"/>
  <c r="K104" i="3"/>
  <c r="I104" i="3"/>
  <c r="G104" i="3"/>
  <c r="E104" i="3"/>
  <c r="C104" i="3"/>
  <c r="Z99" i="3"/>
  <c r="AA99" i="3" s="1"/>
  <c r="X99" i="3"/>
  <c r="V99" i="3"/>
  <c r="W99" i="3" s="1"/>
  <c r="T99" i="3"/>
  <c r="U99" i="3" s="1"/>
  <c r="R99" i="3"/>
  <c r="P99" i="3"/>
  <c r="Q99" i="3" s="1"/>
  <c r="N99" i="3"/>
  <c r="O99" i="3" s="1"/>
  <c r="L99" i="3"/>
  <c r="M99" i="3" s="1"/>
  <c r="J99" i="3"/>
  <c r="H99" i="3"/>
  <c r="I99" i="3" s="1"/>
  <c r="F99" i="3"/>
  <c r="G99" i="3" s="1"/>
  <c r="D99" i="3"/>
  <c r="E99" i="3" s="1"/>
  <c r="B99" i="3"/>
  <c r="C99" i="3" s="1"/>
  <c r="AG98" i="3"/>
  <c r="AB98" i="3"/>
  <c r="AA98" i="3"/>
  <c r="Y98" i="3"/>
  <c r="W98" i="3"/>
  <c r="U98" i="3"/>
  <c r="S98" i="3"/>
  <c r="Q98" i="3"/>
  <c r="O98" i="3"/>
  <c r="M98" i="3"/>
  <c r="K98" i="3"/>
  <c r="I98" i="3"/>
  <c r="G98" i="3"/>
  <c r="E98" i="3"/>
  <c r="C98" i="3"/>
  <c r="AG97" i="3"/>
  <c r="AB97" i="3"/>
  <c r="AA97" i="3"/>
  <c r="Y97" i="3"/>
  <c r="W97" i="3"/>
  <c r="U97" i="3"/>
  <c r="S97" i="3"/>
  <c r="Q97" i="3"/>
  <c r="O97" i="3"/>
  <c r="M97" i="3"/>
  <c r="K97" i="3"/>
  <c r="I97" i="3"/>
  <c r="G97" i="3"/>
  <c r="E97" i="3"/>
  <c r="C97" i="3"/>
  <c r="AG96" i="3"/>
  <c r="AB96" i="3"/>
  <c r="AA96" i="3"/>
  <c r="Y96" i="3"/>
  <c r="W96" i="3"/>
  <c r="U96" i="3"/>
  <c r="S96" i="3"/>
  <c r="Q96" i="3"/>
  <c r="O96" i="3"/>
  <c r="M96" i="3"/>
  <c r="K96" i="3"/>
  <c r="I96" i="3"/>
  <c r="G96" i="3"/>
  <c r="E96" i="3"/>
  <c r="C96" i="3"/>
  <c r="AG95" i="3"/>
  <c r="AB95" i="3"/>
  <c r="AA95" i="3"/>
  <c r="Y95" i="3"/>
  <c r="W95" i="3"/>
  <c r="U95" i="3"/>
  <c r="S95" i="3"/>
  <c r="Q95" i="3"/>
  <c r="O95" i="3"/>
  <c r="M95" i="3"/>
  <c r="K95" i="3"/>
  <c r="I95" i="3"/>
  <c r="G95" i="3"/>
  <c r="E95" i="3"/>
  <c r="C95" i="3"/>
  <c r="AG94" i="3"/>
  <c r="AB94" i="3"/>
  <c r="AA94" i="3"/>
  <c r="Y94" i="3"/>
  <c r="W94" i="3"/>
  <c r="U94" i="3"/>
  <c r="S94" i="3"/>
  <c r="Q94" i="3"/>
  <c r="O94" i="3"/>
  <c r="M94" i="3"/>
  <c r="K94" i="3"/>
  <c r="I94" i="3"/>
  <c r="G94" i="3"/>
  <c r="E94" i="3"/>
  <c r="C94" i="3"/>
  <c r="AG93" i="3"/>
  <c r="AB93" i="3"/>
  <c r="AA93" i="3"/>
  <c r="Y93" i="3"/>
  <c r="W93" i="3"/>
  <c r="U93" i="3"/>
  <c r="S93" i="3"/>
  <c r="Q93" i="3"/>
  <c r="O93" i="3"/>
  <c r="M93" i="3"/>
  <c r="K93" i="3"/>
  <c r="I93" i="3"/>
  <c r="G93" i="3"/>
  <c r="E93" i="3"/>
  <c r="C93" i="3"/>
  <c r="AG92" i="3"/>
  <c r="AB92" i="3"/>
  <c r="AA92" i="3"/>
  <c r="Y92" i="3"/>
  <c r="W92" i="3"/>
  <c r="U92" i="3"/>
  <c r="S92" i="3"/>
  <c r="Q92" i="3"/>
  <c r="O92" i="3"/>
  <c r="M92" i="3"/>
  <c r="K92" i="3"/>
  <c r="I92" i="3"/>
  <c r="G92" i="3"/>
  <c r="E92" i="3"/>
  <c r="C92" i="3"/>
  <c r="AG91" i="3"/>
  <c r="AB91" i="3"/>
  <c r="AA91" i="3"/>
  <c r="Y91" i="3"/>
  <c r="W91" i="3"/>
  <c r="U91" i="3"/>
  <c r="S91" i="3"/>
  <c r="Q91" i="3"/>
  <c r="O91" i="3"/>
  <c r="M91" i="3"/>
  <c r="K91" i="3"/>
  <c r="I91" i="3"/>
  <c r="G91" i="3"/>
  <c r="E91" i="3"/>
  <c r="C91" i="3"/>
  <c r="AG90" i="3"/>
  <c r="AB90" i="3"/>
  <c r="AA90" i="3"/>
  <c r="Y90" i="3"/>
  <c r="W90" i="3"/>
  <c r="U90" i="3"/>
  <c r="S90" i="3"/>
  <c r="Q90" i="3"/>
  <c r="O90" i="3"/>
  <c r="M90" i="3"/>
  <c r="K90" i="3"/>
  <c r="I90" i="3"/>
  <c r="G90" i="3"/>
  <c r="E90" i="3"/>
  <c r="C90" i="3"/>
  <c r="Z85" i="3"/>
  <c r="AA85" i="3" s="1"/>
  <c r="X85" i="3"/>
  <c r="V85" i="3"/>
  <c r="W85" i="3" s="1"/>
  <c r="T85" i="3"/>
  <c r="U85" i="3" s="1"/>
  <c r="R85" i="3"/>
  <c r="P85" i="3"/>
  <c r="Q85" i="3" s="1"/>
  <c r="N85" i="3"/>
  <c r="O85" i="3" s="1"/>
  <c r="L85" i="3"/>
  <c r="M85" i="3" s="1"/>
  <c r="J85" i="3"/>
  <c r="H85" i="3"/>
  <c r="I85" i="3" s="1"/>
  <c r="F85" i="3"/>
  <c r="G85" i="3" s="1"/>
  <c r="D85" i="3"/>
  <c r="E85" i="3" s="1"/>
  <c r="B85" i="3"/>
  <c r="C85" i="3" s="1"/>
  <c r="Z84" i="3"/>
  <c r="AA84" i="3" s="1"/>
  <c r="X84" i="3"/>
  <c r="V84" i="3"/>
  <c r="W84" i="3" s="1"/>
  <c r="T84" i="3"/>
  <c r="U84" i="3" s="1"/>
  <c r="R84" i="3"/>
  <c r="P84" i="3"/>
  <c r="Q84" i="3" s="1"/>
  <c r="N84" i="3"/>
  <c r="O84" i="3" s="1"/>
  <c r="L84" i="3"/>
  <c r="M84" i="3" s="1"/>
  <c r="J84" i="3"/>
  <c r="H84" i="3"/>
  <c r="I84" i="3" s="1"/>
  <c r="F84" i="3"/>
  <c r="G84" i="3" s="1"/>
  <c r="D84" i="3"/>
  <c r="E84" i="3" s="1"/>
  <c r="B84" i="3"/>
  <c r="C84" i="3" s="1"/>
  <c r="AG83" i="3"/>
  <c r="AB83" i="3"/>
  <c r="AA83" i="3"/>
  <c r="Y83" i="3"/>
  <c r="W83" i="3"/>
  <c r="U83" i="3"/>
  <c r="S83" i="3"/>
  <c r="Q83" i="3"/>
  <c r="O83" i="3"/>
  <c r="M83" i="3"/>
  <c r="K83" i="3"/>
  <c r="I83" i="3"/>
  <c r="G83" i="3"/>
  <c r="E83" i="3"/>
  <c r="C83" i="3"/>
  <c r="AG82" i="3"/>
  <c r="AB82" i="3"/>
  <c r="AA82" i="3"/>
  <c r="Y82" i="3"/>
  <c r="W82" i="3"/>
  <c r="U82" i="3"/>
  <c r="S82" i="3"/>
  <c r="Q82" i="3"/>
  <c r="O82" i="3"/>
  <c r="M82" i="3"/>
  <c r="K82" i="3"/>
  <c r="I82" i="3"/>
  <c r="G82" i="3"/>
  <c r="E82" i="3"/>
  <c r="C82" i="3"/>
  <c r="Z81" i="3"/>
  <c r="AA81" i="3" s="1"/>
  <c r="X81" i="3"/>
  <c r="V81" i="3"/>
  <c r="W81" i="3" s="1"/>
  <c r="T81" i="3"/>
  <c r="U81" i="3" s="1"/>
  <c r="R81" i="3"/>
  <c r="P81" i="3"/>
  <c r="Q81" i="3" s="1"/>
  <c r="N81" i="3"/>
  <c r="O81" i="3" s="1"/>
  <c r="L81" i="3"/>
  <c r="M81" i="3" s="1"/>
  <c r="J81" i="3"/>
  <c r="H81" i="3"/>
  <c r="I81" i="3" s="1"/>
  <c r="F81" i="3"/>
  <c r="G81" i="3" s="1"/>
  <c r="D81" i="3"/>
  <c r="E81" i="3" s="1"/>
  <c r="B81" i="3"/>
  <c r="C81" i="3" s="1"/>
  <c r="AG80" i="3"/>
  <c r="AB80" i="3"/>
  <c r="AA80" i="3"/>
  <c r="Y80" i="3"/>
  <c r="W80" i="3"/>
  <c r="U80" i="3"/>
  <c r="S80" i="3"/>
  <c r="Q80" i="3"/>
  <c r="O80" i="3"/>
  <c r="M80" i="3"/>
  <c r="K80" i="3"/>
  <c r="I80" i="3"/>
  <c r="G80" i="3"/>
  <c r="E80" i="3"/>
  <c r="C80" i="3"/>
  <c r="AG79" i="3"/>
  <c r="AB79" i="3"/>
  <c r="AA79" i="3"/>
  <c r="Y79" i="3"/>
  <c r="W79" i="3"/>
  <c r="U79" i="3"/>
  <c r="S79" i="3"/>
  <c r="Q79" i="3"/>
  <c r="O79" i="3"/>
  <c r="M79" i="3"/>
  <c r="K79" i="3"/>
  <c r="I79" i="3"/>
  <c r="G79" i="3"/>
  <c r="E79" i="3"/>
  <c r="C79" i="3"/>
  <c r="AG78" i="3"/>
  <c r="AB78" i="3"/>
  <c r="AA78" i="3"/>
  <c r="Y78" i="3"/>
  <c r="W78" i="3"/>
  <c r="U78" i="3"/>
  <c r="S78" i="3"/>
  <c r="Q78" i="3"/>
  <c r="O78" i="3"/>
  <c r="M78" i="3"/>
  <c r="K78" i="3"/>
  <c r="I78" i="3"/>
  <c r="G78" i="3"/>
  <c r="E78" i="3"/>
  <c r="C78" i="3"/>
  <c r="AG77" i="3"/>
  <c r="AB77" i="3"/>
  <c r="AA77" i="3"/>
  <c r="Y77" i="3"/>
  <c r="W77" i="3"/>
  <c r="U77" i="3"/>
  <c r="S77" i="3"/>
  <c r="Q77" i="3"/>
  <c r="O77" i="3"/>
  <c r="M77" i="3"/>
  <c r="K77" i="3"/>
  <c r="I77" i="3"/>
  <c r="G77" i="3"/>
  <c r="E77" i="3"/>
  <c r="C77" i="3"/>
  <c r="AG76" i="3"/>
  <c r="AB76" i="3"/>
  <c r="AA76" i="3"/>
  <c r="Y76" i="3"/>
  <c r="W76" i="3"/>
  <c r="U76" i="3"/>
  <c r="S76" i="3"/>
  <c r="Q76" i="3"/>
  <c r="O76" i="3"/>
  <c r="M76" i="3"/>
  <c r="K76" i="3"/>
  <c r="I76" i="3"/>
  <c r="G76" i="3"/>
  <c r="E76" i="3"/>
  <c r="C76" i="3"/>
  <c r="AG75" i="3"/>
  <c r="AB75" i="3"/>
  <c r="AA75" i="3"/>
  <c r="Y75" i="3"/>
  <c r="W75" i="3"/>
  <c r="U75" i="3"/>
  <c r="S75" i="3"/>
  <c r="Q75" i="3"/>
  <c r="O75" i="3"/>
  <c r="M75" i="3"/>
  <c r="K75" i="3"/>
  <c r="I75" i="3"/>
  <c r="G75" i="3"/>
  <c r="E75" i="3"/>
  <c r="C75" i="3"/>
  <c r="AG74" i="3"/>
  <c r="AB74" i="3"/>
  <c r="AA74" i="3"/>
  <c r="Y74" i="3"/>
  <c r="W74" i="3"/>
  <c r="U74" i="3"/>
  <c r="S74" i="3"/>
  <c r="Q74" i="3"/>
  <c r="O74" i="3"/>
  <c r="M74" i="3"/>
  <c r="K74" i="3"/>
  <c r="I74" i="3"/>
  <c r="G74" i="3"/>
  <c r="E74" i="3"/>
  <c r="C74" i="3"/>
  <c r="AG72" i="3"/>
  <c r="AB72" i="3"/>
  <c r="AA72" i="3"/>
  <c r="Y72" i="3"/>
  <c r="W72" i="3"/>
  <c r="U72" i="3"/>
  <c r="S72" i="3"/>
  <c r="Q72" i="3"/>
  <c r="O72" i="3"/>
  <c r="M72" i="3"/>
  <c r="K72" i="3"/>
  <c r="I72" i="3"/>
  <c r="G72" i="3"/>
  <c r="E72" i="3"/>
  <c r="C72" i="3"/>
  <c r="AG71" i="3"/>
  <c r="AB71" i="3"/>
  <c r="AA71" i="3"/>
  <c r="Y71" i="3"/>
  <c r="W71" i="3"/>
  <c r="U71" i="3"/>
  <c r="S71" i="3"/>
  <c r="Q71" i="3"/>
  <c r="O71" i="3"/>
  <c r="M71" i="3"/>
  <c r="K71" i="3"/>
  <c r="I71" i="3"/>
  <c r="G71" i="3"/>
  <c r="E71" i="3"/>
  <c r="C71" i="3"/>
  <c r="Z70" i="3"/>
  <c r="AA70" i="3" s="1"/>
  <c r="X70" i="3"/>
  <c r="V70" i="3"/>
  <c r="W70" i="3" s="1"/>
  <c r="T70" i="3"/>
  <c r="U70" i="3" s="1"/>
  <c r="R70" i="3"/>
  <c r="P70" i="3"/>
  <c r="Q70" i="3" s="1"/>
  <c r="N70" i="3"/>
  <c r="O70" i="3" s="1"/>
  <c r="L70" i="3"/>
  <c r="M70" i="3" s="1"/>
  <c r="J70" i="3"/>
  <c r="H70" i="3"/>
  <c r="I70" i="3" s="1"/>
  <c r="F70" i="3"/>
  <c r="G70" i="3" s="1"/>
  <c r="D70" i="3"/>
  <c r="E70" i="3" s="1"/>
  <c r="B70" i="3"/>
  <c r="C70" i="3" s="1"/>
  <c r="AG69" i="3"/>
  <c r="AB69" i="3"/>
  <c r="AA69" i="3"/>
  <c r="Y69" i="3"/>
  <c r="W69" i="3"/>
  <c r="U69" i="3"/>
  <c r="S69" i="3"/>
  <c r="Q69" i="3"/>
  <c r="O69" i="3"/>
  <c r="M69" i="3"/>
  <c r="K69" i="3"/>
  <c r="I69" i="3"/>
  <c r="G69" i="3"/>
  <c r="E69" i="3"/>
  <c r="C69" i="3"/>
  <c r="AG68" i="3"/>
  <c r="AB68" i="3"/>
  <c r="AA68" i="3"/>
  <c r="Y68" i="3"/>
  <c r="W68" i="3"/>
  <c r="U68" i="3"/>
  <c r="S68" i="3"/>
  <c r="Q68" i="3"/>
  <c r="O68" i="3"/>
  <c r="M68" i="3"/>
  <c r="K68" i="3"/>
  <c r="I68" i="3"/>
  <c r="G68" i="3"/>
  <c r="E68" i="3"/>
  <c r="C68" i="3"/>
  <c r="AG67" i="3"/>
  <c r="AB67" i="3"/>
  <c r="AA67" i="3"/>
  <c r="Y67" i="3"/>
  <c r="W67" i="3"/>
  <c r="U67" i="3"/>
  <c r="S67" i="3"/>
  <c r="Q67" i="3"/>
  <c r="O67" i="3"/>
  <c r="M67" i="3"/>
  <c r="K67" i="3"/>
  <c r="I67" i="3"/>
  <c r="G67" i="3"/>
  <c r="E67" i="3"/>
  <c r="C67" i="3"/>
  <c r="AG66" i="3"/>
  <c r="AB66" i="3"/>
  <c r="AA66" i="3"/>
  <c r="Y66" i="3"/>
  <c r="W66" i="3"/>
  <c r="U66" i="3"/>
  <c r="S66" i="3"/>
  <c r="Q66" i="3"/>
  <c r="O66" i="3"/>
  <c r="M66" i="3"/>
  <c r="K66" i="3"/>
  <c r="I66" i="3"/>
  <c r="G66" i="3"/>
  <c r="E66" i="3"/>
  <c r="C66" i="3"/>
  <c r="AG65" i="3"/>
  <c r="AB65" i="3"/>
  <c r="AA65" i="3"/>
  <c r="Y65" i="3"/>
  <c r="W65" i="3"/>
  <c r="U65" i="3"/>
  <c r="S65" i="3"/>
  <c r="Q65" i="3"/>
  <c r="O65" i="3"/>
  <c r="M65" i="3"/>
  <c r="K65" i="3"/>
  <c r="I65" i="3"/>
  <c r="G65" i="3"/>
  <c r="E65" i="3"/>
  <c r="C65" i="3"/>
  <c r="AG63" i="3"/>
  <c r="AB63" i="3"/>
  <c r="AA63" i="3"/>
  <c r="Y63" i="3"/>
  <c r="W63" i="3"/>
  <c r="U63" i="3"/>
  <c r="S63" i="3"/>
  <c r="Q63" i="3"/>
  <c r="O63" i="3"/>
  <c r="M63" i="3"/>
  <c r="K63" i="3"/>
  <c r="I63" i="3"/>
  <c r="G63" i="3"/>
  <c r="E63" i="3"/>
  <c r="C63" i="3"/>
  <c r="Z57" i="3"/>
  <c r="AA57" i="3" s="1"/>
  <c r="X57" i="3"/>
  <c r="V57" i="3"/>
  <c r="W57" i="3" s="1"/>
  <c r="T57" i="3"/>
  <c r="U57" i="3" s="1"/>
  <c r="R57" i="3"/>
  <c r="P57" i="3"/>
  <c r="Q57" i="3" s="1"/>
  <c r="N57" i="3"/>
  <c r="O57" i="3" s="1"/>
  <c r="L57" i="3"/>
  <c r="M57" i="3" s="1"/>
  <c r="J57" i="3"/>
  <c r="H57" i="3"/>
  <c r="I57" i="3" s="1"/>
  <c r="F57" i="3"/>
  <c r="G57" i="3" s="1"/>
  <c r="D57" i="3"/>
  <c r="E57" i="3" s="1"/>
  <c r="B57" i="3"/>
  <c r="C57" i="3" s="1"/>
  <c r="Z56" i="3"/>
  <c r="AA56" i="3" s="1"/>
  <c r="X56" i="3"/>
  <c r="V56" i="3"/>
  <c r="W56" i="3" s="1"/>
  <c r="T56" i="3"/>
  <c r="U56" i="3" s="1"/>
  <c r="R56" i="3"/>
  <c r="P56" i="3"/>
  <c r="Q56" i="3" s="1"/>
  <c r="N56" i="3"/>
  <c r="O56" i="3" s="1"/>
  <c r="L56" i="3"/>
  <c r="M56" i="3" s="1"/>
  <c r="J56" i="3"/>
  <c r="H56" i="3"/>
  <c r="I56" i="3" s="1"/>
  <c r="F56" i="3"/>
  <c r="G56" i="3" s="1"/>
  <c r="D56" i="3"/>
  <c r="E56" i="3" s="1"/>
  <c r="B56" i="3"/>
  <c r="C56" i="3" s="1"/>
  <c r="AG55" i="3"/>
  <c r="AB55" i="3"/>
  <c r="AA55" i="3"/>
  <c r="Y55" i="3"/>
  <c r="W55" i="3"/>
  <c r="U55" i="3"/>
  <c r="S55" i="3"/>
  <c r="Q55" i="3"/>
  <c r="O55" i="3"/>
  <c r="M55" i="3"/>
  <c r="K55" i="3"/>
  <c r="I55" i="3"/>
  <c r="G55" i="3"/>
  <c r="E55" i="3"/>
  <c r="C55" i="3"/>
  <c r="AG54" i="3"/>
  <c r="AB54" i="3"/>
  <c r="AA54" i="3"/>
  <c r="Y54" i="3"/>
  <c r="W54" i="3"/>
  <c r="U54" i="3"/>
  <c r="S54" i="3"/>
  <c r="Q54" i="3"/>
  <c r="O54" i="3"/>
  <c r="M54" i="3"/>
  <c r="K54" i="3"/>
  <c r="I54" i="3"/>
  <c r="G54" i="3"/>
  <c r="E54" i="3"/>
  <c r="C54" i="3"/>
  <c r="AG53" i="3"/>
  <c r="AB53" i="3"/>
  <c r="AA53" i="3"/>
  <c r="Y53" i="3"/>
  <c r="W53" i="3"/>
  <c r="U53" i="3"/>
  <c r="S53" i="3"/>
  <c r="Q53" i="3"/>
  <c r="O53" i="3"/>
  <c r="M53" i="3"/>
  <c r="K53" i="3"/>
  <c r="I53" i="3"/>
  <c r="G53" i="3"/>
  <c r="E53" i="3"/>
  <c r="C53" i="3"/>
  <c r="Z52" i="3"/>
  <c r="AA52" i="3" s="1"/>
  <c r="X52" i="3"/>
  <c r="V52" i="3"/>
  <c r="W52" i="3" s="1"/>
  <c r="T52" i="3"/>
  <c r="U52" i="3" s="1"/>
  <c r="R52" i="3"/>
  <c r="P52" i="3"/>
  <c r="Q52" i="3" s="1"/>
  <c r="N52" i="3"/>
  <c r="O52" i="3" s="1"/>
  <c r="L52" i="3"/>
  <c r="M52" i="3" s="1"/>
  <c r="J52" i="3"/>
  <c r="H52" i="3"/>
  <c r="I52" i="3" s="1"/>
  <c r="F52" i="3"/>
  <c r="G52" i="3" s="1"/>
  <c r="D52" i="3"/>
  <c r="E52" i="3" s="1"/>
  <c r="B52" i="3"/>
  <c r="C52" i="3" s="1"/>
  <c r="AG51" i="3"/>
  <c r="AB51" i="3"/>
  <c r="AA51" i="3"/>
  <c r="Y51" i="3"/>
  <c r="W51" i="3"/>
  <c r="U51" i="3"/>
  <c r="S51" i="3"/>
  <c r="Q51" i="3"/>
  <c r="O51" i="3"/>
  <c r="M51" i="3"/>
  <c r="K51" i="3"/>
  <c r="I51" i="3"/>
  <c r="G51" i="3"/>
  <c r="E51" i="3"/>
  <c r="C51" i="3"/>
  <c r="AG50" i="3"/>
  <c r="AB50" i="3"/>
  <c r="AA50" i="3"/>
  <c r="Y50" i="3"/>
  <c r="W50" i="3"/>
  <c r="U50" i="3"/>
  <c r="S50" i="3"/>
  <c r="Q50" i="3"/>
  <c r="O50" i="3"/>
  <c r="M50" i="3"/>
  <c r="K50" i="3"/>
  <c r="I50" i="3"/>
  <c r="G50" i="3"/>
  <c r="E50" i="3"/>
  <c r="C50" i="3"/>
  <c r="AG49" i="3"/>
  <c r="AB49" i="3"/>
  <c r="AA49" i="3"/>
  <c r="Y49" i="3"/>
  <c r="W49" i="3"/>
  <c r="U49" i="3"/>
  <c r="S49" i="3"/>
  <c r="Q49" i="3"/>
  <c r="O49" i="3"/>
  <c r="M49" i="3"/>
  <c r="K49" i="3"/>
  <c r="I49" i="3"/>
  <c r="G49" i="3"/>
  <c r="E49" i="3"/>
  <c r="C49" i="3"/>
  <c r="AG48" i="3"/>
  <c r="AB48" i="3"/>
  <c r="AA48" i="3"/>
  <c r="Y48" i="3"/>
  <c r="W48" i="3"/>
  <c r="U48" i="3"/>
  <c r="S48" i="3"/>
  <c r="Q48" i="3"/>
  <c r="O48" i="3"/>
  <c r="M48" i="3"/>
  <c r="K48" i="3"/>
  <c r="I48" i="3"/>
  <c r="G48" i="3"/>
  <c r="E48" i="3"/>
  <c r="C48" i="3"/>
  <c r="AG47" i="3"/>
  <c r="AB47" i="3"/>
  <c r="AA47" i="3"/>
  <c r="Y47" i="3"/>
  <c r="W47" i="3"/>
  <c r="U47" i="3"/>
  <c r="S47" i="3"/>
  <c r="Q47" i="3"/>
  <c r="O47" i="3"/>
  <c r="M47" i="3"/>
  <c r="K47" i="3"/>
  <c r="I47" i="3"/>
  <c r="G47" i="3"/>
  <c r="E47" i="3"/>
  <c r="C47" i="3"/>
  <c r="AG46" i="3"/>
  <c r="AB46" i="3"/>
  <c r="AA46" i="3"/>
  <c r="Y46" i="3"/>
  <c r="W46" i="3"/>
  <c r="U46" i="3"/>
  <c r="S46" i="3"/>
  <c r="Q46" i="3"/>
  <c r="O46" i="3"/>
  <c r="M46" i="3"/>
  <c r="K46" i="3"/>
  <c r="I46" i="3"/>
  <c r="G46" i="3"/>
  <c r="E46" i="3"/>
  <c r="C46" i="3"/>
  <c r="Z44" i="3"/>
  <c r="AA44" i="3" s="1"/>
  <c r="X44" i="3"/>
  <c r="V44" i="3"/>
  <c r="W44" i="3" s="1"/>
  <c r="T44" i="3"/>
  <c r="U44" i="3" s="1"/>
  <c r="R44" i="3"/>
  <c r="P44" i="3"/>
  <c r="Q44" i="3" s="1"/>
  <c r="N44" i="3"/>
  <c r="O44" i="3" s="1"/>
  <c r="L44" i="3"/>
  <c r="M44" i="3" s="1"/>
  <c r="J44" i="3"/>
  <c r="H44" i="3"/>
  <c r="I44" i="3" s="1"/>
  <c r="F44" i="3"/>
  <c r="G44" i="3" s="1"/>
  <c r="D44" i="3"/>
  <c r="E44" i="3" s="1"/>
  <c r="B44" i="3"/>
  <c r="C44" i="3" s="1"/>
  <c r="AG43" i="3"/>
  <c r="AB43" i="3"/>
  <c r="AA43" i="3"/>
  <c r="Y43" i="3"/>
  <c r="W43" i="3"/>
  <c r="U43" i="3"/>
  <c r="S43" i="3"/>
  <c r="Q43" i="3"/>
  <c r="O43" i="3"/>
  <c r="M43" i="3"/>
  <c r="K43" i="3"/>
  <c r="I43" i="3"/>
  <c r="G43" i="3"/>
  <c r="E43" i="3"/>
  <c r="C43" i="3"/>
  <c r="AG42" i="3"/>
  <c r="AB42" i="3"/>
  <c r="AA42" i="3"/>
  <c r="Y42" i="3"/>
  <c r="W42" i="3"/>
  <c r="U42" i="3"/>
  <c r="S42" i="3"/>
  <c r="Q42" i="3"/>
  <c r="O42" i="3"/>
  <c r="M42" i="3"/>
  <c r="K42" i="3"/>
  <c r="I42" i="3"/>
  <c r="G42" i="3"/>
  <c r="E42" i="3"/>
  <c r="C42" i="3"/>
  <c r="AG41" i="3"/>
  <c r="AB41" i="3"/>
  <c r="AA41" i="3"/>
  <c r="Y41" i="3"/>
  <c r="W41" i="3"/>
  <c r="U41" i="3"/>
  <c r="S41" i="3"/>
  <c r="Q41" i="3"/>
  <c r="O41" i="3"/>
  <c r="M41" i="3"/>
  <c r="K41" i="3"/>
  <c r="I41" i="3"/>
  <c r="G41" i="3"/>
  <c r="E41" i="3"/>
  <c r="C41" i="3"/>
  <c r="AG40" i="3"/>
  <c r="AB40" i="3"/>
  <c r="AA40" i="3"/>
  <c r="Y40" i="3"/>
  <c r="W40" i="3"/>
  <c r="U40" i="3"/>
  <c r="S40" i="3"/>
  <c r="Q40" i="3"/>
  <c r="O40" i="3"/>
  <c r="M40" i="3"/>
  <c r="K40" i="3"/>
  <c r="I40" i="3"/>
  <c r="G40" i="3"/>
  <c r="E40" i="3"/>
  <c r="C40" i="3"/>
  <c r="AG39" i="3"/>
  <c r="AB39" i="3"/>
  <c r="AA39" i="3"/>
  <c r="Y39" i="3"/>
  <c r="W39" i="3"/>
  <c r="U39" i="3"/>
  <c r="S39" i="3"/>
  <c r="Q39" i="3"/>
  <c r="O39" i="3"/>
  <c r="M39" i="3"/>
  <c r="K39" i="3"/>
  <c r="I39" i="3"/>
  <c r="G39" i="3"/>
  <c r="E39" i="3"/>
  <c r="C39" i="3"/>
  <c r="AG37" i="3"/>
  <c r="AB37" i="3"/>
  <c r="AA37" i="3"/>
  <c r="Y37" i="3"/>
  <c r="W37" i="3"/>
  <c r="U37" i="3"/>
  <c r="S37" i="3"/>
  <c r="Q37" i="3"/>
  <c r="O37" i="3"/>
  <c r="M37" i="3"/>
  <c r="K37" i="3"/>
  <c r="I37" i="3"/>
  <c r="G37" i="3"/>
  <c r="E37" i="3"/>
  <c r="C37" i="3"/>
  <c r="Z35" i="3"/>
  <c r="AA35" i="3" s="1"/>
  <c r="X35" i="3"/>
  <c r="V35" i="3"/>
  <c r="W35" i="3" s="1"/>
  <c r="T35" i="3"/>
  <c r="U35" i="3" s="1"/>
  <c r="R35" i="3"/>
  <c r="P35" i="3"/>
  <c r="Q35" i="3" s="1"/>
  <c r="N35" i="3"/>
  <c r="O35" i="3" s="1"/>
  <c r="L35" i="3"/>
  <c r="M35" i="3" s="1"/>
  <c r="J35" i="3"/>
  <c r="H35" i="3"/>
  <c r="I35" i="3" s="1"/>
  <c r="F35" i="3"/>
  <c r="G35" i="3" s="1"/>
  <c r="D35" i="3"/>
  <c r="E35" i="3" s="1"/>
  <c r="B35" i="3"/>
  <c r="C35" i="3" s="1"/>
  <c r="Z34" i="3"/>
  <c r="AA34" i="3" s="1"/>
  <c r="X34" i="3"/>
  <c r="V34" i="3"/>
  <c r="W34" i="3" s="1"/>
  <c r="T34" i="3"/>
  <c r="U34" i="3" s="1"/>
  <c r="R34" i="3"/>
  <c r="P34" i="3"/>
  <c r="Q34" i="3" s="1"/>
  <c r="N34" i="3"/>
  <c r="O34" i="3" s="1"/>
  <c r="L34" i="3"/>
  <c r="M34" i="3" s="1"/>
  <c r="J34" i="3"/>
  <c r="H34" i="3"/>
  <c r="I34" i="3" s="1"/>
  <c r="F34" i="3"/>
  <c r="G34" i="3" s="1"/>
  <c r="D34" i="3"/>
  <c r="E34" i="3" s="1"/>
  <c r="B34" i="3"/>
  <c r="C34" i="3" s="1"/>
  <c r="AG33" i="3"/>
  <c r="AB33" i="3"/>
  <c r="AA33" i="3"/>
  <c r="Y33" i="3"/>
  <c r="W33" i="3"/>
  <c r="U33" i="3"/>
  <c r="S33" i="3"/>
  <c r="Q33" i="3"/>
  <c r="O33" i="3"/>
  <c r="M33" i="3"/>
  <c r="K33" i="3"/>
  <c r="I33" i="3"/>
  <c r="G33" i="3"/>
  <c r="E33" i="3"/>
  <c r="C33" i="3"/>
  <c r="AG32" i="3"/>
  <c r="AB32" i="3"/>
  <c r="AA32" i="3"/>
  <c r="Y32" i="3"/>
  <c r="W32" i="3"/>
  <c r="U32" i="3"/>
  <c r="S32" i="3"/>
  <c r="Q32" i="3"/>
  <c r="O32" i="3"/>
  <c r="M32" i="3"/>
  <c r="K32" i="3"/>
  <c r="I32" i="3"/>
  <c r="G32" i="3"/>
  <c r="E32" i="3"/>
  <c r="C32" i="3"/>
  <c r="AG31" i="3"/>
  <c r="AB31" i="3"/>
  <c r="AA31" i="3"/>
  <c r="Y31" i="3"/>
  <c r="W31" i="3"/>
  <c r="U31" i="3"/>
  <c r="S31" i="3"/>
  <c r="Q31" i="3"/>
  <c r="O31" i="3"/>
  <c r="M31" i="3"/>
  <c r="K31" i="3"/>
  <c r="I31" i="3"/>
  <c r="G31" i="3"/>
  <c r="E31" i="3"/>
  <c r="C31" i="3"/>
  <c r="AG30" i="3"/>
  <c r="AB30" i="3"/>
  <c r="AA30" i="3"/>
  <c r="Y30" i="3"/>
  <c r="W30" i="3"/>
  <c r="U30" i="3"/>
  <c r="S30" i="3"/>
  <c r="Q30" i="3"/>
  <c r="O30" i="3"/>
  <c r="M30" i="3"/>
  <c r="K30" i="3"/>
  <c r="I30" i="3"/>
  <c r="G30" i="3"/>
  <c r="E30" i="3"/>
  <c r="C30" i="3"/>
  <c r="AG29" i="3"/>
  <c r="AB29" i="3"/>
  <c r="AA29" i="3"/>
  <c r="Y29" i="3"/>
  <c r="W29" i="3"/>
  <c r="U29" i="3"/>
  <c r="S29" i="3"/>
  <c r="Q29" i="3"/>
  <c r="O29" i="3"/>
  <c r="M29" i="3"/>
  <c r="K29" i="3"/>
  <c r="I29" i="3"/>
  <c r="G29" i="3"/>
  <c r="E29" i="3"/>
  <c r="C29" i="3"/>
  <c r="Z27" i="3"/>
  <c r="AA27" i="3" s="1"/>
  <c r="X27" i="3"/>
  <c r="V27" i="3"/>
  <c r="W27" i="3" s="1"/>
  <c r="T27" i="3"/>
  <c r="U27" i="3" s="1"/>
  <c r="R27" i="3"/>
  <c r="P27" i="3"/>
  <c r="Q27" i="3" s="1"/>
  <c r="N27" i="3"/>
  <c r="O27" i="3" s="1"/>
  <c r="L27" i="3"/>
  <c r="M27" i="3" s="1"/>
  <c r="J27" i="3"/>
  <c r="H27" i="3"/>
  <c r="I27" i="3" s="1"/>
  <c r="F27" i="3"/>
  <c r="G27" i="3" s="1"/>
  <c r="D27" i="3"/>
  <c r="E27" i="3" s="1"/>
  <c r="B27" i="3"/>
  <c r="C27" i="3" s="1"/>
  <c r="AG26" i="3"/>
  <c r="AB26" i="3"/>
  <c r="AA26" i="3"/>
  <c r="Y26" i="3"/>
  <c r="W26" i="3"/>
  <c r="U26" i="3"/>
  <c r="S26" i="3"/>
  <c r="Q26" i="3"/>
  <c r="O26" i="3"/>
  <c r="M26" i="3"/>
  <c r="K26" i="3"/>
  <c r="I26" i="3"/>
  <c r="G26" i="3"/>
  <c r="E26" i="3"/>
  <c r="C26" i="3"/>
  <c r="AG25" i="3"/>
  <c r="AB25" i="3"/>
  <c r="AA25" i="3"/>
  <c r="Y25" i="3"/>
  <c r="W25" i="3"/>
  <c r="U25" i="3"/>
  <c r="S25" i="3"/>
  <c r="Q25" i="3"/>
  <c r="O25" i="3"/>
  <c r="M25" i="3"/>
  <c r="K25" i="3"/>
  <c r="I25" i="3"/>
  <c r="G25" i="3"/>
  <c r="E25" i="3"/>
  <c r="C25" i="3"/>
  <c r="AG24" i="3"/>
  <c r="AB24" i="3"/>
  <c r="AA24" i="3"/>
  <c r="Y24" i="3"/>
  <c r="W24" i="3"/>
  <c r="U24" i="3"/>
  <c r="S24" i="3"/>
  <c r="Q24" i="3"/>
  <c r="O24" i="3"/>
  <c r="M24" i="3"/>
  <c r="K24" i="3"/>
  <c r="I24" i="3"/>
  <c r="G24" i="3"/>
  <c r="E24" i="3"/>
  <c r="C24" i="3"/>
  <c r="AG23" i="3"/>
  <c r="AB23" i="3"/>
  <c r="AA23" i="3"/>
  <c r="Y23" i="3"/>
  <c r="W23" i="3"/>
  <c r="U23" i="3"/>
  <c r="S23" i="3"/>
  <c r="Q23" i="3"/>
  <c r="O23" i="3"/>
  <c r="M23" i="3"/>
  <c r="K23" i="3"/>
  <c r="I23" i="3"/>
  <c r="G23" i="3"/>
  <c r="E23" i="3"/>
  <c r="C23" i="3"/>
  <c r="AG22" i="3"/>
  <c r="AB22" i="3"/>
  <c r="AA22" i="3"/>
  <c r="Y22" i="3"/>
  <c r="W22" i="3"/>
  <c r="U22" i="3"/>
  <c r="S22" i="3"/>
  <c r="Q22" i="3"/>
  <c r="O22" i="3"/>
  <c r="M22" i="3"/>
  <c r="K22" i="3"/>
  <c r="I22" i="3"/>
  <c r="G22" i="3"/>
  <c r="E22" i="3"/>
  <c r="C22" i="3"/>
  <c r="AG21" i="3"/>
  <c r="AB21" i="3"/>
  <c r="AA21" i="3"/>
  <c r="Y21" i="3"/>
  <c r="W21" i="3"/>
  <c r="U21" i="3"/>
  <c r="S21" i="3"/>
  <c r="Q21" i="3"/>
  <c r="O21" i="3"/>
  <c r="M21" i="3"/>
  <c r="K21" i="3"/>
  <c r="I21" i="3"/>
  <c r="G21" i="3"/>
  <c r="E21" i="3"/>
  <c r="C21" i="3"/>
  <c r="AG20" i="3"/>
  <c r="AB20" i="3"/>
  <c r="AA20" i="3"/>
  <c r="Y20" i="3"/>
  <c r="W20" i="3"/>
  <c r="U20" i="3"/>
  <c r="S20" i="3"/>
  <c r="Q20" i="3"/>
  <c r="O20" i="3"/>
  <c r="M20" i="3"/>
  <c r="K20" i="3"/>
  <c r="I20" i="3"/>
  <c r="G20" i="3"/>
  <c r="E20" i="3"/>
  <c r="C20" i="3"/>
  <c r="AG19" i="3"/>
  <c r="AB19" i="3"/>
  <c r="AA19" i="3"/>
  <c r="Y19" i="3"/>
  <c r="W19" i="3"/>
  <c r="U19" i="3"/>
  <c r="S19" i="3"/>
  <c r="Q19" i="3"/>
  <c r="O19" i="3"/>
  <c r="M19" i="3"/>
  <c r="K19" i="3"/>
  <c r="I19" i="3"/>
  <c r="G19" i="3"/>
  <c r="E19" i="3"/>
  <c r="C19" i="3"/>
  <c r="AG18" i="3"/>
  <c r="AB18" i="3"/>
  <c r="AA18" i="3"/>
  <c r="Y18" i="3"/>
  <c r="W18" i="3"/>
  <c r="U18" i="3"/>
  <c r="S18" i="3"/>
  <c r="Q18" i="3"/>
  <c r="O18" i="3"/>
  <c r="M18" i="3"/>
  <c r="K18" i="3"/>
  <c r="I18" i="3"/>
  <c r="G18" i="3"/>
  <c r="E18" i="3"/>
  <c r="C18" i="3"/>
  <c r="AG17" i="3"/>
  <c r="AB17" i="3"/>
  <c r="AA17" i="3"/>
  <c r="Y17" i="3"/>
  <c r="W17" i="3"/>
  <c r="U17" i="3"/>
  <c r="S17" i="3"/>
  <c r="Q17" i="3"/>
  <c r="O17" i="3"/>
  <c r="M17" i="3"/>
  <c r="K17" i="3"/>
  <c r="I17" i="3"/>
  <c r="G17" i="3"/>
  <c r="E17" i="3"/>
  <c r="C17" i="3"/>
  <c r="AG16" i="3"/>
  <c r="AB16" i="3"/>
  <c r="AA16" i="3"/>
  <c r="Y16" i="3"/>
  <c r="W16" i="3"/>
  <c r="U16" i="3"/>
  <c r="S16" i="3"/>
  <c r="Q16" i="3"/>
  <c r="O16" i="3"/>
  <c r="M16" i="3"/>
  <c r="K16" i="3"/>
  <c r="I16" i="3"/>
  <c r="G16" i="3"/>
  <c r="E16" i="3"/>
  <c r="C16" i="3"/>
  <c r="AG15" i="3"/>
  <c r="AB15" i="3"/>
  <c r="AA15" i="3"/>
  <c r="Y15" i="3"/>
  <c r="W15" i="3"/>
  <c r="U15" i="3"/>
  <c r="S15" i="3"/>
  <c r="Q15" i="3"/>
  <c r="O15" i="3"/>
  <c r="M15" i="3"/>
  <c r="K15" i="3"/>
  <c r="I15" i="3"/>
  <c r="G15" i="3"/>
  <c r="E15" i="3"/>
  <c r="C15" i="3"/>
  <c r="AG13" i="3"/>
  <c r="AB13" i="3"/>
  <c r="AA13" i="3"/>
  <c r="Y13" i="3"/>
  <c r="W13" i="3"/>
  <c r="U13" i="3"/>
  <c r="S13" i="3"/>
  <c r="Q13" i="3"/>
  <c r="O13" i="3"/>
  <c r="M13" i="3"/>
  <c r="K13" i="3"/>
  <c r="I13" i="3"/>
  <c r="G13" i="3"/>
  <c r="E13" i="3"/>
  <c r="C13" i="3"/>
  <c r="Z9" i="3"/>
  <c r="X9" i="3"/>
  <c r="V9" i="3"/>
  <c r="T9" i="3"/>
  <c r="R9" i="3"/>
  <c r="P9" i="3"/>
  <c r="N9" i="3"/>
  <c r="L9" i="3"/>
  <c r="J9" i="3"/>
  <c r="H9" i="3"/>
  <c r="F9" i="3"/>
  <c r="D9" i="3"/>
  <c r="B9" i="3"/>
  <c r="AG8" i="3"/>
  <c r="AB8" i="3"/>
  <c r="AA8" i="3"/>
  <c r="Y8" i="3"/>
  <c r="W8" i="3"/>
  <c r="U8" i="3"/>
  <c r="S8" i="3"/>
  <c r="Q8" i="3"/>
  <c r="O8" i="3"/>
  <c r="M8" i="3"/>
  <c r="K8" i="3"/>
  <c r="I8" i="3"/>
  <c r="G8" i="3"/>
  <c r="E8" i="3"/>
  <c r="C8" i="3"/>
  <c r="AG7" i="3"/>
  <c r="AB7" i="3"/>
  <c r="AA7" i="3"/>
  <c r="Y7" i="3"/>
  <c r="W7" i="3"/>
  <c r="U7" i="3"/>
  <c r="S7" i="3"/>
  <c r="Q7" i="3"/>
  <c r="O7" i="3"/>
  <c r="M7" i="3"/>
  <c r="K7" i="3"/>
  <c r="I7" i="3"/>
  <c r="G7" i="3"/>
  <c r="E7" i="3"/>
  <c r="C7" i="3"/>
  <c r="AG148" i="2"/>
  <c r="AB148" i="2"/>
  <c r="Z145" i="2"/>
  <c r="AA145" i="2" s="1"/>
  <c r="X145" i="2"/>
  <c r="V145" i="2"/>
  <c r="W145" i="2" s="1"/>
  <c r="T145" i="2"/>
  <c r="U145" i="2" s="1"/>
  <c r="R145" i="2"/>
  <c r="P145" i="2"/>
  <c r="Q145" i="2" s="1"/>
  <c r="N145" i="2"/>
  <c r="O145" i="2" s="1"/>
  <c r="L145" i="2"/>
  <c r="M145" i="2" s="1"/>
  <c r="J145" i="2"/>
  <c r="H145" i="2"/>
  <c r="I145" i="2" s="1"/>
  <c r="F145" i="2"/>
  <c r="G145" i="2" s="1"/>
  <c r="D145" i="2"/>
  <c r="E145" i="2" s="1"/>
  <c r="B145" i="2"/>
  <c r="C145" i="2" s="1"/>
  <c r="AG144" i="2"/>
  <c r="AB144" i="2"/>
  <c r="AA144" i="2"/>
  <c r="Y144" i="2"/>
  <c r="W144" i="2"/>
  <c r="U144" i="2"/>
  <c r="S144" i="2"/>
  <c r="Q144" i="2"/>
  <c r="O144" i="2"/>
  <c r="M144" i="2"/>
  <c r="K144" i="2"/>
  <c r="I144" i="2"/>
  <c r="G144" i="2"/>
  <c r="E144" i="2"/>
  <c r="C144" i="2"/>
  <c r="Z141" i="2"/>
  <c r="AA141" i="2" s="1"/>
  <c r="X141" i="2"/>
  <c r="V141" i="2"/>
  <c r="W141" i="2" s="1"/>
  <c r="T141" i="2"/>
  <c r="U141" i="2" s="1"/>
  <c r="R141" i="2"/>
  <c r="P141" i="2"/>
  <c r="Q141" i="2" s="1"/>
  <c r="N141" i="2"/>
  <c r="O141" i="2" s="1"/>
  <c r="L141" i="2"/>
  <c r="M141" i="2" s="1"/>
  <c r="J141" i="2"/>
  <c r="H141" i="2"/>
  <c r="I141" i="2" s="1"/>
  <c r="F141" i="2"/>
  <c r="G141" i="2" s="1"/>
  <c r="D141" i="2"/>
  <c r="E141" i="2" s="1"/>
  <c r="B141" i="2"/>
  <c r="C141" i="2" s="1"/>
  <c r="AG140" i="2"/>
  <c r="AB140" i="2"/>
  <c r="AA140" i="2"/>
  <c r="Y140" i="2"/>
  <c r="W140" i="2"/>
  <c r="U140" i="2"/>
  <c r="S140" i="2"/>
  <c r="Q140" i="2"/>
  <c r="O140" i="2"/>
  <c r="M140" i="2"/>
  <c r="K140" i="2"/>
  <c r="I140" i="2"/>
  <c r="G140" i="2"/>
  <c r="E140" i="2"/>
  <c r="C140" i="2"/>
  <c r="Z135" i="2"/>
  <c r="AA135" i="2" s="1"/>
  <c r="X135" i="2"/>
  <c r="V135" i="2"/>
  <c r="W135" i="2" s="1"/>
  <c r="T135" i="2"/>
  <c r="U135" i="2" s="1"/>
  <c r="R135" i="2"/>
  <c r="P135" i="2"/>
  <c r="Q135" i="2" s="1"/>
  <c r="N135" i="2"/>
  <c r="O135" i="2" s="1"/>
  <c r="L135" i="2"/>
  <c r="M135" i="2" s="1"/>
  <c r="J135" i="2"/>
  <c r="H135" i="2"/>
  <c r="I135" i="2" s="1"/>
  <c r="F135" i="2"/>
  <c r="G135" i="2" s="1"/>
  <c r="D135" i="2"/>
  <c r="E135" i="2" s="1"/>
  <c r="B135" i="2"/>
  <c r="C135" i="2" s="1"/>
  <c r="AG134" i="2"/>
  <c r="AB134" i="2"/>
  <c r="AA134" i="2"/>
  <c r="Y134" i="2"/>
  <c r="W134" i="2"/>
  <c r="U134" i="2"/>
  <c r="S134" i="2"/>
  <c r="Q134" i="2"/>
  <c r="O134" i="2"/>
  <c r="M134" i="2"/>
  <c r="K134" i="2"/>
  <c r="I134" i="2"/>
  <c r="G134" i="2"/>
  <c r="E134" i="2"/>
  <c r="C134" i="2"/>
  <c r="AG133" i="2"/>
  <c r="AB133" i="2"/>
  <c r="AA133" i="2"/>
  <c r="Y133" i="2"/>
  <c r="W133" i="2"/>
  <c r="U133" i="2"/>
  <c r="S133" i="2"/>
  <c r="Q133" i="2"/>
  <c r="O133" i="2"/>
  <c r="M133" i="2"/>
  <c r="K133" i="2"/>
  <c r="I133" i="2"/>
  <c r="G133" i="2"/>
  <c r="E133" i="2"/>
  <c r="C133" i="2"/>
  <c r="AG132" i="2"/>
  <c r="AB132" i="2"/>
  <c r="AA132" i="2"/>
  <c r="Y132" i="2"/>
  <c r="W132" i="2"/>
  <c r="U132" i="2"/>
  <c r="S132" i="2"/>
  <c r="Q132" i="2"/>
  <c r="O132" i="2"/>
  <c r="M132" i="2"/>
  <c r="K132" i="2"/>
  <c r="I132" i="2"/>
  <c r="G132" i="2"/>
  <c r="E132" i="2"/>
  <c r="C132" i="2"/>
  <c r="AG131" i="2"/>
  <c r="AB131" i="2"/>
  <c r="AA131" i="2"/>
  <c r="Y131" i="2"/>
  <c r="W131" i="2"/>
  <c r="U131" i="2"/>
  <c r="S131" i="2"/>
  <c r="Q131" i="2"/>
  <c r="O131" i="2"/>
  <c r="M131" i="2"/>
  <c r="K131" i="2"/>
  <c r="I131" i="2"/>
  <c r="G131" i="2"/>
  <c r="E131" i="2"/>
  <c r="C131" i="2"/>
  <c r="AG130" i="2"/>
  <c r="AB130" i="2"/>
  <c r="AA130" i="2"/>
  <c r="Y130" i="2"/>
  <c r="W130" i="2"/>
  <c r="U130" i="2"/>
  <c r="S130" i="2"/>
  <c r="Q130" i="2"/>
  <c r="O130" i="2"/>
  <c r="M130" i="2"/>
  <c r="K130" i="2"/>
  <c r="I130" i="2"/>
  <c r="G130" i="2"/>
  <c r="E130" i="2"/>
  <c r="C130" i="2"/>
  <c r="AG129" i="2"/>
  <c r="AB129" i="2"/>
  <c r="AA129" i="2"/>
  <c r="Y129" i="2"/>
  <c r="W129" i="2"/>
  <c r="U129" i="2"/>
  <c r="S129" i="2"/>
  <c r="Q129" i="2"/>
  <c r="O129" i="2"/>
  <c r="M129" i="2"/>
  <c r="K129" i="2"/>
  <c r="I129" i="2"/>
  <c r="G129" i="2"/>
  <c r="E129" i="2"/>
  <c r="C129" i="2"/>
  <c r="AG128" i="2"/>
  <c r="AB128" i="2"/>
  <c r="AA128" i="2"/>
  <c r="Y128" i="2"/>
  <c r="W128" i="2"/>
  <c r="U128" i="2"/>
  <c r="S128" i="2"/>
  <c r="Q128" i="2"/>
  <c r="O128" i="2"/>
  <c r="M128" i="2"/>
  <c r="K128" i="2"/>
  <c r="I128" i="2"/>
  <c r="G128" i="2"/>
  <c r="E128" i="2"/>
  <c r="C128" i="2"/>
  <c r="AG127" i="2"/>
  <c r="AB127" i="2"/>
  <c r="AA127" i="2"/>
  <c r="Y127" i="2"/>
  <c r="W127" i="2"/>
  <c r="U127" i="2"/>
  <c r="S127" i="2"/>
  <c r="Q127" i="2"/>
  <c r="O127" i="2"/>
  <c r="M127" i="2"/>
  <c r="K127" i="2"/>
  <c r="I127" i="2"/>
  <c r="G127" i="2"/>
  <c r="E127" i="2"/>
  <c r="C127" i="2"/>
  <c r="AG126" i="2"/>
  <c r="AB126" i="2"/>
  <c r="AA126" i="2"/>
  <c r="Y126" i="2"/>
  <c r="W126" i="2"/>
  <c r="U126" i="2"/>
  <c r="S126" i="2"/>
  <c r="Q126" i="2"/>
  <c r="O126" i="2"/>
  <c r="M126" i="2"/>
  <c r="K126" i="2"/>
  <c r="I126" i="2"/>
  <c r="G126" i="2"/>
  <c r="E126" i="2"/>
  <c r="C126" i="2"/>
  <c r="AG125" i="2"/>
  <c r="AB125" i="2"/>
  <c r="AA125" i="2"/>
  <c r="Y125" i="2"/>
  <c r="W125" i="2"/>
  <c r="U125" i="2"/>
  <c r="S125" i="2"/>
  <c r="Q125" i="2"/>
  <c r="O125" i="2"/>
  <c r="M125" i="2"/>
  <c r="K125" i="2"/>
  <c r="I125" i="2"/>
  <c r="G125" i="2"/>
  <c r="E125" i="2"/>
  <c r="C125" i="2"/>
  <c r="AG124" i="2"/>
  <c r="AB124" i="2"/>
  <c r="AA124" i="2"/>
  <c r="Y124" i="2"/>
  <c r="W124" i="2"/>
  <c r="U124" i="2"/>
  <c r="S124" i="2"/>
  <c r="Q124" i="2"/>
  <c r="O124" i="2"/>
  <c r="M124" i="2"/>
  <c r="K124" i="2"/>
  <c r="I124" i="2"/>
  <c r="G124" i="2"/>
  <c r="E124" i="2"/>
  <c r="C124" i="2"/>
  <c r="AG123" i="2"/>
  <c r="AB123" i="2"/>
  <c r="AA123" i="2"/>
  <c r="Y123" i="2"/>
  <c r="W123" i="2"/>
  <c r="U123" i="2"/>
  <c r="S123" i="2"/>
  <c r="Q123" i="2"/>
  <c r="O123" i="2"/>
  <c r="M123" i="2"/>
  <c r="K123" i="2"/>
  <c r="I123" i="2"/>
  <c r="G123" i="2"/>
  <c r="E123" i="2"/>
  <c r="C123" i="2"/>
  <c r="AG122" i="2"/>
  <c r="AB122" i="2"/>
  <c r="AA122" i="2"/>
  <c r="Y122" i="2"/>
  <c r="W122" i="2"/>
  <c r="U122" i="2"/>
  <c r="S122" i="2"/>
  <c r="Q122" i="2"/>
  <c r="O122" i="2"/>
  <c r="M122" i="2"/>
  <c r="K122" i="2"/>
  <c r="I122" i="2"/>
  <c r="G122" i="2"/>
  <c r="E122" i="2"/>
  <c r="C122" i="2"/>
  <c r="AG121" i="2"/>
  <c r="AB121" i="2"/>
  <c r="AA121" i="2"/>
  <c r="Y121" i="2"/>
  <c r="W121" i="2"/>
  <c r="U121" i="2"/>
  <c r="S121" i="2"/>
  <c r="Q121" i="2"/>
  <c r="O121" i="2"/>
  <c r="M121" i="2"/>
  <c r="K121" i="2"/>
  <c r="I121" i="2"/>
  <c r="G121" i="2"/>
  <c r="E121" i="2"/>
  <c r="C121" i="2"/>
  <c r="AG120" i="2"/>
  <c r="AB120" i="2"/>
  <c r="AA120" i="2"/>
  <c r="Y120" i="2"/>
  <c r="W120" i="2"/>
  <c r="U120" i="2"/>
  <c r="S120" i="2"/>
  <c r="Q120" i="2"/>
  <c r="O120" i="2"/>
  <c r="M120" i="2"/>
  <c r="K120" i="2"/>
  <c r="I120" i="2"/>
  <c r="G120" i="2"/>
  <c r="E120" i="2"/>
  <c r="C120" i="2"/>
  <c r="AG119" i="2"/>
  <c r="AB119" i="2"/>
  <c r="AA119" i="2"/>
  <c r="Y119" i="2"/>
  <c r="W119" i="2"/>
  <c r="U119" i="2"/>
  <c r="S119" i="2"/>
  <c r="Q119" i="2"/>
  <c r="O119" i="2"/>
  <c r="M119" i="2"/>
  <c r="K119" i="2"/>
  <c r="I119" i="2"/>
  <c r="G119" i="2"/>
  <c r="E119" i="2"/>
  <c r="C119" i="2"/>
  <c r="AG118" i="2"/>
  <c r="AB118" i="2"/>
  <c r="AA118" i="2"/>
  <c r="Y118" i="2"/>
  <c r="W118" i="2"/>
  <c r="U118" i="2"/>
  <c r="S118" i="2"/>
  <c r="Q118" i="2"/>
  <c r="O118" i="2"/>
  <c r="M118" i="2"/>
  <c r="K118" i="2"/>
  <c r="I118" i="2"/>
  <c r="G118" i="2"/>
  <c r="E118" i="2"/>
  <c r="C118" i="2"/>
  <c r="AG117" i="2"/>
  <c r="AB117" i="2"/>
  <c r="AA117" i="2"/>
  <c r="Y117" i="2"/>
  <c r="W117" i="2"/>
  <c r="U117" i="2"/>
  <c r="S117" i="2"/>
  <c r="Q117" i="2"/>
  <c r="O117" i="2"/>
  <c r="M117" i="2"/>
  <c r="K117" i="2"/>
  <c r="I117" i="2"/>
  <c r="G117" i="2"/>
  <c r="E117" i="2"/>
  <c r="C117" i="2"/>
  <c r="AG116" i="2"/>
  <c r="AB116" i="2"/>
  <c r="AA116" i="2"/>
  <c r="Y116" i="2"/>
  <c r="W116" i="2"/>
  <c r="U116" i="2"/>
  <c r="S116" i="2"/>
  <c r="Q116" i="2"/>
  <c r="O116" i="2"/>
  <c r="M116" i="2"/>
  <c r="K116" i="2"/>
  <c r="I116" i="2"/>
  <c r="G116" i="2"/>
  <c r="E116" i="2"/>
  <c r="C116" i="2"/>
  <c r="AG115" i="2"/>
  <c r="AB115" i="2"/>
  <c r="AA115" i="2"/>
  <c r="Y115" i="2"/>
  <c r="W115" i="2"/>
  <c r="U115" i="2"/>
  <c r="S115" i="2"/>
  <c r="Q115" i="2"/>
  <c r="O115" i="2"/>
  <c r="M115" i="2"/>
  <c r="K115" i="2"/>
  <c r="I115" i="2"/>
  <c r="G115" i="2"/>
  <c r="E115" i="2"/>
  <c r="C115" i="2"/>
  <c r="AG114" i="2"/>
  <c r="AB114" i="2"/>
  <c r="AA114" i="2"/>
  <c r="Y114" i="2"/>
  <c r="W114" i="2"/>
  <c r="U114" i="2"/>
  <c r="S114" i="2"/>
  <c r="Q114" i="2"/>
  <c r="O114" i="2"/>
  <c r="M114" i="2"/>
  <c r="K114" i="2"/>
  <c r="I114" i="2"/>
  <c r="G114" i="2"/>
  <c r="E114" i="2"/>
  <c r="C114" i="2"/>
  <c r="AG113" i="2"/>
  <c r="AB113" i="2"/>
  <c r="AA113" i="2"/>
  <c r="Y113" i="2"/>
  <c r="W113" i="2"/>
  <c r="U113" i="2"/>
  <c r="S113" i="2"/>
  <c r="Q113" i="2"/>
  <c r="O113" i="2"/>
  <c r="M113" i="2"/>
  <c r="K113" i="2"/>
  <c r="I113" i="2"/>
  <c r="G113" i="2"/>
  <c r="E113" i="2"/>
  <c r="C113" i="2"/>
  <c r="AG112" i="2"/>
  <c r="AB112" i="2"/>
  <c r="AA112" i="2"/>
  <c r="Y112" i="2"/>
  <c r="W112" i="2"/>
  <c r="U112" i="2"/>
  <c r="S112" i="2"/>
  <c r="Q112" i="2"/>
  <c r="O112" i="2"/>
  <c r="M112" i="2"/>
  <c r="K112" i="2"/>
  <c r="I112" i="2"/>
  <c r="G112" i="2"/>
  <c r="E112" i="2"/>
  <c r="C112" i="2"/>
  <c r="AG111" i="2"/>
  <c r="AB111" i="2"/>
  <c r="AA111" i="2"/>
  <c r="Y111" i="2"/>
  <c r="W111" i="2"/>
  <c r="U111" i="2"/>
  <c r="S111" i="2"/>
  <c r="Q111" i="2"/>
  <c r="O111" i="2"/>
  <c r="M111" i="2"/>
  <c r="K111" i="2"/>
  <c r="I111" i="2"/>
  <c r="G111" i="2"/>
  <c r="E111" i="2"/>
  <c r="C111" i="2"/>
  <c r="AG110" i="2"/>
  <c r="AB110" i="2"/>
  <c r="AA110" i="2"/>
  <c r="Y110" i="2"/>
  <c r="W110" i="2"/>
  <c r="U110" i="2"/>
  <c r="S110" i="2"/>
  <c r="Q110" i="2"/>
  <c r="O110" i="2"/>
  <c r="M110" i="2"/>
  <c r="K110" i="2"/>
  <c r="I110" i="2"/>
  <c r="G110" i="2"/>
  <c r="E110" i="2"/>
  <c r="C110" i="2"/>
  <c r="Z105" i="2"/>
  <c r="AA105" i="2" s="1"/>
  <c r="X105" i="2"/>
  <c r="V105" i="2"/>
  <c r="W105" i="2" s="1"/>
  <c r="T105" i="2"/>
  <c r="U105" i="2" s="1"/>
  <c r="R105" i="2"/>
  <c r="P105" i="2"/>
  <c r="Q105" i="2" s="1"/>
  <c r="N105" i="2"/>
  <c r="O105" i="2" s="1"/>
  <c r="L105" i="2"/>
  <c r="M105" i="2" s="1"/>
  <c r="J105" i="2"/>
  <c r="H105" i="2"/>
  <c r="I105" i="2" s="1"/>
  <c r="F105" i="2"/>
  <c r="G105" i="2" s="1"/>
  <c r="D105" i="2"/>
  <c r="E105" i="2" s="1"/>
  <c r="B105" i="2"/>
  <c r="C105" i="2" s="1"/>
  <c r="AG104" i="2"/>
  <c r="AB104" i="2"/>
  <c r="AA104" i="2"/>
  <c r="Y104" i="2"/>
  <c r="W104" i="2"/>
  <c r="U104" i="2"/>
  <c r="S104" i="2"/>
  <c r="Q104" i="2"/>
  <c r="O104" i="2"/>
  <c r="M104" i="2"/>
  <c r="K104" i="2"/>
  <c r="I104" i="2"/>
  <c r="G104" i="2"/>
  <c r="E104" i="2"/>
  <c r="C104" i="2"/>
  <c r="Z99" i="2"/>
  <c r="AA99" i="2" s="1"/>
  <c r="X99" i="2"/>
  <c r="V99" i="2"/>
  <c r="W99" i="2" s="1"/>
  <c r="T99" i="2"/>
  <c r="U99" i="2" s="1"/>
  <c r="R99" i="2"/>
  <c r="P99" i="2"/>
  <c r="Q99" i="2" s="1"/>
  <c r="N99" i="2"/>
  <c r="O99" i="2" s="1"/>
  <c r="L99" i="2"/>
  <c r="M99" i="2" s="1"/>
  <c r="J99" i="2"/>
  <c r="H99" i="2"/>
  <c r="I99" i="2" s="1"/>
  <c r="F99" i="2"/>
  <c r="G99" i="2" s="1"/>
  <c r="D99" i="2"/>
  <c r="E99" i="2" s="1"/>
  <c r="B99" i="2"/>
  <c r="C99" i="2" s="1"/>
  <c r="AG98" i="2"/>
  <c r="AB98" i="2"/>
  <c r="AA98" i="2"/>
  <c r="Y98" i="2"/>
  <c r="W98" i="2"/>
  <c r="U98" i="2"/>
  <c r="S98" i="2"/>
  <c r="Q98" i="2"/>
  <c r="O98" i="2"/>
  <c r="M98" i="2"/>
  <c r="K98" i="2"/>
  <c r="I98" i="2"/>
  <c r="G98" i="2"/>
  <c r="E98" i="2"/>
  <c r="C98" i="2"/>
  <c r="AG97" i="2"/>
  <c r="AB97" i="2"/>
  <c r="AA97" i="2"/>
  <c r="Y97" i="2"/>
  <c r="W97" i="2"/>
  <c r="U97" i="2"/>
  <c r="S97" i="2"/>
  <c r="Q97" i="2"/>
  <c r="O97" i="2"/>
  <c r="M97" i="2"/>
  <c r="K97" i="2"/>
  <c r="I97" i="2"/>
  <c r="G97" i="2"/>
  <c r="E97" i="2"/>
  <c r="C97" i="2"/>
  <c r="AG96" i="2"/>
  <c r="AB96" i="2"/>
  <c r="AA96" i="2"/>
  <c r="Y96" i="2"/>
  <c r="W96" i="2"/>
  <c r="U96" i="2"/>
  <c r="S96" i="2"/>
  <c r="Q96" i="2"/>
  <c r="O96" i="2"/>
  <c r="M96" i="2"/>
  <c r="K96" i="2"/>
  <c r="I96" i="2"/>
  <c r="G96" i="2"/>
  <c r="E96" i="2"/>
  <c r="C96" i="2"/>
  <c r="AG95" i="2"/>
  <c r="AB95" i="2"/>
  <c r="AA95" i="2"/>
  <c r="Y95" i="2"/>
  <c r="W95" i="2"/>
  <c r="U95" i="2"/>
  <c r="S95" i="2"/>
  <c r="Q95" i="2"/>
  <c r="O95" i="2"/>
  <c r="M95" i="2"/>
  <c r="K95" i="2"/>
  <c r="I95" i="2"/>
  <c r="G95" i="2"/>
  <c r="E95" i="2"/>
  <c r="C95" i="2"/>
  <c r="AG94" i="2"/>
  <c r="AB94" i="2"/>
  <c r="AA94" i="2"/>
  <c r="Y94" i="2"/>
  <c r="W94" i="2"/>
  <c r="U94" i="2"/>
  <c r="S94" i="2"/>
  <c r="Q94" i="2"/>
  <c r="O94" i="2"/>
  <c r="M94" i="2"/>
  <c r="K94" i="2"/>
  <c r="I94" i="2"/>
  <c r="G94" i="2"/>
  <c r="E94" i="2"/>
  <c r="C94" i="2"/>
  <c r="AG93" i="2"/>
  <c r="AB93" i="2"/>
  <c r="AA93" i="2"/>
  <c r="Y93" i="2"/>
  <c r="W93" i="2"/>
  <c r="U93" i="2"/>
  <c r="S93" i="2"/>
  <c r="Q93" i="2"/>
  <c r="O93" i="2"/>
  <c r="M93" i="2"/>
  <c r="K93" i="2"/>
  <c r="I93" i="2"/>
  <c r="G93" i="2"/>
  <c r="E93" i="2"/>
  <c r="C93" i="2"/>
  <c r="AG92" i="2"/>
  <c r="AB92" i="2"/>
  <c r="AA92" i="2"/>
  <c r="Y92" i="2"/>
  <c r="W92" i="2"/>
  <c r="U92" i="2"/>
  <c r="S92" i="2"/>
  <c r="Q92" i="2"/>
  <c r="O92" i="2"/>
  <c r="M92" i="2"/>
  <c r="K92" i="2"/>
  <c r="I92" i="2"/>
  <c r="G92" i="2"/>
  <c r="E92" i="2"/>
  <c r="C92" i="2"/>
  <c r="AG91" i="2"/>
  <c r="AB91" i="2"/>
  <c r="AA91" i="2"/>
  <c r="Y91" i="2"/>
  <c r="W91" i="2"/>
  <c r="U91" i="2"/>
  <c r="S91" i="2"/>
  <c r="Q91" i="2"/>
  <c r="O91" i="2"/>
  <c r="M91" i="2"/>
  <c r="K91" i="2"/>
  <c r="I91" i="2"/>
  <c r="G91" i="2"/>
  <c r="E91" i="2"/>
  <c r="C91" i="2"/>
  <c r="AG90" i="2"/>
  <c r="AB90" i="2"/>
  <c r="AA90" i="2"/>
  <c r="Y90" i="2"/>
  <c r="W90" i="2"/>
  <c r="U90" i="2"/>
  <c r="S90" i="2"/>
  <c r="Q90" i="2"/>
  <c r="O90" i="2"/>
  <c r="M90" i="2"/>
  <c r="K90" i="2"/>
  <c r="I90" i="2"/>
  <c r="G90" i="2"/>
  <c r="E90" i="2"/>
  <c r="C90" i="2"/>
  <c r="Z85" i="2"/>
  <c r="AA85" i="2" s="1"/>
  <c r="X85" i="2"/>
  <c r="V85" i="2"/>
  <c r="W85" i="2" s="1"/>
  <c r="T85" i="2"/>
  <c r="U85" i="2" s="1"/>
  <c r="R85" i="2"/>
  <c r="P85" i="2"/>
  <c r="Q85" i="2" s="1"/>
  <c r="N85" i="2"/>
  <c r="O85" i="2" s="1"/>
  <c r="L85" i="2"/>
  <c r="M85" i="2" s="1"/>
  <c r="J85" i="2"/>
  <c r="H85" i="2"/>
  <c r="I85" i="2" s="1"/>
  <c r="F85" i="2"/>
  <c r="G85" i="2" s="1"/>
  <c r="D85" i="2"/>
  <c r="E85" i="2" s="1"/>
  <c r="B85" i="2"/>
  <c r="C85" i="2" s="1"/>
  <c r="Z84" i="2"/>
  <c r="AA84" i="2" s="1"/>
  <c r="X84" i="2"/>
  <c r="V84" i="2"/>
  <c r="W84" i="2" s="1"/>
  <c r="T84" i="2"/>
  <c r="U84" i="2" s="1"/>
  <c r="R84" i="2"/>
  <c r="P84" i="2"/>
  <c r="Q84" i="2" s="1"/>
  <c r="N84" i="2"/>
  <c r="O84" i="2" s="1"/>
  <c r="L84" i="2"/>
  <c r="M84" i="2" s="1"/>
  <c r="J84" i="2"/>
  <c r="H84" i="2"/>
  <c r="I84" i="2" s="1"/>
  <c r="F84" i="2"/>
  <c r="G84" i="2" s="1"/>
  <c r="D84" i="2"/>
  <c r="E84" i="2" s="1"/>
  <c r="B84" i="2"/>
  <c r="C84" i="2" s="1"/>
  <c r="AG83" i="2"/>
  <c r="AB83" i="2"/>
  <c r="AA83" i="2"/>
  <c r="Y83" i="2"/>
  <c r="W83" i="2"/>
  <c r="U83" i="2"/>
  <c r="S83" i="2"/>
  <c r="Q83" i="2"/>
  <c r="O83" i="2"/>
  <c r="M83" i="2"/>
  <c r="K83" i="2"/>
  <c r="I83" i="2"/>
  <c r="G83" i="2"/>
  <c r="E83" i="2"/>
  <c r="C83" i="2"/>
  <c r="AG82" i="2"/>
  <c r="AB82" i="2"/>
  <c r="AA82" i="2"/>
  <c r="Y82" i="2"/>
  <c r="W82" i="2"/>
  <c r="U82" i="2"/>
  <c r="S82" i="2"/>
  <c r="Q82" i="2"/>
  <c r="O82" i="2"/>
  <c r="M82" i="2"/>
  <c r="K82" i="2"/>
  <c r="I82" i="2"/>
  <c r="G82" i="2"/>
  <c r="E82" i="2"/>
  <c r="C82" i="2"/>
  <c r="Z81" i="2"/>
  <c r="AA81" i="2" s="1"/>
  <c r="X81" i="2"/>
  <c r="V81" i="2"/>
  <c r="W81" i="2" s="1"/>
  <c r="T81" i="2"/>
  <c r="U81" i="2" s="1"/>
  <c r="R81" i="2"/>
  <c r="P81" i="2"/>
  <c r="Q81" i="2" s="1"/>
  <c r="N81" i="2"/>
  <c r="O81" i="2" s="1"/>
  <c r="L81" i="2"/>
  <c r="M81" i="2" s="1"/>
  <c r="J81" i="2"/>
  <c r="H81" i="2"/>
  <c r="I81" i="2" s="1"/>
  <c r="F81" i="2"/>
  <c r="G81" i="2" s="1"/>
  <c r="D81" i="2"/>
  <c r="E81" i="2" s="1"/>
  <c r="B81" i="2"/>
  <c r="C81" i="2" s="1"/>
  <c r="AG80" i="2"/>
  <c r="AB80" i="2"/>
  <c r="AA80" i="2"/>
  <c r="Y80" i="2"/>
  <c r="W80" i="2"/>
  <c r="U80" i="2"/>
  <c r="S80" i="2"/>
  <c r="Q80" i="2"/>
  <c r="O80" i="2"/>
  <c r="M80" i="2"/>
  <c r="K80" i="2"/>
  <c r="I80" i="2"/>
  <c r="G80" i="2"/>
  <c r="E80" i="2"/>
  <c r="C80" i="2"/>
  <c r="AG79" i="2"/>
  <c r="AB79" i="2"/>
  <c r="AA79" i="2"/>
  <c r="Y79" i="2"/>
  <c r="W79" i="2"/>
  <c r="U79" i="2"/>
  <c r="S79" i="2"/>
  <c r="Q79" i="2"/>
  <c r="O79" i="2"/>
  <c r="M79" i="2"/>
  <c r="K79" i="2"/>
  <c r="I79" i="2"/>
  <c r="G79" i="2"/>
  <c r="E79" i="2"/>
  <c r="C79" i="2"/>
  <c r="AG78" i="2"/>
  <c r="AB78" i="2"/>
  <c r="AA78" i="2"/>
  <c r="Y78" i="2"/>
  <c r="W78" i="2"/>
  <c r="U78" i="2"/>
  <c r="S78" i="2"/>
  <c r="Q78" i="2"/>
  <c r="O78" i="2"/>
  <c r="M78" i="2"/>
  <c r="K78" i="2"/>
  <c r="I78" i="2"/>
  <c r="G78" i="2"/>
  <c r="E78" i="2"/>
  <c r="C78" i="2"/>
  <c r="AG77" i="2"/>
  <c r="AB77" i="2"/>
  <c r="AA77" i="2"/>
  <c r="Y77" i="2"/>
  <c r="W77" i="2"/>
  <c r="U77" i="2"/>
  <c r="S77" i="2"/>
  <c r="Q77" i="2"/>
  <c r="O77" i="2"/>
  <c r="M77" i="2"/>
  <c r="K77" i="2"/>
  <c r="I77" i="2"/>
  <c r="G77" i="2"/>
  <c r="E77" i="2"/>
  <c r="C77" i="2"/>
  <c r="AG76" i="2"/>
  <c r="AB76" i="2"/>
  <c r="AA76" i="2"/>
  <c r="Y76" i="2"/>
  <c r="W76" i="2"/>
  <c r="U76" i="2"/>
  <c r="S76" i="2"/>
  <c r="Q76" i="2"/>
  <c r="O76" i="2"/>
  <c r="M76" i="2"/>
  <c r="K76" i="2"/>
  <c r="I76" i="2"/>
  <c r="G76" i="2"/>
  <c r="E76" i="2"/>
  <c r="C76" i="2"/>
  <c r="AG75" i="2"/>
  <c r="AB75" i="2"/>
  <c r="AA75" i="2"/>
  <c r="Y75" i="2"/>
  <c r="W75" i="2"/>
  <c r="U75" i="2"/>
  <c r="S75" i="2"/>
  <c r="Q75" i="2"/>
  <c r="O75" i="2"/>
  <c r="M75" i="2"/>
  <c r="K75" i="2"/>
  <c r="I75" i="2"/>
  <c r="G75" i="2"/>
  <c r="E75" i="2"/>
  <c r="C75" i="2"/>
  <c r="AG74" i="2"/>
  <c r="AB74" i="2"/>
  <c r="AA74" i="2"/>
  <c r="Y74" i="2"/>
  <c r="W74" i="2"/>
  <c r="U74" i="2"/>
  <c r="S74" i="2"/>
  <c r="Q74" i="2"/>
  <c r="O74" i="2"/>
  <c r="M74" i="2"/>
  <c r="K74" i="2"/>
  <c r="I74" i="2"/>
  <c r="G74" i="2"/>
  <c r="E74" i="2"/>
  <c r="C74" i="2"/>
  <c r="AG72" i="2"/>
  <c r="AB72" i="2"/>
  <c r="AA72" i="2"/>
  <c r="Y72" i="2"/>
  <c r="W72" i="2"/>
  <c r="U72" i="2"/>
  <c r="S72" i="2"/>
  <c r="Q72" i="2"/>
  <c r="O72" i="2"/>
  <c r="M72" i="2"/>
  <c r="K72" i="2"/>
  <c r="I72" i="2"/>
  <c r="G72" i="2"/>
  <c r="E72" i="2"/>
  <c r="C72" i="2"/>
  <c r="AG71" i="2"/>
  <c r="AB71" i="2"/>
  <c r="AA71" i="2"/>
  <c r="Y71" i="2"/>
  <c r="W71" i="2"/>
  <c r="U71" i="2"/>
  <c r="S71" i="2"/>
  <c r="Q71" i="2"/>
  <c r="O71" i="2"/>
  <c r="M71" i="2"/>
  <c r="K71" i="2"/>
  <c r="I71" i="2"/>
  <c r="G71" i="2"/>
  <c r="E71" i="2"/>
  <c r="C71" i="2"/>
  <c r="Z70" i="2"/>
  <c r="AA70" i="2" s="1"/>
  <c r="X70" i="2"/>
  <c r="V70" i="2"/>
  <c r="W70" i="2" s="1"/>
  <c r="T70" i="2"/>
  <c r="U70" i="2" s="1"/>
  <c r="R70" i="2"/>
  <c r="P70" i="2"/>
  <c r="Q70" i="2" s="1"/>
  <c r="N70" i="2"/>
  <c r="O70" i="2" s="1"/>
  <c r="L70" i="2"/>
  <c r="M70" i="2" s="1"/>
  <c r="J70" i="2"/>
  <c r="H70" i="2"/>
  <c r="I70" i="2" s="1"/>
  <c r="F70" i="2"/>
  <c r="G70" i="2" s="1"/>
  <c r="D70" i="2"/>
  <c r="E70" i="2" s="1"/>
  <c r="B70" i="2"/>
  <c r="C70" i="2" s="1"/>
  <c r="AG69" i="2"/>
  <c r="AB69" i="2"/>
  <c r="AA69" i="2"/>
  <c r="Y69" i="2"/>
  <c r="W69" i="2"/>
  <c r="U69" i="2"/>
  <c r="S69" i="2"/>
  <c r="Q69" i="2"/>
  <c r="O69" i="2"/>
  <c r="M69" i="2"/>
  <c r="K69" i="2"/>
  <c r="I69" i="2"/>
  <c r="G69" i="2"/>
  <c r="E69" i="2"/>
  <c r="C69" i="2"/>
  <c r="AG68" i="2"/>
  <c r="AB68" i="2"/>
  <c r="AA68" i="2"/>
  <c r="Y68" i="2"/>
  <c r="W68" i="2"/>
  <c r="U68" i="2"/>
  <c r="S68" i="2"/>
  <c r="Q68" i="2"/>
  <c r="O68" i="2"/>
  <c r="M68" i="2"/>
  <c r="K68" i="2"/>
  <c r="I68" i="2"/>
  <c r="G68" i="2"/>
  <c r="E68" i="2"/>
  <c r="C68" i="2"/>
  <c r="AG67" i="2"/>
  <c r="AB67" i="2"/>
  <c r="AA67" i="2"/>
  <c r="Y67" i="2"/>
  <c r="W67" i="2"/>
  <c r="U67" i="2"/>
  <c r="S67" i="2"/>
  <c r="Q67" i="2"/>
  <c r="O67" i="2"/>
  <c r="M67" i="2"/>
  <c r="K67" i="2"/>
  <c r="I67" i="2"/>
  <c r="G67" i="2"/>
  <c r="E67" i="2"/>
  <c r="C67" i="2"/>
  <c r="AG66" i="2"/>
  <c r="AB66" i="2"/>
  <c r="AA66" i="2"/>
  <c r="Y66" i="2"/>
  <c r="W66" i="2"/>
  <c r="U66" i="2"/>
  <c r="S66" i="2"/>
  <c r="Q66" i="2"/>
  <c r="O66" i="2"/>
  <c r="M66" i="2"/>
  <c r="K66" i="2"/>
  <c r="I66" i="2"/>
  <c r="G66" i="2"/>
  <c r="E66" i="2"/>
  <c r="C66" i="2"/>
  <c r="AG65" i="2"/>
  <c r="AB65" i="2"/>
  <c r="AA65" i="2"/>
  <c r="Y65" i="2"/>
  <c r="W65" i="2"/>
  <c r="U65" i="2"/>
  <c r="S65" i="2"/>
  <c r="Q65" i="2"/>
  <c r="O65" i="2"/>
  <c r="M65" i="2"/>
  <c r="K65" i="2"/>
  <c r="I65" i="2"/>
  <c r="G65" i="2"/>
  <c r="E65" i="2"/>
  <c r="C65" i="2"/>
  <c r="AG63" i="2"/>
  <c r="AB63" i="2"/>
  <c r="AA63" i="2"/>
  <c r="Y63" i="2"/>
  <c r="W63" i="2"/>
  <c r="U63" i="2"/>
  <c r="S63" i="2"/>
  <c r="Q63" i="2"/>
  <c r="O63" i="2"/>
  <c r="M63" i="2"/>
  <c r="K63" i="2"/>
  <c r="I63" i="2"/>
  <c r="G63" i="2"/>
  <c r="E63" i="2"/>
  <c r="C63" i="2"/>
  <c r="Z57" i="2"/>
  <c r="AA57" i="2" s="1"/>
  <c r="X57" i="2"/>
  <c r="V57" i="2"/>
  <c r="W57" i="2" s="1"/>
  <c r="T57" i="2"/>
  <c r="U57" i="2" s="1"/>
  <c r="R57" i="2"/>
  <c r="P57" i="2"/>
  <c r="Q57" i="2" s="1"/>
  <c r="N57" i="2"/>
  <c r="O57" i="2" s="1"/>
  <c r="L57" i="2"/>
  <c r="M57" i="2" s="1"/>
  <c r="J57" i="2"/>
  <c r="H57" i="2"/>
  <c r="I57" i="2" s="1"/>
  <c r="F57" i="2"/>
  <c r="G57" i="2" s="1"/>
  <c r="D57" i="2"/>
  <c r="E57" i="2" s="1"/>
  <c r="B57" i="2"/>
  <c r="C57" i="2" s="1"/>
  <c r="Z56" i="2"/>
  <c r="AA56" i="2" s="1"/>
  <c r="X56" i="2"/>
  <c r="V56" i="2"/>
  <c r="W56" i="2" s="1"/>
  <c r="T56" i="2"/>
  <c r="U56" i="2" s="1"/>
  <c r="R56" i="2"/>
  <c r="P56" i="2"/>
  <c r="Q56" i="2" s="1"/>
  <c r="N56" i="2"/>
  <c r="O56" i="2" s="1"/>
  <c r="L56" i="2"/>
  <c r="M56" i="2" s="1"/>
  <c r="J56" i="2"/>
  <c r="H56" i="2"/>
  <c r="I56" i="2" s="1"/>
  <c r="F56" i="2"/>
  <c r="G56" i="2" s="1"/>
  <c r="D56" i="2"/>
  <c r="E56" i="2" s="1"/>
  <c r="B56" i="2"/>
  <c r="C56" i="2" s="1"/>
  <c r="AG55" i="2"/>
  <c r="AB55" i="2"/>
  <c r="AA55" i="2"/>
  <c r="Y55" i="2"/>
  <c r="W55" i="2"/>
  <c r="U55" i="2"/>
  <c r="S55" i="2"/>
  <c r="Q55" i="2"/>
  <c r="O55" i="2"/>
  <c r="M55" i="2"/>
  <c r="K55" i="2"/>
  <c r="I55" i="2"/>
  <c r="G55" i="2"/>
  <c r="E55" i="2"/>
  <c r="C55" i="2"/>
  <c r="AG54" i="2"/>
  <c r="AB54" i="2"/>
  <c r="AA54" i="2"/>
  <c r="Y54" i="2"/>
  <c r="W54" i="2"/>
  <c r="U54" i="2"/>
  <c r="S54" i="2"/>
  <c r="Q54" i="2"/>
  <c r="O54" i="2"/>
  <c r="M54" i="2"/>
  <c r="K54" i="2"/>
  <c r="I54" i="2"/>
  <c r="G54" i="2"/>
  <c r="E54" i="2"/>
  <c r="C54" i="2"/>
  <c r="AG53" i="2"/>
  <c r="AB53" i="2"/>
  <c r="AA53" i="2"/>
  <c r="Y53" i="2"/>
  <c r="W53" i="2"/>
  <c r="U53" i="2"/>
  <c r="S53" i="2"/>
  <c r="Q53" i="2"/>
  <c r="O53" i="2"/>
  <c r="M53" i="2"/>
  <c r="K53" i="2"/>
  <c r="I53" i="2"/>
  <c r="G53" i="2"/>
  <c r="E53" i="2"/>
  <c r="C53" i="2"/>
  <c r="Z52" i="2"/>
  <c r="AA52" i="2" s="1"/>
  <c r="X52" i="2"/>
  <c r="V52" i="2"/>
  <c r="W52" i="2" s="1"/>
  <c r="T52" i="2"/>
  <c r="U52" i="2" s="1"/>
  <c r="R52" i="2"/>
  <c r="P52" i="2"/>
  <c r="Q52" i="2" s="1"/>
  <c r="N52" i="2"/>
  <c r="O52" i="2" s="1"/>
  <c r="L52" i="2"/>
  <c r="M52" i="2" s="1"/>
  <c r="J52" i="2"/>
  <c r="H52" i="2"/>
  <c r="I52" i="2" s="1"/>
  <c r="F52" i="2"/>
  <c r="G52" i="2" s="1"/>
  <c r="D52" i="2"/>
  <c r="E52" i="2" s="1"/>
  <c r="B52" i="2"/>
  <c r="C52" i="2" s="1"/>
  <c r="AG51" i="2"/>
  <c r="AB51" i="2"/>
  <c r="AA51" i="2"/>
  <c r="Y51" i="2"/>
  <c r="W51" i="2"/>
  <c r="U51" i="2"/>
  <c r="S51" i="2"/>
  <c r="Q51" i="2"/>
  <c r="O51" i="2"/>
  <c r="M51" i="2"/>
  <c r="K51" i="2"/>
  <c r="I51" i="2"/>
  <c r="G51" i="2"/>
  <c r="E51" i="2"/>
  <c r="C51" i="2"/>
  <c r="AG50" i="2"/>
  <c r="AB50" i="2"/>
  <c r="AA50" i="2"/>
  <c r="Y50" i="2"/>
  <c r="W50" i="2"/>
  <c r="U50" i="2"/>
  <c r="S50" i="2"/>
  <c r="Q50" i="2"/>
  <c r="O50" i="2"/>
  <c r="M50" i="2"/>
  <c r="K50" i="2"/>
  <c r="I50" i="2"/>
  <c r="G50" i="2"/>
  <c r="E50" i="2"/>
  <c r="C50" i="2"/>
  <c r="AG49" i="2"/>
  <c r="AB49" i="2"/>
  <c r="AA49" i="2"/>
  <c r="Y49" i="2"/>
  <c r="W49" i="2"/>
  <c r="U49" i="2"/>
  <c r="S49" i="2"/>
  <c r="Q49" i="2"/>
  <c r="O49" i="2"/>
  <c r="M49" i="2"/>
  <c r="K49" i="2"/>
  <c r="I49" i="2"/>
  <c r="G49" i="2"/>
  <c r="E49" i="2"/>
  <c r="C49" i="2"/>
  <c r="AG48" i="2"/>
  <c r="AB48" i="2"/>
  <c r="AA48" i="2"/>
  <c r="Y48" i="2"/>
  <c r="W48" i="2"/>
  <c r="U48" i="2"/>
  <c r="S48" i="2"/>
  <c r="Q48" i="2"/>
  <c r="O48" i="2"/>
  <c r="M48" i="2"/>
  <c r="K48" i="2"/>
  <c r="I48" i="2"/>
  <c r="G48" i="2"/>
  <c r="E48" i="2"/>
  <c r="C48" i="2"/>
  <c r="AG47" i="2"/>
  <c r="AB47" i="2"/>
  <c r="AA47" i="2"/>
  <c r="Y47" i="2"/>
  <c r="W47" i="2"/>
  <c r="U47" i="2"/>
  <c r="S47" i="2"/>
  <c r="Q47" i="2"/>
  <c r="O47" i="2"/>
  <c r="M47" i="2"/>
  <c r="K47" i="2"/>
  <c r="I47" i="2"/>
  <c r="G47" i="2"/>
  <c r="E47" i="2"/>
  <c r="C47" i="2"/>
  <c r="AG46" i="2"/>
  <c r="AB46" i="2"/>
  <c r="AA46" i="2"/>
  <c r="Y46" i="2"/>
  <c r="W46" i="2"/>
  <c r="U46" i="2"/>
  <c r="S46" i="2"/>
  <c r="Q46" i="2"/>
  <c r="O46" i="2"/>
  <c r="M46" i="2"/>
  <c r="K46" i="2"/>
  <c r="I46" i="2"/>
  <c r="G46" i="2"/>
  <c r="E46" i="2"/>
  <c r="C46" i="2"/>
  <c r="Z44" i="2"/>
  <c r="AA44" i="2" s="1"/>
  <c r="X44" i="2"/>
  <c r="V44" i="2"/>
  <c r="W44" i="2" s="1"/>
  <c r="T44" i="2"/>
  <c r="U44" i="2" s="1"/>
  <c r="R44" i="2"/>
  <c r="P44" i="2"/>
  <c r="Q44" i="2" s="1"/>
  <c r="N44" i="2"/>
  <c r="O44" i="2" s="1"/>
  <c r="L44" i="2"/>
  <c r="M44" i="2" s="1"/>
  <c r="J44" i="2"/>
  <c r="H44" i="2"/>
  <c r="I44" i="2" s="1"/>
  <c r="F44" i="2"/>
  <c r="G44" i="2" s="1"/>
  <c r="D44" i="2"/>
  <c r="E44" i="2" s="1"/>
  <c r="B44" i="2"/>
  <c r="C44" i="2" s="1"/>
  <c r="AG43" i="2"/>
  <c r="AB43" i="2"/>
  <c r="AA43" i="2"/>
  <c r="Y43" i="2"/>
  <c r="W43" i="2"/>
  <c r="U43" i="2"/>
  <c r="S43" i="2"/>
  <c r="Q43" i="2"/>
  <c r="O43" i="2"/>
  <c r="M43" i="2"/>
  <c r="K43" i="2"/>
  <c r="I43" i="2"/>
  <c r="G43" i="2"/>
  <c r="E43" i="2"/>
  <c r="C43" i="2"/>
  <c r="AG42" i="2"/>
  <c r="AB42" i="2"/>
  <c r="AA42" i="2"/>
  <c r="Y42" i="2"/>
  <c r="W42" i="2"/>
  <c r="U42" i="2"/>
  <c r="S42" i="2"/>
  <c r="Q42" i="2"/>
  <c r="O42" i="2"/>
  <c r="M42" i="2"/>
  <c r="K42" i="2"/>
  <c r="I42" i="2"/>
  <c r="G42" i="2"/>
  <c r="E42" i="2"/>
  <c r="C42" i="2"/>
  <c r="AG41" i="2"/>
  <c r="AB41" i="2"/>
  <c r="AA41" i="2"/>
  <c r="Y41" i="2"/>
  <c r="W41" i="2"/>
  <c r="U41" i="2"/>
  <c r="S41" i="2"/>
  <c r="Q41" i="2"/>
  <c r="O41" i="2"/>
  <c r="M41" i="2"/>
  <c r="K41" i="2"/>
  <c r="I41" i="2"/>
  <c r="G41" i="2"/>
  <c r="E41" i="2"/>
  <c r="C41" i="2"/>
  <c r="AG40" i="2"/>
  <c r="AB40" i="2"/>
  <c r="AA40" i="2"/>
  <c r="Y40" i="2"/>
  <c r="W40" i="2"/>
  <c r="U40" i="2"/>
  <c r="S40" i="2"/>
  <c r="Q40" i="2"/>
  <c r="O40" i="2"/>
  <c r="M40" i="2"/>
  <c r="K40" i="2"/>
  <c r="I40" i="2"/>
  <c r="G40" i="2"/>
  <c r="E40" i="2"/>
  <c r="C40" i="2"/>
  <c r="AG39" i="2"/>
  <c r="AB39" i="2"/>
  <c r="AA39" i="2"/>
  <c r="Y39" i="2"/>
  <c r="W39" i="2"/>
  <c r="U39" i="2"/>
  <c r="S39" i="2"/>
  <c r="Q39" i="2"/>
  <c r="O39" i="2"/>
  <c r="M39" i="2"/>
  <c r="K39" i="2"/>
  <c r="I39" i="2"/>
  <c r="G39" i="2"/>
  <c r="E39" i="2"/>
  <c r="C39" i="2"/>
  <c r="AG37" i="2"/>
  <c r="AB37" i="2"/>
  <c r="AA37" i="2"/>
  <c r="Y37" i="2"/>
  <c r="W37" i="2"/>
  <c r="U37" i="2"/>
  <c r="S37" i="2"/>
  <c r="Q37" i="2"/>
  <c r="O37" i="2"/>
  <c r="M37" i="2"/>
  <c r="K37" i="2"/>
  <c r="I37" i="2"/>
  <c r="G37" i="2"/>
  <c r="E37" i="2"/>
  <c r="C37" i="2"/>
  <c r="Z35" i="2"/>
  <c r="AA35" i="2" s="1"/>
  <c r="X35" i="2"/>
  <c r="V35" i="2"/>
  <c r="W35" i="2" s="1"/>
  <c r="T35" i="2"/>
  <c r="U35" i="2" s="1"/>
  <c r="R35" i="2"/>
  <c r="P35" i="2"/>
  <c r="Q35" i="2" s="1"/>
  <c r="N35" i="2"/>
  <c r="O35" i="2" s="1"/>
  <c r="L35" i="2"/>
  <c r="M35" i="2" s="1"/>
  <c r="J35" i="2"/>
  <c r="H35" i="2"/>
  <c r="I35" i="2" s="1"/>
  <c r="F35" i="2"/>
  <c r="G35" i="2" s="1"/>
  <c r="D35" i="2"/>
  <c r="E35" i="2" s="1"/>
  <c r="B35" i="2"/>
  <c r="C35" i="2" s="1"/>
  <c r="Z34" i="2"/>
  <c r="AA34" i="2" s="1"/>
  <c r="X34" i="2"/>
  <c r="V34" i="2"/>
  <c r="W34" i="2" s="1"/>
  <c r="T34" i="2"/>
  <c r="U34" i="2" s="1"/>
  <c r="R34" i="2"/>
  <c r="P34" i="2"/>
  <c r="Q34" i="2" s="1"/>
  <c r="N34" i="2"/>
  <c r="O34" i="2" s="1"/>
  <c r="L34" i="2"/>
  <c r="M34" i="2" s="1"/>
  <c r="J34" i="2"/>
  <c r="H34" i="2"/>
  <c r="I34" i="2" s="1"/>
  <c r="F34" i="2"/>
  <c r="G34" i="2" s="1"/>
  <c r="D34" i="2"/>
  <c r="E34" i="2" s="1"/>
  <c r="B34" i="2"/>
  <c r="C34" i="2" s="1"/>
  <c r="AG33" i="2"/>
  <c r="AB33" i="2"/>
  <c r="AA33" i="2"/>
  <c r="Y33" i="2"/>
  <c r="W33" i="2"/>
  <c r="U33" i="2"/>
  <c r="S33" i="2"/>
  <c r="Q33" i="2"/>
  <c r="O33" i="2"/>
  <c r="M33" i="2"/>
  <c r="K33" i="2"/>
  <c r="I33" i="2"/>
  <c r="G33" i="2"/>
  <c r="E33" i="2"/>
  <c r="C33" i="2"/>
  <c r="AG32" i="2"/>
  <c r="AB32" i="2"/>
  <c r="AA32" i="2"/>
  <c r="Y32" i="2"/>
  <c r="W32" i="2"/>
  <c r="U32" i="2"/>
  <c r="S32" i="2"/>
  <c r="Q32" i="2"/>
  <c r="O32" i="2"/>
  <c r="M32" i="2"/>
  <c r="K32" i="2"/>
  <c r="I32" i="2"/>
  <c r="G32" i="2"/>
  <c r="E32" i="2"/>
  <c r="C32" i="2"/>
  <c r="AG31" i="2"/>
  <c r="AB31" i="2"/>
  <c r="AA31" i="2"/>
  <c r="Y31" i="2"/>
  <c r="W31" i="2"/>
  <c r="U31" i="2"/>
  <c r="S31" i="2"/>
  <c r="Q31" i="2"/>
  <c r="O31" i="2"/>
  <c r="M31" i="2"/>
  <c r="K31" i="2"/>
  <c r="I31" i="2"/>
  <c r="G31" i="2"/>
  <c r="E31" i="2"/>
  <c r="C31" i="2"/>
  <c r="AG30" i="2"/>
  <c r="AB30" i="2"/>
  <c r="AA30" i="2"/>
  <c r="Y30" i="2"/>
  <c r="W30" i="2"/>
  <c r="U30" i="2"/>
  <c r="S30" i="2"/>
  <c r="Q30" i="2"/>
  <c r="O30" i="2"/>
  <c r="M30" i="2"/>
  <c r="K30" i="2"/>
  <c r="I30" i="2"/>
  <c r="G30" i="2"/>
  <c r="E30" i="2"/>
  <c r="C30" i="2"/>
  <c r="AG29" i="2"/>
  <c r="AB29" i="2"/>
  <c r="AA29" i="2"/>
  <c r="Y29" i="2"/>
  <c r="W29" i="2"/>
  <c r="U29" i="2"/>
  <c r="S29" i="2"/>
  <c r="Q29" i="2"/>
  <c r="O29" i="2"/>
  <c r="M29" i="2"/>
  <c r="K29" i="2"/>
  <c r="I29" i="2"/>
  <c r="G29" i="2"/>
  <c r="E29" i="2"/>
  <c r="C29" i="2"/>
  <c r="Z27" i="2"/>
  <c r="AA27" i="2" s="1"/>
  <c r="X27" i="2"/>
  <c r="V27" i="2"/>
  <c r="W27" i="2" s="1"/>
  <c r="T27" i="2"/>
  <c r="U27" i="2" s="1"/>
  <c r="R27" i="2"/>
  <c r="P27" i="2"/>
  <c r="Q27" i="2" s="1"/>
  <c r="N27" i="2"/>
  <c r="O27" i="2" s="1"/>
  <c r="L27" i="2"/>
  <c r="M27" i="2" s="1"/>
  <c r="J27" i="2"/>
  <c r="H27" i="2"/>
  <c r="I27" i="2" s="1"/>
  <c r="F27" i="2"/>
  <c r="G27" i="2" s="1"/>
  <c r="D27" i="2"/>
  <c r="E27" i="2" s="1"/>
  <c r="B27" i="2"/>
  <c r="C27" i="2" s="1"/>
  <c r="AG26" i="2"/>
  <c r="AB26" i="2"/>
  <c r="AA26" i="2"/>
  <c r="Y26" i="2"/>
  <c r="W26" i="2"/>
  <c r="U26" i="2"/>
  <c r="S26" i="2"/>
  <c r="Q26" i="2"/>
  <c r="O26" i="2"/>
  <c r="M26" i="2"/>
  <c r="K26" i="2"/>
  <c r="I26" i="2"/>
  <c r="G26" i="2"/>
  <c r="E26" i="2"/>
  <c r="C26" i="2"/>
  <c r="AG25" i="2"/>
  <c r="AB25" i="2"/>
  <c r="AA25" i="2"/>
  <c r="Y25" i="2"/>
  <c r="W25" i="2"/>
  <c r="U25" i="2"/>
  <c r="S25" i="2"/>
  <c r="Q25" i="2"/>
  <c r="O25" i="2"/>
  <c r="M25" i="2"/>
  <c r="K25" i="2"/>
  <c r="I25" i="2"/>
  <c r="G25" i="2"/>
  <c r="E25" i="2"/>
  <c r="C25" i="2"/>
  <c r="AG24" i="2"/>
  <c r="AB24" i="2"/>
  <c r="AA24" i="2"/>
  <c r="Y24" i="2"/>
  <c r="W24" i="2"/>
  <c r="U24" i="2"/>
  <c r="S24" i="2"/>
  <c r="Q24" i="2"/>
  <c r="O24" i="2"/>
  <c r="M24" i="2"/>
  <c r="K24" i="2"/>
  <c r="I24" i="2"/>
  <c r="G24" i="2"/>
  <c r="E24" i="2"/>
  <c r="C24" i="2"/>
  <c r="AG23" i="2"/>
  <c r="AB23" i="2"/>
  <c r="AA23" i="2"/>
  <c r="Y23" i="2"/>
  <c r="W23" i="2"/>
  <c r="U23" i="2"/>
  <c r="S23" i="2"/>
  <c r="Q23" i="2"/>
  <c r="O23" i="2"/>
  <c r="M23" i="2"/>
  <c r="K23" i="2"/>
  <c r="I23" i="2"/>
  <c r="G23" i="2"/>
  <c r="E23" i="2"/>
  <c r="C23" i="2"/>
  <c r="AG22" i="2"/>
  <c r="AB22" i="2"/>
  <c r="AA22" i="2"/>
  <c r="Y22" i="2"/>
  <c r="W22" i="2"/>
  <c r="U22" i="2"/>
  <c r="S22" i="2"/>
  <c r="Q22" i="2"/>
  <c r="O22" i="2"/>
  <c r="M22" i="2"/>
  <c r="K22" i="2"/>
  <c r="I22" i="2"/>
  <c r="G22" i="2"/>
  <c r="E22" i="2"/>
  <c r="C22" i="2"/>
  <c r="AG21" i="2"/>
  <c r="AB21" i="2"/>
  <c r="AA21" i="2"/>
  <c r="Y21" i="2"/>
  <c r="W21" i="2"/>
  <c r="U21" i="2"/>
  <c r="S21" i="2"/>
  <c r="Q21" i="2"/>
  <c r="O21" i="2"/>
  <c r="M21" i="2"/>
  <c r="K21" i="2"/>
  <c r="I21" i="2"/>
  <c r="G21" i="2"/>
  <c r="E21" i="2"/>
  <c r="C21" i="2"/>
  <c r="AG20" i="2"/>
  <c r="AB20" i="2"/>
  <c r="AA20" i="2"/>
  <c r="Y20" i="2"/>
  <c r="W20" i="2"/>
  <c r="U20" i="2"/>
  <c r="S20" i="2"/>
  <c r="Q20" i="2"/>
  <c r="O20" i="2"/>
  <c r="M20" i="2"/>
  <c r="K20" i="2"/>
  <c r="I20" i="2"/>
  <c r="G20" i="2"/>
  <c r="E20" i="2"/>
  <c r="C20" i="2"/>
  <c r="AG19" i="2"/>
  <c r="AB19" i="2"/>
  <c r="AA19" i="2"/>
  <c r="Y19" i="2"/>
  <c r="W19" i="2"/>
  <c r="U19" i="2"/>
  <c r="S19" i="2"/>
  <c r="Q19" i="2"/>
  <c r="O19" i="2"/>
  <c r="M19" i="2"/>
  <c r="K19" i="2"/>
  <c r="I19" i="2"/>
  <c r="G19" i="2"/>
  <c r="E19" i="2"/>
  <c r="C19" i="2"/>
  <c r="AG18" i="2"/>
  <c r="AB18" i="2"/>
  <c r="AA18" i="2"/>
  <c r="Y18" i="2"/>
  <c r="W18" i="2"/>
  <c r="U18" i="2"/>
  <c r="S18" i="2"/>
  <c r="Q18" i="2"/>
  <c r="O18" i="2"/>
  <c r="M18" i="2"/>
  <c r="K18" i="2"/>
  <c r="I18" i="2"/>
  <c r="G18" i="2"/>
  <c r="E18" i="2"/>
  <c r="C18" i="2"/>
  <c r="AG17" i="2"/>
  <c r="AB17" i="2"/>
  <c r="AA17" i="2"/>
  <c r="Y17" i="2"/>
  <c r="W17" i="2"/>
  <c r="U17" i="2"/>
  <c r="S17" i="2"/>
  <c r="Q17" i="2"/>
  <c r="O17" i="2"/>
  <c r="M17" i="2"/>
  <c r="K17" i="2"/>
  <c r="I17" i="2"/>
  <c r="G17" i="2"/>
  <c r="E17" i="2"/>
  <c r="C17" i="2"/>
  <c r="AG16" i="2"/>
  <c r="AB16" i="2"/>
  <c r="AA16" i="2"/>
  <c r="Y16" i="2"/>
  <c r="W16" i="2"/>
  <c r="U16" i="2"/>
  <c r="S16" i="2"/>
  <c r="Q16" i="2"/>
  <c r="O16" i="2"/>
  <c r="M16" i="2"/>
  <c r="K16" i="2"/>
  <c r="I16" i="2"/>
  <c r="G16" i="2"/>
  <c r="E16" i="2"/>
  <c r="C16" i="2"/>
  <c r="AG15" i="2"/>
  <c r="AB15" i="2"/>
  <c r="AA15" i="2"/>
  <c r="Y15" i="2"/>
  <c r="W15" i="2"/>
  <c r="U15" i="2"/>
  <c r="S15" i="2"/>
  <c r="Q15" i="2"/>
  <c r="O15" i="2"/>
  <c r="M15" i="2"/>
  <c r="K15" i="2"/>
  <c r="I15" i="2"/>
  <c r="G15" i="2"/>
  <c r="E15" i="2"/>
  <c r="C15" i="2"/>
  <c r="AG13" i="2"/>
  <c r="AB13" i="2"/>
  <c r="AA13" i="2"/>
  <c r="Y13" i="2"/>
  <c r="W13" i="2"/>
  <c r="U13" i="2"/>
  <c r="S13" i="2"/>
  <c r="Q13" i="2"/>
  <c r="O13" i="2"/>
  <c r="M13" i="2"/>
  <c r="K13" i="2"/>
  <c r="I13" i="2"/>
  <c r="G13" i="2"/>
  <c r="E13" i="2"/>
  <c r="C13" i="2"/>
  <c r="Z9" i="2"/>
  <c r="X9" i="2"/>
  <c r="V9" i="2"/>
  <c r="T9" i="2"/>
  <c r="R9" i="2"/>
  <c r="P9" i="2"/>
  <c r="N9" i="2"/>
  <c r="L9" i="2"/>
  <c r="J9" i="2"/>
  <c r="H9" i="2"/>
  <c r="F9" i="2"/>
  <c r="D9" i="2"/>
  <c r="B9" i="2"/>
  <c r="AG8" i="2"/>
  <c r="AB8" i="2"/>
  <c r="AA8" i="2"/>
  <c r="Y8" i="2"/>
  <c r="W8" i="2"/>
  <c r="U8" i="2"/>
  <c r="S8" i="2"/>
  <c r="Q8" i="2"/>
  <c r="O8" i="2"/>
  <c r="M8" i="2"/>
  <c r="K8" i="2"/>
  <c r="I8" i="2"/>
  <c r="G8" i="2"/>
  <c r="E8" i="2"/>
  <c r="C8" i="2"/>
  <c r="AG7" i="2"/>
  <c r="AB7" i="2"/>
  <c r="AA7" i="2"/>
  <c r="Y7" i="2"/>
  <c r="W7" i="2"/>
  <c r="U7" i="2"/>
  <c r="S7" i="2"/>
  <c r="Q7" i="2"/>
  <c r="O7" i="2"/>
  <c r="M7" i="2"/>
  <c r="K7" i="2"/>
  <c r="I7" i="2"/>
  <c r="G7" i="2"/>
  <c r="E7" i="2"/>
  <c r="C7" i="2"/>
  <c r="AG148" i="1"/>
  <c r="AB148" i="1"/>
  <c r="Z145" i="1"/>
  <c r="AA145" i="1" s="1"/>
  <c r="X145" i="1"/>
  <c r="V145" i="1"/>
  <c r="W145" i="1" s="1"/>
  <c r="T145" i="1"/>
  <c r="U145" i="1" s="1"/>
  <c r="R145" i="1"/>
  <c r="P145" i="1"/>
  <c r="Q145" i="1" s="1"/>
  <c r="N145" i="1"/>
  <c r="O145" i="1" s="1"/>
  <c r="L145" i="1"/>
  <c r="M145" i="1" s="1"/>
  <c r="J145" i="1"/>
  <c r="H145" i="1"/>
  <c r="I145" i="1" s="1"/>
  <c r="F145" i="1"/>
  <c r="G145" i="1" s="1"/>
  <c r="D145" i="1"/>
  <c r="E145" i="1" s="1"/>
  <c r="B145" i="1"/>
  <c r="C145" i="1" s="1"/>
  <c r="AG144" i="1"/>
  <c r="AB144" i="1"/>
  <c r="AA144" i="1"/>
  <c r="Y144" i="1"/>
  <c r="W144" i="1"/>
  <c r="U144" i="1"/>
  <c r="S144" i="1"/>
  <c r="Q144" i="1"/>
  <c r="O144" i="1"/>
  <c r="M144" i="1"/>
  <c r="K144" i="1"/>
  <c r="I144" i="1"/>
  <c r="G144" i="1"/>
  <c r="E144" i="1"/>
  <c r="C144" i="1"/>
  <c r="Z141" i="1"/>
  <c r="AA141" i="1" s="1"/>
  <c r="X141" i="1"/>
  <c r="V141" i="1"/>
  <c r="W141" i="1" s="1"/>
  <c r="T141" i="1"/>
  <c r="U141" i="1" s="1"/>
  <c r="R141" i="1"/>
  <c r="P141" i="1"/>
  <c r="Q141" i="1" s="1"/>
  <c r="N141" i="1"/>
  <c r="O141" i="1" s="1"/>
  <c r="L141" i="1"/>
  <c r="M141" i="1" s="1"/>
  <c r="J141" i="1"/>
  <c r="H141" i="1"/>
  <c r="I141" i="1" s="1"/>
  <c r="F141" i="1"/>
  <c r="G141" i="1" s="1"/>
  <c r="D141" i="1"/>
  <c r="E141" i="1" s="1"/>
  <c r="B141" i="1"/>
  <c r="C141" i="1" s="1"/>
  <c r="AG140" i="1"/>
  <c r="AB140" i="1"/>
  <c r="AA140" i="1"/>
  <c r="Y140" i="1"/>
  <c r="W140" i="1"/>
  <c r="U140" i="1"/>
  <c r="S140" i="1"/>
  <c r="Q140" i="1"/>
  <c r="O140" i="1"/>
  <c r="M140" i="1"/>
  <c r="K140" i="1"/>
  <c r="I140" i="1"/>
  <c r="G140" i="1"/>
  <c r="E140" i="1"/>
  <c r="C140" i="1"/>
  <c r="Z135" i="1"/>
  <c r="AA135" i="1" s="1"/>
  <c r="X135" i="1"/>
  <c r="V135" i="1"/>
  <c r="W135" i="1" s="1"/>
  <c r="T135" i="1"/>
  <c r="U135" i="1" s="1"/>
  <c r="R135" i="1"/>
  <c r="P135" i="1"/>
  <c r="Q135" i="1" s="1"/>
  <c r="N135" i="1"/>
  <c r="O135" i="1" s="1"/>
  <c r="L135" i="1"/>
  <c r="M135" i="1" s="1"/>
  <c r="J135" i="1"/>
  <c r="H135" i="1"/>
  <c r="I135" i="1" s="1"/>
  <c r="F135" i="1"/>
  <c r="G135" i="1" s="1"/>
  <c r="D135" i="1"/>
  <c r="E135" i="1" s="1"/>
  <c r="B135" i="1"/>
  <c r="C135" i="1" s="1"/>
  <c r="AG134" i="1"/>
  <c r="AB134" i="1"/>
  <c r="AA134" i="1"/>
  <c r="Y134" i="1"/>
  <c r="W134" i="1"/>
  <c r="U134" i="1"/>
  <c r="S134" i="1"/>
  <c r="Q134" i="1"/>
  <c r="O134" i="1"/>
  <c r="M134" i="1"/>
  <c r="K134" i="1"/>
  <c r="I134" i="1"/>
  <c r="G134" i="1"/>
  <c r="E134" i="1"/>
  <c r="C134" i="1"/>
  <c r="AG133" i="1"/>
  <c r="AB133" i="1"/>
  <c r="AA133" i="1"/>
  <c r="Y133" i="1"/>
  <c r="W133" i="1"/>
  <c r="U133" i="1"/>
  <c r="S133" i="1"/>
  <c r="Q133" i="1"/>
  <c r="O133" i="1"/>
  <c r="M133" i="1"/>
  <c r="K133" i="1"/>
  <c r="I133" i="1"/>
  <c r="G133" i="1"/>
  <c r="E133" i="1"/>
  <c r="C133" i="1"/>
  <c r="AG132" i="1"/>
  <c r="AB132" i="1"/>
  <c r="AA132" i="1"/>
  <c r="Y132" i="1"/>
  <c r="W132" i="1"/>
  <c r="U132" i="1"/>
  <c r="S132" i="1"/>
  <c r="Q132" i="1"/>
  <c r="O132" i="1"/>
  <c r="M132" i="1"/>
  <c r="K132" i="1"/>
  <c r="I132" i="1"/>
  <c r="G132" i="1"/>
  <c r="E132" i="1"/>
  <c r="C132" i="1"/>
  <c r="AG131" i="1"/>
  <c r="AB131" i="1"/>
  <c r="AA131" i="1"/>
  <c r="Y131" i="1"/>
  <c r="W131" i="1"/>
  <c r="U131" i="1"/>
  <c r="S131" i="1"/>
  <c r="Q131" i="1"/>
  <c r="O131" i="1"/>
  <c r="M131" i="1"/>
  <c r="K131" i="1"/>
  <c r="I131" i="1"/>
  <c r="G131" i="1"/>
  <c r="E131" i="1"/>
  <c r="C131" i="1"/>
  <c r="AG130" i="1"/>
  <c r="AB130" i="1"/>
  <c r="AA130" i="1"/>
  <c r="Y130" i="1"/>
  <c r="W130" i="1"/>
  <c r="U130" i="1"/>
  <c r="S130" i="1"/>
  <c r="Q130" i="1"/>
  <c r="O130" i="1"/>
  <c r="M130" i="1"/>
  <c r="K130" i="1"/>
  <c r="I130" i="1"/>
  <c r="G130" i="1"/>
  <c r="E130" i="1"/>
  <c r="C130" i="1"/>
  <c r="AG129" i="1"/>
  <c r="AB129" i="1"/>
  <c r="AA129" i="1"/>
  <c r="Y129" i="1"/>
  <c r="W129" i="1"/>
  <c r="U129" i="1"/>
  <c r="S129" i="1"/>
  <c r="Q129" i="1"/>
  <c r="O129" i="1"/>
  <c r="M129" i="1"/>
  <c r="K129" i="1"/>
  <c r="I129" i="1"/>
  <c r="G129" i="1"/>
  <c r="E129" i="1"/>
  <c r="C129" i="1"/>
  <c r="AG128" i="1"/>
  <c r="AB128" i="1"/>
  <c r="AA128" i="1"/>
  <c r="Y128" i="1"/>
  <c r="W128" i="1"/>
  <c r="U128" i="1"/>
  <c r="S128" i="1"/>
  <c r="Q128" i="1"/>
  <c r="O128" i="1"/>
  <c r="M128" i="1"/>
  <c r="K128" i="1"/>
  <c r="I128" i="1"/>
  <c r="G128" i="1"/>
  <c r="E128" i="1"/>
  <c r="C128" i="1"/>
  <c r="AG127" i="1"/>
  <c r="AB127" i="1"/>
  <c r="AA127" i="1"/>
  <c r="Y127" i="1"/>
  <c r="W127" i="1"/>
  <c r="U127" i="1"/>
  <c r="S127" i="1"/>
  <c r="Q127" i="1"/>
  <c r="O127" i="1"/>
  <c r="M127" i="1"/>
  <c r="K127" i="1"/>
  <c r="I127" i="1"/>
  <c r="G127" i="1"/>
  <c r="E127" i="1"/>
  <c r="C127" i="1"/>
  <c r="AG126" i="1"/>
  <c r="AB126" i="1"/>
  <c r="AA126" i="1"/>
  <c r="Y126" i="1"/>
  <c r="W126" i="1"/>
  <c r="U126" i="1"/>
  <c r="S126" i="1"/>
  <c r="Q126" i="1"/>
  <c r="O126" i="1"/>
  <c r="M126" i="1"/>
  <c r="K126" i="1"/>
  <c r="I126" i="1"/>
  <c r="G126" i="1"/>
  <c r="E126" i="1"/>
  <c r="C126" i="1"/>
  <c r="AG125" i="1"/>
  <c r="AB125" i="1"/>
  <c r="AA125" i="1"/>
  <c r="Y125" i="1"/>
  <c r="W125" i="1"/>
  <c r="U125" i="1"/>
  <c r="S125" i="1"/>
  <c r="Q125" i="1"/>
  <c r="O125" i="1"/>
  <c r="M125" i="1"/>
  <c r="K125" i="1"/>
  <c r="I125" i="1"/>
  <c r="G125" i="1"/>
  <c r="E125" i="1"/>
  <c r="C125" i="1"/>
  <c r="AG124" i="1"/>
  <c r="AB124" i="1"/>
  <c r="AA124" i="1"/>
  <c r="Y124" i="1"/>
  <c r="W124" i="1"/>
  <c r="U124" i="1"/>
  <c r="S124" i="1"/>
  <c r="Q124" i="1"/>
  <c r="O124" i="1"/>
  <c r="M124" i="1"/>
  <c r="K124" i="1"/>
  <c r="I124" i="1"/>
  <c r="G124" i="1"/>
  <c r="E124" i="1"/>
  <c r="C124" i="1"/>
  <c r="AG123" i="1"/>
  <c r="AB123" i="1"/>
  <c r="AA123" i="1"/>
  <c r="Y123" i="1"/>
  <c r="W123" i="1"/>
  <c r="U123" i="1"/>
  <c r="S123" i="1"/>
  <c r="Q123" i="1"/>
  <c r="O123" i="1"/>
  <c r="M123" i="1"/>
  <c r="K123" i="1"/>
  <c r="I123" i="1"/>
  <c r="G123" i="1"/>
  <c r="E123" i="1"/>
  <c r="C123" i="1"/>
  <c r="AG122" i="1"/>
  <c r="AB122" i="1"/>
  <c r="AA122" i="1"/>
  <c r="Y122" i="1"/>
  <c r="W122" i="1"/>
  <c r="U122" i="1"/>
  <c r="S122" i="1"/>
  <c r="Q122" i="1"/>
  <c r="O122" i="1"/>
  <c r="M122" i="1"/>
  <c r="K122" i="1"/>
  <c r="I122" i="1"/>
  <c r="G122" i="1"/>
  <c r="E122" i="1"/>
  <c r="C122" i="1"/>
  <c r="AG121" i="1"/>
  <c r="AB121" i="1"/>
  <c r="AA121" i="1"/>
  <c r="Y121" i="1"/>
  <c r="W121" i="1"/>
  <c r="U121" i="1"/>
  <c r="S121" i="1"/>
  <c r="Q121" i="1"/>
  <c r="O121" i="1"/>
  <c r="M121" i="1"/>
  <c r="K121" i="1"/>
  <c r="I121" i="1"/>
  <c r="G121" i="1"/>
  <c r="E121" i="1"/>
  <c r="C121" i="1"/>
  <c r="AG120" i="1"/>
  <c r="AB120" i="1"/>
  <c r="AA120" i="1"/>
  <c r="Y120" i="1"/>
  <c r="W120" i="1"/>
  <c r="U120" i="1"/>
  <c r="S120" i="1"/>
  <c r="Q120" i="1"/>
  <c r="O120" i="1"/>
  <c r="M120" i="1"/>
  <c r="K120" i="1"/>
  <c r="I120" i="1"/>
  <c r="G120" i="1"/>
  <c r="E120" i="1"/>
  <c r="C120" i="1"/>
  <c r="AG119" i="1"/>
  <c r="AB119" i="1"/>
  <c r="AA119" i="1"/>
  <c r="Y119" i="1"/>
  <c r="W119" i="1"/>
  <c r="U119" i="1"/>
  <c r="S119" i="1"/>
  <c r="Q119" i="1"/>
  <c r="O119" i="1"/>
  <c r="M119" i="1"/>
  <c r="K119" i="1"/>
  <c r="I119" i="1"/>
  <c r="G119" i="1"/>
  <c r="E119" i="1"/>
  <c r="C119" i="1"/>
  <c r="AG118" i="1"/>
  <c r="AB118" i="1"/>
  <c r="AA118" i="1"/>
  <c r="Y118" i="1"/>
  <c r="W118" i="1"/>
  <c r="U118" i="1"/>
  <c r="S118" i="1"/>
  <c r="Q118" i="1"/>
  <c r="O118" i="1"/>
  <c r="M118" i="1"/>
  <c r="K118" i="1"/>
  <c r="I118" i="1"/>
  <c r="G118" i="1"/>
  <c r="E118" i="1"/>
  <c r="C118" i="1"/>
  <c r="AG117" i="1"/>
  <c r="AB117" i="1"/>
  <c r="AA117" i="1"/>
  <c r="Y117" i="1"/>
  <c r="W117" i="1"/>
  <c r="U117" i="1"/>
  <c r="S117" i="1"/>
  <c r="Q117" i="1"/>
  <c r="O117" i="1"/>
  <c r="M117" i="1"/>
  <c r="K117" i="1"/>
  <c r="I117" i="1"/>
  <c r="G117" i="1"/>
  <c r="E117" i="1"/>
  <c r="C117" i="1"/>
  <c r="AG116" i="1"/>
  <c r="AB116" i="1"/>
  <c r="AA116" i="1"/>
  <c r="Y116" i="1"/>
  <c r="W116" i="1"/>
  <c r="U116" i="1"/>
  <c r="S116" i="1"/>
  <c r="Q116" i="1"/>
  <c r="O116" i="1"/>
  <c r="M116" i="1"/>
  <c r="K116" i="1"/>
  <c r="I116" i="1"/>
  <c r="G116" i="1"/>
  <c r="E116" i="1"/>
  <c r="C116" i="1"/>
  <c r="AG115" i="1"/>
  <c r="AB115" i="1"/>
  <c r="AA115" i="1"/>
  <c r="Y115" i="1"/>
  <c r="W115" i="1"/>
  <c r="U115" i="1"/>
  <c r="S115" i="1"/>
  <c r="Q115" i="1"/>
  <c r="O115" i="1"/>
  <c r="M115" i="1"/>
  <c r="K115" i="1"/>
  <c r="I115" i="1"/>
  <c r="G115" i="1"/>
  <c r="E115" i="1"/>
  <c r="C115" i="1"/>
  <c r="AG114" i="1"/>
  <c r="AB114" i="1"/>
  <c r="AA114" i="1"/>
  <c r="Y114" i="1"/>
  <c r="W114" i="1"/>
  <c r="U114" i="1"/>
  <c r="S114" i="1"/>
  <c r="Q114" i="1"/>
  <c r="O114" i="1"/>
  <c r="M114" i="1"/>
  <c r="K114" i="1"/>
  <c r="I114" i="1"/>
  <c r="G114" i="1"/>
  <c r="E114" i="1"/>
  <c r="C114" i="1"/>
  <c r="AG113" i="1"/>
  <c r="AB113" i="1"/>
  <c r="AA113" i="1"/>
  <c r="Y113" i="1"/>
  <c r="W113" i="1"/>
  <c r="U113" i="1"/>
  <c r="S113" i="1"/>
  <c r="Q113" i="1"/>
  <c r="O113" i="1"/>
  <c r="M113" i="1"/>
  <c r="K113" i="1"/>
  <c r="I113" i="1"/>
  <c r="G113" i="1"/>
  <c r="E113" i="1"/>
  <c r="C113" i="1"/>
  <c r="AG112" i="1"/>
  <c r="AB112" i="1"/>
  <c r="AA112" i="1"/>
  <c r="Y112" i="1"/>
  <c r="W112" i="1"/>
  <c r="U112" i="1"/>
  <c r="S112" i="1"/>
  <c r="Q112" i="1"/>
  <c r="O112" i="1"/>
  <c r="M112" i="1"/>
  <c r="K112" i="1"/>
  <c r="I112" i="1"/>
  <c r="G112" i="1"/>
  <c r="E112" i="1"/>
  <c r="C112" i="1"/>
  <c r="AG111" i="1"/>
  <c r="AB111" i="1"/>
  <c r="AA111" i="1"/>
  <c r="Y111" i="1"/>
  <c r="W111" i="1"/>
  <c r="U111" i="1"/>
  <c r="S111" i="1"/>
  <c r="Q111" i="1"/>
  <c r="O111" i="1"/>
  <c r="M111" i="1"/>
  <c r="K111" i="1"/>
  <c r="I111" i="1"/>
  <c r="G111" i="1"/>
  <c r="E111" i="1"/>
  <c r="C111" i="1"/>
  <c r="AG110" i="1"/>
  <c r="AB110" i="1"/>
  <c r="AA110" i="1"/>
  <c r="Y110" i="1"/>
  <c r="W110" i="1"/>
  <c r="U110" i="1"/>
  <c r="S110" i="1"/>
  <c r="Q110" i="1"/>
  <c r="O110" i="1"/>
  <c r="M110" i="1"/>
  <c r="K110" i="1"/>
  <c r="I110" i="1"/>
  <c r="G110" i="1"/>
  <c r="E110" i="1"/>
  <c r="C110" i="1"/>
  <c r="Z105" i="1"/>
  <c r="AA105" i="1" s="1"/>
  <c r="X105" i="1"/>
  <c r="V105" i="1"/>
  <c r="W105" i="1" s="1"/>
  <c r="T105" i="1"/>
  <c r="U105" i="1" s="1"/>
  <c r="R105" i="1"/>
  <c r="P105" i="1"/>
  <c r="Q105" i="1" s="1"/>
  <c r="N105" i="1"/>
  <c r="O105" i="1" s="1"/>
  <c r="L105" i="1"/>
  <c r="M105" i="1" s="1"/>
  <c r="J105" i="1"/>
  <c r="H105" i="1"/>
  <c r="I105" i="1" s="1"/>
  <c r="F105" i="1"/>
  <c r="G105" i="1" s="1"/>
  <c r="D105" i="1"/>
  <c r="E105" i="1" s="1"/>
  <c r="B105" i="1"/>
  <c r="C105" i="1" s="1"/>
  <c r="AG104" i="1"/>
  <c r="AB104" i="1"/>
  <c r="AA104" i="1"/>
  <c r="Y104" i="1"/>
  <c r="W104" i="1"/>
  <c r="U104" i="1"/>
  <c r="S104" i="1"/>
  <c r="Q104" i="1"/>
  <c r="O104" i="1"/>
  <c r="M104" i="1"/>
  <c r="K104" i="1"/>
  <c r="I104" i="1"/>
  <c r="G104" i="1"/>
  <c r="E104" i="1"/>
  <c r="C104" i="1"/>
  <c r="Z99" i="1"/>
  <c r="AA99" i="1" s="1"/>
  <c r="X99" i="1"/>
  <c r="V99" i="1"/>
  <c r="W99" i="1" s="1"/>
  <c r="T99" i="1"/>
  <c r="U99" i="1" s="1"/>
  <c r="R99" i="1"/>
  <c r="P99" i="1"/>
  <c r="Q99" i="1" s="1"/>
  <c r="N99" i="1"/>
  <c r="O99" i="1" s="1"/>
  <c r="L99" i="1"/>
  <c r="M99" i="1" s="1"/>
  <c r="J99" i="1"/>
  <c r="H99" i="1"/>
  <c r="I99" i="1" s="1"/>
  <c r="F99" i="1"/>
  <c r="G99" i="1" s="1"/>
  <c r="D99" i="1"/>
  <c r="E99" i="1" s="1"/>
  <c r="B99" i="1"/>
  <c r="C99" i="1" s="1"/>
  <c r="AG98" i="1"/>
  <c r="AB98" i="1"/>
  <c r="AA98" i="1"/>
  <c r="Y98" i="1"/>
  <c r="W98" i="1"/>
  <c r="U98" i="1"/>
  <c r="S98" i="1"/>
  <c r="Q98" i="1"/>
  <c r="O98" i="1"/>
  <c r="M98" i="1"/>
  <c r="K98" i="1"/>
  <c r="I98" i="1"/>
  <c r="G98" i="1"/>
  <c r="E98" i="1"/>
  <c r="C98" i="1"/>
  <c r="AG97" i="1"/>
  <c r="AB97" i="1"/>
  <c r="AA97" i="1"/>
  <c r="Y97" i="1"/>
  <c r="W97" i="1"/>
  <c r="U97" i="1"/>
  <c r="S97" i="1"/>
  <c r="Q97" i="1"/>
  <c r="O97" i="1"/>
  <c r="M97" i="1"/>
  <c r="K97" i="1"/>
  <c r="I97" i="1"/>
  <c r="G97" i="1"/>
  <c r="E97" i="1"/>
  <c r="C97" i="1"/>
  <c r="AG96" i="1"/>
  <c r="AB96" i="1"/>
  <c r="AA96" i="1"/>
  <c r="Y96" i="1"/>
  <c r="W96" i="1"/>
  <c r="U96" i="1"/>
  <c r="S96" i="1"/>
  <c r="Q96" i="1"/>
  <c r="O96" i="1"/>
  <c r="M96" i="1"/>
  <c r="K96" i="1"/>
  <c r="I96" i="1"/>
  <c r="G96" i="1"/>
  <c r="E96" i="1"/>
  <c r="C96" i="1"/>
  <c r="AG95" i="1"/>
  <c r="AB95" i="1"/>
  <c r="AA95" i="1"/>
  <c r="Y95" i="1"/>
  <c r="W95" i="1"/>
  <c r="U95" i="1"/>
  <c r="S95" i="1"/>
  <c r="Q95" i="1"/>
  <c r="O95" i="1"/>
  <c r="M95" i="1"/>
  <c r="K95" i="1"/>
  <c r="I95" i="1"/>
  <c r="G95" i="1"/>
  <c r="E95" i="1"/>
  <c r="C95" i="1"/>
  <c r="AG94" i="1"/>
  <c r="AB94" i="1"/>
  <c r="AA94" i="1"/>
  <c r="Y94" i="1"/>
  <c r="W94" i="1"/>
  <c r="U94" i="1"/>
  <c r="S94" i="1"/>
  <c r="Q94" i="1"/>
  <c r="O94" i="1"/>
  <c r="M94" i="1"/>
  <c r="K94" i="1"/>
  <c r="I94" i="1"/>
  <c r="G94" i="1"/>
  <c r="E94" i="1"/>
  <c r="C94" i="1"/>
  <c r="AG93" i="1"/>
  <c r="AB93" i="1"/>
  <c r="AA93" i="1"/>
  <c r="Y93" i="1"/>
  <c r="W93" i="1"/>
  <c r="U93" i="1"/>
  <c r="S93" i="1"/>
  <c r="Q93" i="1"/>
  <c r="O93" i="1"/>
  <c r="M93" i="1"/>
  <c r="K93" i="1"/>
  <c r="I93" i="1"/>
  <c r="G93" i="1"/>
  <c r="E93" i="1"/>
  <c r="C93" i="1"/>
  <c r="AG92" i="1"/>
  <c r="AB92" i="1"/>
  <c r="AA92" i="1"/>
  <c r="Y92" i="1"/>
  <c r="W92" i="1"/>
  <c r="U92" i="1"/>
  <c r="S92" i="1"/>
  <c r="Q92" i="1"/>
  <c r="O92" i="1"/>
  <c r="M92" i="1"/>
  <c r="K92" i="1"/>
  <c r="I92" i="1"/>
  <c r="G92" i="1"/>
  <c r="E92" i="1"/>
  <c r="C92" i="1"/>
  <c r="AG91" i="1"/>
  <c r="AB91" i="1"/>
  <c r="AA91" i="1"/>
  <c r="Y91" i="1"/>
  <c r="W91" i="1"/>
  <c r="U91" i="1"/>
  <c r="S91" i="1"/>
  <c r="Q91" i="1"/>
  <c r="O91" i="1"/>
  <c r="M91" i="1"/>
  <c r="K91" i="1"/>
  <c r="I91" i="1"/>
  <c r="G91" i="1"/>
  <c r="E91" i="1"/>
  <c r="C91" i="1"/>
  <c r="AG90" i="1"/>
  <c r="AB90" i="1"/>
  <c r="AA90" i="1"/>
  <c r="Y90" i="1"/>
  <c r="W90" i="1"/>
  <c r="U90" i="1"/>
  <c r="S90" i="1"/>
  <c r="Q90" i="1"/>
  <c r="O90" i="1"/>
  <c r="M90" i="1"/>
  <c r="K90" i="1"/>
  <c r="I90" i="1"/>
  <c r="G90" i="1"/>
  <c r="E90" i="1"/>
  <c r="C90" i="1"/>
  <c r="Z85" i="1"/>
  <c r="AA85" i="1" s="1"/>
  <c r="X85" i="1"/>
  <c r="V85" i="1"/>
  <c r="W85" i="1" s="1"/>
  <c r="T85" i="1"/>
  <c r="U85" i="1" s="1"/>
  <c r="R85" i="1"/>
  <c r="P85" i="1"/>
  <c r="Q85" i="1" s="1"/>
  <c r="N85" i="1"/>
  <c r="O85" i="1" s="1"/>
  <c r="L85" i="1"/>
  <c r="M85" i="1" s="1"/>
  <c r="J85" i="1"/>
  <c r="H85" i="1"/>
  <c r="I85" i="1" s="1"/>
  <c r="F85" i="1"/>
  <c r="G85" i="1" s="1"/>
  <c r="D85" i="1"/>
  <c r="E85" i="1" s="1"/>
  <c r="B85" i="1"/>
  <c r="C85" i="1" s="1"/>
  <c r="Z84" i="1"/>
  <c r="AA84" i="1" s="1"/>
  <c r="X84" i="1"/>
  <c r="V84" i="1"/>
  <c r="W84" i="1" s="1"/>
  <c r="T84" i="1"/>
  <c r="U84" i="1" s="1"/>
  <c r="R84" i="1"/>
  <c r="P84" i="1"/>
  <c r="Q84" i="1" s="1"/>
  <c r="N84" i="1"/>
  <c r="O84" i="1" s="1"/>
  <c r="L84" i="1"/>
  <c r="M84" i="1" s="1"/>
  <c r="J84" i="1"/>
  <c r="H84" i="1"/>
  <c r="I84" i="1" s="1"/>
  <c r="F84" i="1"/>
  <c r="G84" i="1" s="1"/>
  <c r="D84" i="1"/>
  <c r="E84" i="1" s="1"/>
  <c r="B84" i="1"/>
  <c r="C84" i="1" s="1"/>
  <c r="AG83" i="1"/>
  <c r="AB83" i="1"/>
  <c r="AA83" i="1"/>
  <c r="Y83" i="1"/>
  <c r="W83" i="1"/>
  <c r="U83" i="1"/>
  <c r="S83" i="1"/>
  <c r="Q83" i="1"/>
  <c r="O83" i="1"/>
  <c r="M83" i="1"/>
  <c r="K83" i="1"/>
  <c r="I83" i="1"/>
  <c r="G83" i="1"/>
  <c r="E83" i="1"/>
  <c r="C83" i="1"/>
  <c r="AG82" i="1"/>
  <c r="AB82" i="1"/>
  <c r="AA82" i="1"/>
  <c r="Y82" i="1"/>
  <c r="W82" i="1"/>
  <c r="U82" i="1"/>
  <c r="S82" i="1"/>
  <c r="Q82" i="1"/>
  <c r="O82" i="1"/>
  <c r="M82" i="1"/>
  <c r="K82" i="1"/>
  <c r="I82" i="1"/>
  <c r="G82" i="1"/>
  <c r="E82" i="1"/>
  <c r="C82" i="1"/>
  <c r="Z81" i="1"/>
  <c r="AA81" i="1" s="1"/>
  <c r="X81" i="1"/>
  <c r="V81" i="1"/>
  <c r="W81" i="1" s="1"/>
  <c r="T81" i="1"/>
  <c r="U81" i="1" s="1"/>
  <c r="R81" i="1"/>
  <c r="P81" i="1"/>
  <c r="Q81" i="1" s="1"/>
  <c r="N81" i="1"/>
  <c r="O81" i="1" s="1"/>
  <c r="L81" i="1"/>
  <c r="M81" i="1" s="1"/>
  <c r="J81" i="1"/>
  <c r="H81" i="1"/>
  <c r="I81" i="1" s="1"/>
  <c r="F81" i="1"/>
  <c r="G81" i="1" s="1"/>
  <c r="D81" i="1"/>
  <c r="E81" i="1" s="1"/>
  <c r="B81" i="1"/>
  <c r="C81" i="1" s="1"/>
  <c r="AG80" i="1"/>
  <c r="AB80" i="1"/>
  <c r="AA80" i="1"/>
  <c r="Y80" i="1"/>
  <c r="W80" i="1"/>
  <c r="U80" i="1"/>
  <c r="S80" i="1"/>
  <c r="Q80" i="1"/>
  <c r="O80" i="1"/>
  <c r="M80" i="1"/>
  <c r="K80" i="1"/>
  <c r="I80" i="1"/>
  <c r="G80" i="1"/>
  <c r="E80" i="1"/>
  <c r="C80" i="1"/>
  <c r="AG79" i="1"/>
  <c r="AB79" i="1"/>
  <c r="AA79" i="1"/>
  <c r="Y79" i="1"/>
  <c r="W79" i="1"/>
  <c r="U79" i="1"/>
  <c r="S79" i="1"/>
  <c r="Q79" i="1"/>
  <c r="O79" i="1"/>
  <c r="M79" i="1"/>
  <c r="K79" i="1"/>
  <c r="I79" i="1"/>
  <c r="G79" i="1"/>
  <c r="E79" i="1"/>
  <c r="C79" i="1"/>
  <c r="AG78" i="1"/>
  <c r="AB78" i="1"/>
  <c r="AA78" i="1"/>
  <c r="Y78" i="1"/>
  <c r="W78" i="1"/>
  <c r="U78" i="1"/>
  <c r="S78" i="1"/>
  <c r="Q78" i="1"/>
  <c r="O78" i="1"/>
  <c r="M78" i="1"/>
  <c r="K78" i="1"/>
  <c r="I78" i="1"/>
  <c r="G78" i="1"/>
  <c r="E78" i="1"/>
  <c r="C78" i="1"/>
  <c r="AG77" i="1"/>
  <c r="AB77" i="1"/>
  <c r="AA77" i="1"/>
  <c r="Y77" i="1"/>
  <c r="W77" i="1"/>
  <c r="U77" i="1"/>
  <c r="S77" i="1"/>
  <c r="Q77" i="1"/>
  <c r="O77" i="1"/>
  <c r="M77" i="1"/>
  <c r="K77" i="1"/>
  <c r="I77" i="1"/>
  <c r="G77" i="1"/>
  <c r="E77" i="1"/>
  <c r="C77" i="1"/>
  <c r="AG76" i="1"/>
  <c r="AB76" i="1"/>
  <c r="AA76" i="1"/>
  <c r="Y76" i="1"/>
  <c r="W76" i="1"/>
  <c r="U76" i="1"/>
  <c r="S76" i="1"/>
  <c r="Q76" i="1"/>
  <c r="O76" i="1"/>
  <c r="M76" i="1"/>
  <c r="K76" i="1"/>
  <c r="I76" i="1"/>
  <c r="G76" i="1"/>
  <c r="E76" i="1"/>
  <c r="C76" i="1"/>
  <c r="AG75" i="1"/>
  <c r="AB75" i="1"/>
  <c r="AA75" i="1"/>
  <c r="Y75" i="1"/>
  <c r="W75" i="1"/>
  <c r="U75" i="1"/>
  <c r="S75" i="1"/>
  <c r="Q75" i="1"/>
  <c r="O75" i="1"/>
  <c r="M75" i="1"/>
  <c r="K75" i="1"/>
  <c r="I75" i="1"/>
  <c r="G75" i="1"/>
  <c r="E75" i="1"/>
  <c r="C75" i="1"/>
  <c r="AG74" i="1"/>
  <c r="AB74" i="1"/>
  <c r="AA74" i="1"/>
  <c r="Y74" i="1"/>
  <c r="W74" i="1"/>
  <c r="U74" i="1"/>
  <c r="S74" i="1"/>
  <c r="Q74" i="1"/>
  <c r="O74" i="1"/>
  <c r="M74" i="1"/>
  <c r="K74" i="1"/>
  <c r="I74" i="1"/>
  <c r="G74" i="1"/>
  <c r="E74" i="1"/>
  <c r="C74" i="1"/>
  <c r="AG72" i="1"/>
  <c r="AB72" i="1"/>
  <c r="AA72" i="1"/>
  <c r="Y72" i="1"/>
  <c r="W72" i="1"/>
  <c r="U72" i="1"/>
  <c r="S72" i="1"/>
  <c r="Q72" i="1"/>
  <c r="O72" i="1"/>
  <c r="M72" i="1"/>
  <c r="K72" i="1"/>
  <c r="I72" i="1"/>
  <c r="G72" i="1"/>
  <c r="E72" i="1"/>
  <c r="C72" i="1"/>
  <c r="AG71" i="1"/>
  <c r="AB71" i="1"/>
  <c r="AA71" i="1"/>
  <c r="Y71" i="1"/>
  <c r="W71" i="1"/>
  <c r="U71" i="1"/>
  <c r="S71" i="1"/>
  <c r="Q71" i="1"/>
  <c r="O71" i="1"/>
  <c r="M71" i="1"/>
  <c r="K71" i="1"/>
  <c r="I71" i="1"/>
  <c r="G71" i="1"/>
  <c r="E71" i="1"/>
  <c r="C71" i="1"/>
  <c r="Z70" i="1"/>
  <c r="AA70" i="1" s="1"/>
  <c r="X70" i="1"/>
  <c r="V70" i="1"/>
  <c r="W70" i="1" s="1"/>
  <c r="T70" i="1"/>
  <c r="U70" i="1" s="1"/>
  <c r="R70" i="1"/>
  <c r="P70" i="1"/>
  <c r="Q70" i="1" s="1"/>
  <c r="N70" i="1"/>
  <c r="O70" i="1" s="1"/>
  <c r="L70" i="1"/>
  <c r="M70" i="1" s="1"/>
  <c r="J70" i="1"/>
  <c r="H70" i="1"/>
  <c r="I70" i="1" s="1"/>
  <c r="F70" i="1"/>
  <c r="G70" i="1" s="1"/>
  <c r="D70" i="1"/>
  <c r="E70" i="1" s="1"/>
  <c r="B70" i="1"/>
  <c r="C70" i="1" s="1"/>
  <c r="AG69" i="1"/>
  <c r="AB69" i="1"/>
  <c r="AA69" i="1"/>
  <c r="Y69" i="1"/>
  <c r="W69" i="1"/>
  <c r="U69" i="1"/>
  <c r="S69" i="1"/>
  <c r="Q69" i="1"/>
  <c r="O69" i="1"/>
  <c r="M69" i="1"/>
  <c r="K69" i="1"/>
  <c r="I69" i="1"/>
  <c r="G69" i="1"/>
  <c r="E69" i="1"/>
  <c r="C69" i="1"/>
  <c r="AG68" i="1"/>
  <c r="AB68" i="1"/>
  <c r="AA68" i="1"/>
  <c r="Y68" i="1"/>
  <c r="W68" i="1"/>
  <c r="U68" i="1"/>
  <c r="S68" i="1"/>
  <c r="Q68" i="1"/>
  <c r="O68" i="1"/>
  <c r="M68" i="1"/>
  <c r="K68" i="1"/>
  <c r="I68" i="1"/>
  <c r="G68" i="1"/>
  <c r="E68" i="1"/>
  <c r="C68" i="1"/>
  <c r="AG67" i="1"/>
  <c r="AB67" i="1"/>
  <c r="AA67" i="1"/>
  <c r="Y67" i="1"/>
  <c r="W67" i="1"/>
  <c r="U67" i="1"/>
  <c r="S67" i="1"/>
  <c r="Q67" i="1"/>
  <c r="O67" i="1"/>
  <c r="M67" i="1"/>
  <c r="K67" i="1"/>
  <c r="I67" i="1"/>
  <c r="G67" i="1"/>
  <c r="E67" i="1"/>
  <c r="C67" i="1"/>
  <c r="AG66" i="1"/>
  <c r="AB66" i="1"/>
  <c r="AA66" i="1"/>
  <c r="Y66" i="1"/>
  <c r="W66" i="1"/>
  <c r="U66" i="1"/>
  <c r="S66" i="1"/>
  <c r="Q66" i="1"/>
  <c r="O66" i="1"/>
  <c r="M66" i="1"/>
  <c r="K66" i="1"/>
  <c r="I66" i="1"/>
  <c r="G66" i="1"/>
  <c r="E66" i="1"/>
  <c r="C66" i="1"/>
  <c r="AG65" i="1"/>
  <c r="AB65" i="1"/>
  <c r="AA65" i="1"/>
  <c r="Y65" i="1"/>
  <c r="W65" i="1"/>
  <c r="U65" i="1"/>
  <c r="S65" i="1"/>
  <c r="Q65" i="1"/>
  <c r="O65" i="1"/>
  <c r="M65" i="1"/>
  <c r="K65" i="1"/>
  <c r="I65" i="1"/>
  <c r="G65" i="1"/>
  <c r="E65" i="1"/>
  <c r="C65" i="1"/>
  <c r="AG63" i="1"/>
  <c r="AB63" i="1"/>
  <c r="AA63" i="1"/>
  <c r="Y63" i="1"/>
  <c r="W63" i="1"/>
  <c r="U63" i="1"/>
  <c r="S63" i="1"/>
  <c r="Q63" i="1"/>
  <c r="O63" i="1"/>
  <c r="M63" i="1"/>
  <c r="K63" i="1"/>
  <c r="I63" i="1"/>
  <c r="G63" i="1"/>
  <c r="E63" i="1"/>
  <c r="C63" i="1"/>
  <c r="Z57" i="1"/>
  <c r="AA57" i="1" s="1"/>
  <c r="X57" i="1"/>
  <c r="V57" i="1"/>
  <c r="W57" i="1" s="1"/>
  <c r="T57" i="1"/>
  <c r="U57" i="1" s="1"/>
  <c r="R57" i="1"/>
  <c r="P57" i="1"/>
  <c r="Q57" i="1" s="1"/>
  <c r="N57" i="1"/>
  <c r="O57" i="1" s="1"/>
  <c r="L57" i="1"/>
  <c r="M57" i="1" s="1"/>
  <c r="J57" i="1"/>
  <c r="H57" i="1"/>
  <c r="I57" i="1" s="1"/>
  <c r="F57" i="1"/>
  <c r="G57" i="1" s="1"/>
  <c r="D57" i="1"/>
  <c r="E57" i="1" s="1"/>
  <c r="B57" i="1"/>
  <c r="C57" i="1" s="1"/>
  <c r="Z56" i="1"/>
  <c r="AA56" i="1" s="1"/>
  <c r="X56" i="1"/>
  <c r="V56" i="1"/>
  <c r="W56" i="1" s="1"/>
  <c r="T56" i="1"/>
  <c r="U56" i="1" s="1"/>
  <c r="R56" i="1"/>
  <c r="P56" i="1"/>
  <c r="Q56" i="1" s="1"/>
  <c r="N56" i="1"/>
  <c r="O56" i="1" s="1"/>
  <c r="L56" i="1"/>
  <c r="M56" i="1" s="1"/>
  <c r="J56" i="1"/>
  <c r="H56" i="1"/>
  <c r="I56" i="1" s="1"/>
  <c r="F56" i="1"/>
  <c r="G56" i="1" s="1"/>
  <c r="D56" i="1"/>
  <c r="E56" i="1" s="1"/>
  <c r="B56" i="1"/>
  <c r="C56" i="1" s="1"/>
  <c r="AG55" i="1"/>
  <c r="AB55" i="1"/>
  <c r="AA55" i="1"/>
  <c r="Y55" i="1"/>
  <c r="W55" i="1"/>
  <c r="U55" i="1"/>
  <c r="S55" i="1"/>
  <c r="Q55" i="1"/>
  <c r="O55" i="1"/>
  <c r="M55" i="1"/>
  <c r="K55" i="1"/>
  <c r="I55" i="1"/>
  <c r="G55" i="1"/>
  <c r="E55" i="1"/>
  <c r="C55" i="1"/>
  <c r="AG54" i="1"/>
  <c r="AB54" i="1"/>
  <c r="AA54" i="1"/>
  <c r="Y54" i="1"/>
  <c r="W54" i="1"/>
  <c r="U54" i="1"/>
  <c r="S54" i="1"/>
  <c r="Q54" i="1"/>
  <c r="O54" i="1"/>
  <c r="M54" i="1"/>
  <c r="K54" i="1"/>
  <c r="I54" i="1"/>
  <c r="G54" i="1"/>
  <c r="E54" i="1"/>
  <c r="C54" i="1"/>
  <c r="AG53" i="1"/>
  <c r="AB53" i="1"/>
  <c r="AA53" i="1"/>
  <c r="Y53" i="1"/>
  <c r="W53" i="1"/>
  <c r="U53" i="1"/>
  <c r="S53" i="1"/>
  <c r="Q53" i="1"/>
  <c r="O53" i="1"/>
  <c r="M53" i="1"/>
  <c r="K53" i="1"/>
  <c r="I53" i="1"/>
  <c r="G53" i="1"/>
  <c r="E53" i="1"/>
  <c r="C53" i="1"/>
  <c r="Z52" i="1"/>
  <c r="AA52" i="1" s="1"/>
  <c r="X52" i="1"/>
  <c r="V52" i="1"/>
  <c r="W52" i="1" s="1"/>
  <c r="T52" i="1"/>
  <c r="U52" i="1" s="1"/>
  <c r="R52" i="1"/>
  <c r="P52" i="1"/>
  <c r="Q52" i="1" s="1"/>
  <c r="N52" i="1"/>
  <c r="O52" i="1" s="1"/>
  <c r="L52" i="1"/>
  <c r="M52" i="1" s="1"/>
  <c r="J52" i="1"/>
  <c r="H52" i="1"/>
  <c r="I52" i="1" s="1"/>
  <c r="F52" i="1"/>
  <c r="G52" i="1" s="1"/>
  <c r="D52" i="1"/>
  <c r="E52" i="1" s="1"/>
  <c r="B52" i="1"/>
  <c r="C52" i="1" s="1"/>
  <c r="AG51" i="1"/>
  <c r="AB51" i="1"/>
  <c r="AA51" i="1"/>
  <c r="Y51" i="1"/>
  <c r="W51" i="1"/>
  <c r="U51" i="1"/>
  <c r="S51" i="1"/>
  <c r="Q51" i="1"/>
  <c r="O51" i="1"/>
  <c r="M51" i="1"/>
  <c r="K51" i="1"/>
  <c r="I51" i="1"/>
  <c r="G51" i="1"/>
  <c r="E51" i="1"/>
  <c r="C51" i="1"/>
  <c r="AG50" i="1"/>
  <c r="AB50" i="1"/>
  <c r="AA50" i="1"/>
  <c r="Y50" i="1"/>
  <c r="W50" i="1"/>
  <c r="U50" i="1"/>
  <c r="S50" i="1"/>
  <c r="Q50" i="1"/>
  <c r="O50" i="1"/>
  <c r="M50" i="1"/>
  <c r="K50" i="1"/>
  <c r="I50" i="1"/>
  <c r="G50" i="1"/>
  <c r="E50" i="1"/>
  <c r="C50" i="1"/>
  <c r="AG49" i="1"/>
  <c r="AB49" i="1"/>
  <c r="AA49" i="1"/>
  <c r="Y49" i="1"/>
  <c r="W49" i="1"/>
  <c r="U49" i="1"/>
  <c r="S49" i="1"/>
  <c r="Q49" i="1"/>
  <c r="O49" i="1"/>
  <c r="M49" i="1"/>
  <c r="K49" i="1"/>
  <c r="I49" i="1"/>
  <c r="G49" i="1"/>
  <c r="E49" i="1"/>
  <c r="C49" i="1"/>
  <c r="AG48" i="1"/>
  <c r="AB48" i="1"/>
  <c r="AA48" i="1"/>
  <c r="Y48" i="1"/>
  <c r="W48" i="1"/>
  <c r="U48" i="1"/>
  <c r="S48" i="1"/>
  <c r="Q48" i="1"/>
  <c r="O48" i="1"/>
  <c r="M48" i="1"/>
  <c r="K48" i="1"/>
  <c r="I48" i="1"/>
  <c r="G48" i="1"/>
  <c r="E48" i="1"/>
  <c r="C48" i="1"/>
  <c r="AG47" i="1"/>
  <c r="AB47" i="1"/>
  <c r="AA47" i="1"/>
  <c r="Y47" i="1"/>
  <c r="W47" i="1"/>
  <c r="U47" i="1"/>
  <c r="S47" i="1"/>
  <c r="Q47" i="1"/>
  <c r="O47" i="1"/>
  <c r="M47" i="1"/>
  <c r="K47" i="1"/>
  <c r="I47" i="1"/>
  <c r="G47" i="1"/>
  <c r="E47" i="1"/>
  <c r="C47" i="1"/>
  <c r="AG46" i="1"/>
  <c r="AB46" i="1"/>
  <c r="AA46" i="1"/>
  <c r="Y46" i="1"/>
  <c r="W46" i="1"/>
  <c r="U46" i="1"/>
  <c r="S46" i="1"/>
  <c r="Q46" i="1"/>
  <c r="O46" i="1"/>
  <c r="M46" i="1"/>
  <c r="K46" i="1"/>
  <c r="I46" i="1"/>
  <c r="G46" i="1"/>
  <c r="E46" i="1"/>
  <c r="C46" i="1"/>
  <c r="Z44" i="1"/>
  <c r="AA44" i="1" s="1"/>
  <c r="X44" i="1"/>
  <c r="V44" i="1"/>
  <c r="W44" i="1" s="1"/>
  <c r="T44" i="1"/>
  <c r="U44" i="1" s="1"/>
  <c r="R44" i="1"/>
  <c r="P44" i="1"/>
  <c r="Q44" i="1" s="1"/>
  <c r="N44" i="1"/>
  <c r="O44" i="1" s="1"/>
  <c r="L44" i="1"/>
  <c r="M44" i="1" s="1"/>
  <c r="J44" i="1"/>
  <c r="H44" i="1"/>
  <c r="I44" i="1" s="1"/>
  <c r="F44" i="1"/>
  <c r="G44" i="1" s="1"/>
  <c r="D44" i="1"/>
  <c r="E44" i="1" s="1"/>
  <c r="B44" i="1"/>
  <c r="C44" i="1" s="1"/>
  <c r="AG43" i="1"/>
  <c r="AB43" i="1"/>
  <c r="AA43" i="1"/>
  <c r="Y43" i="1"/>
  <c r="W43" i="1"/>
  <c r="U43" i="1"/>
  <c r="S43" i="1"/>
  <c r="Q43" i="1"/>
  <c r="O43" i="1"/>
  <c r="M43" i="1"/>
  <c r="K43" i="1"/>
  <c r="I43" i="1"/>
  <c r="G43" i="1"/>
  <c r="E43" i="1"/>
  <c r="C43" i="1"/>
  <c r="AG42" i="1"/>
  <c r="AB42" i="1"/>
  <c r="AA42" i="1"/>
  <c r="Y42" i="1"/>
  <c r="W42" i="1"/>
  <c r="U42" i="1"/>
  <c r="S42" i="1"/>
  <c r="Q42" i="1"/>
  <c r="O42" i="1"/>
  <c r="M42" i="1"/>
  <c r="K42" i="1"/>
  <c r="I42" i="1"/>
  <c r="G42" i="1"/>
  <c r="E42" i="1"/>
  <c r="C42" i="1"/>
  <c r="AG41" i="1"/>
  <c r="AB41" i="1"/>
  <c r="AA41" i="1"/>
  <c r="Y41" i="1"/>
  <c r="W41" i="1"/>
  <c r="U41" i="1"/>
  <c r="S41" i="1"/>
  <c r="Q41" i="1"/>
  <c r="O41" i="1"/>
  <c r="M41" i="1"/>
  <c r="K41" i="1"/>
  <c r="I41" i="1"/>
  <c r="G41" i="1"/>
  <c r="E41" i="1"/>
  <c r="C41" i="1"/>
  <c r="AG40" i="1"/>
  <c r="AB40" i="1"/>
  <c r="AA40" i="1"/>
  <c r="Y40" i="1"/>
  <c r="W40" i="1"/>
  <c r="U40" i="1"/>
  <c r="S40" i="1"/>
  <c r="Q40" i="1"/>
  <c r="O40" i="1"/>
  <c r="M40" i="1"/>
  <c r="K40" i="1"/>
  <c r="I40" i="1"/>
  <c r="G40" i="1"/>
  <c r="E40" i="1"/>
  <c r="C40" i="1"/>
  <c r="AG39" i="1"/>
  <c r="AB39" i="1"/>
  <c r="AA39" i="1"/>
  <c r="Y39" i="1"/>
  <c r="W39" i="1"/>
  <c r="U39" i="1"/>
  <c r="S39" i="1"/>
  <c r="Q39" i="1"/>
  <c r="O39" i="1"/>
  <c r="M39" i="1"/>
  <c r="K39" i="1"/>
  <c r="I39" i="1"/>
  <c r="G39" i="1"/>
  <c r="E39" i="1"/>
  <c r="C39" i="1"/>
  <c r="AG37" i="1"/>
  <c r="AB37" i="1"/>
  <c r="AA37" i="1"/>
  <c r="Y37" i="1"/>
  <c r="W37" i="1"/>
  <c r="U37" i="1"/>
  <c r="S37" i="1"/>
  <c r="Q37" i="1"/>
  <c r="O37" i="1"/>
  <c r="M37" i="1"/>
  <c r="K37" i="1"/>
  <c r="I37" i="1"/>
  <c r="G37" i="1"/>
  <c r="E37" i="1"/>
  <c r="C37" i="1"/>
  <c r="Z35" i="1"/>
  <c r="AA35" i="1" s="1"/>
  <c r="X35" i="1"/>
  <c r="V35" i="1"/>
  <c r="W35" i="1" s="1"/>
  <c r="T35" i="1"/>
  <c r="U35" i="1" s="1"/>
  <c r="R35" i="1"/>
  <c r="P35" i="1"/>
  <c r="Q35" i="1" s="1"/>
  <c r="N35" i="1"/>
  <c r="O35" i="1" s="1"/>
  <c r="L35" i="1"/>
  <c r="M35" i="1" s="1"/>
  <c r="J35" i="1"/>
  <c r="H35" i="1"/>
  <c r="I35" i="1" s="1"/>
  <c r="F35" i="1"/>
  <c r="G35" i="1" s="1"/>
  <c r="D35" i="1"/>
  <c r="E35" i="1" s="1"/>
  <c r="B35" i="1"/>
  <c r="C35" i="1" s="1"/>
  <c r="Z34" i="1"/>
  <c r="AA34" i="1" s="1"/>
  <c r="X34" i="1"/>
  <c r="V34" i="1"/>
  <c r="W34" i="1" s="1"/>
  <c r="T34" i="1"/>
  <c r="U34" i="1" s="1"/>
  <c r="R34" i="1"/>
  <c r="P34" i="1"/>
  <c r="Q34" i="1" s="1"/>
  <c r="N34" i="1"/>
  <c r="O34" i="1" s="1"/>
  <c r="L34" i="1"/>
  <c r="M34" i="1" s="1"/>
  <c r="J34" i="1"/>
  <c r="H34" i="1"/>
  <c r="I34" i="1" s="1"/>
  <c r="F34" i="1"/>
  <c r="G34" i="1" s="1"/>
  <c r="D34" i="1"/>
  <c r="E34" i="1" s="1"/>
  <c r="B34" i="1"/>
  <c r="C34" i="1" s="1"/>
  <c r="AG33" i="1"/>
  <c r="AB33" i="1"/>
  <c r="AA33" i="1"/>
  <c r="Y33" i="1"/>
  <c r="W33" i="1"/>
  <c r="U33" i="1"/>
  <c r="S33" i="1"/>
  <c r="Q33" i="1"/>
  <c r="O33" i="1"/>
  <c r="M33" i="1"/>
  <c r="K33" i="1"/>
  <c r="I33" i="1"/>
  <c r="G33" i="1"/>
  <c r="E33" i="1"/>
  <c r="C33" i="1"/>
  <c r="AG32" i="1"/>
  <c r="AB32" i="1"/>
  <c r="AA32" i="1"/>
  <c r="Y32" i="1"/>
  <c r="W32" i="1"/>
  <c r="U32" i="1"/>
  <c r="S32" i="1"/>
  <c r="Q32" i="1"/>
  <c r="O32" i="1"/>
  <c r="M32" i="1"/>
  <c r="K32" i="1"/>
  <c r="I32" i="1"/>
  <c r="G32" i="1"/>
  <c r="E32" i="1"/>
  <c r="C32" i="1"/>
  <c r="AG31" i="1"/>
  <c r="AB31" i="1"/>
  <c r="AA31" i="1"/>
  <c r="Y31" i="1"/>
  <c r="W31" i="1"/>
  <c r="U31" i="1"/>
  <c r="S31" i="1"/>
  <c r="Q31" i="1"/>
  <c r="O31" i="1"/>
  <c r="M31" i="1"/>
  <c r="K31" i="1"/>
  <c r="I31" i="1"/>
  <c r="G31" i="1"/>
  <c r="E31" i="1"/>
  <c r="C31" i="1"/>
  <c r="AG30" i="1"/>
  <c r="AB30" i="1"/>
  <c r="AA30" i="1"/>
  <c r="Y30" i="1"/>
  <c r="W30" i="1"/>
  <c r="U30" i="1"/>
  <c r="S30" i="1"/>
  <c r="Q30" i="1"/>
  <c r="O30" i="1"/>
  <c r="M30" i="1"/>
  <c r="K30" i="1"/>
  <c r="I30" i="1"/>
  <c r="G30" i="1"/>
  <c r="E30" i="1"/>
  <c r="C30" i="1"/>
  <c r="AG29" i="1"/>
  <c r="AB29" i="1"/>
  <c r="AA29" i="1"/>
  <c r="Y29" i="1"/>
  <c r="W29" i="1"/>
  <c r="U29" i="1"/>
  <c r="S29" i="1"/>
  <c r="Q29" i="1"/>
  <c r="O29" i="1"/>
  <c r="M29" i="1"/>
  <c r="K29" i="1"/>
  <c r="I29" i="1"/>
  <c r="G29" i="1"/>
  <c r="E29" i="1"/>
  <c r="C29" i="1"/>
  <c r="Z27" i="1"/>
  <c r="AA27" i="1" s="1"/>
  <c r="X27" i="1"/>
  <c r="V27" i="1"/>
  <c r="W27" i="1" s="1"/>
  <c r="T27" i="1"/>
  <c r="U27" i="1" s="1"/>
  <c r="R27" i="1"/>
  <c r="P27" i="1"/>
  <c r="Q27" i="1" s="1"/>
  <c r="N27" i="1"/>
  <c r="O27" i="1" s="1"/>
  <c r="L27" i="1"/>
  <c r="M27" i="1" s="1"/>
  <c r="J27" i="1"/>
  <c r="H27" i="1"/>
  <c r="I27" i="1" s="1"/>
  <c r="F27" i="1"/>
  <c r="G27" i="1" s="1"/>
  <c r="D27" i="1"/>
  <c r="E27" i="1" s="1"/>
  <c r="B27" i="1"/>
  <c r="C27" i="1" s="1"/>
  <c r="AG26" i="1"/>
  <c r="AB26" i="1"/>
  <c r="AA26" i="1"/>
  <c r="Y26" i="1"/>
  <c r="W26" i="1"/>
  <c r="U26" i="1"/>
  <c r="S26" i="1"/>
  <c r="Q26" i="1"/>
  <c r="O26" i="1"/>
  <c r="M26" i="1"/>
  <c r="K26" i="1"/>
  <c r="I26" i="1"/>
  <c r="G26" i="1"/>
  <c r="E26" i="1"/>
  <c r="C26" i="1"/>
  <c r="AG25" i="1"/>
  <c r="AB25" i="1"/>
  <c r="AA25" i="1"/>
  <c r="Y25" i="1"/>
  <c r="W25" i="1"/>
  <c r="U25" i="1"/>
  <c r="S25" i="1"/>
  <c r="Q25" i="1"/>
  <c r="O25" i="1"/>
  <c r="M25" i="1"/>
  <c r="K25" i="1"/>
  <c r="I25" i="1"/>
  <c r="G25" i="1"/>
  <c r="E25" i="1"/>
  <c r="C25" i="1"/>
  <c r="AG24" i="1"/>
  <c r="AB24" i="1"/>
  <c r="AA24" i="1"/>
  <c r="Y24" i="1"/>
  <c r="W24" i="1"/>
  <c r="U24" i="1"/>
  <c r="S24" i="1"/>
  <c r="Q24" i="1"/>
  <c r="O24" i="1"/>
  <c r="M24" i="1"/>
  <c r="K24" i="1"/>
  <c r="I24" i="1"/>
  <c r="G24" i="1"/>
  <c r="E24" i="1"/>
  <c r="C24" i="1"/>
  <c r="AG23" i="1"/>
  <c r="AB23" i="1"/>
  <c r="AA23" i="1"/>
  <c r="Y23" i="1"/>
  <c r="W23" i="1"/>
  <c r="U23" i="1"/>
  <c r="S23" i="1"/>
  <c r="Q23" i="1"/>
  <c r="O23" i="1"/>
  <c r="M23" i="1"/>
  <c r="K23" i="1"/>
  <c r="I23" i="1"/>
  <c r="G23" i="1"/>
  <c r="E23" i="1"/>
  <c r="C23" i="1"/>
  <c r="AG22" i="1"/>
  <c r="AB22" i="1"/>
  <c r="AA22" i="1"/>
  <c r="Y22" i="1"/>
  <c r="W22" i="1"/>
  <c r="U22" i="1"/>
  <c r="S22" i="1"/>
  <c r="Q22" i="1"/>
  <c r="O22" i="1"/>
  <c r="M22" i="1"/>
  <c r="K22" i="1"/>
  <c r="I22" i="1"/>
  <c r="G22" i="1"/>
  <c r="E22" i="1"/>
  <c r="C22" i="1"/>
  <c r="AG21" i="1"/>
  <c r="AB21" i="1"/>
  <c r="AA21" i="1"/>
  <c r="Y21" i="1"/>
  <c r="W21" i="1"/>
  <c r="U21" i="1"/>
  <c r="S21" i="1"/>
  <c r="Q21" i="1"/>
  <c r="O21" i="1"/>
  <c r="M21" i="1"/>
  <c r="K21" i="1"/>
  <c r="I21" i="1"/>
  <c r="G21" i="1"/>
  <c r="E21" i="1"/>
  <c r="C21" i="1"/>
  <c r="AG20" i="1"/>
  <c r="AB20" i="1"/>
  <c r="AA20" i="1"/>
  <c r="Y20" i="1"/>
  <c r="W20" i="1"/>
  <c r="U20" i="1"/>
  <c r="S20" i="1"/>
  <c r="Q20" i="1"/>
  <c r="O20" i="1"/>
  <c r="M20" i="1"/>
  <c r="K20" i="1"/>
  <c r="I20" i="1"/>
  <c r="G20" i="1"/>
  <c r="E20" i="1"/>
  <c r="C20" i="1"/>
  <c r="AG19" i="1"/>
  <c r="AB19" i="1"/>
  <c r="AA19" i="1"/>
  <c r="Y19" i="1"/>
  <c r="W19" i="1"/>
  <c r="U19" i="1"/>
  <c r="S19" i="1"/>
  <c r="Q19" i="1"/>
  <c r="O19" i="1"/>
  <c r="M19" i="1"/>
  <c r="K19" i="1"/>
  <c r="I19" i="1"/>
  <c r="G19" i="1"/>
  <c r="E19" i="1"/>
  <c r="C19" i="1"/>
  <c r="AG18" i="1"/>
  <c r="AB18" i="1"/>
  <c r="AA18" i="1"/>
  <c r="Y18" i="1"/>
  <c r="W18" i="1"/>
  <c r="U18" i="1"/>
  <c r="S18" i="1"/>
  <c r="Q18" i="1"/>
  <c r="O18" i="1"/>
  <c r="M18" i="1"/>
  <c r="K18" i="1"/>
  <c r="I18" i="1"/>
  <c r="G18" i="1"/>
  <c r="E18" i="1"/>
  <c r="C18" i="1"/>
  <c r="AG17" i="1"/>
  <c r="AB17" i="1"/>
  <c r="AA17" i="1"/>
  <c r="Y17" i="1"/>
  <c r="W17" i="1"/>
  <c r="U17" i="1"/>
  <c r="S17" i="1"/>
  <c r="Q17" i="1"/>
  <c r="O17" i="1"/>
  <c r="M17" i="1"/>
  <c r="K17" i="1"/>
  <c r="I17" i="1"/>
  <c r="G17" i="1"/>
  <c r="E17" i="1"/>
  <c r="C17" i="1"/>
  <c r="AG16" i="1"/>
  <c r="AB16" i="1"/>
  <c r="AA16" i="1"/>
  <c r="Y16" i="1"/>
  <c r="W16" i="1"/>
  <c r="U16" i="1"/>
  <c r="S16" i="1"/>
  <c r="Q16" i="1"/>
  <c r="O16" i="1"/>
  <c r="M16" i="1"/>
  <c r="K16" i="1"/>
  <c r="I16" i="1"/>
  <c r="G16" i="1"/>
  <c r="E16" i="1"/>
  <c r="C16" i="1"/>
  <c r="AG15" i="1"/>
  <c r="AB15" i="1"/>
  <c r="AA15" i="1"/>
  <c r="Y15" i="1"/>
  <c r="W15" i="1"/>
  <c r="U15" i="1"/>
  <c r="S15" i="1"/>
  <c r="Q15" i="1"/>
  <c r="O15" i="1"/>
  <c r="M15" i="1"/>
  <c r="K15" i="1"/>
  <c r="I15" i="1"/>
  <c r="G15" i="1"/>
  <c r="E15" i="1"/>
  <c r="C15" i="1"/>
  <c r="AG13" i="1"/>
  <c r="AB13" i="1"/>
  <c r="AA13" i="1"/>
  <c r="Y13" i="1"/>
  <c r="W13" i="1"/>
  <c r="U13" i="1"/>
  <c r="S13" i="1"/>
  <c r="Q13" i="1"/>
  <c r="O13" i="1"/>
  <c r="M13" i="1"/>
  <c r="K13" i="1"/>
  <c r="I13" i="1"/>
  <c r="G13" i="1"/>
  <c r="E13" i="1"/>
  <c r="C13" i="1"/>
  <c r="Z9" i="1"/>
  <c r="X9" i="1"/>
  <c r="V9" i="1"/>
  <c r="T9" i="1"/>
  <c r="R9" i="1"/>
  <c r="P9" i="1"/>
  <c r="N9" i="1"/>
  <c r="L9" i="1"/>
  <c r="J9" i="1"/>
  <c r="H9" i="1"/>
  <c r="F9" i="1"/>
  <c r="D9" i="1"/>
  <c r="B9" i="1"/>
  <c r="AG8" i="1"/>
  <c r="AB8" i="1"/>
  <c r="AA8" i="1"/>
  <c r="Y8" i="1"/>
  <c r="W8" i="1"/>
  <c r="U8" i="1"/>
  <c r="S8" i="1"/>
  <c r="Q8" i="1"/>
  <c r="O8" i="1"/>
  <c r="M8" i="1"/>
  <c r="K8" i="1"/>
  <c r="I8" i="1"/>
  <c r="G8" i="1"/>
  <c r="E8" i="1"/>
  <c r="C8" i="1"/>
  <c r="AG7" i="1"/>
  <c r="AB7" i="1"/>
  <c r="AA7" i="1"/>
  <c r="Y7" i="1"/>
  <c r="W7" i="1"/>
  <c r="U7" i="1"/>
  <c r="S7" i="1"/>
  <c r="Q7" i="1"/>
  <c r="O7" i="1"/>
  <c r="M7" i="1"/>
  <c r="K7" i="1"/>
  <c r="I7" i="1"/>
  <c r="G7" i="1"/>
  <c r="E7" i="1"/>
  <c r="C7" i="1"/>
  <c r="AF7" i="5" l="1"/>
  <c r="AD7" i="5"/>
  <c r="AC7" i="5"/>
  <c r="AK7" i="5"/>
  <c r="AI7" i="5"/>
  <c r="AH7" i="5"/>
  <c r="AF8" i="5"/>
  <c r="AD8" i="5"/>
  <c r="AC8" i="5"/>
  <c r="AK8" i="5"/>
  <c r="AI8" i="5"/>
  <c r="AH8" i="5"/>
  <c r="B59" i="5"/>
  <c r="C9" i="5"/>
  <c r="D59" i="5"/>
  <c r="E9" i="5"/>
  <c r="F59" i="5"/>
  <c r="G9" i="5"/>
  <c r="H59" i="5"/>
  <c r="I9" i="5"/>
  <c r="J59" i="5"/>
  <c r="AG9" i="5"/>
  <c r="AH9" i="5" s="1"/>
  <c r="K9" i="5"/>
  <c r="L59" i="5"/>
  <c r="M9" i="5"/>
  <c r="N59" i="5"/>
  <c r="O9" i="5"/>
  <c r="P59" i="5"/>
  <c r="Q9" i="5"/>
  <c r="R59" i="5"/>
  <c r="AB9" i="5"/>
  <c r="AC9" i="5" s="1"/>
  <c r="S9" i="5"/>
  <c r="T59" i="5"/>
  <c r="U9" i="5"/>
  <c r="V59" i="5"/>
  <c r="W9" i="5"/>
  <c r="X59" i="5"/>
  <c r="AK9" i="5"/>
  <c r="AI9" i="5"/>
  <c r="AF9" i="5"/>
  <c r="AD9" i="5"/>
  <c r="Y9" i="5"/>
  <c r="Z59" i="5"/>
  <c r="AA9" i="5"/>
  <c r="AF13" i="5"/>
  <c r="AD13" i="5"/>
  <c r="AC13" i="5"/>
  <c r="AK13" i="5"/>
  <c r="AI13" i="5"/>
  <c r="AH13" i="5"/>
  <c r="AF15" i="5"/>
  <c r="AD15" i="5"/>
  <c r="AC15" i="5"/>
  <c r="AK15" i="5"/>
  <c r="AI15" i="5"/>
  <c r="AH15" i="5"/>
  <c r="AF16" i="5"/>
  <c r="AD16" i="5"/>
  <c r="AC16" i="5"/>
  <c r="AK16" i="5"/>
  <c r="AI16" i="5"/>
  <c r="AH16" i="5"/>
  <c r="AF17" i="5"/>
  <c r="AD17" i="5"/>
  <c r="AC17" i="5"/>
  <c r="AK17" i="5"/>
  <c r="AI17" i="5"/>
  <c r="AH17" i="5"/>
  <c r="AF18" i="5"/>
  <c r="AD18" i="5"/>
  <c r="AC18" i="5"/>
  <c r="AK18" i="5"/>
  <c r="AI18" i="5"/>
  <c r="AH18" i="5"/>
  <c r="AF19" i="5"/>
  <c r="AD19" i="5"/>
  <c r="AC19" i="5"/>
  <c r="AK19" i="5"/>
  <c r="AI19" i="5"/>
  <c r="AH19" i="5"/>
  <c r="AF20" i="5"/>
  <c r="AD20" i="5"/>
  <c r="AC20" i="5"/>
  <c r="AK20" i="5"/>
  <c r="AI20" i="5"/>
  <c r="AH20" i="5"/>
  <c r="AF21" i="5"/>
  <c r="AD21" i="5"/>
  <c r="AC21" i="5"/>
  <c r="AK21" i="5"/>
  <c r="AI21" i="5"/>
  <c r="AH21" i="5"/>
  <c r="AF22" i="5"/>
  <c r="AD22" i="5"/>
  <c r="AC22" i="5"/>
  <c r="AK22" i="5"/>
  <c r="AI22" i="5"/>
  <c r="AH22" i="5"/>
  <c r="AF23" i="5"/>
  <c r="AD23" i="5"/>
  <c r="AC23" i="5"/>
  <c r="AK23" i="5"/>
  <c r="AI23" i="5"/>
  <c r="AH23" i="5"/>
  <c r="AF24" i="5"/>
  <c r="AD24" i="5"/>
  <c r="AC24" i="5"/>
  <c r="AK24" i="5"/>
  <c r="AI24" i="5"/>
  <c r="AH24" i="5"/>
  <c r="AF25" i="5"/>
  <c r="AD25" i="5"/>
  <c r="AC25" i="5"/>
  <c r="AK25" i="5"/>
  <c r="AI25" i="5"/>
  <c r="AH25" i="5"/>
  <c r="AF26" i="5"/>
  <c r="AD26" i="5"/>
  <c r="AC26" i="5"/>
  <c r="AK26" i="5"/>
  <c r="AI26" i="5"/>
  <c r="AH26" i="5"/>
  <c r="AG27" i="5"/>
  <c r="AH27" i="5" s="1"/>
  <c r="K27" i="5"/>
  <c r="AB27" i="5"/>
  <c r="AC27" i="5" s="1"/>
  <c r="S27" i="5"/>
  <c r="AK27" i="5"/>
  <c r="AI27" i="5"/>
  <c r="AF27" i="5"/>
  <c r="AD27" i="5"/>
  <c r="Y27" i="5"/>
  <c r="AF29" i="5"/>
  <c r="AD29" i="5"/>
  <c r="AC29" i="5"/>
  <c r="AK29" i="5"/>
  <c r="AI29" i="5"/>
  <c r="AH29" i="5"/>
  <c r="AF30" i="5"/>
  <c r="AD30" i="5"/>
  <c r="AC30" i="5"/>
  <c r="AK30" i="5"/>
  <c r="AI30" i="5"/>
  <c r="AH30" i="5"/>
  <c r="AF31" i="5"/>
  <c r="AD31" i="5"/>
  <c r="AC31" i="5"/>
  <c r="AK31" i="5"/>
  <c r="AI31" i="5"/>
  <c r="AH31" i="5"/>
  <c r="AF32" i="5"/>
  <c r="AD32" i="5"/>
  <c r="AC32" i="5"/>
  <c r="AK32" i="5"/>
  <c r="AI32" i="5"/>
  <c r="AH32" i="5"/>
  <c r="AF33" i="5"/>
  <c r="AD33" i="5"/>
  <c r="AC33" i="5"/>
  <c r="AK33" i="5"/>
  <c r="AI33" i="5"/>
  <c r="AH33" i="5"/>
  <c r="AG34" i="5"/>
  <c r="AH34" i="5" s="1"/>
  <c r="K34" i="5"/>
  <c r="AB34" i="5"/>
  <c r="AC34" i="5" s="1"/>
  <c r="S34" i="5"/>
  <c r="AK34" i="5"/>
  <c r="AI34" i="5"/>
  <c r="AF34" i="5"/>
  <c r="AD34" i="5"/>
  <c r="Y34" i="5"/>
  <c r="AG35" i="5"/>
  <c r="AH35" i="5" s="1"/>
  <c r="K35" i="5"/>
  <c r="AB35" i="5"/>
  <c r="AC35" i="5" s="1"/>
  <c r="S35" i="5"/>
  <c r="AK35" i="5"/>
  <c r="AI35" i="5"/>
  <c r="AF35" i="5"/>
  <c r="AD35" i="5"/>
  <c r="Y35" i="5"/>
  <c r="AF37" i="5"/>
  <c r="AD37" i="5"/>
  <c r="AC37" i="5"/>
  <c r="AK37" i="5"/>
  <c r="AI37" i="5"/>
  <c r="AH37" i="5"/>
  <c r="AF39" i="5"/>
  <c r="AD39" i="5"/>
  <c r="AC39" i="5"/>
  <c r="AK39" i="5"/>
  <c r="AI39" i="5"/>
  <c r="AH39" i="5"/>
  <c r="AF40" i="5"/>
  <c r="AD40" i="5"/>
  <c r="AC40" i="5"/>
  <c r="AK40" i="5"/>
  <c r="AI40" i="5"/>
  <c r="AH40" i="5"/>
  <c r="AF41" i="5"/>
  <c r="AD41" i="5"/>
  <c r="AC41" i="5"/>
  <c r="AK41" i="5"/>
  <c r="AI41" i="5"/>
  <c r="AH41" i="5"/>
  <c r="AF42" i="5"/>
  <c r="AD42" i="5"/>
  <c r="AC42" i="5"/>
  <c r="AK42" i="5"/>
  <c r="AI42" i="5"/>
  <c r="AH42" i="5"/>
  <c r="AF43" i="5"/>
  <c r="AD43" i="5"/>
  <c r="AC43" i="5"/>
  <c r="AK43" i="5"/>
  <c r="AI43" i="5"/>
  <c r="AH43" i="5"/>
  <c r="AG44" i="5"/>
  <c r="AH44" i="5" s="1"/>
  <c r="K44" i="5"/>
  <c r="AB44" i="5"/>
  <c r="AC44" i="5" s="1"/>
  <c r="S44" i="5"/>
  <c r="AK44" i="5"/>
  <c r="AI44" i="5"/>
  <c r="AF44" i="5"/>
  <c r="AD44" i="5"/>
  <c r="Y44" i="5"/>
  <c r="AF46" i="5"/>
  <c r="AD46" i="5"/>
  <c r="AC46" i="5"/>
  <c r="AK46" i="5"/>
  <c r="AI46" i="5"/>
  <c r="AH46" i="5"/>
  <c r="AF47" i="5"/>
  <c r="AD47" i="5"/>
  <c r="AC47" i="5"/>
  <c r="AK47" i="5"/>
  <c r="AI47" i="5"/>
  <c r="AH47" i="5"/>
  <c r="AF48" i="5"/>
  <c r="AD48" i="5"/>
  <c r="AC48" i="5"/>
  <c r="AK48" i="5"/>
  <c r="AI48" i="5"/>
  <c r="AH48" i="5"/>
  <c r="AF49" i="5"/>
  <c r="AD49" i="5"/>
  <c r="AC49" i="5"/>
  <c r="AK49" i="5"/>
  <c r="AI49" i="5"/>
  <c r="AH49" i="5"/>
  <c r="AF50" i="5"/>
  <c r="AD50" i="5"/>
  <c r="AC50" i="5"/>
  <c r="AK50" i="5"/>
  <c r="AI50" i="5"/>
  <c r="AH50" i="5"/>
  <c r="AF51" i="5"/>
  <c r="AD51" i="5"/>
  <c r="AC51" i="5"/>
  <c r="AK51" i="5"/>
  <c r="AI51" i="5"/>
  <c r="AH51" i="5"/>
  <c r="AG52" i="5"/>
  <c r="AH52" i="5" s="1"/>
  <c r="K52" i="5"/>
  <c r="AB52" i="5"/>
  <c r="AC52" i="5" s="1"/>
  <c r="S52" i="5"/>
  <c r="AK52" i="5"/>
  <c r="AI52" i="5"/>
  <c r="AF52" i="5"/>
  <c r="AD52" i="5"/>
  <c r="Y52" i="5"/>
  <c r="AF53" i="5"/>
  <c r="AD53" i="5"/>
  <c r="AC53" i="5"/>
  <c r="AK53" i="5"/>
  <c r="AI53" i="5"/>
  <c r="AH53" i="5"/>
  <c r="AF54" i="5"/>
  <c r="AD54" i="5"/>
  <c r="AC54" i="5"/>
  <c r="AK54" i="5"/>
  <c r="AI54" i="5"/>
  <c r="AH54" i="5"/>
  <c r="AF55" i="5"/>
  <c r="AD55" i="5"/>
  <c r="AC55" i="5"/>
  <c r="AK55" i="5"/>
  <c r="AI55" i="5"/>
  <c r="AH55" i="5"/>
  <c r="AG56" i="5"/>
  <c r="AH56" i="5" s="1"/>
  <c r="K56" i="5"/>
  <c r="AB56" i="5"/>
  <c r="AC56" i="5" s="1"/>
  <c r="S56" i="5"/>
  <c r="AK56" i="5"/>
  <c r="AI56" i="5"/>
  <c r="AF56" i="5"/>
  <c r="AD56" i="5"/>
  <c r="Y56" i="5"/>
  <c r="AG57" i="5"/>
  <c r="AH57" i="5" s="1"/>
  <c r="K57" i="5"/>
  <c r="AB57" i="5"/>
  <c r="AC57" i="5" s="1"/>
  <c r="S57" i="5"/>
  <c r="AK57" i="5"/>
  <c r="AI57" i="5"/>
  <c r="AF57" i="5"/>
  <c r="AD57" i="5"/>
  <c r="Y57" i="5"/>
  <c r="AF63" i="5"/>
  <c r="AD63" i="5"/>
  <c r="AC63" i="5"/>
  <c r="AK63" i="5"/>
  <c r="AI63" i="5"/>
  <c r="AH63" i="5"/>
  <c r="AF65" i="5"/>
  <c r="AD65" i="5"/>
  <c r="AC65" i="5"/>
  <c r="AK65" i="5"/>
  <c r="AI65" i="5"/>
  <c r="AH65" i="5"/>
  <c r="AF66" i="5"/>
  <c r="AD66" i="5"/>
  <c r="AC66" i="5"/>
  <c r="AK66" i="5"/>
  <c r="AI66" i="5"/>
  <c r="AH66" i="5"/>
  <c r="AF67" i="5"/>
  <c r="AD67" i="5"/>
  <c r="AC67" i="5"/>
  <c r="AK67" i="5"/>
  <c r="AI67" i="5"/>
  <c r="AH67" i="5"/>
  <c r="AF68" i="5"/>
  <c r="AD68" i="5"/>
  <c r="AC68" i="5"/>
  <c r="AK68" i="5"/>
  <c r="AI68" i="5"/>
  <c r="AH68" i="5"/>
  <c r="AF69" i="5"/>
  <c r="AD69" i="5"/>
  <c r="AC69" i="5"/>
  <c r="AK69" i="5"/>
  <c r="AI69" i="5"/>
  <c r="AH69" i="5"/>
  <c r="AG70" i="5"/>
  <c r="AH70" i="5" s="1"/>
  <c r="K70" i="5"/>
  <c r="AB70" i="5"/>
  <c r="AC70" i="5" s="1"/>
  <c r="S70" i="5"/>
  <c r="AK70" i="5"/>
  <c r="AI70" i="5"/>
  <c r="AF70" i="5"/>
  <c r="AD70" i="5"/>
  <c r="Y70" i="5"/>
  <c r="AF71" i="5"/>
  <c r="AD71" i="5"/>
  <c r="AC71" i="5"/>
  <c r="AK71" i="5"/>
  <c r="AI71" i="5"/>
  <c r="AH71" i="5"/>
  <c r="AF72" i="5"/>
  <c r="AD72" i="5"/>
  <c r="AC72" i="5"/>
  <c r="AK72" i="5"/>
  <c r="AI72" i="5"/>
  <c r="AH72" i="5"/>
  <c r="AF74" i="5"/>
  <c r="AD74" i="5"/>
  <c r="AC74" i="5"/>
  <c r="AK74" i="5"/>
  <c r="AI74" i="5"/>
  <c r="AH74" i="5"/>
  <c r="AF75" i="5"/>
  <c r="AD75" i="5"/>
  <c r="AC75" i="5"/>
  <c r="AK75" i="5"/>
  <c r="AI75" i="5"/>
  <c r="AH75" i="5"/>
  <c r="AF76" i="5"/>
  <c r="AD76" i="5"/>
  <c r="AC76" i="5"/>
  <c r="AK76" i="5"/>
  <c r="AI76" i="5"/>
  <c r="AH76" i="5"/>
  <c r="AF77" i="5"/>
  <c r="AD77" i="5"/>
  <c r="AC77" i="5"/>
  <c r="AK77" i="5"/>
  <c r="AI77" i="5"/>
  <c r="AH77" i="5"/>
  <c r="AF78" i="5"/>
  <c r="AD78" i="5"/>
  <c r="AC78" i="5"/>
  <c r="AK78" i="5"/>
  <c r="AI78" i="5"/>
  <c r="AH78" i="5"/>
  <c r="AF79" i="5"/>
  <c r="AD79" i="5"/>
  <c r="AC79" i="5"/>
  <c r="AK79" i="5"/>
  <c r="AI79" i="5"/>
  <c r="AH79" i="5"/>
  <c r="AF80" i="5"/>
  <c r="AD80" i="5"/>
  <c r="AC80" i="5"/>
  <c r="AK80" i="5"/>
  <c r="AI80" i="5"/>
  <c r="AH80" i="5"/>
  <c r="AG81" i="5"/>
  <c r="AH81" i="5" s="1"/>
  <c r="K81" i="5"/>
  <c r="AB81" i="5"/>
  <c r="AC81" i="5" s="1"/>
  <c r="S81" i="5"/>
  <c r="AK81" i="5"/>
  <c r="AI81" i="5"/>
  <c r="AF81" i="5"/>
  <c r="AD81" i="5"/>
  <c r="Y81" i="5"/>
  <c r="AF82" i="5"/>
  <c r="AD82" i="5"/>
  <c r="AC82" i="5"/>
  <c r="AK82" i="5"/>
  <c r="AI82" i="5"/>
  <c r="AH82" i="5"/>
  <c r="AF83" i="5"/>
  <c r="AD83" i="5"/>
  <c r="AC83" i="5"/>
  <c r="AK83" i="5"/>
  <c r="AI83" i="5"/>
  <c r="AH83" i="5"/>
  <c r="AG84" i="5"/>
  <c r="AH84" i="5" s="1"/>
  <c r="K84" i="5"/>
  <c r="AB84" i="5"/>
  <c r="AC84" i="5" s="1"/>
  <c r="S84" i="5"/>
  <c r="AK84" i="5"/>
  <c r="AI84" i="5"/>
  <c r="AF84" i="5"/>
  <c r="AD84" i="5"/>
  <c r="Y84" i="5"/>
  <c r="AG85" i="5"/>
  <c r="AH85" i="5" s="1"/>
  <c r="K85" i="5"/>
  <c r="AB85" i="5"/>
  <c r="AC85" i="5" s="1"/>
  <c r="S85" i="5"/>
  <c r="AK85" i="5"/>
  <c r="AI85" i="5"/>
  <c r="AF85" i="5"/>
  <c r="AD85" i="5"/>
  <c r="Y85" i="5"/>
  <c r="AF90" i="5"/>
  <c r="AD90" i="5"/>
  <c r="AC90" i="5"/>
  <c r="AK90" i="5"/>
  <c r="AI90" i="5"/>
  <c r="AH90" i="5"/>
  <c r="AF91" i="5"/>
  <c r="AD91" i="5"/>
  <c r="AC91" i="5"/>
  <c r="AK91" i="5"/>
  <c r="AI91" i="5"/>
  <c r="AH91" i="5"/>
  <c r="AF92" i="5"/>
  <c r="AD92" i="5"/>
  <c r="AC92" i="5"/>
  <c r="AK92" i="5"/>
  <c r="AI92" i="5"/>
  <c r="AH92" i="5"/>
  <c r="AF93" i="5"/>
  <c r="AD93" i="5"/>
  <c r="AC93" i="5"/>
  <c r="AK93" i="5"/>
  <c r="AI93" i="5"/>
  <c r="AH93" i="5"/>
  <c r="AF94" i="5"/>
  <c r="AD94" i="5"/>
  <c r="AC94" i="5"/>
  <c r="AK94" i="5"/>
  <c r="AI94" i="5"/>
  <c r="AH94" i="5"/>
  <c r="AF95" i="5"/>
  <c r="AD95" i="5"/>
  <c r="AC95" i="5"/>
  <c r="AK95" i="5"/>
  <c r="AI95" i="5"/>
  <c r="AH95" i="5"/>
  <c r="AF96" i="5"/>
  <c r="AD96" i="5"/>
  <c r="AC96" i="5"/>
  <c r="AK96" i="5"/>
  <c r="AI96" i="5"/>
  <c r="AH96" i="5"/>
  <c r="AF97" i="5"/>
  <c r="AD97" i="5"/>
  <c r="AC97" i="5"/>
  <c r="AK97" i="5"/>
  <c r="AI97" i="5"/>
  <c r="AH97" i="5"/>
  <c r="AF98" i="5"/>
  <c r="AD98" i="5"/>
  <c r="AC98" i="5"/>
  <c r="AK98" i="5"/>
  <c r="AI98" i="5"/>
  <c r="AH98" i="5"/>
  <c r="AG99" i="5"/>
  <c r="AH99" i="5" s="1"/>
  <c r="K99" i="5"/>
  <c r="AB99" i="5"/>
  <c r="AC99" i="5" s="1"/>
  <c r="S99" i="5"/>
  <c r="AK99" i="5"/>
  <c r="AI99" i="5"/>
  <c r="AF99" i="5"/>
  <c r="AD99" i="5"/>
  <c r="Y99" i="5"/>
  <c r="AF104" i="5"/>
  <c r="AD104" i="5"/>
  <c r="AC104" i="5"/>
  <c r="AK104" i="5"/>
  <c r="AI104" i="5"/>
  <c r="AH104" i="5"/>
  <c r="AG105" i="5"/>
  <c r="AH105" i="5" s="1"/>
  <c r="K105" i="5"/>
  <c r="AB105" i="5"/>
  <c r="AC105" i="5" s="1"/>
  <c r="S105" i="5"/>
  <c r="AK105" i="5"/>
  <c r="AI105" i="5"/>
  <c r="AF105" i="5"/>
  <c r="AD105" i="5"/>
  <c r="Y105" i="5"/>
  <c r="AF110" i="5"/>
  <c r="AD110" i="5"/>
  <c r="AC110" i="5"/>
  <c r="AK110" i="5"/>
  <c r="AI110" i="5"/>
  <c r="AH110" i="5"/>
  <c r="AF111" i="5"/>
  <c r="AD111" i="5"/>
  <c r="AC111" i="5"/>
  <c r="AK111" i="5"/>
  <c r="AI111" i="5"/>
  <c r="AH111" i="5"/>
  <c r="AF112" i="5"/>
  <c r="AD112" i="5"/>
  <c r="AC112" i="5"/>
  <c r="AK112" i="5"/>
  <c r="AI112" i="5"/>
  <c r="AH112" i="5"/>
  <c r="AF113" i="5"/>
  <c r="AD113" i="5"/>
  <c r="AC113" i="5"/>
  <c r="AK113" i="5"/>
  <c r="AI113" i="5"/>
  <c r="AH113" i="5"/>
  <c r="AF114" i="5"/>
  <c r="AD114" i="5"/>
  <c r="AC114" i="5"/>
  <c r="AK114" i="5"/>
  <c r="AI114" i="5"/>
  <c r="AH114" i="5"/>
  <c r="AF115" i="5"/>
  <c r="AD115" i="5"/>
  <c r="AC115" i="5"/>
  <c r="AK115" i="5"/>
  <c r="AI115" i="5"/>
  <c r="AH115" i="5"/>
  <c r="AF116" i="5"/>
  <c r="AD116" i="5"/>
  <c r="AC116" i="5"/>
  <c r="AK116" i="5"/>
  <c r="AI116" i="5"/>
  <c r="AH116" i="5"/>
  <c r="AF117" i="5"/>
  <c r="AD117" i="5"/>
  <c r="AC117" i="5"/>
  <c r="AK117" i="5"/>
  <c r="AI117" i="5"/>
  <c r="AH117" i="5"/>
  <c r="AF118" i="5"/>
  <c r="AD118" i="5"/>
  <c r="AC118" i="5"/>
  <c r="AK118" i="5"/>
  <c r="AI118" i="5"/>
  <c r="AH118" i="5"/>
  <c r="AF119" i="5"/>
  <c r="AD119" i="5"/>
  <c r="AC119" i="5"/>
  <c r="AK119" i="5"/>
  <c r="AI119" i="5"/>
  <c r="AH119" i="5"/>
  <c r="AF120" i="5"/>
  <c r="AD120" i="5"/>
  <c r="AC120" i="5"/>
  <c r="AK120" i="5"/>
  <c r="AI120" i="5"/>
  <c r="AH120" i="5"/>
  <c r="AF121" i="5"/>
  <c r="AD121" i="5"/>
  <c r="AC121" i="5"/>
  <c r="AK121" i="5"/>
  <c r="AI121" i="5"/>
  <c r="AH121" i="5"/>
  <c r="AF122" i="5"/>
  <c r="AD122" i="5"/>
  <c r="AC122" i="5"/>
  <c r="AK122" i="5"/>
  <c r="AI122" i="5"/>
  <c r="AH122" i="5"/>
  <c r="AF123" i="5"/>
  <c r="AD123" i="5"/>
  <c r="AC123" i="5"/>
  <c r="AK123" i="5"/>
  <c r="AI123" i="5"/>
  <c r="AH123" i="5"/>
  <c r="AF124" i="5"/>
  <c r="AD124" i="5"/>
  <c r="AC124" i="5"/>
  <c r="AK124" i="5"/>
  <c r="AI124" i="5"/>
  <c r="AH124" i="5"/>
  <c r="AF125" i="5"/>
  <c r="AD125" i="5"/>
  <c r="AC125" i="5"/>
  <c r="AK125" i="5"/>
  <c r="AI125" i="5"/>
  <c r="AH125" i="5"/>
  <c r="AF126" i="5"/>
  <c r="AD126" i="5"/>
  <c r="AC126" i="5"/>
  <c r="AK126" i="5"/>
  <c r="AI126" i="5"/>
  <c r="AH126" i="5"/>
  <c r="AF127" i="5"/>
  <c r="AD127" i="5"/>
  <c r="AC127" i="5"/>
  <c r="AK127" i="5"/>
  <c r="AI127" i="5"/>
  <c r="AH127" i="5"/>
  <c r="AF128" i="5"/>
  <c r="AD128" i="5"/>
  <c r="AC128" i="5"/>
  <c r="AK128" i="5"/>
  <c r="AI128" i="5"/>
  <c r="AH128" i="5"/>
  <c r="AF129" i="5"/>
  <c r="AD129" i="5"/>
  <c r="AC129" i="5"/>
  <c r="AK129" i="5"/>
  <c r="AI129" i="5"/>
  <c r="AH129" i="5"/>
  <c r="AF130" i="5"/>
  <c r="AD130" i="5"/>
  <c r="AC130" i="5"/>
  <c r="AK130" i="5"/>
  <c r="AI130" i="5"/>
  <c r="AH130" i="5"/>
  <c r="AF131" i="5"/>
  <c r="AD131" i="5"/>
  <c r="AC131" i="5"/>
  <c r="AK131" i="5"/>
  <c r="AI131" i="5"/>
  <c r="AH131" i="5"/>
  <c r="AF132" i="5"/>
  <c r="AD132" i="5"/>
  <c r="AC132" i="5"/>
  <c r="AK132" i="5"/>
  <c r="AI132" i="5"/>
  <c r="AH132" i="5"/>
  <c r="AF133" i="5"/>
  <c r="AD133" i="5"/>
  <c r="AC133" i="5"/>
  <c r="AK133" i="5"/>
  <c r="AI133" i="5"/>
  <c r="AH133" i="5"/>
  <c r="AF134" i="5"/>
  <c r="AD134" i="5"/>
  <c r="AC134" i="5"/>
  <c r="AK134" i="5"/>
  <c r="AI134" i="5"/>
  <c r="AH134" i="5"/>
  <c r="AG135" i="5"/>
  <c r="AH135" i="5" s="1"/>
  <c r="K135" i="5"/>
  <c r="AB135" i="5"/>
  <c r="AC135" i="5" s="1"/>
  <c r="S135" i="5"/>
  <c r="AK135" i="5"/>
  <c r="AI135" i="5"/>
  <c r="AF135" i="5"/>
  <c r="AD135" i="5"/>
  <c r="Y135" i="5"/>
  <c r="AF140" i="5"/>
  <c r="AD140" i="5"/>
  <c r="AC140" i="5"/>
  <c r="AK140" i="5"/>
  <c r="AI140" i="5"/>
  <c r="AH140" i="5"/>
  <c r="AG141" i="5"/>
  <c r="AH141" i="5" s="1"/>
  <c r="K141" i="5"/>
  <c r="AB141" i="5"/>
  <c r="AC141" i="5" s="1"/>
  <c r="S141" i="5"/>
  <c r="AK141" i="5"/>
  <c r="AI141" i="5"/>
  <c r="AF141" i="5"/>
  <c r="AD141" i="5"/>
  <c r="Y141" i="5"/>
  <c r="AF144" i="5"/>
  <c r="AD144" i="5"/>
  <c r="AC144" i="5"/>
  <c r="AK144" i="5"/>
  <c r="AI144" i="5"/>
  <c r="AH144" i="5"/>
  <c r="AG145" i="5"/>
  <c r="AH145" i="5" s="1"/>
  <c r="K145" i="5"/>
  <c r="AB145" i="5"/>
  <c r="AC145" i="5" s="1"/>
  <c r="S145" i="5"/>
  <c r="AK145" i="5"/>
  <c r="AI145" i="5"/>
  <c r="AF145" i="5"/>
  <c r="AD145" i="5"/>
  <c r="Y145" i="5"/>
  <c r="AF148" i="5"/>
  <c r="AD148" i="5"/>
  <c r="AK148" i="5"/>
  <c r="AI148" i="5"/>
  <c r="AF7" i="4"/>
  <c r="AD7" i="4"/>
  <c r="AC7" i="4"/>
  <c r="AK7" i="4"/>
  <c r="AI7" i="4"/>
  <c r="AH7" i="4"/>
  <c r="AF8" i="4"/>
  <c r="AD8" i="4"/>
  <c r="AC8" i="4"/>
  <c r="AK8" i="4"/>
  <c r="AI8" i="4"/>
  <c r="AH8" i="4"/>
  <c r="B59" i="4"/>
  <c r="C9" i="4"/>
  <c r="D59" i="4"/>
  <c r="E9" i="4"/>
  <c r="F59" i="4"/>
  <c r="G9" i="4"/>
  <c r="H59" i="4"/>
  <c r="I9" i="4"/>
  <c r="J59" i="4"/>
  <c r="AG9" i="4"/>
  <c r="AH9" i="4" s="1"/>
  <c r="K9" i="4"/>
  <c r="L59" i="4"/>
  <c r="M9" i="4"/>
  <c r="N59" i="4"/>
  <c r="O9" i="4"/>
  <c r="P59" i="4"/>
  <c r="Q9" i="4"/>
  <c r="R59" i="4"/>
  <c r="AB9" i="4"/>
  <c r="AC9" i="4" s="1"/>
  <c r="S9" i="4"/>
  <c r="T59" i="4"/>
  <c r="U9" i="4"/>
  <c r="V59" i="4"/>
  <c r="W9" i="4"/>
  <c r="X59" i="4"/>
  <c r="AK9" i="4"/>
  <c r="AI9" i="4"/>
  <c r="AF9" i="4"/>
  <c r="AD9" i="4"/>
  <c r="Y9" i="4"/>
  <c r="Z59" i="4"/>
  <c r="AA9" i="4"/>
  <c r="AF13" i="4"/>
  <c r="AD13" i="4"/>
  <c r="AC13" i="4"/>
  <c r="AK13" i="4"/>
  <c r="AI13" i="4"/>
  <c r="AH13" i="4"/>
  <c r="AF15" i="4"/>
  <c r="AD15" i="4"/>
  <c r="AC15" i="4"/>
  <c r="AK15" i="4"/>
  <c r="AI15" i="4"/>
  <c r="AH15" i="4"/>
  <c r="AF16" i="4"/>
  <c r="AD16" i="4"/>
  <c r="AC16" i="4"/>
  <c r="AK16" i="4"/>
  <c r="AI16" i="4"/>
  <c r="AH16" i="4"/>
  <c r="AF17" i="4"/>
  <c r="AD17" i="4"/>
  <c r="AC17" i="4"/>
  <c r="AK17" i="4"/>
  <c r="AI17" i="4"/>
  <c r="AH17" i="4"/>
  <c r="AF18" i="4"/>
  <c r="AD18" i="4"/>
  <c r="AC18" i="4"/>
  <c r="AK18" i="4"/>
  <c r="AI18" i="4"/>
  <c r="AH18" i="4"/>
  <c r="AF19" i="4"/>
  <c r="AD19" i="4"/>
  <c r="AC19" i="4"/>
  <c r="AK19" i="4"/>
  <c r="AI19" i="4"/>
  <c r="AH19" i="4"/>
  <c r="AF20" i="4"/>
  <c r="AD20" i="4"/>
  <c r="AC20" i="4"/>
  <c r="AK20" i="4"/>
  <c r="AI20" i="4"/>
  <c r="AH20" i="4"/>
  <c r="AF21" i="4"/>
  <c r="AD21" i="4"/>
  <c r="AC21" i="4"/>
  <c r="AK21" i="4"/>
  <c r="AI21" i="4"/>
  <c r="AH21" i="4"/>
  <c r="AF22" i="4"/>
  <c r="AD22" i="4"/>
  <c r="AC22" i="4"/>
  <c r="AK22" i="4"/>
  <c r="AI22" i="4"/>
  <c r="AH22" i="4"/>
  <c r="AF23" i="4"/>
  <c r="AD23" i="4"/>
  <c r="AC23" i="4"/>
  <c r="AK23" i="4"/>
  <c r="AI23" i="4"/>
  <c r="AH23" i="4"/>
  <c r="AF24" i="4"/>
  <c r="AD24" i="4"/>
  <c r="AC24" i="4"/>
  <c r="AK24" i="4"/>
  <c r="AI24" i="4"/>
  <c r="AH24" i="4"/>
  <c r="AF25" i="4"/>
  <c r="AD25" i="4"/>
  <c r="AC25" i="4"/>
  <c r="AK25" i="4"/>
  <c r="AI25" i="4"/>
  <c r="AH25" i="4"/>
  <c r="AF26" i="4"/>
  <c r="AD26" i="4"/>
  <c r="AC26" i="4"/>
  <c r="AK26" i="4"/>
  <c r="AI26" i="4"/>
  <c r="AH26" i="4"/>
  <c r="AG27" i="4"/>
  <c r="AH27" i="4" s="1"/>
  <c r="K27" i="4"/>
  <c r="AB27" i="4"/>
  <c r="AC27" i="4" s="1"/>
  <c r="S27" i="4"/>
  <c r="AK27" i="4"/>
  <c r="AI27" i="4"/>
  <c r="AF27" i="4"/>
  <c r="AD27" i="4"/>
  <c r="Y27" i="4"/>
  <c r="AF29" i="4"/>
  <c r="AD29" i="4"/>
  <c r="AC29" i="4"/>
  <c r="AK29" i="4"/>
  <c r="AI29" i="4"/>
  <c r="AH29" i="4"/>
  <c r="AF30" i="4"/>
  <c r="AD30" i="4"/>
  <c r="AC30" i="4"/>
  <c r="AK30" i="4"/>
  <c r="AI30" i="4"/>
  <c r="AH30" i="4"/>
  <c r="AF31" i="4"/>
  <c r="AD31" i="4"/>
  <c r="AC31" i="4"/>
  <c r="AK31" i="4"/>
  <c r="AI31" i="4"/>
  <c r="AH31" i="4"/>
  <c r="AF32" i="4"/>
  <c r="AD32" i="4"/>
  <c r="AC32" i="4"/>
  <c r="AK32" i="4"/>
  <c r="AI32" i="4"/>
  <c r="AH32" i="4"/>
  <c r="AF33" i="4"/>
  <c r="AD33" i="4"/>
  <c r="AC33" i="4"/>
  <c r="AK33" i="4"/>
  <c r="AI33" i="4"/>
  <c r="AH33" i="4"/>
  <c r="AG34" i="4"/>
  <c r="AH34" i="4" s="1"/>
  <c r="K34" i="4"/>
  <c r="AB34" i="4"/>
  <c r="AC34" i="4" s="1"/>
  <c r="S34" i="4"/>
  <c r="AK34" i="4"/>
  <c r="AI34" i="4"/>
  <c r="AF34" i="4"/>
  <c r="AD34" i="4"/>
  <c r="Y34" i="4"/>
  <c r="AG35" i="4"/>
  <c r="AH35" i="4" s="1"/>
  <c r="K35" i="4"/>
  <c r="AB35" i="4"/>
  <c r="AC35" i="4" s="1"/>
  <c r="S35" i="4"/>
  <c r="AK35" i="4"/>
  <c r="AI35" i="4"/>
  <c r="AF35" i="4"/>
  <c r="AD35" i="4"/>
  <c r="Y35" i="4"/>
  <c r="AF37" i="4"/>
  <c r="AD37" i="4"/>
  <c r="AC37" i="4"/>
  <c r="AK37" i="4"/>
  <c r="AI37" i="4"/>
  <c r="AH37" i="4"/>
  <c r="AF39" i="4"/>
  <c r="AD39" i="4"/>
  <c r="AC39" i="4"/>
  <c r="AK39" i="4"/>
  <c r="AI39" i="4"/>
  <c r="AH39" i="4"/>
  <c r="AF40" i="4"/>
  <c r="AD40" i="4"/>
  <c r="AC40" i="4"/>
  <c r="AK40" i="4"/>
  <c r="AI40" i="4"/>
  <c r="AH40" i="4"/>
  <c r="AF41" i="4"/>
  <c r="AD41" i="4"/>
  <c r="AC41" i="4"/>
  <c r="AK41" i="4"/>
  <c r="AI41" i="4"/>
  <c r="AH41" i="4"/>
  <c r="AF42" i="4"/>
  <c r="AD42" i="4"/>
  <c r="AC42" i="4"/>
  <c r="AK42" i="4"/>
  <c r="AI42" i="4"/>
  <c r="AH42" i="4"/>
  <c r="AF43" i="4"/>
  <c r="AD43" i="4"/>
  <c r="AC43" i="4"/>
  <c r="AK43" i="4"/>
  <c r="AI43" i="4"/>
  <c r="AH43" i="4"/>
  <c r="AG44" i="4"/>
  <c r="AH44" i="4" s="1"/>
  <c r="K44" i="4"/>
  <c r="AB44" i="4"/>
  <c r="AC44" i="4" s="1"/>
  <c r="S44" i="4"/>
  <c r="AK44" i="4"/>
  <c r="AI44" i="4"/>
  <c r="AF44" i="4"/>
  <c r="AD44" i="4"/>
  <c r="Y44" i="4"/>
  <c r="AF46" i="4"/>
  <c r="AD46" i="4"/>
  <c r="AC46" i="4"/>
  <c r="AK46" i="4"/>
  <c r="AI46" i="4"/>
  <c r="AH46" i="4"/>
  <c r="AF47" i="4"/>
  <c r="AD47" i="4"/>
  <c r="AC47" i="4"/>
  <c r="AK47" i="4"/>
  <c r="AI47" i="4"/>
  <c r="AH47" i="4"/>
  <c r="AF48" i="4"/>
  <c r="AD48" i="4"/>
  <c r="AC48" i="4"/>
  <c r="AK48" i="4"/>
  <c r="AI48" i="4"/>
  <c r="AH48" i="4"/>
  <c r="AF49" i="4"/>
  <c r="AD49" i="4"/>
  <c r="AC49" i="4"/>
  <c r="AK49" i="4"/>
  <c r="AI49" i="4"/>
  <c r="AH49" i="4"/>
  <c r="AF50" i="4"/>
  <c r="AD50" i="4"/>
  <c r="AC50" i="4"/>
  <c r="AK50" i="4"/>
  <c r="AI50" i="4"/>
  <c r="AH50" i="4"/>
  <c r="AF51" i="4"/>
  <c r="AD51" i="4"/>
  <c r="AC51" i="4"/>
  <c r="AK51" i="4"/>
  <c r="AI51" i="4"/>
  <c r="AH51" i="4"/>
  <c r="AG52" i="4"/>
  <c r="AH52" i="4" s="1"/>
  <c r="K52" i="4"/>
  <c r="AB52" i="4"/>
  <c r="AC52" i="4" s="1"/>
  <c r="S52" i="4"/>
  <c r="AK52" i="4"/>
  <c r="AI52" i="4"/>
  <c r="AF52" i="4"/>
  <c r="AD52" i="4"/>
  <c r="Y52" i="4"/>
  <c r="AF53" i="4"/>
  <c r="AD53" i="4"/>
  <c r="AC53" i="4"/>
  <c r="AK53" i="4"/>
  <c r="AI53" i="4"/>
  <c r="AH53" i="4"/>
  <c r="AF54" i="4"/>
  <c r="AD54" i="4"/>
  <c r="AC54" i="4"/>
  <c r="AK54" i="4"/>
  <c r="AI54" i="4"/>
  <c r="AH54" i="4"/>
  <c r="AF55" i="4"/>
  <c r="AD55" i="4"/>
  <c r="AC55" i="4"/>
  <c r="AK55" i="4"/>
  <c r="AI55" i="4"/>
  <c r="AH55" i="4"/>
  <c r="AG56" i="4"/>
  <c r="AH56" i="4" s="1"/>
  <c r="K56" i="4"/>
  <c r="AB56" i="4"/>
  <c r="AC56" i="4" s="1"/>
  <c r="S56" i="4"/>
  <c r="AK56" i="4"/>
  <c r="AI56" i="4"/>
  <c r="AF56" i="4"/>
  <c r="AD56" i="4"/>
  <c r="Y56" i="4"/>
  <c r="AG57" i="4"/>
  <c r="AH57" i="4" s="1"/>
  <c r="K57" i="4"/>
  <c r="AB57" i="4"/>
  <c r="AC57" i="4" s="1"/>
  <c r="S57" i="4"/>
  <c r="AK57" i="4"/>
  <c r="AI57" i="4"/>
  <c r="AF57" i="4"/>
  <c r="AD57" i="4"/>
  <c r="Y57" i="4"/>
  <c r="AF63" i="4"/>
  <c r="AD63" i="4"/>
  <c r="AC63" i="4"/>
  <c r="AK63" i="4"/>
  <c r="AI63" i="4"/>
  <c r="AH63" i="4"/>
  <c r="AF65" i="4"/>
  <c r="AD65" i="4"/>
  <c r="AC65" i="4"/>
  <c r="AK65" i="4"/>
  <c r="AI65" i="4"/>
  <c r="AH65" i="4"/>
  <c r="AF66" i="4"/>
  <c r="AD66" i="4"/>
  <c r="AC66" i="4"/>
  <c r="AK66" i="4"/>
  <c r="AI66" i="4"/>
  <c r="AH66" i="4"/>
  <c r="AF67" i="4"/>
  <c r="AD67" i="4"/>
  <c r="AC67" i="4"/>
  <c r="AK67" i="4"/>
  <c r="AI67" i="4"/>
  <c r="AH67" i="4"/>
  <c r="AF68" i="4"/>
  <c r="AD68" i="4"/>
  <c r="AC68" i="4"/>
  <c r="AK68" i="4"/>
  <c r="AI68" i="4"/>
  <c r="AH68" i="4"/>
  <c r="AF69" i="4"/>
  <c r="AD69" i="4"/>
  <c r="AC69" i="4"/>
  <c r="AK69" i="4"/>
  <c r="AI69" i="4"/>
  <c r="AH69" i="4"/>
  <c r="AG70" i="4"/>
  <c r="AH70" i="4" s="1"/>
  <c r="K70" i="4"/>
  <c r="AB70" i="4"/>
  <c r="AC70" i="4" s="1"/>
  <c r="S70" i="4"/>
  <c r="AK70" i="4"/>
  <c r="AI70" i="4"/>
  <c r="AF70" i="4"/>
  <c r="AD70" i="4"/>
  <c r="Y70" i="4"/>
  <c r="AF71" i="4"/>
  <c r="AD71" i="4"/>
  <c r="AC71" i="4"/>
  <c r="AK71" i="4"/>
  <c r="AI71" i="4"/>
  <c r="AH71" i="4"/>
  <c r="AF72" i="4"/>
  <c r="AD72" i="4"/>
  <c r="AC72" i="4"/>
  <c r="AK72" i="4"/>
  <c r="AI72" i="4"/>
  <c r="AH72" i="4"/>
  <c r="AF74" i="4"/>
  <c r="AD74" i="4"/>
  <c r="AC74" i="4"/>
  <c r="AK74" i="4"/>
  <c r="AI74" i="4"/>
  <c r="AH74" i="4"/>
  <c r="AF75" i="4"/>
  <c r="AD75" i="4"/>
  <c r="AC75" i="4"/>
  <c r="AK75" i="4"/>
  <c r="AI75" i="4"/>
  <c r="AH75" i="4"/>
  <c r="AF76" i="4"/>
  <c r="AD76" i="4"/>
  <c r="AC76" i="4"/>
  <c r="AK76" i="4"/>
  <c r="AI76" i="4"/>
  <c r="AH76" i="4"/>
  <c r="AF77" i="4"/>
  <c r="AD77" i="4"/>
  <c r="AC77" i="4"/>
  <c r="AK77" i="4"/>
  <c r="AI77" i="4"/>
  <c r="AH77" i="4"/>
  <c r="AF78" i="4"/>
  <c r="AD78" i="4"/>
  <c r="AC78" i="4"/>
  <c r="AK78" i="4"/>
  <c r="AI78" i="4"/>
  <c r="AH78" i="4"/>
  <c r="AF79" i="4"/>
  <c r="AD79" i="4"/>
  <c r="AC79" i="4"/>
  <c r="AK79" i="4"/>
  <c r="AI79" i="4"/>
  <c r="AH79" i="4"/>
  <c r="AF80" i="4"/>
  <c r="AD80" i="4"/>
  <c r="AC80" i="4"/>
  <c r="AK80" i="4"/>
  <c r="AI80" i="4"/>
  <c r="AH80" i="4"/>
  <c r="AG81" i="4"/>
  <c r="AH81" i="4" s="1"/>
  <c r="K81" i="4"/>
  <c r="AB81" i="4"/>
  <c r="AC81" i="4" s="1"/>
  <c r="S81" i="4"/>
  <c r="AK81" i="4"/>
  <c r="AI81" i="4"/>
  <c r="AF81" i="4"/>
  <c r="AD81" i="4"/>
  <c r="Y81" i="4"/>
  <c r="AF82" i="4"/>
  <c r="AD82" i="4"/>
  <c r="AC82" i="4"/>
  <c r="AK82" i="4"/>
  <c r="AI82" i="4"/>
  <c r="AH82" i="4"/>
  <c r="AF83" i="4"/>
  <c r="AD83" i="4"/>
  <c r="AC83" i="4"/>
  <c r="AK83" i="4"/>
  <c r="AI83" i="4"/>
  <c r="AH83" i="4"/>
  <c r="AG84" i="4"/>
  <c r="AH84" i="4" s="1"/>
  <c r="K84" i="4"/>
  <c r="AB84" i="4"/>
  <c r="AC84" i="4" s="1"/>
  <c r="S84" i="4"/>
  <c r="AK84" i="4"/>
  <c r="AI84" i="4"/>
  <c r="AF84" i="4"/>
  <c r="AD84" i="4"/>
  <c r="Y84" i="4"/>
  <c r="AG85" i="4"/>
  <c r="AH85" i="4" s="1"/>
  <c r="K85" i="4"/>
  <c r="AB85" i="4"/>
  <c r="AC85" i="4" s="1"/>
  <c r="S85" i="4"/>
  <c r="AK85" i="4"/>
  <c r="AI85" i="4"/>
  <c r="AF85" i="4"/>
  <c r="AD85" i="4"/>
  <c r="Y85" i="4"/>
  <c r="AF90" i="4"/>
  <c r="AD90" i="4"/>
  <c r="AC90" i="4"/>
  <c r="AK90" i="4"/>
  <c r="AI90" i="4"/>
  <c r="AH90" i="4"/>
  <c r="AF91" i="4"/>
  <c r="AD91" i="4"/>
  <c r="AC91" i="4"/>
  <c r="AK91" i="4"/>
  <c r="AI91" i="4"/>
  <c r="AH91" i="4"/>
  <c r="AF92" i="4"/>
  <c r="AD92" i="4"/>
  <c r="AC92" i="4"/>
  <c r="AK92" i="4"/>
  <c r="AI92" i="4"/>
  <c r="AH92" i="4"/>
  <c r="AF93" i="4"/>
  <c r="AD93" i="4"/>
  <c r="AC93" i="4"/>
  <c r="AK93" i="4"/>
  <c r="AI93" i="4"/>
  <c r="AH93" i="4"/>
  <c r="AF94" i="4"/>
  <c r="AD94" i="4"/>
  <c r="AC94" i="4"/>
  <c r="AK94" i="4"/>
  <c r="AI94" i="4"/>
  <c r="AH94" i="4"/>
  <c r="AF95" i="4"/>
  <c r="AD95" i="4"/>
  <c r="AC95" i="4"/>
  <c r="AK95" i="4"/>
  <c r="AI95" i="4"/>
  <c r="AH95" i="4"/>
  <c r="AF96" i="4"/>
  <c r="AD96" i="4"/>
  <c r="AC96" i="4"/>
  <c r="AK96" i="4"/>
  <c r="AI96" i="4"/>
  <c r="AH96" i="4"/>
  <c r="AF97" i="4"/>
  <c r="AD97" i="4"/>
  <c r="AC97" i="4"/>
  <c r="AK97" i="4"/>
  <c r="AI97" i="4"/>
  <c r="AH97" i="4"/>
  <c r="AF98" i="4"/>
  <c r="AD98" i="4"/>
  <c r="AC98" i="4"/>
  <c r="AK98" i="4"/>
  <c r="AI98" i="4"/>
  <c r="AH98" i="4"/>
  <c r="AG99" i="4"/>
  <c r="AH99" i="4" s="1"/>
  <c r="K99" i="4"/>
  <c r="AB99" i="4"/>
  <c r="AC99" i="4" s="1"/>
  <c r="S99" i="4"/>
  <c r="AK99" i="4"/>
  <c r="AI99" i="4"/>
  <c r="AF99" i="4"/>
  <c r="AD99" i="4"/>
  <c r="Y99" i="4"/>
  <c r="AF104" i="4"/>
  <c r="AD104" i="4"/>
  <c r="AC104" i="4"/>
  <c r="AK104" i="4"/>
  <c r="AI104" i="4"/>
  <c r="AH104" i="4"/>
  <c r="AG105" i="4"/>
  <c r="AH105" i="4" s="1"/>
  <c r="K105" i="4"/>
  <c r="AB105" i="4"/>
  <c r="AC105" i="4" s="1"/>
  <c r="S105" i="4"/>
  <c r="AK105" i="4"/>
  <c r="AI105" i="4"/>
  <c r="AF105" i="4"/>
  <c r="AD105" i="4"/>
  <c r="Y105" i="4"/>
  <c r="AF110" i="4"/>
  <c r="AD110" i="4"/>
  <c r="AC110" i="4"/>
  <c r="AK110" i="4"/>
  <c r="AI110" i="4"/>
  <c r="AH110" i="4"/>
  <c r="AF111" i="4"/>
  <c r="AD111" i="4"/>
  <c r="AC111" i="4"/>
  <c r="AK111" i="4"/>
  <c r="AI111" i="4"/>
  <c r="AH111" i="4"/>
  <c r="AF112" i="4"/>
  <c r="AD112" i="4"/>
  <c r="AC112" i="4"/>
  <c r="AK112" i="4"/>
  <c r="AI112" i="4"/>
  <c r="AH112" i="4"/>
  <c r="AF113" i="4"/>
  <c r="AD113" i="4"/>
  <c r="AC113" i="4"/>
  <c r="AK113" i="4"/>
  <c r="AI113" i="4"/>
  <c r="AH113" i="4"/>
  <c r="AF114" i="4"/>
  <c r="AD114" i="4"/>
  <c r="AC114" i="4"/>
  <c r="AK114" i="4"/>
  <c r="AI114" i="4"/>
  <c r="AH114" i="4"/>
  <c r="AF115" i="4"/>
  <c r="AD115" i="4"/>
  <c r="AC115" i="4"/>
  <c r="AK115" i="4"/>
  <c r="AI115" i="4"/>
  <c r="AH115" i="4"/>
  <c r="AF116" i="4"/>
  <c r="AD116" i="4"/>
  <c r="AC116" i="4"/>
  <c r="AK116" i="4"/>
  <c r="AI116" i="4"/>
  <c r="AH116" i="4"/>
  <c r="AF117" i="4"/>
  <c r="AD117" i="4"/>
  <c r="AC117" i="4"/>
  <c r="AK117" i="4"/>
  <c r="AI117" i="4"/>
  <c r="AH117" i="4"/>
  <c r="AF118" i="4"/>
  <c r="AD118" i="4"/>
  <c r="AC118" i="4"/>
  <c r="AK118" i="4"/>
  <c r="AI118" i="4"/>
  <c r="AH118" i="4"/>
  <c r="AF119" i="4"/>
  <c r="AD119" i="4"/>
  <c r="AC119" i="4"/>
  <c r="AK119" i="4"/>
  <c r="AI119" i="4"/>
  <c r="AH119" i="4"/>
  <c r="AF120" i="4"/>
  <c r="AD120" i="4"/>
  <c r="AC120" i="4"/>
  <c r="AK120" i="4"/>
  <c r="AI120" i="4"/>
  <c r="AH120" i="4"/>
  <c r="AF121" i="4"/>
  <c r="AD121" i="4"/>
  <c r="AC121" i="4"/>
  <c r="AK121" i="4"/>
  <c r="AI121" i="4"/>
  <c r="AH121" i="4"/>
  <c r="AF122" i="4"/>
  <c r="AD122" i="4"/>
  <c r="AC122" i="4"/>
  <c r="AK122" i="4"/>
  <c r="AI122" i="4"/>
  <c r="AH122" i="4"/>
  <c r="AF123" i="4"/>
  <c r="AD123" i="4"/>
  <c r="AC123" i="4"/>
  <c r="AK123" i="4"/>
  <c r="AI123" i="4"/>
  <c r="AH123" i="4"/>
  <c r="AF124" i="4"/>
  <c r="AD124" i="4"/>
  <c r="AC124" i="4"/>
  <c r="AK124" i="4"/>
  <c r="AI124" i="4"/>
  <c r="AH124" i="4"/>
  <c r="AF125" i="4"/>
  <c r="AD125" i="4"/>
  <c r="AC125" i="4"/>
  <c r="AK125" i="4"/>
  <c r="AI125" i="4"/>
  <c r="AH125" i="4"/>
  <c r="AF126" i="4"/>
  <c r="AD126" i="4"/>
  <c r="AC126" i="4"/>
  <c r="AK126" i="4"/>
  <c r="AI126" i="4"/>
  <c r="AH126" i="4"/>
  <c r="AF127" i="4"/>
  <c r="AD127" i="4"/>
  <c r="AC127" i="4"/>
  <c r="AK127" i="4"/>
  <c r="AI127" i="4"/>
  <c r="AH127" i="4"/>
  <c r="AF128" i="4"/>
  <c r="AD128" i="4"/>
  <c r="AC128" i="4"/>
  <c r="AK128" i="4"/>
  <c r="AI128" i="4"/>
  <c r="AH128" i="4"/>
  <c r="AF129" i="4"/>
  <c r="AD129" i="4"/>
  <c r="AC129" i="4"/>
  <c r="AK129" i="4"/>
  <c r="AI129" i="4"/>
  <c r="AH129" i="4"/>
  <c r="AF130" i="4"/>
  <c r="AD130" i="4"/>
  <c r="AC130" i="4"/>
  <c r="AK130" i="4"/>
  <c r="AI130" i="4"/>
  <c r="AH130" i="4"/>
  <c r="AF131" i="4"/>
  <c r="AD131" i="4"/>
  <c r="AC131" i="4"/>
  <c r="AK131" i="4"/>
  <c r="AI131" i="4"/>
  <c r="AH131" i="4"/>
  <c r="AF132" i="4"/>
  <c r="AD132" i="4"/>
  <c r="AC132" i="4"/>
  <c r="AK132" i="4"/>
  <c r="AI132" i="4"/>
  <c r="AH132" i="4"/>
  <c r="AF133" i="4"/>
  <c r="AD133" i="4"/>
  <c r="AC133" i="4"/>
  <c r="AK133" i="4"/>
  <c r="AI133" i="4"/>
  <c r="AH133" i="4"/>
  <c r="AF134" i="4"/>
  <c r="AD134" i="4"/>
  <c r="AC134" i="4"/>
  <c r="AK134" i="4"/>
  <c r="AI134" i="4"/>
  <c r="AH134" i="4"/>
  <c r="AG135" i="4"/>
  <c r="AH135" i="4" s="1"/>
  <c r="K135" i="4"/>
  <c r="AB135" i="4"/>
  <c r="AC135" i="4" s="1"/>
  <c r="S135" i="4"/>
  <c r="AK135" i="4"/>
  <c r="AI135" i="4"/>
  <c r="AF135" i="4"/>
  <c r="AD135" i="4"/>
  <c r="Y135" i="4"/>
  <c r="AF140" i="4"/>
  <c r="AD140" i="4"/>
  <c r="AC140" i="4"/>
  <c r="AK140" i="4"/>
  <c r="AI140" i="4"/>
  <c r="AH140" i="4"/>
  <c r="AG141" i="4"/>
  <c r="AH141" i="4" s="1"/>
  <c r="K141" i="4"/>
  <c r="AB141" i="4"/>
  <c r="AC141" i="4" s="1"/>
  <c r="S141" i="4"/>
  <c r="AK141" i="4"/>
  <c r="AI141" i="4"/>
  <c r="AF141" i="4"/>
  <c r="AD141" i="4"/>
  <c r="Y141" i="4"/>
  <c r="AF144" i="4"/>
  <c r="AD144" i="4"/>
  <c r="AC144" i="4"/>
  <c r="AK144" i="4"/>
  <c r="AI144" i="4"/>
  <c r="AH144" i="4"/>
  <c r="AG145" i="4"/>
  <c r="AH145" i="4" s="1"/>
  <c r="K145" i="4"/>
  <c r="AB145" i="4"/>
  <c r="AC145" i="4" s="1"/>
  <c r="S145" i="4"/>
  <c r="AK145" i="4"/>
  <c r="AI145" i="4"/>
  <c r="AF145" i="4"/>
  <c r="AD145" i="4"/>
  <c r="Y145" i="4"/>
  <c r="AF148" i="4"/>
  <c r="AD148" i="4"/>
  <c r="AK148" i="4"/>
  <c r="AI148" i="4"/>
  <c r="AF7" i="3"/>
  <c r="AD7" i="3"/>
  <c r="AC7" i="3"/>
  <c r="AK7" i="3"/>
  <c r="AI7" i="3"/>
  <c r="AH7" i="3"/>
  <c r="AF8" i="3"/>
  <c r="AD8" i="3"/>
  <c r="AC8" i="3"/>
  <c r="AK8" i="3"/>
  <c r="AI8" i="3"/>
  <c r="AH8" i="3"/>
  <c r="B59" i="3"/>
  <c r="C9" i="3"/>
  <c r="D59" i="3"/>
  <c r="E9" i="3"/>
  <c r="F59" i="3"/>
  <c r="G9" i="3"/>
  <c r="H59" i="3"/>
  <c r="I9" i="3"/>
  <c r="J59" i="3"/>
  <c r="AG9" i="3"/>
  <c r="AH9" i="3" s="1"/>
  <c r="K9" i="3"/>
  <c r="L59" i="3"/>
  <c r="M9" i="3"/>
  <c r="N59" i="3"/>
  <c r="O9" i="3"/>
  <c r="P59" i="3"/>
  <c r="Q9" i="3"/>
  <c r="R59" i="3"/>
  <c r="AB9" i="3"/>
  <c r="AC9" i="3" s="1"/>
  <c r="S9" i="3"/>
  <c r="T59" i="3"/>
  <c r="U9" i="3"/>
  <c r="V59" i="3"/>
  <c r="W9" i="3"/>
  <c r="X59" i="3"/>
  <c r="AK9" i="3"/>
  <c r="AI9" i="3"/>
  <c r="AF9" i="3"/>
  <c r="AD9" i="3"/>
  <c r="Y9" i="3"/>
  <c r="Z59" i="3"/>
  <c r="AA9" i="3"/>
  <c r="AF13" i="3"/>
  <c r="AD13" i="3"/>
  <c r="AC13" i="3"/>
  <c r="AK13" i="3"/>
  <c r="AI13" i="3"/>
  <c r="AH13" i="3"/>
  <c r="AF15" i="3"/>
  <c r="AD15" i="3"/>
  <c r="AC15" i="3"/>
  <c r="AK15" i="3"/>
  <c r="AI15" i="3"/>
  <c r="AH15" i="3"/>
  <c r="AF16" i="3"/>
  <c r="AD16" i="3"/>
  <c r="AC16" i="3"/>
  <c r="AK16" i="3"/>
  <c r="AI16" i="3"/>
  <c r="AH16" i="3"/>
  <c r="AF17" i="3"/>
  <c r="AD17" i="3"/>
  <c r="AC17" i="3"/>
  <c r="AK17" i="3"/>
  <c r="AI17" i="3"/>
  <c r="AH17" i="3"/>
  <c r="AF18" i="3"/>
  <c r="AD18" i="3"/>
  <c r="AC18" i="3"/>
  <c r="AK18" i="3"/>
  <c r="AI18" i="3"/>
  <c r="AH18" i="3"/>
  <c r="AF19" i="3"/>
  <c r="AD19" i="3"/>
  <c r="AC19" i="3"/>
  <c r="AK19" i="3"/>
  <c r="AI19" i="3"/>
  <c r="AH19" i="3"/>
  <c r="AF20" i="3"/>
  <c r="AD20" i="3"/>
  <c r="AC20" i="3"/>
  <c r="AK20" i="3"/>
  <c r="AI20" i="3"/>
  <c r="AH20" i="3"/>
  <c r="AF21" i="3"/>
  <c r="AD21" i="3"/>
  <c r="AC21" i="3"/>
  <c r="AK21" i="3"/>
  <c r="AI21" i="3"/>
  <c r="AH21" i="3"/>
  <c r="AF22" i="3"/>
  <c r="AD22" i="3"/>
  <c r="AC22" i="3"/>
  <c r="AK22" i="3"/>
  <c r="AI22" i="3"/>
  <c r="AH22" i="3"/>
  <c r="AF23" i="3"/>
  <c r="AD23" i="3"/>
  <c r="AC23" i="3"/>
  <c r="AK23" i="3"/>
  <c r="AI23" i="3"/>
  <c r="AH23" i="3"/>
  <c r="AF24" i="3"/>
  <c r="AD24" i="3"/>
  <c r="AC24" i="3"/>
  <c r="AK24" i="3"/>
  <c r="AI24" i="3"/>
  <c r="AH24" i="3"/>
  <c r="AF25" i="3"/>
  <c r="AD25" i="3"/>
  <c r="AC25" i="3"/>
  <c r="AK25" i="3"/>
  <c r="AI25" i="3"/>
  <c r="AH25" i="3"/>
  <c r="AF26" i="3"/>
  <c r="AD26" i="3"/>
  <c r="AC26" i="3"/>
  <c r="AK26" i="3"/>
  <c r="AI26" i="3"/>
  <c r="AH26" i="3"/>
  <c r="AG27" i="3"/>
  <c r="AH27" i="3" s="1"/>
  <c r="K27" i="3"/>
  <c r="AB27" i="3"/>
  <c r="AC27" i="3" s="1"/>
  <c r="S27" i="3"/>
  <c r="AK27" i="3"/>
  <c r="AI27" i="3"/>
  <c r="AF27" i="3"/>
  <c r="AD27" i="3"/>
  <c r="Y27" i="3"/>
  <c r="AF29" i="3"/>
  <c r="AD29" i="3"/>
  <c r="AC29" i="3"/>
  <c r="AK29" i="3"/>
  <c r="AI29" i="3"/>
  <c r="AH29" i="3"/>
  <c r="AF30" i="3"/>
  <c r="AD30" i="3"/>
  <c r="AC30" i="3"/>
  <c r="AK30" i="3"/>
  <c r="AI30" i="3"/>
  <c r="AH30" i="3"/>
  <c r="AF31" i="3"/>
  <c r="AD31" i="3"/>
  <c r="AC31" i="3"/>
  <c r="AK31" i="3"/>
  <c r="AI31" i="3"/>
  <c r="AH31" i="3"/>
  <c r="AF32" i="3"/>
  <c r="AD32" i="3"/>
  <c r="AC32" i="3"/>
  <c r="AK32" i="3"/>
  <c r="AI32" i="3"/>
  <c r="AH32" i="3"/>
  <c r="AF33" i="3"/>
  <c r="AD33" i="3"/>
  <c r="AC33" i="3"/>
  <c r="AK33" i="3"/>
  <c r="AI33" i="3"/>
  <c r="AH33" i="3"/>
  <c r="AG34" i="3"/>
  <c r="AH34" i="3" s="1"/>
  <c r="K34" i="3"/>
  <c r="AB34" i="3"/>
  <c r="AC34" i="3" s="1"/>
  <c r="S34" i="3"/>
  <c r="AK34" i="3"/>
  <c r="AI34" i="3"/>
  <c r="AF34" i="3"/>
  <c r="AD34" i="3"/>
  <c r="Y34" i="3"/>
  <c r="AG35" i="3"/>
  <c r="AH35" i="3" s="1"/>
  <c r="K35" i="3"/>
  <c r="AB35" i="3"/>
  <c r="AC35" i="3" s="1"/>
  <c r="S35" i="3"/>
  <c r="AK35" i="3"/>
  <c r="AI35" i="3"/>
  <c r="AF35" i="3"/>
  <c r="AD35" i="3"/>
  <c r="Y35" i="3"/>
  <c r="AF37" i="3"/>
  <c r="AD37" i="3"/>
  <c r="AC37" i="3"/>
  <c r="AK37" i="3"/>
  <c r="AI37" i="3"/>
  <c r="AH37" i="3"/>
  <c r="AF39" i="3"/>
  <c r="AD39" i="3"/>
  <c r="AC39" i="3"/>
  <c r="AK39" i="3"/>
  <c r="AI39" i="3"/>
  <c r="AH39" i="3"/>
  <c r="AF40" i="3"/>
  <c r="AD40" i="3"/>
  <c r="AC40" i="3"/>
  <c r="AK40" i="3"/>
  <c r="AI40" i="3"/>
  <c r="AH40" i="3"/>
  <c r="AF41" i="3"/>
  <c r="AD41" i="3"/>
  <c r="AC41" i="3"/>
  <c r="AK41" i="3"/>
  <c r="AI41" i="3"/>
  <c r="AH41" i="3"/>
  <c r="AF42" i="3"/>
  <c r="AD42" i="3"/>
  <c r="AC42" i="3"/>
  <c r="AK42" i="3"/>
  <c r="AI42" i="3"/>
  <c r="AH42" i="3"/>
  <c r="AF43" i="3"/>
  <c r="AD43" i="3"/>
  <c r="AC43" i="3"/>
  <c r="AK43" i="3"/>
  <c r="AI43" i="3"/>
  <c r="AH43" i="3"/>
  <c r="AG44" i="3"/>
  <c r="AH44" i="3" s="1"/>
  <c r="K44" i="3"/>
  <c r="AB44" i="3"/>
  <c r="AC44" i="3" s="1"/>
  <c r="S44" i="3"/>
  <c r="AK44" i="3"/>
  <c r="AI44" i="3"/>
  <c r="AF44" i="3"/>
  <c r="AD44" i="3"/>
  <c r="Y44" i="3"/>
  <c r="AF46" i="3"/>
  <c r="AD46" i="3"/>
  <c r="AC46" i="3"/>
  <c r="AK46" i="3"/>
  <c r="AI46" i="3"/>
  <c r="AH46" i="3"/>
  <c r="AF47" i="3"/>
  <c r="AD47" i="3"/>
  <c r="AC47" i="3"/>
  <c r="AK47" i="3"/>
  <c r="AI47" i="3"/>
  <c r="AH47" i="3"/>
  <c r="AF48" i="3"/>
  <c r="AD48" i="3"/>
  <c r="AC48" i="3"/>
  <c r="AK48" i="3"/>
  <c r="AI48" i="3"/>
  <c r="AH48" i="3"/>
  <c r="AF49" i="3"/>
  <c r="AD49" i="3"/>
  <c r="AC49" i="3"/>
  <c r="AK49" i="3"/>
  <c r="AI49" i="3"/>
  <c r="AH49" i="3"/>
  <c r="AF50" i="3"/>
  <c r="AD50" i="3"/>
  <c r="AC50" i="3"/>
  <c r="AK50" i="3"/>
  <c r="AI50" i="3"/>
  <c r="AH50" i="3"/>
  <c r="AF51" i="3"/>
  <c r="AD51" i="3"/>
  <c r="AC51" i="3"/>
  <c r="AK51" i="3"/>
  <c r="AI51" i="3"/>
  <c r="AH51" i="3"/>
  <c r="AG52" i="3"/>
  <c r="AH52" i="3" s="1"/>
  <c r="K52" i="3"/>
  <c r="AB52" i="3"/>
  <c r="AC52" i="3" s="1"/>
  <c r="S52" i="3"/>
  <c r="AK52" i="3"/>
  <c r="AI52" i="3"/>
  <c r="AF52" i="3"/>
  <c r="AD52" i="3"/>
  <c r="Y52" i="3"/>
  <c r="AF53" i="3"/>
  <c r="AD53" i="3"/>
  <c r="AC53" i="3"/>
  <c r="AK53" i="3"/>
  <c r="AI53" i="3"/>
  <c r="AH53" i="3"/>
  <c r="AF54" i="3"/>
  <c r="AD54" i="3"/>
  <c r="AC54" i="3"/>
  <c r="AK54" i="3"/>
  <c r="AI54" i="3"/>
  <c r="AH54" i="3"/>
  <c r="AF55" i="3"/>
  <c r="AD55" i="3"/>
  <c r="AC55" i="3"/>
  <c r="AK55" i="3"/>
  <c r="AI55" i="3"/>
  <c r="AH55" i="3"/>
  <c r="AG56" i="3"/>
  <c r="AH56" i="3" s="1"/>
  <c r="K56" i="3"/>
  <c r="AB56" i="3"/>
  <c r="AC56" i="3" s="1"/>
  <c r="S56" i="3"/>
  <c r="AK56" i="3"/>
  <c r="AI56" i="3"/>
  <c r="AF56" i="3"/>
  <c r="AD56" i="3"/>
  <c r="Y56" i="3"/>
  <c r="AG57" i="3"/>
  <c r="AH57" i="3" s="1"/>
  <c r="K57" i="3"/>
  <c r="AB57" i="3"/>
  <c r="AC57" i="3" s="1"/>
  <c r="S57" i="3"/>
  <c r="AK57" i="3"/>
  <c r="AI57" i="3"/>
  <c r="AF57" i="3"/>
  <c r="AD57" i="3"/>
  <c r="Y57" i="3"/>
  <c r="AF63" i="3"/>
  <c r="AD63" i="3"/>
  <c r="AC63" i="3"/>
  <c r="AK63" i="3"/>
  <c r="AI63" i="3"/>
  <c r="AH63" i="3"/>
  <c r="AF65" i="3"/>
  <c r="AD65" i="3"/>
  <c r="AC65" i="3"/>
  <c r="AK65" i="3"/>
  <c r="AI65" i="3"/>
  <c r="AH65" i="3"/>
  <c r="AF66" i="3"/>
  <c r="AD66" i="3"/>
  <c r="AC66" i="3"/>
  <c r="AK66" i="3"/>
  <c r="AI66" i="3"/>
  <c r="AH66" i="3"/>
  <c r="AF67" i="3"/>
  <c r="AD67" i="3"/>
  <c r="AC67" i="3"/>
  <c r="AK67" i="3"/>
  <c r="AI67" i="3"/>
  <c r="AH67" i="3"/>
  <c r="AF68" i="3"/>
  <c r="AD68" i="3"/>
  <c r="AC68" i="3"/>
  <c r="AK68" i="3"/>
  <c r="AI68" i="3"/>
  <c r="AH68" i="3"/>
  <c r="AF69" i="3"/>
  <c r="AD69" i="3"/>
  <c r="AC69" i="3"/>
  <c r="AK69" i="3"/>
  <c r="AI69" i="3"/>
  <c r="AH69" i="3"/>
  <c r="AG70" i="3"/>
  <c r="AH70" i="3" s="1"/>
  <c r="K70" i="3"/>
  <c r="AB70" i="3"/>
  <c r="AC70" i="3" s="1"/>
  <c r="S70" i="3"/>
  <c r="AK70" i="3"/>
  <c r="AI70" i="3"/>
  <c r="AF70" i="3"/>
  <c r="AD70" i="3"/>
  <c r="Y70" i="3"/>
  <c r="AF71" i="3"/>
  <c r="AD71" i="3"/>
  <c r="AC71" i="3"/>
  <c r="AK71" i="3"/>
  <c r="AI71" i="3"/>
  <c r="AH71" i="3"/>
  <c r="AF72" i="3"/>
  <c r="AD72" i="3"/>
  <c r="AC72" i="3"/>
  <c r="AK72" i="3"/>
  <c r="AI72" i="3"/>
  <c r="AH72" i="3"/>
  <c r="AF74" i="3"/>
  <c r="AD74" i="3"/>
  <c r="AC74" i="3"/>
  <c r="AK74" i="3"/>
  <c r="AI74" i="3"/>
  <c r="AH74" i="3"/>
  <c r="AF75" i="3"/>
  <c r="AD75" i="3"/>
  <c r="AC75" i="3"/>
  <c r="AK75" i="3"/>
  <c r="AI75" i="3"/>
  <c r="AH75" i="3"/>
  <c r="AF76" i="3"/>
  <c r="AD76" i="3"/>
  <c r="AC76" i="3"/>
  <c r="AK76" i="3"/>
  <c r="AI76" i="3"/>
  <c r="AH76" i="3"/>
  <c r="AF77" i="3"/>
  <c r="AD77" i="3"/>
  <c r="AC77" i="3"/>
  <c r="AK77" i="3"/>
  <c r="AI77" i="3"/>
  <c r="AH77" i="3"/>
  <c r="AF78" i="3"/>
  <c r="AD78" i="3"/>
  <c r="AC78" i="3"/>
  <c r="AK78" i="3"/>
  <c r="AI78" i="3"/>
  <c r="AH78" i="3"/>
  <c r="AF79" i="3"/>
  <c r="AD79" i="3"/>
  <c r="AC79" i="3"/>
  <c r="AK79" i="3"/>
  <c r="AI79" i="3"/>
  <c r="AH79" i="3"/>
  <c r="AF80" i="3"/>
  <c r="AD80" i="3"/>
  <c r="AC80" i="3"/>
  <c r="AK80" i="3"/>
  <c r="AI80" i="3"/>
  <c r="AH80" i="3"/>
  <c r="AG81" i="3"/>
  <c r="AH81" i="3" s="1"/>
  <c r="K81" i="3"/>
  <c r="AB81" i="3"/>
  <c r="AC81" i="3" s="1"/>
  <c r="S81" i="3"/>
  <c r="AK81" i="3"/>
  <c r="AI81" i="3"/>
  <c r="AF81" i="3"/>
  <c r="AD81" i="3"/>
  <c r="Y81" i="3"/>
  <c r="AF82" i="3"/>
  <c r="AD82" i="3"/>
  <c r="AC82" i="3"/>
  <c r="AK82" i="3"/>
  <c r="AI82" i="3"/>
  <c r="AH82" i="3"/>
  <c r="AF83" i="3"/>
  <c r="AD83" i="3"/>
  <c r="AC83" i="3"/>
  <c r="AK83" i="3"/>
  <c r="AI83" i="3"/>
  <c r="AH83" i="3"/>
  <c r="AG84" i="3"/>
  <c r="AH84" i="3" s="1"/>
  <c r="K84" i="3"/>
  <c r="AB84" i="3"/>
  <c r="AC84" i="3" s="1"/>
  <c r="S84" i="3"/>
  <c r="AK84" i="3"/>
  <c r="AI84" i="3"/>
  <c r="AF84" i="3"/>
  <c r="AD84" i="3"/>
  <c r="Y84" i="3"/>
  <c r="AG85" i="3"/>
  <c r="AH85" i="3" s="1"/>
  <c r="K85" i="3"/>
  <c r="AB85" i="3"/>
  <c r="AC85" i="3" s="1"/>
  <c r="S85" i="3"/>
  <c r="AK85" i="3"/>
  <c r="AI85" i="3"/>
  <c r="AF85" i="3"/>
  <c r="AD85" i="3"/>
  <c r="Y85" i="3"/>
  <c r="AF90" i="3"/>
  <c r="AD90" i="3"/>
  <c r="AC90" i="3"/>
  <c r="AK90" i="3"/>
  <c r="AI90" i="3"/>
  <c r="AH90" i="3"/>
  <c r="AF91" i="3"/>
  <c r="AD91" i="3"/>
  <c r="AC91" i="3"/>
  <c r="AK91" i="3"/>
  <c r="AI91" i="3"/>
  <c r="AH91" i="3"/>
  <c r="AF92" i="3"/>
  <c r="AD92" i="3"/>
  <c r="AC92" i="3"/>
  <c r="AK92" i="3"/>
  <c r="AI92" i="3"/>
  <c r="AH92" i="3"/>
  <c r="AF93" i="3"/>
  <c r="AD93" i="3"/>
  <c r="AC93" i="3"/>
  <c r="AK93" i="3"/>
  <c r="AI93" i="3"/>
  <c r="AH93" i="3"/>
  <c r="AF94" i="3"/>
  <c r="AD94" i="3"/>
  <c r="AC94" i="3"/>
  <c r="AK94" i="3"/>
  <c r="AI94" i="3"/>
  <c r="AH94" i="3"/>
  <c r="AF95" i="3"/>
  <c r="AD95" i="3"/>
  <c r="AC95" i="3"/>
  <c r="AK95" i="3"/>
  <c r="AI95" i="3"/>
  <c r="AH95" i="3"/>
  <c r="AF96" i="3"/>
  <c r="AD96" i="3"/>
  <c r="AC96" i="3"/>
  <c r="AK96" i="3"/>
  <c r="AI96" i="3"/>
  <c r="AH96" i="3"/>
  <c r="AF97" i="3"/>
  <c r="AD97" i="3"/>
  <c r="AC97" i="3"/>
  <c r="AK97" i="3"/>
  <c r="AI97" i="3"/>
  <c r="AH97" i="3"/>
  <c r="AF98" i="3"/>
  <c r="AD98" i="3"/>
  <c r="AC98" i="3"/>
  <c r="AK98" i="3"/>
  <c r="AI98" i="3"/>
  <c r="AH98" i="3"/>
  <c r="AG99" i="3"/>
  <c r="AH99" i="3" s="1"/>
  <c r="K99" i="3"/>
  <c r="AB99" i="3"/>
  <c r="AC99" i="3" s="1"/>
  <c r="S99" i="3"/>
  <c r="AK99" i="3"/>
  <c r="AI99" i="3"/>
  <c r="AF99" i="3"/>
  <c r="AD99" i="3"/>
  <c r="Y99" i="3"/>
  <c r="AF104" i="3"/>
  <c r="AD104" i="3"/>
  <c r="AC104" i="3"/>
  <c r="AK104" i="3"/>
  <c r="AI104" i="3"/>
  <c r="AH104" i="3"/>
  <c r="AG105" i="3"/>
  <c r="AH105" i="3" s="1"/>
  <c r="K105" i="3"/>
  <c r="AB105" i="3"/>
  <c r="AC105" i="3" s="1"/>
  <c r="S105" i="3"/>
  <c r="AK105" i="3"/>
  <c r="AI105" i="3"/>
  <c r="AF105" i="3"/>
  <c r="AD105" i="3"/>
  <c r="Y105" i="3"/>
  <c r="AF110" i="3"/>
  <c r="AD110" i="3"/>
  <c r="AC110" i="3"/>
  <c r="AK110" i="3"/>
  <c r="AI110" i="3"/>
  <c r="AH110" i="3"/>
  <c r="AF111" i="3"/>
  <c r="AD111" i="3"/>
  <c r="AC111" i="3"/>
  <c r="AK111" i="3"/>
  <c r="AI111" i="3"/>
  <c r="AH111" i="3"/>
  <c r="AF112" i="3"/>
  <c r="AD112" i="3"/>
  <c r="AC112" i="3"/>
  <c r="AK112" i="3"/>
  <c r="AI112" i="3"/>
  <c r="AH112" i="3"/>
  <c r="AF113" i="3"/>
  <c r="AD113" i="3"/>
  <c r="AC113" i="3"/>
  <c r="AK113" i="3"/>
  <c r="AI113" i="3"/>
  <c r="AH113" i="3"/>
  <c r="AF114" i="3"/>
  <c r="AD114" i="3"/>
  <c r="AC114" i="3"/>
  <c r="AK114" i="3"/>
  <c r="AI114" i="3"/>
  <c r="AH114" i="3"/>
  <c r="AF115" i="3"/>
  <c r="AD115" i="3"/>
  <c r="AC115" i="3"/>
  <c r="AK115" i="3"/>
  <c r="AI115" i="3"/>
  <c r="AH115" i="3"/>
  <c r="AF116" i="3"/>
  <c r="AD116" i="3"/>
  <c r="AC116" i="3"/>
  <c r="AK116" i="3"/>
  <c r="AI116" i="3"/>
  <c r="AH116" i="3"/>
  <c r="AF117" i="3"/>
  <c r="AD117" i="3"/>
  <c r="AC117" i="3"/>
  <c r="AK117" i="3"/>
  <c r="AI117" i="3"/>
  <c r="AH117" i="3"/>
  <c r="AF118" i="3"/>
  <c r="AD118" i="3"/>
  <c r="AC118" i="3"/>
  <c r="AK118" i="3"/>
  <c r="AI118" i="3"/>
  <c r="AH118" i="3"/>
  <c r="AF119" i="3"/>
  <c r="AD119" i="3"/>
  <c r="AC119" i="3"/>
  <c r="AK119" i="3"/>
  <c r="AI119" i="3"/>
  <c r="AH119" i="3"/>
  <c r="AF120" i="3"/>
  <c r="AD120" i="3"/>
  <c r="AC120" i="3"/>
  <c r="AK120" i="3"/>
  <c r="AI120" i="3"/>
  <c r="AH120" i="3"/>
  <c r="AF121" i="3"/>
  <c r="AD121" i="3"/>
  <c r="AC121" i="3"/>
  <c r="AK121" i="3"/>
  <c r="AI121" i="3"/>
  <c r="AH121" i="3"/>
  <c r="AF122" i="3"/>
  <c r="AD122" i="3"/>
  <c r="AC122" i="3"/>
  <c r="AK122" i="3"/>
  <c r="AI122" i="3"/>
  <c r="AH122" i="3"/>
  <c r="AF123" i="3"/>
  <c r="AD123" i="3"/>
  <c r="AC123" i="3"/>
  <c r="AK123" i="3"/>
  <c r="AI123" i="3"/>
  <c r="AH123" i="3"/>
  <c r="AF124" i="3"/>
  <c r="AD124" i="3"/>
  <c r="AC124" i="3"/>
  <c r="AK124" i="3"/>
  <c r="AI124" i="3"/>
  <c r="AH124" i="3"/>
  <c r="AF125" i="3"/>
  <c r="AD125" i="3"/>
  <c r="AC125" i="3"/>
  <c r="AK125" i="3"/>
  <c r="AI125" i="3"/>
  <c r="AH125" i="3"/>
  <c r="AF126" i="3"/>
  <c r="AD126" i="3"/>
  <c r="AC126" i="3"/>
  <c r="AK126" i="3"/>
  <c r="AI126" i="3"/>
  <c r="AH126" i="3"/>
  <c r="AF127" i="3"/>
  <c r="AD127" i="3"/>
  <c r="AC127" i="3"/>
  <c r="AK127" i="3"/>
  <c r="AI127" i="3"/>
  <c r="AH127" i="3"/>
  <c r="AF128" i="3"/>
  <c r="AD128" i="3"/>
  <c r="AC128" i="3"/>
  <c r="AK128" i="3"/>
  <c r="AI128" i="3"/>
  <c r="AH128" i="3"/>
  <c r="AF129" i="3"/>
  <c r="AD129" i="3"/>
  <c r="AC129" i="3"/>
  <c r="AK129" i="3"/>
  <c r="AI129" i="3"/>
  <c r="AH129" i="3"/>
  <c r="AF130" i="3"/>
  <c r="AD130" i="3"/>
  <c r="AC130" i="3"/>
  <c r="AK130" i="3"/>
  <c r="AI130" i="3"/>
  <c r="AH130" i="3"/>
  <c r="AF131" i="3"/>
  <c r="AD131" i="3"/>
  <c r="AC131" i="3"/>
  <c r="AK131" i="3"/>
  <c r="AI131" i="3"/>
  <c r="AH131" i="3"/>
  <c r="AF132" i="3"/>
  <c r="AD132" i="3"/>
  <c r="AC132" i="3"/>
  <c r="AK132" i="3"/>
  <c r="AI132" i="3"/>
  <c r="AH132" i="3"/>
  <c r="AF133" i="3"/>
  <c r="AD133" i="3"/>
  <c r="AC133" i="3"/>
  <c r="AK133" i="3"/>
  <c r="AI133" i="3"/>
  <c r="AH133" i="3"/>
  <c r="AF134" i="3"/>
  <c r="AD134" i="3"/>
  <c r="AC134" i="3"/>
  <c r="AK134" i="3"/>
  <c r="AI134" i="3"/>
  <c r="AH134" i="3"/>
  <c r="AG135" i="3"/>
  <c r="AH135" i="3" s="1"/>
  <c r="K135" i="3"/>
  <c r="AB135" i="3"/>
  <c r="AC135" i="3" s="1"/>
  <c r="S135" i="3"/>
  <c r="AK135" i="3"/>
  <c r="AI135" i="3"/>
  <c r="AF135" i="3"/>
  <c r="AD135" i="3"/>
  <c r="Y135" i="3"/>
  <c r="AF140" i="3"/>
  <c r="AD140" i="3"/>
  <c r="AC140" i="3"/>
  <c r="AK140" i="3"/>
  <c r="AI140" i="3"/>
  <c r="AH140" i="3"/>
  <c r="AG141" i="3"/>
  <c r="AH141" i="3" s="1"/>
  <c r="K141" i="3"/>
  <c r="AB141" i="3"/>
  <c r="AC141" i="3" s="1"/>
  <c r="S141" i="3"/>
  <c r="AK141" i="3"/>
  <c r="AI141" i="3"/>
  <c r="AF141" i="3"/>
  <c r="AD141" i="3"/>
  <c r="Y141" i="3"/>
  <c r="AF144" i="3"/>
  <c r="AD144" i="3"/>
  <c r="AC144" i="3"/>
  <c r="AK144" i="3"/>
  <c r="AI144" i="3"/>
  <c r="AH144" i="3"/>
  <c r="AG145" i="3"/>
  <c r="AH145" i="3" s="1"/>
  <c r="K145" i="3"/>
  <c r="AB145" i="3"/>
  <c r="AC145" i="3" s="1"/>
  <c r="S145" i="3"/>
  <c r="AK145" i="3"/>
  <c r="AI145" i="3"/>
  <c r="AF145" i="3"/>
  <c r="AD145" i="3"/>
  <c r="Y145" i="3"/>
  <c r="AF148" i="3"/>
  <c r="AD148" i="3"/>
  <c r="AK148" i="3"/>
  <c r="AI148" i="3"/>
  <c r="AF7" i="2"/>
  <c r="AD7" i="2"/>
  <c r="AC7" i="2"/>
  <c r="AK7" i="2"/>
  <c r="AI7" i="2"/>
  <c r="AH7" i="2"/>
  <c r="AF8" i="2"/>
  <c r="AD8" i="2"/>
  <c r="AC8" i="2"/>
  <c r="AK8" i="2"/>
  <c r="AI8" i="2"/>
  <c r="AH8" i="2"/>
  <c r="B59" i="2"/>
  <c r="C9" i="2"/>
  <c r="D59" i="2"/>
  <c r="E9" i="2"/>
  <c r="F59" i="2"/>
  <c r="G9" i="2"/>
  <c r="H59" i="2"/>
  <c r="I9" i="2"/>
  <c r="J59" i="2"/>
  <c r="AG9" i="2"/>
  <c r="AH9" i="2" s="1"/>
  <c r="K9" i="2"/>
  <c r="L59" i="2"/>
  <c r="M9" i="2"/>
  <c r="N59" i="2"/>
  <c r="O9" i="2"/>
  <c r="P59" i="2"/>
  <c r="Q9" i="2"/>
  <c r="R59" i="2"/>
  <c r="AB9" i="2"/>
  <c r="AC9" i="2" s="1"/>
  <c r="S9" i="2"/>
  <c r="T59" i="2"/>
  <c r="U9" i="2"/>
  <c r="V59" i="2"/>
  <c r="W9" i="2"/>
  <c r="X59" i="2"/>
  <c r="AK9" i="2"/>
  <c r="AI9" i="2"/>
  <c r="AF9" i="2"/>
  <c r="AD9" i="2"/>
  <c r="Y9" i="2"/>
  <c r="Z59" i="2"/>
  <c r="AA9" i="2"/>
  <c r="AF13" i="2"/>
  <c r="AD13" i="2"/>
  <c r="AC13" i="2"/>
  <c r="AK13" i="2"/>
  <c r="AI13" i="2"/>
  <c r="AH13" i="2"/>
  <c r="AF15" i="2"/>
  <c r="AD15" i="2"/>
  <c r="AC15" i="2"/>
  <c r="AK15" i="2"/>
  <c r="AI15" i="2"/>
  <c r="AH15" i="2"/>
  <c r="AF16" i="2"/>
  <c r="AD16" i="2"/>
  <c r="AC16" i="2"/>
  <c r="AK16" i="2"/>
  <c r="AI16" i="2"/>
  <c r="AH16" i="2"/>
  <c r="AF17" i="2"/>
  <c r="AD17" i="2"/>
  <c r="AC17" i="2"/>
  <c r="AK17" i="2"/>
  <c r="AI17" i="2"/>
  <c r="AH17" i="2"/>
  <c r="AF18" i="2"/>
  <c r="AD18" i="2"/>
  <c r="AC18" i="2"/>
  <c r="AK18" i="2"/>
  <c r="AI18" i="2"/>
  <c r="AH18" i="2"/>
  <c r="AF19" i="2"/>
  <c r="AD19" i="2"/>
  <c r="AC19" i="2"/>
  <c r="AK19" i="2"/>
  <c r="AI19" i="2"/>
  <c r="AH19" i="2"/>
  <c r="AF20" i="2"/>
  <c r="AD20" i="2"/>
  <c r="AC20" i="2"/>
  <c r="AK20" i="2"/>
  <c r="AI20" i="2"/>
  <c r="AH20" i="2"/>
  <c r="AF21" i="2"/>
  <c r="AD21" i="2"/>
  <c r="AC21" i="2"/>
  <c r="AK21" i="2"/>
  <c r="AI21" i="2"/>
  <c r="AH21" i="2"/>
  <c r="AF22" i="2"/>
  <c r="AD22" i="2"/>
  <c r="AC22" i="2"/>
  <c r="AK22" i="2"/>
  <c r="AI22" i="2"/>
  <c r="AH22" i="2"/>
  <c r="AF23" i="2"/>
  <c r="AD23" i="2"/>
  <c r="AC23" i="2"/>
  <c r="AK23" i="2"/>
  <c r="AI23" i="2"/>
  <c r="AH23" i="2"/>
  <c r="AF24" i="2"/>
  <c r="AD24" i="2"/>
  <c r="AC24" i="2"/>
  <c r="AK24" i="2"/>
  <c r="AI24" i="2"/>
  <c r="AH24" i="2"/>
  <c r="AF25" i="2"/>
  <c r="AD25" i="2"/>
  <c r="AC25" i="2"/>
  <c r="AK25" i="2"/>
  <c r="AI25" i="2"/>
  <c r="AH25" i="2"/>
  <c r="AF26" i="2"/>
  <c r="AD26" i="2"/>
  <c r="AC26" i="2"/>
  <c r="AK26" i="2"/>
  <c r="AI26" i="2"/>
  <c r="AH26" i="2"/>
  <c r="AG27" i="2"/>
  <c r="AH27" i="2" s="1"/>
  <c r="K27" i="2"/>
  <c r="AB27" i="2"/>
  <c r="AC27" i="2" s="1"/>
  <c r="S27" i="2"/>
  <c r="AK27" i="2"/>
  <c r="AI27" i="2"/>
  <c r="AF27" i="2"/>
  <c r="AD27" i="2"/>
  <c r="Y27" i="2"/>
  <c r="AF29" i="2"/>
  <c r="AD29" i="2"/>
  <c r="AC29" i="2"/>
  <c r="AK29" i="2"/>
  <c r="AI29" i="2"/>
  <c r="AH29" i="2"/>
  <c r="AF30" i="2"/>
  <c r="AD30" i="2"/>
  <c r="AC30" i="2"/>
  <c r="AK30" i="2"/>
  <c r="AI30" i="2"/>
  <c r="AH30" i="2"/>
  <c r="AF31" i="2"/>
  <c r="AD31" i="2"/>
  <c r="AC31" i="2"/>
  <c r="AK31" i="2"/>
  <c r="AI31" i="2"/>
  <c r="AH31" i="2"/>
  <c r="AF32" i="2"/>
  <c r="AD32" i="2"/>
  <c r="AC32" i="2"/>
  <c r="AK32" i="2"/>
  <c r="AI32" i="2"/>
  <c r="AH32" i="2"/>
  <c r="AF33" i="2"/>
  <c r="AD33" i="2"/>
  <c r="AC33" i="2"/>
  <c r="AK33" i="2"/>
  <c r="AI33" i="2"/>
  <c r="AH33" i="2"/>
  <c r="AG34" i="2"/>
  <c r="AH34" i="2" s="1"/>
  <c r="K34" i="2"/>
  <c r="AB34" i="2"/>
  <c r="AC34" i="2" s="1"/>
  <c r="S34" i="2"/>
  <c r="AK34" i="2"/>
  <c r="AI34" i="2"/>
  <c r="AF34" i="2"/>
  <c r="AD34" i="2"/>
  <c r="Y34" i="2"/>
  <c r="AG35" i="2"/>
  <c r="AH35" i="2" s="1"/>
  <c r="K35" i="2"/>
  <c r="AB35" i="2"/>
  <c r="AC35" i="2" s="1"/>
  <c r="S35" i="2"/>
  <c r="AK35" i="2"/>
  <c r="AI35" i="2"/>
  <c r="AF35" i="2"/>
  <c r="AD35" i="2"/>
  <c r="Y35" i="2"/>
  <c r="AF37" i="2"/>
  <c r="AD37" i="2"/>
  <c r="AC37" i="2"/>
  <c r="AK37" i="2"/>
  <c r="AI37" i="2"/>
  <c r="AH37" i="2"/>
  <c r="AF39" i="2"/>
  <c r="AD39" i="2"/>
  <c r="AC39" i="2"/>
  <c r="AK39" i="2"/>
  <c r="AI39" i="2"/>
  <c r="AH39" i="2"/>
  <c r="AF40" i="2"/>
  <c r="AD40" i="2"/>
  <c r="AC40" i="2"/>
  <c r="AK40" i="2"/>
  <c r="AI40" i="2"/>
  <c r="AH40" i="2"/>
  <c r="AF41" i="2"/>
  <c r="AD41" i="2"/>
  <c r="AC41" i="2"/>
  <c r="AK41" i="2"/>
  <c r="AI41" i="2"/>
  <c r="AH41" i="2"/>
  <c r="AF42" i="2"/>
  <c r="AD42" i="2"/>
  <c r="AC42" i="2"/>
  <c r="AK42" i="2"/>
  <c r="AI42" i="2"/>
  <c r="AH42" i="2"/>
  <c r="AF43" i="2"/>
  <c r="AD43" i="2"/>
  <c r="AC43" i="2"/>
  <c r="AK43" i="2"/>
  <c r="AI43" i="2"/>
  <c r="AH43" i="2"/>
  <c r="AG44" i="2"/>
  <c r="AH44" i="2" s="1"/>
  <c r="K44" i="2"/>
  <c r="AB44" i="2"/>
  <c r="AC44" i="2" s="1"/>
  <c r="S44" i="2"/>
  <c r="AK44" i="2"/>
  <c r="AI44" i="2"/>
  <c r="AF44" i="2"/>
  <c r="AD44" i="2"/>
  <c r="Y44" i="2"/>
  <c r="AF46" i="2"/>
  <c r="AD46" i="2"/>
  <c r="AC46" i="2"/>
  <c r="AK46" i="2"/>
  <c r="AI46" i="2"/>
  <c r="AH46" i="2"/>
  <c r="AF47" i="2"/>
  <c r="AD47" i="2"/>
  <c r="AC47" i="2"/>
  <c r="AK47" i="2"/>
  <c r="AI47" i="2"/>
  <c r="AH47" i="2"/>
  <c r="AF48" i="2"/>
  <c r="AD48" i="2"/>
  <c r="AC48" i="2"/>
  <c r="AK48" i="2"/>
  <c r="AI48" i="2"/>
  <c r="AH48" i="2"/>
  <c r="AF49" i="2"/>
  <c r="AD49" i="2"/>
  <c r="AC49" i="2"/>
  <c r="AK49" i="2"/>
  <c r="AI49" i="2"/>
  <c r="AH49" i="2"/>
  <c r="AF50" i="2"/>
  <c r="AD50" i="2"/>
  <c r="AC50" i="2"/>
  <c r="AK50" i="2"/>
  <c r="AI50" i="2"/>
  <c r="AH50" i="2"/>
  <c r="AF51" i="2"/>
  <c r="AD51" i="2"/>
  <c r="AC51" i="2"/>
  <c r="AK51" i="2"/>
  <c r="AI51" i="2"/>
  <c r="AH51" i="2"/>
  <c r="AG52" i="2"/>
  <c r="AH52" i="2" s="1"/>
  <c r="K52" i="2"/>
  <c r="AB52" i="2"/>
  <c r="AC52" i="2" s="1"/>
  <c r="S52" i="2"/>
  <c r="AK52" i="2"/>
  <c r="AI52" i="2"/>
  <c r="AF52" i="2"/>
  <c r="AD52" i="2"/>
  <c r="Y52" i="2"/>
  <c r="AF53" i="2"/>
  <c r="AD53" i="2"/>
  <c r="AC53" i="2"/>
  <c r="AK53" i="2"/>
  <c r="AI53" i="2"/>
  <c r="AH53" i="2"/>
  <c r="AF54" i="2"/>
  <c r="AD54" i="2"/>
  <c r="AC54" i="2"/>
  <c r="AK54" i="2"/>
  <c r="AI54" i="2"/>
  <c r="AH54" i="2"/>
  <c r="AF55" i="2"/>
  <c r="AD55" i="2"/>
  <c r="AC55" i="2"/>
  <c r="AK55" i="2"/>
  <c r="AI55" i="2"/>
  <c r="AH55" i="2"/>
  <c r="AG56" i="2"/>
  <c r="AH56" i="2" s="1"/>
  <c r="K56" i="2"/>
  <c r="AB56" i="2"/>
  <c r="AC56" i="2" s="1"/>
  <c r="S56" i="2"/>
  <c r="AK56" i="2"/>
  <c r="AI56" i="2"/>
  <c r="AF56" i="2"/>
  <c r="AD56" i="2"/>
  <c r="Y56" i="2"/>
  <c r="AG57" i="2"/>
  <c r="AH57" i="2" s="1"/>
  <c r="K57" i="2"/>
  <c r="AB57" i="2"/>
  <c r="AC57" i="2" s="1"/>
  <c r="S57" i="2"/>
  <c r="AK57" i="2"/>
  <c r="AI57" i="2"/>
  <c r="AF57" i="2"/>
  <c r="AD57" i="2"/>
  <c r="Y57" i="2"/>
  <c r="AF63" i="2"/>
  <c r="AD63" i="2"/>
  <c r="AC63" i="2"/>
  <c r="AK63" i="2"/>
  <c r="AI63" i="2"/>
  <c r="AH63" i="2"/>
  <c r="AF65" i="2"/>
  <c r="AD65" i="2"/>
  <c r="AC65" i="2"/>
  <c r="AK65" i="2"/>
  <c r="AI65" i="2"/>
  <c r="AH65" i="2"/>
  <c r="AF66" i="2"/>
  <c r="AD66" i="2"/>
  <c r="AC66" i="2"/>
  <c r="AK66" i="2"/>
  <c r="AI66" i="2"/>
  <c r="AH66" i="2"/>
  <c r="AF67" i="2"/>
  <c r="AD67" i="2"/>
  <c r="AC67" i="2"/>
  <c r="AK67" i="2"/>
  <c r="AI67" i="2"/>
  <c r="AH67" i="2"/>
  <c r="AF68" i="2"/>
  <c r="AD68" i="2"/>
  <c r="AC68" i="2"/>
  <c r="AK68" i="2"/>
  <c r="AI68" i="2"/>
  <c r="AH68" i="2"/>
  <c r="AF69" i="2"/>
  <c r="AD69" i="2"/>
  <c r="AC69" i="2"/>
  <c r="AK69" i="2"/>
  <c r="AI69" i="2"/>
  <c r="AH69" i="2"/>
  <c r="AG70" i="2"/>
  <c r="AH70" i="2" s="1"/>
  <c r="K70" i="2"/>
  <c r="AB70" i="2"/>
  <c r="AC70" i="2" s="1"/>
  <c r="S70" i="2"/>
  <c r="AK70" i="2"/>
  <c r="AI70" i="2"/>
  <c r="AF70" i="2"/>
  <c r="AD70" i="2"/>
  <c r="Y70" i="2"/>
  <c r="AF71" i="2"/>
  <c r="AD71" i="2"/>
  <c r="AC71" i="2"/>
  <c r="AK71" i="2"/>
  <c r="AI71" i="2"/>
  <c r="AH71" i="2"/>
  <c r="AF72" i="2"/>
  <c r="AD72" i="2"/>
  <c r="AC72" i="2"/>
  <c r="AK72" i="2"/>
  <c r="AI72" i="2"/>
  <c r="AH72" i="2"/>
  <c r="AF74" i="2"/>
  <c r="AD74" i="2"/>
  <c r="AC74" i="2"/>
  <c r="AK74" i="2"/>
  <c r="AI74" i="2"/>
  <c r="AH74" i="2"/>
  <c r="AF75" i="2"/>
  <c r="AD75" i="2"/>
  <c r="AC75" i="2"/>
  <c r="AK75" i="2"/>
  <c r="AI75" i="2"/>
  <c r="AH75" i="2"/>
  <c r="AF76" i="2"/>
  <c r="AD76" i="2"/>
  <c r="AC76" i="2"/>
  <c r="AK76" i="2"/>
  <c r="AI76" i="2"/>
  <c r="AH76" i="2"/>
  <c r="AF77" i="2"/>
  <c r="AD77" i="2"/>
  <c r="AC77" i="2"/>
  <c r="AK77" i="2"/>
  <c r="AI77" i="2"/>
  <c r="AH77" i="2"/>
  <c r="AF78" i="2"/>
  <c r="AD78" i="2"/>
  <c r="AC78" i="2"/>
  <c r="AK78" i="2"/>
  <c r="AI78" i="2"/>
  <c r="AH78" i="2"/>
  <c r="AF79" i="2"/>
  <c r="AD79" i="2"/>
  <c r="AC79" i="2"/>
  <c r="AK79" i="2"/>
  <c r="AI79" i="2"/>
  <c r="AH79" i="2"/>
  <c r="AF80" i="2"/>
  <c r="AD80" i="2"/>
  <c r="AC80" i="2"/>
  <c r="AK80" i="2"/>
  <c r="AI80" i="2"/>
  <c r="AH80" i="2"/>
  <c r="AG81" i="2"/>
  <c r="AH81" i="2" s="1"/>
  <c r="K81" i="2"/>
  <c r="AB81" i="2"/>
  <c r="AC81" i="2" s="1"/>
  <c r="S81" i="2"/>
  <c r="AK81" i="2"/>
  <c r="AI81" i="2"/>
  <c r="AF81" i="2"/>
  <c r="AD81" i="2"/>
  <c r="Y81" i="2"/>
  <c r="AF82" i="2"/>
  <c r="AD82" i="2"/>
  <c r="AC82" i="2"/>
  <c r="AK82" i="2"/>
  <c r="AI82" i="2"/>
  <c r="AH82" i="2"/>
  <c r="AF83" i="2"/>
  <c r="AD83" i="2"/>
  <c r="AC83" i="2"/>
  <c r="AK83" i="2"/>
  <c r="AI83" i="2"/>
  <c r="AH83" i="2"/>
  <c r="AG84" i="2"/>
  <c r="AH84" i="2" s="1"/>
  <c r="K84" i="2"/>
  <c r="AB84" i="2"/>
  <c r="AC84" i="2" s="1"/>
  <c r="S84" i="2"/>
  <c r="AK84" i="2"/>
  <c r="AI84" i="2"/>
  <c r="AF84" i="2"/>
  <c r="AD84" i="2"/>
  <c r="Y84" i="2"/>
  <c r="AG85" i="2"/>
  <c r="AH85" i="2" s="1"/>
  <c r="K85" i="2"/>
  <c r="AB85" i="2"/>
  <c r="AC85" i="2" s="1"/>
  <c r="S85" i="2"/>
  <c r="AK85" i="2"/>
  <c r="AI85" i="2"/>
  <c r="AF85" i="2"/>
  <c r="AD85" i="2"/>
  <c r="Y85" i="2"/>
  <c r="AF90" i="2"/>
  <c r="AD90" i="2"/>
  <c r="AC90" i="2"/>
  <c r="AK90" i="2"/>
  <c r="AI90" i="2"/>
  <c r="AH90" i="2"/>
  <c r="AF91" i="2"/>
  <c r="AD91" i="2"/>
  <c r="AC91" i="2"/>
  <c r="AK91" i="2"/>
  <c r="AI91" i="2"/>
  <c r="AH91" i="2"/>
  <c r="AF92" i="2"/>
  <c r="AD92" i="2"/>
  <c r="AC92" i="2"/>
  <c r="AK92" i="2"/>
  <c r="AI92" i="2"/>
  <c r="AH92" i="2"/>
  <c r="AF93" i="2"/>
  <c r="AD93" i="2"/>
  <c r="AC93" i="2"/>
  <c r="AK93" i="2"/>
  <c r="AI93" i="2"/>
  <c r="AH93" i="2"/>
  <c r="AF94" i="2"/>
  <c r="AD94" i="2"/>
  <c r="AC94" i="2"/>
  <c r="AK94" i="2"/>
  <c r="AI94" i="2"/>
  <c r="AH94" i="2"/>
  <c r="AF95" i="2"/>
  <c r="AD95" i="2"/>
  <c r="AC95" i="2"/>
  <c r="AK95" i="2"/>
  <c r="AI95" i="2"/>
  <c r="AH95" i="2"/>
  <c r="AF96" i="2"/>
  <c r="AD96" i="2"/>
  <c r="AC96" i="2"/>
  <c r="AK96" i="2"/>
  <c r="AI96" i="2"/>
  <c r="AH96" i="2"/>
  <c r="AF97" i="2"/>
  <c r="AD97" i="2"/>
  <c r="AC97" i="2"/>
  <c r="AK97" i="2"/>
  <c r="AI97" i="2"/>
  <c r="AH97" i="2"/>
  <c r="AF98" i="2"/>
  <c r="AD98" i="2"/>
  <c r="AC98" i="2"/>
  <c r="AK98" i="2"/>
  <c r="AI98" i="2"/>
  <c r="AH98" i="2"/>
  <c r="AG99" i="2"/>
  <c r="AH99" i="2" s="1"/>
  <c r="K99" i="2"/>
  <c r="AB99" i="2"/>
  <c r="AC99" i="2" s="1"/>
  <c r="S99" i="2"/>
  <c r="AK99" i="2"/>
  <c r="AI99" i="2"/>
  <c r="AF99" i="2"/>
  <c r="AD99" i="2"/>
  <c r="Y99" i="2"/>
  <c r="AF104" i="2"/>
  <c r="AD104" i="2"/>
  <c r="AC104" i="2"/>
  <c r="AK104" i="2"/>
  <c r="AI104" i="2"/>
  <c r="AH104" i="2"/>
  <c r="AG105" i="2"/>
  <c r="AH105" i="2" s="1"/>
  <c r="K105" i="2"/>
  <c r="AB105" i="2"/>
  <c r="AC105" i="2" s="1"/>
  <c r="S105" i="2"/>
  <c r="AK105" i="2"/>
  <c r="AI105" i="2"/>
  <c r="AF105" i="2"/>
  <c r="AD105" i="2"/>
  <c r="Y105" i="2"/>
  <c r="AF110" i="2"/>
  <c r="AD110" i="2"/>
  <c r="AC110" i="2"/>
  <c r="AK110" i="2"/>
  <c r="AI110" i="2"/>
  <c r="AH110" i="2"/>
  <c r="AF111" i="2"/>
  <c r="AD111" i="2"/>
  <c r="AC111" i="2"/>
  <c r="AK111" i="2"/>
  <c r="AI111" i="2"/>
  <c r="AH111" i="2"/>
  <c r="AF112" i="2"/>
  <c r="AD112" i="2"/>
  <c r="AC112" i="2"/>
  <c r="AK112" i="2"/>
  <c r="AI112" i="2"/>
  <c r="AH112" i="2"/>
  <c r="AF113" i="2"/>
  <c r="AD113" i="2"/>
  <c r="AC113" i="2"/>
  <c r="AK113" i="2"/>
  <c r="AI113" i="2"/>
  <c r="AH113" i="2"/>
  <c r="AF114" i="2"/>
  <c r="AD114" i="2"/>
  <c r="AC114" i="2"/>
  <c r="AK114" i="2"/>
  <c r="AI114" i="2"/>
  <c r="AH114" i="2"/>
  <c r="AF115" i="2"/>
  <c r="AD115" i="2"/>
  <c r="AC115" i="2"/>
  <c r="AK115" i="2"/>
  <c r="AI115" i="2"/>
  <c r="AH115" i="2"/>
  <c r="AF116" i="2"/>
  <c r="AD116" i="2"/>
  <c r="AC116" i="2"/>
  <c r="AK116" i="2"/>
  <c r="AI116" i="2"/>
  <c r="AH116" i="2"/>
  <c r="AF117" i="2"/>
  <c r="AD117" i="2"/>
  <c r="AC117" i="2"/>
  <c r="AK117" i="2"/>
  <c r="AI117" i="2"/>
  <c r="AH117" i="2"/>
  <c r="AF118" i="2"/>
  <c r="AD118" i="2"/>
  <c r="AC118" i="2"/>
  <c r="AK118" i="2"/>
  <c r="AI118" i="2"/>
  <c r="AH118" i="2"/>
  <c r="AF119" i="2"/>
  <c r="AD119" i="2"/>
  <c r="AC119" i="2"/>
  <c r="AK119" i="2"/>
  <c r="AI119" i="2"/>
  <c r="AH119" i="2"/>
  <c r="AF120" i="2"/>
  <c r="AD120" i="2"/>
  <c r="AC120" i="2"/>
  <c r="AK120" i="2"/>
  <c r="AI120" i="2"/>
  <c r="AH120" i="2"/>
  <c r="AF121" i="2"/>
  <c r="AD121" i="2"/>
  <c r="AC121" i="2"/>
  <c r="AK121" i="2"/>
  <c r="AI121" i="2"/>
  <c r="AH121" i="2"/>
  <c r="AF122" i="2"/>
  <c r="AD122" i="2"/>
  <c r="AC122" i="2"/>
  <c r="AK122" i="2"/>
  <c r="AI122" i="2"/>
  <c r="AH122" i="2"/>
  <c r="AF123" i="2"/>
  <c r="AD123" i="2"/>
  <c r="AC123" i="2"/>
  <c r="AK123" i="2"/>
  <c r="AI123" i="2"/>
  <c r="AH123" i="2"/>
  <c r="AF124" i="2"/>
  <c r="AD124" i="2"/>
  <c r="AC124" i="2"/>
  <c r="AK124" i="2"/>
  <c r="AI124" i="2"/>
  <c r="AH124" i="2"/>
  <c r="AF125" i="2"/>
  <c r="AD125" i="2"/>
  <c r="AC125" i="2"/>
  <c r="AK125" i="2"/>
  <c r="AI125" i="2"/>
  <c r="AH125" i="2"/>
  <c r="AF126" i="2"/>
  <c r="AD126" i="2"/>
  <c r="AC126" i="2"/>
  <c r="AK126" i="2"/>
  <c r="AI126" i="2"/>
  <c r="AH126" i="2"/>
  <c r="AF127" i="2"/>
  <c r="AD127" i="2"/>
  <c r="AC127" i="2"/>
  <c r="AK127" i="2"/>
  <c r="AI127" i="2"/>
  <c r="AH127" i="2"/>
  <c r="AF128" i="2"/>
  <c r="AD128" i="2"/>
  <c r="AC128" i="2"/>
  <c r="AK128" i="2"/>
  <c r="AI128" i="2"/>
  <c r="AH128" i="2"/>
  <c r="AF129" i="2"/>
  <c r="AD129" i="2"/>
  <c r="AC129" i="2"/>
  <c r="AK129" i="2"/>
  <c r="AI129" i="2"/>
  <c r="AH129" i="2"/>
  <c r="AF130" i="2"/>
  <c r="AD130" i="2"/>
  <c r="AC130" i="2"/>
  <c r="AK130" i="2"/>
  <c r="AI130" i="2"/>
  <c r="AH130" i="2"/>
  <c r="AF131" i="2"/>
  <c r="AD131" i="2"/>
  <c r="AC131" i="2"/>
  <c r="AK131" i="2"/>
  <c r="AI131" i="2"/>
  <c r="AH131" i="2"/>
  <c r="AF132" i="2"/>
  <c r="AD132" i="2"/>
  <c r="AC132" i="2"/>
  <c r="AK132" i="2"/>
  <c r="AI132" i="2"/>
  <c r="AH132" i="2"/>
  <c r="AF133" i="2"/>
  <c r="AD133" i="2"/>
  <c r="AC133" i="2"/>
  <c r="AK133" i="2"/>
  <c r="AI133" i="2"/>
  <c r="AH133" i="2"/>
  <c r="AF134" i="2"/>
  <c r="AD134" i="2"/>
  <c r="AC134" i="2"/>
  <c r="AK134" i="2"/>
  <c r="AI134" i="2"/>
  <c r="AH134" i="2"/>
  <c r="AG135" i="2"/>
  <c r="AH135" i="2" s="1"/>
  <c r="K135" i="2"/>
  <c r="AB135" i="2"/>
  <c r="AC135" i="2" s="1"/>
  <c r="S135" i="2"/>
  <c r="AK135" i="2"/>
  <c r="AI135" i="2"/>
  <c r="AF135" i="2"/>
  <c r="AD135" i="2"/>
  <c r="Y135" i="2"/>
  <c r="AF140" i="2"/>
  <c r="AD140" i="2"/>
  <c r="AC140" i="2"/>
  <c r="AK140" i="2"/>
  <c r="AI140" i="2"/>
  <c r="AH140" i="2"/>
  <c r="AG141" i="2"/>
  <c r="AH141" i="2" s="1"/>
  <c r="K141" i="2"/>
  <c r="AB141" i="2"/>
  <c r="AC141" i="2" s="1"/>
  <c r="S141" i="2"/>
  <c r="AK141" i="2"/>
  <c r="AI141" i="2"/>
  <c r="AF141" i="2"/>
  <c r="AD141" i="2"/>
  <c r="Y141" i="2"/>
  <c r="AF144" i="2"/>
  <c r="AD144" i="2"/>
  <c r="AC144" i="2"/>
  <c r="AK144" i="2"/>
  <c r="AI144" i="2"/>
  <c r="AH144" i="2"/>
  <c r="AG145" i="2"/>
  <c r="AH145" i="2" s="1"/>
  <c r="K145" i="2"/>
  <c r="AB145" i="2"/>
  <c r="AC145" i="2" s="1"/>
  <c r="S145" i="2"/>
  <c r="AK145" i="2"/>
  <c r="AI145" i="2"/>
  <c r="AF145" i="2"/>
  <c r="AD145" i="2"/>
  <c r="Y145" i="2"/>
  <c r="AF148" i="2"/>
  <c r="AD148" i="2"/>
  <c r="AK148" i="2"/>
  <c r="AI148" i="2"/>
  <c r="AF7" i="1"/>
  <c r="AD7" i="1"/>
  <c r="AC7" i="1"/>
  <c r="AK7" i="1"/>
  <c r="AI7" i="1"/>
  <c r="AH7" i="1"/>
  <c r="AF8" i="1"/>
  <c r="AD8" i="1"/>
  <c r="AC8" i="1"/>
  <c r="AK8" i="1"/>
  <c r="AI8" i="1"/>
  <c r="AH8" i="1"/>
  <c r="B59" i="1"/>
  <c r="C9" i="1"/>
  <c r="D59" i="1"/>
  <c r="E9" i="1"/>
  <c r="F59" i="1"/>
  <c r="G9" i="1"/>
  <c r="H59" i="1"/>
  <c r="I9" i="1"/>
  <c r="J59" i="1"/>
  <c r="AG9" i="1"/>
  <c r="AH9" i="1" s="1"/>
  <c r="K9" i="1"/>
  <c r="L59" i="1"/>
  <c r="M9" i="1"/>
  <c r="N59" i="1"/>
  <c r="O9" i="1"/>
  <c r="P59" i="1"/>
  <c r="Q9" i="1"/>
  <c r="R59" i="1"/>
  <c r="AB9" i="1"/>
  <c r="AC9" i="1" s="1"/>
  <c r="S9" i="1"/>
  <c r="T59" i="1"/>
  <c r="U9" i="1"/>
  <c r="V59" i="1"/>
  <c r="W9" i="1"/>
  <c r="X59" i="1"/>
  <c r="AK9" i="1"/>
  <c r="AI9" i="1"/>
  <c r="AF9" i="1"/>
  <c r="AD9" i="1"/>
  <c r="Y9" i="1"/>
  <c r="Z59" i="1"/>
  <c r="AA9" i="1"/>
  <c r="AF13" i="1"/>
  <c r="AD13" i="1"/>
  <c r="AC13" i="1"/>
  <c r="AK13" i="1"/>
  <c r="AI13" i="1"/>
  <c r="AH13" i="1"/>
  <c r="AF15" i="1"/>
  <c r="AD15" i="1"/>
  <c r="AC15" i="1"/>
  <c r="AK15" i="1"/>
  <c r="AI15" i="1"/>
  <c r="AH15" i="1"/>
  <c r="AF16" i="1"/>
  <c r="AD16" i="1"/>
  <c r="AC16" i="1"/>
  <c r="AK16" i="1"/>
  <c r="AI16" i="1"/>
  <c r="AH16" i="1"/>
  <c r="AF17" i="1"/>
  <c r="AD17" i="1"/>
  <c r="AC17" i="1"/>
  <c r="AK17" i="1"/>
  <c r="AI17" i="1"/>
  <c r="AH17" i="1"/>
  <c r="AF18" i="1"/>
  <c r="AD18" i="1"/>
  <c r="AC18" i="1"/>
  <c r="AK18" i="1"/>
  <c r="AI18" i="1"/>
  <c r="AH18" i="1"/>
  <c r="AF19" i="1"/>
  <c r="AD19" i="1"/>
  <c r="AC19" i="1"/>
  <c r="AK19" i="1"/>
  <c r="AI19" i="1"/>
  <c r="AH19" i="1"/>
  <c r="AF20" i="1"/>
  <c r="AD20" i="1"/>
  <c r="AC20" i="1"/>
  <c r="AK20" i="1"/>
  <c r="AI20" i="1"/>
  <c r="AH20" i="1"/>
  <c r="AF21" i="1"/>
  <c r="AD21" i="1"/>
  <c r="AC21" i="1"/>
  <c r="AK21" i="1"/>
  <c r="AI21" i="1"/>
  <c r="AH21" i="1"/>
  <c r="AF22" i="1"/>
  <c r="AD22" i="1"/>
  <c r="AC22" i="1"/>
  <c r="AK22" i="1"/>
  <c r="AI22" i="1"/>
  <c r="AH22" i="1"/>
  <c r="AF23" i="1"/>
  <c r="AD23" i="1"/>
  <c r="AC23" i="1"/>
  <c r="AK23" i="1"/>
  <c r="AI23" i="1"/>
  <c r="AH23" i="1"/>
  <c r="AF24" i="1"/>
  <c r="AD24" i="1"/>
  <c r="AC24" i="1"/>
  <c r="AK24" i="1"/>
  <c r="AI24" i="1"/>
  <c r="AH24" i="1"/>
  <c r="AF25" i="1"/>
  <c r="AD25" i="1"/>
  <c r="AC25" i="1"/>
  <c r="AK25" i="1"/>
  <c r="AI25" i="1"/>
  <c r="AH25" i="1"/>
  <c r="AF26" i="1"/>
  <c r="AD26" i="1"/>
  <c r="AC26" i="1"/>
  <c r="AK26" i="1"/>
  <c r="AI26" i="1"/>
  <c r="AH26" i="1"/>
  <c r="AG27" i="1"/>
  <c r="AH27" i="1" s="1"/>
  <c r="K27" i="1"/>
  <c r="AB27" i="1"/>
  <c r="AC27" i="1" s="1"/>
  <c r="S27" i="1"/>
  <c r="AK27" i="1"/>
  <c r="AI27" i="1"/>
  <c r="AF27" i="1"/>
  <c r="AD27" i="1"/>
  <c r="Y27" i="1"/>
  <c r="AF29" i="1"/>
  <c r="AD29" i="1"/>
  <c r="AC29" i="1"/>
  <c r="AK29" i="1"/>
  <c r="AI29" i="1"/>
  <c r="AH29" i="1"/>
  <c r="AF30" i="1"/>
  <c r="AD30" i="1"/>
  <c r="AC30" i="1"/>
  <c r="AK30" i="1"/>
  <c r="AI30" i="1"/>
  <c r="AH30" i="1"/>
  <c r="AF31" i="1"/>
  <c r="AD31" i="1"/>
  <c r="AC31" i="1"/>
  <c r="AK31" i="1"/>
  <c r="AI31" i="1"/>
  <c r="AH31" i="1"/>
  <c r="AF32" i="1"/>
  <c r="AD32" i="1"/>
  <c r="AC32" i="1"/>
  <c r="AK32" i="1"/>
  <c r="AI32" i="1"/>
  <c r="AH32" i="1"/>
  <c r="AF33" i="1"/>
  <c r="AD33" i="1"/>
  <c r="AC33" i="1"/>
  <c r="AK33" i="1"/>
  <c r="AI33" i="1"/>
  <c r="AH33" i="1"/>
  <c r="AG34" i="1"/>
  <c r="AH34" i="1" s="1"/>
  <c r="K34" i="1"/>
  <c r="AB34" i="1"/>
  <c r="AC34" i="1" s="1"/>
  <c r="S34" i="1"/>
  <c r="AK34" i="1"/>
  <c r="AI34" i="1"/>
  <c r="AF34" i="1"/>
  <c r="AD34" i="1"/>
  <c r="Y34" i="1"/>
  <c r="AG35" i="1"/>
  <c r="AH35" i="1" s="1"/>
  <c r="K35" i="1"/>
  <c r="AB35" i="1"/>
  <c r="AC35" i="1" s="1"/>
  <c r="S35" i="1"/>
  <c r="AK35" i="1"/>
  <c r="AI35" i="1"/>
  <c r="AF35" i="1"/>
  <c r="AD35" i="1"/>
  <c r="Y35" i="1"/>
  <c r="AF37" i="1"/>
  <c r="AD37" i="1"/>
  <c r="AC37" i="1"/>
  <c r="AK37" i="1"/>
  <c r="AI37" i="1"/>
  <c r="AH37" i="1"/>
  <c r="AF39" i="1"/>
  <c r="AD39" i="1"/>
  <c r="AC39" i="1"/>
  <c r="AK39" i="1"/>
  <c r="AI39" i="1"/>
  <c r="AH39" i="1"/>
  <c r="AF40" i="1"/>
  <c r="AD40" i="1"/>
  <c r="AC40" i="1"/>
  <c r="AK40" i="1"/>
  <c r="AI40" i="1"/>
  <c r="AH40" i="1"/>
  <c r="AF41" i="1"/>
  <c r="AD41" i="1"/>
  <c r="AC41" i="1"/>
  <c r="AK41" i="1"/>
  <c r="AI41" i="1"/>
  <c r="AH41" i="1"/>
  <c r="AF42" i="1"/>
  <c r="AD42" i="1"/>
  <c r="AC42" i="1"/>
  <c r="AK42" i="1"/>
  <c r="AI42" i="1"/>
  <c r="AH42" i="1"/>
  <c r="AF43" i="1"/>
  <c r="AD43" i="1"/>
  <c r="AC43" i="1"/>
  <c r="AK43" i="1"/>
  <c r="AI43" i="1"/>
  <c r="AH43" i="1"/>
  <c r="AG44" i="1"/>
  <c r="AH44" i="1" s="1"/>
  <c r="K44" i="1"/>
  <c r="AB44" i="1"/>
  <c r="AC44" i="1" s="1"/>
  <c r="S44" i="1"/>
  <c r="AK44" i="1"/>
  <c r="AI44" i="1"/>
  <c r="AF44" i="1"/>
  <c r="AD44" i="1"/>
  <c r="Y44" i="1"/>
  <c r="AF46" i="1"/>
  <c r="AD46" i="1"/>
  <c r="AC46" i="1"/>
  <c r="AK46" i="1"/>
  <c r="AI46" i="1"/>
  <c r="AH46" i="1"/>
  <c r="AF47" i="1"/>
  <c r="AD47" i="1"/>
  <c r="AC47" i="1"/>
  <c r="AK47" i="1"/>
  <c r="AI47" i="1"/>
  <c r="AH47" i="1"/>
  <c r="AF48" i="1"/>
  <c r="AD48" i="1"/>
  <c r="AC48" i="1"/>
  <c r="AK48" i="1"/>
  <c r="AI48" i="1"/>
  <c r="AH48" i="1"/>
  <c r="AF49" i="1"/>
  <c r="AD49" i="1"/>
  <c r="AC49" i="1"/>
  <c r="AK49" i="1"/>
  <c r="AI49" i="1"/>
  <c r="AH49" i="1"/>
  <c r="AF50" i="1"/>
  <c r="AD50" i="1"/>
  <c r="AC50" i="1"/>
  <c r="AK50" i="1"/>
  <c r="AI50" i="1"/>
  <c r="AH50" i="1"/>
  <c r="AF51" i="1"/>
  <c r="AD51" i="1"/>
  <c r="AC51" i="1"/>
  <c r="AK51" i="1"/>
  <c r="AI51" i="1"/>
  <c r="AH51" i="1"/>
  <c r="AG52" i="1"/>
  <c r="AH52" i="1" s="1"/>
  <c r="K52" i="1"/>
  <c r="AB52" i="1"/>
  <c r="AC52" i="1" s="1"/>
  <c r="S52" i="1"/>
  <c r="AK52" i="1"/>
  <c r="AI52" i="1"/>
  <c r="AF52" i="1"/>
  <c r="AD52" i="1"/>
  <c r="Y52" i="1"/>
  <c r="AF53" i="1"/>
  <c r="AD53" i="1"/>
  <c r="AC53" i="1"/>
  <c r="AK53" i="1"/>
  <c r="AI53" i="1"/>
  <c r="AH53" i="1"/>
  <c r="AF54" i="1"/>
  <c r="AD54" i="1"/>
  <c r="AC54" i="1"/>
  <c r="AK54" i="1"/>
  <c r="AI54" i="1"/>
  <c r="AH54" i="1"/>
  <c r="AF55" i="1"/>
  <c r="AD55" i="1"/>
  <c r="AC55" i="1"/>
  <c r="AK55" i="1"/>
  <c r="AI55" i="1"/>
  <c r="AH55" i="1"/>
  <c r="AG56" i="1"/>
  <c r="AH56" i="1" s="1"/>
  <c r="K56" i="1"/>
  <c r="AB56" i="1"/>
  <c r="AC56" i="1" s="1"/>
  <c r="S56" i="1"/>
  <c r="AK56" i="1"/>
  <c r="AI56" i="1"/>
  <c r="AF56" i="1"/>
  <c r="AD56" i="1"/>
  <c r="Y56" i="1"/>
  <c r="AG57" i="1"/>
  <c r="AH57" i="1" s="1"/>
  <c r="K57" i="1"/>
  <c r="AB57" i="1"/>
  <c r="AC57" i="1" s="1"/>
  <c r="S57" i="1"/>
  <c r="AK57" i="1"/>
  <c r="AI57" i="1"/>
  <c r="AF57" i="1"/>
  <c r="AD57" i="1"/>
  <c r="Y57" i="1"/>
  <c r="AF63" i="1"/>
  <c r="AD63" i="1"/>
  <c r="AC63" i="1"/>
  <c r="AK63" i="1"/>
  <c r="AI63" i="1"/>
  <c r="AH63" i="1"/>
  <c r="AF65" i="1"/>
  <c r="AD65" i="1"/>
  <c r="AC65" i="1"/>
  <c r="AK65" i="1"/>
  <c r="AI65" i="1"/>
  <c r="AH65" i="1"/>
  <c r="AF66" i="1"/>
  <c r="AD66" i="1"/>
  <c r="AC66" i="1"/>
  <c r="AK66" i="1"/>
  <c r="AI66" i="1"/>
  <c r="AH66" i="1"/>
  <c r="AF67" i="1"/>
  <c r="AD67" i="1"/>
  <c r="AC67" i="1"/>
  <c r="AK67" i="1"/>
  <c r="AI67" i="1"/>
  <c r="AH67" i="1"/>
  <c r="AF68" i="1"/>
  <c r="AD68" i="1"/>
  <c r="AC68" i="1"/>
  <c r="AK68" i="1"/>
  <c r="AI68" i="1"/>
  <c r="AH68" i="1"/>
  <c r="AF69" i="1"/>
  <c r="AD69" i="1"/>
  <c r="AC69" i="1"/>
  <c r="AK69" i="1"/>
  <c r="AI69" i="1"/>
  <c r="AH69" i="1"/>
  <c r="AG70" i="1"/>
  <c r="AH70" i="1" s="1"/>
  <c r="K70" i="1"/>
  <c r="AB70" i="1"/>
  <c r="AC70" i="1" s="1"/>
  <c r="S70" i="1"/>
  <c r="AK70" i="1"/>
  <c r="AI70" i="1"/>
  <c r="AF70" i="1"/>
  <c r="AD70" i="1"/>
  <c r="Y70" i="1"/>
  <c r="AF71" i="1"/>
  <c r="AD71" i="1"/>
  <c r="AC71" i="1"/>
  <c r="AK71" i="1"/>
  <c r="AI71" i="1"/>
  <c r="AH71" i="1"/>
  <c r="AF72" i="1"/>
  <c r="AD72" i="1"/>
  <c r="AC72" i="1"/>
  <c r="AK72" i="1"/>
  <c r="AI72" i="1"/>
  <c r="AH72" i="1"/>
  <c r="AF74" i="1"/>
  <c r="AD74" i="1"/>
  <c r="AC74" i="1"/>
  <c r="AK74" i="1"/>
  <c r="AI74" i="1"/>
  <c r="AH74" i="1"/>
  <c r="AF75" i="1"/>
  <c r="AD75" i="1"/>
  <c r="AC75" i="1"/>
  <c r="AK75" i="1"/>
  <c r="AI75" i="1"/>
  <c r="AH75" i="1"/>
  <c r="AF76" i="1"/>
  <c r="AD76" i="1"/>
  <c r="AC76" i="1"/>
  <c r="AK76" i="1"/>
  <c r="AI76" i="1"/>
  <c r="AH76" i="1"/>
  <c r="AF77" i="1"/>
  <c r="AD77" i="1"/>
  <c r="AC77" i="1"/>
  <c r="AK77" i="1"/>
  <c r="AI77" i="1"/>
  <c r="AH77" i="1"/>
  <c r="AF78" i="1"/>
  <c r="AD78" i="1"/>
  <c r="AC78" i="1"/>
  <c r="AK78" i="1"/>
  <c r="AI78" i="1"/>
  <c r="AH78" i="1"/>
  <c r="AF79" i="1"/>
  <c r="AD79" i="1"/>
  <c r="AC79" i="1"/>
  <c r="AK79" i="1"/>
  <c r="AI79" i="1"/>
  <c r="AH79" i="1"/>
  <c r="AF80" i="1"/>
  <c r="AD80" i="1"/>
  <c r="AC80" i="1"/>
  <c r="AK80" i="1"/>
  <c r="AI80" i="1"/>
  <c r="AH80" i="1"/>
  <c r="AG81" i="1"/>
  <c r="AH81" i="1" s="1"/>
  <c r="K81" i="1"/>
  <c r="AB81" i="1"/>
  <c r="AC81" i="1" s="1"/>
  <c r="S81" i="1"/>
  <c r="AK81" i="1"/>
  <c r="AI81" i="1"/>
  <c r="AF81" i="1"/>
  <c r="AD81" i="1"/>
  <c r="Y81" i="1"/>
  <c r="AF82" i="1"/>
  <c r="AD82" i="1"/>
  <c r="AC82" i="1"/>
  <c r="AK82" i="1"/>
  <c r="AI82" i="1"/>
  <c r="AH82" i="1"/>
  <c r="AF83" i="1"/>
  <c r="AD83" i="1"/>
  <c r="AC83" i="1"/>
  <c r="AK83" i="1"/>
  <c r="AI83" i="1"/>
  <c r="AH83" i="1"/>
  <c r="AG84" i="1"/>
  <c r="AH84" i="1" s="1"/>
  <c r="K84" i="1"/>
  <c r="AB84" i="1"/>
  <c r="AC84" i="1" s="1"/>
  <c r="S84" i="1"/>
  <c r="AK84" i="1"/>
  <c r="AI84" i="1"/>
  <c r="AF84" i="1"/>
  <c r="AD84" i="1"/>
  <c r="Y84" i="1"/>
  <c r="AG85" i="1"/>
  <c r="AH85" i="1" s="1"/>
  <c r="K85" i="1"/>
  <c r="AB85" i="1"/>
  <c r="AC85" i="1" s="1"/>
  <c r="S85" i="1"/>
  <c r="AK85" i="1"/>
  <c r="AI85" i="1"/>
  <c r="AF85" i="1"/>
  <c r="AD85" i="1"/>
  <c r="Y85" i="1"/>
  <c r="AF90" i="1"/>
  <c r="AD90" i="1"/>
  <c r="AC90" i="1"/>
  <c r="AK90" i="1"/>
  <c r="AI90" i="1"/>
  <c r="AH90" i="1"/>
  <c r="AF91" i="1"/>
  <c r="AD91" i="1"/>
  <c r="AC91" i="1"/>
  <c r="AK91" i="1"/>
  <c r="AI91" i="1"/>
  <c r="AH91" i="1"/>
  <c r="AF92" i="1"/>
  <c r="AD92" i="1"/>
  <c r="AC92" i="1"/>
  <c r="AK92" i="1"/>
  <c r="AI92" i="1"/>
  <c r="AH92" i="1"/>
  <c r="AF93" i="1"/>
  <c r="AD93" i="1"/>
  <c r="AC93" i="1"/>
  <c r="AK93" i="1"/>
  <c r="AI93" i="1"/>
  <c r="AH93" i="1"/>
  <c r="AF94" i="1"/>
  <c r="AD94" i="1"/>
  <c r="AC94" i="1"/>
  <c r="AK94" i="1"/>
  <c r="AI94" i="1"/>
  <c r="AH94" i="1"/>
  <c r="AF95" i="1"/>
  <c r="AD95" i="1"/>
  <c r="AC95" i="1"/>
  <c r="AK95" i="1"/>
  <c r="AI95" i="1"/>
  <c r="AH95" i="1"/>
  <c r="AF96" i="1"/>
  <c r="AD96" i="1"/>
  <c r="AC96" i="1"/>
  <c r="AK96" i="1"/>
  <c r="AI96" i="1"/>
  <c r="AH96" i="1"/>
  <c r="AF97" i="1"/>
  <c r="AD97" i="1"/>
  <c r="AC97" i="1"/>
  <c r="AK97" i="1"/>
  <c r="AI97" i="1"/>
  <c r="AH97" i="1"/>
  <c r="AF98" i="1"/>
  <c r="AD98" i="1"/>
  <c r="AC98" i="1"/>
  <c r="AK98" i="1"/>
  <c r="AI98" i="1"/>
  <c r="AH98" i="1"/>
  <c r="AG99" i="1"/>
  <c r="AH99" i="1" s="1"/>
  <c r="K99" i="1"/>
  <c r="AB99" i="1"/>
  <c r="AC99" i="1" s="1"/>
  <c r="S99" i="1"/>
  <c r="AK99" i="1"/>
  <c r="AI99" i="1"/>
  <c r="AF99" i="1"/>
  <c r="AD99" i="1"/>
  <c r="Y99" i="1"/>
  <c r="AF104" i="1"/>
  <c r="AD104" i="1"/>
  <c r="AC104" i="1"/>
  <c r="AK104" i="1"/>
  <c r="AI104" i="1"/>
  <c r="AH104" i="1"/>
  <c r="AG105" i="1"/>
  <c r="AH105" i="1" s="1"/>
  <c r="K105" i="1"/>
  <c r="AB105" i="1"/>
  <c r="AC105" i="1" s="1"/>
  <c r="S105" i="1"/>
  <c r="AK105" i="1"/>
  <c r="AI105" i="1"/>
  <c r="AF105" i="1"/>
  <c r="AD105" i="1"/>
  <c r="Y105" i="1"/>
  <c r="AF110" i="1"/>
  <c r="AD110" i="1"/>
  <c r="AC110" i="1"/>
  <c r="AK110" i="1"/>
  <c r="AI110" i="1"/>
  <c r="AH110" i="1"/>
  <c r="AF111" i="1"/>
  <c r="AD111" i="1"/>
  <c r="AC111" i="1"/>
  <c r="AK111" i="1"/>
  <c r="AI111" i="1"/>
  <c r="AH111" i="1"/>
  <c r="AF112" i="1"/>
  <c r="AD112" i="1"/>
  <c r="AC112" i="1"/>
  <c r="AK112" i="1"/>
  <c r="AI112" i="1"/>
  <c r="AH112" i="1"/>
  <c r="AF113" i="1"/>
  <c r="AD113" i="1"/>
  <c r="AC113" i="1"/>
  <c r="AK113" i="1"/>
  <c r="AI113" i="1"/>
  <c r="AH113" i="1"/>
  <c r="AF114" i="1"/>
  <c r="AD114" i="1"/>
  <c r="AC114" i="1"/>
  <c r="AK114" i="1"/>
  <c r="AI114" i="1"/>
  <c r="AH114" i="1"/>
  <c r="AF115" i="1"/>
  <c r="AD115" i="1"/>
  <c r="AC115" i="1"/>
  <c r="AK115" i="1"/>
  <c r="AI115" i="1"/>
  <c r="AH115" i="1"/>
  <c r="AF116" i="1"/>
  <c r="AD116" i="1"/>
  <c r="AC116" i="1"/>
  <c r="AK116" i="1"/>
  <c r="AI116" i="1"/>
  <c r="AH116" i="1"/>
  <c r="AF117" i="1"/>
  <c r="AD117" i="1"/>
  <c r="AC117" i="1"/>
  <c r="AK117" i="1"/>
  <c r="AI117" i="1"/>
  <c r="AH117" i="1"/>
  <c r="AF118" i="1"/>
  <c r="AD118" i="1"/>
  <c r="AC118" i="1"/>
  <c r="AK118" i="1"/>
  <c r="AI118" i="1"/>
  <c r="AH118" i="1"/>
  <c r="AF119" i="1"/>
  <c r="AD119" i="1"/>
  <c r="AC119" i="1"/>
  <c r="AK119" i="1"/>
  <c r="AI119" i="1"/>
  <c r="AH119" i="1"/>
  <c r="AF120" i="1"/>
  <c r="AD120" i="1"/>
  <c r="AC120" i="1"/>
  <c r="AK120" i="1"/>
  <c r="AI120" i="1"/>
  <c r="AH120" i="1"/>
  <c r="AF121" i="1"/>
  <c r="AD121" i="1"/>
  <c r="AC121" i="1"/>
  <c r="AK121" i="1"/>
  <c r="AI121" i="1"/>
  <c r="AH121" i="1"/>
  <c r="AF122" i="1"/>
  <c r="AD122" i="1"/>
  <c r="AC122" i="1"/>
  <c r="AK122" i="1"/>
  <c r="AI122" i="1"/>
  <c r="AH122" i="1"/>
  <c r="AF123" i="1"/>
  <c r="AD123" i="1"/>
  <c r="AC123" i="1"/>
  <c r="AK123" i="1"/>
  <c r="AI123" i="1"/>
  <c r="AH123" i="1"/>
  <c r="AF124" i="1"/>
  <c r="AD124" i="1"/>
  <c r="AC124" i="1"/>
  <c r="AK124" i="1"/>
  <c r="AI124" i="1"/>
  <c r="AH124" i="1"/>
  <c r="AF125" i="1"/>
  <c r="AD125" i="1"/>
  <c r="AC125" i="1"/>
  <c r="AK125" i="1"/>
  <c r="AI125" i="1"/>
  <c r="AH125" i="1"/>
  <c r="AF126" i="1"/>
  <c r="AD126" i="1"/>
  <c r="AC126" i="1"/>
  <c r="AK126" i="1"/>
  <c r="AI126" i="1"/>
  <c r="AH126" i="1"/>
  <c r="AF127" i="1"/>
  <c r="AD127" i="1"/>
  <c r="AC127" i="1"/>
  <c r="AK127" i="1"/>
  <c r="AI127" i="1"/>
  <c r="AH127" i="1"/>
  <c r="AF128" i="1"/>
  <c r="AD128" i="1"/>
  <c r="AC128" i="1"/>
  <c r="AK128" i="1"/>
  <c r="AI128" i="1"/>
  <c r="AH128" i="1"/>
  <c r="AF129" i="1"/>
  <c r="AD129" i="1"/>
  <c r="AC129" i="1"/>
  <c r="AK129" i="1"/>
  <c r="AI129" i="1"/>
  <c r="AH129" i="1"/>
  <c r="AF130" i="1"/>
  <c r="AD130" i="1"/>
  <c r="AC130" i="1"/>
  <c r="AK130" i="1"/>
  <c r="AI130" i="1"/>
  <c r="AH130" i="1"/>
  <c r="AF131" i="1"/>
  <c r="AD131" i="1"/>
  <c r="AC131" i="1"/>
  <c r="AK131" i="1"/>
  <c r="AI131" i="1"/>
  <c r="AH131" i="1"/>
  <c r="AF132" i="1"/>
  <c r="AD132" i="1"/>
  <c r="AC132" i="1"/>
  <c r="AK132" i="1"/>
  <c r="AI132" i="1"/>
  <c r="AH132" i="1"/>
  <c r="AF133" i="1"/>
  <c r="AD133" i="1"/>
  <c r="AC133" i="1"/>
  <c r="AK133" i="1"/>
  <c r="AI133" i="1"/>
  <c r="AH133" i="1"/>
  <c r="AF134" i="1"/>
  <c r="AD134" i="1"/>
  <c r="AC134" i="1"/>
  <c r="AK134" i="1"/>
  <c r="AI134" i="1"/>
  <c r="AH134" i="1"/>
  <c r="AG135" i="1"/>
  <c r="AH135" i="1" s="1"/>
  <c r="K135" i="1"/>
  <c r="AB135" i="1"/>
  <c r="AC135" i="1" s="1"/>
  <c r="S135" i="1"/>
  <c r="AK135" i="1"/>
  <c r="AI135" i="1"/>
  <c r="AF135" i="1"/>
  <c r="AD135" i="1"/>
  <c r="Y135" i="1"/>
  <c r="AF140" i="1"/>
  <c r="AD140" i="1"/>
  <c r="AC140" i="1"/>
  <c r="AK140" i="1"/>
  <c r="AI140" i="1"/>
  <c r="AH140" i="1"/>
  <c r="AG141" i="1"/>
  <c r="AH141" i="1" s="1"/>
  <c r="K141" i="1"/>
  <c r="AB141" i="1"/>
  <c r="AC141" i="1" s="1"/>
  <c r="S141" i="1"/>
  <c r="AK141" i="1"/>
  <c r="AI141" i="1"/>
  <c r="AF141" i="1"/>
  <c r="AD141" i="1"/>
  <c r="Y141" i="1"/>
  <c r="AF144" i="1"/>
  <c r="AD144" i="1"/>
  <c r="AC144" i="1"/>
  <c r="AK144" i="1"/>
  <c r="AI144" i="1"/>
  <c r="AH144" i="1"/>
  <c r="AG145" i="1"/>
  <c r="AH145" i="1" s="1"/>
  <c r="K145" i="1"/>
  <c r="AB145" i="1"/>
  <c r="AC145" i="1" s="1"/>
  <c r="S145" i="1"/>
  <c r="AK145" i="1"/>
  <c r="AI145" i="1"/>
  <c r="AF145" i="1"/>
  <c r="AD145" i="1"/>
  <c r="Y145" i="1"/>
  <c r="AF148" i="1"/>
  <c r="AD148" i="1"/>
  <c r="AK148" i="1"/>
  <c r="AI148" i="1"/>
  <c r="AE145" i="5" l="1"/>
  <c r="AJ145" i="5"/>
  <c r="AL145" i="5"/>
  <c r="AJ144" i="5"/>
  <c r="AL144" i="5"/>
  <c r="AE144" i="5"/>
  <c r="AE141" i="5"/>
  <c r="AJ141" i="5"/>
  <c r="AL141" i="5"/>
  <c r="AJ140" i="5"/>
  <c r="AL140" i="5"/>
  <c r="AE140" i="5"/>
  <c r="AE135" i="5"/>
  <c r="AJ135" i="5"/>
  <c r="AL135" i="5"/>
  <c r="AJ134" i="5"/>
  <c r="AL134" i="5"/>
  <c r="AE134" i="5"/>
  <c r="AJ133" i="5"/>
  <c r="AL133" i="5"/>
  <c r="AE133" i="5"/>
  <c r="AJ132" i="5"/>
  <c r="AL132" i="5"/>
  <c r="AE132" i="5"/>
  <c r="AJ131" i="5"/>
  <c r="AL131" i="5"/>
  <c r="AE131" i="5"/>
  <c r="AJ130" i="5"/>
  <c r="AL130" i="5"/>
  <c r="AE130" i="5"/>
  <c r="AJ129" i="5"/>
  <c r="AL129" i="5"/>
  <c r="AE129" i="5"/>
  <c r="AJ128" i="5"/>
  <c r="AL128" i="5"/>
  <c r="AE128" i="5"/>
  <c r="AJ127" i="5"/>
  <c r="AL127" i="5"/>
  <c r="AE127" i="5"/>
  <c r="AJ126" i="5"/>
  <c r="AL126" i="5"/>
  <c r="AE126" i="5"/>
  <c r="AJ125" i="5"/>
  <c r="AL125" i="5"/>
  <c r="AE125" i="5"/>
  <c r="AJ124" i="5"/>
  <c r="AL124" i="5"/>
  <c r="AE124" i="5"/>
  <c r="AJ123" i="5"/>
  <c r="AL123" i="5"/>
  <c r="AE123" i="5"/>
  <c r="AJ122" i="5"/>
  <c r="AL122" i="5"/>
  <c r="AE122" i="5"/>
  <c r="AJ121" i="5"/>
  <c r="AL121" i="5"/>
  <c r="AE121" i="5"/>
  <c r="AJ120" i="5"/>
  <c r="AL120" i="5"/>
  <c r="AE120" i="5"/>
  <c r="AJ119" i="5"/>
  <c r="AL119" i="5"/>
  <c r="AE119" i="5"/>
  <c r="AJ118" i="5"/>
  <c r="AL118" i="5"/>
  <c r="AE118" i="5"/>
  <c r="AJ117" i="5"/>
  <c r="AL117" i="5"/>
  <c r="AE117" i="5"/>
  <c r="AJ116" i="5"/>
  <c r="AL116" i="5"/>
  <c r="AE116" i="5"/>
  <c r="AJ115" i="5"/>
  <c r="AL115" i="5"/>
  <c r="AE115" i="5"/>
  <c r="AJ114" i="5"/>
  <c r="AL114" i="5"/>
  <c r="AE114" i="5"/>
  <c r="AJ113" i="5"/>
  <c r="AL113" i="5"/>
  <c r="AE113" i="5"/>
  <c r="AJ112" i="5"/>
  <c r="AL112" i="5"/>
  <c r="AE112" i="5"/>
  <c r="AJ111" i="5"/>
  <c r="AL111" i="5"/>
  <c r="AE111" i="5"/>
  <c r="AJ110" i="5"/>
  <c r="AL110" i="5"/>
  <c r="AE110" i="5"/>
  <c r="AE105" i="5"/>
  <c r="AJ105" i="5"/>
  <c r="AL105" i="5"/>
  <c r="AJ104" i="5"/>
  <c r="AL104" i="5"/>
  <c r="AE104" i="5"/>
  <c r="AE99" i="5"/>
  <c r="AJ99" i="5"/>
  <c r="AL99" i="5"/>
  <c r="AJ98" i="5"/>
  <c r="AL98" i="5"/>
  <c r="AE98" i="5"/>
  <c r="AJ97" i="5"/>
  <c r="AL97" i="5"/>
  <c r="AE97" i="5"/>
  <c r="AJ96" i="5"/>
  <c r="AL96" i="5"/>
  <c r="AE96" i="5"/>
  <c r="AJ95" i="5"/>
  <c r="AL95" i="5"/>
  <c r="AE95" i="5"/>
  <c r="AJ94" i="5"/>
  <c r="AL94" i="5"/>
  <c r="AE94" i="5"/>
  <c r="AJ93" i="5"/>
  <c r="AL93" i="5"/>
  <c r="AE93" i="5"/>
  <c r="AJ92" i="5"/>
  <c r="AL92" i="5"/>
  <c r="AE92" i="5"/>
  <c r="AJ91" i="5"/>
  <c r="AL91" i="5"/>
  <c r="AE91" i="5"/>
  <c r="AJ90" i="5"/>
  <c r="AL90" i="5"/>
  <c r="AE90" i="5"/>
  <c r="AE85" i="5"/>
  <c r="AJ85" i="5"/>
  <c r="AL85" i="5"/>
  <c r="AE84" i="5"/>
  <c r="AJ84" i="5"/>
  <c r="AL84" i="5"/>
  <c r="AJ83" i="5"/>
  <c r="AL83" i="5"/>
  <c r="AE83" i="5"/>
  <c r="AJ82" i="5"/>
  <c r="AL82" i="5"/>
  <c r="AE82" i="5"/>
  <c r="AE81" i="5"/>
  <c r="AJ81" i="5"/>
  <c r="AL81" i="5"/>
  <c r="AJ80" i="5"/>
  <c r="AL80" i="5"/>
  <c r="AE80" i="5"/>
  <c r="AJ79" i="5"/>
  <c r="AL79" i="5"/>
  <c r="AE79" i="5"/>
  <c r="AJ78" i="5"/>
  <c r="AL78" i="5"/>
  <c r="AE78" i="5"/>
  <c r="AJ77" i="5"/>
  <c r="AL77" i="5"/>
  <c r="AE77" i="5"/>
  <c r="AJ76" i="5"/>
  <c r="AL76" i="5"/>
  <c r="AE76" i="5"/>
  <c r="AJ75" i="5"/>
  <c r="AL75" i="5"/>
  <c r="AE75" i="5"/>
  <c r="AJ74" i="5"/>
  <c r="AL74" i="5"/>
  <c r="AE74" i="5"/>
  <c r="AJ72" i="5"/>
  <c r="AL72" i="5"/>
  <c r="AE72" i="5"/>
  <c r="AJ71" i="5"/>
  <c r="AL71" i="5"/>
  <c r="AE71" i="5"/>
  <c r="AE70" i="5"/>
  <c r="AJ70" i="5"/>
  <c r="AL70" i="5"/>
  <c r="AJ69" i="5"/>
  <c r="AL69" i="5"/>
  <c r="AE69" i="5"/>
  <c r="AJ68" i="5"/>
  <c r="AL68" i="5"/>
  <c r="AE68" i="5"/>
  <c r="AJ67" i="5"/>
  <c r="AL67" i="5"/>
  <c r="AE67" i="5"/>
  <c r="AJ66" i="5"/>
  <c r="AL66" i="5"/>
  <c r="AE66" i="5"/>
  <c r="AJ65" i="5"/>
  <c r="AL65" i="5"/>
  <c r="AE65" i="5"/>
  <c r="AJ63" i="5"/>
  <c r="AL63" i="5"/>
  <c r="AE63" i="5"/>
  <c r="AE57" i="5"/>
  <c r="AJ57" i="5"/>
  <c r="AL57" i="5"/>
  <c r="AE56" i="5"/>
  <c r="AJ56" i="5"/>
  <c r="AL56" i="5"/>
  <c r="AJ55" i="5"/>
  <c r="AL55" i="5"/>
  <c r="AE55" i="5"/>
  <c r="AJ54" i="5"/>
  <c r="AL54" i="5"/>
  <c r="AE54" i="5"/>
  <c r="AJ53" i="5"/>
  <c r="AL53" i="5"/>
  <c r="AE53" i="5"/>
  <c r="AE52" i="5"/>
  <c r="AJ52" i="5"/>
  <c r="AL52" i="5"/>
  <c r="AJ51" i="5"/>
  <c r="AL51" i="5"/>
  <c r="AE51" i="5"/>
  <c r="AJ50" i="5"/>
  <c r="AL50" i="5"/>
  <c r="AE50" i="5"/>
  <c r="AJ49" i="5"/>
  <c r="AL49" i="5"/>
  <c r="AE49" i="5"/>
  <c r="AJ48" i="5"/>
  <c r="AL48" i="5"/>
  <c r="AE48" i="5"/>
  <c r="AJ47" i="5"/>
  <c r="AL47" i="5"/>
  <c r="AE47" i="5"/>
  <c r="AJ46" i="5"/>
  <c r="AL46" i="5"/>
  <c r="AE46" i="5"/>
  <c r="AE44" i="5"/>
  <c r="AJ44" i="5"/>
  <c r="AL44" i="5"/>
  <c r="AJ43" i="5"/>
  <c r="AL43" i="5"/>
  <c r="AE43" i="5"/>
  <c r="AJ42" i="5"/>
  <c r="AL42" i="5"/>
  <c r="AE42" i="5"/>
  <c r="AJ41" i="5"/>
  <c r="AL41" i="5"/>
  <c r="AE41" i="5"/>
  <c r="AJ40" i="5"/>
  <c r="AL40" i="5"/>
  <c r="AE40" i="5"/>
  <c r="AJ39" i="5"/>
  <c r="AL39" i="5"/>
  <c r="AE39" i="5"/>
  <c r="AJ37" i="5"/>
  <c r="AL37" i="5"/>
  <c r="AE37" i="5"/>
  <c r="AE35" i="5"/>
  <c r="AJ35" i="5"/>
  <c r="AL35" i="5"/>
  <c r="AE34" i="5"/>
  <c r="AJ34" i="5"/>
  <c r="AL34" i="5"/>
  <c r="AJ33" i="5"/>
  <c r="AL33" i="5"/>
  <c r="AE33" i="5"/>
  <c r="AJ32" i="5"/>
  <c r="AL32" i="5"/>
  <c r="AE32" i="5"/>
  <c r="AJ31" i="5"/>
  <c r="AL31" i="5"/>
  <c r="AE31" i="5"/>
  <c r="AJ30" i="5"/>
  <c r="AL30" i="5"/>
  <c r="AE30" i="5"/>
  <c r="AJ29" i="5"/>
  <c r="AL29" i="5"/>
  <c r="AE29" i="5"/>
  <c r="AE27" i="5"/>
  <c r="AJ27" i="5"/>
  <c r="AL27" i="5"/>
  <c r="AJ26" i="5"/>
  <c r="AL26" i="5"/>
  <c r="AE26" i="5"/>
  <c r="AJ25" i="5"/>
  <c r="AL25" i="5"/>
  <c r="AE25" i="5"/>
  <c r="AJ24" i="5"/>
  <c r="AL24" i="5"/>
  <c r="AE24" i="5"/>
  <c r="AJ23" i="5"/>
  <c r="AL23" i="5"/>
  <c r="AE23" i="5"/>
  <c r="AJ22" i="5"/>
  <c r="AL22" i="5"/>
  <c r="AE22" i="5"/>
  <c r="AJ21" i="5"/>
  <c r="AL21" i="5"/>
  <c r="AE21" i="5"/>
  <c r="AJ20" i="5"/>
  <c r="AL20" i="5"/>
  <c r="AE20" i="5"/>
  <c r="AJ19" i="5"/>
  <c r="AL19" i="5"/>
  <c r="AE19" i="5"/>
  <c r="AJ18" i="5"/>
  <c r="AL18" i="5"/>
  <c r="AE18" i="5"/>
  <c r="AJ17" i="5"/>
  <c r="AL17" i="5"/>
  <c r="AE17" i="5"/>
  <c r="AJ16" i="5"/>
  <c r="AL16" i="5"/>
  <c r="AE16" i="5"/>
  <c r="AJ15" i="5"/>
  <c r="AL15" i="5"/>
  <c r="AE15" i="5"/>
  <c r="AJ13" i="5"/>
  <c r="AL13" i="5"/>
  <c r="AE13" i="5"/>
  <c r="Z87" i="5"/>
  <c r="AA59" i="5"/>
  <c r="AE9" i="5"/>
  <c r="AJ9" i="5"/>
  <c r="AL9" i="5"/>
  <c r="X87" i="5"/>
  <c r="Y59" i="5"/>
  <c r="V87" i="5"/>
  <c r="W59" i="5"/>
  <c r="T87" i="5"/>
  <c r="U59" i="5"/>
  <c r="R87" i="5"/>
  <c r="AB59" i="5"/>
  <c r="S59" i="5"/>
  <c r="P87" i="5"/>
  <c r="Q59" i="5"/>
  <c r="N87" i="5"/>
  <c r="O59" i="5"/>
  <c r="L87" i="5"/>
  <c r="M59" i="5"/>
  <c r="J87" i="5"/>
  <c r="AG59" i="5"/>
  <c r="K59" i="5"/>
  <c r="H87" i="5"/>
  <c r="I59" i="5"/>
  <c r="F87" i="5"/>
  <c r="G59" i="5"/>
  <c r="D87" i="5"/>
  <c r="E59" i="5"/>
  <c r="B87" i="5"/>
  <c r="C59" i="5"/>
  <c r="AJ8" i="5"/>
  <c r="AL8" i="5"/>
  <c r="AE8" i="5"/>
  <c r="AJ7" i="5"/>
  <c r="AL7" i="5"/>
  <c r="AE7" i="5"/>
  <c r="AE145" i="4"/>
  <c r="AJ145" i="4"/>
  <c r="AL145" i="4"/>
  <c r="AJ144" i="4"/>
  <c r="AL144" i="4"/>
  <c r="AE144" i="4"/>
  <c r="AE141" i="4"/>
  <c r="AJ141" i="4"/>
  <c r="AL141" i="4"/>
  <c r="AJ140" i="4"/>
  <c r="AL140" i="4"/>
  <c r="AE140" i="4"/>
  <c r="AE135" i="4"/>
  <c r="AJ135" i="4"/>
  <c r="AL135" i="4"/>
  <c r="AJ134" i="4"/>
  <c r="AL134" i="4"/>
  <c r="AE134" i="4"/>
  <c r="AJ133" i="4"/>
  <c r="AL133" i="4"/>
  <c r="AE133" i="4"/>
  <c r="AJ132" i="4"/>
  <c r="AL132" i="4"/>
  <c r="AE132" i="4"/>
  <c r="AJ131" i="4"/>
  <c r="AL131" i="4"/>
  <c r="AE131" i="4"/>
  <c r="AJ130" i="4"/>
  <c r="AL130" i="4"/>
  <c r="AE130" i="4"/>
  <c r="AJ129" i="4"/>
  <c r="AL129" i="4"/>
  <c r="AE129" i="4"/>
  <c r="AJ128" i="4"/>
  <c r="AL128" i="4"/>
  <c r="AE128" i="4"/>
  <c r="AJ127" i="4"/>
  <c r="AL127" i="4"/>
  <c r="AE127" i="4"/>
  <c r="AJ126" i="4"/>
  <c r="AL126" i="4"/>
  <c r="AE126" i="4"/>
  <c r="AJ125" i="4"/>
  <c r="AL125" i="4"/>
  <c r="AE125" i="4"/>
  <c r="AJ124" i="4"/>
  <c r="AL124" i="4"/>
  <c r="AE124" i="4"/>
  <c r="AJ123" i="4"/>
  <c r="AL123" i="4"/>
  <c r="AE123" i="4"/>
  <c r="AJ122" i="4"/>
  <c r="AL122" i="4"/>
  <c r="AE122" i="4"/>
  <c r="AJ121" i="4"/>
  <c r="AL121" i="4"/>
  <c r="AE121" i="4"/>
  <c r="AJ120" i="4"/>
  <c r="AL120" i="4"/>
  <c r="AE120" i="4"/>
  <c r="AJ119" i="4"/>
  <c r="AL119" i="4"/>
  <c r="AE119" i="4"/>
  <c r="AJ118" i="4"/>
  <c r="AL118" i="4"/>
  <c r="AE118" i="4"/>
  <c r="AJ117" i="4"/>
  <c r="AL117" i="4"/>
  <c r="AE117" i="4"/>
  <c r="AJ116" i="4"/>
  <c r="AL116" i="4"/>
  <c r="AE116" i="4"/>
  <c r="AJ115" i="4"/>
  <c r="AL115" i="4"/>
  <c r="AE115" i="4"/>
  <c r="AJ114" i="4"/>
  <c r="AL114" i="4"/>
  <c r="AE114" i="4"/>
  <c r="AJ113" i="4"/>
  <c r="AL113" i="4"/>
  <c r="AE113" i="4"/>
  <c r="AJ112" i="4"/>
  <c r="AL112" i="4"/>
  <c r="AE112" i="4"/>
  <c r="AJ111" i="4"/>
  <c r="AL111" i="4"/>
  <c r="AE111" i="4"/>
  <c r="AJ110" i="4"/>
  <c r="AL110" i="4"/>
  <c r="AE110" i="4"/>
  <c r="AE105" i="4"/>
  <c r="AJ105" i="4"/>
  <c r="AL105" i="4"/>
  <c r="AJ104" i="4"/>
  <c r="AL104" i="4"/>
  <c r="AE104" i="4"/>
  <c r="AE99" i="4"/>
  <c r="AJ99" i="4"/>
  <c r="AL99" i="4"/>
  <c r="AJ98" i="4"/>
  <c r="AL98" i="4"/>
  <c r="AE98" i="4"/>
  <c r="AJ97" i="4"/>
  <c r="AL97" i="4"/>
  <c r="AE97" i="4"/>
  <c r="AJ96" i="4"/>
  <c r="AL96" i="4"/>
  <c r="AE96" i="4"/>
  <c r="AJ95" i="4"/>
  <c r="AL95" i="4"/>
  <c r="AE95" i="4"/>
  <c r="AJ94" i="4"/>
  <c r="AL94" i="4"/>
  <c r="AE94" i="4"/>
  <c r="AJ93" i="4"/>
  <c r="AL93" i="4"/>
  <c r="AE93" i="4"/>
  <c r="AJ92" i="4"/>
  <c r="AL92" i="4"/>
  <c r="AE92" i="4"/>
  <c r="AJ91" i="4"/>
  <c r="AL91" i="4"/>
  <c r="AE91" i="4"/>
  <c r="AJ90" i="4"/>
  <c r="AL90" i="4"/>
  <c r="AE90" i="4"/>
  <c r="AE85" i="4"/>
  <c r="AJ85" i="4"/>
  <c r="AL85" i="4"/>
  <c r="AE84" i="4"/>
  <c r="AJ84" i="4"/>
  <c r="AL84" i="4"/>
  <c r="AJ83" i="4"/>
  <c r="AL83" i="4"/>
  <c r="AE83" i="4"/>
  <c r="AJ82" i="4"/>
  <c r="AL82" i="4"/>
  <c r="AE82" i="4"/>
  <c r="AE81" i="4"/>
  <c r="AJ81" i="4"/>
  <c r="AL81" i="4"/>
  <c r="AJ80" i="4"/>
  <c r="AL80" i="4"/>
  <c r="AE80" i="4"/>
  <c r="AJ79" i="4"/>
  <c r="AL79" i="4"/>
  <c r="AE79" i="4"/>
  <c r="AJ78" i="4"/>
  <c r="AL78" i="4"/>
  <c r="AE78" i="4"/>
  <c r="AJ77" i="4"/>
  <c r="AL77" i="4"/>
  <c r="AE77" i="4"/>
  <c r="AJ76" i="4"/>
  <c r="AL76" i="4"/>
  <c r="AE76" i="4"/>
  <c r="AJ75" i="4"/>
  <c r="AL75" i="4"/>
  <c r="AE75" i="4"/>
  <c r="AJ74" i="4"/>
  <c r="AL74" i="4"/>
  <c r="AE74" i="4"/>
  <c r="AJ72" i="4"/>
  <c r="AL72" i="4"/>
  <c r="AE72" i="4"/>
  <c r="AJ71" i="4"/>
  <c r="AL71" i="4"/>
  <c r="AE71" i="4"/>
  <c r="AE70" i="4"/>
  <c r="AJ70" i="4"/>
  <c r="AL70" i="4"/>
  <c r="AJ69" i="4"/>
  <c r="AL69" i="4"/>
  <c r="AE69" i="4"/>
  <c r="AJ68" i="4"/>
  <c r="AL68" i="4"/>
  <c r="AE68" i="4"/>
  <c r="AJ67" i="4"/>
  <c r="AL67" i="4"/>
  <c r="AE67" i="4"/>
  <c r="AJ66" i="4"/>
  <c r="AL66" i="4"/>
  <c r="AE66" i="4"/>
  <c r="AJ65" i="4"/>
  <c r="AL65" i="4"/>
  <c r="AE65" i="4"/>
  <c r="AJ63" i="4"/>
  <c r="AL63" i="4"/>
  <c r="AE63" i="4"/>
  <c r="AE57" i="4"/>
  <c r="AJ57" i="4"/>
  <c r="AL57" i="4"/>
  <c r="AE56" i="4"/>
  <c r="AJ56" i="4"/>
  <c r="AL56" i="4"/>
  <c r="AJ55" i="4"/>
  <c r="AL55" i="4"/>
  <c r="AE55" i="4"/>
  <c r="AJ54" i="4"/>
  <c r="AL54" i="4"/>
  <c r="AE54" i="4"/>
  <c r="AJ53" i="4"/>
  <c r="AL53" i="4"/>
  <c r="AE53" i="4"/>
  <c r="AE52" i="4"/>
  <c r="AJ52" i="4"/>
  <c r="AL52" i="4"/>
  <c r="AJ51" i="4"/>
  <c r="AL51" i="4"/>
  <c r="AE51" i="4"/>
  <c r="AJ50" i="4"/>
  <c r="AL50" i="4"/>
  <c r="AE50" i="4"/>
  <c r="AJ49" i="4"/>
  <c r="AL49" i="4"/>
  <c r="AE49" i="4"/>
  <c r="AJ48" i="4"/>
  <c r="AL48" i="4"/>
  <c r="AE48" i="4"/>
  <c r="AJ47" i="4"/>
  <c r="AL47" i="4"/>
  <c r="AE47" i="4"/>
  <c r="AJ46" i="4"/>
  <c r="AL46" i="4"/>
  <c r="AE46" i="4"/>
  <c r="AE44" i="4"/>
  <c r="AJ44" i="4"/>
  <c r="AL44" i="4"/>
  <c r="AJ43" i="4"/>
  <c r="AL43" i="4"/>
  <c r="AE43" i="4"/>
  <c r="AJ42" i="4"/>
  <c r="AL42" i="4"/>
  <c r="AE42" i="4"/>
  <c r="AJ41" i="4"/>
  <c r="AL41" i="4"/>
  <c r="AE41" i="4"/>
  <c r="AJ40" i="4"/>
  <c r="AL40" i="4"/>
  <c r="AE40" i="4"/>
  <c r="AJ39" i="4"/>
  <c r="AL39" i="4"/>
  <c r="AE39" i="4"/>
  <c r="AJ37" i="4"/>
  <c r="AL37" i="4"/>
  <c r="AE37" i="4"/>
  <c r="AE35" i="4"/>
  <c r="AJ35" i="4"/>
  <c r="AL35" i="4"/>
  <c r="AE34" i="4"/>
  <c r="AJ34" i="4"/>
  <c r="AL34" i="4"/>
  <c r="AJ33" i="4"/>
  <c r="AL33" i="4"/>
  <c r="AE33" i="4"/>
  <c r="AJ32" i="4"/>
  <c r="AL32" i="4"/>
  <c r="AE32" i="4"/>
  <c r="AJ31" i="4"/>
  <c r="AL31" i="4"/>
  <c r="AE31" i="4"/>
  <c r="AJ30" i="4"/>
  <c r="AL30" i="4"/>
  <c r="AE30" i="4"/>
  <c r="AJ29" i="4"/>
  <c r="AL29" i="4"/>
  <c r="AE29" i="4"/>
  <c r="AE27" i="4"/>
  <c r="AJ27" i="4"/>
  <c r="AL27" i="4"/>
  <c r="AJ26" i="4"/>
  <c r="AL26" i="4"/>
  <c r="AE26" i="4"/>
  <c r="AJ25" i="4"/>
  <c r="AL25" i="4"/>
  <c r="AE25" i="4"/>
  <c r="AJ24" i="4"/>
  <c r="AL24" i="4"/>
  <c r="AE24" i="4"/>
  <c r="AJ23" i="4"/>
  <c r="AL23" i="4"/>
  <c r="AE23" i="4"/>
  <c r="AJ22" i="4"/>
  <c r="AL22" i="4"/>
  <c r="AE22" i="4"/>
  <c r="AJ21" i="4"/>
  <c r="AL21" i="4"/>
  <c r="AE21" i="4"/>
  <c r="AJ20" i="4"/>
  <c r="AL20" i="4"/>
  <c r="AE20" i="4"/>
  <c r="AJ19" i="4"/>
  <c r="AL19" i="4"/>
  <c r="AE19" i="4"/>
  <c r="AJ18" i="4"/>
  <c r="AL18" i="4"/>
  <c r="AE18" i="4"/>
  <c r="AJ17" i="4"/>
  <c r="AL17" i="4"/>
  <c r="AE17" i="4"/>
  <c r="AJ16" i="4"/>
  <c r="AL16" i="4"/>
  <c r="AE16" i="4"/>
  <c r="AJ15" i="4"/>
  <c r="AL15" i="4"/>
  <c r="AE15" i="4"/>
  <c r="AJ13" i="4"/>
  <c r="AL13" i="4"/>
  <c r="AE13" i="4"/>
  <c r="Z87" i="4"/>
  <c r="AA59" i="4"/>
  <c r="AE9" i="4"/>
  <c r="AJ9" i="4"/>
  <c r="AL9" i="4"/>
  <c r="X87" i="4"/>
  <c r="Y59" i="4"/>
  <c r="V87" i="4"/>
  <c r="W59" i="4"/>
  <c r="T87" i="4"/>
  <c r="U59" i="4"/>
  <c r="R87" i="4"/>
  <c r="AB59" i="4"/>
  <c r="S59" i="4"/>
  <c r="P87" i="4"/>
  <c r="Q59" i="4"/>
  <c r="N87" i="4"/>
  <c r="O59" i="4"/>
  <c r="L87" i="4"/>
  <c r="M59" i="4"/>
  <c r="J87" i="4"/>
  <c r="AG59" i="4"/>
  <c r="K59" i="4"/>
  <c r="H87" i="4"/>
  <c r="I59" i="4"/>
  <c r="F87" i="4"/>
  <c r="G59" i="4"/>
  <c r="D87" i="4"/>
  <c r="E59" i="4"/>
  <c r="B87" i="4"/>
  <c r="C59" i="4"/>
  <c r="AJ8" i="4"/>
  <c r="AL8" i="4"/>
  <c r="AE8" i="4"/>
  <c r="AJ7" i="4"/>
  <c r="AL7" i="4"/>
  <c r="AE7" i="4"/>
  <c r="AE145" i="3"/>
  <c r="AJ145" i="3"/>
  <c r="AL145" i="3"/>
  <c r="AJ144" i="3"/>
  <c r="AL144" i="3"/>
  <c r="AE144" i="3"/>
  <c r="AE141" i="3"/>
  <c r="AJ141" i="3"/>
  <c r="AL141" i="3"/>
  <c r="AJ140" i="3"/>
  <c r="AL140" i="3"/>
  <c r="AE140" i="3"/>
  <c r="AE135" i="3"/>
  <c r="AJ135" i="3"/>
  <c r="AL135" i="3"/>
  <c r="AJ134" i="3"/>
  <c r="AL134" i="3"/>
  <c r="AE134" i="3"/>
  <c r="AJ133" i="3"/>
  <c r="AL133" i="3"/>
  <c r="AE133" i="3"/>
  <c r="AJ132" i="3"/>
  <c r="AL132" i="3"/>
  <c r="AE132" i="3"/>
  <c r="AJ131" i="3"/>
  <c r="AL131" i="3"/>
  <c r="AE131" i="3"/>
  <c r="AJ130" i="3"/>
  <c r="AL130" i="3"/>
  <c r="AE130" i="3"/>
  <c r="AJ129" i="3"/>
  <c r="AL129" i="3"/>
  <c r="AE129" i="3"/>
  <c r="AJ128" i="3"/>
  <c r="AL128" i="3"/>
  <c r="AE128" i="3"/>
  <c r="AJ127" i="3"/>
  <c r="AL127" i="3"/>
  <c r="AE127" i="3"/>
  <c r="AJ126" i="3"/>
  <c r="AL126" i="3"/>
  <c r="AE126" i="3"/>
  <c r="AJ125" i="3"/>
  <c r="AL125" i="3"/>
  <c r="AE125" i="3"/>
  <c r="AJ124" i="3"/>
  <c r="AL124" i="3"/>
  <c r="AE124" i="3"/>
  <c r="AJ123" i="3"/>
  <c r="AL123" i="3"/>
  <c r="AE123" i="3"/>
  <c r="AJ122" i="3"/>
  <c r="AL122" i="3"/>
  <c r="AE122" i="3"/>
  <c r="AJ121" i="3"/>
  <c r="AL121" i="3"/>
  <c r="AE121" i="3"/>
  <c r="AJ120" i="3"/>
  <c r="AL120" i="3"/>
  <c r="AE120" i="3"/>
  <c r="AJ119" i="3"/>
  <c r="AL119" i="3"/>
  <c r="AE119" i="3"/>
  <c r="AJ118" i="3"/>
  <c r="AL118" i="3"/>
  <c r="AE118" i="3"/>
  <c r="AJ117" i="3"/>
  <c r="AL117" i="3"/>
  <c r="AE117" i="3"/>
  <c r="AJ116" i="3"/>
  <c r="AL116" i="3"/>
  <c r="AE116" i="3"/>
  <c r="AJ115" i="3"/>
  <c r="AL115" i="3"/>
  <c r="AE115" i="3"/>
  <c r="AJ114" i="3"/>
  <c r="AL114" i="3"/>
  <c r="AE114" i="3"/>
  <c r="AJ113" i="3"/>
  <c r="AL113" i="3"/>
  <c r="AE113" i="3"/>
  <c r="AJ112" i="3"/>
  <c r="AL112" i="3"/>
  <c r="AE112" i="3"/>
  <c r="AJ111" i="3"/>
  <c r="AL111" i="3"/>
  <c r="AE111" i="3"/>
  <c r="AJ110" i="3"/>
  <c r="AL110" i="3"/>
  <c r="AE110" i="3"/>
  <c r="AE105" i="3"/>
  <c r="AJ105" i="3"/>
  <c r="AL105" i="3"/>
  <c r="AJ104" i="3"/>
  <c r="AL104" i="3"/>
  <c r="AE104" i="3"/>
  <c r="AE99" i="3"/>
  <c r="AJ99" i="3"/>
  <c r="AL99" i="3"/>
  <c r="AJ98" i="3"/>
  <c r="AL98" i="3"/>
  <c r="AE98" i="3"/>
  <c r="AJ97" i="3"/>
  <c r="AL97" i="3"/>
  <c r="AE97" i="3"/>
  <c r="AJ96" i="3"/>
  <c r="AL96" i="3"/>
  <c r="AE96" i="3"/>
  <c r="AJ95" i="3"/>
  <c r="AL95" i="3"/>
  <c r="AE95" i="3"/>
  <c r="AJ94" i="3"/>
  <c r="AL94" i="3"/>
  <c r="AE94" i="3"/>
  <c r="AJ93" i="3"/>
  <c r="AL93" i="3"/>
  <c r="AE93" i="3"/>
  <c r="AJ92" i="3"/>
  <c r="AL92" i="3"/>
  <c r="AE92" i="3"/>
  <c r="AJ91" i="3"/>
  <c r="AL91" i="3"/>
  <c r="AE91" i="3"/>
  <c r="AJ90" i="3"/>
  <c r="AL90" i="3"/>
  <c r="AE90" i="3"/>
  <c r="AE85" i="3"/>
  <c r="AJ85" i="3"/>
  <c r="AL85" i="3"/>
  <c r="AE84" i="3"/>
  <c r="AJ84" i="3"/>
  <c r="AL84" i="3"/>
  <c r="AJ83" i="3"/>
  <c r="AL83" i="3"/>
  <c r="AE83" i="3"/>
  <c r="AJ82" i="3"/>
  <c r="AL82" i="3"/>
  <c r="AE82" i="3"/>
  <c r="AE81" i="3"/>
  <c r="AJ81" i="3"/>
  <c r="AL81" i="3"/>
  <c r="AJ80" i="3"/>
  <c r="AL80" i="3"/>
  <c r="AE80" i="3"/>
  <c r="AJ79" i="3"/>
  <c r="AL79" i="3"/>
  <c r="AE79" i="3"/>
  <c r="AJ78" i="3"/>
  <c r="AL78" i="3"/>
  <c r="AE78" i="3"/>
  <c r="AJ77" i="3"/>
  <c r="AL77" i="3"/>
  <c r="AE77" i="3"/>
  <c r="AJ76" i="3"/>
  <c r="AL76" i="3"/>
  <c r="AE76" i="3"/>
  <c r="AJ75" i="3"/>
  <c r="AL75" i="3"/>
  <c r="AE75" i="3"/>
  <c r="AJ74" i="3"/>
  <c r="AL74" i="3"/>
  <c r="AE74" i="3"/>
  <c r="AJ72" i="3"/>
  <c r="AL72" i="3"/>
  <c r="AE72" i="3"/>
  <c r="AJ71" i="3"/>
  <c r="AL71" i="3"/>
  <c r="AE71" i="3"/>
  <c r="AE70" i="3"/>
  <c r="AJ70" i="3"/>
  <c r="AL70" i="3"/>
  <c r="AJ69" i="3"/>
  <c r="AL69" i="3"/>
  <c r="AE69" i="3"/>
  <c r="AJ68" i="3"/>
  <c r="AL68" i="3"/>
  <c r="AE68" i="3"/>
  <c r="AJ67" i="3"/>
  <c r="AL67" i="3"/>
  <c r="AE67" i="3"/>
  <c r="AJ66" i="3"/>
  <c r="AL66" i="3"/>
  <c r="AE66" i="3"/>
  <c r="AJ65" i="3"/>
  <c r="AL65" i="3"/>
  <c r="AE65" i="3"/>
  <c r="AJ63" i="3"/>
  <c r="AL63" i="3"/>
  <c r="AE63" i="3"/>
  <c r="AE57" i="3"/>
  <c r="AJ57" i="3"/>
  <c r="AL57" i="3"/>
  <c r="AE56" i="3"/>
  <c r="AJ56" i="3"/>
  <c r="AL56" i="3"/>
  <c r="AJ55" i="3"/>
  <c r="AL55" i="3"/>
  <c r="AE55" i="3"/>
  <c r="AJ54" i="3"/>
  <c r="AL54" i="3"/>
  <c r="AE54" i="3"/>
  <c r="AJ53" i="3"/>
  <c r="AL53" i="3"/>
  <c r="AE53" i="3"/>
  <c r="AE52" i="3"/>
  <c r="AJ52" i="3"/>
  <c r="AL52" i="3"/>
  <c r="AJ51" i="3"/>
  <c r="AL51" i="3"/>
  <c r="AE51" i="3"/>
  <c r="AJ50" i="3"/>
  <c r="AL50" i="3"/>
  <c r="AE50" i="3"/>
  <c r="AJ49" i="3"/>
  <c r="AL49" i="3"/>
  <c r="AE49" i="3"/>
  <c r="AJ48" i="3"/>
  <c r="AL48" i="3"/>
  <c r="AE48" i="3"/>
  <c r="AJ47" i="3"/>
  <c r="AL47" i="3"/>
  <c r="AE47" i="3"/>
  <c r="AJ46" i="3"/>
  <c r="AL46" i="3"/>
  <c r="AE46" i="3"/>
  <c r="AE44" i="3"/>
  <c r="AJ44" i="3"/>
  <c r="AL44" i="3"/>
  <c r="AJ43" i="3"/>
  <c r="AL43" i="3"/>
  <c r="AE43" i="3"/>
  <c r="AJ42" i="3"/>
  <c r="AL42" i="3"/>
  <c r="AE42" i="3"/>
  <c r="AJ41" i="3"/>
  <c r="AL41" i="3"/>
  <c r="AE41" i="3"/>
  <c r="AJ40" i="3"/>
  <c r="AL40" i="3"/>
  <c r="AE40" i="3"/>
  <c r="AJ39" i="3"/>
  <c r="AL39" i="3"/>
  <c r="AE39" i="3"/>
  <c r="AJ37" i="3"/>
  <c r="AL37" i="3"/>
  <c r="AE37" i="3"/>
  <c r="AE35" i="3"/>
  <c r="AJ35" i="3"/>
  <c r="AL35" i="3"/>
  <c r="AE34" i="3"/>
  <c r="AJ34" i="3"/>
  <c r="AL34" i="3"/>
  <c r="AJ33" i="3"/>
  <c r="AL33" i="3"/>
  <c r="AE33" i="3"/>
  <c r="AJ32" i="3"/>
  <c r="AL32" i="3"/>
  <c r="AE32" i="3"/>
  <c r="AJ31" i="3"/>
  <c r="AL31" i="3"/>
  <c r="AE31" i="3"/>
  <c r="AJ30" i="3"/>
  <c r="AL30" i="3"/>
  <c r="AE30" i="3"/>
  <c r="AJ29" i="3"/>
  <c r="AL29" i="3"/>
  <c r="AE29" i="3"/>
  <c r="AE27" i="3"/>
  <c r="AJ27" i="3"/>
  <c r="AL27" i="3"/>
  <c r="AJ26" i="3"/>
  <c r="AL26" i="3"/>
  <c r="AE26" i="3"/>
  <c r="AJ25" i="3"/>
  <c r="AL25" i="3"/>
  <c r="AE25" i="3"/>
  <c r="AJ24" i="3"/>
  <c r="AL24" i="3"/>
  <c r="AE24" i="3"/>
  <c r="AJ23" i="3"/>
  <c r="AL23" i="3"/>
  <c r="AE23" i="3"/>
  <c r="AJ22" i="3"/>
  <c r="AL22" i="3"/>
  <c r="AE22" i="3"/>
  <c r="AJ21" i="3"/>
  <c r="AL21" i="3"/>
  <c r="AE21" i="3"/>
  <c r="AJ20" i="3"/>
  <c r="AL20" i="3"/>
  <c r="AE20" i="3"/>
  <c r="AJ19" i="3"/>
  <c r="AL19" i="3"/>
  <c r="AE19" i="3"/>
  <c r="AJ18" i="3"/>
  <c r="AL18" i="3"/>
  <c r="AE18" i="3"/>
  <c r="AJ17" i="3"/>
  <c r="AL17" i="3"/>
  <c r="AE17" i="3"/>
  <c r="AJ16" i="3"/>
  <c r="AL16" i="3"/>
  <c r="AE16" i="3"/>
  <c r="AJ15" i="3"/>
  <c r="AL15" i="3"/>
  <c r="AE15" i="3"/>
  <c r="AJ13" i="3"/>
  <c r="AL13" i="3"/>
  <c r="AE13" i="3"/>
  <c r="Z87" i="3"/>
  <c r="AA59" i="3"/>
  <c r="AE9" i="3"/>
  <c r="AJ9" i="3"/>
  <c r="AL9" i="3"/>
  <c r="X87" i="3"/>
  <c r="Y59" i="3"/>
  <c r="V87" i="3"/>
  <c r="W59" i="3"/>
  <c r="T87" i="3"/>
  <c r="U59" i="3"/>
  <c r="R87" i="3"/>
  <c r="AB59" i="3"/>
  <c r="S59" i="3"/>
  <c r="P87" i="3"/>
  <c r="Q59" i="3"/>
  <c r="N87" i="3"/>
  <c r="O59" i="3"/>
  <c r="L87" i="3"/>
  <c r="M59" i="3"/>
  <c r="J87" i="3"/>
  <c r="AG59" i="3"/>
  <c r="K59" i="3"/>
  <c r="H87" i="3"/>
  <c r="I59" i="3"/>
  <c r="F87" i="3"/>
  <c r="G59" i="3"/>
  <c r="D87" i="3"/>
  <c r="E59" i="3"/>
  <c r="B87" i="3"/>
  <c r="C59" i="3"/>
  <c r="AJ8" i="3"/>
  <c r="AL8" i="3"/>
  <c r="AE8" i="3"/>
  <c r="AJ7" i="3"/>
  <c r="AL7" i="3"/>
  <c r="AE7" i="3"/>
  <c r="AE145" i="2"/>
  <c r="AJ145" i="2"/>
  <c r="AL145" i="2"/>
  <c r="AJ144" i="2"/>
  <c r="AL144" i="2"/>
  <c r="AE144" i="2"/>
  <c r="AE141" i="2"/>
  <c r="AJ141" i="2"/>
  <c r="AL141" i="2"/>
  <c r="AJ140" i="2"/>
  <c r="AL140" i="2"/>
  <c r="AE140" i="2"/>
  <c r="AE135" i="2"/>
  <c r="AJ135" i="2"/>
  <c r="AL135" i="2"/>
  <c r="AJ134" i="2"/>
  <c r="AL134" i="2"/>
  <c r="AE134" i="2"/>
  <c r="AJ133" i="2"/>
  <c r="AL133" i="2"/>
  <c r="AE133" i="2"/>
  <c r="AJ132" i="2"/>
  <c r="AL132" i="2"/>
  <c r="AE132" i="2"/>
  <c r="AJ131" i="2"/>
  <c r="AL131" i="2"/>
  <c r="AE131" i="2"/>
  <c r="AJ130" i="2"/>
  <c r="AL130" i="2"/>
  <c r="AE130" i="2"/>
  <c r="AJ129" i="2"/>
  <c r="AL129" i="2"/>
  <c r="AE129" i="2"/>
  <c r="AJ128" i="2"/>
  <c r="AL128" i="2"/>
  <c r="AE128" i="2"/>
  <c r="AJ127" i="2"/>
  <c r="AL127" i="2"/>
  <c r="AE127" i="2"/>
  <c r="AJ126" i="2"/>
  <c r="AL126" i="2"/>
  <c r="AE126" i="2"/>
  <c r="AJ125" i="2"/>
  <c r="AL125" i="2"/>
  <c r="AE125" i="2"/>
  <c r="AJ124" i="2"/>
  <c r="AL124" i="2"/>
  <c r="AE124" i="2"/>
  <c r="AJ123" i="2"/>
  <c r="AL123" i="2"/>
  <c r="AE123" i="2"/>
  <c r="AJ122" i="2"/>
  <c r="AL122" i="2"/>
  <c r="AE122" i="2"/>
  <c r="AJ121" i="2"/>
  <c r="AL121" i="2"/>
  <c r="AE121" i="2"/>
  <c r="AJ120" i="2"/>
  <c r="AL120" i="2"/>
  <c r="AE120" i="2"/>
  <c r="AJ119" i="2"/>
  <c r="AL119" i="2"/>
  <c r="AE119" i="2"/>
  <c r="AJ118" i="2"/>
  <c r="AL118" i="2"/>
  <c r="AE118" i="2"/>
  <c r="AJ117" i="2"/>
  <c r="AL117" i="2"/>
  <c r="AE117" i="2"/>
  <c r="AJ116" i="2"/>
  <c r="AL116" i="2"/>
  <c r="AE116" i="2"/>
  <c r="AJ115" i="2"/>
  <c r="AL115" i="2"/>
  <c r="AE115" i="2"/>
  <c r="AJ114" i="2"/>
  <c r="AL114" i="2"/>
  <c r="AE114" i="2"/>
  <c r="AJ113" i="2"/>
  <c r="AL113" i="2"/>
  <c r="AE113" i="2"/>
  <c r="AJ112" i="2"/>
  <c r="AL112" i="2"/>
  <c r="AE112" i="2"/>
  <c r="AJ111" i="2"/>
  <c r="AL111" i="2"/>
  <c r="AE111" i="2"/>
  <c r="AJ110" i="2"/>
  <c r="AL110" i="2"/>
  <c r="AE110" i="2"/>
  <c r="AE105" i="2"/>
  <c r="AJ105" i="2"/>
  <c r="AL105" i="2"/>
  <c r="AJ104" i="2"/>
  <c r="AL104" i="2"/>
  <c r="AE104" i="2"/>
  <c r="AE99" i="2"/>
  <c r="AJ99" i="2"/>
  <c r="AL99" i="2"/>
  <c r="AJ98" i="2"/>
  <c r="AL98" i="2"/>
  <c r="AE98" i="2"/>
  <c r="AJ97" i="2"/>
  <c r="AL97" i="2"/>
  <c r="AE97" i="2"/>
  <c r="AJ96" i="2"/>
  <c r="AL96" i="2"/>
  <c r="AE96" i="2"/>
  <c r="AJ95" i="2"/>
  <c r="AL95" i="2"/>
  <c r="AE95" i="2"/>
  <c r="AJ94" i="2"/>
  <c r="AL94" i="2"/>
  <c r="AE94" i="2"/>
  <c r="AJ93" i="2"/>
  <c r="AL93" i="2"/>
  <c r="AE93" i="2"/>
  <c r="AJ92" i="2"/>
  <c r="AL92" i="2"/>
  <c r="AE92" i="2"/>
  <c r="AJ91" i="2"/>
  <c r="AL91" i="2"/>
  <c r="AE91" i="2"/>
  <c r="AJ90" i="2"/>
  <c r="AL90" i="2"/>
  <c r="AE90" i="2"/>
  <c r="AE85" i="2"/>
  <c r="AJ85" i="2"/>
  <c r="AL85" i="2"/>
  <c r="AE84" i="2"/>
  <c r="AJ84" i="2"/>
  <c r="AL84" i="2"/>
  <c r="AJ83" i="2"/>
  <c r="AL83" i="2"/>
  <c r="AE83" i="2"/>
  <c r="AJ82" i="2"/>
  <c r="AL82" i="2"/>
  <c r="AE82" i="2"/>
  <c r="AE81" i="2"/>
  <c r="AJ81" i="2"/>
  <c r="AL81" i="2"/>
  <c r="AJ80" i="2"/>
  <c r="AL80" i="2"/>
  <c r="AE80" i="2"/>
  <c r="AJ79" i="2"/>
  <c r="AL79" i="2"/>
  <c r="AE79" i="2"/>
  <c r="AJ78" i="2"/>
  <c r="AL78" i="2"/>
  <c r="AE78" i="2"/>
  <c r="AJ77" i="2"/>
  <c r="AL77" i="2"/>
  <c r="AE77" i="2"/>
  <c r="AJ76" i="2"/>
  <c r="AL76" i="2"/>
  <c r="AE76" i="2"/>
  <c r="AJ75" i="2"/>
  <c r="AL75" i="2"/>
  <c r="AE75" i="2"/>
  <c r="AJ74" i="2"/>
  <c r="AL74" i="2"/>
  <c r="AE74" i="2"/>
  <c r="AJ72" i="2"/>
  <c r="AL72" i="2"/>
  <c r="AE72" i="2"/>
  <c r="AJ71" i="2"/>
  <c r="AL71" i="2"/>
  <c r="AE71" i="2"/>
  <c r="AE70" i="2"/>
  <c r="AJ70" i="2"/>
  <c r="AL70" i="2"/>
  <c r="AJ69" i="2"/>
  <c r="AL69" i="2"/>
  <c r="AE69" i="2"/>
  <c r="AJ68" i="2"/>
  <c r="AL68" i="2"/>
  <c r="AE68" i="2"/>
  <c r="AJ67" i="2"/>
  <c r="AL67" i="2"/>
  <c r="AE67" i="2"/>
  <c r="AJ66" i="2"/>
  <c r="AL66" i="2"/>
  <c r="AE66" i="2"/>
  <c r="AJ65" i="2"/>
  <c r="AL65" i="2"/>
  <c r="AE65" i="2"/>
  <c r="AJ63" i="2"/>
  <c r="AL63" i="2"/>
  <c r="AE63" i="2"/>
  <c r="AE57" i="2"/>
  <c r="AJ57" i="2"/>
  <c r="AL57" i="2"/>
  <c r="AE56" i="2"/>
  <c r="AJ56" i="2"/>
  <c r="AL56" i="2"/>
  <c r="AJ55" i="2"/>
  <c r="AL55" i="2"/>
  <c r="AE55" i="2"/>
  <c r="AJ54" i="2"/>
  <c r="AL54" i="2"/>
  <c r="AE54" i="2"/>
  <c r="AJ53" i="2"/>
  <c r="AL53" i="2"/>
  <c r="AE53" i="2"/>
  <c r="AE52" i="2"/>
  <c r="AJ52" i="2"/>
  <c r="AL52" i="2"/>
  <c r="AJ51" i="2"/>
  <c r="AL51" i="2"/>
  <c r="AE51" i="2"/>
  <c r="AJ50" i="2"/>
  <c r="AL50" i="2"/>
  <c r="AE50" i="2"/>
  <c r="AJ49" i="2"/>
  <c r="AL49" i="2"/>
  <c r="AE49" i="2"/>
  <c r="AJ48" i="2"/>
  <c r="AL48" i="2"/>
  <c r="AE48" i="2"/>
  <c r="AJ47" i="2"/>
  <c r="AL47" i="2"/>
  <c r="AE47" i="2"/>
  <c r="AJ46" i="2"/>
  <c r="AL46" i="2"/>
  <c r="AE46" i="2"/>
  <c r="AE44" i="2"/>
  <c r="AJ44" i="2"/>
  <c r="AL44" i="2"/>
  <c r="AJ43" i="2"/>
  <c r="AL43" i="2"/>
  <c r="AE43" i="2"/>
  <c r="AJ42" i="2"/>
  <c r="AL42" i="2"/>
  <c r="AE42" i="2"/>
  <c r="AJ41" i="2"/>
  <c r="AL41" i="2"/>
  <c r="AE41" i="2"/>
  <c r="AJ40" i="2"/>
  <c r="AL40" i="2"/>
  <c r="AE40" i="2"/>
  <c r="AJ39" i="2"/>
  <c r="AL39" i="2"/>
  <c r="AE39" i="2"/>
  <c r="AJ37" i="2"/>
  <c r="AL37" i="2"/>
  <c r="AE37" i="2"/>
  <c r="AE35" i="2"/>
  <c r="AJ35" i="2"/>
  <c r="AL35" i="2"/>
  <c r="AE34" i="2"/>
  <c r="AJ34" i="2"/>
  <c r="AL34" i="2"/>
  <c r="AJ33" i="2"/>
  <c r="AL33" i="2"/>
  <c r="AE33" i="2"/>
  <c r="AJ32" i="2"/>
  <c r="AL32" i="2"/>
  <c r="AE32" i="2"/>
  <c r="AJ31" i="2"/>
  <c r="AL31" i="2"/>
  <c r="AE31" i="2"/>
  <c r="AJ30" i="2"/>
  <c r="AL30" i="2"/>
  <c r="AE30" i="2"/>
  <c r="AJ29" i="2"/>
  <c r="AL29" i="2"/>
  <c r="AE29" i="2"/>
  <c r="AE27" i="2"/>
  <c r="AJ27" i="2"/>
  <c r="AL27" i="2"/>
  <c r="AJ26" i="2"/>
  <c r="AL26" i="2"/>
  <c r="AE26" i="2"/>
  <c r="AJ25" i="2"/>
  <c r="AL25" i="2"/>
  <c r="AE25" i="2"/>
  <c r="AJ24" i="2"/>
  <c r="AL24" i="2"/>
  <c r="AE24" i="2"/>
  <c r="AJ23" i="2"/>
  <c r="AL23" i="2"/>
  <c r="AE23" i="2"/>
  <c r="AJ22" i="2"/>
  <c r="AL22" i="2"/>
  <c r="AE22" i="2"/>
  <c r="AJ21" i="2"/>
  <c r="AL21" i="2"/>
  <c r="AE21" i="2"/>
  <c r="AJ20" i="2"/>
  <c r="AL20" i="2"/>
  <c r="AE20" i="2"/>
  <c r="AJ19" i="2"/>
  <c r="AL19" i="2"/>
  <c r="AE19" i="2"/>
  <c r="AJ18" i="2"/>
  <c r="AL18" i="2"/>
  <c r="AE18" i="2"/>
  <c r="AJ17" i="2"/>
  <c r="AL17" i="2"/>
  <c r="AE17" i="2"/>
  <c r="AJ16" i="2"/>
  <c r="AL16" i="2"/>
  <c r="AE16" i="2"/>
  <c r="AJ15" i="2"/>
  <c r="AL15" i="2"/>
  <c r="AE15" i="2"/>
  <c r="AJ13" i="2"/>
  <c r="AL13" i="2"/>
  <c r="AE13" i="2"/>
  <c r="Z87" i="2"/>
  <c r="AA59" i="2"/>
  <c r="AE9" i="2"/>
  <c r="AJ9" i="2"/>
  <c r="AL9" i="2"/>
  <c r="X87" i="2"/>
  <c r="Y59" i="2"/>
  <c r="V87" i="2"/>
  <c r="W59" i="2"/>
  <c r="T87" i="2"/>
  <c r="U59" i="2"/>
  <c r="R87" i="2"/>
  <c r="AB59" i="2"/>
  <c r="S59" i="2"/>
  <c r="P87" i="2"/>
  <c r="Q59" i="2"/>
  <c r="N87" i="2"/>
  <c r="O59" i="2"/>
  <c r="L87" i="2"/>
  <c r="M59" i="2"/>
  <c r="J87" i="2"/>
  <c r="AG59" i="2"/>
  <c r="K59" i="2"/>
  <c r="H87" i="2"/>
  <c r="I59" i="2"/>
  <c r="F87" i="2"/>
  <c r="G59" i="2"/>
  <c r="D87" i="2"/>
  <c r="E59" i="2"/>
  <c r="B87" i="2"/>
  <c r="C59" i="2"/>
  <c r="AJ8" i="2"/>
  <c r="AL8" i="2"/>
  <c r="AE8" i="2"/>
  <c r="AJ7" i="2"/>
  <c r="AL7" i="2"/>
  <c r="AE7" i="2"/>
  <c r="AE145" i="1"/>
  <c r="AJ145" i="1"/>
  <c r="AL145" i="1"/>
  <c r="AJ144" i="1"/>
  <c r="AL144" i="1"/>
  <c r="AE144" i="1"/>
  <c r="AE141" i="1"/>
  <c r="AJ141" i="1"/>
  <c r="AL141" i="1"/>
  <c r="AJ140" i="1"/>
  <c r="AL140" i="1"/>
  <c r="AE140" i="1"/>
  <c r="AE135" i="1"/>
  <c r="AJ135" i="1"/>
  <c r="AL135" i="1"/>
  <c r="AJ134" i="1"/>
  <c r="AL134" i="1"/>
  <c r="AE134" i="1"/>
  <c r="AJ133" i="1"/>
  <c r="AL133" i="1"/>
  <c r="AE133" i="1"/>
  <c r="AJ132" i="1"/>
  <c r="AL132" i="1"/>
  <c r="AE132" i="1"/>
  <c r="AJ131" i="1"/>
  <c r="AL131" i="1"/>
  <c r="AE131" i="1"/>
  <c r="AJ130" i="1"/>
  <c r="AL130" i="1"/>
  <c r="AE130" i="1"/>
  <c r="AJ129" i="1"/>
  <c r="AL129" i="1"/>
  <c r="AE129" i="1"/>
  <c r="AJ128" i="1"/>
  <c r="AL128" i="1"/>
  <c r="AE128" i="1"/>
  <c r="AJ127" i="1"/>
  <c r="AL127" i="1"/>
  <c r="AE127" i="1"/>
  <c r="AJ126" i="1"/>
  <c r="AL126" i="1"/>
  <c r="AE126" i="1"/>
  <c r="AJ125" i="1"/>
  <c r="AL125" i="1"/>
  <c r="AE125" i="1"/>
  <c r="AJ124" i="1"/>
  <c r="AL124" i="1"/>
  <c r="AE124" i="1"/>
  <c r="AJ123" i="1"/>
  <c r="AL123" i="1"/>
  <c r="AE123" i="1"/>
  <c r="AJ122" i="1"/>
  <c r="AL122" i="1"/>
  <c r="AE122" i="1"/>
  <c r="AJ121" i="1"/>
  <c r="AL121" i="1"/>
  <c r="AE121" i="1"/>
  <c r="AJ120" i="1"/>
  <c r="AL120" i="1"/>
  <c r="AE120" i="1"/>
  <c r="AJ119" i="1"/>
  <c r="AL119" i="1"/>
  <c r="AE119" i="1"/>
  <c r="AJ118" i="1"/>
  <c r="AL118" i="1"/>
  <c r="AE118" i="1"/>
  <c r="AJ117" i="1"/>
  <c r="AL117" i="1"/>
  <c r="AE117" i="1"/>
  <c r="AJ116" i="1"/>
  <c r="AL116" i="1"/>
  <c r="AE116" i="1"/>
  <c r="AJ115" i="1"/>
  <c r="AL115" i="1"/>
  <c r="AE115" i="1"/>
  <c r="AJ114" i="1"/>
  <c r="AL114" i="1"/>
  <c r="AE114" i="1"/>
  <c r="AJ113" i="1"/>
  <c r="AL113" i="1"/>
  <c r="AE113" i="1"/>
  <c r="AJ112" i="1"/>
  <c r="AL112" i="1"/>
  <c r="AE112" i="1"/>
  <c r="AJ111" i="1"/>
  <c r="AL111" i="1"/>
  <c r="AE111" i="1"/>
  <c r="AJ110" i="1"/>
  <c r="AL110" i="1"/>
  <c r="AE110" i="1"/>
  <c r="AE105" i="1"/>
  <c r="AJ105" i="1"/>
  <c r="AL105" i="1"/>
  <c r="AJ104" i="1"/>
  <c r="AL104" i="1"/>
  <c r="AE104" i="1"/>
  <c r="AE99" i="1"/>
  <c r="AJ99" i="1"/>
  <c r="AL99" i="1"/>
  <c r="AJ98" i="1"/>
  <c r="AL98" i="1"/>
  <c r="AE98" i="1"/>
  <c r="AJ97" i="1"/>
  <c r="AL97" i="1"/>
  <c r="AE97" i="1"/>
  <c r="AJ96" i="1"/>
  <c r="AL96" i="1"/>
  <c r="AE96" i="1"/>
  <c r="AJ95" i="1"/>
  <c r="AL95" i="1"/>
  <c r="AE95" i="1"/>
  <c r="AJ94" i="1"/>
  <c r="AL94" i="1"/>
  <c r="AE94" i="1"/>
  <c r="AJ93" i="1"/>
  <c r="AL93" i="1"/>
  <c r="AE93" i="1"/>
  <c r="AJ92" i="1"/>
  <c r="AL92" i="1"/>
  <c r="AE92" i="1"/>
  <c r="AJ91" i="1"/>
  <c r="AL91" i="1"/>
  <c r="AE91" i="1"/>
  <c r="AJ90" i="1"/>
  <c r="AL90" i="1"/>
  <c r="AE90" i="1"/>
  <c r="AE85" i="1"/>
  <c r="AJ85" i="1"/>
  <c r="AL85" i="1"/>
  <c r="AE84" i="1"/>
  <c r="AJ84" i="1"/>
  <c r="AL84" i="1"/>
  <c r="AJ83" i="1"/>
  <c r="AL83" i="1"/>
  <c r="AE83" i="1"/>
  <c r="AJ82" i="1"/>
  <c r="AL82" i="1"/>
  <c r="AE82" i="1"/>
  <c r="AE81" i="1"/>
  <c r="AJ81" i="1"/>
  <c r="AL81" i="1"/>
  <c r="AJ80" i="1"/>
  <c r="AL80" i="1"/>
  <c r="AE80" i="1"/>
  <c r="AJ79" i="1"/>
  <c r="AL79" i="1"/>
  <c r="AE79" i="1"/>
  <c r="AJ78" i="1"/>
  <c r="AL78" i="1"/>
  <c r="AE78" i="1"/>
  <c r="AJ77" i="1"/>
  <c r="AL77" i="1"/>
  <c r="AE77" i="1"/>
  <c r="AJ76" i="1"/>
  <c r="AL76" i="1"/>
  <c r="AE76" i="1"/>
  <c r="AJ75" i="1"/>
  <c r="AL75" i="1"/>
  <c r="AE75" i="1"/>
  <c r="AJ74" i="1"/>
  <c r="AL74" i="1"/>
  <c r="AE74" i="1"/>
  <c r="AJ72" i="1"/>
  <c r="AL72" i="1"/>
  <c r="AE72" i="1"/>
  <c r="AJ71" i="1"/>
  <c r="AL71" i="1"/>
  <c r="AE71" i="1"/>
  <c r="AE70" i="1"/>
  <c r="AJ70" i="1"/>
  <c r="AL70" i="1"/>
  <c r="AJ69" i="1"/>
  <c r="AL69" i="1"/>
  <c r="AE69" i="1"/>
  <c r="AJ68" i="1"/>
  <c r="AL68" i="1"/>
  <c r="AE68" i="1"/>
  <c r="AJ67" i="1"/>
  <c r="AL67" i="1"/>
  <c r="AE67" i="1"/>
  <c r="AJ66" i="1"/>
  <c r="AL66" i="1"/>
  <c r="AE66" i="1"/>
  <c r="AJ65" i="1"/>
  <c r="AL65" i="1"/>
  <c r="AE65" i="1"/>
  <c r="AJ63" i="1"/>
  <c r="AL63" i="1"/>
  <c r="AE63" i="1"/>
  <c r="AE57" i="1"/>
  <c r="AJ57" i="1"/>
  <c r="AL57" i="1"/>
  <c r="AE56" i="1"/>
  <c r="AJ56" i="1"/>
  <c r="AL56" i="1"/>
  <c r="AJ55" i="1"/>
  <c r="AL55" i="1"/>
  <c r="AE55" i="1"/>
  <c r="AJ54" i="1"/>
  <c r="AL54" i="1"/>
  <c r="AE54" i="1"/>
  <c r="AJ53" i="1"/>
  <c r="AL53" i="1"/>
  <c r="AE53" i="1"/>
  <c r="AE52" i="1"/>
  <c r="AJ52" i="1"/>
  <c r="AL52" i="1"/>
  <c r="AJ51" i="1"/>
  <c r="AL51" i="1"/>
  <c r="AE51" i="1"/>
  <c r="AJ50" i="1"/>
  <c r="AL50" i="1"/>
  <c r="AE50" i="1"/>
  <c r="AJ49" i="1"/>
  <c r="AL49" i="1"/>
  <c r="AE49" i="1"/>
  <c r="AJ48" i="1"/>
  <c r="AL48" i="1"/>
  <c r="AE48" i="1"/>
  <c r="AJ47" i="1"/>
  <c r="AL47" i="1"/>
  <c r="AE47" i="1"/>
  <c r="AJ46" i="1"/>
  <c r="AL46" i="1"/>
  <c r="AE46" i="1"/>
  <c r="AE44" i="1"/>
  <c r="AJ44" i="1"/>
  <c r="AL44" i="1"/>
  <c r="AJ43" i="1"/>
  <c r="AL43" i="1"/>
  <c r="AE43" i="1"/>
  <c r="AJ42" i="1"/>
  <c r="AL42" i="1"/>
  <c r="AE42" i="1"/>
  <c r="AJ41" i="1"/>
  <c r="AL41" i="1"/>
  <c r="AE41" i="1"/>
  <c r="AJ40" i="1"/>
  <c r="AL40" i="1"/>
  <c r="AE40" i="1"/>
  <c r="AJ39" i="1"/>
  <c r="AL39" i="1"/>
  <c r="AE39" i="1"/>
  <c r="AJ37" i="1"/>
  <c r="AL37" i="1"/>
  <c r="AE37" i="1"/>
  <c r="AE35" i="1"/>
  <c r="AJ35" i="1"/>
  <c r="AL35" i="1"/>
  <c r="AE34" i="1"/>
  <c r="AJ34" i="1"/>
  <c r="AL34" i="1"/>
  <c r="AJ33" i="1"/>
  <c r="AL33" i="1"/>
  <c r="AE33" i="1"/>
  <c r="AJ32" i="1"/>
  <c r="AL32" i="1"/>
  <c r="AE32" i="1"/>
  <c r="AJ31" i="1"/>
  <c r="AL31" i="1"/>
  <c r="AE31" i="1"/>
  <c r="AJ30" i="1"/>
  <c r="AL30" i="1"/>
  <c r="AE30" i="1"/>
  <c r="AJ29" i="1"/>
  <c r="AL29" i="1"/>
  <c r="AE29" i="1"/>
  <c r="AE27" i="1"/>
  <c r="AJ27" i="1"/>
  <c r="AL27" i="1"/>
  <c r="AJ26" i="1"/>
  <c r="AL26" i="1"/>
  <c r="AE26" i="1"/>
  <c r="AJ25" i="1"/>
  <c r="AL25" i="1"/>
  <c r="AE25" i="1"/>
  <c r="AJ24" i="1"/>
  <c r="AL24" i="1"/>
  <c r="AE24" i="1"/>
  <c r="AJ23" i="1"/>
  <c r="AL23" i="1"/>
  <c r="AE23" i="1"/>
  <c r="AJ22" i="1"/>
  <c r="AL22" i="1"/>
  <c r="AE22" i="1"/>
  <c r="AJ21" i="1"/>
  <c r="AL21" i="1"/>
  <c r="AE21" i="1"/>
  <c r="AJ20" i="1"/>
  <c r="AL20" i="1"/>
  <c r="AE20" i="1"/>
  <c r="AJ19" i="1"/>
  <c r="AL19" i="1"/>
  <c r="AE19" i="1"/>
  <c r="AJ18" i="1"/>
  <c r="AL18" i="1"/>
  <c r="AE18" i="1"/>
  <c r="AJ17" i="1"/>
  <c r="AL17" i="1"/>
  <c r="AE17" i="1"/>
  <c r="AJ16" i="1"/>
  <c r="AL16" i="1"/>
  <c r="AE16" i="1"/>
  <c r="AJ15" i="1"/>
  <c r="AL15" i="1"/>
  <c r="AE15" i="1"/>
  <c r="AJ13" i="1"/>
  <c r="AL13" i="1"/>
  <c r="AE13" i="1"/>
  <c r="Z87" i="1"/>
  <c r="AA59" i="1"/>
  <c r="AE9" i="1"/>
  <c r="AJ9" i="1"/>
  <c r="AL9" i="1"/>
  <c r="X87" i="1"/>
  <c r="Y59" i="1"/>
  <c r="V87" i="1"/>
  <c r="W59" i="1"/>
  <c r="T87" i="1"/>
  <c r="U59" i="1"/>
  <c r="R87" i="1"/>
  <c r="AB59" i="1"/>
  <c r="S59" i="1"/>
  <c r="P87" i="1"/>
  <c r="Q59" i="1"/>
  <c r="N87" i="1"/>
  <c r="O59" i="1"/>
  <c r="L87" i="1"/>
  <c r="M59" i="1"/>
  <c r="J87" i="1"/>
  <c r="AG59" i="1"/>
  <c r="K59" i="1"/>
  <c r="H87" i="1"/>
  <c r="I59" i="1"/>
  <c r="F87" i="1"/>
  <c r="G59" i="1"/>
  <c r="D87" i="1"/>
  <c r="E59" i="1"/>
  <c r="B87" i="1"/>
  <c r="C59" i="1"/>
  <c r="AJ8" i="1"/>
  <c r="AL8" i="1"/>
  <c r="AE8" i="1"/>
  <c r="AJ7" i="1"/>
  <c r="AL7" i="1"/>
  <c r="AE7" i="1"/>
  <c r="B107" i="5" l="1"/>
  <c r="B101" i="5"/>
  <c r="C101" i="5" s="1"/>
  <c r="C87" i="5"/>
  <c r="D107" i="5"/>
  <c r="D101" i="5"/>
  <c r="E101" i="5" s="1"/>
  <c r="E87" i="5"/>
  <c r="F107" i="5"/>
  <c r="F101" i="5"/>
  <c r="G101" i="5" s="1"/>
  <c r="G87" i="5"/>
  <c r="H107" i="5"/>
  <c r="H101" i="5"/>
  <c r="I101" i="5" s="1"/>
  <c r="I87" i="5"/>
  <c r="AH59" i="5"/>
  <c r="AK59" i="5"/>
  <c r="AL59" i="5" s="1"/>
  <c r="AI59" i="5"/>
  <c r="AJ59" i="5" s="1"/>
  <c r="J107" i="5"/>
  <c r="J101" i="5"/>
  <c r="AG87" i="5"/>
  <c r="AH87" i="5" s="1"/>
  <c r="K87" i="5"/>
  <c r="L107" i="5"/>
  <c r="L101" i="5"/>
  <c r="M101" i="5" s="1"/>
  <c r="M87" i="5"/>
  <c r="N107" i="5"/>
  <c r="N101" i="5"/>
  <c r="O101" i="5" s="1"/>
  <c r="O87" i="5"/>
  <c r="P107" i="5"/>
  <c r="P101" i="5"/>
  <c r="Q101" i="5" s="1"/>
  <c r="Q87" i="5"/>
  <c r="AC59" i="5"/>
  <c r="AF59" i="5"/>
  <c r="AD59" i="5"/>
  <c r="AE59" i="5" s="1"/>
  <c r="R107" i="5"/>
  <c r="R101" i="5"/>
  <c r="AB87" i="5"/>
  <c r="AC87" i="5" s="1"/>
  <c r="S87" i="5"/>
  <c r="T107" i="5"/>
  <c r="T101" i="5"/>
  <c r="U101" i="5" s="1"/>
  <c r="U87" i="5"/>
  <c r="V107" i="5"/>
  <c r="V101" i="5"/>
  <c r="W101" i="5" s="1"/>
  <c r="W87" i="5"/>
  <c r="X107" i="5"/>
  <c r="X101" i="5"/>
  <c r="AK87" i="5"/>
  <c r="AL87" i="5" s="1"/>
  <c r="AI87" i="5"/>
  <c r="AJ87" i="5" s="1"/>
  <c r="AF87" i="5"/>
  <c r="AD87" i="5"/>
  <c r="AE87" i="5" s="1"/>
  <c r="Y87" i="5"/>
  <c r="Z107" i="5"/>
  <c r="Z101" i="5"/>
  <c r="AA101" i="5" s="1"/>
  <c r="AA87" i="5"/>
  <c r="B107" i="4"/>
  <c r="B101" i="4"/>
  <c r="C101" i="4" s="1"/>
  <c r="C87" i="4"/>
  <c r="D107" i="4"/>
  <c r="D101" i="4"/>
  <c r="E101" i="4" s="1"/>
  <c r="E87" i="4"/>
  <c r="F107" i="4"/>
  <c r="F101" i="4"/>
  <c r="G101" i="4" s="1"/>
  <c r="G87" i="4"/>
  <c r="H107" i="4"/>
  <c r="H101" i="4"/>
  <c r="I101" i="4" s="1"/>
  <c r="I87" i="4"/>
  <c r="AH59" i="4"/>
  <c r="AK59" i="4"/>
  <c r="AL59" i="4" s="1"/>
  <c r="AI59" i="4"/>
  <c r="AJ59" i="4" s="1"/>
  <c r="J107" i="4"/>
  <c r="J101" i="4"/>
  <c r="AG87" i="4"/>
  <c r="AH87" i="4" s="1"/>
  <c r="K87" i="4"/>
  <c r="L107" i="4"/>
  <c r="L101" i="4"/>
  <c r="M101" i="4" s="1"/>
  <c r="M87" i="4"/>
  <c r="N107" i="4"/>
  <c r="N101" i="4"/>
  <c r="O101" i="4" s="1"/>
  <c r="O87" i="4"/>
  <c r="P107" i="4"/>
  <c r="P101" i="4"/>
  <c r="Q101" i="4" s="1"/>
  <c r="Q87" i="4"/>
  <c r="AC59" i="4"/>
  <c r="AF59" i="4"/>
  <c r="AD59" i="4"/>
  <c r="AE59" i="4" s="1"/>
  <c r="R107" i="4"/>
  <c r="R101" i="4"/>
  <c r="AB87" i="4"/>
  <c r="AC87" i="4" s="1"/>
  <c r="S87" i="4"/>
  <c r="T107" i="4"/>
  <c r="T101" i="4"/>
  <c r="U101" i="4" s="1"/>
  <c r="U87" i="4"/>
  <c r="V107" i="4"/>
  <c r="V101" i="4"/>
  <c r="W101" i="4" s="1"/>
  <c r="W87" i="4"/>
  <c r="X107" i="4"/>
  <c r="X101" i="4"/>
  <c r="AK87" i="4"/>
  <c r="AL87" i="4" s="1"/>
  <c r="AI87" i="4"/>
  <c r="AJ87" i="4" s="1"/>
  <c r="AF87" i="4"/>
  <c r="AD87" i="4"/>
  <c r="AE87" i="4" s="1"/>
  <c r="Y87" i="4"/>
  <c r="Z107" i="4"/>
  <c r="Z101" i="4"/>
  <c r="AA101" i="4" s="1"/>
  <c r="AA87" i="4"/>
  <c r="B107" i="3"/>
  <c r="B101" i="3"/>
  <c r="C101" i="3" s="1"/>
  <c r="C87" i="3"/>
  <c r="D107" i="3"/>
  <c r="D101" i="3"/>
  <c r="E101" i="3" s="1"/>
  <c r="E87" i="3"/>
  <c r="F107" i="3"/>
  <c r="F101" i="3"/>
  <c r="G101" i="3" s="1"/>
  <c r="G87" i="3"/>
  <c r="H107" i="3"/>
  <c r="H101" i="3"/>
  <c r="I101" i="3" s="1"/>
  <c r="I87" i="3"/>
  <c r="AH59" i="3"/>
  <c r="AK59" i="3"/>
  <c r="AL59" i="3" s="1"/>
  <c r="AI59" i="3"/>
  <c r="AJ59" i="3" s="1"/>
  <c r="J107" i="3"/>
  <c r="J101" i="3"/>
  <c r="AG87" i="3"/>
  <c r="AH87" i="3" s="1"/>
  <c r="K87" i="3"/>
  <c r="L107" i="3"/>
  <c r="L101" i="3"/>
  <c r="M101" i="3" s="1"/>
  <c r="M87" i="3"/>
  <c r="N107" i="3"/>
  <c r="N101" i="3"/>
  <c r="O101" i="3" s="1"/>
  <c r="O87" i="3"/>
  <c r="P107" i="3"/>
  <c r="P101" i="3"/>
  <c r="Q101" i="3" s="1"/>
  <c r="Q87" i="3"/>
  <c r="AC59" i="3"/>
  <c r="AF59" i="3"/>
  <c r="AD59" i="3"/>
  <c r="AE59" i="3" s="1"/>
  <c r="R107" i="3"/>
  <c r="R101" i="3"/>
  <c r="AB87" i="3"/>
  <c r="AC87" i="3" s="1"/>
  <c r="S87" i="3"/>
  <c r="T107" i="3"/>
  <c r="T101" i="3"/>
  <c r="U101" i="3" s="1"/>
  <c r="U87" i="3"/>
  <c r="V107" i="3"/>
  <c r="V101" i="3"/>
  <c r="W101" i="3" s="1"/>
  <c r="W87" i="3"/>
  <c r="X107" i="3"/>
  <c r="X101" i="3"/>
  <c r="AK87" i="3"/>
  <c r="AL87" i="3" s="1"/>
  <c r="AI87" i="3"/>
  <c r="AJ87" i="3" s="1"/>
  <c r="AF87" i="3"/>
  <c r="AD87" i="3"/>
  <c r="AE87" i="3" s="1"/>
  <c r="Y87" i="3"/>
  <c r="Z107" i="3"/>
  <c r="Z101" i="3"/>
  <c r="AA101" i="3" s="1"/>
  <c r="AA87" i="3"/>
  <c r="B107" i="2"/>
  <c r="B101" i="2"/>
  <c r="C101" i="2" s="1"/>
  <c r="C87" i="2"/>
  <c r="D107" i="2"/>
  <c r="D101" i="2"/>
  <c r="E101" i="2" s="1"/>
  <c r="E87" i="2"/>
  <c r="F107" i="2"/>
  <c r="F101" i="2"/>
  <c r="G101" i="2" s="1"/>
  <c r="G87" i="2"/>
  <c r="H107" i="2"/>
  <c r="H101" i="2"/>
  <c r="I101" i="2" s="1"/>
  <c r="I87" i="2"/>
  <c r="AH59" i="2"/>
  <c r="AK59" i="2"/>
  <c r="AL59" i="2" s="1"/>
  <c r="AI59" i="2"/>
  <c r="AJ59" i="2" s="1"/>
  <c r="J107" i="2"/>
  <c r="J101" i="2"/>
  <c r="AG87" i="2"/>
  <c r="AH87" i="2" s="1"/>
  <c r="K87" i="2"/>
  <c r="L107" i="2"/>
  <c r="L101" i="2"/>
  <c r="M101" i="2" s="1"/>
  <c r="M87" i="2"/>
  <c r="N107" i="2"/>
  <c r="N101" i="2"/>
  <c r="O101" i="2" s="1"/>
  <c r="O87" i="2"/>
  <c r="P107" i="2"/>
  <c r="P101" i="2"/>
  <c r="Q101" i="2" s="1"/>
  <c r="Q87" i="2"/>
  <c r="AC59" i="2"/>
  <c r="AF59" i="2"/>
  <c r="AD59" i="2"/>
  <c r="AE59" i="2" s="1"/>
  <c r="R107" i="2"/>
  <c r="R101" i="2"/>
  <c r="AB87" i="2"/>
  <c r="AC87" i="2" s="1"/>
  <c r="S87" i="2"/>
  <c r="T107" i="2"/>
  <c r="T101" i="2"/>
  <c r="U101" i="2" s="1"/>
  <c r="U87" i="2"/>
  <c r="V107" i="2"/>
  <c r="V101" i="2"/>
  <c r="W101" i="2" s="1"/>
  <c r="W87" i="2"/>
  <c r="X107" i="2"/>
  <c r="X101" i="2"/>
  <c r="AK87" i="2"/>
  <c r="AL87" i="2" s="1"/>
  <c r="AI87" i="2"/>
  <c r="AJ87" i="2" s="1"/>
  <c r="AF87" i="2"/>
  <c r="AD87" i="2"/>
  <c r="AE87" i="2" s="1"/>
  <c r="Y87" i="2"/>
  <c r="Z107" i="2"/>
  <c r="Z101" i="2"/>
  <c r="AA101" i="2" s="1"/>
  <c r="AA87" i="2"/>
  <c r="B107" i="1"/>
  <c r="B101" i="1"/>
  <c r="C101" i="1" s="1"/>
  <c r="C87" i="1"/>
  <c r="D107" i="1"/>
  <c r="D101" i="1"/>
  <c r="E101" i="1" s="1"/>
  <c r="E87" i="1"/>
  <c r="F107" i="1"/>
  <c r="F101" i="1"/>
  <c r="G101" i="1" s="1"/>
  <c r="G87" i="1"/>
  <c r="H107" i="1"/>
  <c r="H101" i="1"/>
  <c r="I101" i="1" s="1"/>
  <c r="I87" i="1"/>
  <c r="AH59" i="1"/>
  <c r="AK59" i="1"/>
  <c r="AL59" i="1" s="1"/>
  <c r="AI59" i="1"/>
  <c r="AJ59" i="1" s="1"/>
  <c r="J107" i="1"/>
  <c r="J101" i="1"/>
  <c r="AG87" i="1"/>
  <c r="AH87" i="1" s="1"/>
  <c r="K87" i="1"/>
  <c r="L107" i="1"/>
  <c r="L101" i="1"/>
  <c r="M101" i="1" s="1"/>
  <c r="M87" i="1"/>
  <c r="N107" i="1"/>
  <c r="N101" i="1"/>
  <c r="O101" i="1" s="1"/>
  <c r="O87" i="1"/>
  <c r="P107" i="1"/>
  <c r="P101" i="1"/>
  <c r="Q101" i="1" s="1"/>
  <c r="Q87" i="1"/>
  <c r="AC59" i="1"/>
  <c r="AF59" i="1"/>
  <c r="AD59" i="1"/>
  <c r="AE59" i="1" s="1"/>
  <c r="R107" i="1"/>
  <c r="R101" i="1"/>
  <c r="AB87" i="1"/>
  <c r="AC87" i="1" s="1"/>
  <c r="S87" i="1"/>
  <c r="T107" i="1"/>
  <c r="T101" i="1"/>
  <c r="U101" i="1" s="1"/>
  <c r="U87" i="1"/>
  <c r="V107" i="1"/>
  <c r="V101" i="1"/>
  <c r="W101" i="1" s="1"/>
  <c r="W87" i="1"/>
  <c r="X107" i="1"/>
  <c r="X101" i="1"/>
  <c r="AK87" i="1"/>
  <c r="AL87" i="1" s="1"/>
  <c r="AI87" i="1"/>
  <c r="AJ87" i="1" s="1"/>
  <c r="AF87" i="1"/>
  <c r="AD87" i="1"/>
  <c r="AE87" i="1" s="1"/>
  <c r="Y87" i="1"/>
  <c r="Z107" i="1"/>
  <c r="Z101" i="1"/>
  <c r="AA101" i="1" s="1"/>
  <c r="AA87" i="1"/>
  <c r="Z137" i="5" l="1"/>
  <c r="AA107" i="5"/>
  <c r="Y101" i="5"/>
  <c r="X137" i="5"/>
  <c r="Y107" i="5"/>
  <c r="V137" i="5"/>
  <c r="W107" i="5"/>
  <c r="T137" i="5"/>
  <c r="U107" i="5"/>
  <c r="AB101" i="5"/>
  <c r="S101" i="5"/>
  <c r="R137" i="5"/>
  <c r="AB107" i="5"/>
  <c r="S107" i="5"/>
  <c r="P137" i="5"/>
  <c r="Q107" i="5"/>
  <c r="N137" i="5"/>
  <c r="O107" i="5"/>
  <c r="L137" i="5"/>
  <c r="M107" i="5"/>
  <c r="AG101" i="5"/>
  <c r="K101" i="5"/>
  <c r="J137" i="5"/>
  <c r="AG107" i="5"/>
  <c r="K107" i="5"/>
  <c r="H137" i="5"/>
  <c r="I107" i="5"/>
  <c r="F137" i="5"/>
  <c r="G107" i="5"/>
  <c r="D137" i="5"/>
  <c r="E107" i="5"/>
  <c r="B137" i="5"/>
  <c r="C107" i="5"/>
  <c r="Z137" i="4"/>
  <c r="AA107" i="4"/>
  <c r="Y101" i="4"/>
  <c r="X137" i="4"/>
  <c r="Y107" i="4"/>
  <c r="V137" i="4"/>
  <c r="W107" i="4"/>
  <c r="T137" i="4"/>
  <c r="U107" i="4"/>
  <c r="AB101" i="4"/>
  <c r="S101" i="4"/>
  <c r="R137" i="4"/>
  <c r="AB107" i="4"/>
  <c r="S107" i="4"/>
  <c r="P137" i="4"/>
  <c r="Q107" i="4"/>
  <c r="N137" i="4"/>
  <c r="O107" i="4"/>
  <c r="L137" i="4"/>
  <c r="M107" i="4"/>
  <c r="AG101" i="4"/>
  <c r="K101" i="4"/>
  <c r="J137" i="4"/>
  <c r="AG107" i="4"/>
  <c r="K107" i="4"/>
  <c r="H137" i="4"/>
  <c r="I107" i="4"/>
  <c r="F137" i="4"/>
  <c r="G107" i="4"/>
  <c r="D137" i="4"/>
  <c r="E107" i="4"/>
  <c r="B137" i="4"/>
  <c r="C107" i="4"/>
  <c r="Z137" i="3"/>
  <c r="AA107" i="3"/>
  <c r="Y101" i="3"/>
  <c r="X137" i="3"/>
  <c r="Y107" i="3"/>
  <c r="V137" i="3"/>
  <c r="W107" i="3"/>
  <c r="T137" i="3"/>
  <c r="U107" i="3"/>
  <c r="AB101" i="3"/>
  <c r="S101" i="3"/>
  <c r="R137" i="3"/>
  <c r="AB107" i="3"/>
  <c r="S107" i="3"/>
  <c r="P137" i="3"/>
  <c r="Q107" i="3"/>
  <c r="N137" i="3"/>
  <c r="O107" i="3"/>
  <c r="L137" i="3"/>
  <c r="M107" i="3"/>
  <c r="AG101" i="3"/>
  <c r="K101" i="3"/>
  <c r="J137" i="3"/>
  <c r="AG107" i="3"/>
  <c r="K107" i="3"/>
  <c r="H137" i="3"/>
  <c r="I107" i="3"/>
  <c r="F137" i="3"/>
  <c r="G107" i="3"/>
  <c r="D137" i="3"/>
  <c r="E107" i="3"/>
  <c r="B137" i="3"/>
  <c r="C107" i="3"/>
  <c r="Z137" i="2"/>
  <c r="AA107" i="2"/>
  <c r="Y101" i="2"/>
  <c r="X137" i="2"/>
  <c r="Y107" i="2"/>
  <c r="V137" i="2"/>
  <c r="W107" i="2"/>
  <c r="T137" i="2"/>
  <c r="U107" i="2"/>
  <c r="AB101" i="2"/>
  <c r="S101" i="2"/>
  <c r="R137" i="2"/>
  <c r="AB107" i="2"/>
  <c r="S107" i="2"/>
  <c r="P137" i="2"/>
  <c r="Q107" i="2"/>
  <c r="N137" i="2"/>
  <c r="O107" i="2"/>
  <c r="L137" i="2"/>
  <c r="M107" i="2"/>
  <c r="AG101" i="2"/>
  <c r="K101" i="2"/>
  <c r="J137" i="2"/>
  <c r="AG107" i="2"/>
  <c r="K107" i="2"/>
  <c r="H137" i="2"/>
  <c r="I107" i="2"/>
  <c r="F137" i="2"/>
  <c r="G107" i="2"/>
  <c r="D137" i="2"/>
  <c r="E107" i="2"/>
  <c r="B137" i="2"/>
  <c r="C107" i="2"/>
  <c r="Z137" i="1"/>
  <c r="AA107" i="1"/>
  <c r="Y101" i="1"/>
  <c r="X137" i="1"/>
  <c r="Y107" i="1"/>
  <c r="V137" i="1"/>
  <c r="W107" i="1"/>
  <c r="T137" i="1"/>
  <c r="U107" i="1"/>
  <c r="AB101" i="1"/>
  <c r="S101" i="1"/>
  <c r="R137" i="1"/>
  <c r="AB107" i="1"/>
  <c r="S107" i="1"/>
  <c r="P137" i="1"/>
  <c r="Q107" i="1"/>
  <c r="N137" i="1"/>
  <c r="O107" i="1"/>
  <c r="L137" i="1"/>
  <c r="M107" i="1"/>
  <c r="AG101" i="1"/>
  <c r="K101" i="1"/>
  <c r="J137" i="1"/>
  <c r="AG107" i="1"/>
  <c r="K107" i="1"/>
  <c r="H137" i="1"/>
  <c r="I107" i="1"/>
  <c r="F137" i="1"/>
  <c r="G107" i="1"/>
  <c r="D137" i="1"/>
  <c r="E107" i="1"/>
  <c r="B137" i="1"/>
  <c r="C107" i="1"/>
  <c r="B147" i="5" l="1"/>
  <c r="C147" i="5" s="1"/>
  <c r="C137" i="5"/>
  <c r="D147" i="5"/>
  <c r="E147" i="5" s="1"/>
  <c r="E137" i="5"/>
  <c r="F147" i="5"/>
  <c r="G147" i="5" s="1"/>
  <c r="G137" i="5"/>
  <c r="H147" i="5"/>
  <c r="I147" i="5" s="1"/>
  <c r="I137" i="5"/>
  <c r="AH107" i="5"/>
  <c r="AK107" i="5"/>
  <c r="AL107" i="5" s="1"/>
  <c r="AI107" i="5"/>
  <c r="AJ107" i="5" s="1"/>
  <c r="J147" i="5"/>
  <c r="AG137" i="5"/>
  <c r="AH137" i="5" s="1"/>
  <c r="K137" i="5"/>
  <c r="AH101" i="5"/>
  <c r="AK101" i="5"/>
  <c r="AL101" i="5" s="1"/>
  <c r="AI101" i="5"/>
  <c r="AJ101" i="5" s="1"/>
  <c r="L147" i="5"/>
  <c r="M147" i="5" s="1"/>
  <c r="M137" i="5"/>
  <c r="N147" i="5"/>
  <c r="O147" i="5" s="1"/>
  <c r="O137" i="5"/>
  <c r="P147" i="5"/>
  <c r="Q147" i="5" s="1"/>
  <c r="Q137" i="5"/>
  <c r="AC107" i="5"/>
  <c r="AF107" i="5"/>
  <c r="AD107" i="5"/>
  <c r="AE107" i="5" s="1"/>
  <c r="R147" i="5"/>
  <c r="AB137" i="5"/>
  <c r="AC137" i="5" s="1"/>
  <c r="S137" i="5"/>
  <c r="AC101" i="5"/>
  <c r="AF101" i="5"/>
  <c r="AD101" i="5"/>
  <c r="AE101" i="5" s="1"/>
  <c r="T147" i="5"/>
  <c r="U147" i="5" s="1"/>
  <c r="U137" i="5"/>
  <c r="V147" i="5"/>
  <c r="W147" i="5" s="1"/>
  <c r="W137" i="5"/>
  <c r="X147" i="5"/>
  <c r="AK137" i="5"/>
  <c r="AL137" i="5" s="1"/>
  <c r="AI137" i="5"/>
  <c r="AJ137" i="5" s="1"/>
  <c r="AF137" i="5"/>
  <c r="AD137" i="5"/>
  <c r="AE137" i="5" s="1"/>
  <c r="Y137" i="5"/>
  <c r="Z147" i="5"/>
  <c r="AA147" i="5" s="1"/>
  <c r="AA137" i="5"/>
  <c r="B147" i="4"/>
  <c r="C147" i="4" s="1"/>
  <c r="C137" i="4"/>
  <c r="D147" i="4"/>
  <c r="E147" i="4" s="1"/>
  <c r="E137" i="4"/>
  <c r="F147" i="4"/>
  <c r="G147" i="4" s="1"/>
  <c r="G137" i="4"/>
  <c r="H147" i="4"/>
  <c r="I147" i="4" s="1"/>
  <c r="I137" i="4"/>
  <c r="AH107" i="4"/>
  <c r="AK107" i="4"/>
  <c r="AL107" i="4" s="1"/>
  <c r="AI107" i="4"/>
  <c r="AJ107" i="4" s="1"/>
  <c r="J147" i="4"/>
  <c r="AG137" i="4"/>
  <c r="AH137" i="4" s="1"/>
  <c r="K137" i="4"/>
  <c r="AH101" i="4"/>
  <c r="AK101" i="4"/>
  <c r="AL101" i="4" s="1"/>
  <c r="AI101" i="4"/>
  <c r="AJ101" i="4" s="1"/>
  <c r="L147" i="4"/>
  <c r="M147" i="4" s="1"/>
  <c r="M137" i="4"/>
  <c r="N147" i="4"/>
  <c r="O147" i="4" s="1"/>
  <c r="O137" i="4"/>
  <c r="P147" i="4"/>
  <c r="Q147" i="4" s="1"/>
  <c r="Q137" i="4"/>
  <c r="AC107" i="4"/>
  <c r="AF107" i="4"/>
  <c r="AD107" i="4"/>
  <c r="AE107" i="4" s="1"/>
  <c r="R147" i="4"/>
  <c r="AB137" i="4"/>
  <c r="AC137" i="4" s="1"/>
  <c r="S137" i="4"/>
  <c r="AC101" i="4"/>
  <c r="AF101" i="4"/>
  <c r="AD101" i="4"/>
  <c r="AE101" i="4" s="1"/>
  <c r="T147" i="4"/>
  <c r="U147" i="4" s="1"/>
  <c r="U137" i="4"/>
  <c r="V147" i="4"/>
  <c r="W147" i="4" s="1"/>
  <c r="W137" i="4"/>
  <c r="X147" i="4"/>
  <c r="AK137" i="4"/>
  <c r="AL137" i="4" s="1"/>
  <c r="AI137" i="4"/>
  <c r="AJ137" i="4" s="1"/>
  <c r="AF137" i="4"/>
  <c r="AD137" i="4"/>
  <c r="AE137" i="4" s="1"/>
  <c r="Y137" i="4"/>
  <c r="Z147" i="4"/>
  <c r="AA147" i="4" s="1"/>
  <c r="AA137" i="4"/>
  <c r="B147" i="3"/>
  <c r="C147" i="3" s="1"/>
  <c r="C137" i="3"/>
  <c r="D147" i="3"/>
  <c r="E147" i="3" s="1"/>
  <c r="E137" i="3"/>
  <c r="F147" i="3"/>
  <c r="G147" i="3" s="1"/>
  <c r="G137" i="3"/>
  <c r="H147" i="3"/>
  <c r="I147" i="3" s="1"/>
  <c r="I137" i="3"/>
  <c r="AH107" i="3"/>
  <c r="AK107" i="3"/>
  <c r="AL107" i="3" s="1"/>
  <c r="AI107" i="3"/>
  <c r="AJ107" i="3" s="1"/>
  <c r="J147" i="3"/>
  <c r="AG137" i="3"/>
  <c r="AH137" i="3" s="1"/>
  <c r="K137" i="3"/>
  <c r="AH101" i="3"/>
  <c r="AK101" i="3"/>
  <c r="AL101" i="3" s="1"/>
  <c r="AI101" i="3"/>
  <c r="AJ101" i="3" s="1"/>
  <c r="L147" i="3"/>
  <c r="M147" i="3" s="1"/>
  <c r="M137" i="3"/>
  <c r="N147" i="3"/>
  <c r="O147" i="3" s="1"/>
  <c r="O137" i="3"/>
  <c r="P147" i="3"/>
  <c r="Q147" i="3" s="1"/>
  <c r="Q137" i="3"/>
  <c r="AC107" i="3"/>
  <c r="AF107" i="3"/>
  <c r="AD107" i="3"/>
  <c r="AE107" i="3" s="1"/>
  <c r="R147" i="3"/>
  <c r="AB137" i="3"/>
  <c r="AC137" i="3" s="1"/>
  <c r="S137" i="3"/>
  <c r="AC101" i="3"/>
  <c r="AF101" i="3"/>
  <c r="AD101" i="3"/>
  <c r="AE101" i="3" s="1"/>
  <c r="T147" i="3"/>
  <c r="U147" i="3" s="1"/>
  <c r="U137" i="3"/>
  <c r="V147" i="3"/>
  <c r="W147" i="3" s="1"/>
  <c r="W137" i="3"/>
  <c r="X147" i="3"/>
  <c r="AK137" i="3"/>
  <c r="AL137" i="3" s="1"/>
  <c r="AI137" i="3"/>
  <c r="AJ137" i="3" s="1"/>
  <c r="AF137" i="3"/>
  <c r="AD137" i="3"/>
  <c r="AE137" i="3" s="1"/>
  <c r="Y137" i="3"/>
  <c r="Z147" i="3"/>
  <c r="AA147" i="3" s="1"/>
  <c r="AA137" i="3"/>
  <c r="B147" i="2"/>
  <c r="C147" i="2" s="1"/>
  <c r="C137" i="2"/>
  <c r="D147" i="2"/>
  <c r="E147" i="2" s="1"/>
  <c r="E137" i="2"/>
  <c r="F147" i="2"/>
  <c r="G147" i="2" s="1"/>
  <c r="G137" i="2"/>
  <c r="H147" i="2"/>
  <c r="I147" i="2" s="1"/>
  <c r="I137" i="2"/>
  <c r="AH107" i="2"/>
  <c r="AK107" i="2"/>
  <c r="AL107" i="2" s="1"/>
  <c r="AI107" i="2"/>
  <c r="AJ107" i="2" s="1"/>
  <c r="J147" i="2"/>
  <c r="AG137" i="2"/>
  <c r="AH137" i="2" s="1"/>
  <c r="K137" i="2"/>
  <c r="AH101" i="2"/>
  <c r="AK101" i="2"/>
  <c r="AL101" i="2" s="1"/>
  <c r="AI101" i="2"/>
  <c r="AJ101" i="2" s="1"/>
  <c r="L147" i="2"/>
  <c r="M147" i="2" s="1"/>
  <c r="M137" i="2"/>
  <c r="N147" i="2"/>
  <c r="O147" i="2" s="1"/>
  <c r="O137" i="2"/>
  <c r="P147" i="2"/>
  <c r="Q147" i="2" s="1"/>
  <c r="Q137" i="2"/>
  <c r="AC107" i="2"/>
  <c r="AF107" i="2"/>
  <c r="AD107" i="2"/>
  <c r="AE107" i="2" s="1"/>
  <c r="R147" i="2"/>
  <c r="AB137" i="2"/>
  <c r="AC137" i="2" s="1"/>
  <c r="S137" i="2"/>
  <c r="AC101" i="2"/>
  <c r="AF101" i="2"/>
  <c r="AD101" i="2"/>
  <c r="AE101" i="2" s="1"/>
  <c r="T147" i="2"/>
  <c r="U147" i="2" s="1"/>
  <c r="U137" i="2"/>
  <c r="V147" i="2"/>
  <c r="W147" i="2" s="1"/>
  <c r="W137" i="2"/>
  <c r="X147" i="2"/>
  <c r="AK137" i="2"/>
  <c r="AL137" i="2" s="1"/>
  <c r="AI137" i="2"/>
  <c r="AJ137" i="2" s="1"/>
  <c r="AF137" i="2"/>
  <c r="AD137" i="2"/>
  <c r="AE137" i="2" s="1"/>
  <c r="Y137" i="2"/>
  <c r="Z147" i="2"/>
  <c r="AA147" i="2" s="1"/>
  <c r="AA137" i="2"/>
  <c r="B147" i="1"/>
  <c r="C147" i="1" s="1"/>
  <c r="C137" i="1"/>
  <c r="D147" i="1"/>
  <c r="E147" i="1" s="1"/>
  <c r="E137" i="1"/>
  <c r="F147" i="1"/>
  <c r="G147" i="1" s="1"/>
  <c r="G137" i="1"/>
  <c r="H147" i="1"/>
  <c r="I147" i="1" s="1"/>
  <c r="I137" i="1"/>
  <c r="AH107" i="1"/>
  <c r="AK107" i="1"/>
  <c r="AL107" i="1" s="1"/>
  <c r="AI107" i="1"/>
  <c r="AJ107" i="1" s="1"/>
  <c r="J147" i="1"/>
  <c r="AG137" i="1"/>
  <c r="AH137" i="1" s="1"/>
  <c r="K137" i="1"/>
  <c r="AH101" i="1"/>
  <c r="AK101" i="1"/>
  <c r="AL101" i="1" s="1"/>
  <c r="AI101" i="1"/>
  <c r="AJ101" i="1" s="1"/>
  <c r="L147" i="1"/>
  <c r="M147" i="1" s="1"/>
  <c r="M137" i="1"/>
  <c r="N147" i="1"/>
  <c r="O147" i="1" s="1"/>
  <c r="O137" i="1"/>
  <c r="P147" i="1"/>
  <c r="Q147" i="1" s="1"/>
  <c r="Q137" i="1"/>
  <c r="AC107" i="1"/>
  <c r="AF107" i="1"/>
  <c r="AD107" i="1"/>
  <c r="AE107" i="1" s="1"/>
  <c r="R147" i="1"/>
  <c r="AB137" i="1"/>
  <c r="AC137" i="1" s="1"/>
  <c r="S137" i="1"/>
  <c r="AC101" i="1"/>
  <c r="AF101" i="1"/>
  <c r="AD101" i="1"/>
  <c r="AE101" i="1" s="1"/>
  <c r="T147" i="1"/>
  <c r="U147" i="1" s="1"/>
  <c r="U137" i="1"/>
  <c r="V147" i="1"/>
  <c r="W147" i="1" s="1"/>
  <c r="W137" i="1"/>
  <c r="X147" i="1"/>
  <c r="AK137" i="1"/>
  <c r="AL137" i="1" s="1"/>
  <c r="AI137" i="1"/>
  <c r="AJ137" i="1" s="1"/>
  <c r="AF137" i="1"/>
  <c r="AD137" i="1"/>
  <c r="AE137" i="1" s="1"/>
  <c r="Y137" i="1"/>
  <c r="Z147" i="1"/>
  <c r="AA147" i="1" s="1"/>
  <c r="AA137" i="1"/>
  <c r="Y147" i="5" l="1"/>
  <c r="AB147" i="5"/>
  <c r="S147" i="5"/>
  <c r="AG147" i="5"/>
  <c r="K147" i="5"/>
  <c r="Y147" i="4"/>
  <c r="AB147" i="4"/>
  <c r="S147" i="4"/>
  <c r="AG147" i="4"/>
  <c r="K147" i="4"/>
  <c r="Y147" i="3"/>
  <c r="AB147" i="3"/>
  <c r="S147" i="3"/>
  <c r="AG147" i="3"/>
  <c r="K147" i="3"/>
  <c r="Y147" i="2"/>
  <c r="AB147" i="2"/>
  <c r="S147" i="2"/>
  <c r="AG147" i="2"/>
  <c r="K147" i="2"/>
  <c r="Y147" i="1"/>
  <c r="AB147" i="1"/>
  <c r="S147" i="1"/>
  <c r="AG147" i="1"/>
  <c r="K147" i="1"/>
  <c r="AH147" i="5" l="1"/>
  <c r="AK147" i="5"/>
  <c r="AL147" i="5" s="1"/>
  <c r="AI147" i="5"/>
  <c r="AJ147" i="5" s="1"/>
  <c r="AC147" i="5"/>
  <c r="AF147" i="5"/>
  <c r="AD147" i="5"/>
  <c r="AE147" i="5" s="1"/>
  <c r="AH147" i="4"/>
  <c r="AK147" i="4"/>
  <c r="AL147" i="4" s="1"/>
  <c r="AI147" i="4"/>
  <c r="AJ147" i="4" s="1"/>
  <c r="AC147" i="4"/>
  <c r="AF147" i="4"/>
  <c r="AD147" i="4"/>
  <c r="AE147" i="4" s="1"/>
  <c r="AH147" i="3"/>
  <c r="AK147" i="3"/>
  <c r="AL147" i="3" s="1"/>
  <c r="AI147" i="3"/>
  <c r="AJ147" i="3" s="1"/>
  <c r="AC147" i="3"/>
  <c r="AF147" i="3"/>
  <c r="AD147" i="3"/>
  <c r="AE147" i="3" s="1"/>
  <c r="AH147" i="2"/>
  <c r="AK147" i="2"/>
  <c r="AL147" i="2" s="1"/>
  <c r="AI147" i="2"/>
  <c r="AJ147" i="2" s="1"/>
  <c r="AC147" i="2"/>
  <c r="AF147" i="2"/>
  <c r="AD147" i="2"/>
  <c r="AE147" i="2" s="1"/>
  <c r="AH147" i="1"/>
  <c r="AK147" i="1"/>
  <c r="AL147" i="1" s="1"/>
  <c r="AI147" i="1"/>
  <c r="AJ147" i="1" s="1"/>
  <c r="AC147" i="1"/>
  <c r="AF147" i="1"/>
  <c r="AD147" i="1"/>
  <c r="AE147" i="1" s="1"/>
  <c r="A2" i="7" l="1"/>
  <c r="H11" i="7"/>
  <c r="D24" i="7"/>
  <c r="H16" i="7"/>
  <c r="B34" i="7"/>
  <c r="H34" i="7"/>
  <c r="H36" i="7"/>
  <c r="H38" i="7"/>
  <c r="H22" i="7"/>
  <c r="B64" i="7"/>
  <c r="B38" i="7"/>
  <c r="F39" i="7"/>
  <c r="F31" i="7"/>
  <c r="F8" i="7"/>
  <c r="F15" i="7"/>
  <c r="D66" i="7"/>
  <c r="D25" i="7"/>
  <c r="H64" i="7"/>
  <c r="D39" i="7"/>
  <c r="B15" i="7"/>
  <c r="H63" i="7"/>
  <c r="B42" i="7"/>
  <c r="F14" i="7"/>
  <c r="D57" i="7"/>
  <c r="B54" i="7"/>
  <c r="F49" i="7"/>
  <c r="H12" i="7"/>
  <c r="D32" i="7"/>
  <c r="F24" i="7"/>
  <c r="F54" i="7"/>
  <c r="D49" i="7"/>
  <c r="D27" i="7"/>
  <c r="D7" i="7"/>
  <c r="D30" i="7"/>
  <c r="D6" i="7"/>
  <c r="H41" i="7"/>
  <c r="B47" i="7"/>
  <c r="B29" i="7"/>
  <c r="D26" i="7"/>
  <c r="H30" i="7"/>
  <c r="H46" i="7"/>
  <c r="F57" i="7"/>
  <c r="H50" i="7"/>
  <c r="H14" i="7"/>
  <c r="D41" i="7"/>
  <c r="F53" i="7"/>
  <c r="D60" i="7"/>
  <c r="D56" i="7"/>
  <c r="F23" i="7"/>
  <c r="H59" i="7"/>
  <c r="H57" i="7"/>
  <c r="D36" i="7"/>
  <c r="H54" i="7"/>
  <c r="B30" i="7"/>
  <c r="F28" i="7"/>
  <c r="H7" i="7"/>
  <c r="B14" i="7"/>
  <c r="D9" i="7"/>
  <c r="B66" i="7"/>
  <c r="B32" i="7"/>
  <c r="B26" i="7"/>
  <c r="B49" i="7"/>
  <c r="F37" i="7"/>
  <c r="D13" i="7"/>
  <c r="B6" i="7"/>
  <c r="H9" i="7"/>
  <c r="D31" i="7"/>
  <c r="H56" i="7"/>
  <c r="H29" i="7"/>
  <c r="B50" i="7"/>
  <c r="D8" i="7"/>
  <c r="B55" i="7"/>
  <c r="B8" i="7"/>
  <c r="D28" i="7"/>
  <c r="H55" i="7"/>
  <c r="B53" i="7"/>
  <c r="D29" i="7"/>
  <c r="F33" i="7"/>
  <c r="B22" i="7"/>
  <c r="H32" i="7"/>
  <c r="F63" i="7"/>
  <c r="D64" i="7"/>
  <c r="B39" i="7"/>
  <c r="F16" i="7"/>
  <c r="H27" i="7"/>
  <c r="B25" i="7"/>
  <c r="H26" i="7"/>
  <c r="D63" i="7"/>
  <c r="D48" i="7"/>
  <c r="B48" i="7"/>
  <c r="F50" i="7"/>
  <c r="D14" i="7"/>
  <c r="H58" i="7"/>
  <c r="F26" i="7"/>
  <c r="D47" i="7"/>
  <c r="D62" i="7"/>
  <c r="F11" i="7"/>
  <c r="B41" i="7"/>
  <c r="B11" i="7"/>
  <c r="D22" i="7"/>
  <c r="B16" i="7"/>
  <c r="F58" i="7"/>
  <c r="D10" i="7"/>
  <c r="H51" i="7"/>
  <c r="F36" i="7"/>
  <c r="B7" i="7"/>
  <c r="H60" i="7"/>
  <c r="F22" i="7"/>
  <c r="F12" i="7"/>
  <c r="H53" i="7"/>
  <c r="D42" i="7"/>
  <c r="B63" i="7"/>
  <c r="F32" i="7"/>
  <c r="F6" i="7"/>
  <c r="F61" i="7"/>
  <c r="B37" i="7"/>
  <c r="D46" i="7"/>
  <c r="H37" i="7"/>
  <c r="H48" i="7"/>
  <c r="H62" i="7"/>
  <c r="F40" i="7"/>
  <c r="F7" i="7"/>
  <c r="B46" i="7"/>
  <c r="D37" i="7"/>
  <c r="D34" i="7"/>
  <c r="H49" i="7"/>
  <c r="H33" i="7"/>
  <c r="F25" i="7"/>
  <c r="B28" i="7"/>
  <c r="F59" i="7"/>
  <c r="H40" i="7"/>
  <c r="B27" i="7"/>
  <c r="H31" i="7"/>
  <c r="B56" i="7"/>
  <c r="D61" i="7"/>
  <c r="D11" i="7"/>
  <c r="B33" i="7"/>
  <c r="H24" i="7"/>
  <c r="B36" i="7"/>
  <c r="B12" i="7"/>
  <c r="F55" i="7"/>
  <c r="B60" i="7"/>
  <c r="D33" i="7"/>
  <c r="B23" i="7"/>
  <c r="F41" i="7"/>
  <c r="B57" i="7"/>
  <c r="H39" i="7"/>
  <c r="D15" i="7"/>
  <c r="H15" i="7"/>
  <c r="B9" i="7"/>
  <c r="F62" i="7"/>
  <c r="D16" i="7"/>
  <c r="B51" i="7"/>
  <c r="F27" i="7"/>
  <c r="F42" i="7"/>
  <c r="H8" i="7"/>
  <c r="F56" i="7"/>
  <c r="D51" i="7"/>
  <c r="H23" i="7"/>
  <c r="H61" i="7"/>
  <c r="D54" i="7"/>
  <c r="D50" i="7"/>
  <c r="B13" i="7"/>
  <c r="F47" i="7"/>
  <c r="F10" i="7"/>
  <c r="D12" i="7"/>
  <c r="B62" i="7"/>
  <c r="B40" i="7"/>
  <c r="F38" i="7"/>
  <c r="F60" i="7"/>
  <c r="F9" i="7"/>
  <c r="H25" i="7"/>
  <c r="B59" i="7"/>
  <c r="D23" i="7"/>
  <c r="F48" i="7"/>
  <c r="B58" i="7"/>
  <c r="F64" i="7"/>
  <c r="D58" i="7"/>
  <c r="F51" i="7"/>
  <c r="B24" i="7"/>
  <c r="H13" i="7"/>
  <c r="D53" i="7"/>
  <c r="H28" i="7"/>
  <c r="D59" i="7"/>
  <c r="H10" i="7"/>
  <c r="H42" i="7"/>
  <c r="F46" i="7"/>
  <c r="F13" i="7"/>
  <c r="D38" i="7"/>
  <c r="F29" i="7"/>
  <c r="D40" i="7"/>
  <c r="B10" i="7"/>
  <c r="H47" i="7"/>
  <c r="B31" i="7"/>
  <c r="F34" i="7"/>
  <c r="F30" i="7"/>
  <c r="H6" i="7"/>
  <c r="B61" i="7"/>
  <c r="D55" i="7"/>
  <c r="C33" i="7" l="1"/>
  <c r="E11" i="7"/>
  <c r="C11" i="7"/>
  <c r="E8" i="7"/>
  <c r="G53" i="7"/>
  <c r="G31" i="7"/>
  <c r="C59" i="7"/>
  <c r="E49" i="7"/>
  <c r="C31" i="7"/>
  <c r="I12" i="7"/>
  <c r="J12" i="7"/>
  <c r="E64" i="7"/>
  <c r="C23" i="7"/>
  <c r="J57" i="7"/>
  <c r="I57" i="7"/>
  <c r="E39" i="7"/>
  <c r="E54" i="7"/>
  <c r="I55" i="7"/>
  <c r="J55" i="7"/>
  <c r="E22" i="7"/>
  <c r="E61" i="7"/>
  <c r="C41" i="7"/>
  <c r="C50" i="7"/>
  <c r="E41" i="7"/>
  <c r="G39" i="7"/>
  <c r="E40" i="7"/>
  <c r="E38" i="7"/>
  <c r="G24" i="7"/>
  <c r="G28" i="7"/>
  <c r="C40" i="7"/>
  <c r="E12" i="7"/>
  <c r="G51" i="7"/>
  <c r="G64" i="7"/>
  <c r="J60" i="7"/>
  <c r="I60" i="7"/>
  <c r="I51" i="7"/>
  <c r="J51" i="7"/>
  <c r="G8" i="7"/>
  <c r="C56" i="7"/>
  <c r="G11" i="7"/>
  <c r="I29" i="7"/>
  <c r="J29" i="7"/>
  <c r="I14" i="7"/>
  <c r="J14" i="7"/>
  <c r="C38" i="7"/>
  <c r="E7" i="7"/>
  <c r="G40" i="7"/>
  <c r="G46" i="7"/>
  <c r="I10" i="7"/>
  <c r="J10" i="7"/>
  <c r="C54" i="7"/>
  <c r="G14" i="7"/>
  <c r="I63" i="7"/>
  <c r="J63" i="7"/>
  <c r="G33" i="7"/>
  <c r="G48" i="7"/>
  <c r="I23" i="7"/>
  <c r="J23" i="7"/>
  <c r="C55" i="7"/>
  <c r="I31" i="7"/>
  <c r="J31" i="7"/>
  <c r="E62" i="7"/>
  <c r="I56" i="7"/>
  <c r="J56" i="7"/>
  <c r="I50" i="7"/>
  <c r="J50" i="7"/>
  <c r="C64" i="7"/>
  <c r="C46" i="7"/>
  <c r="J27" i="7"/>
  <c r="I27" i="7"/>
  <c r="J48" i="7"/>
  <c r="I48" i="7"/>
  <c r="E46" i="7"/>
  <c r="I28" i="7"/>
  <c r="J28" i="7"/>
  <c r="I13" i="7"/>
  <c r="J13" i="7"/>
  <c r="G47" i="7"/>
  <c r="E50" i="7"/>
  <c r="C12" i="7"/>
  <c r="E28" i="7"/>
  <c r="E51" i="7"/>
  <c r="C27" i="7"/>
  <c r="E47" i="7"/>
  <c r="E31" i="7"/>
  <c r="G57" i="7"/>
  <c r="I22" i="7"/>
  <c r="E27" i="7"/>
  <c r="C61" i="7"/>
  <c r="E55" i="7"/>
  <c r="C39" i="7"/>
  <c r="G61" i="7"/>
  <c r="G32" i="7"/>
  <c r="E42" i="7"/>
  <c r="G12" i="7"/>
  <c r="E25" i="7"/>
  <c r="E10" i="7"/>
  <c r="G56" i="7"/>
  <c r="I40" i="7"/>
  <c r="J40" i="7"/>
  <c r="G26" i="7"/>
  <c r="I9" i="7"/>
  <c r="J9" i="7"/>
  <c r="I46" i="7"/>
  <c r="I38" i="7"/>
  <c r="J38" i="7"/>
  <c r="G29" i="7"/>
  <c r="G34" i="7"/>
  <c r="J7" i="7"/>
  <c r="I7" i="7"/>
  <c r="E59" i="7"/>
  <c r="C62" i="7"/>
  <c r="E36" i="7"/>
  <c r="C22" i="7"/>
  <c r="G55" i="7"/>
  <c r="C7" i="7"/>
  <c r="G58" i="7"/>
  <c r="J8" i="7"/>
  <c r="I8" i="7"/>
  <c r="G59" i="7"/>
  <c r="I58" i="7"/>
  <c r="J58" i="7"/>
  <c r="C6" i="7"/>
  <c r="I30" i="7"/>
  <c r="J30" i="7"/>
  <c r="I36" i="7"/>
  <c r="I25" i="7"/>
  <c r="J25" i="7"/>
  <c r="G13" i="7"/>
  <c r="E32" i="7"/>
  <c r="G49" i="7"/>
  <c r="G63" i="7"/>
  <c r="E33" i="7"/>
  <c r="C15" i="7"/>
  <c r="G23" i="7"/>
  <c r="E56" i="7"/>
  <c r="C8" i="7"/>
  <c r="G42" i="7"/>
  <c r="C28" i="7"/>
  <c r="E14" i="7"/>
  <c r="E13" i="7"/>
  <c r="E26" i="7"/>
  <c r="I34" i="7"/>
  <c r="J34" i="7"/>
  <c r="J15" i="7"/>
  <c r="I15" i="7"/>
  <c r="G54" i="7"/>
  <c r="I39" i="7"/>
  <c r="J39" i="7"/>
  <c r="G38" i="7"/>
  <c r="G41" i="7"/>
  <c r="G10" i="7"/>
  <c r="E58" i="7"/>
  <c r="E29" i="7"/>
  <c r="C36" i="7"/>
  <c r="G15" i="7"/>
  <c r="G27" i="7"/>
  <c r="G25" i="7"/>
  <c r="G50" i="7"/>
  <c r="G37" i="7"/>
  <c r="C29" i="7"/>
  <c r="C34" i="7"/>
  <c r="E9" i="7"/>
  <c r="C14" i="7"/>
  <c r="J42" i="7"/>
  <c r="I42" i="7"/>
  <c r="C30" i="7"/>
  <c r="E53" i="7"/>
  <c r="C24" i="7"/>
  <c r="J59" i="7"/>
  <c r="I59" i="7"/>
  <c r="C58" i="7"/>
  <c r="G36" i="7"/>
  <c r="I24" i="7"/>
  <c r="J24" i="7"/>
  <c r="C51" i="7"/>
  <c r="I33" i="7"/>
  <c r="J33" i="7"/>
  <c r="C48" i="7"/>
  <c r="C49" i="7"/>
  <c r="C47" i="7"/>
  <c r="J16" i="7"/>
  <c r="I16" i="7"/>
  <c r="C25" i="7"/>
  <c r="J62" i="7"/>
  <c r="I62" i="7"/>
  <c r="G60" i="7"/>
  <c r="C37" i="7"/>
  <c r="E57" i="7"/>
  <c r="C42" i="7"/>
  <c r="C13" i="7"/>
  <c r="G22" i="7"/>
  <c r="C53" i="7"/>
  <c r="C16" i="7"/>
  <c r="C66" i="7"/>
  <c r="E16" i="7"/>
  <c r="E30" i="7"/>
  <c r="I49" i="7"/>
  <c r="J49" i="7"/>
  <c r="E48" i="7"/>
  <c r="C26" i="7"/>
  <c r="J41" i="7"/>
  <c r="I41" i="7"/>
  <c r="E24" i="7"/>
  <c r="G7" i="7"/>
  <c r="E15" i="7"/>
  <c r="I37" i="7"/>
  <c r="J37" i="7"/>
  <c r="C57" i="7"/>
  <c r="I54" i="7"/>
  <c r="J54" i="7"/>
  <c r="C63" i="7"/>
  <c r="C60" i="7"/>
  <c r="I64" i="7"/>
  <c r="J64" i="7"/>
  <c r="I61" i="7"/>
  <c r="J61" i="7"/>
  <c r="E60" i="7"/>
  <c r="G62" i="7"/>
  <c r="E34" i="7"/>
  <c r="E63" i="7"/>
  <c r="C32" i="7"/>
  <c r="E6" i="7"/>
  <c r="I11" i="7"/>
  <c r="J11" i="7"/>
  <c r="G30" i="7"/>
  <c r="G9" i="7"/>
  <c r="G16" i="7"/>
  <c r="I47" i="7"/>
  <c r="J47" i="7"/>
  <c r="K47" i="7" s="1"/>
  <c r="G6" i="7"/>
  <c r="I32" i="7"/>
  <c r="J32" i="7"/>
  <c r="I53" i="7"/>
  <c r="J6" i="7"/>
  <c r="I6" i="7"/>
  <c r="C10" i="7"/>
  <c r="E23" i="7"/>
  <c r="C9" i="7"/>
  <c r="E37" i="7"/>
  <c r="J26" i="7"/>
  <c r="I26" i="7"/>
  <c r="E66" i="7"/>
  <c r="F66" i="7"/>
  <c r="K57" i="7" l="1"/>
  <c r="K30" i="7"/>
  <c r="K7" i="7"/>
  <c r="K13" i="7"/>
  <c r="K31" i="7"/>
  <c r="K14" i="7"/>
  <c r="K6" i="7"/>
  <c r="K12" i="7"/>
  <c r="K41" i="7"/>
  <c r="K59" i="7"/>
  <c r="K32" i="7"/>
  <c r="K37" i="7"/>
  <c r="K34" i="7"/>
  <c r="K25" i="7"/>
  <c r="K56" i="7"/>
  <c r="K24" i="7"/>
  <c r="K28" i="7"/>
  <c r="K61" i="7"/>
  <c r="K62" i="7"/>
  <c r="K54" i="7"/>
  <c r="K55" i="7"/>
  <c r="K33" i="7"/>
  <c r="K58" i="7"/>
  <c r="K38" i="7"/>
  <c r="K23" i="7"/>
  <c r="K29" i="7"/>
  <c r="K40" i="7"/>
  <c r="K64" i="7"/>
  <c r="K49" i="7"/>
  <c r="K9" i="7"/>
  <c r="K48" i="7"/>
  <c r="K53" i="7"/>
  <c r="K16" i="7"/>
  <c r="K22" i="7"/>
  <c r="K36" i="7"/>
  <c r="K46" i="7"/>
  <c r="K8" i="7"/>
  <c r="K63" i="7"/>
  <c r="K42" i="7"/>
  <c r="K39" i="7"/>
  <c r="K27" i="7"/>
  <c r="K51" i="7"/>
  <c r="K50" i="7"/>
  <c r="K10" i="7"/>
  <c r="K60" i="7"/>
  <c r="K26" i="7"/>
  <c r="K11" i="7"/>
  <c r="K15" i="7"/>
  <c r="G66" i="7"/>
  <c r="K72" i="7"/>
  <c r="K78" i="7"/>
  <c r="H82" i="7"/>
  <c r="D90" i="7"/>
  <c r="F81" i="7"/>
  <c r="B84" i="7"/>
  <c r="H91" i="7"/>
  <c r="B75" i="7"/>
  <c r="B79" i="7"/>
  <c r="H78" i="7"/>
  <c r="H89" i="7"/>
  <c r="D74" i="7"/>
  <c r="B90" i="7"/>
  <c r="D85" i="7"/>
  <c r="B81" i="7"/>
  <c r="D84" i="7"/>
  <c r="H85" i="7"/>
  <c r="B83" i="7"/>
  <c r="B92" i="7"/>
  <c r="H88" i="7"/>
  <c r="F84" i="7"/>
  <c r="B86" i="7"/>
  <c r="D83" i="7"/>
  <c r="H86" i="7"/>
  <c r="F83" i="7"/>
  <c r="D88" i="7"/>
  <c r="H66" i="7"/>
  <c r="F87" i="7"/>
  <c r="F90" i="7"/>
  <c r="H84" i="7"/>
  <c r="B74" i="7"/>
  <c r="D87" i="7"/>
  <c r="B91" i="7"/>
  <c r="H76" i="7"/>
  <c r="F92" i="7"/>
  <c r="B88" i="7"/>
  <c r="H73" i="7"/>
  <c r="B76" i="7"/>
  <c r="F88" i="7"/>
  <c r="H79" i="7"/>
  <c r="F85" i="7"/>
  <c r="B89" i="7"/>
  <c r="F78" i="7"/>
  <c r="D86" i="7"/>
  <c r="H75" i="7"/>
  <c r="D82" i="7"/>
  <c r="F72" i="7"/>
  <c r="H87" i="7"/>
  <c r="D78" i="7"/>
  <c r="D92" i="7"/>
  <c r="F91" i="7"/>
  <c r="H77" i="7"/>
  <c r="F79" i="7"/>
  <c r="F75" i="7"/>
  <c r="D79" i="7"/>
  <c r="B82" i="7"/>
  <c r="B73" i="7"/>
  <c r="F73" i="7"/>
  <c r="H90" i="7"/>
  <c r="D81" i="7"/>
  <c r="F89" i="7"/>
  <c r="D77" i="7"/>
  <c r="B94" i="7"/>
  <c r="D75" i="7"/>
  <c r="H92" i="7"/>
  <c r="B77" i="7"/>
  <c r="F86" i="7"/>
  <c r="B72" i="7"/>
  <c r="F77" i="7"/>
  <c r="D89" i="7"/>
  <c r="H72" i="7"/>
  <c r="D76" i="7"/>
  <c r="B85" i="7"/>
  <c r="F76" i="7"/>
  <c r="F82" i="7"/>
  <c r="D73" i="7"/>
  <c r="B78" i="7"/>
  <c r="H81" i="7"/>
  <c r="D91" i="7"/>
  <c r="H74" i="7"/>
  <c r="H83" i="7"/>
  <c r="B87" i="7"/>
  <c r="D72" i="7"/>
  <c r="F74" i="7"/>
  <c r="I66" i="7" l="1"/>
  <c r="J66" i="7"/>
  <c r="K66" i="7" s="1"/>
  <c r="E82" i="7"/>
  <c r="E87" i="7"/>
  <c r="I88" i="7"/>
  <c r="J88" i="7"/>
  <c r="K88" i="7" s="1"/>
  <c r="J91" i="7"/>
  <c r="K91" i="7" s="1"/>
  <c r="I91" i="7"/>
  <c r="E73" i="7"/>
  <c r="C73" i="7"/>
  <c r="I83" i="7"/>
  <c r="J83" i="7"/>
  <c r="K83" i="7" s="1"/>
  <c r="C85" i="7"/>
  <c r="I72" i="7"/>
  <c r="G77" i="7"/>
  <c r="E91" i="7"/>
  <c r="C88" i="7"/>
  <c r="I81" i="7"/>
  <c r="J81" i="7"/>
  <c r="K81" i="7" s="1"/>
  <c r="C79" i="7"/>
  <c r="G72" i="7"/>
  <c r="E77" i="7"/>
  <c r="J75" i="7"/>
  <c r="K75" i="7" s="1"/>
  <c r="I75" i="7"/>
  <c r="C74" i="7"/>
  <c r="C92" i="7"/>
  <c r="C84" i="7"/>
  <c r="C78" i="7"/>
  <c r="C87" i="7"/>
  <c r="C82" i="7"/>
  <c r="G74" i="7"/>
  <c r="E88" i="7"/>
  <c r="E74" i="7"/>
  <c r="J89" i="7"/>
  <c r="K89" i="7" s="1"/>
  <c r="I89" i="7"/>
  <c r="G86" i="7"/>
  <c r="E83" i="7"/>
  <c r="I92" i="7"/>
  <c r="J92" i="7"/>
  <c r="K92" i="7" s="1"/>
  <c r="C91" i="7"/>
  <c r="G89" i="7"/>
  <c r="E86" i="7"/>
  <c r="I84" i="7"/>
  <c r="J84" i="7"/>
  <c r="K84" i="7" s="1"/>
  <c r="C83" i="7"/>
  <c r="G81" i="7"/>
  <c r="E72" i="7"/>
  <c r="G82" i="7"/>
  <c r="G76" i="7"/>
  <c r="E76" i="7"/>
  <c r="C90" i="7"/>
  <c r="C76" i="7"/>
  <c r="G83" i="7"/>
  <c r="I78" i="7"/>
  <c r="G92" i="7"/>
  <c r="I87" i="7"/>
  <c r="J87" i="7"/>
  <c r="K87" i="7" s="1"/>
  <c r="G84" i="7"/>
  <c r="E81" i="7"/>
  <c r="G78" i="7"/>
  <c r="G90" i="7"/>
  <c r="I85" i="7"/>
  <c r="J85" i="7"/>
  <c r="K85" i="7" s="1"/>
  <c r="E90" i="7"/>
  <c r="G85" i="7"/>
  <c r="J79" i="7"/>
  <c r="K79" i="7" s="1"/>
  <c r="I79" i="7"/>
  <c r="J74" i="7"/>
  <c r="K74" i="7" s="1"/>
  <c r="I74" i="7"/>
  <c r="G88" i="7"/>
  <c r="G79" i="7"/>
  <c r="I77" i="7"/>
  <c r="J77" i="7"/>
  <c r="K77" i="7" s="1"/>
  <c r="G91" i="7"/>
  <c r="J86" i="7"/>
  <c r="K86" i="7" s="1"/>
  <c r="I86" i="7"/>
  <c r="C77" i="7"/>
  <c r="C86" i="7"/>
  <c r="E75" i="7"/>
  <c r="I90" i="7"/>
  <c r="J90" i="7"/>
  <c r="K90" i="7" s="1"/>
  <c r="C89" i="7"/>
  <c r="G87" i="7"/>
  <c r="E84" i="7"/>
  <c r="I82" i="7"/>
  <c r="J82" i="7"/>
  <c r="K82" i="7" s="1"/>
  <c r="C81" i="7"/>
  <c r="E85" i="7"/>
  <c r="E79" i="7"/>
  <c r="G75" i="7"/>
  <c r="E89" i="7"/>
  <c r="C72" i="7"/>
  <c r="I73" i="7"/>
  <c r="J73" i="7"/>
  <c r="K73" i="7" s="1"/>
  <c r="E92" i="7"/>
  <c r="E78" i="7"/>
  <c r="I76" i="7"/>
  <c r="J76" i="7"/>
  <c r="K76" i="7" s="1"/>
  <c r="C75" i="7"/>
  <c r="G73" i="7"/>
  <c r="C94" i="7"/>
  <c r="C1" i="6"/>
  <c r="D1" i="6" s="1"/>
  <c r="E1" i="6" s="1"/>
  <c r="F1" i="6" s="1"/>
  <c r="B5" i="6"/>
  <c r="AM5" i="6"/>
  <c r="AN5" i="6" s="1"/>
  <c r="AO5" i="6"/>
  <c r="B6" i="6"/>
  <c r="AM6" i="6"/>
  <c r="AN6" i="6" s="1"/>
  <c r="AO6" i="6"/>
  <c r="B7" i="6"/>
  <c r="AM7" i="6"/>
  <c r="AN7" i="6"/>
  <c r="AO7" i="6"/>
  <c r="B8" i="6"/>
  <c r="AM8" i="6"/>
  <c r="AN8" i="6" s="1"/>
  <c r="AO8" i="6"/>
  <c r="AM9" i="6"/>
  <c r="AN9" i="6"/>
  <c r="AO9" i="6"/>
  <c r="AM10" i="6"/>
  <c r="AN10" i="6"/>
  <c r="AO10" i="6"/>
  <c r="AM11" i="6"/>
  <c r="AN11" i="6"/>
  <c r="AO11" i="6"/>
  <c r="AM12" i="6"/>
  <c r="AN12" i="6"/>
  <c r="AO12" i="6"/>
  <c r="AM13" i="6"/>
  <c r="AN13" i="6"/>
  <c r="AO13" i="6"/>
  <c r="AM14" i="6"/>
  <c r="AN14" i="6"/>
  <c r="AO14" i="6"/>
  <c r="AM15" i="6"/>
  <c r="AN15" i="6"/>
  <c r="AO15" i="6"/>
  <c r="AM16" i="6"/>
  <c r="AN16" i="6"/>
  <c r="AO16" i="6"/>
  <c r="AM17" i="6"/>
  <c r="AN17" i="6"/>
  <c r="AO17" i="6"/>
  <c r="AM18" i="6"/>
  <c r="AN18" i="6" s="1"/>
  <c r="AO18" i="6"/>
  <c r="AM19" i="6"/>
  <c r="AN19" i="6" s="1"/>
  <c r="AO19" i="6"/>
  <c r="AM20" i="6"/>
  <c r="AN20" i="6"/>
  <c r="AO20" i="6"/>
  <c r="AM21" i="6"/>
  <c r="AN21" i="6" s="1"/>
  <c r="AO21" i="6"/>
  <c r="AM22" i="6"/>
  <c r="AN22" i="6"/>
  <c r="AO22" i="6"/>
  <c r="AM23" i="6"/>
  <c r="AN23" i="6"/>
  <c r="AO23" i="6"/>
  <c r="AM24" i="6"/>
  <c r="AN24" i="6"/>
  <c r="AO24" i="6"/>
  <c r="AM25" i="6"/>
  <c r="AN25" i="6" s="1"/>
  <c r="AO25" i="6"/>
  <c r="AM26" i="6"/>
  <c r="AN26" i="6"/>
  <c r="AO26" i="6"/>
  <c r="AM27" i="6"/>
  <c r="AN27" i="6"/>
  <c r="AO27" i="6"/>
  <c r="AM28" i="6"/>
  <c r="AN28" i="6"/>
  <c r="AO28" i="6"/>
  <c r="AM29" i="6"/>
  <c r="AN29" i="6"/>
  <c r="AO29" i="6"/>
  <c r="AM30" i="6"/>
  <c r="AN30" i="6"/>
  <c r="AO30" i="6"/>
  <c r="AM31" i="6"/>
  <c r="AN31" i="6"/>
  <c r="AO31" i="6"/>
  <c r="AM32" i="6"/>
  <c r="AN32" i="6"/>
  <c r="AO32" i="6"/>
  <c r="AM33" i="6"/>
  <c r="AN33" i="6"/>
  <c r="AO33" i="6"/>
  <c r="AM34" i="6"/>
  <c r="AN34" i="6" s="1"/>
  <c r="AO34" i="6"/>
  <c r="AM35" i="6"/>
  <c r="AN35" i="6" s="1"/>
  <c r="AO35" i="6"/>
  <c r="AM36" i="6"/>
  <c r="AN36" i="6"/>
  <c r="AO36" i="6"/>
  <c r="AM37" i="6"/>
  <c r="AN37" i="6" s="1"/>
  <c r="AO37" i="6"/>
  <c r="AM38" i="6"/>
  <c r="AN38" i="6"/>
  <c r="AO38" i="6"/>
  <c r="AM39" i="6"/>
  <c r="AN39" i="6"/>
  <c r="AO39" i="6"/>
  <c r="AM40" i="6"/>
  <c r="AN40" i="6"/>
  <c r="AO40" i="6"/>
  <c r="AM41" i="6"/>
  <c r="AN41" i="6" s="1"/>
  <c r="AO41" i="6"/>
  <c r="AM42" i="6"/>
  <c r="AN42" i="6"/>
  <c r="AO42" i="6"/>
  <c r="AM43" i="6"/>
  <c r="AN43" i="6"/>
  <c r="AO43" i="6"/>
  <c r="AM44" i="6"/>
  <c r="AN44" i="6"/>
  <c r="AO44" i="6"/>
  <c r="AM45" i="6"/>
  <c r="AN45" i="6" s="1"/>
  <c r="AO45" i="6"/>
  <c r="AM46" i="6"/>
  <c r="AN46" i="6"/>
  <c r="AO46" i="6"/>
  <c r="AM47" i="6"/>
  <c r="AN47" i="6"/>
  <c r="AO47" i="6"/>
  <c r="AM48" i="6"/>
  <c r="AN48" i="6"/>
  <c r="AO48" i="6"/>
  <c r="AM49" i="6"/>
  <c r="AN49" i="6"/>
  <c r="AO49" i="6"/>
  <c r="AM50" i="6"/>
  <c r="AN50" i="6" s="1"/>
  <c r="AO50" i="6"/>
  <c r="AM51" i="6"/>
  <c r="AN51" i="6" s="1"/>
  <c r="AO51" i="6"/>
  <c r="D5" i="6" a="1"/>
  <c r="M5" i="6" a="1"/>
  <c r="J6" i="6" a="1"/>
  <c r="G7" i="6"/>
  <c r="D8" i="6" a="1"/>
  <c r="M8" i="6" a="1"/>
  <c r="U9" i="6" a="1"/>
  <c r="U6" i="6" a="1"/>
  <c r="H7" i="6" a="1"/>
  <c r="R7" i="6"/>
  <c r="K9" i="6"/>
  <c r="E5" i="6" a="1"/>
  <c r="N5" i="6" a="1"/>
  <c r="K6" i="6"/>
  <c r="S7" i="6" a="1"/>
  <c r="E8" i="6" a="1"/>
  <c r="N8" i="6" a="1"/>
  <c r="L9" i="6" a="1"/>
  <c r="L6" i="6" a="1"/>
  <c r="I7" i="6" a="1"/>
  <c r="C9" i="6"/>
  <c r="F5" i="6" a="1"/>
  <c r="C6" i="6"/>
  <c r="T7" i="6" a="1"/>
  <c r="F8" i="6" a="1"/>
  <c r="D9" i="6" a="1"/>
  <c r="M9" i="6" a="1"/>
  <c r="D94" i="7"/>
  <c r="D6" i="6" a="1"/>
  <c r="M6" i="6" a="1"/>
  <c r="J7" i="6" a="1"/>
  <c r="G5" i="6"/>
  <c r="U7" i="6" a="1"/>
  <c r="G8" i="6"/>
  <c r="E9" i="6" a="1"/>
  <c r="N9" i="6" a="1"/>
  <c r="F94" i="7"/>
  <c r="H5" i="6" a="1"/>
  <c r="R5" i="6"/>
  <c r="E6" i="6" a="1"/>
  <c r="N6" i="6" a="1"/>
  <c r="K7" i="6"/>
  <c r="H8" i="6" a="1"/>
  <c r="R8" i="6"/>
  <c r="S5" i="6" a="1"/>
  <c r="L7" i="6" a="1"/>
  <c r="S8" i="6" a="1"/>
  <c r="F9" i="6" a="1"/>
  <c r="H94" i="7"/>
  <c r="I5" i="6" a="1"/>
  <c r="F6" i="6" a="1"/>
  <c r="C7" i="6"/>
  <c r="I8" i="6" a="1"/>
  <c r="T5" i="6" a="1"/>
  <c r="D7" i="6" a="1"/>
  <c r="M7" i="6" a="1"/>
  <c r="T8" i="6" a="1"/>
  <c r="G9" i="6"/>
  <c r="J5" i="6" a="1"/>
  <c r="G6" i="6"/>
  <c r="J8" i="6" a="1"/>
  <c r="H9" i="6" a="1"/>
  <c r="R9" i="6"/>
  <c r="U5" i="6" a="1"/>
  <c r="H6" i="6" a="1"/>
  <c r="R6" i="6"/>
  <c r="E7" i="6" a="1"/>
  <c r="N7" i="6" a="1"/>
  <c r="U8" i="6" a="1"/>
  <c r="S9" i="6" a="1"/>
  <c r="K5" i="6"/>
  <c r="S6" i="6" a="1"/>
  <c r="K8" i="6"/>
  <c r="I9" i="6" a="1"/>
  <c r="L5" i="6" a="1"/>
  <c r="I6" i="6" a="1"/>
  <c r="F7" i="6" a="1"/>
  <c r="L8" i="6" a="1"/>
  <c r="T9" i="6" a="1"/>
  <c r="C5" i="6"/>
  <c r="T6" i="6" a="1"/>
  <c r="C8" i="6"/>
  <c r="J9" i="6" a="1"/>
  <c r="J9" i="6" l="1"/>
  <c r="O8" i="6"/>
  <c r="V8" i="6"/>
  <c r="T6" i="6"/>
  <c r="O5" i="6"/>
  <c r="V5" i="6"/>
  <c r="T9" i="6"/>
  <c r="L8" i="6"/>
  <c r="F7" i="6"/>
  <c r="I6" i="6"/>
  <c r="L5" i="6"/>
  <c r="I9" i="6"/>
  <c r="S6" i="6"/>
  <c r="S9" i="6"/>
  <c r="U8" i="6"/>
  <c r="N7" i="6"/>
  <c r="E7" i="6"/>
  <c r="H6" i="6"/>
  <c r="U5" i="6"/>
  <c r="H9" i="6"/>
  <c r="J8" i="6"/>
  <c r="J5" i="6"/>
  <c r="T8" i="6"/>
  <c r="M7" i="6"/>
  <c r="D7" i="6"/>
  <c r="T5" i="6"/>
  <c r="I8" i="6"/>
  <c r="V7" i="6"/>
  <c r="O7" i="6"/>
  <c r="F6" i="6"/>
  <c r="I5" i="6"/>
  <c r="I94" i="7"/>
  <c r="J94" i="7"/>
  <c r="K94" i="7" s="1"/>
  <c r="F9" i="6"/>
  <c r="S8" i="6"/>
  <c r="L7" i="6"/>
  <c r="S5" i="6"/>
  <c r="H8" i="6"/>
  <c r="N6" i="6"/>
  <c r="E6" i="6"/>
  <c r="H5" i="6"/>
  <c r="G94" i="7"/>
  <c r="N9" i="6"/>
  <c r="E9" i="6"/>
  <c r="U7" i="6"/>
  <c r="J7" i="6"/>
  <c r="M6" i="6"/>
  <c r="D6" i="6"/>
  <c r="E94" i="7"/>
  <c r="M9" i="6"/>
  <c r="D9" i="6"/>
  <c r="F8" i="6"/>
  <c r="T7" i="6"/>
  <c r="V6" i="6"/>
  <c r="O6" i="6"/>
  <c r="F5" i="6"/>
  <c r="V9" i="6"/>
  <c r="O9" i="6"/>
  <c r="I7" i="6"/>
  <c r="L6" i="6"/>
  <c r="L9" i="6"/>
  <c r="N8" i="6"/>
  <c r="E8" i="6"/>
  <c r="S7" i="6"/>
  <c r="N5" i="6"/>
  <c r="E5" i="6"/>
  <c r="H7" i="6"/>
  <c r="U6" i="6"/>
  <c r="U9" i="6"/>
  <c r="M8" i="6"/>
  <c r="D8" i="6"/>
  <c r="J6" i="6"/>
  <c r="M5" i="6"/>
  <c r="D5" i="6"/>
  <c r="W6" i="6" l="1"/>
  <c r="P6" i="6"/>
  <c r="X8" i="6"/>
  <c r="Q8" i="6"/>
  <c r="X9" i="6"/>
  <c r="Q9" i="6"/>
  <c r="P5" i="6"/>
  <c r="W5" i="6"/>
  <c r="W7" i="6"/>
  <c r="P7" i="6"/>
  <c r="X6" i="6"/>
  <c r="Q6" i="6"/>
  <c r="P8" i="6"/>
  <c r="W8" i="6"/>
  <c r="W9" i="6"/>
  <c r="P9" i="6"/>
  <c r="X5" i="6"/>
  <c r="Q5" i="6"/>
  <c r="Q7" i="6"/>
  <c r="X7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<sst xmlns="http://schemas.openxmlformats.org/spreadsheetml/2006/main" count="1743" uniqueCount="250">
  <si>
    <t>Prime Margin - Trailing 12 Week</t>
  </si>
  <si>
    <t>Consolidated</t>
  </si>
  <si>
    <t/>
  </si>
  <si>
    <t>Week Ending 07/26/2026</t>
  </si>
  <si>
    <t>Week Ending 08/02/2026</t>
  </si>
  <si>
    <t>Week Ending 08/09/2026</t>
  </si>
  <si>
    <t>Week Ending 08/16/2026</t>
  </si>
  <si>
    <t>Period to Date</t>
  </si>
  <si>
    <t>Trailing 4 Week</t>
  </si>
  <si>
    <t>$ vs. 4 Week</t>
  </si>
  <si>
    <t>% vs. 4 Week</t>
  </si>
  <si>
    <t>Trailing 8 Week</t>
  </si>
  <si>
    <t>$ vs. 8 Week</t>
  </si>
  <si>
    <t>% vs. 8 Week</t>
  </si>
  <si>
    <t>Sales</t>
  </si>
  <si>
    <t>49600 - Toast Order Processing Fee Pass-Through</t>
  </si>
  <si>
    <t>Total Sales</t>
  </si>
  <si>
    <t>Cost of Goods Sold</t>
  </si>
  <si>
    <t>Food &amp; Beverage Costs</t>
  </si>
  <si>
    <t>50000 - Food &amp; Beverage Costs</t>
  </si>
  <si>
    <t>Food Costs</t>
  </si>
  <si>
    <t>50100 - Food Costs</t>
  </si>
  <si>
    <t>50110 - COGS - Produce</t>
  </si>
  <si>
    <t>50120 - COGS - Grocery Dry &amp; Canned</t>
  </si>
  <si>
    <t>50130 - COGS - Poultry</t>
  </si>
  <si>
    <t>50140 - COGS - Dairy</t>
  </si>
  <si>
    <t>50150 - COGS - Frozen</t>
  </si>
  <si>
    <t>50160 - COGS - Meat</t>
  </si>
  <si>
    <t>50170 - COGS - Seafood</t>
  </si>
  <si>
    <t>50180 - COGS - Spices</t>
  </si>
  <si>
    <t>50190 - COGS - Prepped Food</t>
  </si>
  <si>
    <t>50191 - COGS - Wow Bao</t>
  </si>
  <si>
    <t>50195 - COGS - Distribution</t>
  </si>
  <si>
    <t>Total Food Costs</t>
  </si>
  <si>
    <t>Beverage Costs</t>
  </si>
  <si>
    <t>50101 - Beverage Costs</t>
  </si>
  <si>
    <t>50200 - COGS - N/A Beverage</t>
  </si>
  <si>
    <t>50300 - COGS - Beer</t>
  </si>
  <si>
    <t>50400 - COGS - Liquor</t>
  </si>
  <si>
    <t>50500 - COGS - Wine</t>
  </si>
  <si>
    <t>Total Beverage Costs</t>
  </si>
  <si>
    <t>Total Food &amp; Beverage Costs</t>
  </si>
  <si>
    <t>Other Costs</t>
  </si>
  <si>
    <t>50550 - Other Costs</t>
  </si>
  <si>
    <t>Paper Costs</t>
  </si>
  <si>
    <t>50600 - Paper Costs</t>
  </si>
  <si>
    <t>50610 - COGS - Paper Supplies</t>
  </si>
  <si>
    <t>50620 - COGS - Catering Supplies</t>
  </si>
  <si>
    <t>50630 - COGS - Event Supplies</t>
  </si>
  <si>
    <t>50640 - COGS - Wow Bao Supplies</t>
  </si>
  <si>
    <t>Total Paper Costs</t>
  </si>
  <si>
    <t>Waste Costs</t>
  </si>
  <si>
    <t>50700 - Waste Costs</t>
  </si>
  <si>
    <t>50710 - Waste - Food</t>
  </si>
  <si>
    <t>50720 - Waste - N/A Beverage</t>
  </si>
  <si>
    <t>50730 - Waste - Beer</t>
  </si>
  <si>
    <t>50740 - Waste - Liquor</t>
  </si>
  <si>
    <t>50750 - Waste - Wine</t>
  </si>
  <si>
    <t>Total Waste Costs</t>
  </si>
  <si>
    <t>50800 - COGS - Freight, Delivery, &amp; Sales Tax</t>
  </si>
  <si>
    <t>50850 - COGS - Fuel Surcharge</t>
  </si>
  <si>
    <t>50900 - COGS - Credit for Discounts</t>
  </si>
  <si>
    <t>Total Other Costs</t>
  </si>
  <si>
    <t>Total Cost of Goods Sold</t>
  </si>
  <si>
    <t>Gross Profit</t>
  </si>
  <si>
    <t>Payroll Expenses</t>
  </si>
  <si>
    <t>61000 - Payroll Expenses</t>
  </si>
  <si>
    <t>Salaries &amp; Wages</t>
  </si>
  <si>
    <t>61100 - Salaries &amp; Wages</t>
  </si>
  <si>
    <t>61110 - Management</t>
  </si>
  <si>
    <t>61120 - Culinary</t>
  </si>
  <si>
    <t>61150 - Hourly</t>
  </si>
  <si>
    <t>61200 - Overtime</t>
  </si>
  <si>
    <t>Total Salaries &amp; Wages</t>
  </si>
  <si>
    <t>61105 - Salaries &amp; Wages Adjustment</t>
  </si>
  <si>
    <t>61250 - Bonus</t>
  </si>
  <si>
    <t>Payroll Taxes</t>
  </si>
  <si>
    <t>61300 - Payroll Taxes</t>
  </si>
  <si>
    <t>61310 - FICA Tax Expense</t>
  </si>
  <si>
    <t>61330 - FUTA Tax Expense</t>
  </si>
  <si>
    <t>61335 - SUTA Tax Expense (VA)</t>
  </si>
  <si>
    <t>61340 - SUTA Tax Expense (DC)</t>
  </si>
  <si>
    <t>61360 - FL Tax Expense (DC)</t>
  </si>
  <si>
    <t>61395 - Other Payroll Taxes</t>
  </si>
  <si>
    <t>Total Payroll Taxes</t>
  </si>
  <si>
    <t>61400 - Payroll Processing Fee</t>
  </si>
  <si>
    <t>61500 - Health Insurance</t>
  </si>
  <si>
    <t>Total Payroll Expenses</t>
  </si>
  <si>
    <t>Prime Profit</t>
  </si>
  <si>
    <t>Operating Expense</t>
  </si>
  <si>
    <t>Supplies</t>
  </si>
  <si>
    <t>Marketing</t>
  </si>
  <si>
    <t>Delivery Fees</t>
  </si>
  <si>
    <t>Third-Party Fees</t>
  </si>
  <si>
    <t>Credit Card Fees</t>
  </si>
  <si>
    <t>Insurance</t>
  </si>
  <si>
    <t>Professional Fees</t>
  </si>
  <si>
    <t>Repairs &amp; Maintenance</t>
  </si>
  <si>
    <t>Other Expenses</t>
  </si>
  <si>
    <t>Total Operating Expense</t>
  </si>
  <si>
    <t>Store Level EBITDAR</t>
  </si>
  <si>
    <t>Non Controllable Expense</t>
  </si>
  <si>
    <t>Occupancy Cost</t>
  </si>
  <si>
    <t>Total Non Controllable Expense</t>
  </si>
  <si>
    <t>Store Level EBITDA</t>
  </si>
  <si>
    <t>Corporate Overhead &amp; Other</t>
  </si>
  <si>
    <t>70000 - Corporate G&amp;A Expenses</t>
  </si>
  <si>
    <t>Corp - Payroll Expenses</t>
  </si>
  <si>
    <t>Corp - Meals, Entertainment, &amp; Travel</t>
  </si>
  <si>
    <t>73000 - Corp - Other G&amp;A Expenses</t>
  </si>
  <si>
    <t>73100 - Corp - Dues &amp; Subscriptions</t>
  </si>
  <si>
    <t>73200 - Corp - Office Supplies</t>
  </si>
  <si>
    <t>73300 - Corp - Other Taxes</t>
  </si>
  <si>
    <t>73400 - Corp - Rent Expense</t>
  </si>
  <si>
    <t>73500 - Corp - Insurance Expense</t>
  </si>
  <si>
    <t>73600 - Corp - Charitable Contributions</t>
  </si>
  <si>
    <t>73650 - Corp - Other Employee Incentives</t>
  </si>
  <si>
    <t>74000 - Corp - Professional Fees</t>
  </si>
  <si>
    <t>74050 - Corp - IT &amp; Technology</t>
  </si>
  <si>
    <t>74060 - Corp - R&amp;D</t>
  </si>
  <si>
    <t>74100 - Corp - Accounting Fees</t>
  </si>
  <si>
    <t>74200 - Corp - Legal Fees</t>
  </si>
  <si>
    <t>74300 - Corp - Recruiting Fees</t>
  </si>
  <si>
    <t>74400 - Corp - Public Relations</t>
  </si>
  <si>
    <t>Corp - Marketing</t>
  </si>
  <si>
    <t>74600 - Corp - Other Professional Fees</t>
  </si>
  <si>
    <t>74700 - Corp - Bank Fees</t>
  </si>
  <si>
    <t>74800 - Corp - Licenses &amp; Permits</t>
  </si>
  <si>
    <t>81000 - Corp - Management Fee</t>
  </si>
  <si>
    <t>81500 - Corp - Investor Advisory Fees</t>
  </si>
  <si>
    <t>82100 - Corp - Realty Tax</t>
  </si>
  <si>
    <t>Total Corporate Overhead &amp; Other</t>
  </si>
  <si>
    <t>EBITDA</t>
  </si>
  <si>
    <t>Other Income &amp; Expense</t>
  </si>
  <si>
    <t>Other (Income)/Expense</t>
  </si>
  <si>
    <t>Total Other Income &amp; Expense</t>
  </si>
  <si>
    <t>Pre-Opening Costs</t>
  </si>
  <si>
    <t>Pre-Opening Expenses</t>
  </si>
  <si>
    <t>Total Pre-Opening Costs</t>
  </si>
  <si>
    <t>Net Income</t>
  </si>
  <si>
    <t>Powered by Restaurant365</t>
  </si>
  <si>
    <t>1</t>
  </si>
  <si>
    <t>4 - RASA - MVT</t>
  </si>
  <si>
    <t>5 - RASA - National Landing</t>
  </si>
  <si>
    <t>6 - RASA - Mosaic</t>
  </si>
  <si>
    <t>7 - RASA - Rockville</t>
  </si>
  <si>
    <t>Week 52</t>
  </si>
  <si>
    <t>Week 51</t>
  </si>
  <si>
    <t>Week 50</t>
  </si>
  <si>
    <t>Week 49</t>
  </si>
  <si>
    <t>Week 48</t>
  </si>
  <si>
    <t>Week 47</t>
  </si>
  <si>
    <t>Week 46</t>
  </si>
  <si>
    <t>Week 45</t>
  </si>
  <si>
    <t>Week 44</t>
  </si>
  <si>
    <t>Week 43</t>
  </si>
  <si>
    <t>Week 42</t>
  </si>
  <si>
    <t>Week 41</t>
  </si>
  <si>
    <t>Week 40</t>
  </si>
  <si>
    <t>Week 39</t>
  </si>
  <si>
    <t>Week 38</t>
  </si>
  <si>
    <t>Week 37</t>
  </si>
  <si>
    <t>Week 36</t>
  </si>
  <si>
    <t>Week 35</t>
  </si>
  <si>
    <t>Week 34</t>
  </si>
  <si>
    <t>Week 33</t>
  </si>
  <si>
    <t>Week 32</t>
  </si>
  <si>
    <t>Week 31</t>
  </si>
  <si>
    <t>Week 30</t>
  </si>
  <si>
    <t>Week 29</t>
  </si>
  <si>
    <t>Labor -</t>
  </si>
  <si>
    <t>Week 28</t>
  </si>
  <si>
    <t>COGS -</t>
  </si>
  <si>
    <t>Week 27</t>
  </si>
  <si>
    <t>RASA - Rockville</t>
  </si>
  <si>
    <t>Week 26</t>
  </si>
  <si>
    <t>Week 25</t>
  </si>
  <si>
    <t>Week 24</t>
  </si>
  <si>
    <t>Week 23</t>
  </si>
  <si>
    <t xml:space="preserve"> RASA - Mosaic</t>
  </si>
  <si>
    <t>Week 22</t>
  </si>
  <si>
    <t>Week 21</t>
  </si>
  <si>
    <t>Week 20</t>
  </si>
  <si>
    <t>Week 19</t>
  </si>
  <si>
    <t>RASA - National Landing</t>
  </si>
  <si>
    <t>Week 18</t>
  </si>
  <si>
    <t>Week 17</t>
  </si>
  <si>
    <t>Week 16</t>
  </si>
  <si>
    <t>Week 15</t>
  </si>
  <si>
    <t xml:space="preserve"> RASA - MVT</t>
  </si>
  <si>
    <t>Week 10</t>
  </si>
  <si>
    <t>Week 9</t>
  </si>
  <si>
    <t>Notes:</t>
  </si>
  <si>
    <t>Week 8</t>
  </si>
  <si>
    <t>Week 7</t>
  </si>
  <si>
    <t>Week 6</t>
  </si>
  <si>
    <t>All</t>
  </si>
  <si>
    <t>Week 5</t>
  </si>
  <si>
    <t>Week 4</t>
  </si>
  <si>
    <t>Week 3</t>
  </si>
  <si>
    <t>5 - RASA - National Landin</t>
  </si>
  <si>
    <t>Week 2</t>
  </si>
  <si>
    <t>Location</t>
  </si>
  <si>
    <t>Labor
 Current Week vs 8-week</t>
  </si>
  <si>
    <t>COGS
 Current Week vs 8-week</t>
  </si>
  <si>
    <t>Sales
 Current Week vs 8-week</t>
  </si>
  <si>
    <t>Prime Margin</t>
  </si>
  <si>
    <t>Total Labor Cost</t>
  </si>
  <si>
    <t>COGS</t>
  </si>
  <si>
    <t>Labor
 Current Week vs 4-week</t>
  </si>
  <si>
    <t>COGS
 Current Week vs 4-week</t>
  </si>
  <si>
    <t>Sales
 Current Week vs 4-week</t>
  </si>
  <si>
    <t>Labor</t>
  </si>
  <si>
    <t>8-Week Average Comparison</t>
  </si>
  <si>
    <t>8-Week Average</t>
  </si>
  <si>
    <t>4-Week Average Comparison</t>
  </si>
  <si>
    <t>4-Week Average</t>
  </si>
  <si>
    <t>Current Period</t>
  </si>
  <si>
    <t>Trailing 8 week</t>
  </si>
  <si>
    <t>Trailing 4 week</t>
  </si>
  <si>
    <t>Period To Date</t>
  </si>
  <si>
    <t>82605 - Other Income_To Good To Go</t>
  </si>
  <si>
    <t>82604 - Other Income_OTP</t>
  </si>
  <si>
    <t>82602 - Other Income_WCK</t>
  </si>
  <si>
    <t>Discounts / Refunds</t>
  </si>
  <si>
    <t>45000 - Sales Adjustments</t>
  </si>
  <si>
    <t>Delivery Fee Income</t>
  </si>
  <si>
    <t>43000 - Delivery Sales - Rasa Website</t>
  </si>
  <si>
    <t>Catering Sales</t>
  </si>
  <si>
    <t>Digital Sales</t>
  </si>
  <si>
    <t>Single Plate In-House Sales</t>
  </si>
  <si>
    <t>Total</t>
  </si>
  <si>
    <t>6 - Rasa - Mosaic</t>
  </si>
  <si>
    <t>5 - Rasa - National Landin</t>
  </si>
  <si>
    <t>4 - Rasa - MVT</t>
  </si>
  <si>
    <t>06/04/2023</t>
  </si>
  <si>
    <t>No notes</t>
  </si>
  <si>
    <t>Week Ending 08/23/2026</t>
  </si>
  <si>
    <t>Week Ending 08/30/2026</t>
  </si>
  <si>
    <t>Week Ending 09/06/2026</t>
  </si>
  <si>
    <t>Week Ending 09/13/2026</t>
  </si>
  <si>
    <t>Week Ending 09/20/2026</t>
  </si>
  <si>
    <t>Week Ending 09/27/2026</t>
  </si>
  <si>
    <t>Pchase - Weekly report 1</t>
  </si>
  <si>
    <t>Week Ending 10/04/2026</t>
  </si>
  <si>
    <t>Week Ending 10/11/2026</t>
  </si>
  <si>
    <t>10/11/2026</t>
  </si>
  <si>
    <t>10/15/2026 02:19 PM PDT</t>
  </si>
  <si>
    <t>After checking in detail we identified that COGS is low due to error in invoice posting, which we are correcting internally.</t>
  </si>
  <si>
    <t>Low Labor due to sudden incerase in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</si>
</sst>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%"/>
    <numFmt numFmtId="165" formatCode="#,##0.0%;\(#,##0.0%\)"/>
    <numFmt numFmtId="166" formatCode="0.0%"/>
    <numFmt numFmtId="167" formatCode="_(&quot;$&quot;* #,##0_);_(&quot;$&quot;* \(#,##0\);_(&quot;$&quot;* &quot;-&quot;??_);_(@_)"/>
    <numFmt numFmtId="168" formatCode="#,##0.0"/>
    <numFmt numFmtId="169" formatCode="_(* #,##0_);_(* \(#,##0\);_(* &quot;-&quot;??_);_(@_)"/>
  </numFmts>
  <fonts count="40" x14ac:knownFonts="1">
    <font>
      <sz val="11"/>
      <color theme="1"/>
      <name val="Calibri"/>
      <family val="2"/>
      <scheme val="minor"/>
    </font>
    <font>
      <b/>
      <sz val="26"/>
      <color rgb="FF000000"/>
      <name val="Calibri"/>
      <scheme val="minor"/>
    </font>
    <font>
      <sz val="18"/>
      <color rgb="FF000000"/>
      <name val="Calibri"/>
      <scheme val="minor"/>
    </font>
    <font>
      <sz val="12"/>
      <color rgb="FF000000"/>
      <name val="Calibri"/>
      <scheme val="minor"/>
    </font>
    <font>
      <sz val="12"/>
      <name val="Calibri"/>
      <scheme val="minor"/>
    </font>
    <font>
      <b/>
      <sz val="10"/>
      <name val="Calibri"/>
      <scheme val="minor"/>
    </font>
    <font>
      <b/>
      <sz val="10"/>
      <color rgb="FF4A90E2"/>
      <name val="Calibri"/>
      <scheme val="minor"/>
    </font>
    <font>
      <b/>
      <sz val="12"/>
      <name val="Calibri"/>
      <scheme val="minor"/>
    </font>
    <font>
      <b/>
      <i/>
      <sz val="8"/>
      <name val="Calibri"/>
      <scheme val="minor"/>
    </font>
    <font>
      <b/>
      <sz val="12"/>
      <color rgb="FF4A90E2"/>
      <name val="Calibri"/>
      <scheme val="minor"/>
    </font>
    <font>
      <b/>
      <i/>
      <sz val="8"/>
      <color rgb="FFFFFFFF"/>
      <name val="Calibri"/>
      <scheme val="minor"/>
    </font>
    <font>
      <i/>
      <sz val="8"/>
      <name val="Calibri"/>
      <scheme val="minor"/>
    </font>
    <font>
      <sz val="12"/>
      <color rgb="FF4A90E2"/>
      <name val="Calibri"/>
      <scheme val="minor"/>
    </font>
    <font>
      <i/>
      <sz val="8"/>
      <color rgb="FFFFFFFF"/>
      <name val="Calibri"/>
      <scheme val="minor"/>
    </font>
    <font>
      <sz val="7"/>
      <color rgb="FF000000"/>
      <name val="Calibri"/>
      <scheme val="minor"/>
    </font>
    <font>
      <i/>
      <sz val="8"/>
      <color rgb="FF000000"/>
      <name val="Calibri"/>
      <scheme val="minor"/>
    </font>
    <font>
      <sz val="7"/>
      <color rgb="FF4A90E2"/>
      <name val="Calibri"/>
      <scheme val="minor"/>
    </font>
    <font>
      <b/>
      <sz val="12"/>
      <color rgb="FF000000"/>
      <name val="Calibri"/>
      <scheme val="minor"/>
    </font>
    <font>
      <b/>
      <i/>
      <sz val="8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i/>
      <sz val="10"/>
      <color rgb="FF0070C0"/>
      <name val="Arial"/>
      <family val="2"/>
    </font>
    <font>
      <b/>
      <i/>
      <sz val="10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i/>
      <sz val="8"/>
      <color rgb="FF000000"/>
      <name val="Calibri"/>
      <family val="2"/>
      <scheme val="minor"/>
    </font>
    <font>
      <b/>
      <i/>
      <sz val="8"/>
      <color rgb="FF000000"/>
      <name val="Calibri"/>
      <family val="2"/>
      <scheme val="minor"/>
    </font>
    <font>
      <b/>
      <i/>
      <sz val="8"/>
      <name val="Calibri"/>
      <family val="2"/>
      <scheme val="minor"/>
    </font>
    <font>
      <b/>
      <sz val="12"/>
      <name val="Calibri"/>
      <family val="2"/>
      <scheme val="minor"/>
    </font>
    <font>
      <i/>
      <sz val="8"/>
      <name val="Calibri"/>
      <family val="2"/>
      <scheme val="minor"/>
    </font>
    <font>
      <sz val="7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b/>
      <sz val="26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dashed">
        <color auto="1"/>
      </left>
      <right style="medium">
        <color indexed="64"/>
      </right>
      <top style="dashed">
        <color auto="1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indexed="64"/>
      </bottom>
      <diagonal/>
    </border>
    <border>
      <left style="medium">
        <color indexed="64"/>
      </left>
      <right style="dashed">
        <color auto="1"/>
      </right>
      <top style="dashed">
        <color auto="1"/>
      </top>
      <bottom style="medium">
        <color indexed="64"/>
      </bottom>
      <diagonal/>
    </border>
    <border>
      <left style="dashed">
        <color auto="1"/>
      </left>
      <right/>
      <top style="dashed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auto="1"/>
      </top>
      <bottom style="medium">
        <color indexed="64"/>
      </bottom>
      <diagonal/>
    </border>
    <border>
      <left style="dashed">
        <color auto="1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 style="medium">
        <color indexed="64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9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</cellStyleXfs>
  <cellXfs count="159">
    <xf numFmtId="0" fontId="0" fillId="0" borderId="0" xfId="0"/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 indent="1"/>
    </xf>
    <xf numFmtId="0" fontId="14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2"/>
    </xf>
    <xf numFmtId="0" fontId="7" fillId="0" borderId="0" xfId="0" applyFont="1" applyAlignment="1">
      <alignment horizontal="left" vertical="center" wrapText="1" indent="2"/>
    </xf>
    <xf numFmtId="0" fontId="4" fillId="0" borderId="0" xfId="0" applyFont="1" applyAlignment="1">
      <alignment horizontal="left" vertical="center" wrapText="1" indent="3"/>
    </xf>
    <xf numFmtId="0" fontId="3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0" fillId="0" borderId="0" xfId="0" applyAlignment="1">
      <alignment horizontal="center"/>
    </xf>
    <xf numFmtId="14" fontId="0" fillId="0" borderId="0" xfId="0" applyNumberFormat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/>
    </xf>
    <xf numFmtId="0" fontId="22" fillId="0" borderId="0" xfId="0" applyFont="1"/>
    <xf numFmtId="0" fontId="23" fillId="2" borderId="0" xfId="0" applyFont="1" applyFill="1"/>
    <xf numFmtId="10" fontId="21" fillId="0" borderId="0" xfId="0" applyNumberFormat="1" applyFont="1"/>
    <xf numFmtId="10" fontId="21" fillId="0" borderId="0" xfId="1" applyNumberFormat="1" applyFont="1"/>
    <xf numFmtId="0" fontId="21" fillId="0" borderId="0" xfId="0" applyFont="1" applyAlignment="1">
      <alignment horizontal="right"/>
    </xf>
    <xf numFmtId="166" fontId="21" fillId="0" borderId="0" xfId="0" applyNumberFormat="1" applyFont="1" applyAlignment="1">
      <alignment horizontal="center"/>
    </xf>
    <xf numFmtId="166" fontId="21" fillId="0" borderId="0" xfId="0" applyNumberFormat="1" applyFont="1"/>
    <xf numFmtId="0" fontId="24" fillId="0" borderId="0" xfId="0" applyFont="1"/>
    <xf numFmtId="167" fontId="21" fillId="0" borderId="0" xfId="0" applyNumberFormat="1" applyFont="1" applyAlignment="1">
      <alignment horizontal="right"/>
    </xf>
    <xf numFmtId="0" fontId="0" fillId="0" borderId="0" xfId="0" applyAlignment="1">
      <alignment wrapText="1"/>
    </xf>
    <xf numFmtId="166" fontId="0" fillId="3" borderId="2" xfId="1" applyNumberFormat="1" applyFont="1" applyFill="1" applyBorder="1" applyAlignment="1">
      <alignment horizontal="center" vertical="center"/>
    </xf>
    <xf numFmtId="166" fontId="0" fillId="3" borderId="3" xfId="1" applyNumberFormat="1" applyFont="1" applyFill="1" applyBorder="1" applyAlignment="1">
      <alignment horizontal="center" vertical="center"/>
    </xf>
    <xf numFmtId="9" fontId="0" fillId="3" borderId="4" xfId="1" applyFont="1" applyFill="1" applyBorder="1" applyAlignment="1">
      <alignment horizontal="center" vertical="center"/>
    </xf>
    <xf numFmtId="167" fontId="0" fillId="3" borderId="4" xfId="2" applyNumberFormat="1" applyFont="1" applyFill="1" applyBorder="1" applyAlignment="1">
      <alignment horizontal="center" vertical="center"/>
    </xf>
    <xf numFmtId="166" fontId="0" fillId="3" borderId="5" xfId="1" applyNumberFormat="1" applyFont="1" applyFill="1" applyBorder="1" applyAlignment="1">
      <alignment horizontal="center" vertical="center"/>
    </xf>
    <xf numFmtId="43" fontId="20" fillId="3" borderId="6" xfId="3" applyFont="1" applyFill="1" applyBorder="1" applyAlignment="1">
      <alignment horizontal="left" vertical="center"/>
    </xf>
    <xf numFmtId="166" fontId="0" fillId="4" borderId="7" xfId="1" applyNumberFormat="1" applyFont="1" applyFill="1" applyBorder="1" applyAlignment="1">
      <alignment horizontal="center" vertical="center"/>
    </xf>
    <xf numFmtId="166" fontId="0" fillId="4" borderId="8" xfId="1" applyNumberFormat="1" applyFont="1" applyFill="1" applyBorder="1" applyAlignment="1">
      <alignment horizontal="center" vertical="center"/>
    </xf>
    <xf numFmtId="9" fontId="0" fillId="4" borderId="9" xfId="1" applyFont="1" applyFill="1" applyBorder="1" applyAlignment="1">
      <alignment horizontal="center" vertical="center"/>
    </xf>
    <xf numFmtId="167" fontId="0" fillId="4" borderId="9" xfId="2" applyNumberFormat="1" applyFont="1" applyFill="1" applyBorder="1" applyAlignment="1">
      <alignment horizontal="center" vertical="center"/>
    </xf>
    <xf numFmtId="166" fontId="0" fillId="4" borderId="10" xfId="1" applyNumberFormat="1" applyFont="1" applyFill="1" applyBorder="1" applyAlignment="1">
      <alignment horizontal="center" vertical="center"/>
    </xf>
    <xf numFmtId="166" fontId="19" fillId="4" borderId="7" xfId="1" applyNumberFormat="1" applyFont="1" applyFill="1" applyBorder="1" applyAlignment="1">
      <alignment horizontal="center" vertical="center"/>
    </xf>
    <xf numFmtId="166" fontId="19" fillId="4" borderId="8" xfId="1" applyNumberFormat="1" applyFont="1" applyFill="1" applyBorder="1" applyAlignment="1">
      <alignment horizontal="center" vertical="center"/>
    </xf>
    <xf numFmtId="167" fontId="19" fillId="4" borderId="9" xfId="2" applyNumberFormat="1" applyFont="1" applyFill="1" applyBorder="1" applyAlignment="1">
      <alignment horizontal="center" vertical="center"/>
    </xf>
    <xf numFmtId="43" fontId="20" fillId="5" borderId="11" xfId="3" applyFont="1" applyFill="1" applyBorder="1" applyAlignment="1">
      <alignment horizontal="left" vertical="center"/>
    </xf>
    <xf numFmtId="166" fontId="0" fillId="0" borderId="0" xfId="0" applyNumberFormat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4" fontId="25" fillId="0" borderId="12" xfId="0" applyNumberFormat="1" applyFont="1" applyBorder="1" applyAlignment="1">
      <alignment vertical="center" wrapText="1"/>
    </xf>
    <xf numFmtId="4" fontId="26" fillId="0" borderId="0" xfId="0" applyNumberFormat="1" applyFont="1" applyAlignment="1">
      <alignment vertical="center" wrapText="1"/>
    </xf>
    <xf numFmtId="39" fontId="25" fillId="0" borderId="0" xfId="0" applyNumberFormat="1" applyFont="1" applyAlignment="1">
      <alignment vertical="center" wrapText="1"/>
    </xf>
    <xf numFmtId="0" fontId="0" fillId="0" borderId="13" xfId="0" applyBorder="1"/>
    <xf numFmtId="4" fontId="25" fillId="0" borderId="0" xfId="0" applyNumberFormat="1" applyFont="1" applyAlignment="1">
      <alignment vertical="center" wrapText="1"/>
    </xf>
    <xf numFmtId="0" fontId="27" fillId="6" borderId="14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0" fontId="27" fillId="7" borderId="15" xfId="0" applyFont="1" applyFill="1" applyBorder="1" applyAlignment="1">
      <alignment horizontal="center" wrapText="1"/>
    </xf>
    <xf numFmtId="0" fontId="27" fillId="7" borderId="16" xfId="0" applyFont="1" applyFill="1" applyBorder="1" applyAlignment="1">
      <alignment horizontal="center" wrapText="1"/>
    </xf>
    <xf numFmtId="0" fontId="27" fillId="7" borderId="17" xfId="0" applyFont="1" applyFill="1" applyBorder="1" applyAlignment="1">
      <alignment horizontal="center" wrapText="1"/>
    </xf>
    <xf numFmtId="39" fontId="28" fillId="7" borderId="18" xfId="0" applyNumberFormat="1" applyFont="1" applyFill="1" applyBorder="1" applyAlignment="1">
      <alignment horizontal="center" vertical="center" wrapText="1"/>
    </xf>
    <xf numFmtId="39" fontId="28" fillId="7" borderId="16" xfId="0" applyNumberFormat="1" applyFont="1" applyFill="1" applyBorder="1" applyAlignment="1">
      <alignment horizontal="center" vertical="center" wrapText="1"/>
    </xf>
    <xf numFmtId="0" fontId="27" fillId="7" borderId="16" xfId="0" applyFont="1" applyFill="1" applyBorder="1" applyAlignment="1">
      <alignment horizontal="center" vertical="center" wrapText="1"/>
    </xf>
    <xf numFmtId="0" fontId="27" fillId="7" borderId="14" xfId="0" applyFont="1" applyFill="1" applyBorder="1" applyAlignment="1">
      <alignment horizontal="center" vertical="center" wrapText="1"/>
    </xf>
    <xf numFmtId="0" fontId="27" fillId="5" borderId="15" xfId="0" applyFont="1" applyFill="1" applyBorder="1" applyAlignment="1">
      <alignment horizontal="center" wrapText="1"/>
    </xf>
    <xf numFmtId="0" fontId="27" fillId="5" borderId="16" xfId="0" applyFont="1" applyFill="1" applyBorder="1" applyAlignment="1">
      <alignment horizontal="center" wrapText="1"/>
    </xf>
    <xf numFmtId="0" fontId="27" fillId="5" borderId="17" xfId="0" applyFont="1" applyFill="1" applyBorder="1" applyAlignment="1">
      <alignment horizontal="center" wrapText="1"/>
    </xf>
    <xf numFmtId="39" fontId="28" fillId="8" borderId="19" xfId="0" applyNumberFormat="1" applyFont="1" applyFill="1" applyBorder="1" applyAlignment="1">
      <alignment horizontal="center" vertical="center" wrapText="1"/>
    </xf>
    <xf numFmtId="39" fontId="28" fillId="8" borderId="16" xfId="0" applyNumberFormat="1" applyFont="1" applyFill="1" applyBorder="1" applyAlignment="1">
      <alignment horizontal="center" vertical="center" wrapText="1"/>
    </xf>
    <xf numFmtId="0" fontId="27" fillId="8" borderId="16" xfId="0" applyFont="1" applyFill="1" applyBorder="1" applyAlignment="1">
      <alignment horizontal="center" vertical="center" wrapText="1"/>
    </xf>
    <xf numFmtId="0" fontId="27" fillId="8" borderId="14" xfId="0" applyFont="1" applyFill="1" applyBorder="1" applyAlignment="1">
      <alignment horizontal="center" vertical="center" wrapText="1"/>
    </xf>
    <xf numFmtId="39" fontId="28" fillId="9" borderId="18" xfId="0" applyNumberFormat="1" applyFont="1" applyFill="1" applyBorder="1" applyAlignment="1">
      <alignment horizontal="center" vertical="center" wrapText="1"/>
    </xf>
    <xf numFmtId="39" fontId="28" fillId="9" borderId="16" xfId="0" applyNumberFormat="1" applyFont="1" applyFill="1" applyBorder="1" applyAlignment="1">
      <alignment horizontal="center" vertical="center" wrapText="1"/>
    </xf>
    <xf numFmtId="0" fontId="27" fillId="9" borderId="16" xfId="0" applyFont="1" applyFill="1" applyBorder="1" applyAlignment="1">
      <alignment horizontal="center" vertical="center" wrapText="1"/>
    </xf>
    <xf numFmtId="0" fontId="27" fillId="9" borderId="14" xfId="0" applyFont="1" applyFill="1" applyBorder="1" applyAlignment="1">
      <alignment horizontal="center" vertical="center" wrapText="1"/>
    </xf>
    <xf numFmtId="39" fontId="28" fillId="6" borderId="19" xfId="0" applyNumberFormat="1" applyFont="1" applyFill="1" applyBorder="1" applyAlignment="1">
      <alignment horizontal="center" vertical="center" wrapText="1"/>
    </xf>
    <xf numFmtId="39" fontId="28" fillId="6" borderId="16" xfId="0" applyNumberFormat="1" applyFont="1" applyFill="1" applyBorder="1" applyAlignment="1">
      <alignment horizontal="center" vertical="center" wrapText="1"/>
    </xf>
    <xf numFmtId="0" fontId="27" fillId="6" borderId="16" xfId="0" applyFont="1" applyFill="1" applyBorder="1" applyAlignment="1">
      <alignment horizontal="center" vertical="center" wrapText="1"/>
    </xf>
    <xf numFmtId="0" fontId="0" fillId="10" borderId="0" xfId="0" applyFill="1"/>
    <xf numFmtId="0" fontId="29" fillId="10" borderId="0" xfId="0" applyFont="1" applyFill="1"/>
    <xf numFmtId="4" fontId="30" fillId="0" borderId="0" xfId="0" applyNumberFormat="1" applyFont="1" applyAlignment="1">
      <alignment horizontal="center" vertical="center" wrapText="1"/>
    </xf>
    <xf numFmtId="4" fontId="0" fillId="0" borderId="0" xfId="0" applyNumberFormat="1"/>
    <xf numFmtId="169" fontId="0" fillId="0" borderId="0" xfId="3" applyNumberFormat="1" applyFont="1"/>
    <xf numFmtId="165" fontId="32" fillId="0" borderId="0" xfId="0" applyNumberFormat="1" applyFont="1" applyAlignment="1">
      <alignment vertical="center"/>
    </xf>
    <xf numFmtId="169" fontId="26" fillId="0" borderId="0" xfId="3" applyNumberFormat="1" applyFont="1" applyAlignment="1">
      <alignment vertical="center"/>
    </xf>
    <xf numFmtId="0" fontId="26" fillId="0" borderId="0" xfId="0" applyFont="1" applyAlignment="1">
      <alignment vertical="center" wrapText="1"/>
    </xf>
    <xf numFmtId="165" fontId="33" fillId="11" borderId="0" xfId="0" applyNumberFormat="1" applyFont="1" applyFill="1" applyAlignment="1">
      <alignment horizontal="right" vertical="center"/>
    </xf>
    <xf numFmtId="169" fontId="25" fillId="0" borderId="0" xfId="3" applyNumberFormat="1" applyFont="1" applyAlignment="1">
      <alignment horizontal="right" vertical="center"/>
    </xf>
    <xf numFmtId="165" fontId="33" fillId="0" borderId="0" xfId="0" applyNumberFormat="1" applyFont="1" applyAlignment="1">
      <alignment horizontal="right" vertical="center"/>
    </xf>
    <xf numFmtId="165" fontId="34" fillId="11" borderId="1" xfId="0" applyNumberFormat="1" applyFont="1" applyFill="1" applyBorder="1" applyAlignment="1">
      <alignment horizontal="right" vertical="center"/>
    </xf>
    <xf numFmtId="169" fontId="35" fillId="0" borderId="1" xfId="3" applyNumberFormat="1" applyFont="1" applyBorder="1" applyAlignment="1">
      <alignment horizontal="right" vertical="center"/>
    </xf>
    <xf numFmtId="165" fontId="34" fillId="0" borderId="1" xfId="0" applyNumberFormat="1" applyFont="1" applyBorder="1" applyAlignment="1">
      <alignment horizontal="right" vertical="center"/>
    </xf>
    <xf numFmtId="39" fontId="35" fillId="0" borderId="0" xfId="0" applyNumberFormat="1" applyFont="1" applyAlignment="1">
      <alignment vertical="center" wrapText="1"/>
    </xf>
    <xf numFmtId="165" fontId="34" fillId="0" borderId="0" xfId="0" applyNumberFormat="1" applyFont="1" applyAlignment="1">
      <alignment horizontal="right" vertical="center"/>
    </xf>
    <xf numFmtId="169" fontId="35" fillId="0" borderId="0" xfId="3" applyNumberFormat="1" applyFont="1" applyAlignment="1">
      <alignment horizontal="right" vertical="center"/>
    </xf>
    <xf numFmtId="39" fontId="35" fillId="0" borderId="0" xfId="0" applyNumberFormat="1" applyFont="1" applyAlignment="1">
      <alignment vertical="center" wrapText="1" indent="1"/>
    </xf>
    <xf numFmtId="165" fontId="36" fillId="0" borderId="0" xfId="0" applyNumberFormat="1" applyFont="1" applyAlignment="1">
      <alignment horizontal="right" vertical="center"/>
    </xf>
    <xf numFmtId="169" fontId="31" fillId="0" borderId="0" xfId="3" applyNumberFormat="1" applyFont="1" applyAlignment="1">
      <alignment vertical="center"/>
    </xf>
    <xf numFmtId="0" fontId="31" fillId="0" borderId="0" xfId="0" applyFont="1" applyAlignment="1">
      <alignment vertical="center" wrapText="1" indent="2"/>
    </xf>
    <xf numFmtId="39" fontId="35" fillId="0" borderId="0" xfId="0" applyNumberFormat="1" applyFont="1" applyAlignment="1">
      <alignment vertical="center" wrapText="1" indent="2"/>
    </xf>
    <xf numFmtId="0" fontId="31" fillId="0" borderId="0" xfId="0" applyFont="1" applyAlignment="1">
      <alignment vertical="center" wrapText="1" indent="3"/>
    </xf>
    <xf numFmtId="165" fontId="34" fillId="0" borderId="0" xfId="0" applyNumberFormat="1" applyFont="1" applyAlignment="1">
      <alignment vertical="center"/>
    </xf>
    <xf numFmtId="169" fontId="35" fillId="0" borderId="0" xfId="3" applyNumberFormat="1" applyFont="1" applyAlignment="1">
      <alignment vertical="center"/>
    </xf>
    <xf numFmtId="0" fontId="35" fillId="0" borderId="0" xfId="0" applyFont="1" applyAlignment="1">
      <alignment vertical="center" wrapText="1" indent="2"/>
    </xf>
    <xf numFmtId="0" fontId="35" fillId="0" borderId="0" xfId="0" applyFont="1" applyAlignment="1">
      <alignment vertical="center" wrapText="1" indent="1"/>
    </xf>
    <xf numFmtId="0" fontId="35" fillId="0" borderId="0" xfId="0" applyFont="1" applyAlignment="1">
      <alignment vertical="center" wrapText="1"/>
    </xf>
    <xf numFmtId="169" fontId="37" fillId="0" borderId="0" xfId="3" applyNumberFormat="1" applyFont="1" applyAlignment="1">
      <alignment vertical="center"/>
    </xf>
    <xf numFmtId="0" fontId="37" fillId="0" borderId="0" xfId="0" applyFont="1" applyAlignment="1">
      <alignment vertical="center" wrapText="1"/>
    </xf>
    <xf numFmtId="169" fontId="31" fillId="0" borderId="0" xfId="3" applyNumberFormat="1" applyFont="1" applyAlignment="1">
      <alignment horizontal="right" vertical="center"/>
    </xf>
    <xf numFmtId="0" fontId="31" fillId="0" borderId="0" xfId="0" applyFont="1" applyAlignment="1">
      <alignment horizontal="left" vertical="center" wrapText="1" indent="2"/>
    </xf>
    <xf numFmtId="10" fontId="0" fillId="0" borderId="0" xfId="1" applyNumberFormat="1" applyFont="1"/>
    <xf numFmtId="9" fontId="0" fillId="0" borderId="0" xfId="1" applyFont="1"/>
    <xf numFmtId="0" fontId="31" fillId="0" borderId="0" xfId="0" applyFont="1" applyAlignment="1">
      <alignment vertical="center" wrapText="1" indent="1"/>
    </xf>
    <xf numFmtId="0" fontId="0" fillId="0" borderId="0" xfId="0" quotePrefix="1"/>
    <xf numFmtId="0" fontId="4" fillId="0" borderId="0" xfId="0" applyFont="1" applyAlignment="1">
      <alignment horizontal="center" vertical="center" wrapText="1"/>
    </xf>
    <xf numFmtId="4" fontId="7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4" fontId="9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4" fontId="4" fillId="0" borderId="0" xfId="0" applyNumberFormat="1" applyFont="1" applyAlignment="1">
      <alignment vertical="center"/>
    </xf>
    <xf numFmtId="164" fontId="11" fillId="0" borderId="0" xfId="0" applyNumberFormat="1" applyFont="1" applyAlignment="1">
      <alignment horizontal="right" vertical="center"/>
    </xf>
    <xf numFmtId="4" fontId="4" fillId="0" borderId="0" xfId="0" applyNumberFormat="1" applyFont="1" applyAlignment="1">
      <alignment horizontal="right" vertical="center"/>
    </xf>
    <xf numFmtId="4" fontId="12" fillId="0" borderId="0" xfId="0" applyNumberFormat="1" applyFont="1" applyAlignment="1">
      <alignment horizontal="right" vertical="center"/>
    </xf>
    <xf numFmtId="164" fontId="13" fillId="0" borderId="0" xfId="0" applyNumberFormat="1" applyFont="1" applyAlignment="1">
      <alignment horizontal="right" vertical="center"/>
    </xf>
    <xf numFmtId="4" fontId="7" fillId="0" borderId="0" xfId="0" applyNumberFormat="1" applyFont="1" applyAlignment="1">
      <alignment horizontal="left" vertical="center" wrapText="1"/>
    </xf>
    <xf numFmtId="4" fontId="7" fillId="0" borderId="0" xfId="0" applyNumberFormat="1" applyFont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4" fontId="9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right" vertical="center"/>
    </xf>
    <xf numFmtId="4" fontId="14" fillId="0" borderId="0" xfId="0" applyNumberFormat="1" applyFont="1" applyAlignment="1">
      <alignment vertical="center"/>
    </xf>
    <xf numFmtId="164" fontId="15" fillId="0" borderId="0" xfId="0" applyNumberFormat="1" applyFont="1" applyAlignment="1">
      <alignment vertical="center"/>
    </xf>
    <xf numFmtId="4" fontId="16" fillId="0" borderId="0" xfId="0" applyNumberFormat="1" applyFont="1" applyAlignment="1">
      <alignment vertical="center"/>
    </xf>
    <xf numFmtId="164" fontId="13" fillId="0" borderId="0" xfId="0" applyNumberFormat="1" applyFont="1" applyAlignment="1">
      <alignment vertical="center"/>
    </xf>
    <xf numFmtId="4" fontId="7" fillId="0" borderId="0" xfId="0" applyNumberFormat="1" applyFont="1" applyAlignment="1">
      <alignment horizontal="left" vertical="center" wrapText="1" indent="2"/>
    </xf>
    <xf numFmtId="4" fontId="7" fillId="0" borderId="0" xfId="0" applyNumberFormat="1" applyFont="1" applyAlignment="1">
      <alignment horizontal="left" vertical="center" wrapText="1" indent="1"/>
    </xf>
    <xf numFmtId="4" fontId="7" fillId="0" borderId="1" xfId="0" applyNumberFormat="1" applyFont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right" vertical="center"/>
    </xf>
    <xf numFmtId="164" fontId="10" fillId="0" borderId="1" xfId="0" applyNumberFormat="1" applyFont="1" applyBorder="1" applyAlignment="1">
      <alignment horizontal="right" vertical="center"/>
    </xf>
    <xf numFmtId="4" fontId="17" fillId="0" borderId="0" xfId="0" applyNumberFormat="1" applyFont="1" applyAlignment="1">
      <alignment horizontal="left" vertical="center" wrapText="1"/>
    </xf>
    <xf numFmtId="4" fontId="17" fillId="0" borderId="0" xfId="0" applyNumberFormat="1" applyFont="1" applyAlignment="1">
      <alignment horizontal="right" vertical="center"/>
    </xf>
    <xf numFmtId="164" fontId="18" fillId="0" borderId="0" xfId="0" applyNumberFormat="1" applyFont="1" applyAlignment="1">
      <alignment horizontal="right" vertical="center"/>
    </xf>
    <xf numFmtId="4" fontId="3" fillId="0" borderId="0" xfId="0" applyNumberFormat="1" applyFont="1" applyAlignment="1">
      <alignment vertical="center"/>
    </xf>
    <xf numFmtId="4" fontId="12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8" fontId="11" fillId="0" borderId="0" xfId="0" applyNumberFormat="1" applyFont="1" applyAlignment="1">
      <alignment vertical="center"/>
    </xf>
    <xf numFmtId="168" fontId="13" fillId="0" borderId="0" xfId="0" applyNumberFormat="1" applyFont="1" applyAlignment="1">
      <alignment vertical="center"/>
    </xf>
    <xf numFmtId="4" fontId="6" fillId="0" borderId="0" xfId="0" applyNumberFormat="1" applyFont="1" applyAlignment="1">
      <alignment horizontal="center" vertical="center" wrapText="1"/>
    </xf>
    <xf numFmtId="0" fontId="29" fillId="10" borderId="20" xfId="0" applyFont="1" applyFill="1" applyBorder="1" applyAlignment="1">
      <alignment horizontal="center"/>
    </xf>
    <xf numFmtId="4" fontId="30" fillId="0" borderId="0" xfId="0" applyNumberFormat="1" applyFont="1" applyAlignment="1">
      <alignment horizontal="center" vertical="center" wrapText="1"/>
    </xf>
    <xf numFmtId="168" fontId="31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4" fontId="6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166" fontId="19" fillId="12" borderId="8" xfId="1" applyNumberFormat="1" applyFont="1" applyFill="1" applyBorder="1" applyAlignment="1">
      <alignment horizontal="center" vertical="center"/>
    </xf>
  </cellXfs>
  <cellStyles count="4">
    <cellStyle name="Comma 2" xfId="3" xr:uid="{6F054222-23CF-435B-B3BB-DF14FCE3F9EE}"/>
    <cellStyle name="Currency 2" xfId="2" xr:uid="{BBFEA35C-E50F-4EAD-891B-25D364B81C57}"/>
    <cellStyle name="Normal" xfId="0" builtinId="0"/>
    <cellStyle name="Percent 2" xfId="1" xr:uid="{9DF2DE1D-2323-4BED-B1DE-B6589FC43F81}"/>
  </cellStyles>
  <dxfs count="4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59330-1287-4E1A-BBAD-D7AA4DD50A5D}">
  <sheetPr>
    <tabColor theme="4" tint="0.39997558519241921"/>
  </sheetPr>
  <dimension ref="A1:AP65"/>
  <sheetViews>
    <sheetView tabSelected="1" topLeftCell="B2" zoomScaleNormal="100" workbookViewId="0">
      <selection activeCell="C25" sqref="C25"/>
    </sheetView>
  </sheetViews>
  <sheetFormatPr defaultRowHeight="43.5" customHeight="1" x14ac:dyDescent="0.25"/>
  <cols>
    <col min="1" max="1" width="23.42578125" hidden="1" customWidth="1"/>
    <col min="2" max="2" width="26.85546875" customWidth="1"/>
    <col min="3" max="3" width="11.140625" customWidth="1"/>
    <col min="4" max="4" width="6.85546875" customWidth="1"/>
    <col min="5" max="5" width="9.140625" bestFit="1" customWidth="1"/>
    <col min="6" max="6" width="9.85546875" bestFit="1" customWidth="1"/>
    <col min="7" max="7" width="10.140625" customWidth="1"/>
    <col min="8" max="8" width="8.140625" customWidth="1"/>
    <col min="9" max="9" width="9.140625" bestFit="1" customWidth="1"/>
    <col min="10" max="10" width="9.85546875" bestFit="1" customWidth="1"/>
    <col min="11" max="11" width="10.140625" customWidth="1"/>
    <col min="12" max="12" width="8.140625" customWidth="1"/>
    <col min="13" max="13" width="7.5703125" customWidth="1"/>
    <col min="14" max="14" width="7.140625" bestFit="1" customWidth="1"/>
    <col min="15" max="15" width="9.7109375" style="12" customWidth="1"/>
    <col min="16" max="16" width="9.7109375" style="12" bestFit="1" customWidth="1"/>
    <col min="17" max="17" width="11.140625" style="12" customWidth="1"/>
    <col min="18" max="18" width="10.140625" bestFit="1" customWidth="1"/>
    <col min="19" max="19" width="8.140625" bestFit="1" customWidth="1"/>
    <col min="20" max="21" width="7.140625" bestFit="1" customWidth="1"/>
    <col min="22" max="23" width="9.7109375" style="12" bestFit="1" customWidth="1"/>
    <col min="24" max="24" width="11.7109375" style="12" customWidth="1"/>
    <col min="34" max="36" width="0" hidden="1" customWidth="1"/>
    <col min="37" max="37" width="8.85546875" hidden="1" customWidth="1"/>
    <col min="38" max="38" width="10.85546875" hidden="1" customWidth="1"/>
    <col min="39" max="39" width="8.85546875" hidden="1" customWidth="1"/>
    <col min="40" max="40" width="12.5703125" hidden="1" customWidth="1"/>
    <col min="41" max="41" width="18.85546875" hidden="1" customWidth="1"/>
    <col min="42" max="42" width="8.85546875" hidden="1" customWidth="1"/>
  </cols>
  <sheetData>
    <row r="1" spans="1:41" ht="51" hidden="1" x14ac:dyDescent="0.25">
      <c r="A1" s="145"/>
      <c r="B1" s="146"/>
      <c r="C1" s="77" t="str">
        <f>B2</f>
        <v>Week Ending 10/11/2026</v>
      </c>
      <c r="D1" s="76" t="str">
        <f>C1</f>
        <v>Week Ending 10/11/2026</v>
      </c>
      <c r="E1" s="76" t="str">
        <f>+D1</f>
        <v>Week Ending 10/11/2026</v>
      </c>
      <c r="F1" s="76" t="str">
        <f>+E1</f>
        <v>Week Ending 10/11/2026</v>
      </c>
      <c r="G1" s="76" t="s">
        <v>220</v>
      </c>
      <c r="H1" s="76" t="s">
        <v>220</v>
      </c>
      <c r="I1" s="76" t="s">
        <v>220</v>
      </c>
      <c r="J1" s="76" t="s">
        <v>220</v>
      </c>
      <c r="K1" s="76" t="s">
        <v>219</v>
      </c>
      <c r="L1" s="76" t="s">
        <v>219</v>
      </c>
      <c r="M1" s="76" t="s">
        <v>219</v>
      </c>
      <c r="N1" s="76" t="s">
        <v>219</v>
      </c>
      <c r="R1" s="76" t="s">
        <v>218</v>
      </c>
      <c r="S1" s="76" t="s">
        <v>218</v>
      </c>
      <c r="T1" s="76" t="s">
        <v>218</v>
      </c>
      <c r="U1" s="76" t="s">
        <v>218</v>
      </c>
    </row>
    <row r="2" spans="1:41" s="74" customFormat="1" ht="15.75" thickBot="1" x14ac:dyDescent="0.3">
      <c r="B2" s="75" t="s">
        <v>245</v>
      </c>
      <c r="G2" s="144" t="s">
        <v>217</v>
      </c>
      <c r="H2" s="144"/>
      <c r="I2" s="144"/>
      <c r="J2" s="144"/>
      <c r="K2" s="144" t="s">
        <v>216</v>
      </c>
      <c r="L2" s="144"/>
      <c r="M2" s="144"/>
      <c r="N2" s="144"/>
      <c r="O2" s="144" t="s">
        <v>215</v>
      </c>
      <c r="P2" s="144"/>
      <c r="Q2" s="144"/>
      <c r="R2" s="144" t="s">
        <v>214</v>
      </c>
      <c r="S2" s="144"/>
      <c r="T2" s="144"/>
      <c r="U2" s="144"/>
      <c r="V2" s="144" t="s">
        <v>213</v>
      </c>
      <c r="W2" s="144"/>
      <c r="X2" s="144"/>
    </row>
    <row r="3" spans="1:41" s="52" customFormat="1" ht="51.75" thickBot="1" x14ac:dyDescent="0.25">
      <c r="B3" s="51" t="s">
        <v>202</v>
      </c>
      <c r="C3" s="51" t="s">
        <v>14</v>
      </c>
      <c r="D3" s="73" t="s">
        <v>208</v>
      </c>
      <c r="E3" s="72" t="s">
        <v>212</v>
      </c>
      <c r="F3" s="71" t="s">
        <v>206</v>
      </c>
      <c r="G3" s="70" t="s">
        <v>14</v>
      </c>
      <c r="H3" s="69" t="s">
        <v>208</v>
      </c>
      <c r="I3" s="68" t="s">
        <v>207</v>
      </c>
      <c r="J3" s="67" t="s">
        <v>206</v>
      </c>
      <c r="K3" s="66" t="s">
        <v>14</v>
      </c>
      <c r="L3" s="65" t="s">
        <v>208</v>
      </c>
      <c r="M3" s="64" t="s">
        <v>207</v>
      </c>
      <c r="N3" s="63" t="s">
        <v>206</v>
      </c>
      <c r="O3" s="62" t="s">
        <v>211</v>
      </c>
      <c r="P3" s="61" t="s">
        <v>210</v>
      </c>
      <c r="Q3" s="60" t="s">
        <v>209</v>
      </c>
      <c r="R3" s="59" t="s">
        <v>14</v>
      </c>
      <c r="S3" s="58" t="s">
        <v>208</v>
      </c>
      <c r="T3" s="57" t="s">
        <v>207</v>
      </c>
      <c r="U3" s="56" t="s">
        <v>206</v>
      </c>
      <c r="V3" s="55" t="s">
        <v>205</v>
      </c>
      <c r="W3" s="54" t="s">
        <v>204</v>
      </c>
      <c r="X3" s="53" t="s">
        <v>203</v>
      </c>
    </row>
    <row r="4" spans="1:41" ht="79.5" hidden="1" thickBot="1" x14ac:dyDescent="0.3">
      <c r="B4" s="51" t="s">
        <v>202</v>
      </c>
      <c r="C4" t="s">
        <v>16</v>
      </c>
      <c r="D4" s="48" t="s">
        <v>63</v>
      </c>
      <c r="E4" s="47" t="s">
        <v>87</v>
      </c>
      <c r="F4" s="50" t="s">
        <v>88</v>
      </c>
      <c r="G4" t="s">
        <v>16</v>
      </c>
      <c r="H4" s="48" t="s">
        <v>63</v>
      </c>
      <c r="I4" s="47" t="s">
        <v>87</v>
      </c>
      <c r="J4" s="50" t="s">
        <v>88</v>
      </c>
      <c r="K4" t="s">
        <v>16</v>
      </c>
      <c r="L4" s="48" t="s">
        <v>63</v>
      </c>
      <c r="M4" s="47" t="s">
        <v>87</v>
      </c>
      <c r="N4" s="50" t="s">
        <v>88</v>
      </c>
      <c r="O4" s="45"/>
      <c r="P4" s="45"/>
      <c r="Q4" s="44"/>
      <c r="R4" s="49" t="s">
        <v>16</v>
      </c>
      <c r="S4" s="48" t="s">
        <v>63</v>
      </c>
      <c r="T4" s="47" t="s">
        <v>87</v>
      </c>
      <c r="U4" s="46" t="s">
        <v>88</v>
      </c>
      <c r="V4" s="45"/>
      <c r="W4" s="45"/>
      <c r="X4" s="44"/>
    </row>
    <row r="5" spans="1:41" ht="15" customHeight="1" x14ac:dyDescent="0.25">
      <c r="A5" t="s">
        <v>142</v>
      </c>
      <c r="B5" s="42" t="str">
        <f>A5</f>
        <v>4 - RASA - MVT</v>
      </c>
      <c r="C5" s="41">
        <f ca="1">INDEX(INDIRECT("'"&amp;$A5&amp;"'!$1:$1048576"),MATCH(C$4,INDIRECT("'"&amp;$A5&amp;"'!A:A"),0),MATCH(C$1,INDIRECT("'"&amp;$A5&amp;"'!$5:$5"),0))</f>
        <v>55034.880000000005</v>
      </c>
      <c r="D5" s="40" cm="1">
        <f t="array" aca="1" ref="D5" ca="1">INDEX(INDIRECT("'"&amp;$A5&amp;"'!$1:$1048576"),MATCH(D$4,INDIRECT("'"&amp;$A5&amp;"'!A:A"),0),MATCH(D$1,INDIRECT("'"&amp;$A5&amp;"'!$5:$5"),0)+1)</f>
        <v>0.24011063529165508</v>
      </c>
      <c r="E5" s="40" cm="1">
        <f t="array" aca="1" ref="E5" ca="1">INDEX(INDIRECT("'"&amp;$A5&amp;"'!$1:$1048576"),MATCH(E$4,INDIRECT("'"&amp;$A5&amp;"'!A:A"),0),MATCH(E$1,INDIRECT("'"&amp;$A5&amp;"'!$5:$5"),0)+1)</f>
        <v>0.17807452292073681</v>
      </c>
      <c r="F5" s="34" cm="1">
        <f t="array" aca="1" ref="F5" ca="1">INDEX(INDIRECT("'"&amp;$A5&amp;"'!$1:$1048576"),MATCH(F$4,INDIRECT("'"&amp;$A5&amp;"'!A:A"),0),MATCH(F$1,INDIRECT("'"&amp;$A5&amp;"'!$5:$5"),0)+1)</f>
        <v>0.58181484178760834</v>
      </c>
      <c r="G5" s="37">
        <f ca="1">INDEX(INDIRECT("'"&amp;$A5&amp;"'!$1:$1048576"),MATCH(G$4,INDIRECT("'"&amp;$A5&amp;"'!A:A"),0),MATCH(G$1,INDIRECT("'"&amp;$A5&amp;"'!$5:$5"),0))</f>
        <v>102904.72</v>
      </c>
      <c r="H5" s="35" cm="1">
        <f t="array" aca="1" ref="H5" ca="1">INDEX(INDIRECT("'"&amp;$A5&amp;"'!$1:$1048576"),MATCH(H$4,INDIRECT("'"&amp;$A5&amp;"'!A:A"),0),MATCH(H$1,INDIRECT("'"&amp;$A5&amp;"'!$5:$5"),0)+1)</f>
        <v>0.24321537437738519</v>
      </c>
      <c r="I5" s="35" cm="1">
        <f t="array" aca="1" ref="I5" ca="1">INDEX(INDIRECT("'"&amp;$A5&amp;"'!$1:$1048576"),MATCH(I$4,INDIRECT("'"&amp;$A5&amp;"'!A:A"),0),MATCH(I$1,INDIRECT("'"&amp;$A5&amp;"'!$5:$5"),0)+1)</f>
        <v>0.2010375228658122</v>
      </c>
      <c r="J5" s="34" cm="1">
        <f t="array" aca="1" ref="J5" ca="1">INDEX(INDIRECT("'"&amp;$A5&amp;"'!$1:$1048576"),MATCH(J$4,INDIRECT("'"&amp;$A5&amp;"'!A:A"),0),MATCH(J$1,INDIRECT("'"&amp;$A5&amp;"'!$5:$5"),0)+1)</f>
        <v>0.55574710275680261</v>
      </c>
      <c r="K5" s="37">
        <f ca="1">INDEX(INDIRECT("'"&amp;$A5&amp;"'!$1:$1048576"),MATCH(K$4,INDIRECT("'"&amp;$A5&amp;"'!A:A"),0),MATCH(K$1,INDIRECT("'"&amp;$A5&amp;"'!$5:$5"),0))</f>
        <v>46348.807500000003</v>
      </c>
      <c r="L5" s="35" cm="1">
        <f t="array" aca="1" ref="L5" ca="1">INDEX(INDIRECT("'"&amp;$A5&amp;"'!$1:$1048576"),MATCH(L$4,INDIRECT("'"&amp;$A5&amp;"'!A:A"),0),MATCH(L$1,INDIRECT("'"&amp;$A5&amp;"'!$5:$5"),0)+1)</f>
        <v>0.24718564765663065</v>
      </c>
      <c r="M5" s="35" cm="1">
        <f t="array" aca="1" ref="M5" ca="1">INDEX(INDIRECT("'"&amp;$A5&amp;"'!$1:$1048576"),MATCH(M$4,INDIRECT("'"&amp;$A5&amp;"'!A:A"),0),MATCH(M$1,INDIRECT("'"&amp;$A5&amp;"'!$5:$5"),0)+1)</f>
        <v>0.22983396066878312</v>
      </c>
      <c r="N5" s="38" cm="1">
        <f t="array" aca="1" ref="N5" ca="1">INDEX(INDIRECT("'"&amp;$A5&amp;"'!$1:$1048576"),MATCH(N$4,INDIRECT("'"&amp;$A5&amp;"'!A:A"),0),MATCH(N$1,INDIRECT("'"&amp;$A5&amp;"'!$5:$5"),0)+1)</f>
        <v>0.52298039167458621</v>
      </c>
      <c r="O5" s="36">
        <f ca="1">+(C5-K5)/K5</f>
        <v>0.1874066015614318</v>
      </c>
      <c r="P5" s="35">
        <f t="shared" ref="P5:Q9" ca="1" si="0">+D5-L5</f>
        <v>-7.0750123649755692E-3</v>
      </c>
      <c r="Q5" s="34">
        <f t="shared" ca="1" si="0"/>
        <v>-5.1759437748046311E-2</v>
      </c>
      <c r="R5" s="37">
        <f ca="1">INDEX(INDIRECT("'"&amp;$A5&amp;"'!$1:$1048576"),MATCH(R$4,INDIRECT("'"&amp;$A5&amp;"'!A:A"),0),MATCH(R$1,INDIRECT("'"&amp;$A5&amp;"'!$5:$5"),0))</f>
        <v>45984.900000000009</v>
      </c>
      <c r="S5" s="35" cm="1">
        <f t="array" aca="1" ref="S5" ca="1">INDEX(INDIRECT("'"&amp;$A5&amp;"'!$1:$1048576"),MATCH(S$4,INDIRECT("'"&amp;$A5&amp;"'!A:A"),0),MATCH(S$1,INDIRECT("'"&amp;$A5&amp;"'!$5:$5"),0)+1)</f>
        <v>0.23955352735354438</v>
      </c>
      <c r="T5" s="35" cm="1">
        <f t="array" aca="1" ref="T5" ca="1">INDEX(INDIRECT("'"&amp;$A5&amp;"'!$1:$1048576"),MATCH(T$4,INDIRECT("'"&amp;$A5&amp;"'!A:A"),0),MATCH(T$1,INDIRECT("'"&amp;$A5&amp;"'!$5:$5"),0)+1)</f>
        <v>0.23670675047678694</v>
      </c>
      <c r="U5" s="34" cm="1">
        <f t="array" aca="1" ref="U5" ca="1">INDEX(INDIRECT("'"&amp;$A5&amp;"'!$1:$1048576"),MATCH(U$4,INDIRECT("'"&amp;$A5&amp;"'!A:A"),0),MATCH(U$1,INDIRECT("'"&amp;$A5&amp;"'!$5:$5"),0)+1)</f>
        <v>0.5237397221696688</v>
      </c>
      <c r="V5" s="36">
        <f ca="1">+(C5-R5)/R5</f>
        <v>0.19680329847406419</v>
      </c>
      <c r="W5" s="35">
        <f t="shared" ref="W5:X9" ca="1" si="1">+D5-S5</f>
        <v>5.5710793811070136E-4</v>
      </c>
      <c r="X5" s="34">
        <f t="shared" ca="1" si="1"/>
        <v>-5.8632227556050132E-2</v>
      </c>
      <c r="Z5" s="43"/>
      <c r="AK5" t="s">
        <v>201</v>
      </c>
      <c r="AL5" s="13">
        <v>46033</v>
      </c>
      <c r="AM5">
        <f t="shared" ref="AM5:AM51" si="2">YEAR(AL5)</f>
        <v>2026</v>
      </c>
      <c r="AN5" t="str">
        <f t="shared" ref="AN5:AN51" si="3">AK5&amp;", "&amp;AM5</f>
        <v>Week 2, 2026</v>
      </c>
      <c r="AO5" t="str">
        <f t="shared" ref="AO5:AO51" si="4">"Week Ending "&amp;TEXT(AL5,"mm/dd/yyyy")</f>
        <v>Week Ending 01/11/2026</v>
      </c>
    </row>
    <row r="6" spans="1:41" ht="15" customHeight="1" x14ac:dyDescent="0.25">
      <c r="A6" t="s">
        <v>200</v>
      </c>
      <c r="B6" s="42" t="str">
        <f>A6</f>
        <v>5 - RASA - National Landin</v>
      </c>
      <c r="C6" s="41">
        <f ca="1">INDEX(INDIRECT("'"&amp;$A6&amp;"'!$1:$1048576"),MATCH(C$4,INDIRECT("'"&amp;$A6&amp;"'!A:A"),0),MATCH(C$1,INDIRECT("'"&amp;$A6&amp;"'!$5:$5"),0))</f>
        <v>27116.439999999995</v>
      </c>
      <c r="D6" s="40" cm="1">
        <f t="array" aca="1" ref="D6" ca="1">INDEX(INDIRECT("'"&amp;$A6&amp;"'!$1:$1048576"),MATCH(D$4,INDIRECT("'"&amp;$A6&amp;"'!A:A"),0),MATCH(D$1,INDIRECT("'"&amp;$A6&amp;"'!$5:$5"),0)+1)</f>
        <v>0.25204931030769528</v>
      </c>
      <c r="E6" s="40" cm="1">
        <f t="array" aca="1" ref="E6" ca="1">INDEX(INDIRECT("'"&amp;$A6&amp;"'!$1:$1048576"),MATCH(E$4,INDIRECT("'"&amp;$A6&amp;"'!A:A"),0),MATCH(E$1,INDIRECT("'"&amp;$A6&amp;"'!$5:$5"),0)+1)</f>
        <v>0.30019759230931498</v>
      </c>
      <c r="F6" s="34" cm="1">
        <f t="array" aca="1" ref="F6" ca="1">INDEX(INDIRECT("'"&amp;$A6&amp;"'!$1:$1048576"),MATCH(F$4,INDIRECT("'"&amp;$A6&amp;"'!A:A"),0),MATCH(F$1,INDIRECT("'"&amp;$A6&amp;"'!$5:$5"),0)+1)</f>
        <v>0.44775309738298957</v>
      </c>
      <c r="G6" s="37">
        <f ca="1">INDEX(INDIRECT("'"&amp;$A6&amp;"'!$1:$1048576"),MATCH(G$4,INDIRECT("'"&amp;$A6&amp;"'!A:A"),0),MATCH(G$1,INDIRECT("'"&amp;$A6&amp;"'!$5:$5"),0))</f>
        <v>57868.220000000008</v>
      </c>
      <c r="H6" s="35" cm="1">
        <f t="array" aca="1" ref="H6" ca="1">INDEX(INDIRECT("'"&amp;$A6&amp;"'!$1:$1048576"),MATCH(H$4,INDIRECT("'"&amp;$A6&amp;"'!A:A"),0),MATCH(H$1,INDIRECT("'"&amp;$A6&amp;"'!$5:$5"),0)+1)</f>
        <v>0.25902248246101228</v>
      </c>
      <c r="I6" s="35" cm="1">
        <f t="array" aca="1" ref="I6" ca="1">INDEX(INDIRECT("'"&amp;$A6&amp;"'!$1:$1048576"),MATCH(I$4,INDIRECT("'"&amp;$A6&amp;"'!A:A"),0),MATCH(I$1,INDIRECT("'"&amp;$A6&amp;"'!$5:$5"),0)+1)</f>
        <v>0.2858677871895835</v>
      </c>
      <c r="J6" s="34" cm="1">
        <f t="array" aca="1" ref="J6" ca="1">INDEX(INDIRECT("'"&amp;$A6&amp;"'!$1:$1048576"),MATCH(J$4,INDIRECT("'"&amp;$A6&amp;"'!A:A"),0),MATCH(J$1,INDIRECT("'"&amp;$A6&amp;"'!$5:$5"),0)+1)</f>
        <v>0.45510973034940427</v>
      </c>
      <c r="K6" s="37">
        <f ca="1">INDEX(INDIRECT("'"&amp;$A6&amp;"'!$1:$1048576"),MATCH(K$4,INDIRECT("'"&amp;$A6&amp;"'!A:A"),0),MATCH(K$1,INDIRECT("'"&amp;$A6&amp;"'!$5:$5"),0))</f>
        <v>33289.339999999997</v>
      </c>
      <c r="L6" s="35" cm="1">
        <f t="array" aca="1" ref="L6" ca="1">INDEX(INDIRECT("'"&amp;$A6&amp;"'!$1:$1048576"),MATCH(L$4,INDIRECT("'"&amp;$A6&amp;"'!A:A"),0),MATCH(L$1,INDIRECT("'"&amp;$A6&amp;"'!$5:$5"),0)+1)</f>
        <v>0.23996848540704027</v>
      </c>
      <c r="M6" s="35" cm="1">
        <f t="array" aca="1" ref="M6" ca="1">INDEX(INDIRECT("'"&amp;$A6&amp;"'!$1:$1048576"),MATCH(M$4,INDIRECT("'"&amp;$A6&amp;"'!A:A"),0),MATCH(M$1,INDIRECT("'"&amp;$A6&amp;"'!$5:$5"),0)+1)</f>
        <v>0.2560496092743203</v>
      </c>
      <c r="N6" s="38" cm="1">
        <f t="array" aca="1" ref="N6" ca="1">INDEX(INDIRECT("'"&amp;$A6&amp;"'!$1:$1048576"),MATCH(N$4,INDIRECT("'"&amp;$A6&amp;"'!A:A"),0),MATCH(N$1,INDIRECT("'"&amp;$A6&amp;"'!$5:$5"),0)+1)</f>
        <v>0.50398190531863951</v>
      </c>
      <c r="O6" s="36">
        <f ca="1">+(C6-K6)/K6</f>
        <v>-0.18543173280095077</v>
      </c>
      <c r="P6" s="35">
        <f t="shared" ca="1" si="0"/>
        <v>1.2080824900655013E-2</v>
      </c>
      <c r="Q6" s="34">
        <f t="shared" ca="1" si="0"/>
        <v>4.4147983034994676E-2</v>
      </c>
      <c r="R6" s="37">
        <f ca="1">INDEX(INDIRECT("'"&amp;$A6&amp;"'!$1:$1048576"),MATCH(R$4,INDIRECT("'"&amp;$A6&amp;"'!A:A"),0),MATCH(R$1,INDIRECT("'"&amp;$A6&amp;"'!$5:$5"),0))</f>
        <v>29188.075000000001</v>
      </c>
      <c r="S6" s="35" cm="1">
        <f t="array" aca="1" ref="S6" ca="1">INDEX(INDIRECT("'"&amp;$A6&amp;"'!$1:$1048576"),MATCH(S$4,INDIRECT("'"&amp;$A6&amp;"'!A:A"),0),MATCH(S$1,INDIRECT("'"&amp;$A6&amp;"'!$5:$5"),0)+1)</f>
        <v>0.23692312699621335</v>
      </c>
      <c r="T6" s="35" cm="1">
        <f t="array" aca="1" ref="T6" ca="1">INDEX(INDIRECT("'"&amp;$A6&amp;"'!$1:$1048576"),MATCH(T$4,INDIRECT("'"&amp;$A6&amp;"'!A:A"),0),MATCH(T$1,INDIRECT("'"&amp;$A6&amp;"'!$5:$5"),0)+1)</f>
        <v>0.26978667657939076</v>
      </c>
      <c r="U6" s="34" cm="1">
        <f t="array" aca="1" ref="U6" ca="1">INDEX(INDIRECT("'"&amp;$A6&amp;"'!$1:$1048576"),MATCH(U$4,INDIRECT("'"&amp;$A6&amp;"'!A:A"),0),MATCH(U$1,INDIRECT("'"&amp;$A6&amp;"'!$5:$5"),0)+1)</f>
        <v>0.49329019642439575</v>
      </c>
      <c r="V6" s="36">
        <f ca="1">+(C6-R6)/R6</f>
        <v>-7.0975389778188722E-2</v>
      </c>
      <c r="W6" s="35">
        <f t="shared" ca="1" si="1"/>
        <v>1.5126183311481939E-2</v>
      </c>
      <c r="X6" s="34">
        <f t="shared" ca="1" si="1"/>
        <v>3.0410915729924215E-2</v>
      </c>
      <c r="Z6" s="43"/>
      <c r="AK6" t="s">
        <v>199</v>
      </c>
      <c r="AL6" s="13">
        <v>46040</v>
      </c>
      <c r="AM6">
        <f t="shared" si="2"/>
        <v>2026</v>
      </c>
      <c r="AN6" t="str">
        <f t="shared" si="3"/>
        <v>Week 3, 2026</v>
      </c>
      <c r="AO6" t="str">
        <f t="shared" si="4"/>
        <v>Week Ending 01/18/2026</v>
      </c>
    </row>
    <row r="7" spans="1:41" ht="15" x14ac:dyDescent="0.25">
      <c r="A7" t="s">
        <v>144</v>
      </c>
      <c r="B7" s="42" t="str">
        <f>A7</f>
        <v>6 - RASA - Mosaic</v>
      </c>
      <c r="C7" s="41">
        <f ca="1">INDEX(INDIRECT("'"&amp;$A7&amp;"'!$1:$1048576"),MATCH(C$4,INDIRECT("'"&amp;$A7&amp;"'!A:A"),0),MATCH(C$1,INDIRECT("'"&amp;$A7&amp;"'!$5:$5"),0))</f>
        <v>34691.839999999989</v>
      </c>
      <c r="D7" s="158" cm="1">
        <f t="array" aca="1" ref="D7" ca="1">INDEX(INDIRECT("'"&amp;$A7&amp;"'!$1:$1048576"),MATCH(D$4,INDIRECT("'"&amp;$A7&amp;"'!A:A"),0),MATCH(D$1,INDIRECT("'"&amp;$A7&amp;"'!$5:$5"),0)+1)</f>
        <v>0.18433095506032543</v>
      </c>
      <c r="E7" s="40" cm="1">
        <f t="array" aca="1" ref="E7" ca="1">INDEX(INDIRECT("'"&amp;$A7&amp;"'!$1:$1048576"),MATCH(E$4,INDIRECT("'"&amp;$A7&amp;"'!A:A"),0),MATCH(E$1,INDIRECT("'"&amp;$A7&amp;"'!$5:$5"),0)+1)</f>
        <v>0.18004550926096746</v>
      </c>
      <c r="F7" s="34" cm="1">
        <f t="array" aca="1" ref="F7" ca="1">INDEX(INDIRECT("'"&amp;$A7&amp;"'!$1:$1048576"),MATCH(F$4,INDIRECT("'"&amp;$A7&amp;"'!A:A"),0),MATCH(F$1,INDIRECT("'"&amp;$A7&amp;"'!$5:$5"),0)+1)</f>
        <v>0.63562353567870689</v>
      </c>
      <c r="G7" s="37">
        <f ca="1">INDEX(INDIRECT("'"&amp;$A7&amp;"'!$1:$1048576"),MATCH(G$4,INDIRECT("'"&amp;$A7&amp;"'!A:A"),0),MATCH(G$1,INDIRECT("'"&amp;$A7&amp;"'!$5:$5"),0))</f>
        <v>58691.039999999986</v>
      </c>
      <c r="H7" s="35" cm="1">
        <f t="array" aca="1" ref="H7" ca="1">INDEX(INDIRECT("'"&amp;$A7&amp;"'!$1:$1048576"),MATCH(H$4,INDIRECT("'"&amp;$A7&amp;"'!A:A"),0),MATCH(H$1,INDIRECT("'"&amp;$A7&amp;"'!$5:$5"),0)+1)</f>
        <v>0.22255816219988606</v>
      </c>
      <c r="I7" s="35" cm="1">
        <f t="array" aca="1" ref="I7" ca="1">INDEX(INDIRECT("'"&amp;$A7&amp;"'!$1:$1048576"),MATCH(I$4,INDIRECT("'"&amp;$A7&amp;"'!A:A"),0),MATCH(I$1,INDIRECT("'"&amp;$A7&amp;"'!$5:$5"),0)+1)</f>
        <v>0.21655196432027785</v>
      </c>
      <c r="J7" s="34" cm="1">
        <f t="array" aca="1" ref="J7" ca="1">INDEX(INDIRECT("'"&amp;$A7&amp;"'!$1:$1048576"),MATCH(J$4,INDIRECT("'"&amp;$A7&amp;"'!A:A"),0),MATCH(J$1,INDIRECT("'"&amp;$A7&amp;"'!$5:$5"),0)+1)</f>
        <v>0.56088987347983599</v>
      </c>
      <c r="K7" s="37">
        <f ca="1">INDEX(INDIRECT("'"&amp;$A7&amp;"'!$1:$1048576"),MATCH(K$4,INDIRECT("'"&amp;$A7&amp;"'!A:A"),0),MATCH(K$1,INDIRECT("'"&amp;$A7&amp;"'!$5:$5"),0))</f>
        <v>27469.067499999997</v>
      </c>
      <c r="L7" s="35" cm="1">
        <f t="array" aca="1" ref="L7" ca="1">INDEX(INDIRECT("'"&amp;$A7&amp;"'!$1:$1048576"),MATCH(L$4,INDIRECT("'"&amp;$A7&amp;"'!A:A"),0),MATCH(L$1,INDIRECT("'"&amp;$A7&amp;"'!$5:$5"),0)+1)</f>
        <v>0.23987973017285716</v>
      </c>
      <c r="M7" s="35" cm="1">
        <f t="array" aca="1" ref="M7" ca="1">INDEX(INDIRECT("'"&amp;$A7&amp;"'!$1:$1048576"),MATCH(M$4,INDIRECT("'"&amp;$A7&amp;"'!A:A"),0),MATCH(M$1,INDIRECT("'"&amp;$A7&amp;"'!$5:$5"),0)+1)</f>
        <v>0.2409823340380958</v>
      </c>
      <c r="N7" s="38" cm="1">
        <f t="array" aca="1" ref="N7" ca="1">INDEX(INDIRECT("'"&amp;$A7&amp;"'!$1:$1048576"),MATCH(N$4,INDIRECT("'"&amp;$A7&amp;"'!A:A"),0),MATCH(N$1,INDIRECT("'"&amp;$A7&amp;"'!$5:$5"),0)+1)</f>
        <v>0.5191379357890471</v>
      </c>
      <c r="O7" s="36">
        <f ca="1">+(C7-K7)/K7</f>
        <v>0.26294203470867705</v>
      </c>
      <c r="P7" s="35">
        <f t="shared" ca="1" si="0"/>
        <v>-5.5548775112531729E-2</v>
      </c>
      <c r="Q7" s="34">
        <f t="shared" ca="1" si="0"/>
        <v>-6.0936824777128334E-2</v>
      </c>
      <c r="R7" s="37">
        <f ca="1">INDEX(INDIRECT("'"&amp;$A7&amp;"'!$1:$1048576"),MATCH(R$4,INDIRECT("'"&amp;$A7&amp;"'!A:A"),0),MATCH(R$1,INDIRECT("'"&amp;$A7&amp;"'!$5:$5"),0))</f>
        <v>26615.391250000001</v>
      </c>
      <c r="S7" s="35" cm="1">
        <f t="array" aca="1" ref="S7" ca="1">INDEX(INDIRECT("'"&amp;$A7&amp;"'!$1:$1048576"),MATCH(S$4,INDIRECT("'"&amp;$A7&amp;"'!A:A"),0),MATCH(S$1,INDIRECT("'"&amp;$A7&amp;"'!$5:$5"),0)+1)</f>
        <v>0.24833572566775625</v>
      </c>
      <c r="T7" s="35" cm="1">
        <f t="array" aca="1" ref="T7" ca="1">INDEX(INDIRECT("'"&amp;$A7&amp;"'!$1:$1048576"),MATCH(T$4,INDIRECT("'"&amp;$A7&amp;"'!A:A"),0),MATCH(T$1,INDIRECT("'"&amp;$A7&amp;"'!$5:$5"),0)+1)</f>
        <v>0.26045286860098293</v>
      </c>
      <c r="U7" s="34" cm="1">
        <f t="array" aca="1" ref="U7" ca="1">INDEX(INDIRECT("'"&amp;$A7&amp;"'!$1:$1048576"),MATCH(U$4,INDIRECT("'"&amp;$A7&amp;"'!A:A"),0),MATCH(U$1,INDIRECT("'"&amp;$A7&amp;"'!$5:$5"),0)+1)</f>
        <v>0.49121140573126065</v>
      </c>
      <c r="V7" s="36">
        <f ca="1">+(C7-R7)/R7</f>
        <v>0.30345031091737146</v>
      </c>
      <c r="W7" s="35">
        <f t="shared" ca="1" si="1"/>
        <v>-6.4004770607430816E-2</v>
      </c>
      <c r="X7" s="34">
        <f t="shared" ca="1" si="1"/>
        <v>-8.0407359340015472E-2</v>
      </c>
      <c r="AK7" t="s">
        <v>198</v>
      </c>
      <c r="AL7" s="13">
        <v>46047</v>
      </c>
      <c r="AM7">
        <f t="shared" si="2"/>
        <v>2026</v>
      </c>
      <c r="AN7" t="str">
        <f t="shared" si="3"/>
        <v>Week 4, 2026</v>
      </c>
      <c r="AO7" t="str">
        <f t="shared" si="4"/>
        <v>Week Ending 01/25/2026</v>
      </c>
    </row>
    <row r="8" spans="1:41" ht="15" x14ac:dyDescent="0.25">
      <c r="A8" t="s">
        <v>145</v>
      </c>
      <c r="B8" s="42" t="str">
        <f>A8</f>
        <v>7 - RASA - Rockville</v>
      </c>
      <c r="C8" s="41">
        <f ca="1">INDEX(INDIRECT("'"&amp;$A8&amp;"'!$1:$1048576"),MATCH(C$4,INDIRECT("'"&amp;$A8&amp;"'!A:A"),0),MATCH(C$1,INDIRECT("'"&amp;$A8&amp;"'!$5:$5"),0))</f>
        <v>34764.709999999992</v>
      </c>
      <c r="D8" s="158" cm="1">
        <f t="array" aca="1" ref="D8" ca="1">INDEX(INDIRECT("'"&amp;$A8&amp;"'!$1:$1048576"),MATCH(D$4,INDIRECT("'"&amp;$A8&amp;"'!A:A"),0),MATCH(D$1,INDIRECT("'"&amp;$A8&amp;"'!$5:$5"),0)+1)</f>
        <v>9.6508499567521194E-2</v>
      </c>
      <c r="E8" s="40" cm="1">
        <f t="array" aca="1" ref="E8" ca="1">INDEX(INDIRECT("'"&amp;$A8&amp;"'!$1:$1048576"),MATCH(E$4,INDIRECT("'"&amp;$A8&amp;"'!A:A"),0),MATCH(E$1,INDIRECT("'"&amp;$A8&amp;"'!$5:$5"),0)+1)</f>
        <v>0.27739221756775767</v>
      </c>
      <c r="F8" s="39" cm="1">
        <f t="array" aca="1" ref="F8" ca="1">INDEX(INDIRECT("'"&amp;$A8&amp;"'!$1:$1048576"),MATCH(F$4,INDIRECT("'"&amp;$A8&amp;"'!A:A"),0),MATCH(F$1,INDIRECT("'"&amp;$A8&amp;"'!$5:$5"),0)+1)</f>
        <v>0.62609928286472083</v>
      </c>
      <c r="G8" s="37">
        <f ca="1">INDEX(INDIRECT("'"&amp;$A8&amp;"'!$1:$1048576"),MATCH(G$4,INDIRECT("'"&amp;$A8&amp;"'!A:A"),0),MATCH(G$1,INDIRECT("'"&amp;$A8&amp;"'!$5:$5"),0))</f>
        <v>67623.199999999997</v>
      </c>
      <c r="H8" s="35" cm="1">
        <f t="array" aca="1" ref="H8" ca="1">INDEX(INDIRECT("'"&amp;$A8&amp;"'!$1:$1048576"),MATCH(H$4,INDIRECT("'"&amp;$A8&amp;"'!A:A"),0),MATCH(H$1,INDIRECT("'"&amp;$A8&amp;"'!$5:$5"),0)+1)</f>
        <v>0.17648617634184716</v>
      </c>
      <c r="I8" s="35" cm="1">
        <f t="array" aca="1" ref="I8" ca="1">INDEX(INDIRECT("'"&amp;$A8&amp;"'!$1:$1048576"),MATCH(I$4,INDIRECT("'"&amp;$A8&amp;"'!A:A"),0),MATCH(I$1,INDIRECT("'"&amp;$A8&amp;"'!$5:$5"),0)+1)</f>
        <v>0.29167918702457141</v>
      </c>
      <c r="J8" s="34" cm="1">
        <f t="array" aca="1" ref="J8" ca="1">INDEX(INDIRECT("'"&amp;$A8&amp;"'!$1:$1048576"),MATCH(J$4,INDIRECT("'"&amp;$A8&amp;"'!A:A"),0),MATCH(J$1,INDIRECT("'"&amp;$A8&amp;"'!$5:$5"),0)+1)</f>
        <v>0.53183463663358144</v>
      </c>
      <c r="K8" s="37">
        <f ca="1">INDEX(INDIRECT("'"&amp;$A8&amp;"'!$1:$1048576"),MATCH(K$4,INDIRECT("'"&amp;$A8&amp;"'!A:A"),0),MATCH(K$1,INDIRECT("'"&amp;$A8&amp;"'!$5:$5"),0))</f>
        <v>30634.144999999997</v>
      </c>
      <c r="L8" s="35" cm="1">
        <f t="array" aca="1" ref="L8" ca="1">INDEX(INDIRECT("'"&amp;$A8&amp;"'!$1:$1048576"),MATCH(L$4,INDIRECT("'"&amp;$A8&amp;"'!A:A"),0),MATCH(L$1,INDIRECT("'"&amp;$A8&amp;"'!$5:$5"),0)+1)</f>
        <v>0.21752100474813321</v>
      </c>
      <c r="M8" s="35" cm="1">
        <f t="array" aca="1" ref="M8" ca="1">INDEX(INDIRECT("'"&amp;$A8&amp;"'!$1:$1048576"),MATCH(M$4,INDIRECT("'"&amp;$A8&amp;"'!A:A"),0),MATCH(M$1,INDIRECT("'"&amp;$A8&amp;"'!$5:$5"),0)+1)</f>
        <v>0.29664146004401304</v>
      </c>
      <c r="N8" s="38" cm="1">
        <f t="array" aca="1" ref="N8" ca="1">INDEX(INDIRECT("'"&amp;$A8&amp;"'!$1:$1048576"),MATCH(N$4,INDIRECT("'"&amp;$A8&amp;"'!A:A"),0),MATCH(N$1,INDIRECT("'"&amp;$A8&amp;"'!$5:$5"),0)+1)</f>
        <v>0.48583753520785372</v>
      </c>
      <c r="O8" s="36">
        <f ca="1">+(C8-K8)/K8</f>
        <v>0.13483532835664241</v>
      </c>
      <c r="P8" s="35">
        <f t="shared" ca="1" si="0"/>
        <v>-0.12101250518061202</v>
      </c>
      <c r="Q8" s="34">
        <f t="shared" ca="1" si="0"/>
        <v>-1.9249242476255368E-2</v>
      </c>
      <c r="R8" s="37">
        <f ca="1">INDEX(INDIRECT("'"&amp;$A8&amp;"'!$1:$1048576"),MATCH(R$4,INDIRECT("'"&amp;$A8&amp;"'!A:A"),0),MATCH(R$1,INDIRECT("'"&amp;$A8&amp;"'!$5:$5"),0))</f>
        <v>28227.143749999999</v>
      </c>
      <c r="S8" s="35" cm="1">
        <f t="array" aca="1" ref="S8" ca="1">INDEX(INDIRECT("'"&amp;$A8&amp;"'!$1:$1048576"),MATCH(S$4,INDIRECT("'"&amp;$A8&amp;"'!A:A"),0),MATCH(S$1,INDIRECT("'"&amp;$A8&amp;"'!$5:$5"),0)+1)</f>
        <v>0.23225189052292972</v>
      </c>
      <c r="T8" s="35" cm="1">
        <f t="array" aca="1" ref="T8" ca="1">INDEX(INDIRECT("'"&amp;$A8&amp;"'!$1:$1048576"),MATCH(T$4,INDIRECT("'"&amp;$A8&amp;"'!A:A"),0),MATCH(T$1,INDIRECT("'"&amp;$A8&amp;"'!$5:$5"),0)+1)</f>
        <v>0.28977914210678862</v>
      </c>
      <c r="U8" s="34" cm="1">
        <f t="array" aca="1" ref="U8" ca="1">INDEX(INDIRECT("'"&amp;$A8&amp;"'!$1:$1048576"),MATCH(U$4,INDIRECT("'"&amp;$A8&amp;"'!A:A"),0),MATCH(U$1,INDIRECT("'"&amp;$A8&amp;"'!$5:$5"),0)+1)</f>
        <v>0.47796896737028161</v>
      </c>
      <c r="V8" s="36">
        <f ca="1">+(C8-R8)/R8</f>
        <v>0.23160565971185068</v>
      </c>
      <c r="W8" s="35">
        <f t="shared" ca="1" si="1"/>
        <v>-0.13574339095540852</v>
      </c>
      <c r="X8" s="34">
        <f t="shared" ca="1" si="1"/>
        <v>-1.2386924539030952E-2</v>
      </c>
      <c r="AK8" t="s">
        <v>197</v>
      </c>
      <c r="AL8" s="13">
        <v>46054</v>
      </c>
      <c r="AM8">
        <f t="shared" si="2"/>
        <v>2026</v>
      </c>
      <c r="AN8" t="str">
        <f t="shared" si="3"/>
        <v>Week 5, 2026</v>
      </c>
      <c r="AO8" t="str">
        <f t="shared" si="4"/>
        <v>Week Ending 02/01/2026</v>
      </c>
    </row>
    <row r="9" spans="1:41" ht="15" customHeight="1" thickBot="1" x14ac:dyDescent="0.3">
      <c r="A9" t="s">
        <v>1</v>
      </c>
      <c r="B9" s="33" t="s">
        <v>196</v>
      </c>
      <c r="C9" s="31">
        <f ca="1">INDEX(INDIRECT("'"&amp;$A9&amp;"'!$1:$1048576"),MATCH(C$4,INDIRECT("'"&amp;$A9&amp;"'!A:A"),0),MATCH(C$1,INDIRECT("'"&amp;$A9&amp;"'!$5:$5"),0))</f>
        <v>151607.87</v>
      </c>
      <c r="D9" s="29" cm="1">
        <f t="array" aca="1" ref="D9" ca="1">INDEX(INDIRECT("'"&amp;$A9&amp;"'!$1:$1048576"),MATCH(D$4,INDIRECT("'"&amp;$A9&amp;"'!A:A"),0),MATCH(D$1,INDIRECT("'"&amp;$A9&amp;"'!$5:$5"),0)+1)</f>
        <v>0.19655318684973283</v>
      </c>
      <c r="E9" s="29" cm="1">
        <f t="array" aca="1" ref="E9" ca="1">INDEX(INDIRECT("'"&amp;$A9&amp;"'!$1:$1048576"),MATCH(E$4,INDIRECT("'"&amp;$A9&amp;"'!A:A"),0),MATCH(E$1,INDIRECT("'"&amp;$A9&amp;"'!$5:$5"),0)+1)</f>
        <v>0.2295369626919764</v>
      </c>
      <c r="F9" s="28" cm="1">
        <f t="array" aca="1" ref="F9" ca="1">INDEX(INDIRECT("'"&amp;$A9&amp;"'!$1:$1048576"),MATCH(F$4,INDIRECT("'"&amp;$A9&amp;"'!A:A"),0),MATCH(F$1,INDIRECT("'"&amp;$A9&amp;"'!$5:$5"),0)+1)</f>
        <v>0.57390985045829068</v>
      </c>
      <c r="G9" s="31">
        <f ca="1">INDEX(INDIRECT("'"&amp;$A9&amp;"'!$1:$1048576"),MATCH(G$4,INDIRECT("'"&amp;$A9&amp;"'!A:A"),0),MATCH(G$1,INDIRECT("'"&amp;$A9&amp;"'!$5:$5"),0))</f>
        <v>287087.18000000005</v>
      </c>
      <c r="H9" s="29" cm="1">
        <f t="array" aca="1" ref="H9" ca="1">INDEX(INDIRECT("'"&amp;$A9&amp;"'!$1:$1048576"),MATCH(H$4,INDIRECT("'"&amp;$A9&amp;"'!A:A"),0),MATCH(H$1,INDIRECT("'"&amp;$A9&amp;"'!$5:$5"),0)+1)</f>
        <v>0.2264605127961479</v>
      </c>
      <c r="I9" s="29" cm="1">
        <f t="array" aca="1" ref="I9" ca="1">INDEX(INDIRECT("'"&amp;$A9&amp;"'!$1:$1048576"),MATCH(I$4,INDIRECT("'"&amp;$A9&amp;"'!A:A"),0),MATCH(I$1,INDIRECT("'"&amp;$A9&amp;"'!$5:$5"),0)+1)</f>
        <v>0.24825124549274544</v>
      </c>
      <c r="J9" s="28" cm="1">
        <f t="array" aca="1" ref="J9" ca="1">INDEX(INDIRECT("'"&amp;$A9&amp;"'!$1:$1048576"),MATCH(J$4,INDIRECT("'"&amp;$A9&amp;"'!A:A"),0),MATCH(J$1,INDIRECT("'"&amp;$A9&amp;"'!$5:$5"),0)+1)</f>
        <v>0.52528824171110688</v>
      </c>
      <c r="K9" s="31">
        <f ca="1">INDEX(INDIRECT("'"&amp;$A9&amp;"'!$1:$1048576"),MATCH(K$4,INDIRECT("'"&amp;$A9&amp;"'!A:A"),0),MATCH(K$1,INDIRECT("'"&amp;$A9&amp;"'!$5:$5"),0))</f>
        <v>137741.36000000002</v>
      </c>
      <c r="L9" s="29" cm="1">
        <f t="array" aca="1" ref="L9" ca="1">INDEX(INDIRECT("'"&amp;$A9&amp;"'!$1:$1048576"),MATCH(L$4,INDIRECT("'"&amp;$A9&amp;"'!A:A"),0),MATCH(L$1,INDIRECT("'"&amp;$A9&amp;"'!$5:$5"),0)+1)</f>
        <v>0.23738690397713516</v>
      </c>
      <c r="M9" s="29" cm="1">
        <f t="array" aca="1" ref="M9" ca="1">INDEX(INDIRECT("'"&amp;$A9&amp;"'!$1:$1048576"),MATCH(M$4,INDIRECT("'"&amp;$A9&amp;"'!A:A"),0),MATCH(M$1,INDIRECT("'"&amp;$A9&amp;"'!$5:$5"),0)+1)</f>
        <v>0.2561651053830164</v>
      </c>
      <c r="N9" s="32" cm="1">
        <f t="array" aca="1" ref="N9" ca="1">INDEX(INDIRECT("'"&amp;$A9&amp;"'!$1:$1048576"),MATCH(N$4,INDIRECT("'"&amp;$A9&amp;"'!A:A"),0),MATCH(N$1,INDIRECT("'"&amp;$A9&amp;"'!$5:$5"),0)+1)</f>
        <v>0.50644799063984869</v>
      </c>
      <c r="O9" s="30">
        <f ca="1">+(C9-K9)/K9</f>
        <v>0.10067063371524702</v>
      </c>
      <c r="P9" s="29">
        <f t="shared" ca="1" si="0"/>
        <v>-4.083371712740233E-2</v>
      </c>
      <c r="Q9" s="28">
        <f t="shared" ca="1" si="0"/>
        <v>-2.6628142691039997E-2</v>
      </c>
      <c r="R9" s="31">
        <f ca="1">INDEX(INDIRECT("'"&amp;$A9&amp;"'!$1:$1048576"),MATCH(R$4,INDIRECT("'"&amp;$A9&amp;"'!A:A"),0),MATCH(R$1,INDIRECT("'"&amp;$A9&amp;"'!$5:$5"),0))</f>
        <v>130015.51000000001</v>
      </c>
      <c r="S9" s="29" cm="1">
        <f t="array" aca="1" ref="S9" ca="1">INDEX(INDIRECT("'"&amp;$A9&amp;"'!$1:$1048576"),MATCH(S$4,INDIRECT("'"&amp;$A9&amp;"'!A:A"),0),MATCH(S$1,INDIRECT("'"&amp;$A9&amp;"'!$5:$5"),0)+1)</f>
        <v>0.23917557989812141</v>
      </c>
      <c r="T9" s="29" cm="1">
        <f t="array" aca="1" ref="T9" ca="1">INDEX(INDIRECT("'"&amp;$A9&amp;"'!$1:$1048576"),MATCH(T$4,INDIRECT("'"&amp;$A9&amp;"'!A:A"),0),MATCH(T$1,INDIRECT("'"&amp;$A9&amp;"'!$5:$5"),0)+1)</f>
        <v>0.26205998422803561</v>
      </c>
      <c r="U9" s="28" cm="1">
        <f t="array" aca="1" ref="U9" ca="1">INDEX(INDIRECT("'"&amp;$A9&amp;"'!$1:$1048576"),MATCH(U$4,INDIRECT("'"&amp;$A9&amp;"'!A:A"),0),MATCH(U$1,INDIRECT("'"&amp;$A9&amp;"'!$5:$5"),0)+1)</f>
        <v>0.49876443587384311</v>
      </c>
      <c r="V9" s="30">
        <f ca="1">+(C9-R9)/R9</f>
        <v>0.16607526286671478</v>
      </c>
      <c r="W9" s="29">
        <f t="shared" ca="1" si="1"/>
        <v>-4.2622393048388579E-2</v>
      </c>
      <c r="X9" s="28">
        <f t="shared" ca="1" si="1"/>
        <v>-3.252302153605921E-2</v>
      </c>
      <c r="AK9" t="s">
        <v>195</v>
      </c>
      <c r="AL9" s="13">
        <v>46061</v>
      </c>
      <c r="AM9">
        <f t="shared" si="2"/>
        <v>2026</v>
      </c>
      <c r="AN9" t="str">
        <f t="shared" si="3"/>
        <v>Week 6, 2026</v>
      </c>
      <c r="AO9" t="str">
        <f t="shared" si="4"/>
        <v>Week Ending 02/08/2026</v>
      </c>
    </row>
    <row r="10" spans="1:41" ht="15" x14ac:dyDescent="0.25">
      <c r="E10" s="27"/>
      <c r="AK10" t="s">
        <v>194</v>
      </c>
      <c r="AL10" s="13">
        <v>46068</v>
      </c>
      <c r="AM10">
        <f t="shared" si="2"/>
        <v>2026</v>
      </c>
      <c r="AN10" t="str">
        <f t="shared" si="3"/>
        <v>Week 7, 2026</v>
      </c>
      <c r="AO10" t="str">
        <f t="shared" si="4"/>
        <v>Week Ending 02/15/2026</v>
      </c>
    </row>
    <row r="11" spans="1:41" s="14" customFormat="1" ht="15" x14ac:dyDescent="0.25">
      <c r="C11" s="26"/>
      <c r="E11" s="21"/>
      <c r="F11" s="20"/>
      <c r="K11" s="24"/>
      <c r="M11" s="24"/>
      <c r="O11" s="15"/>
      <c r="P11" s="15"/>
      <c r="Q11" s="15"/>
      <c r="V11" s="15"/>
      <c r="W11" s="15"/>
      <c r="X11" s="15"/>
      <c r="AK11" t="s">
        <v>193</v>
      </c>
      <c r="AL11" s="13">
        <v>46075</v>
      </c>
      <c r="AM11">
        <f t="shared" si="2"/>
        <v>2026</v>
      </c>
      <c r="AN11" t="str">
        <f t="shared" si="3"/>
        <v>Week 8, 2026</v>
      </c>
      <c r="AO11" t="str">
        <f t="shared" si="4"/>
        <v>Week Ending 02/22/2026</v>
      </c>
    </row>
    <row r="12" spans="1:41" s="14" customFormat="1" ht="15.75" x14ac:dyDescent="0.25">
      <c r="A12"/>
      <c r="B12" s="25" t="s">
        <v>192</v>
      </c>
      <c r="C12" s="22"/>
      <c r="E12" s="21"/>
      <c r="F12" s="20"/>
      <c r="H12" s="24"/>
      <c r="K12" s="24"/>
      <c r="L12" s="24"/>
      <c r="O12" s="15"/>
      <c r="P12" s="15"/>
      <c r="Q12" s="23"/>
      <c r="V12" s="15"/>
      <c r="W12" s="15"/>
      <c r="X12" s="15"/>
      <c r="AK12" t="s">
        <v>191</v>
      </c>
      <c r="AL12" s="13">
        <v>46082</v>
      </c>
      <c r="AM12">
        <f t="shared" si="2"/>
        <v>2026</v>
      </c>
      <c r="AN12" t="str">
        <f t="shared" si="3"/>
        <v>Week 9, 2026</v>
      </c>
      <c r="AO12" t="str">
        <f t="shared" si="4"/>
        <v>Week Ending 03/01/2026</v>
      </c>
    </row>
    <row r="13" spans="1:41" s="14" customFormat="1" ht="15" x14ac:dyDescent="0.25">
      <c r="A13"/>
      <c r="C13" s="22"/>
      <c r="E13" s="21"/>
      <c r="F13" s="20"/>
      <c r="O13" s="15"/>
      <c r="P13" s="15"/>
      <c r="Q13" s="15"/>
      <c r="V13" s="15"/>
      <c r="W13" s="15"/>
      <c r="X13" s="15"/>
      <c r="AK13" t="s">
        <v>190</v>
      </c>
      <c r="AL13" s="13">
        <v>46089</v>
      </c>
      <c r="AM13">
        <f t="shared" si="2"/>
        <v>2026</v>
      </c>
      <c r="AN13" t="str">
        <f t="shared" si="3"/>
        <v>Week 10, 2026</v>
      </c>
      <c r="AO13" t="str">
        <f t="shared" si="4"/>
        <v>Week Ending 03/08/2026</v>
      </c>
    </row>
    <row r="14" spans="1:41" s="14" customFormat="1" ht="15" x14ac:dyDescent="0.25">
      <c r="B14" s="19" t="s">
        <v>189</v>
      </c>
      <c r="C14" s="16"/>
      <c r="O14" s="15"/>
      <c r="P14" s="15"/>
      <c r="Q14" s="15"/>
      <c r="V14" s="15"/>
      <c r="W14" s="15"/>
      <c r="X14" s="15"/>
      <c r="AK14" t="s">
        <v>188</v>
      </c>
      <c r="AL14" s="13">
        <v>46124</v>
      </c>
      <c r="AM14">
        <f t="shared" si="2"/>
        <v>2026</v>
      </c>
      <c r="AN14" t="str">
        <f t="shared" si="3"/>
        <v>Week 15, 2026</v>
      </c>
      <c r="AO14" t="str">
        <f t="shared" si="4"/>
        <v>Week Ending 04/12/2026</v>
      </c>
    </row>
    <row r="15" spans="1:41" s="14" customFormat="1" ht="15" x14ac:dyDescent="0.25">
      <c r="B15" s="17" t="s">
        <v>172</v>
      </c>
      <c r="C15" s="16" t="s">
        <v>236</v>
      </c>
      <c r="O15" s="15"/>
      <c r="P15" s="15"/>
      <c r="Q15" s="15"/>
      <c r="V15" s="15"/>
      <c r="W15" s="15"/>
      <c r="X15" s="15"/>
      <c r="AK15" t="s">
        <v>187</v>
      </c>
      <c r="AL15" s="13">
        <v>46131</v>
      </c>
      <c r="AM15">
        <f t="shared" si="2"/>
        <v>2026</v>
      </c>
      <c r="AN15" t="str">
        <f t="shared" si="3"/>
        <v>Week 16, 2026</v>
      </c>
      <c r="AO15" t="str">
        <f t="shared" si="4"/>
        <v>Week Ending 04/19/2026</v>
      </c>
    </row>
    <row r="16" spans="1:41" s="14" customFormat="1" ht="15" x14ac:dyDescent="0.25">
      <c r="B16" s="17" t="s">
        <v>170</v>
      </c>
      <c r="C16" s="16" t="s">
        <v>236</v>
      </c>
      <c r="O16" s="15"/>
      <c r="P16" s="15"/>
      <c r="Q16" s="15"/>
      <c r="V16" s="15"/>
      <c r="W16" s="15"/>
      <c r="X16" s="15"/>
      <c r="AK16" t="s">
        <v>186</v>
      </c>
      <c r="AL16" s="13">
        <v>46138</v>
      </c>
      <c r="AM16">
        <f t="shared" si="2"/>
        <v>2026</v>
      </c>
      <c r="AN16" t="str">
        <f t="shared" si="3"/>
        <v>Week 17, 2026</v>
      </c>
      <c r="AO16" t="str">
        <f t="shared" si="4"/>
        <v>Week Ending 04/26/2026</v>
      </c>
    </row>
    <row r="17" spans="2:41" s="14" customFormat="1" ht="15" x14ac:dyDescent="0.25">
      <c r="B17" s="17"/>
      <c r="C17" s="16"/>
      <c r="O17" s="15"/>
      <c r="P17" s="15"/>
      <c r="Q17" s="15"/>
      <c r="V17" s="15"/>
      <c r="W17" s="15"/>
      <c r="X17" s="15"/>
      <c r="AK17" t="s">
        <v>185</v>
      </c>
      <c r="AL17" s="13">
        <v>46145</v>
      </c>
      <c r="AM17">
        <f t="shared" si="2"/>
        <v>2026</v>
      </c>
      <c r="AN17" t="str">
        <f t="shared" si="3"/>
        <v>Week 18, 2026</v>
      </c>
      <c r="AO17" t="str">
        <f t="shared" si="4"/>
        <v>Week Ending 05/03/2026</v>
      </c>
    </row>
    <row r="18" spans="2:41" s="14" customFormat="1" ht="15" x14ac:dyDescent="0.25">
      <c r="B18" s="19" t="s">
        <v>184</v>
      </c>
      <c r="C18" s="16"/>
      <c r="O18" s="15"/>
      <c r="P18" s="15"/>
      <c r="Q18" s="15"/>
      <c r="V18" s="15"/>
      <c r="W18" s="15"/>
      <c r="X18" s="15"/>
      <c r="AK18" t="s">
        <v>183</v>
      </c>
      <c r="AL18" s="13">
        <v>46152</v>
      </c>
      <c r="AM18">
        <f t="shared" si="2"/>
        <v>2026</v>
      </c>
      <c r="AN18" t="str">
        <f t="shared" si="3"/>
        <v>Week 19, 2026</v>
      </c>
      <c r="AO18" t="str">
        <f t="shared" si="4"/>
        <v>Week Ending 05/10/2026</v>
      </c>
    </row>
    <row r="19" spans="2:41" s="14" customFormat="1" ht="15" x14ac:dyDescent="0.25">
      <c r="B19" s="17" t="s">
        <v>172</v>
      </c>
      <c r="C19" s="16" t="s">
        <v>236</v>
      </c>
      <c r="O19" s="15"/>
      <c r="P19" s="15"/>
      <c r="Q19" s="15"/>
      <c r="V19" s="15"/>
      <c r="W19" s="15"/>
      <c r="X19" s="15"/>
      <c r="AK19" t="s">
        <v>182</v>
      </c>
      <c r="AL19" s="13">
        <v>46159</v>
      </c>
      <c r="AM19">
        <f t="shared" si="2"/>
        <v>2026</v>
      </c>
      <c r="AN19" t="str">
        <f t="shared" si="3"/>
        <v>Week 20, 2026</v>
      </c>
      <c r="AO19" t="str">
        <f t="shared" si="4"/>
        <v>Week Ending 05/17/2026</v>
      </c>
    </row>
    <row r="20" spans="2:41" s="14" customFormat="1" ht="15" x14ac:dyDescent="0.25">
      <c r="B20" s="17" t="s">
        <v>170</v>
      </c>
      <c r="C20" s="16" t="s">
        <v>236</v>
      </c>
      <c r="O20" s="15"/>
      <c r="P20" s="15"/>
      <c r="Q20" s="15"/>
      <c r="V20" s="15"/>
      <c r="W20" s="15"/>
      <c r="X20" s="15"/>
      <c r="AK20" t="s">
        <v>181</v>
      </c>
      <c r="AL20" s="13">
        <v>46166</v>
      </c>
      <c r="AM20">
        <f t="shared" si="2"/>
        <v>2026</v>
      </c>
      <c r="AN20" t="str">
        <f t="shared" si="3"/>
        <v>Week 21, 2026</v>
      </c>
      <c r="AO20" t="str">
        <f t="shared" si="4"/>
        <v>Week Ending 05/24/2026</v>
      </c>
    </row>
    <row r="21" spans="2:41" s="14" customFormat="1" ht="15" x14ac:dyDescent="0.25">
      <c r="B21" s="17"/>
      <c r="C21" s="16"/>
      <c r="O21" s="15"/>
      <c r="P21" s="15"/>
      <c r="Q21" s="15"/>
      <c r="V21" s="15"/>
      <c r="W21" s="15"/>
      <c r="X21" s="15"/>
      <c r="AK21" t="s">
        <v>180</v>
      </c>
      <c r="AL21" s="13">
        <v>46173</v>
      </c>
      <c r="AM21">
        <f t="shared" si="2"/>
        <v>2026</v>
      </c>
      <c r="AN21" t="str">
        <f t="shared" si="3"/>
        <v>Week 22, 2026</v>
      </c>
      <c r="AO21" t="str">
        <f t="shared" si="4"/>
        <v>Week Ending 05/31/2026</v>
      </c>
    </row>
    <row r="22" spans="2:41" s="14" customFormat="1" ht="15" x14ac:dyDescent="0.25">
      <c r="B22" s="19" t="s">
        <v>179</v>
      </c>
      <c r="C22" s="16"/>
      <c r="O22" s="15"/>
      <c r="P22" s="15"/>
      <c r="Q22" s="15"/>
      <c r="V22" s="15"/>
      <c r="W22" s="15"/>
      <c r="X22" s="15"/>
      <c r="AK22" t="s">
        <v>178</v>
      </c>
      <c r="AL22" s="13">
        <v>46180</v>
      </c>
      <c r="AM22">
        <f t="shared" si="2"/>
        <v>2026</v>
      </c>
      <c r="AN22" t="str">
        <f t="shared" si="3"/>
        <v>Week 23, 2026</v>
      </c>
      <c r="AO22" t="str">
        <f t="shared" si="4"/>
        <v>Week Ending 06/07/2026</v>
      </c>
    </row>
    <row r="23" spans="2:41" s="14" customFormat="1" ht="15" x14ac:dyDescent="0.25">
      <c r="B23" s="17" t="s">
        <v>172</v>
      </c>
      <c r="C23" s="16" t="s">
        <v>248</v>
      </c>
      <c r="O23" s="15"/>
      <c r="P23" s="15"/>
      <c r="Q23" s="15"/>
      <c r="V23" s="15"/>
      <c r="W23" s="15"/>
      <c r="X23" s="15"/>
      <c r="AK23" t="s">
        <v>177</v>
      </c>
      <c r="AL23" s="13">
        <v>46187</v>
      </c>
      <c r="AM23">
        <f t="shared" si="2"/>
        <v>2026</v>
      </c>
      <c r="AN23" t="str">
        <f t="shared" si="3"/>
        <v>Week 24, 2026</v>
      </c>
      <c r="AO23" t="str">
        <f t="shared" si="4"/>
        <v>Week Ending 06/14/2026</v>
      </c>
    </row>
    <row r="24" spans="2:41" s="14" customFormat="1" ht="15" x14ac:dyDescent="0.25">
      <c r="B24" s="17" t="s">
        <v>170</v>
      </c>
      <c r="C24" s="16" t="s">
        <v>249</v>
      </c>
      <c r="O24" s="15"/>
      <c r="P24" s="15"/>
      <c r="Q24" s="15"/>
      <c r="V24" s="15"/>
      <c r="W24" s="15"/>
      <c r="X24" s="15"/>
      <c r="AK24" t="s">
        <v>176</v>
      </c>
      <c r="AL24" s="13">
        <v>46194</v>
      </c>
      <c r="AM24">
        <f t="shared" si="2"/>
        <v>2026</v>
      </c>
      <c r="AN24" t="str">
        <f t="shared" si="3"/>
        <v>Week 25, 2026</v>
      </c>
      <c r="AO24" t="str">
        <f t="shared" si="4"/>
        <v>Week Ending 06/21/2026</v>
      </c>
    </row>
    <row r="25" spans="2:41" s="14" customFormat="1" ht="15" x14ac:dyDescent="0.25">
      <c r="B25" s="17"/>
      <c r="C25" s="16"/>
      <c r="O25" s="15"/>
      <c r="P25" s="15"/>
      <c r="Q25" s="15"/>
      <c r="V25" s="15"/>
      <c r="W25" s="15"/>
      <c r="X25" s="15"/>
      <c r="AK25" t="s">
        <v>175</v>
      </c>
      <c r="AL25" s="13">
        <v>46201</v>
      </c>
      <c r="AM25">
        <f t="shared" si="2"/>
        <v>2026</v>
      </c>
      <c r="AN25" t="str">
        <f t="shared" si="3"/>
        <v>Week 26, 2026</v>
      </c>
      <c r="AO25" t="str">
        <f t="shared" si="4"/>
        <v>Week Ending 06/28/2026</v>
      </c>
    </row>
    <row r="26" spans="2:41" s="14" customFormat="1" ht="15" x14ac:dyDescent="0.25">
      <c r="B26" s="19" t="s">
        <v>174</v>
      </c>
      <c r="C26" s="18"/>
      <c r="O26" s="15"/>
      <c r="P26" s="15"/>
      <c r="Q26" s="15"/>
      <c r="V26" s="15"/>
      <c r="W26" s="15"/>
      <c r="X26" s="15"/>
      <c r="AK26" t="s">
        <v>173</v>
      </c>
      <c r="AL26" s="13">
        <v>46208</v>
      </c>
      <c r="AM26">
        <f t="shared" si="2"/>
        <v>2026</v>
      </c>
      <c r="AN26" t="str">
        <f t="shared" si="3"/>
        <v>Week 27, 2026</v>
      </c>
      <c r="AO26" t="str">
        <f t="shared" si="4"/>
        <v>Week Ending 07/05/2026</v>
      </c>
    </row>
    <row r="27" spans="2:41" s="14" customFormat="1" ht="15" x14ac:dyDescent="0.25">
      <c r="B27" s="17" t="s">
        <v>172</v>
      </c>
      <c r="C27" s="16" t="s">
        <v>248</v>
      </c>
      <c r="O27" s="15"/>
      <c r="P27" s="15"/>
      <c r="Q27" s="15"/>
      <c r="V27" s="15"/>
      <c r="W27" s="15"/>
      <c r="X27" s="15"/>
      <c r="AK27" t="s">
        <v>171</v>
      </c>
      <c r="AL27" s="13">
        <v>46215</v>
      </c>
      <c r="AM27">
        <f t="shared" si="2"/>
        <v>2026</v>
      </c>
      <c r="AN27" t="str">
        <f t="shared" si="3"/>
        <v>Week 28, 2026</v>
      </c>
      <c r="AO27" t="str">
        <f t="shared" si="4"/>
        <v>Week Ending 07/12/2026</v>
      </c>
    </row>
    <row r="28" spans="2:41" s="14" customFormat="1" ht="15" x14ac:dyDescent="0.25">
      <c r="B28" s="17" t="s">
        <v>170</v>
      </c>
      <c r="C28" s="16" t="s">
        <v>236</v>
      </c>
      <c r="O28" s="15"/>
      <c r="P28" s="15"/>
      <c r="Q28" s="15"/>
      <c r="V28" s="15"/>
      <c r="W28" s="15"/>
      <c r="X28" s="15"/>
      <c r="AK28" t="s">
        <v>169</v>
      </c>
      <c r="AL28" s="13">
        <v>46222</v>
      </c>
      <c r="AM28">
        <f t="shared" si="2"/>
        <v>2026</v>
      </c>
      <c r="AN28" t="str">
        <f t="shared" si="3"/>
        <v>Week 29, 2026</v>
      </c>
      <c r="AO28" t="str">
        <f t="shared" si="4"/>
        <v>Week Ending 07/19/2026</v>
      </c>
    </row>
    <row r="29" spans="2:41" s="14" customFormat="1" ht="15" x14ac:dyDescent="0.25">
      <c r="B29" s="17"/>
      <c r="C29" s="16"/>
      <c r="L29"/>
      <c r="O29" s="15"/>
      <c r="P29" s="15"/>
      <c r="Q29" s="15"/>
      <c r="V29" s="15"/>
      <c r="W29" s="15"/>
      <c r="X29" s="15"/>
      <c r="AK29" t="s">
        <v>168</v>
      </c>
      <c r="AL29" s="13">
        <v>46229</v>
      </c>
      <c r="AM29">
        <f t="shared" si="2"/>
        <v>2026</v>
      </c>
      <c r="AN29" t="str">
        <f t="shared" si="3"/>
        <v>Week 30, 2026</v>
      </c>
      <c r="AO29" t="str">
        <f t="shared" si="4"/>
        <v>Week Ending 07/26/2026</v>
      </c>
    </row>
    <row r="30" spans="2:41" ht="15" x14ac:dyDescent="0.25">
      <c r="AK30" t="s">
        <v>167</v>
      </c>
      <c r="AL30" s="13">
        <v>46236</v>
      </c>
      <c r="AM30">
        <f t="shared" si="2"/>
        <v>2026</v>
      </c>
      <c r="AN30" t="str">
        <f t="shared" si="3"/>
        <v>Week 31, 2026</v>
      </c>
      <c r="AO30" t="str">
        <f t="shared" si="4"/>
        <v>Week Ending 08/02/2026</v>
      </c>
    </row>
    <row r="31" spans="2:41" ht="15" x14ac:dyDescent="0.25">
      <c r="AK31" t="s">
        <v>166</v>
      </c>
      <c r="AL31" s="13">
        <v>46243</v>
      </c>
      <c r="AM31">
        <f t="shared" si="2"/>
        <v>2026</v>
      </c>
      <c r="AN31" t="str">
        <f t="shared" si="3"/>
        <v>Week 32, 2026</v>
      </c>
      <c r="AO31" t="str">
        <f t="shared" si="4"/>
        <v>Week Ending 08/09/2026</v>
      </c>
    </row>
    <row r="32" spans="2:41" ht="15" x14ac:dyDescent="0.25">
      <c r="AK32" t="s">
        <v>165</v>
      </c>
      <c r="AL32" s="13">
        <v>46250</v>
      </c>
      <c r="AM32">
        <f t="shared" si="2"/>
        <v>2026</v>
      </c>
      <c r="AN32" t="str">
        <f t="shared" si="3"/>
        <v>Week 33, 2026</v>
      </c>
      <c r="AO32" t="str">
        <f t="shared" si="4"/>
        <v>Week Ending 08/16/2026</v>
      </c>
    </row>
    <row r="33" spans="37:41" ht="15" x14ac:dyDescent="0.25">
      <c r="AK33" t="s">
        <v>164</v>
      </c>
      <c r="AL33" s="13">
        <v>46257</v>
      </c>
      <c r="AM33">
        <f t="shared" si="2"/>
        <v>2026</v>
      </c>
      <c r="AN33" t="str">
        <f t="shared" si="3"/>
        <v>Week 34, 2026</v>
      </c>
      <c r="AO33" t="str">
        <f t="shared" si="4"/>
        <v>Week Ending 08/23/2026</v>
      </c>
    </row>
    <row r="34" spans="37:41" ht="15" x14ac:dyDescent="0.25">
      <c r="AK34" t="s">
        <v>163</v>
      </c>
      <c r="AL34" s="13">
        <v>46264</v>
      </c>
      <c r="AM34">
        <f t="shared" si="2"/>
        <v>2026</v>
      </c>
      <c r="AN34" t="str">
        <f t="shared" si="3"/>
        <v>Week 35, 2026</v>
      </c>
      <c r="AO34" t="str">
        <f t="shared" si="4"/>
        <v>Week Ending 08/30/2026</v>
      </c>
    </row>
    <row r="35" spans="37:41" ht="15" x14ac:dyDescent="0.25">
      <c r="AK35" t="s">
        <v>162</v>
      </c>
      <c r="AL35" s="13">
        <v>46271</v>
      </c>
      <c r="AM35">
        <f t="shared" si="2"/>
        <v>2026</v>
      </c>
      <c r="AN35" t="str">
        <f t="shared" si="3"/>
        <v>Week 36, 2026</v>
      </c>
      <c r="AO35" t="str">
        <f t="shared" si="4"/>
        <v>Week Ending 09/06/2026</v>
      </c>
    </row>
    <row r="36" spans="37:41" ht="15" x14ac:dyDescent="0.25">
      <c r="AK36" t="s">
        <v>161</v>
      </c>
      <c r="AL36" s="13">
        <v>46278</v>
      </c>
      <c r="AM36">
        <f t="shared" si="2"/>
        <v>2026</v>
      </c>
      <c r="AN36" t="str">
        <f t="shared" si="3"/>
        <v>Week 37, 2026</v>
      </c>
      <c r="AO36" t="str">
        <f t="shared" si="4"/>
        <v>Week Ending 09/13/2026</v>
      </c>
    </row>
    <row r="37" spans="37:41" ht="15" x14ac:dyDescent="0.25">
      <c r="AK37" t="s">
        <v>160</v>
      </c>
      <c r="AL37" s="13">
        <v>46285</v>
      </c>
      <c r="AM37">
        <f t="shared" si="2"/>
        <v>2026</v>
      </c>
      <c r="AN37" t="str">
        <f t="shared" si="3"/>
        <v>Week 38, 2026</v>
      </c>
      <c r="AO37" t="str">
        <f t="shared" si="4"/>
        <v>Week Ending 09/20/2026</v>
      </c>
    </row>
    <row r="38" spans="37:41" ht="15" x14ac:dyDescent="0.25">
      <c r="AK38" t="s">
        <v>159</v>
      </c>
      <c r="AL38" s="13">
        <v>46292</v>
      </c>
      <c r="AM38">
        <f t="shared" si="2"/>
        <v>2026</v>
      </c>
      <c r="AN38" t="str">
        <f t="shared" si="3"/>
        <v>Week 39, 2026</v>
      </c>
      <c r="AO38" t="str">
        <f t="shared" si="4"/>
        <v>Week Ending 09/27/2026</v>
      </c>
    </row>
    <row r="39" spans="37:41" ht="15" x14ac:dyDescent="0.25">
      <c r="AK39" t="s">
        <v>158</v>
      </c>
      <c r="AL39" s="13">
        <v>46299</v>
      </c>
      <c r="AM39">
        <f t="shared" si="2"/>
        <v>2026</v>
      </c>
      <c r="AN39" t="str">
        <f t="shared" si="3"/>
        <v>Week 40, 2026</v>
      </c>
      <c r="AO39" t="str">
        <f t="shared" si="4"/>
        <v>Week Ending 10/04/2026</v>
      </c>
    </row>
    <row r="40" spans="37:41" ht="15" x14ac:dyDescent="0.25">
      <c r="AK40" t="s">
        <v>157</v>
      </c>
      <c r="AL40" s="13">
        <v>46306</v>
      </c>
      <c r="AM40">
        <f t="shared" si="2"/>
        <v>2026</v>
      </c>
      <c r="AN40" t="str">
        <f t="shared" si="3"/>
        <v>Week 41, 2026</v>
      </c>
      <c r="AO40" t="str">
        <f t="shared" si="4"/>
        <v>Week Ending 10/11/2026</v>
      </c>
    </row>
    <row r="41" spans="37:41" ht="15" x14ac:dyDescent="0.25">
      <c r="AK41" t="s">
        <v>156</v>
      </c>
      <c r="AL41" s="13">
        <v>46313</v>
      </c>
      <c r="AM41">
        <f t="shared" si="2"/>
        <v>2026</v>
      </c>
      <c r="AN41" t="str">
        <f t="shared" si="3"/>
        <v>Week 42, 2026</v>
      </c>
      <c r="AO41" t="str">
        <f t="shared" si="4"/>
        <v>Week Ending 10/18/2026</v>
      </c>
    </row>
    <row r="42" spans="37:41" ht="15" x14ac:dyDescent="0.25">
      <c r="AK42" t="s">
        <v>155</v>
      </c>
      <c r="AL42" s="13">
        <v>46320</v>
      </c>
      <c r="AM42">
        <f t="shared" si="2"/>
        <v>2026</v>
      </c>
      <c r="AN42" t="str">
        <f t="shared" si="3"/>
        <v>Week 43, 2026</v>
      </c>
      <c r="AO42" t="str">
        <f t="shared" si="4"/>
        <v>Week Ending 10/25/2026</v>
      </c>
    </row>
    <row r="43" spans="37:41" ht="15" x14ac:dyDescent="0.25">
      <c r="AK43" t="s">
        <v>154</v>
      </c>
      <c r="AL43" s="13">
        <v>46327</v>
      </c>
      <c r="AM43">
        <f t="shared" si="2"/>
        <v>2026</v>
      </c>
      <c r="AN43" t="str">
        <f t="shared" si="3"/>
        <v>Week 44, 2026</v>
      </c>
      <c r="AO43" t="str">
        <f t="shared" si="4"/>
        <v>Week Ending 11/01/2026</v>
      </c>
    </row>
    <row r="44" spans="37:41" ht="15" x14ac:dyDescent="0.25">
      <c r="AK44" t="s">
        <v>153</v>
      </c>
      <c r="AL44" s="13">
        <v>46334</v>
      </c>
      <c r="AM44">
        <f t="shared" si="2"/>
        <v>2026</v>
      </c>
      <c r="AN44" t="str">
        <f t="shared" si="3"/>
        <v>Week 45, 2026</v>
      </c>
      <c r="AO44" t="str">
        <f t="shared" si="4"/>
        <v>Week Ending 11/08/2026</v>
      </c>
    </row>
    <row r="45" spans="37:41" ht="15" x14ac:dyDescent="0.25">
      <c r="AK45" t="s">
        <v>152</v>
      </c>
      <c r="AL45" s="13">
        <v>46341</v>
      </c>
      <c r="AM45">
        <f t="shared" si="2"/>
        <v>2026</v>
      </c>
      <c r="AN45" t="str">
        <f t="shared" si="3"/>
        <v>Week 46, 2026</v>
      </c>
      <c r="AO45" t="str">
        <f t="shared" si="4"/>
        <v>Week Ending 11/15/2026</v>
      </c>
    </row>
    <row r="46" spans="37:41" ht="15" x14ac:dyDescent="0.25">
      <c r="AK46" t="s">
        <v>151</v>
      </c>
      <c r="AL46" s="13">
        <v>46348</v>
      </c>
      <c r="AM46">
        <f t="shared" si="2"/>
        <v>2026</v>
      </c>
      <c r="AN46" t="str">
        <f t="shared" si="3"/>
        <v>Week 47, 2026</v>
      </c>
      <c r="AO46" t="str">
        <f t="shared" si="4"/>
        <v>Week Ending 11/22/2026</v>
      </c>
    </row>
    <row r="47" spans="37:41" ht="15" x14ac:dyDescent="0.25">
      <c r="AK47" t="s">
        <v>150</v>
      </c>
      <c r="AL47" s="13">
        <v>46355</v>
      </c>
      <c r="AM47">
        <f t="shared" si="2"/>
        <v>2026</v>
      </c>
      <c r="AN47" t="str">
        <f t="shared" si="3"/>
        <v>Week 48, 2026</v>
      </c>
      <c r="AO47" t="str">
        <f t="shared" si="4"/>
        <v>Week Ending 11/29/2026</v>
      </c>
    </row>
    <row r="48" spans="37:41" ht="15" x14ac:dyDescent="0.25">
      <c r="AK48" t="s">
        <v>149</v>
      </c>
      <c r="AL48" s="13">
        <v>46362</v>
      </c>
      <c r="AM48">
        <f t="shared" si="2"/>
        <v>2026</v>
      </c>
      <c r="AN48" t="str">
        <f t="shared" si="3"/>
        <v>Week 49, 2026</v>
      </c>
      <c r="AO48" t="str">
        <f t="shared" si="4"/>
        <v>Week Ending 12/06/2026</v>
      </c>
    </row>
    <row r="49" spans="37:41" ht="15" x14ac:dyDescent="0.25">
      <c r="AK49" t="s">
        <v>148</v>
      </c>
      <c r="AL49" s="13">
        <v>46369</v>
      </c>
      <c r="AM49">
        <f t="shared" si="2"/>
        <v>2026</v>
      </c>
      <c r="AN49" t="str">
        <f t="shared" si="3"/>
        <v>Week 50, 2026</v>
      </c>
      <c r="AO49" t="str">
        <f t="shared" si="4"/>
        <v>Week Ending 12/13/2026</v>
      </c>
    </row>
    <row r="50" spans="37:41" ht="15" x14ac:dyDescent="0.25">
      <c r="AK50" t="s">
        <v>147</v>
      </c>
      <c r="AL50" s="13">
        <v>46376</v>
      </c>
      <c r="AM50">
        <f t="shared" si="2"/>
        <v>2026</v>
      </c>
      <c r="AN50" t="str">
        <f t="shared" si="3"/>
        <v>Week 51, 2026</v>
      </c>
      <c r="AO50" t="str">
        <f t="shared" si="4"/>
        <v>Week Ending 12/20/2026</v>
      </c>
    </row>
    <row r="51" spans="37:41" ht="15" x14ac:dyDescent="0.25">
      <c r="AK51" t="s">
        <v>146</v>
      </c>
      <c r="AL51" s="13">
        <v>46383</v>
      </c>
      <c r="AM51">
        <f t="shared" si="2"/>
        <v>2026</v>
      </c>
      <c r="AN51" t="str">
        <f t="shared" si="3"/>
        <v>Week 52, 2026</v>
      </c>
      <c r="AO51" t="str">
        <f t="shared" si="4"/>
        <v>Week Ending 12/27/2026</v>
      </c>
    </row>
    <row r="52" spans="37:41" ht="43.5" customHeight="1" x14ac:dyDescent="0.25">
      <c r="AL52" s="13"/>
    </row>
    <row r="53" spans="37:41" ht="43.5" customHeight="1" x14ac:dyDescent="0.25">
      <c r="AL53" s="13"/>
    </row>
    <row r="54" spans="37:41" ht="43.5" customHeight="1" x14ac:dyDescent="0.25">
      <c r="AL54" s="13"/>
    </row>
    <row r="55" spans="37:41" ht="43.5" customHeight="1" x14ac:dyDescent="0.25">
      <c r="AL55" s="13"/>
    </row>
    <row r="56" spans="37:41" ht="43.5" customHeight="1" x14ac:dyDescent="0.25">
      <c r="AL56" s="13"/>
    </row>
    <row r="57" spans="37:41" ht="43.5" customHeight="1" x14ac:dyDescent="0.25">
      <c r="AL57" s="13"/>
    </row>
    <row r="58" spans="37:41" ht="43.5" customHeight="1" x14ac:dyDescent="0.25">
      <c r="AL58" s="13"/>
    </row>
    <row r="59" spans="37:41" ht="43.5" customHeight="1" x14ac:dyDescent="0.25">
      <c r="AL59" s="13"/>
    </row>
    <row r="60" spans="37:41" ht="43.5" customHeight="1" x14ac:dyDescent="0.25">
      <c r="AL60" s="13"/>
    </row>
    <row r="61" spans="37:41" ht="43.5" customHeight="1" x14ac:dyDescent="0.25">
      <c r="AL61" s="13"/>
    </row>
    <row r="62" spans="37:41" ht="43.5" customHeight="1" x14ac:dyDescent="0.25">
      <c r="AL62" s="13"/>
    </row>
    <row r="63" spans="37:41" ht="43.5" customHeight="1" x14ac:dyDescent="0.25">
      <c r="AL63" s="13"/>
    </row>
    <row r="64" spans="37:41" ht="43.5" customHeight="1" x14ac:dyDescent="0.25">
      <c r="AL64" s="13"/>
    </row>
    <row r="65" spans="38:38" ht="43.5" customHeight="1" x14ac:dyDescent="0.25">
      <c r="AL65" s="13"/>
    </row>
  </sheetData>
  <mergeCells count="6">
    <mergeCell ref="V2:X2"/>
    <mergeCell ref="A1:B1"/>
    <mergeCell ref="G2:J2"/>
    <mergeCell ref="K2:N2"/>
    <mergeCell ref="O2:Q2"/>
    <mergeCell ref="R2:U2"/>
  </mergeCells>
  <conditionalFormatting sqref="D1 D3:D4 D10:D1048576">
    <cfRule type="cellIs" dxfId="3" priority="7" operator="lessThan">
      <formula>0.25</formula>
    </cfRule>
    <cfRule type="cellIs" priority="8" operator="greaterThan">
      <formula>0.3</formula>
    </cfRule>
  </conditionalFormatting>
  <conditionalFormatting sqref="H4">
    <cfRule type="cellIs" dxfId="2" priority="5" operator="lessThan">
      <formula>0.25</formula>
    </cfRule>
    <cfRule type="cellIs" priority="6" operator="greaterThan">
      <formula>0.3</formula>
    </cfRule>
  </conditionalFormatting>
  <conditionalFormatting sqref="L4">
    <cfRule type="cellIs" dxfId="1" priority="3" operator="lessThan">
      <formula>0.25</formula>
    </cfRule>
    <cfRule type="cellIs" priority="4" operator="greaterThan">
      <formula>0.3</formula>
    </cfRule>
  </conditionalFormatting>
  <conditionalFormatting sqref="S4">
    <cfRule type="cellIs" dxfId="0" priority="1" operator="lessThan">
      <formula>0.25</formula>
    </cfRule>
    <cfRule type="cellIs" priority="2" operator="greaterThan">
      <formula>0.3</formula>
    </cfRule>
  </conditionalFormatting>
  <dataValidations disablePrompts="1" count="2">
    <dataValidation type="list" allowBlank="1" showInputMessage="1" showErrorMessage="1" sqref="B2" xr:uid="{91DAC01A-2B00-459B-AF62-A1BAE58D6368}">
      <formula1>$AO$5:$AO$65</formula1>
    </dataValidation>
    <dataValidation type="list" allowBlank="1" showInputMessage="1" showErrorMessage="1" sqref="AO5:AO65" xr:uid="{FCF4CCE6-1817-459D-A566-B629C63297AB}">
      <formula1>$B$2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25FFB-6797-4A0C-9F2E-5E63A30511E7}">
  <sheetPr>
    <outlinePr summaryBelow="0"/>
  </sheetPr>
  <dimension ref="A1:M96"/>
  <sheetViews>
    <sheetView showGridLines="0" zoomScaleNormal="100" workbookViewId="0">
      <pane xSplit="1" ySplit="4" topLeftCell="B5" activePane="bottomRight" state="frozen"/>
      <selection sqref="A1:AL1"/>
      <selection pane="topRight" sqref="A1:AL1"/>
      <selection pane="bottomLeft" sqref="A1:AL1"/>
      <selection pane="bottomRight" activeCell="H23" sqref="H23"/>
    </sheetView>
  </sheetViews>
  <sheetFormatPr defaultRowHeight="15" x14ac:dyDescent="0.25"/>
  <cols>
    <col min="1" max="1" width="42.85546875" customWidth="1"/>
    <col min="2" max="2" width="17.140625" style="78" customWidth="1"/>
    <col min="3" max="3" width="9.42578125" customWidth="1"/>
    <col min="4" max="4" width="17.140625" style="78" customWidth="1"/>
    <col min="5" max="5" width="9.42578125" customWidth="1"/>
    <col min="6" max="6" width="17.140625" style="78" customWidth="1"/>
    <col min="7" max="7" width="9.42578125" customWidth="1"/>
    <col min="8" max="8" width="17.140625" style="78" customWidth="1"/>
    <col min="9" max="9" width="9.42578125" customWidth="1"/>
    <col min="10" max="10" width="13.28515625" style="78" customWidth="1"/>
    <col min="11" max="11" width="8.7109375" customWidth="1"/>
    <col min="12" max="12" width="22" customWidth="1"/>
    <col min="13" max="13" width="21.28515625" bestFit="1" customWidth="1"/>
  </cols>
  <sheetData>
    <row r="1" spans="1:13" ht="33.75" x14ac:dyDescent="0.25">
      <c r="A1" s="148" t="s">
        <v>0</v>
      </c>
      <c r="B1" s="148" t="s">
        <v>0</v>
      </c>
      <c r="C1" s="148" t="s">
        <v>0</v>
      </c>
      <c r="D1" s="148" t="s">
        <v>0</v>
      </c>
      <c r="E1" s="148" t="s">
        <v>0</v>
      </c>
      <c r="F1" s="148" t="s">
        <v>0</v>
      </c>
      <c r="G1" s="148" t="s">
        <v>0</v>
      </c>
      <c r="H1" s="148" t="s">
        <v>0</v>
      </c>
      <c r="I1" s="148" t="s">
        <v>0</v>
      </c>
    </row>
    <row r="2" spans="1:13" ht="23.25" x14ac:dyDescent="0.25">
      <c r="A2" s="149" t="str">
        <f>+Summary!B2</f>
        <v>Week Ending 10/11/2026</v>
      </c>
      <c r="B2" s="149" t="s">
        <v>235</v>
      </c>
      <c r="C2" s="149" t="s">
        <v>235</v>
      </c>
      <c r="D2" s="149" t="s">
        <v>235</v>
      </c>
      <c r="E2" s="149" t="s">
        <v>235</v>
      </c>
      <c r="F2" s="149" t="s">
        <v>235</v>
      </c>
      <c r="G2" s="149" t="s">
        <v>235</v>
      </c>
      <c r="H2" s="149" t="s">
        <v>235</v>
      </c>
      <c r="I2" s="149" t="s">
        <v>235</v>
      </c>
    </row>
    <row r="3" spans="1:13" ht="15.75" x14ac:dyDescent="0.25">
      <c r="A3" s="150"/>
      <c r="B3" s="150" t="s">
        <v>145</v>
      </c>
      <c r="C3" s="150" t="s">
        <v>145</v>
      </c>
      <c r="D3" s="150" t="s">
        <v>145</v>
      </c>
      <c r="E3" s="150" t="s">
        <v>145</v>
      </c>
      <c r="F3" s="150" t="s">
        <v>145</v>
      </c>
      <c r="G3" s="150" t="s">
        <v>145</v>
      </c>
      <c r="H3" s="150" t="s">
        <v>145</v>
      </c>
      <c r="I3" s="150" t="s">
        <v>145</v>
      </c>
    </row>
    <row r="4" spans="1:13" x14ac:dyDescent="0.25">
      <c r="B4" s="147" t="s">
        <v>234</v>
      </c>
      <c r="C4" s="147"/>
      <c r="D4" s="147" t="s">
        <v>233</v>
      </c>
      <c r="E4" s="147"/>
      <c r="F4" s="147" t="s">
        <v>232</v>
      </c>
      <c r="G4" s="147"/>
      <c r="H4" s="147" t="s">
        <v>145</v>
      </c>
      <c r="I4" s="147"/>
      <c r="J4" s="147" t="s">
        <v>231</v>
      </c>
      <c r="K4" s="147"/>
    </row>
    <row r="5" spans="1:13" ht="18" customHeight="1" x14ac:dyDescent="0.25">
      <c r="A5" s="101" t="s">
        <v>14</v>
      </c>
      <c r="B5" s="98"/>
      <c r="C5" s="97"/>
      <c r="D5" s="98"/>
      <c r="E5" s="97"/>
      <c r="F5" s="98"/>
      <c r="G5" s="97"/>
      <c r="H5" s="98"/>
      <c r="I5" s="97"/>
    </row>
    <row r="6" spans="1:13" ht="16.5" hidden="1" customHeight="1" x14ac:dyDescent="0.25">
      <c r="A6" s="108" t="s">
        <v>230</v>
      </c>
      <c r="B6" s="93" t="e">
        <f t="shared" ref="B6:B16" ca="1" si="0">INDEX(INDIRECT("'"&amp;B$4&amp;"'!$1:$1048576"),MATCH($A6,INDIRECT("'"&amp;B$4&amp;"'!$A:$A"),0),MATCH($A$2,INDIRECT("'"&amp;B$4&amp;"'!$5:$5"),0))</f>
        <v>#N/A</v>
      </c>
      <c r="C6" s="92" t="str">
        <f ca="1">IFERROR(B6/B16, "NA")</f>
        <v>NA</v>
      </c>
      <c r="D6" s="93" t="e">
        <f t="shared" ref="D6:D16" ca="1" si="1">INDEX(INDIRECT("'"&amp;D$4&amp;"'!$1:$1048576"),MATCH($A6,INDIRECT("'"&amp;D$4&amp;"'!$A:$A"),0),MATCH($A$2,INDIRECT("'"&amp;D$4&amp;"'!$5:$5"),0))</f>
        <v>#N/A</v>
      </c>
      <c r="E6" s="92" t="str">
        <f ca="1">IFERROR(D6/D16, "NA")</f>
        <v>NA</v>
      </c>
      <c r="F6" s="93" t="e">
        <f t="shared" ref="F6:F16" ca="1" si="2">INDEX(INDIRECT("'"&amp;F$4&amp;"'!$1:$1048576"),MATCH($A6,INDIRECT("'"&amp;F$4&amp;"'!$A:$A"),0),MATCH($A$2,INDIRECT("'"&amp;F$4&amp;"'!$5:$5"),0))</f>
        <v>#N/A</v>
      </c>
      <c r="G6" s="92" t="str">
        <f ca="1">IFERROR(F6/F16, "NA")</f>
        <v>NA</v>
      </c>
      <c r="H6" s="93" t="e">
        <f t="shared" ref="H6:H16" ca="1" si="3">INDEX(INDIRECT("'"&amp;H$4&amp;"'!$1:$1048576"),MATCH($A6,INDIRECT("'"&amp;H$4&amp;"'!$A:$A"),0),MATCH($A$2,INDIRECT("'"&amp;H$4&amp;"'!$5:$5"),0))</f>
        <v>#N/A</v>
      </c>
      <c r="I6" s="92" t="str">
        <f ca="1">IFERROR(H6/H16, "NA")</f>
        <v>NA</v>
      </c>
      <c r="J6" s="93" t="e">
        <f ca="1">+H6+F6+D6+B6+#REF!</f>
        <v>#N/A</v>
      </c>
      <c r="K6" s="92" t="str">
        <f ca="1">IFERROR(J6/J16, "NA")</f>
        <v>NA</v>
      </c>
      <c r="M6" s="109"/>
    </row>
    <row r="7" spans="1:13" ht="16.5" hidden="1" customHeight="1" x14ac:dyDescent="0.25">
      <c r="A7" s="108" t="s">
        <v>229</v>
      </c>
      <c r="B7" s="93" t="e">
        <f t="shared" ca="1" si="0"/>
        <v>#N/A</v>
      </c>
      <c r="C7" s="92" t="str">
        <f ca="1">IFERROR(B7/B16, "NA")</f>
        <v>NA</v>
      </c>
      <c r="D7" s="93" t="e">
        <f t="shared" ca="1" si="1"/>
        <v>#N/A</v>
      </c>
      <c r="E7" s="92" t="str">
        <f ca="1">IFERROR(D7/D16, "NA")</f>
        <v>NA</v>
      </c>
      <c r="F7" s="93" t="e">
        <f t="shared" ca="1" si="2"/>
        <v>#N/A</v>
      </c>
      <c r="G7" s="92" t="str">
        <f ca="1">IFERROR(F7/F16, "NA")</f>
        <v>NA</v>
      </c>
      <c r="H7" s="93" t="e">
        <f t="shared" ca="1" si="3"/>
        <v>#N/A</v>
      </c>
      <c r="I7" s="92" t="str">
        <f ca="1">IFERROR(H7/H16, "NA")</f>
        <v>NA</v>
      </c>
      <c r="J7" s="93" t="e">
        <f ca="1">+H7+F7+D7+B7+#REF!</f>
        <v>#N/A</v>
      </c>
      <c r="K7" s="92" t="str">
        <f ca="1">IFERROR(J7/J16, "NA")</f>
        <v>NA</v>
      </c>
    </row>
    <row r="8" spans="1:13" ht="16.5" hidden="1" customHeight="1" x14ac:dyDescent="0.25">
      <c r="A8" s="108" t="s">
        <v>228</v>
      </c>
      <c r="B8" s="93" t="e">
        <f t="shared" ca="1" si="0"/>
        <v>#N/A</v>
      </c>
      <c r="C8" s="92" t="str">
        <f ca="1">IFERROR(B8/B16, "NA")</f>
        <v>NA</v>
      </c>
      <c r="D8" s="93" t="e">
        <f t="shared" ca="1" si="1"/>
        <v>#N/A</v>
      </c>
      <c r="E8" s="92" t="str">
        <f ca="1">IFERROR(D8/D16, "NA")</f>
        <v>NA</v>
      </c>
      <c r="F8" s="93" t="e">
        <f t="shared" ca="1" si="2"/>
        <v>#N/A</v>
      </c>
      <c r="G8" s="92" t="str">
        <f ca="1">IFERROR(F8/F16, "NA")</f>
        <v>NA</v>
      </c>
      <c r="H8" s="93" t="e">
        <f t="shared" ca="1" si="3"/>
        <v>#N/A</v>
      </c>
      <c r="I8" s="92" t="str">
        <f ca="1">IFERROR(H8/H16, "NA")</f>
        <v>NA</v>
      </c>
      <c r="J8" s="93" t="e">
        <f ca="1">+H8+F8+D8+B8+#REF!</f>
        <v>#N/A</v>
      </c>
      <c r="K8" s="92" t="str">
        <f ca="1">IFERROR(J8/J16, "NA")</f>
        <v>NA</v>
      </c>
    </row>
    <row r="9" spans="1:13" ht="16.5" hidden="1" customHeight="1" x14ac:dyDescent="0.25">
      <c r="A9" s="108" t="s">
        <v>227</v>
      </c>
      <c r="B9" s="93" t="e">
        <f t="shared" ca="1" si="0"/>
        <v>#N/A</v>
      </c>
      <c r="C9" s="92" t="str">
        <f ca="1">IFERROR(B9/B16, "NA")</f>
        <v>NA</v>
      </c>
      <c r="D9" s="93" t="e">
        <f t="shared" ca="1" si="1"/>
        <v>#N/A</v>
      </c>
      <c r="E9" s="92" t="str">
        <f ca="1">IFERROR(D9/D16, "NA")</f>
        <v>NA</v>
      </c>
      <c r="F9" s="93" t="e">
        <f t="shared" ca="1" si="2"/>
        <v>#N/A</v>
      </c>
      <c r="G9" s="92" t="str">
        <f ca="1">IFERROR(F9/F16, "NA")</f>
        <v>NA</v>
      </c>
      <c r="H9" s="93" t="e">
        <f t="shared" ca="1" si="3"/>
        <v>#N/A</v>
      </c>
      <c r="I9" s="92" t="str">
        <f ca="1">IFERROR(H9/H16, "NA")</f>
        <v>NA</v>
      </c>
      <c r="J9" s="93" t="e">
        <f ca="1">+H9+F9+D9+B9+#REF!</f>
        <v>#N/A</v>
      </c>
      <c r="K9" s="92" t="str">
        <f ca="1">IFERROR(J9/J16, "NA")</f>
        <v>NA</v>
      </c>
    </row>
    <row r="10" spans="1:13" ht="16.5" hidden="1" customHeight="1" x14ac:dyDescent="0.25">
      <c r="A10" s="108" t="s">
        <v>226</v>
      </c>
      <c r="B10" s="93" t="e">
        <f t="shared" ca="1" si="0"/>
        <v>#N/A</v>
      </c>
      <c r="C10" s="92" t="str">
        <f ca="1">IFERROR(B10/B16, "NA")</f>
        <v>NA</v>
      </c>
      <c r="D10" s="93" t="e">
        <f t="shared" ca="1" si="1"/>
        <v>#N/A</v>
      </c>
      <c r="E10" s="92" t="str">
        <f ca="1">IFERROR(D10/D16, "NA")</f>
        <v>NA</v>
      </c>
      <c r="F10" s="93" t="e">
        <f t="shared" ca="1" si="2"/>
        <v>#N/A</v>
      </c>
      <c r="G10" s="92" t="str">
        <f ca="1">IFERROR(F10/F16, "NA")</f>
        <v>NA</v>
      </c>
      <c r="H10" s="93" t="e">
        <f t="shared" ca="1" si="3"/>
        <v>#N/A</v>
      </c>
      <c r="I10" s="92" t="str">
        <f ca="1">IFERROR(H10/H16, "NA")</f>
        <v>NA</v>
      </c>
      <c r="J10" s="93" t="e">
        <f ca="1">+H10+F10+D10+B10+#REF!</f>
        <v>#N/A</v>
      </c>
      <c r="K10" s="92" t="str">
        <f ca="1">IFERROR(J10/J16, "NA")</f>
        <v>NA</v>
      </c>
    </row>
    <row r="11" spans="1:13" ht="16.5" hidden="1" customHeight="1" x14ac:dyDescent="0.25">
      <c r="A11" s="108" t="s">
        <v>225</v>
      </c>
      <c r="B11" s="93" t="e">
        <f t="shared" ca="1" si="0"/>
        <v>#N/A</v>
      </c>
      <c r="C11" s="92" t="str">
        <f ca="1">IFERROR(B11/B16, "NA")</f>
        <v>NA</v>
      </c>
      <c r="D11" s="93" t="e">
        <f t="shared" ca="1" si="1"/>
        <v>#N/A</v>
      </c>
      <c r="E11" s="92" t="str">
        <f ca="1">IFERROR(D11/D16, "NA")</f>
        <v>NA</v>
      </c>
      <c r="F11" s="93" t="e">
        <f t="shared" ca="1" si="2"/>
        <v>#N/A</v>
      </c>
      <c r="G11" s="92" t="str">
        <f ca="1">IFERROR(F11/F16, "NA")</f>
        <v>NA</v>
      </c>
      <c r="H11" s="93" t="e">
        <f t="shared" ca="1" si="3"/>
        <v>#N/A</v>
      </c>
      <c r="I11" s="92" t="str">
        <f ca="1">IFERROR(H11/H16, "NA")</f>
        <v>NA</v>
      </c>
      <c r="J11" s="93" t="e">
        <f ca="1">+H11+F11+D11+B11+#REF!</f>
        <v>#N/A</v>
      </c>
      <c r="K11" s="92" t="str">
        <f ca="1">IFERROR(J11/J16, "NA")</f>
        <v>NA</v>
      </c>
    </row>
    <row r="12" spans="1:13" ht="16.5" hidden="1" customHeight="1" x14ac:dyDescent="0.25">
      <c r="A12" s="108" t="s">
        <v>224</v>
      </c>
      <c r="B12" s="93" t="e">
        <f t="shared" ca="1" si="0"/>
        <v>#N/A</v>
      </c>
      <c r="C12" s="92" t="str">
        <f ca="1">IFERROR(B12/B16, "NA")</f>
        <v>NA</v>
      </c>
      <c r="D12" s="93" t="e">
        <f t="shared" ca="1" si="1"/>
        <v>#N/A</v>
      </c>
      <c r="E12" s="92" t="str">
        <f ca="1">IFERROR(D12/D16, "NA")</f>
        <v>NA</v>
      </c>
      <c r="F12" s="93" t="e">
        <f t="shared" ca="1" si="2"/>
        <v>#N/A</v>
      </c>
      <c r="G12" s="92" t="str">
        <f ca="1">IFERROR(F12/F16, "NA")</f>
        <v>NA</v>
      </c>
      <c r="H12" s="93" t="e">
        <f t="shared" ca="1" si="3"/>
        <v>#N/A</v>
      </c>
      <c r="I12" s="92" t="str">
        <f ca="1">IFERROR(H12/H16, "NA")</f>
        <v>NA</v>
      </c>
      <c r="J12" s="93" t="e">
        <f ca="1">+H12+F12+D12+B12+#REF!</f>
        <v>#N/A</v>
      </c>
      <c r="K12" s="92" t="str">
        <f ca="1">IFERROR(J12/J16, "NA")</f>
        <v>NA</v>
      </c>
    </row>
    <row r="13" spans="1:13" ht="16.5" hidden="1" customHeight="1" x14ac:dyDescent="0.25">
      <c r="A13" s="108" t="s">
        <v>223</v>
      </c>
      <c r="B13" s="93" t="e">
        <f t="shared" ca="1" si="0"/>
        <v>#N/A</v>
      </c>
      <c r="C13" s="92" t="str">
        <f ca="1">IFERROR(B13/B16, "NA")</f>
        <v>NA</v>
      </c>
      <c r="D13" s="93" t="e">
        <f t="shared" ca="1" si="1"/>
        <v>#N/A</v>
      </c>
      <c r="E13" s="92" t="str">
        <f ca="1">IFERROR(D13/D16, "NA")</f>
        <v>NA</v>
      </c>
      <c r="F13" s="93" t="e">
        <f t="shared" ca="1" si="2"/>
        <v>#N/A</v>
      </c>
      <c r="G13" s="92" t="str">
        <f ca="1">IFERROR(F13/F16, "NA")</f>
        <v>NA</v>
      </c>
      <c r="H13" s="93" t="e">
        <f t="shared" ca="1" si="3"/>
        <v>#N/A</v>
      </c>
      <c r="I13" s="92" t="str">
        <f ca="1">IFERROR(H13/H16, "NA")</f>
        <v>NA</v>
      </c>
      <c r="J13" s="93" t="e">
        <f ca="1">+H13+F13+D13+B13+#REF!</f>
        <v>#N/A</v>
      </c>
      <c r="K13" s="92" t="str">
        <f ca="1">IFERROR(J13/J16, "NA")</f>
        <v>NA</v>
      </c>
    </row>
    <row r="14" spans="1:13" ht="16.5" hidden="1" customHeight="1" x14ac:dyDescent="0.25">
      <c r="A14" s="108" t="s">
        <v>222</v>
      </c>
      <c r="B14" s="93" t="e">
        <f t="shared" ca="1" si="0"/>
        <v>#N/A</v>
      </c>
      <c r="C14" s="92" t="str">
        <f ca="1">IFERROR(B14/B16, "NA")</f>
        <v>NA</v>
      </c>
      <c r="D14" s="93" t="e">
        <f t="shared" ca="1" si="1"/>
        <v>#N/A</v>
      </c>
      <c r="E14" s="92" t="str">
        <f ca="1">IFERROR(D14/D16, "NA")</f>
        <v>NA</v>
      </c>
      <c r="F14" s="93" t="e">
        <f t="shared" ca="1" si="2"/>
        <v>#N/A</v>
      </c>
      <c r="G14" s="92" t="str">
        <f ca="1">IFERROR(F14/F16, "NA")</f>
        <v>NA</v>
      </c>
      <c r="H14" s="93" t="e">
        <f t="shared" ca="1" si="3"/>
        <v>#N/A</v>
      </c>
      <c r="I14" s="92" t="str">
        <f ca="1">IFERROR(H14/H16, "NA")</f>
        <v>NA</v>
      </c>
      <c r="J14" s="93" t="e">
        <f ca="1">+H14+F14+D14+B14+#REF!</f>
        <v>#N/A</v>
      </c>
      <c r="K14" s="92" t="str">
        <f ca="1">IFERROR(J14/J16, "NA")</f>
        <v>NA</v>
      </c>
    </row>
    <row r="15" spans="1:13" ht="16.5" hidden="1" customHeight="1" x14ac:dyDescent="0.25">
      <c r="A15" s="108" t="s">
        <v>221</v>
      </c>
      <c r="B15" s="93" t="e">
        <f t="shared" ca="1" si="0"/>
        <v>#N/A</v>
      </c>
      <c r="C15" s="92" t="str">
        <f ca="1">IFERROR(B15/B16, "NA")</f>
        <v>NA</v>
      </c>
      <c r="D15" s="93" t="e">
        <f t="shared" ca="1" si="1"/>
        <v>#N/A</v>
      </c>
      <c r="E15" s="92" t="str">
        <f ca="1">IFERROR(D15/D16, "NA")</f>
        <v>NA</v>
      </c>
      <c r="F15" s="93" t="e">
        <f t="shared" ca="1" si="2"/>
        <v>#N/A</v>
      </c>
      <c r="G15" s="92" t="str">
        <f ca="1">IFERROR(F15/F16, "NA")</f>
        <v>NA</v>
      </c>
      <c r="H15" s="93" t="e">
        <f t="shared" ca="1" si="3"/>
        <v>#N/A</v>
      </c>
      <c r="I15" s="92" t="str">
        <f ca="1">IFERROR(H15/H16, "NA")</f>
        <v>NA</v>
      </c>
      <c r="J15" s="93" t="e">
        <f ca="1">+H15+F15+D15+B15+#REF!</f>
        <v>#N/A</v>
      </c>
      <c r="K15" s="92" t="str">
        <f ca="1">IFERROR(J15/J16, "NA")</f>
        <v>NA</v>
      </c>
    </row>
    <row r="16" spans="1:13" ht="16.5" customHeight="1" x14ac:dyDescent="0.25">
      <c r="A16" s="88" t="s">
        <v>16</v>
      </c>
      <c r="B16" s="90">
        <f t="shared" ca="1" si="0"/>
        <v>55034.880000000005</v>
      </c>
      <c r="C16" s="89">
        <f ca="1">IFERROR(B16/B16, "NA")</f>
        <v>1</v>
      </c>
      <c r="D16" s="90">
        <f t="shared" ca="1" si="1"/>
        <v>27116.439999999995</v>
      </c>
      <c r="E16" s="89">
        <f ca="1">IFERROR(D16/D16, "NA")</f>
        <v>1</v>
      </c>
      <c r="F16" s="90">
        <f t="shared" ca="1" si="2"/>
        <v>34691.839999999989</v>
      </c>
      <c r="G16" s="89">
        <f ca="1">IFERROR(F16/F16, "NA")</f>
        <v>1</v>
      </c>
      <c r="H16" s="90">
        <f t="shared" ca="1" si="3"/>
        <v>34764.709999999992</v>
      </c>
      <c r="I16" s="89">
        <f ca="1">IFERROR(H16/H16, "NA")</f>
        <v>1</v>
      </c>
      <c r="J16" s="90">
        <f ca="1">+H16+F16+D16+B16</f>
        <v>151607.87</v>
      </c>
      <c r="K16" s="89">
        <f ca="1">IFERROR(J16/J16, "NA")</f>
        <v>1</v>
      </c>
    </row>
    <row r="17" spans="1:13" ht="3.75" customHeight="1" x14ac:dyDescent="0.25">
      <c r="A17" s="103" t="s">
        <v>2</v>
      </c>
      <c r="B17" s="102"/>
      <c r="C17" s="79"/>
      <c r="D17" s="102"/>
      <c r="E17" s="79"/>
      <c r="F17" s="102"/>
      <c r="G17" s="79"/>
      <c r="H17" s="102"/>
      <c r="I17" s="79"/>
      <c r="J17" s="102"/>
      <c r="K17" s="79"/>
    </row>
    <row r="18" spans="1:13" ht="16.5" customHeight="1" x14ac:dyDescent="0.25">
      <c r="A18" s="101" t="s">
        <v>17</v>
      </c>
      <c r="B18" s="98"/>
      <c r="C18" s="97"/>
      <c r="D18" s="98"/>
      <c r="E18" s="97"/>
      <c r="F18" s="98"/>
      <c r="G18" s="97"/>
      <c r="H18" s="98"/>
      <c r="I18" s="97"/>
      <c r="J18" s="98"/>
      <c r="K18" s="97"/>
    </row>
    <row r="19" spans="1:13" ht="16.5" customHeight="1" x14ac:dyDescent="0.25">
      <c r="A19" s="100" t="s">
        <v>18</v>
      </c>
      <c r="B19" s="98"/>
      <c r="C19" s="97"/>
      <c r="D19" s="98"/>
      <c r="E19" s="97"/>
      <c r="F19" s="98"/>
      <c r="G19" s="97"/>
      <c r="H19" s="98"/>
      <c r="I19" s="97"/>
      <c r="J19" s="98"/>
      <c r="K19" s="97"/>
    </row>
    <row r="20" spans="1:13" ht="16.5" hidden="1" customHeight="1" x14ac:dyDescent="0.25">
      <c r="A20" s="94" t="s">
        <v>19</v>
      </c>
      <c r="B20" s="93"/>
      <c r="C20" s="92"/>
      <c r="D20" s="93"/>
      <c r="E20" s="92"/>
      <c r="F20" s="93"/>
      <c r="G20" s="92"/>
      <c r="H20" s="93"/>
      <c r="I20" s="92"/>
      <c r="J20" s="93"/>
      <c r="K20" s="92"/>
    </row>
    <row r="21" spans="1:13" ht="16.5" customHeight="1" x14ac:dyDescent="0.25">
      <c r="A21" s="99" t="s">
        <v>20</v>
      </c>
      <c r="B21" s="98"/>
      <c r="C21" s="97"/>
      <c r="D21" s="98"/>
      <c r="E21" s="97"/>
      <c r="F21" s="98"/>
      <c r="G21" s="97"/>
      <c r="H21" s="98"/>
      <c r="I21" s="97"/>
      <c r="J21" s="98"/>
      <c r="K21" s="97"/>
    </row>
    <row r="22" spans="1:13" ht="16.5" hidden="1" customHeight="1" x14ac:dyDescent="0.25">
      <c r="A22" s="96" t="s">
        <v>21</v>
      </c>
      <c r="B22" s="93">
        <f t="shared" ref="B22:B34" ca="1" si="4">INDEX(INDIRECT("'"&amp;B$4&amp;"'!$1:$1048576"),MATCH($A22,INDIRECT("'"&amp;B$4&amp;"'!$A:$A"),0),MATCH($A$2,INDIRECT("'"&amp;B$4&amp;"'!$5:$5"),0))</f>
        <v>0</v>
      </c>
      <c r="C22" s="92">
        <f ca="1">IFERROR(B22/B16, "NA")</f>
        <v>0</v>
      </c>
      <c r="D22" s="93">
        <f t="shared" ref="D22:D34" ca="1" si="5">INDEX(INDIRECT("'"&amp;D$4&amp;"'!$1:$1048576"),MATCH($A22,INDIRECT("'"&amp;D$4&amp;"'!$A:$A"),0),MATCH($A$2,INDIRECT("'"&amp;D$4&amp;"'!$5:$5"),0))</f>
        <v>0</v>
      </c>
      <c r="E22" s="92">
        <f ca="1">IFERROR(D22/D16, "NA")</f>
        <v>0</v>
      </c>
      <c r="F22" s="93">
        <f t="shared" ref="F22:F34" ca="1" si="6">INDEX(INDIRECT("'"&amp;F$4&amp;"'!$1:$1048576"),MATCH($A22,INDIRECT("'"&amp;F$4&amp;"'!$A:$A"),0),MATCH($A$2,INDIRECT("'"&amp;F$4&amp;"'!$5:$5"),0))</f>
        <v>0</v>
      </c>
      <c r="G22" s="92">
        <f ca="1">IFERROR(F22/F16, "NA")</f>
        <v>0</v>
      </c>
      <c r="H22" s="93">
        <f t="shared" ref="H22:H34" ca="1" si="7">INDEX(INDIRECT("'"&amp;H$4&amp;"'!$1:$1048576"),MATCH($A22,INDIRECT("'"&amp;H$4&amp;"'!$A:$A"),0),MATCH($A$2,INDIRECT("'"&amp;H$4&amp;"'!$5:$5"),0))</f>
        <v>0</v>
      </c>
      <c r="I22" s="92">
        <f ca="1">IFERROR(H22/H16, "NA")</f>
        <v>0</v>
      </c>
      <c r="J22" s="93"/>
      <c r="K22" s="92">
        <f ca="1">IFERROR(J22/J16, "NA")</f>
        <v>0</v>
      </c>
    </row>
    <row r="23" spans="1:13" ht="16.5" customHeight="1" x14ac:dyDescent="0.25">
      <c r="A23" s="96" t="s">
        <v>22</v>
      </c>
      <c r="B23" s="93">
        <f t="shared" ca="1" si="4"/>
        <v>1859.03</v>
      </c>
      <c r="C23" s="92">
        <f ca="1">IFERROR(B23/B16, "NA")</f>
        <v>3.3779123348683597E-2</v>
      </c>
      <c r="D23" s="93">
        <f t="shared" ca="1" si="5"/>
        <v>955.73</v>
      </c>
      <c r="E23" s="92">
        <f ca="1">IFERROR(D23/D16, "NA")</f>
        <v>3.5245408320561264E-2</v>
      </c>
      <c r="F23" s="93">
        <f t="shared" ca="1" si="6"/>
        <v>1415.11</v>
      </c>
      <c r="G23" s="92">
        <f ca="1">IFERROR(F23/F16, "NA")</f>
        <v>4.0790860329114866E-2</v>
      </c>
      <c r="H23" s="93">
        <f t="shared" ca="1" si="7"/>
        <v>1359.23</v>
      </c>
      <c r="I23" s="92">
        <f ca="1">IFERROR(H23/H16, "NA")</f>
        <v>3.9097981832726357E-2</v>
      </c>
      <c r="J23" s="104">
        <f t="shared" ref="J23:J34" ca="1" si="8">+H23+F23+D23+B23</f>
        <v>5589.1</v>
      </c>
      <c r="K23" s="92">
        <f ca="1">IFERROR(J23/J16, "NA")</f>
        <v>3.6865500451922453E-2</v>
      </c>
      <c r="L23" s="107"/>
      <c r="M23" s="106"/>
    </row>
    <row r="24" spans="1:13" ht="16.5" customHeight="1" x14ac:dyDescent="0.25">
      <c r="A24" s="96" t="s">
        <v>23</v>
      </c>
      <c r="B24" s="93">
        <f t="shared" ca="1" si="4"/>
        <v>1144.52</v>
      </c>
      <c r="C24" s="92">
        <f ca="1">IFERROR(B24/B16, "NA")</f>
        <v>2.0796265931714575E-2</v>
      </c>
      <c r="D24" s="93">
        <f t="shared" ca="1" si="5"/>
        <v>610.26</v>
      </c>
      <c r="E24" s="92">
        <f ca="1">IFERROR(D24/D16, "NA")</f>
        <v>2.250516660741602E-2</v>
      </c>
      <c r="F24" s="93">
        <f t="shared" ca="1" si="6"/>
        <v>703.7</v>
      </c>
      <c r="G24" s="92">
        <f ca="1">IFERROR(F24/F16, "NA")</f>
        <v>2.0284308932590495E-2</v>
      </c>
      <c r="H24" s="93">
        <f t="shared" ca="1" si="7"/>
        <v>724.66</v>
      </c>
      <c r="I24" s="92">
        <f ca="1">IFERROR(H24/H16, "NA")</f>
        <v>2.0844701422793405E-2</v>
      </c>
      <c r="J24" s="104">
        <f t="shared" ca="1" si="8"/>
        <v>3183.1400000000003</v>
      </c>
      <c r="K24" s="92">
        <f ca="1">IFERROR(J24/J16, "NA")</f>
        <v>2.0995875741806811E-2</v>
      </c>
      <c r="L24" s="107"/>
      <c r="M24" s="106"/>
    </row>
    <row r="25" spans="1:13" ht="16.5" customHeight="1" x14ac:dyDescent="0.25">
      <c r="A25" s="96" t="s">
        <v>24</v>
      </c>
      <c r="B25" s="93">
        <f t="shared" ca="1" si="4"/>
        <v>1720.04</v>
      </c>
      <c r="C25" s="92">
        <f ca="1">IFERROR(B25/B16, "NA")</f>
        <v>3.1253634058982224E-2</v>
      </c>
      <c r="D25" s="93">
        <f t="shared" ca="1" si="5"/>
        <v>997.35</v>
      </c>
      <c r="E25" s="92">
        <f ca="1">IFERROR(D25/D16, "NA")</f>
        <v>3.6780270566490296E-2</v>
      </c>
      <c r="F25" s="93">
        <f t="shared" ca="1" si="6"/>
        <v>1074.3599999999999</v>
      </c>
      <c r="G25" s="92">
        <f ca="1">IFERROR(F25/F16, "NA")</f>
        <v>3.0968665830350892E-2</v>
      </c>
      <c r="H25" s="93">
        <f t="shared" ca="1" si="7"/>
        <v>1678</v>
      </c>
      <c r="I25" s="92">
        <f ca="1">IFERROR(H25/H16, "NA")</f>
        <v>4.8267337768674048E-2</v>
      </c>
      <c r="J25" s="104">
        <f t="shared" ca="1" si="8"/>
        <v>5469.75</v>
      </c>
      <c r="K25" s="92">
        <f ca="1">IFERROR(J25/J16, "NA")</f>
        <v>3.6078272189959536E-2</v>
      </c>
      <c r="L25" s="107"/>
      <c r="M25" s="106"/>
    </row>
    <row r="26" spans="1:13" ht="16.5" customHeight="1" x14ac:dyDescent="0.25">
      <c r="A26" s="96" t="s">
        <v>25</v>
      </c>
      <c r="B26" s="93">
        <f t="shared" ca="1" si="4"/>
        <v>893.29</v>
      </c>
      <c r="C26" s="92">
        <f ca="1">IFERROR(B26/B16, "NA")</f>
        <v>1.6231342741185224E-2</v>
      </c>
      <c r="D26" s="93">
        <f t="shared" ca="1" si="5"/>
        <v>601.52</v>
      </c>
      <c r="E26" s="92">
        <f ca="1">IFERROR(D26/D16, "NA")</f>
        <v>2.2182852911370374E-2</v>
      </c>
      <c r="F26" s="93">
        <f t="shared" ca="1" si="6"/>
        <v>454.89</v>
      </c>
      <c r="G26" s="92">
        <f ca="1">IFERROR(F26/F16, "NA")</f>
        <v>1.3112305372099033E-2</v>
      </c>
      <c r="H26" s="93">
        <f t="shared" ca="1" si="7"/>
        <v>569.54</v>
      </c>
      <c r="I26" s="92">
        <f ca="1">IFERROR(H26/H16, "NA")</f>
        <v>1.6382705335381772E-2</v>
      </c>
      <c r="J26" s="104">
        <f t="shared" ca="1" si="8"/>
        <v>2519.2399999999998</v>
      </c>
      <c r="K26" s="92">
        <f ca="1">IFERROR(J26/J16, "NA")</f>
        <v>1.6616815472705999E-2</v>
      </c>
      <c r="L26" s="107"/>
      <c r="M26" s="106"/>
    </row>
    <row r="27" spans="1:13" ht="16.5" customHeight="1" x14ac:dyDescent="0.25">
      <c r="A27" s="96" t="s">
        <v>26</v>
      </c>
      <c r="B27" s="93">
        <f t="shared" ca="1" si="4"/>
        <v>870.18</v>
      </c>
      <c r="C27" s="92">
        <f ca="1">IFERROR(B27/B16, "NA")</f>
        <v>1.5811427225788443E-2</v>
      </c>
      <c r="D27" s="93">
        <f t="shared" ca="1" si="5"/>
        <v>295.64999999999998</v>
      </c>
      <c r="E27" s="92">
        <f ca="1">IFERROR(D27/D16, "NA")</f>
        <v>1.0902979889690535E-2</v>
      </c>
      <c r="F27" s="93">
        <f t="shared" ca="1" si="6"/>
        <v>373.77</v>
      </c>
      <c r="G27" s="92">
        <f ca="1">IFERROR(F27/F16, "NA")</f>
        <v>1.0774003339113753E-2</v>
      </c>
      <c r="H27" s="93">
        <f t="shared" ca="1" si="7"/>
        <v>388.52</v>
      </c>
      <c r="I27" s="92">
        <f ca="1">IFERROR(H27/H16, "NA")</f>
        <v>1.1175700875974517E-2</v>
      </c>
      <c r="J27" s="104">
        <f t="shared" ca="1" si="8"/>
        <v>1928.12</v>
      </c>
      <c r="K27" s="92">
        <f ca="1">IFERROR(J27/J16, "NA")</f>
        <v>1.2717809438256735E-2</v>
      </c>
      <c r="L27" s="107"/>
      <c r="M27" s="106"/>
    </row>
    <row r="28" spans="1:13" ht="16.5" customHeight="1" x14ac:dyDescent="0.25">
      <c r="A28" s="96" t="s">
        <v>27</v>
      </c>
      <c r="B28" s="93">
        <f t="shared" ca="1" si="4"/>
        <v>412.45</v>
      </c>
      <c r="C28" s="92">
        <f ca="1">IFERROR(B28/B16, "NA")</f>
        <v>7.4943381361056837E-3</v>
      </c>
      <c r="D28" s="93">
        <f t="shared" ca="1" si="5"/>
        <v>58.37</v>
      </c>
      <c r="E28" s="92">
        <f ca="1">IFERROR(D28/D16, "NA")</f>
        <v>2.1525687000210946E-3</v>
      </c>
      <c r="F28" s="93">
        <f t="shared" ca="1" si="6"/>
        <v>275.08999999999997</v>
      </c>
      <c r="G28" s="92">
        <f ca="1">IFERROR(F28/F16, "NA")</f>
        <v>7.9295304025384667E-3</v>
      </c>
      <c r="H28" s="93">
        <f t="shared" ca="1" si="7"/>
        <v>330.28</v>
      </c>
      <c r="I28" s="92">
        <f ca="1">IFERROR(H28/H16, "NA")</f>
        <v>9.5004388070546262E-3</v>
      </c>
      <c r="J28" s="104">
        <f t="shared" ca="1" si="8"/>
        <v>1076.1899999999998</v>
      </c>
      <c r="K28" s="92">
        <f ca="1">IFERROR(J28/J16, "NA")</f>
        <v>7.0985101235179933E-3</v>
      </c>
      <c r="L28" s="107"/>
      <c r="M28" s="106"/>
    </row>
    <row r="29" spans="1:13" ht="16.5" customHeight="1" x14ac:dyDescent="0.25">
      <c r="A29" s="96" t="s">
        <v>28</v>
      </c>
      <c r="B29" s="93">
        <f t="shared" ca="1" si="4"/>
        <v>0</v>
      </c>
      <c r="C29" s="92">
        <f ca="1">IFERROR(B29/B16, "NA")</f>
        <v>0</v>
      </c>
      <c r="D29" s="93">
        <f t="shared" ca="1" si="5"/>
        <v>326.41000000000003</v>
      </c>
      <c r="E29" s="92">
        <f ca="1">IFERROR(D29/D16, "NA")</f>
        <v>1.2037347085384368E-2</v>
      </c>
      <c r="F29" s="93">
        <f t="shared" ca="1" si="6"/>
        <v>0</v>
      </c>
      <c r="G29" s="92">
        <f ca="1">IFERROR(F29/F16, "NA")</f>
        <v>0</v>
      </c>
      <c r="H29" s="93">
        <f t="shared" ca="1" si="7"/>
        <v>0</v>
      </c>
      <c r="I29" s="92">
        <f ca="1">IFERROR(H29/H16, "NA")</f>
        <v>0</v>
      </c>
      <c r="J29" s="104">
        <f t="shared" ca="1" si="8"/>
        <v>326.41000000000003</v>
      </c>
      <c r="K29" s="92">
        <f ca="1">IFERROR(J29/J16, "NA")</f>
        <v>2.1529884959138336E-3</v>
      </c>
      <c r="L29" s="107"/>
      <c r="M29" s="106"/>
    </row>
    <row r="30" spans="1:13" ht="16.5" customHeight="1" x14ac:dyDescent="0.25">
      <c r="A30" s="96" t="s">
        <v>29</v>
      </c>
      <c r="B30" s="93">
        <f t="shared" ca="1" si="4"/>
        <v>301.31</v>
      </c>
      <c r="C30" s="92">
        <f ca="1">IFERROR(B30/B16, "NA")</f>
        <v>5.4748915596799699E-3</v>
      </c>
      <c r="D30" s="93">
        <f t="shared" ca="1" si="5"/>
        <v>150.35</v>
      </c>
      <c r="E30" s="92">
        <f ca="1">IFERROR(D30/D16, "NA")</f>
        <v>5.5446068879248167E-3</v>
      </c>
      <c r="F30" s="93">
        <f t="shared" ca="1" si="6"/>
        <v>-10.48</v>
      </c>
      <c r="G30" s="92">
        <f ca="1">IFERROR(F30/F16, "NA")</f>
        <v>-3.020883297051988E-4</v>
      </c>
      <c r="H30" s="93">
        <f t="shared" ca="1" si="7"/>
        <v>267.91000000000003</v>
      </c>
      <c r="I30" s="92">
        <f ca="1">IFERROR(H30/H16, "NA")</f>
        <v>7.706378105843543E-3</v>
      </c>
      <c r="J30" s="104">
        <f t="shared" ca="1" si="8"/>
        <v>709.08999999999992</v>
      </c>
      <c r="K30" s="92">
        <f ca="1">IFERROR(J30/J16, "NA")</f>
        <v>4.6771318665713062E-3</v>
      </c>
      <c r="L30" s="107"/>
      <c r="M30" s="106"/>
    </row>
    <row r="31" spans="1:13" ht="16.5" customHeight="1" x14ac:dyDescent="0.25">
      <c r="A31" s="96" t="s">
        <v>30</v>
      </c>
      <c r="B31" s="93">
        <f t="shared" ca="1" si="4"/>
        <v>3073.45</v>
      </c>
      <c r="C31" s="92">
        <f ca="1">IFERROR(B31/B16, "NA")</f>
        <v>5.5845492894687869E-2</v>
      </c>
      <c r="D31" s="93">
        <f t="shared" ca="1" si="5"/>
        <v>1166.07</v>
      </c>
      <c r="E31" s="92">
        <f ca="1">IFERROR(D31/D16, "NA")</f>
        <v>4.3002326264067116E-2</v>
      </c>
      <c r="F31" s="93">
        <f t="shared" ca="1" si="6"/>
        <v>1969.12</v>
      </c>
      <c r="G31" s="92">
        <f ca="1">IFERROR(F31/F16, "NA")</f>
        <v>5.6760321735601242E-2</v>
      </c>
      <c r="H31" s="93">
        <f t="shared" ca="1" si="7"/>
        <v>1973.6</v>
      </c>
      <c r="I31" s="92">
        <f ca="1">IFERROR(H31/H16, "NA")</f>
        <v>5.677021324210673E-2</v>
      </c>
      <c r="J31" s="104">
        <f t="shared" ca="1" si="8"/>
        <v>8182.24</v>
      </c>
      <c r="K31" s="92">
        <f ca="1">IFERROR(J31/J16, "NA")</f>
        <v>5.3969757638571141E-2</v>
      </c>
      <c r="L31" s="107"/>
      <c r="M31" s="106"/>
    </row>
    <row r="32" spans="1:13" ht="16.5" hidden="1" customHeight="1" x14ac:dyDescent="0.25">
      <c r="A32" s="96" t="s">
        <v>31</v>
      </c>
      <c r="B32" s="93">
        <f t="shared" ca="1" si="4"/>
        <v>0</v>
      </c>
      <c r="C32" s="92">
        <f ca="1">IFERROR(B32/B16, "NA")</f>
        <v>0</v>
      </c>
      <c r="D32" s="93">
        <f t="shared" ca="1" si="5"/>
        <v>0</v>
      </c>
      <c r="E32" s="92">
        <f ca="1">IFERROR(D32/D16, "NA")</f>
        <v>0</v>
      </c>
      <c r="F32" s="93">
        <f t="shared" ca="1" si="6"/>
        <v>0</v>
      </c>
      <c r="G32" s="92">
        <f ca="1">IFERROR(F32/F16, "NA")</f>
        <v>0</v>
      </c>
      <c r="H32" s="93">
        <f t="shared" ca="1" si="7"/>
        <v>0</v>
      </c>
      <c r="I32" s="92">
        <f ca="1">IFERROR(H32/H16, "NA")</f>
        <v>0</v>
      </c>
      <c r="J32" s="104">
        <f t="shared" ca="1" si="8"/>
        <v>0</v>
      </c>
      <c r="K32" s="92">
        <f ca="1">IFERROR(J32/J16, "NA")</f>
        <v>0</v>
      </c>
      <c r="L32" s="107"/>
      <c r="M32" s="106"/>
    </row>
    <row r="33" spans="1:13" ht="16.5" customHeight="1" x14ac:dyDescent="0.25">
      <c r="A33" s="96" t="s">
        <v>32</v>
      </c>
      <c r="B33" s="93">
        <f t="shared" ca="1" si="4"/>
        <v>0</v>
      </c>
      <c r="C33" s="92">
        <f ca="1">IFERROR(B33/B16, "NA")</f>
        <v>0</v>
      </c>
      <c r="D33" s="93">
        <f t="shared" ca="1" si="5"/>
        <v>0</v>
      </c>
      <c r="E33" s="92">
        <f ca="1">IFERROR(D33/D16, "NA")</f>
        <v>0</v>
      </c>
      <c r="F33" s="93">
        <f t="shared" ca="1" si="6"/>
        <v>0</v>
      </c>
      <c r="G33" s="92">
        <f ca="1">IFERROR(F33/F16, "NA")</f>
        <v>0</v>
      </c>
      <c r="H33" s="93">
        <f t="shared" ca="1" si="7"/>
        <v>0</v>
      </c>
      <c r="I33" s="92">
        <f ca="1">IFERROR(H33/H16, "NA")</f>
        <v>0</v>
      </c>
      <c r="J33" s="104">
        <f t="shared" ca="1" si="8"/>
        <v>0</v>
      </c>
      <c r="K33" s="92">
        <f ca="1">IFERROR(J33/J16, "NA")</f>
        <v>0</v>
      </c>
      <c r="L33" s="107"/>
      <c r="M33" s="106"/>
    </row>
    <row r="34" spans="1:13" ht="16.5" customHeight="1" x14ac:dyDescent="0.25">
      <c r="A34" s="95" t="s">
        <v>33</v>
      </c>
      <c r="B34" s="90">
        <f t="shared" ca="1" si="4"/>
        <v>10274.27</v>
      </c>
      <c r="C34" s="89">
        <f ca="1">IFERROR(B34/B16, "NA")</f>
        <v>0.18668651589682761</v>
      </c>
      <c r="D34" s="90">
        <f t="shared" ca="1" si="5"/>
        <v>5161.71</v>
      </c>
      <c r="E34" s="89">
        <f ca="1">IFERROR(D34/D16, "NA")</f>
        <v>0.1903535272329259</v>
      </c>
      <c r="F34" s="90">
        <f t="shared" ca="1" si="6"/>
        <v>6255.56</v>
      </c>
      <c r="G34" s="89">
        <f ca="1">IFERROR(F34/F16, "NA")</f>
        <v>0.18031790761170358</v>
      </c>
      <c r="H34" s="90">
        <f t="shared" ca="1" si="7"/>
        <v>7291.74</v>
      </c>
      <c r="I34" s="89">
        <f ca="1">IFERROR(H34/H16, "NA")</f>
        <v>0.209745457390555</v>
      </c>
      <c r="J34" s="90">
        <f t="shared" ca="1" si="8"/>
        <v>28983.279999999999</v>
      </c>
      <c r="K34" s="89">
        <f ca="1">IFERROR(J34/J16, "NA")</f>
        <v>0.19117266141922579</v>
      </c>
      <c r="L34" s="107"/>
      <c r="M34" s="106"/>
    </row>
    <row r="35" spans="1:13" ht="16.5" customHeight="1" x14ac:dyDescent="0.25">
      <c r="A35" s="99" t="s">
        <v>34</v>
      </c>
      <c r="B35" s="98"/>
      <c r="C35" s="97"/>
      <c r="D35" s="98"/>
      <c r="E35" s="97"/>
      <c r="F35" s="98"/>
      <c r="G35" s="97"/>
      <c r="H35" s="98"/>
      <c r="I35" s="97"/>
      <c r="J35" s="98"/>
      <c r="K35" s="97"/>
    </row>
    <row r="36" spans="1:13" ht="16.5" hidden="1" customHeight="1" x14ac:dyDescent="0.25">
      <c r="A36" s="96" t="s">
        <v>35</v>
      </c>
      <c r="B36" s="93">
        <f t="shared" ref="B36:B42" ca="1" si="9">INDEX(INDIRECT("'"&amp;B$4&amp;"'!$1:$1048576"),MATCH($A36,INDIRECT("'"&amp;B$4&amp;"'!$A:$A"),0),MATCH($A$2,INDIRECT("'"&amp;B$4&amp;"'!$5:$5"),0))</f>
        <v>0</v>
      </c>
      <c r="C36" s="92">
        <f ca="1">IFERROR(B36/B16, "NA")</f>
        <v>0</v>
      </c>
      <c r="D36" s="93">
        <f t="shared" ref="D36:D42" ca="1" si="10">INDEX(INDIRECT("'"&amp;D$4&amp;"'!$1:$1048576"),MATCH($A36,INDIRECT("'"&amp;D$4&amp;"'!$A:$A"),0),MATCH($A$2,INDIRECT("'"&amp;D$4&amp;"'!$5:$5"),0))</f>
        <v>0</v>
      </c>
      <c r="E36" s="92">
        <f ca="1">IFERROR(D36/D16, "NA")</f>
        <v>0</v>
      </c>
      <c r="F36" s="93">
        <f t="shared" ref="F36:F42" ca="1" si="11">INDEX(INDIRECT("'"&amp;F$4&amp;"'!$1:$1048576"),MATCH($A36,INDIRECT("'"&amp;F$4&amp;"'!$A:$A"),0),MATCH($A$2,INDIRECT("'"&amp;F$4&amp;"'!$5:$5"),0))</f>
        <v>0</v>
      </c>
      <c r="G36" s="92">
        <f ca="1">IFERROR(F36/F16, "NA")</f>
        <v>0</v>
      </c>
      <c r="H36" s="93">
        <f t="shared" ref="H36:H42" ca="1" si="12">INDEX(INDIRECT("'"&amp;H$4&amp;"'!$1:$1048576"),MATCH($A36,INDIRECT("'"&amp;H$4&amp;"'!$A:$A"),0),MATCH($A$2,INDIRECT("'"&amp;H$4&amp;"'!$5:$5"),0))</f>
        <v>0</v>
      </c>
      <c r="I36" s="92">
        <f ca="1">IFERROR(H36/H16, "NA")</f>
        <v>0</v>
      </c>
      <c r="J36" s="93"/>
      <c r="K36" s="92">
        <f ca="1">IFERROR(J36/J16, "NA")</f>
        <v>0</v>
      </c>
    </row>
    <row r="37" spans="1:13" ht="16.5" customHeight="1" x14ac:dyDescent="0.25">
      <c r="A37" s="96" t="s">
        <v>36</v>
      </c>
      <c r="B37" s="93">
        <f t="shared" ca="1" si="9"/>
        <v>696.17</v>
      </c>
      <c r="C37" s="92">
        <f ca="1">IFERROR(B37/B16, "NA")</f>
        <v>1.2649614208298444E-2</v>
      </c>
      <c r="D37" s="93">
        <f t="shared" ca="1" si="10"/>
        <v>177.08</v>
      </c>
      <c r="E37" s="92">
        <f ca="1">IFERROR(D37/D16, "NA")</f>
        <v>6.5303557546639622E-3</v>
      </c>
      <c r="F37" s="93">
        <f t="shared" ca="1" si="11"/>
        <v>285.58999999999997</v>
      </c>
      <c r="G37" s="92">
        <f ca="1">IFERROR(F37/F16, "NA")</f>
        <v>8.2321952366896673E-3</v>
      </c>
      <c r="H37" s="93">
        <f t="shared" ca="1" si="12"/>
        <v>197.91</v>
      </c>
      <c r="I37" s="92">
        <f ca="1">IFERROR(H37/H16, "NA")</f>
        <v>5.6928419653148278E-3</v>
      </c>
      <c r="J37" s="104">
        <f t="shared" ref="J37:J42" ca="1" si="13">+H37+F37+D37+B37</f>
        <v>1356.75</v>
      </c>
      <c r="K37" s="92">
        <f ca="1">IFERROR(J37/J16, "NA")</f>
        <v>8.9490736859504719E-3</v>
      </c>
    </row>
    <row r="38" spans="1:13" ht="16.5" customHeight="1" x14ac:dyDescent="0.25">
      <c r="A38" s="96" t="s">
        <v>37</v>
      </c>
      <c r="B38" s="93">
        <f t="shared" ca="1" si="9"/>
        <v>5.62</v>
      </c>
      <c r="C38" s="92">
        <f ca="1">IFERROR(B38/B16, "NA")</f>
        <v>1.0211705740068844E-4</v>
      </c>
      <c r="D38" s="93">
        <f t="shared" ca="1" si="10"/>
        <v>21.16</v>
      </c>
      <c r="E38" s="92">
        <f ca="1">IFERROR(D38/D16, "NA")</f>
        <v>7.8033842200524867E-4</v>
      </c>
      <c r="F38" s="93">
        <f t="shared" ca="1" si="11"/>
        <v>9.74</v>
      </c>
      <c r="G38" s="92">
        <f ca="1">IFERROR(F38/F16, "NA")</f>
        <v>2.8075766520311413E-4</v>
      </c>
      <c r="H38" s="93">
        <f t="shared" ca="1" si="12"/>
        <v>7.06</v>
      </c>
      <c r="I38" s="92">
        <f ca="1">IFERROR(H38/H16, "NA")</f>
        <v>2.0307950217332465E-4</v>
      </c>
      <c r="J38" s="104">
        <f t="shared" ca="1" si="13"/>
        <v>43.58</v>
      </c>
      <c r="K38" s="92">
        <f ca="1">IFERROR(J38/J16, "NA")</f>
        <v>2.8745209598947602E-4</v>
      </c>
    </row>
    <row r="39" spans="1:13" ht="16.5" customHeight="1" x14ac:dyDescent="0.25">
      <c r="A39" s="96" t="s">
        <v>38</v>
      </c>
      <c r="B39" s="93">
        <f t="shared" ca="1" si="9"/>
        <v>-35.18</v>
      </c>
      <c r="C39" s="92">
        <f ca="1">IFERROR(B39/B16, "NA")</f>
        <v>-6.3923097497441616E-4</v>
      </c>
      <c r="D39" s="93">
        <f t="shared" ca="1" si="10"/>
        <v>0</v>
      </c>
      <c r="E39" s="92">
        <f ca="1">IFERROR(D39/D16, "NA")</f>
        <v>0</v>
      </c>
      <c r="F39" s="93">
        <f t="shared" ca="1" si="11"/>
        <v>0</v>
      </c>
      <c r="G39" s="92">
        <f ca="1">IFERROR(F39/F16, "NA")</f>
        <v>0</v>
      </c>
      <c r="H39" s="93">
        <f t="shared" ca="1" si="12"/>
        <v>0</v>
      </c>
      <c r="I39" s="92">
        <f ca="1">IFERROR(H39/H16, "NA")</f>
        <v>0</v>
      </c>
      <c r="J39" s="104">
        <f t="shared" ca="1" si="13"/>
        <v>-35.18</v>
      </c>
      <c r="K39" s="92">
        <f ca="1">IFERROR(J39/J16, "NA")</f>
        <v>-2.320460013058689E-4</v>
      </c>
    </row>
    <row r="40" spans="1:13" ht="16.5" customHeight="1" x14ac:dyDescent="0.25">
      <c r="A40" s="96" t="s">
        <v>39</v>
      </c>
      <c r="B40" s="93">
        <f t="shared" ca="1" si="9"/>
        <v>7.54</v>
      </c>
      <c r="C40" s="92">
        <f ca="1">IFERROR(B40/B16, "NA")</f>
        <v>1.3700402363010512E-4</v>
      </c>
      <c r="D40" s="93">
        <f t="shared" ca="1" si="10"/>
        <v>0</v>
      </c>
      <c r="E40" s="92">
        <f ca="1">IFERROR(D40/D16, "NA")</f>
        <v>0</v>
      </c>
      <c r="F40" s="93">
        <f t="shared" ca="1" si="11"/>
        <v>0</v>
      </c>
      <c r="G40" s="92">
        <f ca="1">IFERROR(F40/F16, "NA")</f>
        <v>0</v>
      </c>
      <c r="H40" s="93">
        <f t="shared" ca="1" si="12"/>
        <v>0</v>
      </c>
      <c r="I40" s="92">
        <f ca="1">IFERROR(H40/H16, "NA")</f>
        <v>0</v>
      </c>
      <c r="J40" s="104">
        <f t="shared" ca="1" si="13"/>
        <v>7.54</v>
      </c>
      <c r="K40" s="92">
        <f ca="1">IFERROR(J40/J16, "NA")</f>
        <v>4.9733565942190206E-5</v>
      </c>
    </row>
    <row r="41" spans="1:13" ht="16.5" customHeight="1" x14ac:dyDescent="0.25">
      <c r="A41" s="95" t="s">
        <v>40</v>
      </c>
      <c r="B41" s="90">
        <f t="shared" ca="1" si="9"/>
        <v>674.15</v>
      </c>
      <c r="C41" s="89">
        <f ca="1">IFERROR(B41/B16, "NA")</f>
        <v>1.2249504314354823E-2</v>
      </c>
      <c r="D41" s="90">
        <f t="shared" ca="1" si="10"/>
        <v>198.24</v>
      </c>
      <c r="E41" s="89">
        <f ca="1">IFERROR(D41/D16, "NA")</f>
        <v>7.31069417666921E-3</v>
      </c>
      <c r="F41" s="90">
        <f t="shared" ca="1" si="11"/>
        <v>295.33</v>
      </c>
      <c r="G41" s="89">
        <f ca="1">IFERROR(F41/F16, "NA")</f>
        <v>8.5129529018927817E-3</v>
      </c>
      <c r="H41" s="90">
        <f t="shared" ca="1" si="12"/>
        <v>204.97</v>
      </c>
      <c r="I41" s="89">
        <f ca="1">IFERROR(H41/H16, "NA")</f>
        <v>5.8959214674881525E-3</v>
      </c>
      <c r="J41" s="104">
        <f t="shared" ca="1" si="13"/>
        <v>1372.69</v>
      </c>
      <c r="K41" s="89">
        <f ca="1">IFERROR(J41/J16, "NA")</f>
        <v>9.0542133465762696E-3</v>
      </c>
    </row>
    <row r="42" spans="1:13" ht="16.5" customHeight="1" x14ac:dyDescent="0.25">
      <c r="A42" s="91" t="s">
        <v>41</v>
      </c>
      <c r="B42" s="90">
        <f t="shared" ca="1" si="9"/>
        <v>10948.420000000002</v>
      </c>
      <c r="C42" s="89">
        <f ca="1">IFERROR(B42/B16, "NA")</f>
        <v>0.19893602021118245</v>
      </c>
      <c r="D42" s="90">
        <f t="shared" ca="1" si="10"/>
        <v>5359.95</v>
      </c>
      <c r="E42" s="89">
        <f ca="1">IFERROR(D42/D16, "NA")</f>
        <v>0.19766422140959508</v>
      </c>
      <c r="F42" s="90">
        <f t="shared" ca="1" si="11"/>
        <v>6550.89</v>
      </c>
      <c r="G42" s="89">
        <f ca="1">IFERROR(F42/F16, "NA")</f>
        <v>0.18883086051359635</v>
      </c>
      <c r="H42" s="90">
        <f t="shared" ca="1" si="12"/>
        <v>7496.71</v>
      </c>
      <c r="I42" s="89">
        <f ca="1">IFERROR(H42/H16, "NA")</f>
        <v>0.21564137885804316</v>
      </c>
      <c r="J42" s="90">
        <f t="shared" ca="1" si="13"/>
        <v>30355.97</v>
      </c>
      <c r="K42" s="89">
        <f ca="1">IFERROR(J42/J16, "NA")</f>
        <v>0.20022687476580209</v>
      </c>
    </row>
    <row r="43" spans="1:13" ht="16.5" customHeight="1" x14ac:dyDescent="0.25">
      <c r="A43" s="100" t="s">
        <v>42</v>
      </c>
      <c r="B43" s="98"/>
      <c r="C43" s="97"/>
      <c r="D43" s="98"/>
      <c r="E43" s="97"/>
      <c r="F43" s="98"/>
      <c r="G43" s="97"/>
      <c r="H43" s="98"/>
      <c r="I43" s="97"/>
      <c r="J43" s="98"/>
      <c r="K43" s="97"/>
    </row>
    <row r="44" spans="1:13" ht="16.5" hidden="1" customHeight="1" x14ac:dyDescent="0.25">
      <c r="A44" s="94" t="s">
        <v>43</v>
      </c>
      <c r="B44" s="93"/>
      <c r="C44" s="92"/>
      <c r="D44" s="93"/>
      <c r="E44" s="92"/>
      <c r="F44" s="93"/>
      <c r="G44" s="92"/>
      <c r="H44" s="93"/>
      <c r="I44" s="92"/>
      <c r="J44" s="93"/>
      <c r="K44" s="92"/>
    </row>
    <row r="45" spans="1:13" ht="16.5" customHeight="1" x14ac:dyDescent="0.25">
      <c r="A45" s="99" t="s">
        <v>44</v>
      </c>
      <c r="B45" s="98"/>
      <c r="C45" s="97"/>
      <c r="D45" s="98"/>
      <c r="E45" s="97"/>
      <c r="F45" s="98"/>
      <c r="G45" s="97"/>
      <c r="H45" s="98"/>
      <c r="I45" s="97"/>
      <c r="J45" s="98"/>
      <c r="K45" s="97"/>
    </row>
    <row r="46" spans="1:13" ht="16.5" hidden="1" customHeight="1" x14ac:dyDescent="0.25">
      <c r="A46" s="96" t="s">
        <v>45</v>
      </c>
      <c r="B46" s="93">
        <f t="shared" ref="B46:B51" ca="1" si="14">INDEX(INDIRECT("'"&amp;B$4&amp;"'!$1:$1048576"),MATCH($A46,INDIRECT("'"&amp;B$4&amp;"'!$A:$A"),0),MATCH($A$2,INDIRECT("'"&amp;B$4&amp;"'!$5:$5"),0))</f>
        <v>0</v>
      </c>
      <c r="C46" s="92">
        <f ca="1">IFERROR(B46/B16, "NA")</f>
        <v>0</v>
      </c>
      <c r="D46" s="93">
        <f t="shared" ref="D46:D51" ca="1" si="15">INDEX(INDIRECT("'"&amp;D$4&amp;"'!$1:$1048576"),MATCH($A46,INDIRECT("'"&amp;D$4&amp;"'!$A:$A"),0),MATCH($A$2,INDIRECT("'"&amp;D$4&amp;"'!$5:$5"),0))</f>
        <v>0</v>
      </c>
      <c r="E46" s="92">
        <f ca="1">IFERROR(D46/D16, "NA")</f>
        <v>0</v>
      </c>
      <c r="F46" s="93">
        <f t="shared" ref="F46:F51" ca="1" si="16">INDEX(INDIRECT("'"&amp;F$4&amp;"'!$1:$1048576"),MATCH($A46,INDIRECT("'"&amp;F$4&amp;"'!$A:$A"),0),MATCH($A$2,INDIRECT("'"&amp;F$4&amp;"'!$5:$5"),0))</f>
        <v>0</v>
      </c>
      <c r="G46" s="92">
        <f ca="1">IFERROR(F46/F16, "NA")</f>
        <v>0</v>
      </c>
      <c r="H46" s="93">
        <f t="shared" ref="H46:H51" ca="1" si="17">INDEX(INDIRECT("'"&amp;H$4&amp;"'!$1:$1048576"),MATCH($A46,INDIRECT("'"&amp;H$4&amp;"'!$A:$A"),0),MATCH($A$2,INDIRECT("'"&amp;H$4&amp;"'!$5:$5"),0))</f>
        <v>0</v>
      </c>
      <c r="I46" s="92">
        <f ca="1">IFERROR(H46/H16, "NA")</f>
        <v>0</v>
      </c>
      <c r="J46" s="93"/>
      <c r="K46" s="92">
        <f ca="1">IFERROR(J46/J16, "NA")</f>
        <v>0</v>
      </c>
    </row>
    <row r="47" spans="1:13" ht="16.5" customHeight="1" x14ac:dyDescent="0.25">
      <c r="A47" s="96" t="s">
        <v>46</v>
      </c>
      <c r="B47" s="93">
        <f t="shared" ca="1" si="14"/>
        <v>756.68</v>
      </c>
      <c r="C47" s="92">
        <f ca="1">IFERROR(B47/B16, "NA")</f>
        <v>1.3749098753372404E-2</v>
      </c>
      <c r="D47" s="93">
        <f t="shared" ca="1" si="15"/>
        <v>748.64</v>
      </c>
      <c r="E47" s="92">
        <f ca="1">IFERROR(D47/D16, "NA")</f>
        <v>2.7608343868147887E-2</v>
      </c>
      <c r="F47" s="93">
        <f t="shared" ca="1" si="16"/>
        <v>-237.85</v>
      </c>
      <c r="G47" s="92">
        <f ca="1">IFERROR(F47/F16, "NA")</f>
        <v>-6.8560791240822065E-3</v>
      </c>
      <c r="H47" s="93">
        <f t="shared" ca="1" si="17"/>
        <v>738.09</v>
      </c>
      <c r="I47" s="92">
        <f ca="1">IFERROR(H47/H16, "NA")</f>
        <v>2.1231012713754844E-2</v>
      </c>
      <c r="J47" s="104">
        <f ca="1">+H47+F47+D47+B47</f>
        <v>2005.56</v>
      </c>
      <c r="K47" s="92">
        <f ca="1">IFERROR(J47/J16, "NA")</f>
        <v>1.3228600863530369E-2</v>
      </c>
    </row>
    <row r="48" spans="1:13" ht="16.5" customHeight="1" x14ac:dyDescent="0.25">
      <c r="A48" s="96" t="s">
        <v>47</v>
      </c>
      <c r="B48" s="93">
        <f t="shared" ca="1" si="14"/>
        <v>1285.6400000000001</v>
      </c>
      <c r="C48" s="92">
        <f ca="1">IFERROR(B48/B16, "NA")</f>
        <v>2.3360457949576703E-2</v>
      </c>
      <c r="D48" s="93">
        <f t="shared" ca="1" si="15"/>
        <v>454.29</v>
      </c>
      <c r="E48" s="92">
        <f ca="1">IFERROR(D48/D16, "NA")</f>
        <v>1.6753305374894348E-2</v>
      </c>
      <c r="F48" s="93">
        <f t="shared" ca="1" si="16"/>
        <v>-33.72</v>
      </c>
      <c r="G48" s="92">
        <f ca="1">IFERROR(F48/F16, "NA")</f>
        <v>-9.7198649595985715E-4</v>
      </c>
      <c r="H48" s="93">
        <f t="shared" ca="1" si="17"/>
        <v>-5129.66</v>
      </c>
      <c r="I48" s="92">
        <f ca="1">IFERROR(H48/H16, "NA")</f>
        <v>-0.14755365426606468</v>
      </c>
      <c r="J48" s="104">
        <f ca="1">+H48+F48+D48+B48</f>
        <v>-3423.45</v>
      </c>
      <c r="K48" s="92">
        <f ca="1">IFERROR(J48/J16, "NA")</f>
        <v>-2.2580951767213666E-2</v>
      </c>
    </row>
    <row r="49" spans="1:11" ht="16.5" hidden="1" customHeight="1" x14ac:dyDescent="0.25">
      <c r="A49" s="96" t="s">
        <v>48</v>
      </c>
      <c r="B49" s="93">
        <f t="shared" ca="1" si="14"/>
        <v>0</v>
      </c>
      <c r="C49" s="92">
        <f ca="1">IFERROR(B49/B16, "NA")</f>
        <v>0</v>
      </c>
      <c r="D49" s="93">
        <f t="shared" ca="1" si="15"/>
        <v>0</v>
      </c>
      <c r="E49" s="92">
        <f ca="1">IFERROR(D49/D16, "NA")</f>
        <v>0</v>
      </c>
      <c r="F49" s="93">
        <f t="shared" ca="1" si="16"/>
        <v>0</v>
      </c>
      <c r="G49" s="92">
        <f ca="1">IFERROR(F49/F16, "NA")</f>
        <v>0</v>
      </c>
      <c r="H49" s="93">
        <f t="shared" ca="1" si="17"/>
        <v>0</v>
      </c>
      <c r="I49" s="92">
        <f ca="1">IFERROR(H49/H16, "NA")</f>
        <v>0</v>
      </c>
      <c r="J49" s="90">
        <f ca="1">+H49+F49+D49+B49</f>
        <v>0</v>
      </c>
      <c r="K49" s="92">
        <f ca="1">IFERROR(J49/J16, "NA")</f>
        <v>0</v>
      </c>
    </row>
    <row r="50" spans="1:11" ht="16.5" hidden="1" customHeight="1" x14ac:dyDescent="0.25">
      <c r="A50" s="96" t="s">
        <v>49</v>
      </c>
      <c r="B50" s="93">
        <f t="shared" ca="1" si="14"/>
        <v>0</v>
      </c>
      <c r="C50" s="92">
        <f ca="1">IFERROR(B50/B16, "NA")</f>
        <v>0</v>
      </c>
      <c r="D50" s="93">
        <f t="shared" ca="1" si="15"/>
        <v>0</v>
      </c>
      <c r="E50" s="92">
        <f ca="1">IFERROR(D50/D16, "NA")</f>
        <v>0</v>
      </c>
      <c r="F50" s="93">
        <f t="shared" ca="1" si="16"/>
        <v>0</v>
      </c>
      <c r="G50" s="92">
        <f ca="1">IFERROR(F50/F16, "NA")</f>
        <v>0</v>
      </c>
      <c r="H50" s="93">
        <f t="shared" ca="1" si="17"/>
        <v>0</v>
      </c>
      <c r="I50" s="92">
        <f ca="1">IFERROR(H50/H16, "NA")</f>
        <v>0</v>
      </c>
      <c r="J50" s="90">
        <f ca="1">+H50+F50+D50+B50</f>
        <v>0</v>
      </c>
      <c r="K50" s="92">
        <f ca="1">IFERROR(J50/J16, "NA")</f>
        <v>0</v>
      </c>
    </row>
    <row r="51" spans="1:11" ht="16.5" customHeight="1" x14ac:dyDescent="0.25">
      <c r="A51" s="95" t="s">
        <v>50</v>
      </c>
      <c r="B51" s="90">
        <f t="shared" ca="1" si="14"/>
        <v>2042.3200000000002</v>
      </c>
      <c r="C51" s="89">
        <f ca="1">IFERROR(B51/B16, "NA")</f>
        <v>3.7109556702949111E-2</v>
      </c>
      <c r="D51" s="90">
        <f t="shared" ca="1" si="15"/>
        <v>1202.93</v>
      </c>
      <c r="E51" s="89">
        <f ca="1">IFERROR(D51/D16, "NA")</f>
        <v>4.4361649243042242E-2</v>
      </c>
      <c r="F51" s="90">
        <f t="shared" ca="1" si="16"/>
        <v>-271.57</v>
      </c>
      <c r="G51" s="89">
        <f ca="1">IFERROR(F51/F16, "NA")</f>
        <v>-7.8280656200420632E-3</v>
      </c>
      <c r="H51" s="90">
        <f t="shared" ca="1" si="17"/>
        <v>-4391.57</v>
      </c>
      <c r="I51" s="89">
        <f ca="1">IFERROR(H51/H16, "NA")</f>
        <v>-0.12632264155230982</v>
      </c>
      <c r="J51" s="90">
        <f ca="1">+H51+F51+D51+B51</f>
        <v>-1417.889999999999</v>
      </c>
      <c r="K51" s="89">
        <f ca="1">IFERROR(J51/J16, "NA")</f>
        <v>-9.352350903683292E-3</v>
      </c>
    </row>
    <row r="52" spans="1:11" ht="16.5" customHeight="1" x14ac:dyDescent="0.25">
      <c r="A52" s="99" t="s">
        <v>51</v>
      </c>
      <c r="B52" s="98"/>
      <c r="C52" s="97"/>
      <c r="D52" s="98"/>
      <c r="E52" s="97"/>
      <c r="F52" s="98"/>
      <c r="G52" s="97"/>
      <c r="H52" s="98"/>
      <c r="I52" s="97"/>
      <c r="J52" s="98"/>
      <c r="K52" s="97"/>
    </row>
    <row r="53" spans="1:11" ht="16.5" hidden="1" customHeight="1" x14ac:dyDescent="0.25">
      <c r="A53" s="96" t="s">
        <v>52</v>
      </c>
      <c r="B53" s="93">
        <f t="shared" ref="B53:B64" ca="1" si="18">INDEX(INDIRECT("'"&amp;B$4&amp;"'!$1:$1048576"),MATCH($A53,INDIRECT("'"&amp;B$4&amp;"'!$A:$A"),0),MATCH($A$2,INDIRECT("'"&amp;B$4&amp;"'!$5:$5"),0))</f>
        <v>0</v>
      </c>
      <c r="C53" s="92">
        <f ca="1">IFERROR(B53/B16, "NA")</f>
        <v>0</v>
      </c>
      <c r="D53" s="93">
        <f t="shared" ref="D53:D64" ca="1" si="19">INDEX(INDIRECT("'"&amp;D$4&amp;"'!$1:$1048576"),MATCH($A53,INDIRECT("'"&amp;D$4&amp;"'!$A:$A"),0),MATCH($A$2,INDIRECT("'"&amp;D$4&amp;"'!$5:$5"),0))</f>
        <v>0</v>
      </c>
      <c r="E53" s="92">
        <f ca="1">IFERROR(D53/D16, "NA")</f>
        <v>0</v>
      </c>
      <c r="F53" s="93">
        <f t="shared" ref="F53:F64" ca="1" si="20">INDEX(INDIRECT("'"&amp;F$4&amp;"'!$1:$1048576"),MATCH($A53,INDIRECT("'"&amp;F$4&amp;"'!$A:$A"),0),MATCH($A$2,INDIRECT("'"&amp;F$4&amp;"'!$5:$5"),0))</f>
        <v>0</v>
      </c>
      <c r="G53" s="92">
        <f ca="1">IFERROR(F53/F16, "NA")</f>
        <v>0</v>
      </c>
      <c r="H53" s="93">
        <f t="shared" ref="H53:H64" ca="1" si="21">INDEX(INDIRECT("'"&amp;H$4&amp;"'!$1:$1048576"),MATCH($A53,INDIRECT("'"&amp;H$4&amp;"'!$A:$A"),0),MATCH($A$2,INDIRECT("'"&amp;H$4&amp;"'!$5:$5"),0))</f>
        <v>0</v>
      </c>
      <c r="I53" s="92">
        <f ca="1">IFERROR(H53/H16, "NA")</f>
        <v>0</v>
      </c>
      <c r="J53" s="93"/>
      <c r="K53" s="92">
        <f ca="1">IFERROR(J53/J16, "NA")</f>
        <v>0</v>
      </c>
    </row>
    <row r="54" spans="1:11" ht="16.5" customHeight="1" x14ac:dyDescent="0.25">
      <c r="A54" s="96" t="s">
        <v>53</v>
      </c>
      <c r="B54" s="93">
        <f t="shared" ca="1" si="18"/>
        <v>94.8</v>
      </c>
      <c r="C54" s="92">
        <f ca="1">IFERROR(B54/B16, "NA")</f>
        <v>1.722543957577449E-3</v>
      </c>
      <c r="D54" s="98">
        <f t="shared" ca="1" si="19"/>
        <v>165.79</v>
      </c>
      <c r="E54" s="89">
        <f ca="1">IFERROR(D54/D16, "NA")</f>
        <v>6.1140031656072855E-3</v>
      </c>
      <c r="F54" s="93">
        <f t="shared" ca="1" si="20"/>
        <v>53.76</v>
      </c>
      <c r="G54" s="92">
        <f ca="1">IFERROR(F54/F16, "NA")</f>
        <v>1.5496439508541494E-3</v>
      </c>
      <c r="H54" s="93">
        <f t="shared" ca="1" si="21"/>
        <v>180.05</v>
      </c>
      <c r="I54" s="92">
        <f ca="1">IFERROR(H54/H16, "NA")</f>
        <v>5.1791026014599301E-3</v>
      </c>
      <c r="J54" s="90">
        <f t="shared" ref="J54:J64" ca="1" si="22">+H54+F54+D54+B54</f>
        <v>494.40000000000003</v>
      </c>
      <c r="K54" s="92">
        <f ca="1">IFERROR(J54/J16, "NA")</f>
        <v>3.2610444299494483E-3</v>
      </c>
    </row>
    <row r="55" spans="1:11" ht="16.5" hidden="1" customHeight="1" x14ac:dyDescent="0.25">
      <c r="A55" s="96" t="s">
        <v>54</v>
      </c>
      <c r="B55" s="93">
        <f t="shared" ca="1" si="18"/>
        <v>0</v>
      </c>
      <c r="C55" s="92">
        <f ca="1">IFERROR(B55/B16, "NA")</f>
        <v>0</v>
      </c>
      <c r="D55" s="93">
        <f t="shared" ca="1" si="19"/>
        <v>0</v>
      </c>
      <c r="E55" s="92">
        <f ca="1">IFERROR(D55/D16, "NA")</f>
        <v>0</v>
      </c>
      <c r="F55" s="93">
        <f t="shared" ca="1" si="20"/>
        <v>0</v>
      </c>
      <c r="G55" s="92">
        <f ca="1">IFERROR(F55/F16, "NA")</f>
        <v>0</v>
      </c>
      <c r="H55" s="93">
        <f t="shared" ca="1" si="21"/>
        <v>0</v>
      </c>
      <c r="I55" s="92">
        <f ca="1">IFERROR(H55/H16, "NA")</f>
        <v>0</v>
      </c>
      <c r="J55" s="90">
        <f t="shared" ca="1" si="22"/>
        <v>0</v>
      </c>
      <c r="K55" s="92">
        <f ca="1">IFERROR(J55/J16, "NA")</f>
        <v>0</v>
      </c>
    </row>
    <row r="56" spans="1:11" ht="16.5" hidden="1" customHeight="1" x14ac:dyDescent="0.25">
      <c r="A56" s="96" t="s">
        <v>55</v>
      </c>
      <c r="B56" s="93">
        <f t="shared" ca="1" si="18"/>
        <v>0</v>
      </c>
      <c r="C56" s="92">
        <f ca="1">IFERROR(B56/B16, "NA")</f>
        <v>0</v>
      </c>
      <c r="D56" s="93">
        <f t="shared" ca="1" si="19"/>
        <v>0</v>
      </c>
      <c r="E56" s="92">
        <f ca="1">IFERROR(D56/D16, "NA")</f>
        <v>0</v>
      </c>
      <c r="F56" s="93">
        <f t="shared" ca="1" si="20"/>
        <v>0</v>
      </c>
      <c r="G56" s="92">
        <f ca="1">IFERROR(F56/F16, "NA")</f>
        <v>0</v>
      </c>
      <c r="H56" s="93">
        <f t="shared" ca="1" si="21"/>
        <v>0</v>
      </c>
      <c r="I56" s="92">
        <f ca="1">IFERROR(H56/H16, "NA")</f>
        <v>0</v>
      </c>
      <c r="J56" s="90">
        <f t="shared" ca="1" si="22"/>
        <v>0</v>
      </c>
      <c r="K56" s="92">
        <f ca="1">IFERROR(J56/J16, "NA")</f>
        <v>0</v>
      </c>
    </row>
    <row r="57" spans="1:11" ht="16.5" hidden="1" customHeight="1" x14ac:dyDescent="0.25">
      <c r="A57" s="96" t="s">
        <v>56</v>
      </c>
      <c r="B57" s="93">
        <f t="shared" ca="1" si="18"/>
        <v>0</v>
      </c>
      <c r="C57" s="92">
        <f ca="1">IFERROR(B57/B16, "NA")</f>
        <v>0</v>
      </c>
      <c r="D57" s="93">
        <f t="shared" ca="1" si="19"/>
        <v>0</v>
      </c>
      <c r="E57" s="92">
        <f ca="1">IFERROR(D57/D16, "NA")</f>
        <v>0</v>
      </c>
      <c r="F57" s="93">
        <f t="shared" ca="1" si="20"/>
        <v>0</v>
      </c>
      <c r="G57" s="92">
        <f ca="1">IFERROR(F57/F16, "NA")</f>
        <v>0</v>
      </c>
      <c r="H57" s="93">
        <f t="shared" ca="1" si="21"/>
        <v>0</v>
      </c>
      <c r="I57" s="92">
        <f ca="1">IFERROR(H57/H16, "NA")</f>
        <v>0</v>
      </c>
      <c r="J57" s="90">
        <f t="shared" ca="1" si="22"/>
        <v>0</v>
      </c>
      <c r="K57" s="92">
        <f ca="1">IFERROR(J57/J16, "NA")</f>
        <v>0</v>
      </c>
    </row>
    <row r="58" spans="1:11" ht="16.5" hidden="1" customHeight="1" x14ac:dyDescent="0.25">
      <c r="A58" s="96" t="s">
        <v>57</v>
      </c>
      <c r="B58" s="93">
        <f t="shared" ca="1" si="18"/>
        <v>0</v>
      </c>
      <c r="C58" s="92">
        <f ca="1">IFERROR(B58/B16, "NA")</f>
        <v>0</v>
      </c>
      <c r="D58" s="93">
        <f t="shared" ca="1" si="19"/>
        <v>0</v>
      </c>
      <c r="E58" s="92">
        <f ca="1">IFERROR(D58/D16, "NA")</f>
        <v>0</v>
      </c>
      <c r="F58" s="93">
        <f t="shared" ca="1" si="20"/>
        <v>0</v>
      </c>
      <c r="G58" s="92">
        <f ca="1">IFERROR(F58/F16, "NA")</f>
        <v>0</v>
      </c>
      <c r="H58" s="93">
        <f t="shared" ca="1" si="21"/>
        <v>0</v>
      </c>
      <c r="I58" s="92">
        <f ca="1">IFERROR(H58/H16, "NA")</f>
        <v>0</v>
      </c>
      <c r="J58" s="90">
        <f t="shared" ca="1" si="22"/>
        <v>0</v>
      </c>
      <c r="K58" s="92">
        <f ca="1">IFERROR(J58/J16, "NA")</f>
        <v>0</v>
      </c>
    </row>
    <row r="59" spans="1:11" ht="16.5" customHeight="1" x14ac:dyDescent="0.25">
      <c r="A59" s="95" t="s">
        <v>58</v>
      </c>
      <c r="B59" s="90">
        <f t="shared" ca="1" si="18"/>
        <v>94.8</v>
      </c>
      <c r="C59" s="89">
        <f ca="1">IFERROR(B59/B16, "NA")</f>
        <v>1.722543957577449E-3</v>
      </c>
      <c r="D59" s="90">
        <f t="shared" ca="1" si="19"/>
        <v>165.79</v>
      </c>
      <c r="E59" s="89">
        <f ca="1">IFERROR(D59/D16, "NA")</f>
        <v>6.1140031656072855E-3</v>
      </c>
      <c r="F59" s="90">
        <f t="shared" ca="1" si="20"/>
        <v>53.76</v>
      </c>
      <c r="G59" s="89">
        <f ca="1">IFERROR(F59/F16, "NA")</f>
        <v>1.5496439508541494E-3</v>
      </c>
      <c r="H59" s="90">
        <f t="shared" ca="1" si="21"/>
        <v>180.05</v>
      </c>
      <c r="I59" s="89">
        <f ca="1">IFERROR(H59/H16, "NA")</f>
        <v>5.1791026014599301E-3</v>
      </c>
      <c r="J59" s="90">
        <f t="shared" ca="1" si="22"/>
        <v>494.40000000000003</v>
      </c>
      <c r="K59" s="89">
        <f ca="1">IFERROR(J59/J16, "NA")</f>
        <v>3.2610444299494483E-3</v>
      </c>
    </row>
    <row r="60" spans="1:11" ht="21" customHeight="1" x14ac:dyDescent="0.25">
      <c r="A60" s="94" t="s">
        <v>59</v>
      </c>
      <c r="B60" s="93">
        <f t="shared" ca="1" si="18"/>
        <v>80.92</v>
      </c>
      <c r="C60" s="92">
        <f ca="1">IFERROR(B60/B16, "NA")</f>
        <v>1.4703402642106242E-3</v>
      </c>
      <c r="D60" s="93">
        <f t="shared" ca="1" si="19"/>
        <v>74.010000000000005</v>
      </c>
      <c r="E60" s="92">
        <f ca="1">IFERROR(D60/D16, "NA")</f>
        <v>2.7293405771554092E-3</v>
      </c>
      <c r="F60" s="93">
        <f t="shared" ca="1" si="20"/>
        <v>20.7</v>
      </c>
      <c r="G60" s="92">
        <f ca="1">IFERROR(F60/F16, "NA")</f>
        <v>5.9668210161236779E-4</v>
      </c>
      <c r="H60" s="93">
        <f t="shared" ca="1" si="21"/>
        <v>24.9</v>
      </c>
      <c r="I60" s="92">
        <f ca="1">IFERROR(H60/H16, "NA")</f>
        <v>7.1624356998807137E-4</v>
      </c>
      <c r="J60" s="104">
        <f t="shared" ca="1" si="22"/>
        <v>200.53</v>
      </c>
      <c r="K60" s="92">
        <f ca="1">IFERROR(J60/J16, "NA")</f>
        <v>1.3226885912980639E-3</v>
      </c>
    </row>
    <row r="61" spans="1:11" ht="16.5" customHeight="1" x14ac:dyDescent="0.25">
      <c r="A61" s="94" t="s">
        <v>60</v>
      </c>
      <c r="B61" s="93">
        <f t="shared" ca="1" si="18"/>
        <v>48</v>
      </c>
      <c r="C61" s="92">
        <f ca="1">IFERROR(B61/B16, "NA")</f>
        <v>8.7217415573541716E-4</v>
      </c>
      <c r="D61" s="93">
        <f t="shared" ca="1" si="19"/>
        <v>32</v>
      </c>
      <c r="E61" s="92">
        <f ca="1">IFERROR(D61/D16, "NA")</f>
        <v>1.180095912295272E-3</v>
      </c>
      <c r="F61" s="93">
        <f t="shared" ca="1" si="20"/>
        <v>41</v>
      </c>
      <c r="G61" s="92">
        <f ca="1">IFERROR(F61/F16, "NA")</f>
        <v>1.1818341143046899E-3</v>
      </c>
      <c r="H61" s="93">
        <f t="shared" ca="1" si="21"/>
        <v>45</v>
      </c>
      <c r="I61" s="92">
        <f ca="1">IFERROR(H61/H16, "NA")</f>
        <v>1.2944160903398882E-3</v>
      </c>
      <c r="J61" s="104">
        <f t="shared" ca="1" si="22"/>
        <v>166</v>
      </c>
      <c r="K61" s="92">
        <f ca="1">IFERROR(J61/J16, "NA")</f>
        <v>1.0949299663665219E-3</v>
      </c>
    </row>
    <row r="62" spans="1:11" ht="39" customHeight="1" x14ac:dyDescent="0.25">
      <c r="A62" s="105" t="s">
        <v>61</v>
      </c>
      <c r="B62" s="93">
        <f t="shared" ca="1" si="18"/>
        <v>0</v>
      </c>
      <c r="C62" s="92">
        <f ca="1">IFERROR(B62/B16, "NA")</f>
        <v>0</v>
      </c>
      <c r="D62" s="93">
        <f t="shared" ca="1" si="19"/>
        <v>0</v>
      </c>
      <c r="E62" s="92">
        <f ca="1">IFERROR(D62/D16, "NA")</f>
        <v>0</v>
      </c>
      <c r="F62" s="93">
        <f t="shared" ca="1" si="20"/>
        <v>0</v>
      </c>
      <c r="G62" s="92">
        <f ca="1">IFERROR(F62/F16, "NA")</f>
        <v>0</v>
      </c>
      <c r="H62" s="93">
        <f t="shared" ca="1" si="21"/>
        <v>0</v>
      </c>
      <c r="I62" s="92">
        <f ca="1">IFERROR(H62/H16, "NA")</f>
        <v>0</v>
      </c>
      <c r="J62" s="104">
        <f t="shared" ca="1" si="22"/>
        <v>0</v>
      </c>
      <c r="K62" s="92">
        <f ca="1">IFERROR(J62/J16, "NA")</f>
        <v>0</v>
      </c>
    </row>
    <row r="63" spans="1:11" ht="16.5" customHeight="1" x14ac:dyDescent="0.25">
      <c r="A63" s="91" t="s">
        <v>62</v>
      </c>
      <c r="B63" s="90">
        <f t="shared" ca="1" si="18"/>
        <v>2266.0400000000004</v>
      </c>
      <c r="C63" s="89">
        <f ca="1">IFERROR(B63/B16, "NA")</f>
        <v>4.1174615080472605E-2</v>
      </c>
      <c r="D63" s="90">
        <f t="shared" ca="1" si="19"/>
        <v>1474.73</v>
      </c>
      <c r="E63" s="89">
        <f ca="1">IFERROR(D63/D16, "NA")</f>
        <v>5.4385088898100203E-2</v>
      </c>
      <c r="F63" s="90">
        <f t="shared" ca="1" si="20"/>
        <v>-156.11000000000001</v>
      </c>
      <c r="G63" s="89">
        <f ca="1">IFERROR(F63/F16, "NA")</f>
        <v>-4.4999054532708577E-3</v>
      </c>
      <c r="H63" s="90">
        <f t="shared" ca="1" si="21"/>
        <v>-4141.62</v>
      </c>
      <c r="I63" s="89">
        <f ca="1">IFERROR(H63/H16, "NA")</f>
        <v>-0.11913287929052194</v>
      </c>
      <c r="J63" s="90">
        <f t="shared" ca="1" si="22"/>
        <v>-556.95999999999913</v>
      </c>
      <c r="K63" s="89">
        <f ca="1">IFERROR(J63/J16, "NA")</f>
        <v>-3.6736879160692592E-3</v>
      </c>
    </row>
    <row r="64" spans="1:11" ht="16.5" customHeight="1" x14ac:dyDescent="0.25">
      <c r="A64" s="88" t="s">
        <v>63</v>
      </c>
      <c r="B64" s="86">
        <f t="shared" ca="1" si="18"/>
        <v>13214.460000000001</v>
      </c>
      <c r="C64" s="87">
        <f ca="1">IFERROR(B64/B16, "NA")</f>
        <v>0.24011063529165502</v>
      </c>
      <c r="D64" s="86">
        <f t="shared" ca="1" si="19"/>
        <v>6834.68</v>
      </c>
      <c r="E64" s="87">
        <f ca="1">IFERROR(D64/D16, "NA")</f>
        <v>0.25204931030769534</v>
      </c>
      <c r="F64" s="86">
        <f t="shared" ca="1" si="20"/>
        <v>6394.78</v>
      </c>
      <c r="G64" s="87">
        <f ca="1">IFERROR(F64/F16, "NA")</f>
        <v>0.18433095506032549</v>
      </c>
      <c r="H64" s="86">
        <f t="shared" ca="1" si="21"/>
        <v>3355.0899999999997</v>
      </c>
      <c r="I64" s="87">
        <f ca="1">IFERROR(H64/H16, "NA")</f>
        <v>9.6508499567521222E-2</v>
      </c>
      <c r="J64" s="86">
        <f t="shared" ca="1" si="22"/>
        <v>29799.010000000002</v>
      </c>
      <c r="K64" s="85">
        <f ca="1">IFERROR(J64/J16, "NA")</f>
        <v>0.19655318684973283</v>
      </c>
    </row>
    <row r="65" spans="1:11" ht="3.75" customHeight="1" x14ac:dyDescent="0.25">
      <c r="A65" s="103" t="s">
        <v>2</v>
      </c>
      <c r="B65" s="102"/>
      <c r="C65" s="79"/>
      <c r="D65" s="102"/>
      <c r="E65" s="79"/>
      <c r="F65" s="102"/>
      <c r="G65" s="79"/>
      <c r="H65" s="102"/>
      <c r="I65" s="79"/>
      <c r="J65" s="102"/>
      <c r="K65" s="79"/>
    </row>
    <row r="66" spans="1:11" ht="16.5" customHeight="1" x14ac:dyDescent="0.25">
      <c r="A66" s="48" t="s">
        <v>64</v>
      </c>
      <c r="B66" s="83">
        <f ca="1">INDEX(INDIRECT("'"&amp;B$4&amp;"'!$1:$1048576"),MATCH($A66,INDIRECT("'"&amp;B$4&amp;"'!$A:$A"),0),MATCH($A$2,INDIRECT("'"&amp;B$4&amp;"'!$5:$5"),0))</f>
        <v>41820.420000000006</v>
      </c>
      <c r="C66" s="84">
        <f ca="1">IFERROR(B66/B16, "NA")</f>
        <v>0.75988936470834501</v>
      </c>
      <c r="D66" s="83">
        <f ca="1">INDEX(INDIRECT("'"&amp;D$4&amp;"'!$1:$1048576"),MATCH($A66,INDIRECT("'"&amp;D$4&amp;"'!$A:$A"),0),MATCH($A$2,INDIRECT("'"&amp;D$4&amp;"'!$5:$5"),0))</f>
        <v>20281.759999999995</v>
      </c>
      <c r="E66" s="84">
        <f ca="1">IFERROR(D66/D16, "NA")</f>
        <v>0.74795068969230472</v>
      </c>
      <c r="F66" s="83">
        <f ca="1">INDEX(INDIRECT("'"&amp;F$4&amp;"'!$1:$1048576"),MATCH($A66,INDIRECT("'"&amp;F$4&amp;"'!$A:$A"),0),MATCH($A$2,INDIRECT("'"&amp;F$4&amp;"'!$5:$5"),0))</f>
        <v>28297.05999999999</v>
      </c>
      <c r="G66" s="84">
        <f ca="1">IFERROR(F66/F16, "NA")</f>
        <v>0.81566904493967451</v>
      </c>
      <c r="H66" s="83">
        <f ca="1">INDEX(INDIRECT("'"&amp;H$4&amp;"'!$1:$1048576"),MATCH($A66,INDIRECT("'"&amp;H$4&amp;"'!$A:$A"),0),MATCH($A$2,INDIRECT("'"&amp;H$4&amp;"'!$5:$5"),0))</f>
        <v>31409.619999999992</v>
      </c>
      <c r="I66" s="84">
        <f ca="1">IFERROR(H66/H16, "NA")</f>
        <v>0.90349150043247872</v>
      </c>
      <c r="J66" s="90">
        <f ca="1">+H66+F66+D66+B66</f>
        <v>121808.85999999999</v>
      </c>
      <c r="K66" s="84">
        <f ca="1">IFERROR(J66/J16, "NA")</f>
        <v>0.80344681315026711</v>
      </c>
    </row>
    <row r="67" spans="1:11" ht="3.75" customHeight="1" x14ac:dyDescent="0.25">
      <c r="A67" s="81" t="s">
        <v>2</v>
      </c>
      <c r="B67" s="80"/>
      <c r="C67" s="79"/>
      <c r="D67" s="80"/>
      <c r="E67" s="79"/>
      <c r="F67" s="80"/>
      <c r="G67" s="79"/>
      <c r="H67" s="80"/>
      <c r="I67" s="79"/>
      <c r="J67" s="80"/>
      <c r="K67" s="79"/>
    </row>
    <row r="68" spans="1:11" ht="16.5" customHeight="1" x14ac:dyDescent="0.25">
      <c r="A68" s="101" t="s">
        <v>65</v>
      </c>
      <c r="B68" s="98"/>
      <c r="C68" s="97"/>
      <c r="D68" s="98"/>
      <c r="E68" s="97"/>
      <c r="F68" s="98"/>
      <c r="G68" s="97"/>
      <c r="H68" s="98"/>
      <c r="I68" s="97"/>
      <c r="J68" s="98"/>
      <c r="K68" s="97"/>
    </row>
    <row r="69" spans="1:11" ht="16.5" customHeight="1" x14ac:dyDescent="0.25">
      <c r="A69" s="100" t="s">
        <v>65</v>
      </c>
      <c r="B69" s="98"/>
      <c r="C69" s="97"/>
      <c r="D69" s="98"/>
      <c r="E69" s="97"/>
      <c r="F69" s="98"/>
      <c r="G69" s="97"/>
      <c r="H69" s="98"/>
      <c r="I69" s="97"/>
      <c r="J69" s="98"/>
      <c r="K69" s="97"/>
    </row>
    <row r="70" spans="1:11" ht="16.5" hidden="1" customHeight="1" x14ac:dyDescent="0.25">
      <c r="A70" s="94" t="s">
        <v>66</v>
      </c>
      <c r="B70" s="93"/>
      <c r="C70" s="92"/>
      <c r="D70" s="93"/>
      <c r="E70" s="92"/>
      <c r="F70" s="93"/>
      <c r="G70" s="92"/>
      <c r="H70" s="93"/>
      <c r="I70" s="92"/>
      <c r="J70" s="93"/>
      <c r="K70" s="92"/>
    </row>
    <row r="71" spans="1:11" ht="16.5" customHeight="1" x14ac:dyDescent="0.25">
      <c r="A71" s="99" t="s">
        <v>67</v>
      </c>
      <c r="B71" s="98"/>
      <c r="C71" s="97"/>
      <c r="D71" s="98"/>
      <c r="E71" s="97"/>
      <c r="F71" s="98"/>
      <c r="G71" s="97"/>
      <c r="H71" s="98"/>
      <c r="I71" s="97"/>
      <c r="J71" s="98"/>
      <c r="K71" s="97"/>
    </row>
    <row r="72" spans="1:11" ht="16.5" hidden="1" customHeight="1" x14ac:dyDescent="0.25">
      <c r="A72" s="96" t="s">
        <v>68</v>
      </c>
      <c r="B72" s="93">
        <f t="shared" ref="B72:B79" ca="1" si="23">INDEX(INDIRECT("'"&amp;B$4&amp;"'!$1:$1048576"),MATCH($A72,INDIRECT("'"&amp;B$4&amp;"'!$A:$A"),0),MATCH($A$2,INDIRECT("'"&amp;B$4&amp;"'!$5:$5"),0))</f>
        <v>0</v>
      </c>
      <c r="C72" s="92">
        <f ca="1">IFERROR(B72/B16, "NA")</f>
        <v>0</v>
      </c>
      <c r="D72" s="93">
        <f t="shared" ref="D72:D79" ca="1" si="24">INDEX(INDIRECT("'"&amp;D$4&amp;"'!$1:$1048576"),MATCH($A72,INDIRECT("'"&amp;D$4&amp;"'!$A:$A"),0),MATCH($A$2,INDIRECT("'"&amp;D$4&amp;"'!$5:$5"),0))</f>
        <v>0</v>
      </c>
      <c r="E72" s="92">
        <f ca="1">IFERROR(D72/D16, "NA")</f>
        <v>0</v>
      </c>
      <c r="F72" s="93">
        <f t="shared" ref="F72:F79" ca="1" si="25">INDEX(INDIRECT("'"&amp;F$4&amp;"'!$1:$1048576"),MATCH($A72,INDIRECT("'"&amp;F$4&amp;"'!$A:$A"),0),MATCH($A$2,INDIRECT("'"&amp;F$4&amp;"'!$5:$5"),0))</f>
        <v>0</v>
      </c>
      <c r="G72" s="92">
        <f ca="1">IFERROR(F72/F16, "NA")</f>
        <v>0</v>
      </c>
      <c r="H72" s="93">
        <f t="shared" ref="H72:H79" ca="1" si="26">INDEX(INDIRECT("'"&amp;H$4&amp;"'!$1:$1048576"),MATCH($A72,INDIRECT("'"&amp;H$4&amp;"'!$A:$A"),0),MATCH($A$2,INDIRECT("'"&amp;H$4&amp;"'!$5:$5"),0))</f>
        <v>0</v>
      </c>
      <c r="I72" s="92">
        <f ca="1">IFERROR(H72/H16, "NA")</f>
        <v>0</v>
      </c>
      <c r="J72" s="93"/>
      <c r="K72" s="92">
        <f ca="1">IFERROR(J72/J16, "NA")</f>
        <v>0</v>
      </c>
    </row>
    <row r="73" spans="1:11" ht="16.5" customHeight="1" x14ac:dyDescent="0.25">
      <c r="A73" s="96" t="s">
        <v>69</v>
      </c>
      <c r="B73" s="93">
        <f t="shared" ca="1" si="23"/>
        <v>1326.92</v>
      </c>
      <c r="C73" s="92">
        <f ca="1">IFERROR(B73/B16, "NA")</f>
        <v>2.4110527723509162E-2</v>
      </c>
      <c r="D73" s="93">
        <f t="shared" ca="1" si="24"/>
        <v>1410</v>
      </c>
      <c r="E73" s="92">
        <f ca="1">IFERROR(D73/D16, "NA")</f>
        <v>5.1997976135510424E-2</v>
      </c>
      <c r="F73" s="93">
        <f t="shared" ca="1" si="25"/>
        <v>1461.54</v>
      </c>
      <c r="G73" s="92">
        <f ca="1">IFERROR(F73/F16, "NA")</f>
        <v>4.2129215400509179E-2</v>
      </c>
      <c r="H73" s="93">
        <f t="shared" ca="1" si="26"/>
        <v>2625</v>
      </c>
      <c r="I73" s="92">
        <f ca="1">IFERROR(H73/H16, "NA")</f>
        <v>7.5507605269826805E-2</v>
      </c>
      <c r="J73" s="93">
        <f ca="1">+H73+F73+D73+B73</f>
        <v>6823.46</v>
      </c>
      <c r="K73" s="92">
        <f ca="1">IFERROR(J73/J16, "NA")</f>
        <v>4.500729414640546E-2</v>
      </c>
    </row>
    <row r="74" spans="1:11" ht="16.5" hidden="1" customHeight="1" x14ac:dyDescent="0.25">
      <c r="A74" s="96" t="s">
        <v>70</v>
      </c>
      <c r="B74" s="93">
        <f t="shared" ca="1" si="23"/>
        <v>0</v>
      </c>
      <c r="C74" s="92">
        <f ca="1">IFERROR(B74/B16, "NA")</f>
        <v>0</v>
      </c>
      <c r="D74" s="93">
        <f t="shared" ca="1" si="24"/>
        <v>0</v>
      </c>
      <c r="E74" s="92">
        <f ca="1">IFERROR(D74/D16, "NA")</f>
        <v>0</v>
      </c>
      <c r="F74" s="93">
        <f t="shared" ca="1" si="25"/>
        <v>0</v>
      </c>
      <c r="G74" s="92">
        <f ca="1">IFERROR(F74/F16, "NA")</f>
        <v>0</v>
      </c>
      <c r="H74" s="93">
        <f t="shared" ca="1" si="26"/>
        <v>0</v>
      </c>
      <c r="I74" s="92">
        <f ca="1">IFERROR(H74/H16, "NA")</f>
        <v>0</v>
      </c>
      <c r="J74" s="93" t="e">
        <f ca="1">+H74+F74+D74+B74+#REF!</f>
        <v>#REF!</v>
      </c>
      <c r="K74" s="92" t="str">
        <f ca="1">IFERROR(J74/J16, "NA")</f>
        <v>NA</v>
      </c>
    </row>
    <row r="75" spans="1:11" ht="16.5" customHeight="1" x14ac:dyDescent="0.25">
      <c r="A75" s="96" t="s">
        <v>71</v>
      </c>
      <c r="B75" s="93">
        <f t="shared" ca="1" si="23"/>
        <v>7294.88</v>
      </c>
      <c r="C75" s="92">
        <f ca="1">IFERROR(B75/B16, "NA")</f>
        <v>0.13255012094148291</v>
      </c>
      <c r="D75" s="93">
        <f t="shared" ca="1" si="24"/>
        <v>6060.67</v>
      </c>
      <c r="E75" s="92">
        <f ca="1">IFERROR(D75/D16, "NA")</f>
        <v>0.22350537164908083</v>
      </c>
      <c r="F75" s="93">
        <f t="shared" ca="1" si="25"/>
        <v>4373.3500000000004</v>
      </c>
      <c r="G75" s="92">
        <f ca="1">IFERROR(F75/F16, "NA")</f>
        <v>0.12606278594620526</v>
      </c>
      <c r="H75" s="93">
        <f t="shared" ca="1" si="26"/>
        <v>6269.29</v>
      </c>
      <c r="I75" s="92">
        <f ca="1">IFERROR(H75/H16, "NA")</f>
        <v>0.18033488557793237</v>
      </c>
      <c r="J75" s="93">
        <f ca="1">+H75+F75+D75+B75</f>
        <v>23998.19</v>
      </c>
      <c r="K75" s="92">
        <f ca="1">IFERROR(J75/J16, "NA")</f>
        <v>0.15829118897323732</v>
      </c>
    </row>
    <row r="76" spans="1:11" ht="16.5" customHeight="1" x14ac:dyDescent="0.25">
      <c r="A76" s="96" t="s">
        <v>72</v>
      </c>
      <c r="B76" s="93">
        <f t="shared" ca="1" si="23"/>
        <v>280.27</v>
      </c>
      <c r="C76" s="92">
        <f ca="1">IFERROR(B76/B16, "NA")</f>
        <v>5.0925885547492781E-3</v>
      </c>
      <c r="D76" s="93">
        <f t="shared" ca="1" si="24"/>
        <v>0</v>
      </c>
      <c r="E76" s="92">
        <f ca="1">IFERROR(D76/D16, "NA")</f>
        <v>0</v>
      </c>
      <c r="F76" s="93">
        <f t="shared" ca="1" si="25"/>
        <v>52.89</v>
      </c>
      <c r="G76" s="92">
        <f ca="1">IFERROR(F76/F16, "NA")</f>
        <v>1.5245660074530499E-3</v>
      </c>
      <c r="H76" s="93">
        <f t="shared" ca="1" si="26"/>
        <v>0</v>
      </c>
      <c r="I76" s="92">
        <f ca="1">IFERROR(H76/H16, "NA")</f>
        <v>0</v>
      </c>
      <c r="J76" s="93">
        <f ca="1">+H76+F76+D76+B76</f>
        <v>333.15999999999997</v>
      </c>
      <c r="K76" s="92">
        <f ca="1">IFERROR(J76/J16, "NA")</f>
        <v>2.1975112505703033E-3</v>
      </c>
    </row>
    <row r="77" spans="1:11" ht="16.5" customHeight="1" x14ac:dyDescent="0.25">
      <c r="A77" s="95" t="s">
        <v>73</v>
      </c>
      <c r="B77" s="90">
        <f t="shared" ca="1" si="23"/>
        <v>8902.07</v>
      </c>
      <c r="C77" s="89">
        <f ca="1">IFERROR(B77/B16, "NA")</f>
        <v>0.16175323721974136</v>
      </c>
      <c r="D77" s="90">
        <f t="shared" ca="1" si="24"/>
        <v>7470.67</v>
      </c>
      <c r="E77" s="89">
        <f ca="1">IFERROR(D77/D16, "NA")</f>
        <v>0.27550334778459123</v>
      </c>
      <c r="F77" s="90">
        <f t="shared" ca="1" si="25"/>
        <v>5887.7800000000007</v>
      </c>
      <c r="G77" s="89">
        <f ca="1">IFERROR(F77/F16, "NA")</f>
        <v>0.16971656735416751</v>
      </c>
      <c r="H77" s="90">
        <f t="shared" ca="1" si="26"/>
        <v>8894.2900000000009</v>
      </c>
      <c r="I77" s="89">
        <f ca="1">IFERROR(H77/H16, "NA")</f>
        <v>0.25584249084775923</v>
      </c>
      <c r="J77" s="90">
        <f ca="1">+H77+F77+D77+B77</f>
        <v>31154.81</v>
      </c>
      <c r="K77" s="89">
        <f ca="1">IFERROR(J77/J16, "NA")</f>
        <v>0.20549599437021313</v>
      </c>
    </row>
    <row r="78" spans="1:11" ht="16.5" hidden="1" customHeight="1" x14ac:dyDescent="0.25">
      <c r="A78" s="94" t="s">
        <v>74</v>
      </c>
      <c r="B78" s="93">
        <f t="shared" ca="1" si="23"/>
        <v>0</v>
      </c>
      <c r="C78" s="92">
        <f ca="1">IFERROR(B78/B16, "NA")</f>
        <v>0</v>
      </c>
      <c r="D78" s="93">
        <f t="shared" ca="1" si="24"/>
        <v>0</v>
      </c>
      <c r="E78" s="92">
        <f ca="1">IFERROR(D78/D16, "NA")</f>
        <v>0</v>
      </c>
      <c r="F78" s="93">
        <f t="shared" ca="1" si="25"/>
        <v>0</v>
      </c>
      <c r="G78" s="92">
        <f ca="1">IFERROR(F78/F16, "NA")</f>
        <v>0</v>
      </c>
      <c r="H78" s="93">
        <f t="shared" ca="1" si="26"/>
        <v>0</v>
      </c>
      <c r="I78" s="92">
        <f ca="1">IFERROR(H78/H16, "NA")</f>
        <v>0</v>
      </c>
      <c r="J78" s="93"/>
      <c r="K78" s="92">
        <f ca="1">IFERROR(J78/J16, "NA")</f>
        <v>0</v>
      </c>
    </row>
    <row r="79" spans="1:11" ht="16.5" customHeight="1" x14ac:dyDescent="0.25">
      <c r="A79" s="94" t="s">
        <v>75</v>
      </c>
      <c r="B79" s="93">
        <f t="shared" ca="1" si="23"/>
        <v>0</v>
      </c>
      <c r="C79" s="92">
        <f ca="1">IFERROR(B79/B16, "NA")</f>
        <v>0</v>
      </c>
      <c r="D79" s="93">
        <f t="shared" ca="1" si="24"/>
        <v>0</v>
      </c>
      <c r="E79" s="92">
        <f ca="1">IFERROR(D79/D16, "NA")</f>
        <v>0</v>
      </c>
      <c r="F79" s="93">
        <f t="shared" ca="1" si="25"/>
        <v>0</v>
      </c>
      <c r="G79" s="92">
        <f ca="1">IFERROR(F79/F16, "NA")</f>
        <v>0</v>
      </c>
      <c r="H79" s="93">
        <f t="shared" ca="1" si="26"/>
        <v>0</v>
      </c>
      <c r="I79" s="92">
        <f ca="1">IFERROR(H79/H16, "NA")</f>
        <v>0</v>
      </c>
      <c r="J79" s="93">
        <f ca="1">+H79+F79+D79+B79</f>
        <v>0</v>
      </c>
      <c r="K79" s="92">
        <f ca="1">IFERROR(J79/J16, "NA")</f>
        <v>0</v>
      </c>
    </row>
    <row r="80" spans="1:11" ht="16.5" customHeight="1" x14ac:dyDescent="0.25">
      <c r="A80" s="99" t="s">
        <v>76</v>
      </c>
      <c r="B80" s="98"/>
      <c r="C80" s="97"/>
      <c r="D80" s="98"/>
      <c r="E80" s="97"/>
      <c r="F80" s="98"/>
      <c r="G80" s="97"/>
      <c r="H80" s="98"/>
      <c r="I80" s="97"/>
      <c r="J80" s="98"/>
      <c r="K80" s="97"/>
    </row>
    <row r="81" spans="1:11" ht="16.5" customHeight="1" x14ac:dyDescent="0.25">
      <c r="A81" s="96" t="s">
        <v>77</v>
      </c>
      <c r="B81" s="93">
        <f t="shared" ref="B81:B92" ca="1" si="27">INDEX(INDIRECT("'"&amp;B$4&amp;"'!$1:$1048576"),MATCH($A81,INDIRECT("'"&amp;B$4&amp;"'!$A:$A"),0),MATCH($A$2,INDIRECT("'"&amp;B$4&amp;"'!$5:$5"),0))</f>
        <v>959.49</v>
      </c>
      <c r="C81" s="92">
        <f ca="1">IFERROR(B81/B16, "NA")</f>
        <v>1.7434216264303654E-2</v>
      </c>
      <c r="D81" s="93">
        <f t="shared" ref="D81:D92" ca="1" si="28">INDEX(INDIRECT("'"&amp;D$4&amp;"'!$1:$1048576"),MATCH($A81,INDIRECT("'"&amp;D$4&amp;"'!$A:$A"),0),MATCH($A$2,INDIRECT("'"&amp;D$4&amp;"'!$5:$5"),0))</f>
        <v>671.28</v>
      </c>
      <c r="E81" s="92">
        <f ca="1">IFERROR(D81/D16, "NA")</f>
        <v>2.4755462000174068E-2</v>
      </c>
      <c r="F81" s="93">
        <f t="shared" ref="F81:F92" ca="1" si="29">INDEX(INDIRECT("'"&amp;F$4&amp;"'!$1:$1048576"),MATCH($A81,INDIRECT("'"&amp;F$4&amp;"'!$A:$A"),0),MATCH($A$2,INDIRECT("'"&amp;F$4&amp;"'!$5:$5"),0))</f>
        <v>517.99</v>
      </c>
      <c r="G81" s="92">
        <f ca="1">IFERROR(F81/F16, "NA")</f>
        <v>1.4931176899236252E-2</v>
      </c>
      <c r="H81" s="93">
        <f t="shared" ref="H81:H92" ca="1" si="30">INDEX(INDIRECT("'"&amp;H$4&amp;"'!$1:$1048576"),MATCH($A81,INDIRECT("'"&amp;H$4&amp;"'!$A:$A"),0),MATCH($A$2,INDIRECT("'"&amp;H$4&amp;"'!$5:$5"),0))</f>
        <v>758.23</v>
      </c>
      <c r="I81" s="92">
        <f ca="1">IFERROR(H81/H16, "NA")</f>
        <v>2.1810335826186963E-2</v>
      </c>
      <c r="J81" s="93">
        <f ca="1">+H81+F81+D81+B81</f>
        <v>2906.99</v>
      </c>
      <c r="K81" s="92">
        <f ca="1">IFERROR(J81/J16, "NA")</f>
        <v>1.9174400379083221E-2</v>
      </c>
    </row>
    <row r="82" spans="1:11" ht="16.5" hidden="1" customHeight="1" x14ac:dyDescent="0.25">
      <c r="A82" s="96" t="s">
        <v>78</v>
      </c>
      <c r="B82" s="93">
        <f t="shared" ca="1" si="27"/>
        <v>0</v>
      </c>
      <c r="C82" s="92">
        <f ca="1">IFERROR(B82/B16, "NA")</f>
        <v>0</v>
      </c>
      <c r="D82" s="93">
        <f t="shared" ca="1" si="28"/>
        <v>0</v>
      </c>
      <c r="E82" s="92">
        <f ca="1">IFERROR(D82/D16, "NA")</f>
        <v>0</v>
      </c>
      <c r="F82" s="93">
        <f t="shared" ca="1" si="29"/>
        <v>0</v>
      </c>
      <c r="G82" s="92">
        <f ca="1">IFERROR(F82/F16, "NA")</f>
        <v>0</v>
      </c>
      <c r="H82" s="93">
        <f t="shared" ca="1" si="30"/>
        <v>0</v>
      </c>
      <c r="I82" s="92">
        <f ca="1">IFERROR(H82/H16, "NA")</f>
        <v>0</v>
      </c>
      <c r="J82" s="93" t="e">
        <f ca="1">+H82+F82+D82+B82+#REF!</f>
        <v>#REF!</v>
      </c>
      <c r="K82" s="92" t="str">
        <f ca="1">IFERROR(J82/J16, "NA")</f>
        <v>NA</v>
      </c>
    </row>
    <row r="83" spans="1:11" ht="16.5" hidden="1" customHeight="1" x14ac:dyDescent="0.25">
      <c r="A83" s="96" t="s">
        <v>79</v>
      </c>
      <c r="B83" s="93">
        <f t="shared" ca="1" si="27"/>
        <v>0</v>
      </c>
      <c r="C83" s="92">
        <f ca="1">IFERROR(B83/B16, "NA")</f>
        <v>0</v>
      </c>
      <c r="D83" s="93">
        <f t="shared" ca="1" si="28"/>
        <v>0</v>
      </c>
      <c r="E83" s="92">
        <f ca="1">IFERROR(D83/D16, "NA")</f>
        <v>0</v>
      </c>
      <c r="F83" s="93">
        <f t="shared" ca="1" si="29"/>
        <v>0</v>
      </c>
      <c r="G83" s="92">
        <f ca="1">IFERROR(F83/F16, "NA")</f>
        <v>0</v>
      </c>
      <c r="H83" s="93">
        <f t="shared" ca="1" si="30"/>
        <v>0</v>
      </c>
      <c r="I83" s="92">
        <f ca="1">IFERROR(H83/H16, "NA")</f>
        <v>0</v>
      </c>
      <c r="J83" s="93" t="e">
        <f ca="1">+H83+F83+D83+B83+#REF!</f>
        <v>#REF!</v>
      </c>
      <c r="K83" s="92" t="str">
        <f ca="1">IFERROR(J83/J16, "NA")</f>
        <v>NA</v>
      </c>
    </row>
    <row r="84" spans="1:11" ht="16.5" hidden="1" customHeight="1" x14ac:dyDescent="0.25">
      <c r="A84" s="96" t="s">
        <v>80</v>
      </c>
      <c r="B84" s="93">
        <f t="shared" ca="1" si="27"/>
        <v>0</v>
      </c>
      <c r="C84" s="92">
        <f ca="1">IFERROR(B84/B16, "NA")</f>
        <v>0</v>
      </c>
      <c r="D84" s="93">
        <f t="shared" ca="1" si="28"/>
        <v>0</v>
      </c>
      <c r="E84" s="92">
        <f ca="1">IFERROR(D84/D16, "NA")</f>
        <v>0</v>
      </c>
      <c r="F84" s="93">
        <f t="shared" ca="1" si="29"/>
        <v>0</v>
      </c>
      <c r="G84" s="92">
        <f ca="1">IFERROR(F84/F16, "NA")</f>
        <v>0</v>
      </c>
      <c r="H84" s="93">
        <f t="shared" ca="1" si="30"/>
        <v>0</v>
      </c>
      <c r="I84" s="92">
        <f ca="1">IFERROR(H84/H16, "NA")</f>
        <v>0</v>
      </c>
      <c r="J84" s="93" t="e">
        <f ca="1">+H84+F84+D84+B84+#REF!</f>
        <v>#REF!</v>
      </c>
      <c r="K84" s="92" t="str">
        <f ca="1">IFERROR(J84/J16, "NA")</f>
        <v>NA</v>
      </c>
    </row>
    <row r="85" spans="1:11" ht="16.5" hidden="1" customHeight="1" x14ac:dyDescent="0.25">
      <c r="A85" s="96" t="s">
        <v>81</v>
      </c>
      <c r="B85" s="93">
        <f t="shared" ca="1" si="27"/>
        <v>0</v>
      </c>
      <c r="C85" s="92">
        <f ca="1">IFERROR(B85/B16, "NA")</f>
        <v>0</v>
      </c>
      <c r="D85" s="93">
        <f t="shared" ca="1" si="28"/>
        <v>0</v>
      </c>
      <c r="E85" s="92">
        <f ca="1">IFERROR(D85/D16, "NA")</f>
        <v>0</v>
      </c>
      <c r="F85" s="93">
        <f t="shared" ca="1" si="29"/>
        <v>0</v>
      </c>
      <c r="G85" s="92">
        <f ca="1">IFERROR(F85/F16, "NA")</f>
        <v>0</v>
      </c>
      <c r="H85" s="93">
        <f t="shared" ca="1" si="30"/>
        <v>0</v>
      </c>
      <c r="I85" s="92">
        <f ca="1">IFERROR(H85/H16, "NA")</f>
        <v>0</v>
      </c>
      <c r="J85" s="93" t="e">
        <f ca="1">+H85+F85+D85+B85+#REF!</f>
        <v>#REF!</v>
      </c>
      <c r="K85" s="92" t="str">
        <f ca="1">IFERROR(J85/J16, "NA")</f>
        <v>NA</v>
      </c>
    </row>
    <row r="86" spans="1:11" ht="16.5" hidden="1" customHeight="1" x14ac:dyDescent="0.25">
      <c r="A86" s="96" t="s">
        <v>82</v>
      </c>
      <c r="B86" s="93">
        <f t="shared" ca="1" si="27"/>
        <v>0</v>
      </c>
      <c r="C86" s="92">
        <f ca="1">IFERROR(B86/B16, "NA")</f>
        <v>0</v>
      </c>
      <c r="D86" s="93">
        <f t="shared" ca="1" si="28"/>
        <v>0</v>
      </c>
      <c r="E86" s="92">
        <f ca="1">IFERROR(D86/D16, "NA")</f>
        <v>0</v>
      </c>
      <c r="F86" s="93">
        <f t="shared" ca="1" si="29"/>
        <v>0</v>
      </c>
      <c r="G86" s="92">
        <f ca="1">IFERROR(F86/F16, "NA")</f>
        <v>0</v>
      </c>
      <c r="H86" s="93">
        <f t="shared" ca="1" si="30"/>
        <v>0</v>
      </c>
      <c r="I86" s="92">
        <f ca="1">IFERROR(H86/H16, "NA")</f>
        <v>0</v>
      </c>
      <c r="J86" s="93" t="e">
        <f ca="1">+H86+F86+D86+B86+#REF!</f>
        <v>#REF!</v>
      </c>
      <c r="K86" s="92" t="str">
        <f ca="1">IFERROR(J86/J16, "NA")</f>
        <v>NA</v>
      </c>
    </row>
    <row r="87" spans="1:11" ht="16.5" hidden="1" customHeight="1" x14ac:dyDescent="0.25">
      <c r="A87" s="96" t="s">
        <v>83</v>
      </c>
      <c r="B87" s="93">
        <f t="shared" ca="1" si="27"/>
        <v>0</v>
      </c>
      <c r="C87" s="92">
        <f ca="1">IFERROR(B87/B16, "NA")</f>
        <v>0</v>
      </c>
      <c r="D87" s="93">
        <f t="shared" ca="1" si="28"/>
        <v>0</v>
      </c>
      <c r="E87" s="92">
        <f ca="1">IFERROR(D87/D16, "NA")</f>
        <v>0</v>
      </c>
      <c r="F87" s="93">
        <f t="shared" ca="1" si="29"/>
        <v>0</v>
      </c>
      <c r="G87" s="92">
        <f ca="1">IFERROR(F87/F16, "NA")</f>
        <v>0</v>
      </c>
      <c r="H87" s="93">
        <f t="shared" ca="1" si="30"/>
        <v>0</v>
      </c>
      <c r="I87" s="92">
        <f ca="1">IFERROR(H87/H16, "NA")</f>
        <v>0</v>
      </c>
      <c r="J87" s="93" t="e">
        <f ca="1">+H87+F87+D87+B87+#REF!</f>
        <v>#REF!</v>
      </c>
      <c r="K87" s="92" t="str">
        <f ca="1">IFERROR(J87/J16, "NA")</f>
        <v>NA</v>
      </c>
    </row>
    <row r="88" spans="1:11" ht="16.5" customHeight="1" x14ac:dyDescent="0.25">
      <c r="A88" s="95" t="s">
        <v>84</v>
      </c>
      <c r="B88" s="90">
        <f t="shared" ca="1" si="27"/>
        <v>959.49</v>
      </c>
      <c r="C88" s="89">
        <f ca="1">IFERROR(B88/B16, "NA")</f>
        <v>1.7434216264303654E-2</v>
      </c>
      <c r="D88" s="90">
        <f t="shared" ca="1" si="28"/>
        <v>671.28</v>
      </c>
      <c r="E88" s="89">
        <f ca="1">IFERROR(D88/D16, "NA")</f>
        <v>2.4755462000174068E-2</v>
      </c>
      <c r="F88" s="90">
        <f t="shared" ca="1" si="29"/>
        <v>517.99</v>
      </c>
      <c r="G88" s="89">
        <f ca="1">IFERROR(F88/F16, "NA")</f>
        <v>1.4931176899236252E-2</v>
      </c>
      <c r="H88" s="90">
        <f t="shared" ca="1" si="30"/>
        <v>758.23</v>
      </c>
      <c r="I88" s="89">
        <f ca="1">IFERROR(H88/H16, "NA")</f>
        <v>2.1810335826186963E-2</v>
      </c>
      <c r="J88" s="90">
        <f ca="1">+H88+F88+D88+B88</f>
        <v>2906.99</v>
      </c>
      <c r="K88" s="89">
        <f ca="1">IFERROR(J88/J16, "NA")</f>
        <v>1.9174400379083221E-2</v>
      </c>
    </row>
    <row r="89" spans="1:11" ht="16.5" customHeight="1" x14ac:dyDescent="0.25">
      <c r="A89" s="94" t="s">
        <v>85</v>
      </c>
      <c r="B89" s="93">
        <f t="shared" ca="1" si="27"/>
        <v>0</v>
      </c>
      <c r="C89" s="92">
        <f ca="1">IFERROR(B89/B16, "NA")</f>
        <v>0</v>
      </c>
      <c r="D89" s="93">
        <f t="shared" ca="1" si="28"/>
        <v>0</v>
      </c>
      <c r="E89" s="92">
        <f ca="1">IFERROR(D89/D16, "NA")</f>
        <v>0</v>
      </c>
      <c r="F89" s="93">
        <f t="shared" ca="1" si="29"/>
        <v>0</v>
      </c>
      <c r="G89" s="92">
        <f ca="1">IFERROR(F89/F16, "NA")</f>
        <v>0</v>
      </c>
      <c r="H89" s="93">
        <f t="shared" ca="1" si="30"/>
        <v>0</v>
      </c>
      <c r="I89" s="92">
        <f ca="1">IFERROR(H89/H16, "NA")</f>
        <v>0</v>
      </c>
      <c r="J89" s="93">
        <f ca="1">+H89+F89+D89+B89</f>
        <v>0</v>
      </c>
      <c r="K89" s="92">
        <f ca="1">IFERROR(J89/J16, "NA")</f>
        <v>0</v>
      </c>
    </row>
    <row r="90" spans="1:11" ht="16.5" customHeight="1" x14ac:dyDescent="0.25">
      <c r="A90" s="94" t="s">
        <v>86</v>
      </c>
      <c r="B90" s="93">
        <f t="shared" ca="1" si="27"/>
        <v>-61.25</v>
      </c>
      <c r="C90" s="92">
        <f ca="1">IFERROR(B90/B16, "NA")</f>
        <v>-1.1129305633082146E-3</v>
      </c>
      <c r="D90" s="93">
        <f t="shared" ca="1" si="28"/>
        <v>-1.66</v>
      </c>
      <c r="E90" s="92">
        <f ca="1">IFERROR(D90/D16, "NA")</f>
        <v>-6.1217475450317239E-5</v>
      </c>
      <c r="F90" s="93">
        <f t="shared" ca="1" si="29"/>
        <v>-159.66</v>
      </c>
      <c r="G90" s="92">
        <f ca="1">IFERROR(F90/F16, "NA")</f>
        <v>-4.6022349924362627E-3</v>
      </c>
      <c r="H90" s="93">
        <f t="shared" ca="1" si="30"/>
        <v>-9.06</v>
      </c>
      <c r="I90" s="92">
        <f ca="1">IFERROR(H90/H16, "NA")</f>
        <v>-2.6060910618843079E-4</v>
      </c>
      <c r="J90" s="93">
        <f ca="1">+H90+F90+D90+B90</f>
        <v>-231.63</v>
      </c>
      <c r="K90" s="92">
        <f ca="1">IFERROR(J90/J16, "NA")</f>
        <v>-1.5278230609004665E-3</v>
      </c>
    </row>
    <row r="91" spans="1:11" ht="16.5" customHeight="1" x14ac:dyDescent="0.25">
      <c r="A91" s="91" t="s">
        <v>87</v>
      </c>
      <c r="B91" s="90">
        <f t="shared" ca="1" si="27"/>
        <v>9800.31</v>
      </c>
      <c r="C91" s="89">
        <f ca="1">IFERROR(B91/B16, "NA")</f>
        <v>0.17807452292073678</v>
      </c>
      <c r="D91" s="90">
        <f t="shared" ca="1" si="28"/>
        <v>8140.29</v>
      </c>
      <c r="E91" s="89">
        <f ca="1">IFERROR(D91/D16, "NA")</f>
        <v>0.30019759230931498</v>
      </c>
      <c r="F91" s="90">
        <f t="shared" ca="1" si="29"/>
        <v>6246.1100000000006</v>
      </c>
      <c r="G91" s="89">
        <f ca="1">IFERROR(F91/F16, "NA")</f>
        <v>0.18004550926096749</v>
      </c>
      <c r="H91" s="90">
        <f t="shared" ca="1" si="30"/>
        <v>9643.4600000000009</v>
      </c>
      <c r="I91" s="89">
        <f ca="1">IFERROR(H91/H16, "NA")</f>
        <v>0.27739221756775773</v>
      </c>
      <c r="J91" s="90">
        <f ca="1">+H91+F91+D91+B91</f>
        <v>33830.17</v>
      </c>
      <c r="K91" s="89">
        <f ca="1">IFERROR(J91/J16, "NA")</f>
        <v>0.22314257168839585</v>
      </c>
    </row>
    <row r="92" spans="1:11" ht="16.5" customHeight="1" x14ac:dyDescent="0.25">
      <c r="A92" s="88" t="s">
        <v>87</v>
      </c>
      <c r="B92" s="86">
        <f t="shared" ca="1" si="27"/>
        <v>9800.31</v>
      </c>
      <c r="C92" s="87">
        <f ca="1">IFERROR(B92/B16, "NA")</f>
        <v>0.17807452292073678</v>
      </c>
      <c r="D92" s="86">
        <f t="shared" ca="1" si="28"/>
        <v>8140.29</v>
      </c>
      <c r="E92" s="87">
        <f ca="1">IFERROR(D92/D16, "NA")</f>
        <v>0.30019759230931498</v>
      </c>
      <c r="F92" s="86">
        <f t="shared" ca="1" si="29"/>
        <v>6246.1100000000006</v>
      </c>
      <c r="G92" s="87">
        <f ca="1">IFERROR(F92/F16, "NA")</f>
        <v>0.18004550926096749</v>
      </c>
      <c r="H92" s="86">
        <f t="shared" ca="1" si="30"/>
        <v>9643.4600000000009</v>
      </c>
      <c r="I92" s="87">
        <f ca="1">IFERROR(H92/H16, "NA")</f>
        <v>0.27739221756775773</v>
      </c>
      <c r="J92" s="86">
        <f ca="1">+H92+F92+D92+B92</f>
        <v>33830.17</v>
      </c>
      <c r="K92" s="85">
        <f ca="1">IFERROR(J92/J16, "NA")</f>
        <v>0.22314257168839585</v>
      </c>
    </row>
    <row r="93" spans="1:11" ht="3.75" customHeight="1" x14ac:dyDescent="0.25">
      <c r="A93" s="81" t="s">
        <v>2</v>
      </c>
      <c r="B93" s="80"/>
      <c r="C93" s="79"/>
      <c r="D93" s="80"/>
      <c r="E93" s="79"/>
      <c r="F93" s="80"/>
      <c r="G93" s="79"/>
      <c r="H93" s="80"/>
      <c r="I93" s="79"/>
      <c r="J93" s="80"/>
      <c r="K93" s="79"/>
    </row>
    <row r="94" spans="1:11" ht="15" customHeight="1" x14ac:dyDescent="0.25">
      <c r="A94" s="48" t="s">
        <v>88</v>
      </c>
      <c r="B94" s="83">
        <f ca="1">INDEX(INDIRECT("'"&amp;B$4&amp;"'!$1:$1048576"),MATCH($A94,INDIRECT("'"&amp;B$4&amp;"'!$A:$A"),0),MATCH($A$2,INDIRECT("'"&amp;B$4&amp;"'!$5:$5"),0))</f>
        <v>32020.110000000008</v>
      </c>
      <c r="C94" s="84">
        <f ca="1">IFERROR(B94/B16, "NA")</f>
        <v>0.58181484178760823</v>
      </c>
      <c r="D94" s="83">
        <f ca="1">INDEX(INDIRECT("'"&amp;D$4&amp;"'!$1:$1048576"),MATCH($A94,INDIRECT("'"&amp;D$4&amp;"'!$A:$A"),0),MATCH($A$2,INDIRECT("'"&amp;D$4&amp;"'!$5:$5"),0))</f>
        <v>12141.469999999994</v>
      </c>
      <c r="E94" s="84">
        <f ca="1">IFERROR(D94/D16, "NA")</f>
        <v>0.44775309738298968</v>
      </c>
      <c r="F94" s="83">
        <f ca="1">INDEX(INDIRECT("'"&amp;F$4&amp;"'!$1:$1048576"),MATCH($A94,INDIRECT("'"&amp;F$4&amp;"'!$A:$A"),0),MATCH($A$2,INDIRECT("'"&amp;F$4&amp;"'!$5:$5"),0))</f>
        <v>22050.94999999999</v>
      </c>
      <c r="G94" s="84">
        <f ca="1">IFERROR(F94/F16, "NA")</f>
        <v>0.63562353567870711</v>
      </c>
      <c r="H94" s="83">
        <f ca="1">INDEX(INDIRECT("'"&amp;H$4&amp;"'!$1:$1048576"),MATCH($A94,INDIRECT("'"&amp;H$4&amp;"'!$A:$A"),0),MATCH($A$2,INDIRECT("'"&amp;H$4&amp;"'!$5:$5"),0))</f>
        <v>21766.159999999989</v>
      </c>
      <c r="I94" s="84">
        <f ca="1">IFERROR(H94/H16, "NA")</f>
        <v>0.62609928286472094</v>
      </c>
      <c r="J94" s="83">
        <f ca="1">+H94+F94+D94+B94</f>
        <v>87978.689999999973</v>
      </c>
      <c r="K94" s="82">
        <f ca="1">IFERROR(J94/J16, "NA")</f>
        <v>0.58030424146187121</v>
      </c>
    </row>
    <row r="95" spans="1:11" ht="15" customHeight="1" x14ac:dyDescent="0.25">
      <c r="A95" s="81" t="s">
        <v>2</v>
      </c>
      <c r="B95" s="80"/>
      <c r="C95" s="79"/>
      <c r="D95" s="80"/>
      <c r="E95" s="79"/>
      <c r="F95" s="80"/>
      <c r="G95" s="79"/>
      <c r="H95" s="80"/>
      <c r="I95" s="79"/>
    </row>
    <row r="96" spans="1:11" ht="15" customHeight="1" x14ac:dyDescent="0.25"/>
  </sheetData>
  <mergeCells count="8">
    <mergeCell ref="J4:K4"/>
    <mergeCell ref="A1:I1"/>
    <mergeCell ref="A2:I2"/>
    <mergeCell ref="A3:I3"/>
    <mergeCell ref="B4:C4"/>
    <mergeCell ref="D4:E4"/>
    <mergeCell ref="F4:G4"/>
    <mergeCell ref="H4:I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L15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sqref="A1:XFD1048576"/>
    </sheetView>
  </sheetViews>
  <sheetFormatPr defaultRowHeight="15" x14ac:dyDescent="0.25"/>
  <cols>
    <col min="1" max="1" width="42.85546875" customWidth="1"/>
    <col min="2" max="2" width="17.140625" customWidth="1"/>
    <col min="3" max="3" width="9.42578125" customWidth="1"/>
    <col min="4" max="4" width="17.140625" customWidth="1"/>
    <col min="5" max="5" width="9.42578125" customWidth="1"/>
    <col min="6" max="6" width="17.140625" customWidth="1"/>
    <col min="7" max="7" width="9.42578125" customWidth="1"/>
    <col min="8" max="8" width="17.140625" customWidth="1"/>
    <col min="9" max="9" width="9.42578125" customWidth="1"/>
    <col min="10" max="10" width="17.140625" customWidth="1"/>
    <col min="11" max="11" width="9.42578125" customWidth="1"/>
    <col min="12" max="12" width="17.140625" customWidth="1"/>
    <col min="13" max="13" width="9.42578125" customWidth="1"/>
    <col min="14" max="14" width="17.140625" customWidth="1"/>
    <col min="15" max="15" width="9.42578125" customWidth="1"/>
    <col min="16" max="16" width="17.140625" customWidth="1"/>
    <col min="17" max="17" width="9.42578125" customWidth="1"/>
    <col min="18" max="18" width="17.140625" customWidth="1"/>
    <col min="19" max="19" width="9.42578125" customWidth="1"/>
    <col min="20" max="20" width="17.140625" customWidth="1"/>
    <col min="21" max="21" width="9.42578125" customWidth="1"/>
    <col min="22" max="22" width="17.140625" customWidth="1"/>
    <col min="23" max="23" width="9.42578125" customWidth="1"/>
    <col min="24" max="24" width="17.140625" customWidth="1"/>
    <col min="25" max="25" width="9.42578125" customWidth="1"/>
    <col min="26" max="26" width="17.140625" customWidth="1"/>
    <col min="27" max="27" width="9.42578125" customWidth="1"/>
    <col min="28" max="28" width="17.140625" customWidth="1"/>
    <col min="29" max="29" width="9.42578125" customWidth="1"/>
    <col min="30" max="30" width="16.7109375" customWidth="1"/>
    <col min="31" max="31" width="0" hidden="1" customWidth="1"/>
    <col min="32" max="32" width="16.7109375" customWidth="1"/>
    <col min="33" max="33" width="17.140625" customWidth="1"/>
    <col min="34" max="34" width="9.42578125" customWidth="1"/>
    <col min="35" max="35" width="16.7109375" customWidth="1"/>
    <col min="36" max="36" width="0" hidden="1" customWidth="1"/>
    <col min="37" max="37" width="16.7109375" customWidth="1"/>
    <col min="38" max="38" width="0" hidden="1" customWidth="1"/>
  </cols>
  <sheetData>
    <row r="1" spans="1:38" ht="33.75" x14ac:dyDescent="0.25">
      <c r="A1" s="151" t="s">
        <v>243</v>
      </c>
      <c r="B1" s="151" t="s">
        <v>243</v>
      </c>
      <c r="C1" s="151" t="s">
        <v>243</v>
      </c>
      <c r="D1" s="151" t="s">
        <v>243</v>
      </c>
      <c r="E1" s="151" t="s">
        <v>243</v>
      </c>
      <c r="F1" s="151" t="s">
        <v>243</v>
      </c>
      <c r="G1" s="151" t="s">
        <v>243</v>
      </c>
      <c r="H1" s="151" t="s">
        <v>243</v>
      </c>
      <c r="I1" s="151" t="s">
        <v>243</v>
      </c>
      <c r="J1" s="151" t="s">
        <v>243</v>
      </c>
      <c r="K1" s="151" t="s">
        <v>243</v>
      </c>
      <c r="L1" s="151" t="s">
        <v>243</v>
      </c>
      <c r="M1" s="151" t="s">
        <v>243</v>
      </c>
      <c r="N1" s="151" t="s">
        <v>243</v>
      </c>
      <c r="O1" s="151" t="s">
        <v>243</v>
      </c>
      <c r="P1" s="151" t="s">
        <v>243</v>
      </c>
      <c r="Q1" s="151" t="s">
        <v>243</v>
      </c>
      <c r="R1" s="151" t="s">
        <v>243</v>
      </c>
      <c r="S1" s="151" t="s">
        <v>243</v>
      </c>
      <c r="T1" s="151" t="s">
        <v>243</v>
      </c>
      <c r="U1" s="151" t="s">
        <v>243</v>
      </c>
      <c r="V1" s="151" t="s">
        <v>243</v>
      </c>
      <c r="W1" s="151" t="s">
        <v>243</v>
      </c>
      <c r="X1" s="151" t="s">
        <v>243</v>
      </c>
      <c r="Y1" s="151" t="s">
        <v>243</v>
      </c>
      <c r="Z1" s="151" t="s">
        <v>243</v>
      </c>
      <c r="AA1" s="151" t="s">
        <v>243</v>
      </c>
      <c r="AB1" s="151" t="s">
        <v>243</v>
      </c>
      <c r="AC1" s="151" t="s">
        <v>243</v>
      </c>
      <c r="AD1" s="151" t="s">
        <v>243</v>
      </c>
      <c r="AE1" s="151" t="s">
        <v>243</v>
      </c>
      <c r="AF1" s="151" t="s">
        <v>243</v>
      </c>
      <c r="AG1" s="151" t="s">
        <v>243</v>
      </c>
      <c r="AH1" s="151" t="s">
        <v>243</v>
      </c>
      <c r="AI1" s="151" t="s">
        <v>243</v>
      </c>
      <c r="AJ1" s="151" t="s">
        <v>243</v>
      </c>
      <c r="AK1" s="151" t="s">
        <v>243</v>
      </c>
      <c r="AL1" s="151" t="s">
        <v>243</v>
      </c>
    </row>
    <row r="2" spans="1:38" ht="23.25" x14ac:dyDescent="0.25">
      <c r="A2" s="152" t="s">
        <v>246</v>
      </c>
      <c r="B2" s="152" t="s">
        <v>246</v>
      </c>
      <c r="C2" s="152" t="s">
        <v>246</v>
      </c>
      <c r="D2" s="152" t="s">
        <v>246</v>
      </c>
      <c r="E2" s="152" t="s">
        <v>246</v>
      </c>
      <c r="F2" s="152" t="s">
        <v>246</v>
      </c>
      <c r="G2" s="152" t="s">
        <v>246</v>
      </c>
      <c r="H2" s="152" t="s">
        <v>246</v>
      </c>
      <c r="I2" s="152" t="s">
        <v>246</v>
      </c>
      <c r="J2" s="152" t="s">
        <v>246</v>
      </c>
      <c r="K2" s="152" t="s">
        <v>246</v>
      </c>
      <c r="L2" s="152" t="s">
        <v>246</v>
      </c>
      <c r="M2" s="152" t="s">
        <v>246</v>
      </c>
      <c r="N2" s="152" t="s">
        <v>246</v>
      </c>
      <c r="O2" s="152" t="s">
        <v>246</v>
      </c>
      <c r="P2" s="152" t="s">
        <v>246</v>
      </c>
      <c r="Q2" s="152" t="s">
        <v>246</v>
      </c>
      <c r="R2" s="152" t="s">
        <v>246</v>
      </c>
      <c r="S2" s="152" t="s">
        <v>246</v>
      </c>
      <c r="T2" s="152" t="s">
        <v>246</v>
      </c>
      <c r="U2" s="152" t="s">
        <v>246</v>
      </c>
      <c r="V2" s="152" t="s">
        <v>246</v>
      </c>
      <c r="W2" s="152" t="s">
        <v>246</v>
      </c>
      <c r="X2" s="152" t="s">
        <v>246</v>
      </c>
      <c r="Y2" s="152" t="s">
        <v>246</v>
      </c>
      <c r="Z2" s="152" t="s">
        <v>246</v>
      </c>
      <c r="AA2" s="152" t="s">
        <v>246</v>
      </c>
      <c r="AB2" s="152" t="s">
        <v>246</v>
      </c>
      <c r="AC2" s="152" t="s">
        <v>246</v>
      </c>
      <c r="AD2" s="152" t="s">
        <v>246</v>
      </c>
      <c r="AE2" s="152" t="s">
        <v>246</v>
      </c>
      <c r="AF2" s="152" t="s">
        <v>246</v>
      </c>
      <c r="AG2" s="152" t="s">
        <v>246</v>
      </c>
      <c r="AH2" s="152" t="s">
        <v>246</v>
      </c>
      <c r="AI2" s="152" t="s">
        <v>246</v>
      </c>
      <c r="AJ2" s="152" t="s">
        <v>246</v>
      </c>
      <c r="AK2" s="152" t="s">
        <v>246</v>
      </c>
      <c r="AL2" s="152" t="s">
        <v>246</v>
      </c>
    </row>
    <row r="3" spans="1:38" ht="15.75" x14ac:dyDescent="0.25">
      <c r="A3" s="153" t="s">
        <v>1</v>
      </c>
      <c r="B3" s="153" t="s">
        <v>1</v>
      </c>
      <c r="C3" s="153" t="s">
        <v>1</v>
      </c>
      <c r="D3" s="153" t="s">
        <v>1</v>
      </c>
      <c r="E3" s="153" t="s">
        <v>1</v>
      </c>
      <c r="F3" s="153" t="s">
        <v>1</v>
      </c>
      <c r="G3" s="153" t="s">
        <v>1</v>
      </c>
      <c r="H3" s="153" t="s">
        <v>1</v>
      </c>
      <c r="I3" s="153" t="s">
        <v>1</v>
      </c>
      <c r="J3" s="153" t="s">
        <v>1</v>
      </c>
      <c r="K3" s="153" t="s">
        <v>1</v>
      </c>
      <c r="L3" s="153" t="s">
        <v>1</v>
      </c>
      <c r="M3" s="153" t="s">
        <v>1</v>
      </c>
      <c r="N3" s="153" t="s">
        <v>1</v>
      </c>
      <c r="O3" s="153" t="s">
        <v>1</v>
      </c>
      <c r="P3" s="153" t="s">
        <v>1</v>
      </c>
      <c r="Q3" s="153" t="s">
        <v>1</v>
      </c>
      <c r="R3" s="153" t="s">
        <v>1</v>
      </c>
      <c r="S3" s="153" t="s">
        <v>1</v>
      </c>
      <c r="T3" s="153" t="s">
        <v>1</v>
      </c>
      <c r="U3" s="153" t="s">
        <v>1</v>
      </c>
      <c r="V3" s="153" t="s">
        <v>1</v>
      </c>
      <c r="W3" s="153" t="s">
        <v>1</v>
      </c>
      <c r="X3" s="153" t="s">
        <v>1</v>
      </c>
      <c r="Y3" s="153" t="s">
        <v>1</v>
      </c>
      <c r="Z3" s="153" t="s">
        <v>1</v>
      </c>
      <c r="AA3" s="153" t="s">
        <v>1</v>
      </c>
      <c r="AB3" s="153" t="s">
        <v>1</v>
      </c>
      <c r="AC3" s="153" t="s">
        <v>1</v>
      </c>
      <c r="AD3" s="153" t="s">
        <v>1</v>
      </c>
      <c r="AE3" s="153" t="s">
        <v>1</v>
      </c>
      <c r="AF3" s="153" t="s">
        <v>1</v>
      </c>
      <c r="AG3" s="153" t="s">
        <v>1</v>
      </c>
      <c r="AH3" s="153" t="s">
        <v>1</v>
      </c>
      <c r="AI3" s="153" t="s">
        <v>1</v>
      </c>
      <c r="AJ3" s="153" t="s">
        <v>1</v>
      </c>
      <c r="AK3" s="153" t="s">
        <v>1</v>
      </c>
      <c r="AL3" s="153" t="s">
        <v>1</v>
      </c>
    </row>
    <row r="5" spans="1:38" ht="13.5" customHeight="1" x14ac:dyDescent="0.25">
      <c r="A5" s="110" t="s">
        <v>2</v>
      </c>
      <c r="B5" s="154" t="s">
        <v>3</v>
      </c>
      <c r="C5" s="155" t="s">
        <v>2</v>
      </c>
      <c r="D5" s="154" t="s">
        <v>4</v>
      </c>
      <c r="E5" s="155" t="s">
        <v>2</v>
      </c>
      <c r="F5" s="154" t="s">
        <v>5</v>
      </c>
      <c r="G5" s="155" t="s">
        <v>2</v>
      </c>
      <c r="H5" s="154" t="s">
        <v>6</v>
      </c>
      <c r="I5" s="155" t="s">
        <v>2</v>
      </c>
      <c r="J5" s="154" t="s">
        <v>237</v>
      </c>
      <c r="K5" s="155" t="s">
        <v>2</v>
      </c>
      <c r="L5" s="154" t="s">
        <v>238</v>
      </c>
      <c r="M5" s="155" t="s">
        <v>2</v>
      </c>
      <c r="N5" s="154" t="s">
        <v>239</v>
      </c>
      <c r="O5" s="155" t="s">
        <v>2</v>
      </c>
      <c r="P5" s="154" t="s">
        <v>240</v>
      </c>
      <c r="Q5" s="155" t="s">
        <v>2</v>
      </c>
      <c r="R5" s="154" t="s">
        <v>241</v>
      </c>
      <c r="S5" s="155" t="s">
        <v>2</v>
      </c>
      <c r="T5" s="154" t="s">
        <v>242</v>
      </c>
      <c r="U5" s="155" t="s">
        <v>2</v>
      </c>
      <c r="V5" s="154" t="s">
        <v>244</v>
      </c>
      <c r="W5" s="155" t="s">
        <v>2</v>
      </c>
      <c r="X5" s="154" t="s">
        <v>245</v>
      </c>
      <c r="Y5" s="155" t="s">
        <v>2</v>
      </c>
      <c r="Z5" s="154" t="s">
        <v>7</v>
      </c>
      <c r="AA5" s="155" t="s">
        <v>2</v>
      </c>
      <c r="AB5" s="154" t="s">
        <v>8</v>
      </c>
      <c r="AC5" s="155" t="s">
        <v>2</v>
      </c>
      <c r="AD5" s="156" t="s">
        <v>9</v>
      </c>
      <c r="AE5" s="157" t="s">
        <v>2</v>
      </c>
      <c r="AF5" s="143" t="s">
        <v>10</v>
      </c>
      <c r="AG5" s="154" t="s">
        <v>11</v>
      </c>
      <c r="AH5" s="155" t="s">
        <v>2</v>
      </c>
      <c r="AI5" s="156" t="s">
        <v>12</v>
      </c>
      <c r="AJ5" s="157" t="s">
        <v>2</v>
      </c>
      <c r="AK5" s="156" t="s">
        <v>13</v>
      </c>
      <c r="AL5" s="157" t="s">
        <v>2</v>
      </c>
    </row>
    <row r="6" spans="1:38" ht="16.5" customHeight="1" x14ac:dyDescent="0.25">
      <c r="A6" s="1" t="s">
        <v>14</v>
      </c>
      <c r="B6" s="111"/>
      <c r="C6" s="112"/>
      <c r="D6" s="111"/>
      <c r="E6" s="112"/>
      <c r="F6" s="111"/>
      <c r="G6" s="112"/>
      <c r="H6" s="111"/>
      <c r="I6" s="112"/>
      <c r="J6" s="111"/>
      <c r="K6" s="112"/>
      <c r="L6" s="111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  <c r="X6" s="111"/>
      <c r="Y6" s="112"/>
      <c r="Z6" s="111"/>
      <c r="AA6" s="112"/>
      <c r="AB6" s="111"/>
      <c r="AC6" s="112"/>
      <c r="AD6" s="113"/>
      <c r="AE6" s="114"/>
      <c r="AF6" s="113"/>
      <c r="AG6" s="111"/>
      <c r="AH6" s="112"/>
      <c r="AI6" s="113"/>
      <c r="AJ6" s="114"/>
      <c r="AK6" s="113"/>
      <c r="AL6" s="114"/>
    </row>
    <row r="7" spans="1:38" ht="16.5" customHeight="1" x14ac:dyDescent="0.25">
      <c r="A7" s="2" t="s">
        <v>14</v>
      </c>
      <c r="B7" s="115">
        <v>144101.72000000009</v>
      </c>
      <c r="C7" s="116">
        <f>IFERROR(B7/B148, "NA")</f>
        <v>1.0000000000000007</v>
      </c>
      <c r="D7" s="115">
        <v>113357.77000000003</v>
      </c>
      <c r="E7" s="116">
        <f>IFERROR(D7/D148, "NA")</f>
        <v>1.0000000000000004</v>
      </c>
      <c r="F7" s="115">
        <v>127939.99999999996</v>
      </c>
      <c r="G7" s="116">
        <f>IFERROR(F7/F148, "NA")</f>
        <v>0.99999999999999967</v>
      </c>
      <c r="H7" s="115">
        <v>124888.67000000004</v>
      </c>
      <c r="I7" s="116">
        <f>IFERROR(H7/H148, "NA")</f>
        <v>1.0000000000000004</v>
      </c>
      <c r="J7" s="115">
        <v>126954.92999999998</v>
      </c>
      <c r="K7" s="116">
        <f>IFERROR(J7/J148, "NA")</f>
        <v>0.99999999999999978</v>
      </c>
      <c r="L7" s="115">
        <v>123223.21000000002</v>
      </c>
      <c r="M7" s="116">
        <f>IFERROR(L7/L148, "NA")</f>
        <v>1.0000000000000002</v>
      </c>
      <c r="N7" s="115">
        <v>127813.03000000001</v>
      </c>
      <c r="O7" s="116">
        <f>IFERROR(N7/N148, "NA")</f>
        <v>1.0000000000000002</v>
      </c>
      <c r="P7" s="115">
        <v>111167.46999999997</v>
      </c>
      <c r="Q7" s="116">
        <f>IFERROR(P7/P148, "NA")</f>
        <v>0.99999999999999978</v>
      </c>
      <c r="R7" s="115">
        <v>134857.38000000003</v>
      </c>
      <c r="S7" s="116">
        <f>IFERROR(R7/R148, "NA")</f>
        <v>1.0000000000000002</v>
      </c>
      <c r="T7" s="115">
        <v>129020.88000000005</v>
      </c>
      <c r="U7" s="116">
        <f>IFERROR(T7/T148, "NA")</f>
        <v>1.0000000000000004</v>
      </c>
      <c r="V7" s="115">
        <v>135479.31000000003</v>
      </c>
      <c r="W7" s="116">
        <f>IFERROR(V7/V148, "NA")</f>
        <v>1.0000000000000002</v>
      </c>
      <c r="X7" s="115">
        <v>151607.87</v>
      </c>
      <c r="Y7" s="116">
        <f>IFERROR(X7/X148, "NA")</f>
        <v>1</v>
      </c>
      <c r="Z7" s="115">
        <v>287087.18000000005</v>
      </c>
      <c r="AA7" s="116">
        <f>IFERROR(Z7/Z148, "NA")</f>
        <v>1.0000000000000002</v>
      </c>
      <c r="AB7" s="117">
        <f>IFERROR((R7+T7+V7+X7)/4, "NA")</f>
        <v>137741.36000000002</v>
      </c>
      <c r="AC7" s="116">
        <f>IFERROR(AB7/AB148, "NA")</f>
        <v>1.0000000000000002</v>
      </c>
      <c r="AD7" s="118">
        <f>IFERROR(X7-AB7, "NA")</f>
        <v>13866.50999999998</v>
      </c>
      <c r="AE7" s="119">
        <f>IFERROR(AD7/AD148, "NA")</f>
        <v>0.99999999999999789</v>
      </c>
      <c r="AF7" s="118">
        <f>IFERROR((X7-AB7)/AB7, "NA")</f>
        <v>0.10067063371524702</v>
      </c>
      <c r="AG7" s="117">
        <f>IFERROR((J7+L7+N7+P7+R7+T7+V7+X7)/8, "NA")</f>
        <v>130015.51000000001</v>
      </c>
      <c r="AH7" s="116">
        <f>IFERROR(AG7/AG148, "NA")</f>
        <v>1.0000000000000002</v>
      </c>
      <c r="AI7" s="118">
        <f>IFERROR(X7-AG7, "NA")</f>
        <v>21592.359999999986</v>
      </c>
      <c r="AJ7" s="119">
        <f>IFERROR(AI7/AI148, "NA")</f>
        <v>0.99999999999999933</v>
      </c>
      <c r="AK7" s="118">
        <f>IFERROR((X7-AG7)/AG7, "NA")</f>
        <v>0.16607526286671478</v>
      </c>
      <c r="AL7" s="119">
        <f>IFERROR(AK7/AK148, "NA")</f>
        <v>0.99999999999999911</v>
      </c>
    </row>
    <row r="8" spans="1:38" ht="30.75" hidden="1" customHeight="1" x14ac:dyDescent="0.25">
      <c r="A8" s="2" t="s">
        <v>15</v>
      </c>
      <c r="B8" s="115">
        <v>0</v>
      </c>
      <c r="C8" s="116">
        <f>IFERROR(B8/B148, "NA")</f>
        <v>0</v>
      </c>
      <c r="D8" s="115">
        <v>0</v>
      </c>
      <c r="E8" s="116">
        <f>IFERROR(D8/D148, "NA")</f>
        <v>0</v>
      </c>
      <c r="F8" s="115">
        <v>0</v>
      </c>
      <c r="G8" s="116">
        <f>IFERROR(F8/F148, "NA")</f>
        <v>0</v>
      </c>
      <c r="H8" s="115">
        <v>0</v>
      </c>
      <c r="I8" s="116">
        <f>IFERROR(H8/H148, "NA")</f>
        <v>0</v>
      </c>
      <c r="J8" s="115">
        <v>0</v>
      </c>
      <c r="K8" s="116">
        <f>IFERROR(J8/J148, "NA")</f>
        <v>0</v>
      </c>
      <c r="L8" s="115">
        <v>0</v>
      </c>
      <c r="M8" s="116">
        <f>IFERROR(L8/L148, "NA")</f>
        <v>0</v>
      </c>
      <c r="N8" s="115">
        <v>0</v>
      </c>
      <c r="O8" s="116">
        <f>IFERROR(N8/N148, "NA")</f>
        <v>0</v>
      </c>
      <c r="P8" s="115">
        <v>0</v>
      </c>
      <c r="Q8" s="116">
        <f>IFERROR(P8/P148, "NA")</f>
        <v>0</v>
      </c>
      <c r="R8" s="115">
        <v>0</v>
      </c>
      <c r="S8" s="116">
        <f>IFERROR(R8/R148, "NA")</f>
        <v>0</v>
      </c>
      <c r="T8" s="115">
        <v>0</v>
      </c>
      <c r="U8" s="116">
        <f>IFERROR(T8/T148, "NA")</f>
        <v>0</v>
      </c>
      <c r="V8" s="115">
        <v>0</v>
      </c>
      <c r="W8" s="116">
        <f>IFERROR(V8/V148, "NA")</f>
        <v>0</v>
      </c>
      <c r="X8" s="115">
        <v>0</v>
      </c>
      <c r="Y8" s="116">
        <f>IFERROR(X8/X148, "NA")</f>
        <v>0</v>
      </c>
      <c r="Z8" s="115">
        <v>0</v>
      </c>
      <c r="AA8" s="116">
        <f>IFERROR(Z8/Z148, "NA")</f>
        <v>0</v>
      </c>
      <c r="AB8" s="117">
        <f>IFERROR((R8+T8+V8+X8)/4, "NA")</f>
        <v>0</v>
      </c>
      <c r="AC8" s="116">
        <f>IFERROR(AB8/AB148, "NA")</f>
        <v>0</v>
      </c>
      <c r="AD8" s="118">
        <f>IFERROR(X8-AB8, "NA")</f>
        <v>0</v>
      </c>
      <c r="AE8" s="119">
        <f>IFERROR(AD8/AD148, "NA")</f>
        <v>0</v>
      </c>
      <c r="AF8" s="118" t="str">
        <f>IFERROR((X8-AB8)/AB8, "NA")</f>
        <v>NA</v>
      </c>
      <c r="AG8" s="117">
        <f>IFERROR((J8+L8+N8+P8+R8+T8+V8+X8)/8, "NA")</f>
        <v>0</v>
      </c>
      <c r="AH8" s="116">
        <f>IFERROR(AG8/AG148, "NA")</f>
        <v>0</v>
      </c>
      <c r="AI8" s="118">
        <f>IFERROR(X8-AG8, "NA")</f>
        <v>0</v>
      </c>
      <c r="AJ8" s="119">
        <f>IFERROR(AI8/AI148, "NA")</f>
        <v>0</v>
      </c>
      <c r="AK8" s="118" t="str">
        <f>IFERROR((X8-AG8)/AG8, "NA")</f>
        <v>NA</v>
      </c>
      <c r="AL8" s="119" t="str">
        <f>IFERROR(AK8/AK148, "NA")</f>
        <v>NA</v>
      </c>
    </row>
    <row r="9" spans="1:38" ht="16.5" customHeight="1" x14ac:dyDescent="0.25">
      <c r="A9" s="120" t="s">
        <v>16</v>
      </c>
      <c r="B9" s="121">
        <f>IFERROR(B7+B8, "NA")</f>
        <v>144101.72000000009</v>
      </c>
      <c r="C9" s="122">
        <f>IFERROR(B9/B148, "NA")</f>
        <v>1.0000000000000007</v>
      </c>
      <c r="D9" s="121">
        <f>IFERROR(D7+D8, "NA")</f>
        <v>113357.77000000003</v>
      </c>
      <c r="E9" s="122">
        <f>IFERROR(D9/D148, "NA")</f>
        <v>1.0000000000000004</v>
      </c>
      <c r="F9" s="121">
        <f>IFERROR(F7+F8, "NA")</f>
        <v>127939.99999999996</v>
      </c>
      <c r="G9" s="122">
        <f>IFERROR(F9/F148, "NA")</f>
        <v>0.99999999999999967</v>
      </c>
      <c r="H9" s="121">
        <f>IFERROR(H7+H8, "NA")</f>
        <v>124888.67000000004</v>
      </c>
      <c r="I9" s="122">
        <f>IFERROR(H9/H148, "NA")</f>
        <v>1.0000000000000004</v>
      </c>
      <c r="J9" s="121">
        <f>IFERROR(J7+J8, "NA")</f>
        <v>126954.92999999998</v>
      </c>
      <c r="K9" s="122">
        <f>IFERROR(J9/J148, "NA")</f>
        <v>0.99999999999999978</v>
      </c>
      <c r="L9" s="121">
        <f>IFERROR(L7+L8, "NA")</f>
        <v>123223.21000000002</v>
      </c>
      <c r="M9" s="122">
        <f>IFERROR(L9/L148, "NA")</f>
        <v>1.0000000000000002</v>
      </c>
      <c r="N9" s="121">
        <f>IFERROR(N7+N8, "NA")</f>
        <v>127813.03000000001</v>
      </c>
      <c r="O9" s="122">
        <f>IFERROR(N9/N148, "NA")</f>
        <v>1.0000000000000002</v>
      </c>
      <c r="P9" s="121">
        <f>IFERROR(P7+P8, "NA")</f>
        <v>111167.46999999997</v>
      </c>
      <c r="Q9" s="122">
        <f>IFERROR(P9/P148, "NA")</f>
        <v>0.99999999999999978</v>
      </c>
      <c r="R9" s="121">
        <f>IFERROR(R7+R8, "NA")</f>
        <v>134857.38000000003</v>
      </c>
      <c r="S9" s="122">
        <f>IFERROR(R9/R148, "NA")</f>
        <v>1.0000000000000002</v>
      </c>
      <c r="T9" s="121">
        <f>IFERROR(T7+T8, "NA")</f>
        <v>129020.88000000005</v>
      </c>
      <c r="U9" s="122">
        <f>IFERROR(T9/T148, "NA")</f>
        <v>1.0000000000000004</v>
      </c>
      <c r="V9" s="121">
        <f>IFERROR(V7+V8, "NA")</f>
        <v>135479.31000000003</v>
      </c>
      <c r="W9" s="122">
        <f>IFERROR(V9/V148, "NA")</f>
        <v>1.0000000000000002</v>
      </c>
      <c r="X9" s="121">
        <f>IFERROR(X7+X8, "NA")</f>
        <v>151607.87</v>
      </c>
      <c r="Y9" s="122">
        <f>IFERROR(X9/X148, "NA")</f>
        <v>1</v>
      </c>
      <c r="Z9" s="121">
        <f>IFERROR(Z7+Z8, "NA")</f>
        <v>287087.18000000005</v>
      </c>
      <c r="AA9" s="122">
        <f>IFERROR(Z9/Z148, "NA")</f>
        <v>1.0000000000000002</v>
      </c>
      <c r="AB9" s="121">
        <f>IFERROR((R9+T9+V9+X9)/4, "NA")</f>
        <v>137741.36000000002</v>
      </c>
      <c r="AC9" s="122">
        <f>IFERROR(AB9/AB148, "NA")</f>
        <v>1.0000000000000002</v>
      </c>
      <c r="AD9" s="123">
        <f>IFERROR(X9-AB9, "NA")</f>
        <v>13866.50999999998</v>
      </c>
      <c r="AE9" s="124">
        <f>IFERROR(AD9/AD148, "NA")</f>
        <v>0.99999999999999789</v>
      </c>
      <c r="AF9" s="123">
        <f>IFERROR((X9-AB9)/AB9, "NA")</f>
        <v>0.10067063371524702</v>
      </c>
      <c r="AG9" s="121">
        <f>IFERROR((J9+L9+N9+P9+R9+T9+V9+X9)/8, "NA")</f>
        <v>130015.51000000001</v>
      </c>
      <c r="AH9" s="122">
        <f>IFERROR(AG9/AG148, "NA")</f>
        <v>1.0000000000000002</v>
      </c>
      <c r="AI9" s="123">
        <f>IFERROR(X9-AG9, "NA")</f>
        <v>21592.359999999986</v>
      </c>
      <c r="AJ9" s="124">
        <f>IFERROR(AI9/AI148, "NA")</f>
        <v>0.99999999999999933</v>
      </c>
      <c r="AK9" s="123">
        <f>IFERROR((X9-AG9)/AG9, "NA")</f>
        <v>0.16607526286671478</v>
      </c>
      <c r="AL9" s="124">
        <f>IFERROR(AK9/AK148, "NA")</f>
        <v>0.99999999999999911</v>
      </c>
    </row>
    <row r="10" spans="1:38" ht="3.75" customHeight="1" x14ac:dyDescent="0.25">
      <c r="A10" s="3" t="s">
        <v>2</v>
      </c>
      <c r="B10" s="125"/>
      <c r="C10" s="126"/>
      <c r="D10" s="125"/>
      <c r="E10" s="126"/>
      <c r="F10" s="125"/>
      <c r="G10" s="126"/>
      <c r="H10" s="125"/>
      <c r="I10" s="126"/>
      <c r="J10" s="125"/>
      <c r="K10" s="126"/>
      <c r="L10" s="125"/>
      <c r="M10" s="126"/>
      <c r="N10" s="125"/>
      <c r="O10" s="126"/>
      <c r="P10" s="125"/>
      <c r="Q10" s="126"/>
      <c r="R10" s="125"/>
      <c r="S10" s="126"/>
      <c r="T10" s="125"/>
      <c r="U10" s="126"/>
      <c r="V10" s="125"/>
      <c r="W10" s="126"/>
      <c r="X10" s="125"/>
      <c r="Y10" s="126"/>
      <c r="Z10" s="125"/>
      <c r="AA10" s="126"/>
      <c r="AB10" s="125"/>
      <c r="AC10" s="126"/>
      <c r="AD10" s="127"/>
      <c r="AE10" s="128"/>
      <c r="AF10" s="127"/>
      <c r="AG10" s="125"/>
      <c r="AH10" s="126"/>
      <c r="AI10" s="127"/>
      <c r="AJ10" s="128"/>
      <c r="AK10" s="127"/>
      <c r="AL10" s="128"/>
    </row>
    <row r="11" spans="1:38" ht="16.5" customHeight="1" x14ac:dyDescent="0.25">
      <c r="A11" s="1" t="s">
        <v>17</v>
      </c>
      <c r="B11" s="111"/>
      <c r="C11" s="112"/>
      <c r="D11" s="111"/>
      <c r="E11" s="112"/>
      <c r="F11" s="111"/>
      <c r="G11" s="112"/>
      <c r="H11" s="111"/>
      <c r="I11" s="112"/>
      <c r="J11" s="111"/>
      <c r="K11" s="112"/>
      <c r="L11" s="111"/>
      <c r="M11" s="112"/>
      <c r="N11" s="111"/>
      <c r="O11" s="112"/>
      <c r="P11" s="111"/>
      <c r="Q11" s="112"/>
      <c r="R11" s="111"/>
      <c r="S11" s="112"/>
      <c r="T11" s="111"/>
      <c r="U11" s="112"/>
      <c r="V11" s="111"/>
      <c r="W11" s="112"/>
      <c r="X11" s="111"/>
      <c r="Y11" s="112"/>
      <c r="Z11" s="111"/>
      <c r="AA11" s="112"/>
      <c r="AB11" s="111"/>
      <c r="AC11" s="112"/>
      <c r="AD11" s="113"/>
      <c r="AE11" s="114"/>
      <c r="AF11" s="113"/>
      <c r="AG11" s="111"/>
      <c r="AH11" s="112"/>
      <c r="AI11" s="113"/>
      <c r="AJ11" s="114"/>
      <c r="AK11" s="113"/>
      <c r="AL11" s="114"/>
    </row>
    <row r="12" spans="1:38" ht="16.5" customHeight="1" x14ac:dyDescent="0.25">
      <c r="A12" s="4" t="s">
        <v>18</v>
      </c>
      <c r="B12" s="111"/>
      <c r="C12" s="112"/>
      <c r="D12" s="111"/>
      <c r="E12" s="112"/>
      <c r="F12" s="111"/>
      <c r="G12" s="112"/>
      <c r="H12" s="111"/>
      <c r="I12" s="112"/>
      <c r="J12" s="111"/>
      <c r="K12" s="112"/>
      <c r="L12" s="111"/>
      <c r="M12" s="112"/>
      <c r="N12" s="111"/>
      <c r="O12" s="112"/>
      <c r="P12" s="111"/>
      <c r="Q12" s="112"/>
      <c r="R12" s="111"/>
      <c r="S12" s="112"/>
      <c r="T12" s="111"/>
      <c r="U12" s="112"/>
      <c r="V12" s="111"/>
      <c r="W12" s="112"/>
      <c r="X12" s="111"/>
      <c r="Y12" s="112"/>
      <c r="Z12" s="111"/>
      <c r="AA12" s="112"/>
      <c r="AB12" s="111"/>
      <c r="AC12" s="112"/>
      <c r="AD12" s="113"/>
      <c r="AE12" s="114"/>
      <c r="AF12" s="113"/>
      <c r="AG12" s="111"/>
      <c r="AH12" s="112"/>
      <c r="AI12" s="113"/>
      <c r="AJ12" s="114"/>
      <c r="AK12" s="113"/>
      <c r="AL12" s="114"/>
    </row>
    <row r="13" spans="1:38" ht="16.5" hidden="1" customHeight="1" x14ac:dyDescent="0.25">
      <c r="A13" s="5" t="s">
        <v>19</v>
      </c>
      <c r="B13" s="115">
        <v>0</v>
      </c>
      <c r="C13" s="116">
        <f>IFERROR(B13/B148, "NA")</f>
        <v>0</v>
      </c>
      <c r="D13" s="115">
        <v>0</v>
      </c>
      <c r="E13" s="116">
        <f>IFERROR(D13/D148, "NA")</f>
        <v>0</v>
      </c>
      <c r="F13" s="115">
        <v>0</v>
      </c>
      <c r="G13" s="116">
        <f>IFERROR(F13/F148, "NA")</f>
        <v>0</v>
      </c>
      <c r="H13" s="115">
        <v>0</v>
      </c>
      <c r="I13" s="116">
        <f>IFERROR(H13/H148, "NA")</f>
        <v>0</v>
      </c>
      <c r="J13" s="115">
        <v>0</v>
      </c>
      <c r="K13" s="116">
        <f>IFERROR(J13/J148, "NA")</f>
        <v>0</v>
      </c>
      <c r="L13" s="115">
        <v>0</v>
      </c>
      <c r="M13" s="116">
        <f>IFERROR(L13/L148, "NA")</f>
        <v>0</v>
      </c>
      <c r="N13" s="115">
        <v>0</v>
      </c>
      <c r="O13" s="116">
        <f>IFERROR(N13/N148, "NA")</f>
        <v>0</v>
      </c>
      <c r="P13" s="115">
        <v>0</v>
      </c>
      <c r="Q13" s="116">
        <f>IFERROR(P13/P148, "NA")</f>
        <v>0</v>
      </c>
      <c r="R13" s="115">
        <v>0</v>
      </c>
      <c r="S13" s="116">
        <f>IFERROR(R13/R148, "NA")</f>
        <v>0</v>
      </c>
      <c r="T13" s="115">
        <v>0</v>
      </c>
      <c r="U13" s="116">
        <f>IFERROR(T13/T148, "NA")</f>
        <v>0</v>
      </c>
      <c r="V13" s="115">
        <v>0</v>
      </c>
      <c r="W13" s="116">
        <f>IFERROR(V13/V148, "NA")</f>
        <v>0</v>
      </c>
      <c r="X13" s="115">
        <v>0</v>
      </c>
      <c r="Y13" s="116">
        <f>IFERROR(X13/X148, "NA")</f>
        <v>0</v>
      </c>
      <c r="Z13" s="115">
        <v>0</v>
      </c>
      <c r="AA13" s="116">
        <f>IFERROR(Z13/Z148, "NA")</f>
        <v>0</v>
      </c>
      <c r="AB13" s="117">
        <f>IFERROR((R13+T13+V13+X13)/4, "NA")</f>
        <v>0</v>
      </c>
      <c r="AC13" s="116">
        <f>IFERROR(AB13/AB148, "NA")</f>
        <v>0</v>
      </c>
      <c r="AD13" s="118">
        <f>IFERROR(X13-AB13, "NA")</f>
        <v>0</v>
      </c>
      <c r="AE13" s="119">
        <f>IFERROR(AD13/AD148, "NA")</f>
        <v>0</v>
      </c>
      <c r="AF13" s="118" t="str">
        <f>IFERROR((X13-AB13)/AB13, "NA")</f>
        <v>NA</v>
      </c>
      <c r="AG13" s="117">
        <f>IFERROR((J13+L13+N13+P13+R13+T13+V13+X13)/8, "NA")</f>
        <v>0</v>
      </c>
      <c r="AH13" s="116">
        <f>IFERROR(AG13/AG148, "NA")</f>
        <v>0</v>
      </c>
      <c r="AI13" s="118">
        <f>IFERROR(X13-AG13, "NA")</f>
        <v>0</v>
      </c>
      <c r="AJ13" s="119">
        <f>IFERROR(AI13/AI148, "NA")</f>
        <v>0</v>
      </c>
      <c r="AK13" s="118" t="str">
        <f>IFERROR((X13-AG13)/AG13, "NA")</f>
        <v>NA</v>
      </c>
      <c r="AL13" s="119" t="str">
        <f>IFERROR(AK13/AK148, "NA")</f>
        <v>NA</v>
      </c>
    </row>
    <row r="14" spans="1:38" ht="16.5" customHeight="1" x14ac:dyDescent="0.25">
      <c r="A14" s="6" t="s">
        <v>20</v>
      </c>
      <c r="B14" s="111"/>
      <c r="C14" s="112"/>
      <c r="D14" s="111"/>
      <c r="E14" s="112"/>
      <c r="F14" s="111"/>
      <c r="G14" s="112"/>
      <c r="H14" s="111"/>
      <c r="I14" s="112"/>
      <c r="J14" s="111"/>
      <c r="K14" s="112"/>
      <c r="L14" s="111"/>
      <c r="M14" s="112"/>
      <c r="N14" s="111"/>
      <c r="O14" s="112"/>
      <c r="P14" s="111"/>
      <c r="Q14" s="112"/>
      <c r="R14" s="111"/>
      <c r="S14" s="112"/>
      <c r="T14" s="111"/>
      <c r="U14" s="112"/>
      <c r="V14" s="111"/>
      <c r="W14" s="112"/>
      <c r="X14" s="111"/>
      <c r="Y14" s="112"/>
      <c r="Z14" s="111"/>
      <c r="AA14" s="112"/>
      <c r="AB14" s="111"/>
      <c r="AC14" s="112"/>
      <c r="AD14" s="113"/>
      <c r="AE14" s="114"/>
      <c r="AF14" s="113"/>
      <c r="AG14" s="111"/>
      <c r="AH14" s="112"/>
      <c r="AI14" s="113"/>
      <c r="AJ14" s="114"/>
      <c r="AK14" s="113"/>
      <c r="AL14" s="114"/>
    </row>
    <row r="15" spans="1:38" ht="16.5" hidden="1" customHeight="1" x14ac:dyDescent="0.25">
      <c r="A15" s="7" t="s">
        <v>21</v>
      </c>
      <c r="B15" s="115">
        <v>0</v>
      </c>
      <c r="C15" s="116">
        <f>IFERROR(B15/B148, "NA")</f>
        <v>0</v>
      </c>
      <c r="D15" s="115">
        <v>0</v>
      </c>
      <c r="E15" s="116">
        <f>IFERROR(D15/D148, "NA")</f>
        <v>0</v>
      </c>
      <c r="F15" s="115">
        <v>0</v>
      </c>
      <c r="G15" s="116">
        <f>IFERROR(F15/F148, "NA")</f>
        <v>0</v>
      </c>
      <c r="H15" s="115">
        <v>0</v>
      </c>
      <c r="I15" s="116">
        <f>IFERROR(H15/H148, "NA")</f>
        <v>0</v>
      </c>
      <c r="J15" s="115">
        <v>0</v>
      </c>
      <c r="K15" s="116">
        <f>IFERROR(J15/J148, "NA")</f>
        <v>0</v>
      </c>
      <c r="L15" s="115">
        <v>0</v>
      </c>
      <c r="M15" s="116">
        <f>IFERROR(L15/L148, "NA")</f>
        <v>0</v>
      </c>
      <c r="N15" s="115">
        <v>0</v>
      </c>
      <c r="O15" s="116">
        <f>IFERROR(N15/N148, "NA")</f>
        <v>0</v>
      </c>
      <c r="P15" s="115">
        <v>0</v>
      </c>
      <c r="Q15" s="116">
        <f>IFERROR(P15/P148, "NA")</f>
        <v>0</v>
      </c>
      <c r="R15" s="115">
        <v>0</v>
      </c>
      <c r="S15" s="116">
        <f>IFERROR(R15/R148, "NA")</f>
        <v>0</v>
      </c>
      <c r="T15" s="115">
        <v>0</v>
      </c>
      <c r="U15" s="116">
        <f>IFERROR(T15/T148, "NA")</f>
        <v>0</v>
      </c>
      <c r="V15" s="115">
        <v>0</v>
      </c>
      <c r="W15" s="116">
        <f>IFERROR(V15/V148, "NA")</f>
        <v>0</v>
      </c>
      <c r="X15" s="115">
        <v>0</v>
      </c>
      <c r="Y15" s="116">
        <f>IFERROR(X15/X148, "NA")</f>
        <v>0</v>
      </c>
      <c r="Z15" s="115">
        <v>0</v>
      </c>
      <c r="AA15" s="116">
        <f>IFERROR(Z15/Z148, "NA")</f>
        <v>0</v>
      </c>
      <c r="AB15" s="117">
        <f t="shared" ref="AB15:AB27" si="0">IFERROR((R15+T15+V15+X15)/4, "NA")</f>
        <v>0</v>
      </c>
      <c r="AC15" s="116">
        <f>IFERROR(AB15/AB148, "NA")</f>
        <v>0</v>
      </c>
      <c r="AD15" s="118">
        <f t="shared" ref="AD15:AD27" si="1">IFERROR(X15-AB15, "NA")</f>
        <v>0</v>
      </c>
      <c r="AE15" s="119">
        <f>IFERROR(AD15/AD148, "NA")</f>
        <v>0</v>
      </c>
      <c r="AF15" s="118" t="str">
        <f t="shared" ref="AF15:AF27" si="2">IFERROR((X15-AB15)/AB15, "NA")</f>
        <v>NA</v>
      </c>
      <c r="AG15" s="117">
        <f t="shared" ref="AG15:AG27" si="3">IFERROR((J15+L15+N15+P15+R15+T15+V15+X15)/8, "NA")</f>
        <v>0</v>
      </c>
      <c r="AH15" s="116">
        <f>IFERROR(AG15/AG148, "NA")</f>
        <v>0</v>
      </c>
      <c r="AI15" s="118">
        <f t="shared" ref="AI15:AI27" si="4">IFERROR(X15-AG15, "NA")</f>
        <v>0</v>
      </c>
      <c r="AJ15" s="119">
        <f>IFERROR(AI15/AI148, "NA")</f>
        <v>0</v>
      </c>
      <c r="AK15" s="118" t="str">
        <f t="shared" ref="AK15:AK27" si="5">IFERROR((X15-AG15)/AG15, "NA")</f>
        <v>NA</v>
      </c>
      <c r="AL15" s="119" t="str">
        <f>IFERROR(AK15/AK148, "NA")</f>
        <v>NA</v>
      </c>
    </row>
    <row r="16" spans="1:38" ht="16.5" customHeight="1" x14ac:dyDescent="0.25">
      <c r="A16" s="7" t="s">
        <v>22</v>
      </c>
      <c r="B16" s="115">
        <v>5415.53</v>
      </c>
      <c r="C16" s="116">
        <f>IFERROR(B16/B148, "NA")</f>
        <v>3.7581300209324354E-2</v>
      </c>
      <c r="D16" s="115">
        <v>5705.51</v>
      </c>
      <c r="E16" s="116">
        <f>IFERROR(D16/D148, "NA")</f>
        <v>5.0331882851965069E-2</v>
      </c>
      <c r="F16" s="115">
        <v>5180.6000000000004</v>
      </c>
      <c r="G16" s="116">
        <f>IFERROR(F16/F148, "NA")</f>
        <v>4.0492418321088013E-2</v>
      </c>
      <c r="H16" s="115">
        <v>5411.119999999999</v>
      </c>
      <c r="I16" s="116">
        <f>IFERROR(H16/H148, "NA")</f>
        <v>4.3327549248462646E-2</v>
      </c>
      <c r="J16" s="115">
        <v>5168.29</v>
      </c>
      <c r="K16" s="116">
        <f>IFERROR(J16/J148, "NA")</f>
        <v>4.0709643965775887E-2</v>
      </c>
      <c r="L16" s="115">
        <v>4346.21</v>
      </c>
      <c r="M16" s="116">
        <f>IFERROR(L16/L148, "NA")</f>
        <v>3.5271033760604031E-2</v>
      </c>
      <c r="N16" s="115">
        <v>4678.12</v>
      </c>
      <c r="O16" s="116">
        <f>IFERROR(N16/N148, "NA")</f>
        <v>3.6601276098375886E-2</v>
      </c>
      <c r="P16" s="115">
        <v>4552.7700000000004</v>
      </c>
      <c r="Q16" s="116">
        <f>IFERROR(P16/P148, "NA")</f>
        <v>4.0954156823034653E-2</v>
      </c>
      <c r="R16" s="115">
        <v>4889.34</v>
      </c>
      <c r="S16" s="116">
        <f>IFERROR(R16/R148, "NA")</f>
        <v>3.6255635397929281E-2</v>
      </c>
      <c r="T16" s="115">
        <v>4897.07</v>
      </c>
      <c r="U16" s="116">
        <f>IFERROR(T16/T148, "NA")</f>
        <v>3.7955639428284789E-2</v>
      </c>
      <c r="V16" s="115">
        <v>5726.87</v>
      </c>
      <c r="W16" s="116">
        <f>IFERROR(V16/V148, "NA")</f>
        <v>4.2271177790911392E-2</v>
      </c>
      <c r="X16" s="115">
        <v>5589.1</v>
      </c>
      <c r="Y16" s="116">
        <f>IFERROR(X16/X148, "NA")</f>
        <v>3.6865500451922453E-2</v>
      </c>
      <c r="Z16" s="115">
        <v>11315.970000000001</v>
      </c>
      <c r="AA16" s="116">
        <f>IFERROR(Z16/Z148, "NA")</f>
        <v>3.9416493623992549E-2</v>
      </c>
      <c r="AB16" s="117">
        <f t="shared" si="0"/>
        <v>5275.5949999999993</v>
      </c>
      <c r="AC16" s="116">
        <f>IFERROR(AB16/AB148, "NA")</f>
        <v>3.8300732619454318E-2</v>
      </c>
      <c r="AD16" s="118">
        <f t="shared" si="1"/>
        <v>313.50500000000102</v>
      </c>
      <c r="AE16" s="119">
        <f>IFERROR(AD16/AD148, "NA")</f>
        <v>2.2608789089684486E-2</v>
      </c>
      <c r="AF16" s="118">
        <f t="shared" si="2"/>
        <v>5.9425524514296689E-2</v>
      </c>
      <c r="AG16" s="117">
        <f t="shared" si="3"/>
        <v>4980.9712499999996</v>
      </c>
      <c r="AH16" s="116">
        <f>IFERROR(AG16/AG148, "NA")</f>
        <v>3.831059271313092E-2</v>
      </c>
      <c r="AI16" s="118">
        <f t="shared" si="4"/>
        <v>608.12875000000076</v>
      </c>
      <c r="AJ16" s="119">
        <f>IFERROR(AI16/AI148, "NA")</f>
        <v>2.8164070532354996E-2</v>
      </c>
      <c r="AK16" s="118">
        <f t="shared" si="5"/>
        <v>0.12209039552276091</v>
      </c>
      <c r="AL16" s="119">
        <f>IFERROR(AK16/AK148, "NA")</f>
        <v>0.73515099970514919</v>
      </c>
    </row>
    <row r="17" spans="1:38" ht="16.5" customHeight="1" x14ac:dyDescent="0.25">
      <c r="A17" s="7" t="s">
        <v>23</v>
      </c>
      <c r="B17" s="115">
        <v>3147.74</v>
      </c>
      <c r="C17" s="116">
        <f>IFERROR(B17/B148, "NA")</f>
        <v>2.1843875284764121E-2</v>
      </c>
      <c r="D17" s="115">
        <v>3244.12</v>
      </c>
      <c r="E17" s="116">
        <f>IFERROR(D17/D148, "NA")</f>
        <v>2.8618417599428785E-2</v>
      </c>
      <c r="F17" s="115">
        <v>3135.12</v>
      </c>
      <c r="G17" s="116">
        <f>IFERROR(F17/F148, "NA")</f>
        <v>2.4504611536657808E-2</v>
      </c>
      <c r="H17" s="115">
        <v>3247.0099999999998</v>
      </c>
      <c r="I17" s="116">
        <f>IFERROR(H17/H148, "NA")</f>
        <v>2.599923595951498E-2</v>
      </c>
      <c r="J17" s="115">
        <v>3658.0699999999997</v>
      </c>
      <c r="K17" s="116">
        <f>IFERROR(J17/J148, "NA")</f>
        <v>2.8813926328028375E-2</v>
      </c>
      <c r="L17" s="115">
        <v>3279.62</v>
      </c>
      <c r="M17" s="116">
        <f>IFERROR(L17/L148, "NA")</f>
        <v>2.6615278079511157E-2</v>
      </c>
      <c r="N17" s="115">
        <v>3085.54</v>
      </c>
      <c r="O17" s="116">
        <f>IFERROR(N17/N148, "NA")</f>
        <v>2.4141044148628665E-2</v>
      </c>
      <c r="P17" s="115">
        <v>3208.0400000000004</v>
      </c>
      <c r="Q17" s="116">
        <f>IFERROR(P17/P148, "NA")</f>
        <v>2.8857722497417637E-2</v>
      </c>
      <c r="R17" s="115">
        <v>3608.16</v>
      </c>
      <c r="S17" s="116">
        <f>IFERROR(R17/R148, "NA")</f>
        <v>2.6755376680163888E-2</v>
      </c>
      <c r="T17" s="115">
        <v>4073.2999999999997</v>
      </c>
      <c r="U17" s="116">
        <f>IFERROR(T17/T148, "NA")</f>
        <v>3.1570858918339419E-2</v>
      </c>
      <c r="V17" s="115">
        <v>3654.05</v>
      </c>
      <c r="W17" s="116">
        <f>IFERROR(V17/V148, "NA")</f>
        <v>2.697127701639461E-2</v>
      </c>
      <c r="X17" s="115">
        <v>3183.14</v>
      </c>
      <c r="Y17" s="116">
        <f>IFERROR(X17/X148, "NA")</f>
        <v>2.0995875741806808E-2</v>
      </c>
      <c r="Z17" s="115">
        <v>6837.1900000000005</v>
      </c>
      <c r="AA17" s="116">
        <f>IFERROR(Z17/Z148, "NA")</f>
        <v>2.3815727334115026E-2</v>
      </c>
      <c r="AB17" s="117">
        <f t="shared" si="0"/>
        <v>3629.6624999999995</v>
      </c>
      <c r="AC17" s="116">
        <f>IFERROR(AB17/AB148, "NA")</f>
        <v>2.6351289837707424E-2</v>
      </c>
      <c r="AD17" s="118">
        <f t="shared" si="1"/>
        <v>-446.52249999999958</v>
      </c>
      <c r="AE17" s="119">
        <f>IFERROR(AD17/AD148, "NA")</f>
        <v>-3.2201505642010811E-2</v>
      </c>
      <c r="AF17" s="118">
        <f t="shared" si="2"/>
        <v>-0.12302039101431597</v>
      </c>
      <c r="AG17" s="117">
        <f t="shared" si="3"/>
        <v>3468.74</v>
      </c>
      <c r="AH17" s="116">
        <f>IFERROR(AG17/AG148, "NA")</f>
        <v>2.6679432323112835E-2</v>
      </c>
      <c r="AI17" s="118">
        <f t="shared" si="4"/>
        <v>-285.59999999999991</v>
      </c>
      <c r="AJ17" s="119">
        <f>IFERROR(AI17/AI148, "NA")</f>
        <v>-1.3226900625962141E-2</v>
      </c>
      <c r="AK17" s="118">
        <f t="shared" si="5"/>
        <v>-8.233537249837114E-2</v>
      </c>
      <c r="AL17" s="119">
        <f>IFERROR(AK17/AK148, "NA")</f>
        <v>-0.49577144167731996</v>
      </c>
    </row>
    <row r="18" spans="1:38" ht="16.5" customHeight="1" x14ac:dyDescent="0.25">
      <c r="A18" s="7" t="s">
        <v>24</v>
      </c>
      <c r="B18" s="115">
        <v>5330.59</v>
      </c>
      <c r="C18" s="116">
        <f>IFERROR(B18/B148, "NA")</f>
        <v>3.6991855475423892E-2</v>
      </c>
      <c r="D18" s="115">
        <v>4240.07</v>
      </c>
      <c r="E18" s="116">
        <f>IFERROR(D18/D148, "NA")</f>
        <v>3.7404317322050358E-2</v>
      </c>
      <c r="F18" s="115">
        <v>3891.0299999999997</v>
      </c>
      <c r="G18" s="116">
        <f>IFERROR(F18/F148, "NA")</f>
        <v>3.0412927934969514E-2</v>
      </c>
      <c r="H18" s="115">
        <v>3950.44</v>
      </c>
      <c r="I18" s="116">
        <f>IFERROR(H18/H148, "NA")</f>
        <v>3.1631692450564172E-2</v>
      </c>
      <c r="J18" s="115">
        <v>3740.7</v>
      </c>
      <c r="K18" s="116">
        <f>IFERROR(J18/J148, "NA")</f>
        <v>2.9464787228034386E-2</v>
      </c>
      <c r="L18" s="115">
        <v>3772.41</v>
      </c>
      <c r="M18" s="116">
        <f>IFERROR(L18/L148, "NA")</f>
        <v>3.06144434964809E-2</v>
      </c>
      <c r="N18" s="115">
        <v>4409.42</v>
      </c>
      <c r="O18" s="116">
        <f>IFERROR(N18/N148, "NA")</f>
        <v>3.4498986527429949E-2</v>
      </c>
      <c r="P18" s="115">
        <v>3709.8900000000003</v>
      </c>
      <c r="Q18" s="116">
        <f>IFERROR(P18/P148, "NA")</f>
        <v>3.3372082678502987E-2</v>
      </c>
      <c r="R18" s="115">
        <v>3773.7200000000003</v>
      </c>
      <c r="S18" s="116">
        <f>IFERROR(R18/R148, "NA")</f>
        <v>2.7983044012867522E-2</v>
      </c>
      <c r="T18" s="115">
        <v>4223.5400000000009</v>
      </c>
      <c r="U18" s="116">
        <f>IFERROR(T18/T148, "NA")</f>
        <v>3.2735321600658757E-2</v>
      </c>
      <c r="V18" s="115">
        <v>4558.99</v>
      </c>
      <c r="W18" s="116">
        <f>IFERROR(V18/V148, "NA")</f>
        <v>3.3650820926088273E-2</v>
      </c>
      <c r="X18" s="115">
        <v>5469.75</v>
      </c>
      <c r="Y18" s="116">
        <f>IFERROR(X18/X148, "NA")</f>
        <v>3.6078272189959536E-2</v>
      </c>
      <c r="Z18" s="115">
        <v>10028.74</v>
      </c>
      <c r="AA18" s="116">
        <f>IFERROR(Z18/Z148, "NA")</f>
        <v>3.4932733673443725E-2</v>
      </c>
      <c r="AB18" s="117">
        <f t="shared" si="0"/>
        <v>4506.5</v>
      </c>
      <c r="AC18" s="116">
        <f>IFERROR(AB18/AB148, "NA")</f>
        <v>3.2717115614365945E-2</v>
      </c>
      <c r="AD18" s="118">
        <f t="shared" si="1"/>
        <v>963.25</v>
      </c>
      <c r="AE18" s="119">
        <f>IFERROR(AD18/AD148, "NA")</f>
        <v>6.9465929062179257E-2</v>
      </c>
      <c r="AF18" s="118">
        <f t="shared" si="2"/>
        <v>0.21374681016309774</v>
      </c>
      <c r="AG18" s="117">
        <f t="shared" si="3"/>
        <v>4207.3024999999998</v>
      </c>
      <c r="AH18" s="116">
        <f>IFERROR(AG18/AG148, "NA")</f>
        <v>3.2360004587145025E-2</v>
      </c>
      <c r="AI18" s="118">
        <f t="shared" si="4"/>
        <v>1262.4475000000002</v>
      </c>
      <c r="AJ18" s="119">
        <f>IFERROR(AI18/AI148, "NA")</f>
        <v>5.8467323627431192E-2</v>
      </c>
      <c r="AK18" s="118">
        <f t="shared" si="5"/>
        <v>0.30006102484905717</v>
      </c>
      <c r="AL18" s="119">
        <f>IFERROR(AK18/AK148, "NA")</f>
        <v>1.8067773590692651</v>
      </c>
    </row>
    <row r="19" spans="1:38" ht="16.5" customHeight="1" x14ac:dyDescent="0.25">
      <c r="A19" s="7" t="s">
        <v>25</v>
      </c>
      <c r="B19" s="115">
        <v>2829.4</v>
      </c>
      <c r="C19" s="116">
        <f>IFERROR(B19/B148, "NA")</f>
        <v>1.9634741347986685E-2</v>
      </c>
      <c r="D19" s="115">
        <v>2242.4299999999998</v>
      </c>
      <c r="E19" s="116">
        <f>IFERROR(D19/D148, "NA")</f>
        <v>1.9781881736029211E-2</v>
      </c>
      <c r="F19" s="115">
        <v>2488.9899999999998</v>
      </c>
      <c r="G19" s="116">
        <f>IFERROR(F19/F148, "NA")</f>
        <v>1.9454353603251522E-2</v>
      </c>
      <c r="H19" s="115">
        <v>2378.85</v>
      </c>
      <c r="I19" s="116">
        <f>IFERROR(H19/H148, "NA")</f>
        <v>1.9047764701153436E-2</v>
      </c>
      <c r="J19" s="115">
        <v>2657.17</v>
      </c>
      <c r="K19" s="116">
        <f>IFERROR(J19/J148, "NA")</f>
        <v>2.0930026112416428E-2</v>
      </c>
      <c r="L19" s="115">
        <v>2869.5600000000004</v>
      </c>
      <c r="M19" s="116">
        <f>IFERROR(L19/L148, "NA")</f>
        <v>2.3287495918991239E-2</v>
      </c>
      <c r="N19" s="115">
        <v>2447.25</v>
      </c>
      <c r="O19" s="116">
        <f>IFERROR(N19/N148, "NA")</f>
        <v>1.9147108866756385E-2</v>
      </c>
      <c r="P19" s="115">
        <v>2235.3399999999997</v>
      </c>
      <c r="Q19" s="116">
        <f>IFERROR(P19/P148, "NA")</f>
        <v>2.0107860689822298E-2</v>
      </c>
      <c r="R19" s="115">
        <v>3145.13</v>
      </c>
      <c r="S19" s="116">
        <f>IFERROR(R19/R148, "NA")</f>
        <v>2.3321897548358124E-2</v>
      </c>
      <c r="T19" s="115">
        <v>2724.2999999999997</v>
      </c>
      <c r="U19" s="116">
        <f>IFERROR(T19/T148, "NA")</f>
        <v>2.111518693718412E-2</v>
      </c>
      <c r="V19" s="115">
        <v>3123.52</v>
      </c>
      <c r="W19" s="116">
        <f>IFERROR(V19/V148, "NA")</f>
        <v>2.3055328522118987E-2</v>
      </c>
      <c r="X19" s="115">
        <v>2519.2399999999998</v>
      </c>
      <c r="Y19" s="116">
        <f>IFERROR(X19/X148, "NA")</f>
        <v>1.6616815472705999E-2</v>
      </c>
      <c r="Z19" s="115">
        <v>5642.76</v>
      </c>
      <c r="AA19" s="116">
        <f>IFERROR(Z19/Z148, "NA")</f>
        <v>1.9655214140875257E-2</v>
      </c>
      <c r="AB19" s="117">
        <f t="shared" si="0"/>
        <v>2878.0475000000001</v>
      </c>
      <c r="AC19" s="116">
        <f>IFERROR(AB19/AB148, "NA")</f>
        <v>2.0894577344088953E-2</v>
      </c>
      <c r="AD19" s="118">
        <f t="shared" si="1"/>
        <v>-358.80750000000035</v>
      </c>
      <c r="AE19" s="119">
        <f>IFERROR(AD19/AD148, "NA")</f>
        <v>-2.5875833212538706E-2</v>
      </c>
      <c r="AF19" s="118">
        <f t="shared" si="2"/>
        <v>-0.12467045801016152</v>
      </c>
      <c r="AG19" s="117">
        <f t="shared" si="3"/>
        <v>2715.1887500000003</v>
      </c>
      <c r="AH19" s="116">
        <f>IFERROR(AG19/AG148, "NA")</f>
        <v>2.0883575736464061E-2</v>
      </c>
      <c r="AI19" s="118">
        <f t="shared" si="4"/>
        <v>-195.94875000000047</v>
      </c>
      <c r="AJ19" s="119">
        <f>IFERROR(AI19/AI148, "NA")</f>
        <v>-9.0749112185977109E-3</v>
      </c>
      <c r="AK19" s="118">
        <f t="shared" si="5"/>
        <v>-7.216763475467422E-2</v>
      </c>
      <c r="AL19" s="119">
        <f>IFERROR(AK19/AK148, "NA")</f>
        <v>-0.43454776773463821</v>
      </c>
    </row>
    <row r="20" spans="1:38" ht="16.5" customHeight="1" x14ac:dyDescent="0.25">
      <c r="A20" s="7" t="s">
        <v>26</v>
      </c>
      <c r="B20" s="115">
        <v>1710.0200000000002</v>
      </c>
      <c r="C20" s="116">
        <f>IFERROR(B20/B148, "NA")</f>
        <v>1.1866756344060295E-2</v>
      </c>
      <c r="D20" s="115">
        <v>1457.02</v>
      </c>
      <c r="E20" s="116">
        <f>IFERROR(D20/D148, "NA")</f>
        <v>1.285328742793723E-2</v>
      </c>
      <c r="F20" s="115">
        <v>1543.94</v>
      </c>
      <c r="G20" s="116">
        <f>IFERROR(F20/F148, "NA")</f>
        <v>1.2067687978740034E-2</v>
      </c>
      <c r="H20" s="115">
        <v>1896.2800000000002</v>
      </c>
      <c r="I20" s="116">
        <f>IFERROR(H20/H148, "NA")</f>
        <v>1.5183763266916048E-2</v>
      </c>
      <c r="J20" s="115">
        <v>1476.2599999999998</v>
      </c>
      <c r="K20" s="116">
        <f>IFERROR(J20/J148, "NA")</f>
        <v>1.1628221133279344E-2</v>
      </c>
      <c r="L20" s="115">
        <v>1784.56</v>
      </c>
      <c r="M20" s="116">
        <f>IFERROR(L20/L148, "NA")</f>
        <v>1.4482336566301105E-2</v>
      </c>
      <c r="N20" s="115">
        <v>1314.96</v>
      </c>
      <c r="O20" s="116">
        <f>IFERROR(N20/N148, "NA")</f>
        <v>1.0288152937145767E-2</v>
      </c>
      <c r="P20" s="115">
        <v>1633.5</v>
      </c>
      <c r="Q20" s="116">
        <f>IFERROR(P20/P148, "NA")</f>
        <v>1.4694046738672743E-2</v>
      </c>
      <c r="R20" s="115">
        <v>1852.6399999999999</v>
      </c>
      <c r="S20" s="116">
        <f>IFERROR(R20/R148, "NA")</f>
        <v>1.3737772452645897E-2</v>
      </c>
      <c r="T20" s="115">
        <v>1714.06</v>
      </c>
      <c r="U20" s="116">
        <f>IFERROR(T20/T148, "NA")</f>
        <v>1.3285136483335101E-2</v>
      </c>
      <c r="V20" s="115">
        <v>1715.24</v>
      </c>
      <c r="W20" s="116">
        <f>IFERROR(V20/V148, "NA")</f>
        <v>1.2660530969636619E-2</v>
      </c>
      <c r="X20" s="115">
        <v>1928.12</v>
      </c>
      <c r="Y20" s="116">
        <f>IFERROR(X20/X148, "NA")</f>
        <v>1.2717809438256735E-2</v>
      </c>
      <c r="Z20" s="115">
        <v>3643.36</v>
      </c>
      <c r="AA20" s="116">
        <f>IFERROR(Z20/Z148, "NA")</f>
        <v>1.2690779156352437E-2</v>
      </c>
      <c r="AB20" s="117">
        <f t="shared" si="0"/>
        <v>1802.5149999999999</v>
      </c>
      <c r="AC20" s="116">
        <f>IFERROR(AB20/AB148, "NA")</f>
        <v>1.3086229147149412E-2</v>
      </c>
      <c r="AD20" s="118">
        <f t="shared" si="1"/>
        <v>125.60500000000002</v>
      </c>
      <c r="AE20" s="119">
        <f>IFERROR(AD20/AD148, "NA")</f>
        <v>9.0581552243498859E-3</v>
      </c>
      <c r="AF20" s="118">
        <f t="shared" si="2"/>
        <v>6.9683192650269218E-2</v>
      </c>
      <c r="AG20" s="117">
        <f t="shared" si="3"/>
        <v>1677.4175</v>
      </c>
      <c r="AH20" s="116">
        <f>IFERROR(AG20/AG148, "NA")</f>
        <v>1.2901672269716129E-2</v>
      </c>
      <c r="AI20" s="118">
        <f t="shared" si="4"/>
        <v>250.70249999999987</v>
      </c>
      <c r="AJ20" s="119">
        <f>IFERROR(AI20/AI148, "NA")</f>
        <v>1.1610703971219443E-2</v>
      </c>
      <c r="AK20" s="118">
        <f t="shared" si="5"/>
        <v>0.14945742488080629</v>
      </c>
      <c r="AL20" s="119">
        <f>IFERROR(AK20/AK148, "NA")</f>
        <v>0.89993790948116448</v>
      </c>
    </row>
    <row r="21" spans="1:38" ht="16.5" customHeight="1" x14ac:dyDescent="0.25">
      <c r="A21" s="7" t="s">
        <v>27</v>
      </c>
      <c r="B21" s="115">
        <v>1134.3699999999999</v>
      </c>
      <c r="C21" s="116">
        <f>IFERROR(B21/B148, "NA")</f>
        <v>7.8720087449337863E-3</v>
      </c>
      <c r="D21" s="115">
        <v>893.89</v>
      </c>
      <c r="E21" s="116">
        <f>IFERROR(D21/D148, "NA")</f>
        <v>7.8855644390322787E-3</v>
      </c>
      <c r="F21" s="115">
        <v>1027.3599999999999</v>
      </c>
      <c r="G21" s="116">
        <f>IFERROR(F21/F148, "NA")</f>
        <v>8.030014069094888E-3</v>
      </c>
      <c r="H21" s="115">
        <v>875.48</v>
      </c>
      <c r="I21" s="116">
        <f>IFERROR(H21/H148, "NA")</f>
        <v>7.0100834607334682E-3</v>
      </c>
      <c r="J21" s="115">
        <v>1007.6400000000001</v>
      </c>
      <c r="K21" s="116">
        <f>IFERROR(J21/J148, "NA")</f>
        <v>7.9369899223291299E-3</v>
      </c>
      <c r="L21" s="115">
        <v>812.72</v>
      </c>
      <c r="M21" s="116">
        <f>IFERROR(L21/L148, "NA")</f>
        <v>6.5955106996482245E-3</v>
      </c>
      <c r="N21" s="115">
        <v>832.45</v>
      </c>
      <c r="O21" s="116">
        <f>IFERROR(N21/N148, "NA")</f>
        <v>6.5130292271453078E-3</v>
      </c>
      <c r="P21" s="115">
        <v>1008.32</v>
      </c>
      <c r="Q21" s="116">
        <f>IFERROR(P21/P148, "NA")</f>
        <v>9.0702792822396697E-3</v>
      </c>
      <c r="R21" s="115">
        <v>1514.01</v>
      </c>
      <c r="S21" s="116">
        <f>IFERROR(R21/R148, "NA")</f>
        <v>1.1226749325843347E-2</v>
      </c>
      <c r="T21" s="115">
        <v>573.79</v>
      </c>
      <c r="U21" s="116">
        <f>IFERROR(T21/T148, "NA")</f>
        <v>4.4472646597977011E-3</v>
      </c>
      <c r="V21" s="115">
        <v>1083.96</v>
      </c>
      <c r="W21" s="116">
        <f>IFERROR(V21/V148, "NA")</f>
        <v>8.0009264883324251E-3</v>
      </c>
      <c r="X21" s="115">
        <v>1076.19</v>
      </c>
      <c r="Y21" s="116">
        <f>IFERROR(X21/X148, "NA")</f>
        <v>7.098510123517995E-3</v>
      </c>
      <c r="Z21" s="115">
        <v>2160.15</v>
      </c>
      <c r="AA21" s="116">
        <f>IFERROR(Z21/Z148, "NA")</f>
        <v>7.5243694267365059E-3</v>
      </c>
      <c r="AB21" s="117">
        <f t="shared" si="0"/>
        <v>1061.9875000000002</v>
      </c>
      <c r="AC21" s="116">
        <f>IFERROR(AB21/AB148, "NA")</f>
        <v>7.7100117205173542E-3</v>
      </c>
      <c r="AD21" s="118">
        <f t="shared" si="1"/>
        <v>14.202499999999873</v>
      </c>
      <c r="AE21" s="119">
        <f>IFERROR(AD21/AD148, "NA")</f>
        <v>1.0242303218329532E-3</v>
      </c>
      <c r="AF21" s="118">
        <f t="shared" si="2"/>
        <v>1.3373509575206742E-2</v>
      </c>
      <c r="AG21" s="117">
        <f t="shared" si="3"/>
        <v>988.63499999999999</v>
      </c>
      <c r="AH21" s="116">
        <f>IFERROR(AG21/AG148, "NA")</f>
        <v>7.6039774023883766E-3</v>
      </c>
      <c r="AI21" s="118">
        <f t="shared" si="4"/>
        <v>87.555000000000064</v>
      </c>
      <c r="AJ21" s="119">
        <f>IFERROR(AI21/AI148, "NA")</f>
        <v>4.0549064576544695E-3</v>
      </c>
      <c r="AK21" s="118">
        <f t="shared" si="5"/>
        <v>8.8561501464140019E-2</v>
      </c>
      <c r="AL21" s="119">
        <f>IFERROR(AK21/AK148, "NA")</f>
        <v>0.5332612451453157</v>
      </c>
    </row>
    <row r="22" spans="1:38" ht="16.5" customHeight="1" x14ac:dyDescent="0.25">
      <c r="A22" s="7" t="s">
        <v>28</v>
      </c>
      <c r="B22" s="115">
        <v>0</v>
      </c>
      <c r="C22" s="116">
        <f>IFERROR(B22/B148, "NA")</f>
        <v>0</v>
      </c>
      <c r="D22" s="115">
        <v>0</v>
      </c>
      <c r="E22" s="116">
        <f>IFERROR(D22/D148, "NA")</f>
        <v>0</v>
      </c>
      <c r="F22" s="115">
        <v>0</v>
      </c>
      <c r="G22" s="116">
        <f>IFERROR(F22/F148, "NA")</f>
        <v>0</v>
      </c>
      <c r="H22" s="115">
        <v>0</v>
      </c>
      <c r="I22" s="116">
        <f>IFERROR(H22/H148, "NA")</f>
        <v>0</v>
      </c>
      <c r="J22" s="115">
        <v>0</v>
      </c>
      <c r="K22" s="116">
        <f>IFERROR(J22/J148, "NA")</f>
        <v>0</v>
      </c>
      <c r="L22" s="115">
        <v>0</v>
      </c>
      <c r="M22" s="116">
        <f>IFERROR(L22/L148, "NA")</f>
        <v>0</v>
      </c>
      <c r="N22" s="115">
        <v>0</v>
      </c>
      <c r="O22" s="116">
        <f>IFERROR(N22/N148, "NA")</f>
        <v>0</v>
      </c>
      <c r="P22" s="115">
        <v>0</v>
      </c>
      <c r="Q22" s="116">
        <f>IFERROR(P22/P148, "NA")</f>
        <v>0</v>
      </c>
      <c r="R22" s="115">
        <v>0</v>
      </c>
      <c r="S22" s="116">
        <f>IFERROR(R22/R148, "NA")</f>
        <v>0</v>
      </c>
      <c r="T22" s="115">
        <v>0</v>
      </c>
      <c r="U22" s="116">
        <f>IFERROR(T22/T148, "NA")</f>
        <v>0</v>
      </c>
      <c r="V22" s="115">
        <v>0</v>
      </c>
      <c r="W22" s="116">
        <f>IFERROR(V22/V148, "NA")</f>
        <v>0</v>
      </c>
      <c r="X22" s="115">
        <v>326.41000000000003</v>
      </c>
      <c r="Y22" s="116">
        <f>IFERROR(X22/X148, "NA")</f>
        <v>2.1529884959138336E-3</v>
      </c>
      <c r="Z22" s="115">
        <v>326.41000000000003</v>
      </c>
      <c r="AA22" s="116">
        <f>IFERROR(Z22/Z148, "NA")</f>
        <v>1.1369717031599949E-3</v>
      </c>
      <c r="AB22" s="117">
        <f t="shared" si="0"/>
        <v>81.602500000000006</v>
      </c>
      <c r="AC22" s="116">
        <f>IFERROR(AB22/AB148, "NA")</f>
        <v>5.9243280304477905E-4</v>
      </c>
      <c r="AD22" s="118">
        <f t="shared" si="1"/>
        <v>244.8075</v>
      </c>
      <c r="AE22" s="119">
        <f>IFERROR(AD22/AD148, "NA")</f>
        <v>1.7654586482106879E-2</v>
      </c>
      <c r="AF22" s="118">
        <f t="shared" si="2"/>
        <v>3</v>
      </c>
      <c r="AG22" s="117">
        <f t="shared" si="3"/>
        <v>40.801250000000003</v>
      </c>
      <c r="AH22" s="116">
        <f>IFERROR(AG22/AG148, "NA")</f>
        <v>3.1381832829021711E-4</v>
      </c>
      <c r="AI22" s="118">
        <f t="shared" si="4"/>
        <v>285.60875000000004</v>
      </c>
      <c r="AJ22" s="119">
        <f>IFERROR(AI22/AI148, "NA")</f>
        <v>1.3227305861888188E-2</v>
      </c>
      <c r="AK22" s="118">
        <f t="shared" si="5"/>
        <v>7.0000000000000009</v>
      </c>
      <c r="AL22" s="119">
        <f>IFERROR(AK22/AK148, "NA")</f>
        <v>42.149564475583027</v>
      </c>
    </row>
    <row r="23" spans="1:38" ht="16.5" customHeight="1" x14ac:dyDescent="0.25">
      <c r="A23" s="7" t="s">
        <v>29</v>
      </c>
      <c r="B23" s="115">
        <v>638.37</v>
      </c>
      <c r="C23" s="116">
        <f>IFERROR(B23/B148, "NA")</f>
        <v>4.4299957002595109E-3</v>
      </c>
      <c r="D23" s="115">
        <v>702.53</v>
      </c>
      <c r="E23" s="116">
        <f>IFERROR(D23/D148, "NA")</f>
        <v>6.197457836370635E-3</v>
      </c>
      <c r="F23" s="115">
        <v>996.99999999999989</v>
      </c>
      <c r="G23" s="116">
        <f>IFERROR(F23/F148, "NA")</f>
        <v>7.7927153353134276E-3</v>
      </c>
      <c r="H23" s="115">
        <v>780.32</v>
      </c>
      <c r="I23" s="116">
        <f>IFERROR(H23/H148, "NA")</f>
        <v>6.2481248298985013E-3</v>
      </c>
      <c r="J23" s="115">
        <v>533.6</v>
      </c>
      <c r="K23" s="116">
        <f>IFERROR(J23/J148, "NA")</f>
        <v>4.203066395294771E-3</v>
      </c>
      <c r="L23" s="115">
        <v>-183.94</v>
      </c>
      <c r="M23" s="116">
        <f>IFERROR(L23/L148, "NA")</f>
        <v>-1.4927382592938457E-3</v>
      </c>
      <c r="N23" s="115">
        <v>1442.7</v>
      </c>
      <c r="O23" s="116">
        <f>IFERROR(N23/N148, "NA")</f>
        <v>1.1287581555652034E-2</v>
      </c>
      <c r="P23" s="115">
        <v>521.64</v>
      </c>
      <c r="Q23" s="116">
        <f>IFERROR(P23/P148, "NA")</f>
        <v>4.6923798841513615E-3</v>
      </c>
      <c r="R23" s="115">
        <v>1236.72</v>
      </c>
      <c r="S23" s="116">
        <f>IFERROR(R23/R148, "NA")</f>
        <v>9.1705770941123126E-3</v>
      </c>
      <c r="T23" s="115">
        <v>836.55</v>
      </c>
      <c r="U23" s="116">
        <f>IFERROR(T23/T148, "NA")</f>
        <v>6.4838342445036803E-3</v>
      </c>
      <c r="V23" s="115">
        <v>898.33</v>
      </c>
      <c r="W23" s="116">
        <f>IFERROR(V23/V148, "NA")</f>
        <v>6.6307541719838993E-3</v>
      </c>
      <c r="X23" s="115">
        <v>709.08999999999992</v>
      </c>
      <c r="Y23" s="116">
        <f>IFERROR(X23/X148, "NA")</f>
        <v>4.6771318665713062E-3</v>
      </c>
      <c r="Z23" s="115">
        <v>1607.4199999999998</v>
      </c>
      <c r="AA23" s="116">
        <f>IFERROR(Z23/Z148, "NA")</f>
        <v>5.5990657611391772E-3</v>
      </c>
      <c r="AB23" s="117">
        <f t="shared" si="0"/>
        <v>920.1724999999999</v>
      </c>
      <c r="AC23" s="116">
        <f>IFERROR(AB23/AB148, "NA")</f>
        <v>6.6804371613580701E-3</v>
      </c>
      <c r="AD23" s="118">
        <f t="shared" si="1"/>
        <v>-211.08249999999998</v>
      </c>
      <c r="AE23" s="119">
        <f>IFERROR(AD23/AD148, "NA")</f>
        <v>-1.5222467657687467E-2</v>
      </c>
      <c r="AF23" s="118">
        <f t="shared" si="2"/>
        <v>-0.2293944885334</v>
      </c>
      <c r="AG23" s="117">
        <f t="shared" si="3"/>
        <v>749.33625000000006</v>
      </c>
      <c r="AH23" s="116">
        <f>IFERROR(AG23/AG148, "NA")</f>
        <v>5.7634373775867212E-3</v>
      </c>
      <c r="AI23" s="118">
        <f t="shared" si="4"/>
        <v>-40.246250000000146</v>
      </c>
      <c r="AJ23" s="119">
        <f>IFERROR(AI23/AI148, "NA")</f>
        <v>-1.8639115872466068E-3</v>
      </c>
      <c r="AK23" s="118">
        <f t="shared" si="5"/>
        <v>-5.3709199308054484E-2</v>
      </c>
      <c r="AL23" s="119">
        <f>IFERROR(AK23/AK148, "NA")</f>
        <v>-0.32340276559525455</v>
      </c>
    </row>
    <row r="24" spans="1:38" ht="16.5" customHeight="1" x14ac:dyDescent="0.25">
      <c r="A24" s="7" t="s">
        <v>30</v>
      </c>
      <c r="B24" s="115">
        <v>7754.5399999999991</v>
      </c>
      <c r="C24" s="116">
        <f>IFERROR(B24/B148, "NA")</f>
        <v>5.3812959345662208E-2</v>
      </c>
      <c r="D24" s="115">
        <v>6805.88</v>
      </c>
      <c r="E24" s="116">
        <f>IFERROR(D24/D148, "NA")</f>
        <v>6.0038936898635188E-2</v>
      </c>
      <c r="F24" s="115">
        <v>8475.4</v>
      </c>
      <c r="G24" s="116">
        <f>IFERROR(F24/F148, "NA")</f>
        <v>6.6245114897608245E-2</v>
      </c>
      <c r="H24" s="115">
        <v>7329.29</v>
      </c>
      <c r="I24" s="116">
        <f>IFERROR(H24/H148, "NA")</f>
        <v>5.8686588623291451E-2</v>
      </c>
      <c r="J24" s="115">
        <v>7484.7199999999993</v>
      </c>
      <c r="K24" s="116">
        <f>IFERROR(J24/J148, "NA")</f>
        <v>5.895572546887308E-2</v>
      </c>
      <c r="L24" s="115">
        <v>7025.25</v>
      </c>
      <c r="M24" s="116">
        <f>IFERROR(L24/L148, "NA")</f>
        <v>5.7012392389388336E-2</v>
      </c>
      <c r="N24" s="115">
        <v>6883.91</v>
      </c>
      <c r="O24" s="116">
        <f>IFERROR(N24/N148, "NA")</f>
        <v>5.3859219204802515E-2</v>
      </c>
      <c r="P24" s="115">
        <v>6478.5599999999995</v>
      </c>
      <c r="Q24" s="116">
        <f>IFERROR(P24/P148, "NA")</f>
        <v>5.8277479913863284E-2</v>
      </c>
      <c r="R24" s="115">
        <v>7924.1399999999994</v>
      </c>
      <c r="S24" s="116">
        <f>IFERROR(R24/R148, "NA")</f>
        <v>5.875940938493688E-2</v>
      </c>
      <c r="T24" s="115">
        <v>7666.7699999999995</v>
      </c>
      <c r="U24" s="116">
        <f>IFERROR(T24/T148, "NA")</f>
        <v>5.9422707394338033E-2</v>
      </c>
      <c r="V24" s="115">
        <v>7557.6900000000005</v>
      </c>
      <c r="W24" s="116">
        <f>IFERROR(V24/V148, "NA")</f>
        <v>5.5784827956386854E-2</v>
      </c>
      <c r="X24" s="115">
        <v>8182.24</v>
      </c>
      <c r="Y24" s="116">
        <f>IFERROR(X24/X148, "NA")</f>
        <v>5.3969757638571141E-2</v>
      </c>
      <c r="Z24" s="115">
        <v>15739.93</v>
      </c>
      <c r="AA24" s="116">
        <f>IFERROR(Z24/Z148, "NA")</f>
        <v>5.4826307465209702E-2</v>
      </c>
      <c r="AB24" s="117">
        <f t="shared" si="0"/>
        <v>7832.7099999999991</v>
      </c>
      <c r="AC24" s="116">
        <f>IFERROR(AB24/AB148, "NA")</f>
        <v>5.6865345310950902E-2</v>
      </c>
      <c r="AD24" s="118">
        <f t="shared" si="1"/>
        <v>349.53000000000065</v>
      </c>
      <c r="AE24" s="119">
        <f>IFERROR(AD24/AD148, "NA")</f>
        <v>2.5206775172700299E-2</v>
      </c>
      <c r="AF24" s="118">
        <f t="shared" si="2"/>
        <v>4.462440202688478E-2</v>
      </c>
      <c r="AG24" s="117">
        <f t="shared" si="3"/>
        <v>7400.4099999999989</v>
      </c>
      <c r="AH24" s="116">
        <f>IFERROR(AG24/AG148, "NA")</f>
        <v>5.6919439842215744E-2</v>
      </c>
      <c r="AI24" s="118">
        <f t="shared" si="4"/>
        <v>781.83000000000084</v>
      </c>
      <c r="AJ24" s="119">
        <f>IFERROR(AI24/AI148, "NA")</f>
        <v>3.6208640463571411E-2</v>
      </c>
      <c r="AK24" s="118">
        <f t="shared" si="5"/>
        <v>0.10564684929618777</v>
      </c>
      <c r="AL24" s="119">
        <f>IFERROR(AK24/AK148, "NA")</f>
        <v>0.63613838372169562</v>
      </c>
    </row>
    <row r="25" spans="1:38" ht="16.5" hidden="1" customHeight="1" x14ac:dyDescent="0.25">
      <c r="A25" s="7" t="s">
        <v>31</v>
      </c>
      <c r="B25" s="115">
        <v>0</v>
      </c>
      <c r="C25" s="116">
        <f>IFERROR(B25/B148, "NA")</f>
        <v>0</v>
      </c>
      <c r="D25" s="115">
        <v>0</v>
      </c>
      <c r="E25" s="116">
        <f>IFERROR(D25/D148, "NA")</f>
        <v>0</v>
      </c>
      <c r="F25" s="115">
        <v>0</v>
      </c>
      <c r="G25" s="116">
        <f>IFERROR(F25/F148, "NA")</f>
        <v>0</v>
      </c>
      <c r="H25" s="115">
        <v>0</v>
      </c>
      <c r="I25" s="116">
        <f>IFERROR(H25/H148, "NA")</f>
        <v>0</v>
      </c>
      <c r="J25" s="115">
        <v>0</v>
      </c>
      <c r="K25" s="116">
        <f>IFERROR(J25/J148, "NA")</f>
        <v>0</v>
      </c>
      <c r="L25" s="115">
        <v>0</v>
      </c>
      <c r="M25" s="116">
        <f>IFERROR(L25/L148, "NA")</f>
        <v>0</v>
      </c>
      <c r="N25" s="115">
        <v>0</v>
      </c>
      <c r="O25" s="116">
        <f>IFERROR(N25/N148, "NA")</f>
        <v>0</v>
      </c>
      <c r="P25" s="115">
        <v>0</v>
      </c>
      <c r="Q25" s="116">
        <f>IFERROR(P25/P148, "NA")</f>
        <v>0</v>
      </c>
      <c r="R25" s="115">
        <v>0</v>
      </c>
      <c r="S25" s="116">
        <f>IFERROR(R25/R148, "NA")</f>
        <v>0</v>
      </c>
      <c r="T25" s="115">
        <v>0</v>
      </c>
      <c r="U25" s="116">
        <f>IFERROR(T25/T148, "NA")</f>
        <v>0</v>
      </c>
      <c r="V25" s="115">
        <v>0</v>
      </c>
      <c r="W25" s="116">
        <f>IFERROR(V25/V148, "NA")</f>
        <v>0</v>
      </c>
      <c r="X25" s="115">
        <v>0</v>
      </c>
      <c r="Y25" s="116">
        <f>IFERROR(X25/X148, "NA")</f>
        <v>0</v>
      </c>
      <c r="Z25" s="115">
        <v>0</v>
      </c>
      <c r="AA25" s="116">
        <f>IFERROR(Z25/Z148, "NA")</f>
        <v>0</v>
      </c>
      <c r="AB25" s="117">
        <f t="shared" si="0"/>
        <v>0</v>
      </c>
      <c r="AC25" s="116">
        <f>IFERROR(AB25/AB148, "NA")</f>
        <v>0</v>
      </c>
      <c r="AD25" s="118">
        <f t="shared" si="1"/>
        <v>0</v>
      </c>
      <c r="AE25" s="119">
        <f>IFERROR(AD25/AD148, "NA")</f>
        <v>0</v>
      </c>
      <c r="AF25" s="118" t="str">
        <f t="shared" si="2"/>
        <v>NA</v>
      </c>
      <c r="AG25" s="117">
        <f t="shared" si="3"/>
        <v>0</v>
      </c>
      <c r="AH25" s="116">
        <f>IFERROR(AG25/AG148, "NA")</f>
        <v>0</v>
      </c>
      <c r="AI25" s="118">
        <f t="shared" si="4"/>
        <v>0</v>
      </c>
      <c r="AJ25" s="119">
        <f>IFERROR(AI25/AI148, "NA")</f>
        <v>0</v>
      </c>
      <c r="AK25" s="118" t="str">
        <f t="shared" si="5"/>
        <v>NA</v>
      </c>
      <c r="AL25" s="119" t="str">
        <f>IFERROR(AK25/AK148, "NA")</f>
        <v>NA</v>
      </c>
    </row>
    <row r="26" spans="1:38" ht="16.5" hidden="1" customHeight="1" x14ac:dyDescent="0.25">
      <c r="A26" s="7" t="s">
        <v>32</v>
      </c>
      <c r="B26" s="115">
        <v>0</v>
      </c>
      <c r="C26" s="116">
        <f>IFERROR(B26/B148, "NA")</f>
        <v>0</v>
      </c>
      <c r="D26" s="115">
        <v>0</v>
      </c>
      <c r="E26" s="116">
        <f>IFERROR(D26/D148, "NA")</f>
        <v>0</v>
      </c>
      <c r="F26" s="115">
        <v>0</v>
      </c>
      <c r="G26" s="116">
        <f>IFERROR(F26/F148, "NA")</f>
        <v>0</v>
      </c>
      <c r="H26" s="115">
        <v>0</v>
      </c>
      <c r="I26" s="116">
        <f>IFERROR(H26/H148, "NA")</f>
        <v>0</v>
      </c>
      <c r="J26" s="115">
        <v>0</v>
      </c>
      <c r="K26" s="116">
        <f>IFERROR(J26/J148, "NA")</f>
        <v>0</v>
      </c>
      <c r="L26" s="115">
        <v>0</v>
      </c>
      <c r="M26" s="116">
        <f>IFERROR(L26/L148, "NA")</f>
        <v>0</v>
      </c>
      <c r="N26" s="115">
        <v>0</v>
      </c>
      <c r="O26" s="116">
        <f>IFERROR(N26/N148, "NA")</f>
        <v>0</v>
      </c>
      <c r="P26" s="115">
        <v>0</v>
      </c>
      <c r="Q26" s="116">
        <f>IFERROR(P26/P148, "NA")</f>
        <v>0</v>
      </c>
      <c r="R26" s="115">
        <v>0</v>
      </c>
      <c r="S26" s="116">
        <f>IFERROR(R26/R148, "NA")</f>
        <v>0</v>
      </c>
      <c r="T26" s="115">
        <v>0</v>
      </c>
      <c r="U26" s="116">
        <f>IFERROR(T26/T148, "NA")</f>
        <v>0</v>
      </c>
      <c r="V26" s="115">
        <v>0</v>
      </c>
      <c r="W26" s="116">
        <f>IFERROR(V26/V148, "NA")</f>
        <v>0</v>
      </c>
      <c r="X26" s="115">
        <v>0</v>
      </c>
      <c r="Y26" s="116">
        <f>IFERROR(X26/X148, "NA")</f>
        <v>0</v>
      </c>
      <c r="Z26" s="115">
        <v>0</v>
      </c>
      <c r="AA26" s="116">
        <f>IFERROR(Z26/Z148, "NA")</f>
        <v>0</v>
      </c>
      <c r="AB26" s="117">
        <f t="shared" si="0"/>
        <v>0</v>
      </c>
      <c r="AC26" s="116">
        <f>IFERROR(AB26/AB148, "NA")</f>
        <v>0</v>
      </c>
      <c r="AD26" s="118">
        <f t="shared" si="1"/>
        <v>0</v>
      </c>
      <c r="AE26" s="119">
        <f>IFERROR(AD26/AD148, "NA")</f>
        <v>0</v>
      </c>
      <c r="AF26" s="118" t="str">
        <f t="shared" si="2"/>
        <v>NA</v>
      </c>
      <c r="AG26" s="117">
        <f t="shared" si="3"/>
        <v>0</v>
      </c>
      <c r="AH26" s="116">
        <f>IFERROR(AG26/AG148, "NA")</f>
        <v>0</v>
      </c>
      <c r="AI26" s="118">
        <f t="shared" si="4"/>
        <v>0</v>
      </c>
      <c r="AJ26" s="119">
        <f>IFERROR(AI26/AI148, "NA")</f>
        <v>0</v>
      </c>
      <c r="AK26" s="118" t="str">
        <f t="shared" si="5"/>
        <v>NA</v>
      </c>
      <c r="AL26" s="119" t="str">
        <f>IFERROR(AK26/AK148, "NA")</f>
        <v>NA</v>
      </c>
    </row>
    <row r="27" spans="1:38" ht="16.5" customHeight="1" x14ac:dyDescent="0.25">
      <c r="A27" s="129" t="s">
        <v>33</v>
      </c>
      <c r="B27" s="121">
        <f>IFERROR(B15+B16+B17+B18+B19+B20+B21+B22+B23+B24+B25+B26, "NA")</f>
        <v>27960.559999999998</v>
      </c>
      <c r="C27" s="122">
        <f>IFERROR(B27/B148, "NA")</f>
        <v>0.19403349245241486</v>
      </c>
      <c r="D27" s="121">
        <f>IFERROR(D15+D16+D17+D18+D19+D20+D21+D22+D23+D24+D25+D26, "NA")</f>
        <v>25291.45</v>
      </c>
      <c r="E27" s="122">
        <f>IFERROR(D27/D148, "NA")</f>
        <v>0.22311174611144877</v>
      </c>
      <c r="F27" s="121">
        <f>IFERROR(F15+F16+F17+F18+F19+F20+F21+F22+F23+F24+F25+F26, "NA")</f>
        <v>26739.440000000002</v>
      </c>
      <c r="G27" s="122">
        <f>IFERROR(F27/F148, "NA")</f>
        <v>0.20899984367672347</v>
      </c>
      <c r="H27" s="121">
        <f>IFERROR(H15+H16+H17+H18+H19+H20+H21+H22+H23+H24+H25+H26, "NA")</f>
        <v>25868.79</v>
      </c>
      <c r="I27" s="122">
        <f>IFERROR(H27/H148, "NA")</f>
        <v>0.20713480254053471</v>
      </c>
      <c r="J27" s="121">
        <f>IFERROR(J15+J16+J17+J18+J19+J20+J21+J22+J23+J24+J25+J26, "NA")</f>
        <v>25726.449999999997</v>
      </c>
      <c r="K27" s="122">
        <f>IFERROR(J27/J148, "NA")</f>
        <v>0.20264238655403138</v>
      </c>
      <c r="L27" s="121">
        <f>IFERROR(L15+L16+L17+L18+L19+L20+L21+L22+L23+L24+L25+L26, "NA")</f>
        <v>23706.39</v>
      </c>
      <c r="M27" s="122">
        <f>IFERROR(L27/L148, "NA")</f>
        <v>0.19238575265163113</v>
      </c>
      <c r="N27" s="121">
        <f>IFERROR(N15+N16+N17+N18+N19+N20+N21+N22+N23+N24+N25+N26, "NA")</f>
        <v>25094.350000000002</v>
      </c>
      <c r="O27" s="122">
        <f>IFERROR(N27/N148, "NA")</f>
        <v>0.19633639856593652</v>
      </c>
      <c r="P27" s="121">
        <f>IFERROR(P15+P16+P17+P18+P19+P20+P21+P22+P23+P24+P25+P26, "NA")</f>
        <v>23348.059999999998</v>
      </c>
      <c r="Q27" s="122">
        <f>IFERROR(P27/P148, "NA")</f>
        <v>0.21002600850770461</v>
      </c>
      <c r="R27" s="121">
        <f>IFERROR(R15+R16+R17+R18+R19+R20+R21+R22+R23+R24+R25+R26, "NA")</f>
        <v>27943.86</v>
      </c>
      <c r="S27" s="122">
        <f>IFERROR(R27/R148, "NA")</f>
        <v>0.20721046189685727</v>
      </c>
      <c r="T27" s="121">
        <f>IFERROR(T15+T16+T17+T18+T19+T20+T21+T22+T23+T24+T25+T26, "NA")</f>
        <v>26709.38</v>
      </c>
      <c r="U27" s="122">
        <f>IFERROR(T27/T148, "NA")</f>
        <v>0.2070159496664416</v>
      </c>
      <c r="V27" s="121">
        <f>IFERROR(V15+V16+V17+V18+V19+V20+V21+V22+V23+V24+V25+V26, "NA")</f>
        <v>28318.65</v>
      </c>
      <c r="W27" s="122">
        <f>IFERROR(V27/V148, "NA")</f>
        <v>0.20902564384185307</v>
      </c>
      <c r="X27" s="121">
        <f>IFERROR(X15+X16+X17+X18+X19+X20+X21+X22+X23+X24+X25+X26, "NA")</f>
        <v>28983.279999999999</v>
      </c>
      <c r="Y27" s="122">
        <f>IFERROR(X27/X148, "NA")</f>
        <v>0.19117266141922579</v>
      </c>
      <c r="Z27" s="121">
        <f>IFERROR(Z15+Z16+Z17+Z18+Z19+Z20+Z21+Z22+Z23+Z24+Z25+Z26, "NA")</f>
        <v>57301.930000000008</v>
      </c>
      <c r="AA27" s="122">
        <f>IFERROR(Z27/Z148, "NA")</f>
        <v>0.1995976622850244</v>
      </c>
      <c r="AB27" s="121">
        <f t="shared" si="0"/>
        <v>27988.792500000003</v>
      </c>
      <c r="AC27" s="122">
        <f>IFERROR(AB27/AB148, "NA")</f>
        <v>0.20319817155863718</v>
      </c>
      <c r="AD27" s="123">
        <f t="shared" si="1"/>
        <v>994.48749999999563</v>
      </c>
      <c r="AE27" s="124">
        <f>IFERROR(AD27/AD148, "NA")</f>
        <v>7.1718658840616345E-2</v>
      </c>
      <c r="AF27" s="123">
        <f t="shared" si="2"/>
        <v>3.5531632884841159E-2</v>
      </c>
      <c r="AG27" s="121">
        <f t="shared" si="3"/>
        <v>26228.802499999998</v>
      </c>
      <c r="AH27" s="122">
        <f>IFERROR(AG27/AG148, "NA")</f>
        <v>0.20173595058005001</v>
      </c>
      <c r="AI27" s="123">
        <f t="shared" si="4"/>
        <v>2754.4775000000009</v>
      </c>
      <c r="AJ27" s="124">
        <f>IFERROR(AI27/AI148, "NA")</f>
        <v>0.12756722748231322</v>
      </c>
      <c r="AK27" s="123">
        <f t="shared" si="5"/>
        <v>0.10501728014460443</v>
      </c>
      <c r="AL27" s="124">
        <f>IFERROR(AK27/AK148, "NA")</f>
        <v>0.63234751721505278</v>
      </c>
    </row>
    <row r="28" spans="1:38" ht="16.5" customHeight="1" x14ac:dyDescent="0.25">
      <c r="A28" s="6" t="s">
        <v>34</v>
      </c>
      <c r="B28" s="111"/>
      <c r="C28" s="112"/>
      <c r="D28" s="111"/>
      <c r="E28" s="112"/>
      <c r="F28" s="111"/>
      <c r="G28" s="112"/>
      <c r="H28" s="111"/>
      <c r="I28" s="112"/>
      <c r="J28" s="111"/>
      <c r="K28" s="112"/>
      <c r="L28" s="111"/>
      <c r="M28" s="112"/>
      <c r="N28" s="111"/>
      <c r="O28" s="112"/>
      <c r="P28" s="111"/>
      <c r="Q28" s="112"/>
      <c r="R28" s="111"/>
      <c r="S28" s="112"/>
      <c r="T28" s="111"/>
      <c r="U28" s="112"/>
      <c r="V28" s="111"/>
      <c r="W28" s="112"/>
      <c r="X28" s="111"/>
      <c r="Y28" s="112"/>
      <c r="Z28" s="111"/>
      <c r="AA28" s="112"/>
      <c r="AB28" s="111"/>
      <c r="AC28" s="112"/>
      <c r="AD28" s="113"/>
      <c r="AE28" s="114"/>
      <c r="AF28" s="113"/>
      <c r="AG28" s="111"/>
      <c r="AH28" s="112"/>
      <c r="AI28" s="113"/>
      <c r="AJ28" s="114"/>
      <c r="AK28" s="113"/>
      <c r="AL28" s="114"/>
    </row>
    <row r="29" spans="1:38" ht="16.5" hidden="1" customHeight="1" x14ac:dyDescent="0.25">
      <c r="A29" s="7" t="s">
        <v>35</v>
      </c>
      <c r="B29" s="115">
        <v>0</v>
      </c>
      <c r="C29" s="116">
        <f>IFERROR(B29/B148, "NA")</f>
        <v>0</v>
      </c>
      <c r="D29" s="115">
        <v>0</v>
      </c>
      <c r="E29" s="116">
        <f>IFERROR(D29/D148, "NA")</f>
        <v>0</v>
      </c>
      <c r="F29" s="115">
        <v>0</v>
      </c>
      <c r="G29" s="116">
        <f>IFERROR(F29/F148, "NA")</f>
        <v>0</v>
      </c>
      <c r="H29" s="115">
        <v>0</v>
      </c>
      <c r="I29" s="116">
        <f>IFERROR(H29/H148, "NA")</f>
        <v>0</v>
      </c>
      <c r="J29" s="115">
        <v>0</v>
      </c>
      <c r="K29" s="116">
        <f>IFERROR(J29/J148, "NA")</f>
        <v>0</v>
      </c>
      <c r="L29" s="115">
        <v>0</v>
      </c>
      <c r="M29" s="116">
        <f>IFERROR(L29/L148, "NA")</f>
        <v>0</v>
      </c>
      <c r="N29" s="115">
        <v>0</v>
      </c>
      <c r="O29" s="116">
        <f>IFERROR(N29/N148, "NA")</f>
        <v>0</v>
      </c>
      <c r="P29" s="115">
        <v>0</v>
      </c>
      <c r="Q29" s="116">
        <f>IFERROR(P29/P148, "NA")</f>
        <v>0</v>
      </c>
      <c r="R29" s="115">
        <v>0</v>
      </c>
      <c r="S29" s="116">
        <f>IFERROR(R29/R148, "NA")</f>
        <v>0</v>
      </c>
      <c r="T29" s="115">
        <v>0</v>
      </c>
      <c r="U29" s="116">
        <f>IFERROR(T29/T148, "NA")</f>
        <v>0</v>
      </c>
      <c r="V29" s="115">
        <v>0</v>
      </c>
      <c r="W29" s="116">
        <f>IFERROR(V29/V148, "NA")</f>
        <v>0</v>
      </c>
      <c r="X29" s="115">
        <v>0</v>
      </c>
      <c r="Y29" s="116">
        <f>IFERROR(X29/X148, "NA")</f>
        <v>0</v>
      </c>
      <c r="Z29" s="115">
        <v>0</v>
      </c>
      <c r="AA29" s="116">
        <f>IFERROR(Z29/Z148, "NA")</f>
        <v>0</v>
      </c>
      <c r="AB29" s="117">
        <f t="shared" ref="AB29:AB35" si="6">IFERROR((R29+T29+V29+X29)/4, "NA")</f>
        <v>0</v>
      </c>
      <c r="AC29" s="116">
        <f>IFERROR(AB29/AB148, "NA")</f>
        <v>0</v>
      </c>
      <c r="AD29" s="118">
        <f t="shared" ref="AD29:AD35" si="7">IFERROR(X29-AB29, "NA")</f>
        <v>0</v>
      </c>
      <c r="AE29" s="119">
        <f>IFERROR(AD29/AD148, "NA")</f>
        <v>0</v>
      </c>
      <c r="AF29" s="118" t="str">
        <f t="shared" ref="AF29:AF35" si="8">IFERROR((X29-AB29)/AB29, "NA")</f>
        <v>NA</v>
      </c>
      <c r="AG29" s="117">
        <f t="shared" ref="AG29:AG35" si="9">IFERROR((J29+L29+N29+P29+R29+T29+V29+X29)/8, "NA")</f>
        <v>0</v>
      </c>
      <c r="AH29" s="116">
        <f>IFERROR(AG29/AG148, "NA")</f>
        <v>0</v>
      </c>
      <c r="AI29" s="118">
        <f t="shared" ref="AI29:AI35" si="10">IFERROR(X29-AG29, "NA")</f>
        <v>0</v>
      </c>
      <c r="AJ29" s="119">
        <f>IFERROR(AI29/AI148, "NA")</f>
        <v>0</v>
      </c>
      <c r="AK29" s="118" t="str">
        <f t="shared" ref="AK29:AK35" si="11">IFERROR((X29-AG29)/AG29, "NA")</f>
        <v>NA</v>
      </c>
      <c r="AL29" s="119" t="str">
        <f>IFERROR(AK29/AK148, "NA")</f>
        <v>NA</v>
      </c>
    </row>
    <row r="30" spans="1:38" ht="16.5" customHeight="1" x14ac:dyDescent="0.25">
      <c r="A30" s="7" t="s">
        <v>36</v>
      </c>
      <c r="B30" s="115">
        <v>557.23</v>
      </c>
      <c r="C30" s="116">
        <f>IFERROR(B30/B148, "NA")</f>
        <v>3.866921227588401E-3</v>
      </c>
      <c r="D30" s="115">
        <v>1299.6499999999999</v>
      </c>
      <c r="E30" s="116">
        <f>IFERROR(D30/D148, "NA")</f>
        <v>1.146502793765262E-2</v>
      </c>
      <c r="F30" s="115">
        <v>1368.44</v>
      </c>
      <c r="G30" s="116">
        <f>IFERROR(F30/F148, "NA")</f>
        <v>1.0695951227137721E-2</v>
      </c>
      <c r="H30" s="115">
        <v>1174.52</v>
      </c>
      <c r="I30" s="116">
        <f>IFERROR(H30/H148, "NA")</f>
        <v>9.4045360559929098E-3</v>
      </c>
      <c r="J30" s="115">
        <v>1483.11</v>
      </c>
      <c r="K30" s="116">
        <f>IFERROR(J30/J148, "NA")</f>
        <v>1.1682177289215943E-2</v>
      </c>
      <c r="L30" s="115">
        <v>1200.5999999999999</v>
      </c>
      <c r="M30" s="116">
        <f>IFERROR(L30/L148, "NA")</f>
        <v>9.7432943030781299E-3</v>
      </c>
      <c r="N30" s="115">
        <v>1032.5</v>
      </c>
      <c r="O30" s="116">
        <f>IFERROR(N30/N148, "NA")</f>
        <v>8.0782061109106011E-3</v>
      </c>
      <c r="P30" s="115">
        <v>1300.3799999999999</v>
      </c>
      <c r="Q30" s="116">
        <f>IFERROR(P30/P148, "NA")</f>
        <v>1.1697486683829359E-2</v>
      </c>
      <c r="R30" s="115">
        <v>1100.52</v>
      </c>
      <c r="S30" s="116">
        <f>IFERROR(R30/R148, "NA")</f>
        <v>8.1606212429753567E-3</v>
      </c>
      <c r="T30" s="115">
        <v>1173.9000000000001</v>
      </c>
      <c r="U30" s="116">
        <f>IFERROR(T30/T148, "NA")</f>
        <v>9.0985273081380328E-3</v>
      </c>
      <c r="V30" s="115">
        <v>1247.4000000000001</v>
      </c>
      <c r="W30" s="116">
        <f>IFERROR(V30/V148, "NA")</f>
        <v>9.2073099575130709E-3</v>
      </c>
      <c r="X30" s="115">
        <v>1356.75</v>
      </c>
      <c r="Y30" s="116">
        <f>IFERROR(X30/X148, "NA")</f>
        <v>8.9490736859504719E-3</v>
      </c>
      <c r="Z30" s="115">
        <v>2604.1499999999996</v>
      </c>
      <c r="AA30" s="116">
        <f>IFERROR(Z30/Z148, "NA")</f>
        <v>9.0709379638617086E-3</v>
      </c>
      <c r="AB30" s="117">
        <f t="shared" si="6"/>
        <v>1219.6424999999999</v>
      </c>
      <c r="AC30" s="116">
        <f>IFERROR(AB30/AB148, "NA")</f>
        <v>8.8545844182168678E-3</v>
      </c>
      <c r="AD30" s="118">
        <f t="shared" si="7"/>
        <v>137.10750000000007</v>
      </c>
      <c r="AE30" s="119">
        <f>IFERROR(AD30/AD148, "NA")</f>
        <v>9.8876718078305201E-3</v>
      </c>
      <c r="AF30" s="118">
        <f t="shared" si="8"/>
        <v>0.11241613833561891</v>
      </c>
      <c r="AG30" s="117">
        <f t="shared" si="9"/>
        <v>1236.895</v>
      </c>
      <c r="AH30" s="116">
        <f>IFERROR(AG30/AG148, "NA")</f>
        <v>9.5134418962783754E-3</v>
      </c>
      <c r="AI30" s="118">
        <f t="shared" si="10"/>
        <v>119.85500000000002</v>
      </c>
      <c r="AJ30" s="119">
        <f>IFERROR(AI30/AI148, "NA")</f>
        <v>5.5508059332097098E-3</v>
      </c>
      <c r="AK30" s="118">
        <f t="shared" si="11"/>
        <v>9.6899898536254109E-2</v>
      </c>
      <c r="AL30" s="119">
        <f>IFERROR(AK30/AK148, "NA")</f>
        <v>0.58346978871875654</v>
      </c>
    </row>
    <row r="31" spans="1:38" ht="16.5" customHeight="1" x14ac:dyDescent="0.25">
      <c r="A31" s="7" t="s">
        <v>37</v>
      </c>
      <c r="B31" s="115">
        <v>48.86</v>
      </c>
      <c r="C31" s="116">
        <f>IFERROR(B31/B148, "NA")</f>
        <v>3.3906604307013129E-4</v>
      </c>
      <c r="D31" s="115">
        <v>53.22</v>
      </c>
      <c r="E31" s="116">
        <f>IFERROR(D31/D148, "NA")</f>
        <v>4.6948700561064323E-4</v>
      </c>
      <c r="F31" s="115">
        <v>54.96</v>
      </c>
      <c r="G31" s="116">
        <f>IFERROR(F31/F148, "NA")</f>
        <v>4.2957636392058777E-4</v>
      </c>
      <c r="H31" s="115">
        <v>45.92</v>
      </c>
      <c r="I31" s="116">
        <f>IFERROR(H31/H148, "NA")</f>
        <v>3.6768747717467088E-4</v>
      </c>
      <c r="J31" s="115">
        <v>46.85</v>
      </c>
      <c r="K31" s="116">
        <f>IFERROR(J31/J148, "NA")</f>
        <v>3.6902859936199404E-4</v>
      </c>
      <c r="L31" s="115">
        <v>46.17</v>
      </c>
      <c r="M31" s="116">
        <f>IFERROR(L31/L148, "NA")</f>
        <v>3.7468590535825195E-4</v>
      </c>
      <c r="N31" s="115">
        <v>44.66</v>
      </c>
      <c r="O31" s="116">
        <f>IFERROR(N31/N148, "NA")</f>
        <v>3.494166439837941E-4</v>
      </c>
      <c r="P31" s="115">
        <v>158.27000000000001</v>
      </c>
      <c r="Q31" s="116">
        <f>IFERROR(P31/P148, "NA")</f>
        <v>1.4237078526658923E-3</v>
      </c>
      <c r="R31" s="115">
        <v>-74.249999999999986</v>
      </c>
      <c r="S31" s="116">
        <f>IFERROR(R31/R148, "NA")</f>
        <v>-5.505816589347945E-4</v>
      </c>
      <c r="T31" s="115">
        <v>38.549999999999997</v>
      </c>
      <c r="U31" s="116">
        <f>IFERROR(T31/T148, "NA")</f>
        <v>2.9878884720054613E-4</v>
      </c>
      <c r="V31" s="115">
        <v>1.2499999999999991</v>
      </c>
      <c r="W31" s="116">
        <f>IFERROR(V31/V148, "NA")</f>
        <v>9.2265010797589617E-6</v>
      </c>
      <c r="X31" s="115">
        <v>43.580000000000005</v>
      </c>
      <c r="Y31" s="116">
        <f>IFERROR(X31/X148, "NA")</f>
        <v>2.8745209598947608E-4</v>
      </c>
      <c r="Z31" s="115">
        <v>44.83</v>
      </c>
      <c r="AA31" s="116">
        <f>IFERROR(Z31/Z148, "NA")</f>
        <v>1.5615465657505153E-4</v>
      </c>
      <c r="AB31" s="117">
        <f t="shared" si="6"/>
        <v>2.2825000000000042</v>
      </c>
      <c r="AC31" s="116">
        <f>IFERROR(AB31/AB148, "NA")</f>
        <v>1.6570912324373771E-5</v>
      </c>
      <c r="AD31" s="118">
        <f t="shared" si="7"/>
        <v>41.297499999999999</v>
      </c>
      <c r="AE31" s="119">
        <f>IFERROR(AD31/AD148, "NA")</f>
        <v>2.9782187442983108E-3</v>
      </c>
      <c r="AF31" s="118">
        <f t="shared" si="8"/>
        <v>18.09309967141289</v>
      </c>
      <c r="AG31" s="117">
        <f t="shared" si="9"/>
        <v>38.135000000000005</v>
      </c>
      <c r="AH31" s="116">
        <f>IFERROR(AG31/AG148, "NA")</f>
        <v>2.9331115956857768E-4</v>
      </c>
      <c r="AI31" s="118">
        <f t="shared" si="10"/>
        <v>5.4450000000000003</v>
      </c>
      <c r="AJ31" s="119">
        <f>IFERROR(AI31/AI148, "NA")</f>
        <v>2.5217252769034975E-4</v>
      </c>
      <c r="AK31" s="118">
        <f t="shared" si="11"/>
        <v>0.14278222105677199</v>
      </c>
      <c r="AL31" s="119">
        <f>IFERROR(AK31/AK148, "NA")</f>
        <v>0.859744061771337</v>
      </c>
    </row>
    <row r="32" spans="1:38" ht="16.5" customHeight="1" x14ac:dyDescent="0.25">
      <c r="A32" s="7" t="s">
        <v>38</v>
      </c>
      <c r="B32" s="115">
        <v>28.5</v>
      </c>
      <c r="C32" s="116">
        <f>IFERROR(B32/B148, "NA")</f>
        <v>1.9777695922019528E-4</v>
      </c>
      <c r="D32" s="115">
        <v>0.8</v>
      </c>
      <c r="E32" s="116">
        <f>IFERROR(D32/D148, "NA")</f>
        <v>7.0573018505921572E-6</v>
      </c>
      <c r="F32" s="115">
        <v>-26.099999999999998</v>
      </c>
      <c r="G32" s="116">
        <f>IFERROR(F32/F148, "NA")</f>
        <v>-2.0400187587931842E-4</v>
      </c>
      <c r="H32" s="115">
        <v>25.299999999999997</v>
      </c>
      <c r="I32" s="116">
        <f>IFERROR(H32/H148, "NA")</f>
        <v>2.0258042623081819E-4</v>
      </c>
      <c r="J32" s="115">
        <v>5.4</v>
      </c>
      <c r="K32" s="116">
        <f>IFERROR(J32/J148, "NA")</f>
        <v>4.2534779862428341E-5</v>
      </c>
      <c r="L32" s="115">
        <v>-28.31</v>
      </c>
      <c r="M32" s="116">
        <f>IFERROR(L32/L148, "NA")</f>
        <v>-2.2974567859415448E-4</v>
      </c>
      <c r="N32" s="115">
        <v>1.99</v>
      </c>
      <c r="O32" s="116">
        <f>IFERROR(N32/N148, "NA")</f>
        <v>1.5569617589067407E-5</v>
      </c>
      <c r="P32" s="115">
        <v>26.32</v>
      </c>
      <c r="Q32" s="116">
        <f>IFERROR(P32/P148, "NA")</f>
        <v>2.3675990827172732E-4</v>
      </c>
      <c r="R32" s="115">
        <v>1.59</v>
      </c>
      <c r="S32" s="116">
        <f>IFERROR(R32/R148, "NA")</f>
        <v>1.1790233504462271E-5</v>
      </c>
      <c r="T32" s="115">
        <v>-16.71</v>
      </c>
      <c r="U32" s="116">
        <f>IFERROR(T32/T148, "NA")</f>
        <v>-1.2951392053751302E-4</v>
      </c>
      <c r="V32" s="115">
        <v>29.9</v>
      </c>
      <c r="W32" s="116">
        <f>IFERROR(V32/V148, "NA")</f>
        <v>2.2069790582783451E-4</v>
      </c>
      <c r="X32" s="115">
        <v>-35.18</v>
      </c>
      <c r="Y32" s="116">
        <f>IFERROR(X32/X148, "NA")</f>
        <v>-2.320460013058689E-4</v>
      </c>
      <c r="Z32" s="115">
        <v>-5.2800000000000011</v>
      </c>
      <c r="AA32" s="116">
        <f>IFERROR(Z32/Z148, "NA")</f>
        <v>-1.8391625846894319E-5</v>
      </c>
      <c r="AB32" s="117">
        <f t="shared" si="6"/>
        <v>-5.1000000000000005</v>
      </c>
      <c r="AC32" s="116">
        <f>IFERROR(AB32/AB148, "NA")</f>
        <v>-3.7025915817877804E-5</v>
      </c>
      <c r="AD32" s="118">
        <f t="shared" si="7"/>
        <v>-30.08</v>
      </c>
      <c r="AE32" s="119">
        <f>IFERROR(AD32/AD148, "NA")</f>
        <v>-2.1692552776437601E-3</v>
      </c>
      <c r="AF32" s="118">
        <f t="shared" si="8"/>
        <v>5.898039215686274</v>
      </c>
      <c r="AG32" s="117">
        <f t="shared" si="9"/>
        <v>-1.875</v>
      </c>
      <c r="AH32" s="116">
        <f>IFERROR(AG32/AG148, "NA")</f>
        <v>-1.4421356344331534E-5</v>
      </c>
      <c r="AI32" s="118">
        <f t="shared" si="10"/>
        <v>-33.305</v>
      </c>
      <c r="AJ32" s="119">
        <f>IFERROR(AI32/AI148, "NA")</f>
        <v>-1.5424437162033238E-3</v>
      </c>
      <c r="AK32" s="118">
        <f t="shared" si="11"/>
        <v>17.762666666666668</v>
      </c>
      <c r="AL32" s="119">
        <f>IFERROR(AK32/AK148, "NA")</f>
        <v>106.95552341785087</v>
      </c>
    </row>
    <row r="33" spans="1:38" ht="16.5" customHeight="1" x14ac:dyDescent="0.25">
      <c r="A33" s="7" t="s">
        <v>39</v>
      </c>
      <c r="B33" s="115">
        <v>-13.72</v>
      </c>
      <c r="C33" s="116">
        <f>IFERROR(B33/B148, "NA")</f>
        <v>-9.5210522122844896E-5</v>
      </c>
      <c r="D33" s="115">
        <v>18.989999999999998</v>
      </c>
      <c r="E33" s="116">
        <f>IFERROR(D33/D148, "NA")</f>
        <v>1.6752270267843131E-4</v>
      </c>
      <c r="F33" s="115">
        <v>12.730000000000002</v>
      </c>
      <c r="G33" s="116">
        <f>IFERROR(F33/F148, "NA")</f>
        <v>9.9499765515085218E-5</v>
      </c>
      <c r="H33" s="115">
        <v>-1.0200000000000014</v>
      </c>
      <c r="I33" s="116">
        <f>IFERROR(H33/H148, "NA")</f>
        <v>-8.1672741010053309E-6</v>
      </c>
      <c r="J33" s="115">
        <v>20.009999999999998</v>
      </c>
      <c r="K33" s="116">
        <f>IFERROR(J33/J148, "NA")</f>
        <v>1.5761498982355389E-4</v>
      </c>
      <c r="L33" s="115">
        <v>14.34</v>
      </c>
      <c r="M33" s="116">
        <f>IFERROR(L33/L148, "NA")</f>
        <v>1.1637417983186772E-4</v>
      </c>
      <c r="N33" s="115">
        <v>-6.02</v>
      </c>
      <c r="O33" s="116">
        <f>IFERROR(N33/N148, "NA")</f>
        <v>-4.7100049189038076E-5</v>
      </c>
      <c r="P33" s="115">
        <v>-2.1800000000000002</v>
      </c>
      <c r="Q33" s="116">
        <f>IFERROR(P33/P148, "NA")</f>
        <v>-1.9610053192719059E-5</v>
      </c>
      <c r="R33" s="115">
        <v>9.85</v>
      </c>
      <c r="S33" s="116">
        <f>IFERROR(R33/R148, "NA")</f>
        <v>7.3040125798083869E-5</v>
      </c>
      <c r="T33" s="115">
        <v>5.52</v>
      </c>
      <c r="U33" s="116">
        <f>IFERROR(T33/T148, "NA")</f>
        <v>4.2783772673074313E-5</v>
      </c>
      <c r="V33" s="115">
        <v>-2.0099999999999998</v>
      </c>
      <c r="W33" s="116">
        <f>IFERROR(V33/V148, "NA")</f>
        <v>-1.4836213736252419E-5</v>
      </c>
      <c r="X33" s="115">
        <v>7.54</v>
      </c>
      <c r="Y33" s="116">
        <f>IFERROR(X33/X148, "NA")</f>
        <v>4.9733565942190206E-5</v>
      </c>
      <c r="Z33" s="115">
        <v>5.5300000000000011</v>
      </c>
      <c r="AA33" s="116">
        <f>IFERROR(Z33/Z148, "NA")</f>
        <v>1.9262441464644994E-5</v>
      </c>
      <c r="AB33" s="117">
        <f t="shared" si="6"/>
        <v>5.2249999999999996</v>
      </c>
      <c r="AC33" s="116">
        <f>IFERROR(AB33/AB148, "NA")</f>
        <v>3.7933413754590489E-5</v>
      </c>
      <c r="AD33" s="118">
        <f t="shared" si="7"/>
        <v>2.3150000000000004</v>
      </c>
      <c r="AE33" s="119">
        <f>IFERROR(AD33/AD148, "NA")</f>
        <v>1.6694900158727746E-4</v>
      </c>
      <c r="AF33" s="118">
        <f t="shared" si="8"/>
        <v>0.44306220095693788</v>
      </c>
      <c r="AG33" s="117">
        <f t="shared" si="9"/>
        <v>5.8812499999999996</v>
      </c>
      <c r="AH33" s="116">
        <f>IFERROR(AG33/AG148, "NA")</f>
        <v>4.5234987733386578E-5</v>
      </c>
      <c r="AI33" s="118">
        <f t="shared" si="10"/>
        <v>1.6587500000000004</v>
      </c>
      <c r="AJ33" s="119">
        <f>IFERROR(AI33/AI148, "NA")</f>
        <v>7.6821153407964692E-5</v>
      </c>
      <c r="AK33" s="118">
        <f t="shared" si="11"/>
        <v>0.28204038257173231</v>
      </c>
      <c r="AL33" s="119">
        <f>IFERROR(AK33/AK148, "NA")</f>
        <v>1.6982684699893333</v>
      </c>
    </row>
    <row r="34" spans="1:38" ht="16.5" customHeight="1" x14ac:dyDescent="0.25">
      <c r="A34" s="129" t="s">
        <v>40</v>
      </c>
      <c r="B34" s="121">
        <f>IFERROR(B29+B30+B31+B32+B33, "NA")</f>
        <v>620.87</v>
      </c>
      <c r="C34" s="122">
        <f>IFERROR(B34/B148, "NA")</f>
        <v>4.3085537077558822E-3</v>
      </c>
      <c r="D34" s="121">
        <f>IFERROR(D29+D30+D31+D32+D33, "NA")</f>
        <v>1372.6599999999999</v>
      </c>
      <c r="E34" s="122">
        <f>IFERROR(D34/D148, "NA")</f>
        <v>1.2109094947792286E-2</v>
      </c>
      <c r="F34" s="121">
        <f>IFERROR(F29+F30+F31+F32+F33, "NA")</f>
        <v>1410.0300000000002</v>
      </c>
      <c r="G34" s="122">
        <f>IFERROR(F34/F148, "NA")</f>
        <v>1.1021025480694077E-2</v>
      </c>
      <c r="H34" s="121">
        <f>IFERROR(H29+H30+H31+H32+H33, "NA")</f>
        <v>1244.72</v>
      </c>
      <c r="I34" s="122">
        <f>IFERROR(H34/H148, "NA")</f>
        <v>9.9666366852973944E-3</v>
      </c>
      <c r="J34" s="121">
        <f>IFERROR(J29+J30+J31+J32+J33, "NA")</f>
        <v>1555.37</v>
      </c>
      <c r="K34" s="122">
        <f>IFERROR(J34/J148, "NA")</f>
        <v>1.2251355658263919E-2</v>
      </c>
      <c r="L34" s="121">
        <f>IFERROR(L29+L30+L31+L32+L33, "NA")</f>
        <v>1232.8</v>
      </c>
      <c r="M34" s="122">
        <f>IFERROR(L34/L148, "NA")</f>
        <v>1.0004608709674095E-2</v>
      </c>
      <c r="N34" s="121">
        <f>IFERROR(N29+N30+N31+N32+N33, "NA")</f>
        <v>1073.1300000000001</v>
      </c>
      <c r="O34" s="122">
        <f>IFERROR(N34/N148, "NA")</f>
        <v>8.396092323294425E-3</v>
      </c>
      <c r="P34" s="121">
        <f>IFERROR(P29+P30+P31+P32+P33, "NA")</f>
        <v>1482.7899999999997</v>
      </c>
      <c r="Q34" s="122">
        <f>IFERROR(P34/P148, "NA")</f>
        <v>1.3338344391574259E-2</v>
      </c>
      <c r="R34" s="121">
        <f>IFERROR(R29+R30+R31+R32+R33, "NA")</f>
        <v>1037.7099999999998</v>
      </c>
      <c r="S34" s="122">
        <f>IFERROR(R34/R148, "NA")</f>
        <v>7.6948699433431068E-3</v>
      </c>
      <c r="T34" s="121">
        <f>IFERROR(T29+T30+T31+T32+T33, "NA")</f>
        <v>1201.26</v>
      </c>
      <c r="U34" s="122">
        <f>IFERROR(T34/T148, "NA")</f>
        <v>9.3105860074741403E-3</v>
      </c>
      <c r="V34" s="121">
        <f>IFERROR(V29+V30+V31+V32+V33, "NA")</f>
        <v>1276.5400000000002</v>
      </c>
      <c r="W34" s="122">
        <f>IFERROR(V34/V148, "NA")</f>
        <v>9.4223981506844131E-3</v>
      </c>
      <c r="X34" s="121">
        <f>IFERROR(X29+X30+X31+X32+X33, "NA")</f>
        <v>1372.6899999999998</v>
      </c>
      <c r="Y34" s="122">
        <f>IFERROR(X34/X148, "NA")</f>
        <v>9.0542133465762679E-3</v>
      </c>
      <c r="Z34" s="121">
        <f>IFERROR(Z29+Z30+Z31+Z32+Z33, "NA")</f>
        <v>2649.2299999999996</v>
      </c>
      <c r="AA34" s="122">
        <f>IFERROR(Z34/Z148, "NA")</f>
        <v>9.2279634360545107E-3</v>
      </c>
      <c r="AB34" s="121">
        <f t="shared" si="6"/>
        <v>1222.05</v>
      </c>
      <c r="AC34" s="122">
        <f>IFERROR(AB34/AB148, "NA")</f>
        <v>8.8720628284779529E-3</v>
      </c>
      <c r="AD34" s="123">
        <f t="shared" si="7"/>
        <v>150.63999999999987</v>
      </c>
      <c r="AE34" s="124">
        <f>IFERROR(AD34/AD148, "NA")</f>
        <v>1.0863584276072334E-2</v>
      </c>
      <c r="AF34" s="123">
        <f t="shared" si="8"/>
        <v>0.12326827871200023</v>
      </c>
      <c r="AG34" s="121">
        <f t="shared" si="9"/>
        <v>1279.0362500000001</v>
      </c>
      <c r="AH34" s="122">
        <f>IFERROR(AG34/AG148, "NA")</f>
        <v>9.8375666872360084E-3</v>
      </c>
      <c r="AI34" s="123">
        <f t="shared" si="10"/>
        <v>93.653749999999718</v>
      </c>
      <c r="AJ34" s="124">
        <f>IFERROR(AI34/AI148, "NA")</f>
        <v>4.3373558981046872E-3</v>
      </c>
      <c r="AK34" s="123">
        <f t="shared" si="11"/>
        <v>7.3222123297912556E-2</v>
      </c>
      <c r="AL34" s="124">
        <f>IFERROR(AK34/AK148, "NA")</f>
        <v>0.4408972295692079</v>
      </c>
    </row>
    <row r="35" spans="1:38" ht="16.5" customHeight="1" x14ac:dyDescent="0.25">
      <c r="A35" s="130" t="s">
        <v>41</v>
      </c>
      <c r="B35" s="121">
        <f>IFERROR(B13+B15+B16+B17+B18+B19+B20+B21+B22+B23+B24+B25+B26+B29+B30+B31+B32+B33, "NA")</f>
        <v>28581.429999999997</v>
      </c>
      <c r="C35" s="122">
        <f>IFERROR(B35/B148, "NA")</f>
        <v>0.19834204616017073</v>
      </c>
      <c r="D35" s="121">
        <f>IFERROR(D13+D15+D16+D17+D18+D19+D20+D21+D22+D23+D24+D25+D26+D29+D30+D31+D32+D33, "NA")</f>
        <v>26664.110000000004</v>
      </c>
      <c r="E35" s="122">
        <f>IFERROR(D35/D148, "NA")</f>
        <v>0.23522084105924107</v>
      </c>
      <c r="F35" s="121">
        <f>IFERROR(F13+F15+F16+F17+F18+F19+F20+F21+F22+F23+F24+F25+F26+F29+F30+F31+F32+F33, "NA")</f>
        <v>28149.47</v>
      </c>
      <c r="G35" s="122">
        <f>IFERROR(F35/F148, "NA")</f>
        <v>0.22002086915741756</v>
      </c>
      <c r="H35" s="121">
        <f>IFERROR(H13+H15+H16+H17+H18+H19+H20+H21+H22+H23+H24+H25+H26+H29+H30+H31+H32+H33, "NA")</f>
        <v>27113.51</v>
      </c>
      <c r="I35" s="122">
        <f>IFERROR(H35/H148, "NA")</f>
        <v>0.21710143922583208</v>
      </c>
      <c r="J35" s="121">
        <f>IFERROR(J13+J15+J16+J17+J18+J19+J20+J21+J22+J23+J24+J25+J26+J29+J30+J31+J32+J33, "NA")</f>
        <v>27281.819999999996</v>
      </c>
      <c r="K35" s="122">
        <f>IFERROR(J35/J148, "NA")</f>
        <v>0.21489374221229529</v>
      </c>
      <c r="L35" s="121">
        <f>IFERROR(L13+L15+L16+L17+L18+L19+L20+L21+L22+L23+L24+L25+L26+L29+L30+L31+L32+L33, "NA")</f>
        <v>24939.189999999995</v>
      </c>
      <c r="M35" s="122">
        <f>IFERROR(L35/L148, "NA")</f>
        <v>0.2023903613613052</v>
      </c>
      <c r="N35" s="121">
        <f>IFERROR(N13+N15+N16+N17+N18+N19+N20+N21+N22+N23+N24+N25+N26+N29+N30+N31+N32+N33, "NA")</f>
        <v>26167.480000000003</v>
      </c>
      <c r="O35" s="122">
        <f>IFERROR(N35/N148, "NA")</f>
        <v>0.20473249088923096</v>
      </c>
      <c r="P35" s="121">
        <f>IFERROR(P13+P15+P16+P17+P18+P19+P20+P21+P22+P23+P24+P25+P26+P29+P30+P31+P32+P33, "NA")</f>
        <v>24830.85</v>
      </c>
      <c r="Q35" s="122">
        <f>IFERROR(P35/P148, "NA")</f>
        <v>0.22336435289927889</v>
      </c>
      <c r="R35" s="121">
        <f>IFERROR(R13+R15+R16+R17+R18+R19+R20+R21+R22+R23+R24+R25+R26+R29+R30+R31+R32+R33, "NA")</f>
        <v>28981.57</v>
      </c>
      <c r="S35" s="122">
        <f>IFERROR(R35/R148, "NA")</f>
        <v>0.21490533184020036</v>
      </c>
      <c r="T35" s="121">
        <f>IFERROR(T13+T15+T16+T17+T18+T19+T20+T21+T22+T23+T24+T25+T26+T29+T30+T31+T32+T33, "NA")</f>
        <v>27910.640000000003</v>
      </c>
      <c r="U35" s="122">
        <f>IFERROR(T35/T148, "NA")</f>
        <v>0.21632653567391577</v>
      </c>
      <c r="V35" s="121">
        <f>IFERROR(V13+V15+V16+V17+V18+V19+V20+V21+V22+V23+V24+V25+V26+V29+V30+V31+V32+V33, "NA")</f>
        <v>29595.190000000006</v>
      </c>
      <c r="W35" s="122">
        <f>IFERROR(V35/V148, "NA")</f>
        <v>0.21844804199253751</v>
      </c>
      <c r="X35" s="121">
        <f>IFERROR(X13+X15+X16+X17+X18+X19+X20+X21+X22+X23+X24+X25+X26+X29+X30+X31+X32+X33, "NA")</f>
        <v>30355.97</v>
      </c>
      <c r="Y35" s="122">
        <f>IFERROR(X35/X148, "NA")</f>
        <v>0.20022687476580209</v>
      </c>
      <c r="Z35" s="121">
        <f>IFERROR(Z13+Z15+Z16+Z17+Z18+Z19+Z20+Z21+Z22+Z23+Z24+Z25+Z26+Z29+Z30+Z31+Z32+Z33, "NA")</f>
        <v>59951.160000000011</v>
      </c>
      <c r="AA35" s="122">
        <f>IFERROR(Z35/Z148, "NA")</f>
        <v>0.20882562572107891</v>
      </c>
      <c r="AB35" s="121">
        <f t="shared" si="6"/>
        <v>29210.842500000002</v>
      </c>
      <c r="AC35" s="122">
        <f>IFERROR(AB35/AB148, "NA")</f>
        <v>0.21207023438711514</v>
      </c>
      <c r="AD35" s="123">
        <f t="shared" si="7"/>
        <v>1145.1274999999987</v>
      </c>
      <c r="AE35" s="124">
        <f>IFERROR(AD35/AD148, "NA")</f>
        <v>8.2582243116688908E-2</v>
      </c>
      <c r="AF35" s="123">
        <f t="shared" si="8"/>
        <v>3.920213872639923E-2</v>
      </c>
      <c r="AG35" s="121">
        <f t="shared" si="9"/>
        <v>27507.838750000003</v>
      </c>
      <c r="AH35" s="122">
        <f>IFERROR(AG35/AG148, "NA")</f>
        <v>0.21157351726728607</v>
      </c>
      <c r="AI35" s="123">
        <f t="shared" si="10"/>
        <v>2848.1312499999985</v>
      </c>
      <c r="AJ35" s="124">
        <f>IFERROR(AI35/AI148, "NA")</f>
        <v>0.13190458338041783</v>
      </c>
      <c r="AK35" s="123">
        <f t="shared" si="11"/>
        <v>0.10353889579929279</v>
      </c>
      <c r="AL35" s="124">
        <f>IFERROR(AK35/AK148, "NA")</f>
        <v>0.62344562346042343</v>
      </c>
    </row>
    <row r="36" spans="1:38" ht="16.5" customHeight="1" x14ac:dyDescent="0.25">
      <c r="A36" s="4" t="s">
        <v>42</v>
      </c>
      <c r="B36" s="111"/>
      <c r="C36" s="112"/>
      <c r="D36" s="111"/>
      <c r="E36" s="112"/>
      <c r="F36" s="111"/>
      <c r="G36" s="112"/>
      <c r="H36" s="111"/>
      <c r="I36" s="112"/>
      <c r="J36" s="111"/>
      <c r="K36" s="112"/>
      <c r="L36" s="111"/>
      <c r="M36" s="112"/>
      <c r="N36" s="111"/>
      <c r="O36" s="112"/>
      <c r="P36" s="111"/>
      <c r="Q36" s="112"/>
      <c r="R36" s="111"/>
      <c r="S36" s="112"/>
      <c r="T36" s="111"/>
      <c r="U36" s="112"/>
      <c r="V36" s="111"/>
      <c r="W36" s="112"/>
      <c r="X36" s="111"/>
      <c r="Y36" s="112"/>
      <c r="Z36" s="111"/>
      <c r="AA36" s="112"/>
      <c r="AB36" s="111"/>
      <c r="AC36" s="112"/>
      <c r="AD36" s="113"/>
      <c r="AE36" s="114"/>
      <c r="AF36" s="113"/>
      <c r="AG36" s="111"/>
      <c r="AH36" s="112"/>
      <c r="AI36" s="113"/>
      <c r="AJ36" s="114"/>
      <c r="AK36" s="113"/>
      <c r="AL36" s="114"/>
    </row>
    <row r="37" spans="1:38" ht="16.5" hidden="1" customHeight="1" x14ac:dyDescent="0.25">
      <c r="A37" s="5" t="s">
        <v>43</v>
      </c>
      <c r="B37" s="115">
        <v>0</v>
      </c>
      <c r="C37" s="116">
        <f>IFERROR(B37/B148, "NA")</f>
        <v>0</v>
      </c>
      <c r="D37" s="115">
        <v>0</v>
      </c>
      <c r="E37" s="116">
        <f>IFERROR(D37/D148, "NA")</f>
        <v>0</v>
      </c>
      <c r="F37" s="115">
        <v>0</v>
      </c>
      <c r="G37" s="116">
        <f>IFERROR(F37/F148, "NA")</f>
        <v>0</v>
      </c>
      <c r="H37" s="115">
        <v>0</v>
      </c>
      <c r="I37" s="116">
        <f>IFERROR(H37/H148, "NA")</f>
        <v>0</v>
      </c>
      <c r="J37" s="115">
        <v>0</v>
      </c>
      <c r="K37" s="116">
        <f>IFERROR(J37/J148, "NA")</f>
        <v>0</v>
      </c>
      <c r="L37" s="115">
        <v>0</v>
      </c>
      <c r="M37" s="116">
        <f>IFERROR(L37/L148, "NA")</f>
        <v>0</v>
      </c>
      <c r="N37" s="115">
        <v>0</v>
      </c>
      <c r="O37" s="116">
        <f>IFERROR(N37/N148, "NA")</f>
        <v>0</v>
      </c>
      <c r="P37" s="115">
        <v>0</v>
      </c>
      <c r="Q37" s="116">
        <f>IFERROR(P37/P148, "NA")</f>
        <v>0</v>
      </c>
      <c r="R37" s="115">
        <v>0</v>
      </c>
      <c r="S37" s="116">
        <f>IFERROR(R37/R148, "NA")</f>
        <v>0</v>
      </c>
      <c r="T37" s="115">
        <v>0</v>
      </c>
      <c r="U37" s="116">
        <f>IFERROR(T37/T148, "NA")</f>
        <v>0</v>
      </c>
      <c r="V37" s="115">
        <v>0</v>
      </c>
      <c r="W37" s="116">
        <f>IFERROR(V37/V148, "NA")</f>
        <v>0</v>
      </c>
      <c r="X37" s="115">
        <v>0</v>
      </c>
      <c r="Y37" s="116">
        <f>IFERROR(X37/X148, "NA")</f>
        <v>0</v>
      </c>
      <c r="Z37" s="115">
        <v>0</v>
      </c>
      <c r="AA37" s="116">
        <f>IFERROR(Z37/Z148, "NA")</f>
        <v>0</v>
      </c>
      <c r="AB37" s="117">
        <f>IFERROR((R37+T37+V37+X37)/4, "NA")</f>
        <v>0</v>
      </c>
      <c r="AC37" s="116">
        <f>IFERROR(AB37/AB148, "NA")</f>
        <v>0</v>
      </c>
      <c r="AD37" s="118">
        <f>IFERROR(X37-AB37, "NA")</f>
        <v>0</v>
      </c>
      <c r="AE37" s="119">
        <f>IFERROR(AD37/AD148, "NA")</f>
        <v>0</v>
      </c>
      <c r="AF37" s="118" t="str">
        <f>IFERROR((X37-AB37)/AB37, "NA")</f>
        <v>NA</v>
      </c>
      <c r="AG37" s="117">
        <f>IFERROR((J37+L37+N37+P37+R37+T37+V37+X37)/8, "NA")</f>
        <v>0</v>
      </c>
      <c r="AH37" s="116">
        <f>IFERROR(AG37/AG148, "NA")</f>
        <v>0</v>
      </c>
      <c r="AI37" s="118">
        <f>IFERROR(X37-AG37, "NA")</f>
        <v>0</v>
      </c>
      <c r="AJ37" s="119">
        <f>IFERROR(AI37/AI148, "NA")</f>
        <v>0</v>
      </c>
      <c r="AK37" s="118" t="str">
        <f>IFERROR((X37-AG37)/AG37, "NA")</f>
        <v>NA</v>
      </c>
      <c r="AL37" s="119" t="str">
        <f>IFERROR(AK37/AK148, "NA")</f>
        <v>NA</v>
      </c>
    </row>
    <row r="38" spans="1:38" ht="16.5" customHeight="1" x14ac:dyDescent="0.25">
      <c r="A38" s="6" t="s">
        <v>44</v>
      </c>
      <c r="B38" s="111"/>
      <c r="C38" s="112"/>
      <c r="D38" s="111"/>
      <c r="E38" s="112"/>
      <c r="F38" s="111"/>
      <c r="G38" s="112"/>
      <c r="H38" s="111"/>
      <c r="I38" s="112"/>
      <c r="J38" s="111"/>
      <c r="K38" s="112"/>
      <c r="L38" s="111"/>
      <c r="M38" s="112"/>
      <c r="N38" s="111"/>
      <c r="O38" s="112"/>
      <c r="P38" s="111"/>
      <c r="Q38" s="112"/>
      <c r="R38" s="111"/>
      <c r="S38" s="112"/>
      <c r="T38" s="111"/>
      <c r="U38" s="112"/>
      <c r="V38" s="111"/>
      <c r="W38" s="112"/>
      <c r="X38" s="111"/>
      <c r="Y38" s="112"/>
      <c r="Z38" s="111"/>
      <c r="AA38" s="112"/>
      <c r="AB38" s="111"/>
      <c r="AC38" s="112"/>
      <c r="AD38" s="113"/>
      <c r="AE38" s="114"/>
      <c r="AF38" s="113"/>
      <c r="AG38" s="111"/>
      <c r="AH38" s="112"/>
      <c r="AI38" s="113"/>
      <c r="AJ38" s="114"/>
      <c r="AK38" s="113"/>
      <c r="AL38" s="114"/>
    </row>
    <row r="39" spans="1:38" ht="16.5" hidden="1" customHeight="1" x14ac:dyDescent="0.25">
      <c r="A39" s="7" t="s">
        <v>45</v>
      </c>
      <c r="B39" s="115">
        <v>0</v>
      </c>
      <c r="C39" s="116">
        <f>IFERROR(B39/B148, "NA")</f>
        <v>0</v>
      </c>
      <c r="D39" s="115">
        <v>0</v>
      </c>
      <c r="E39" s="116">
        <f>IFERROR(D39/D148, "NA")</f>
        <v>0</v>
      </c>
      <c r="F39" s="115">
        <v>0</v>
      </c>
      <c r="G39" s="116">
        <f>IFERROR(F39/F148, "NA")</f>
        <v>0</v>
      </c>
      <c r="H39" s="115">
        <v>0</v>
      </c>
      <c r="I39" s="116">
        <f>IFERROR(H39/H148, "NA")</f>
        <v>0</v>
      </c>
      <c r="J39" s="115">
        <v>0</v>
      </c>
      <c r="K39" s="116">
        <f>IFERROR(J39/J148, "NA")</f>
        <v>0</v>
      </c>
      <c r="L39" s="115">
        <v>0</v>
      </c>
      <c r="M39" s="116">
        <f>IFERROR(L39/L148, "NA")</f>
        <v>0</v>
      </c>
      <c r="N39" s="115">
        <v>0</v>
      </c>
      <c r="O39" s="116">
        <f>IFERROR(N39/N148, "NA")</f>
        <v>0</v>
      </c>
      <c r="P39" s="115">
        <v>0</v>
      </c>
      <c r="Q39" s="116">
        <f>IFERROR(P39/P148, "NA")</f>
        <v>0</v>
      </c>
      <c r="R39" s="115">
        <v>0</v>
      </c>
      <c r="S39" s="116">
        <f>IFERROR(R39/R148, "NA")</f>
        <v>0</v>
      </c>
      <c r="T39" s="115">
        <v>0</v>
      </c>
      <c r="U39" s="116">
        <f>IFERROR(T39/T148, "NA")</f>
        <v>0</v>
      </c>
      <c r="V39" s="115">
        <v>0</v>
      </c>
      <c r="W39" s="116">
        <f>IFERROR(V39/V148, "NA")</f>
        <v>0</v>
      </c>
      <c r="X39" s="115">
        <v>0</v>
      </c>
      <c r="Y39" s="116">
        <f>IFERROR(X39/X148, "NA")</f>
        <v>0</v>
      </c>
      <c r="Z39" s="115">
        <v>0</v>
      </c>
      <c r="AA39" s="116">
        <f>IFERROR(Z39/Z148, "NA")</f>
        <v>0</v>
      </c>
      <c r="AB39" s="117">
        <f t="shared" ref="AB39:AB44" si="12">IFERROR((R39+T39+V39+X39)/4, "NA")</f>
        <v>0</v>
      </c>
      <c r="AC39" s="116">
        <f>IFERROR(AB39/AB148, "NA")</f>
        <v>0</v>
      </c>
      <c r="AD39" s="118">
        <f t="shared" ref="AD39:AD44" si="13">IFERROR(X39-AB39, "NA")</f>
        <v>0</v>
      </c>
      <c r="AE39" s="119">
        <f>IFERROR(AD39/AD148, "NA")</f>
        <v>0</v>
      </c>
      <c r="AF39" s="118" t="str">
        <f t="shared" ref="AF39:AF44" si="14">IFERROR((X39-AB39)/AB39, "NA")</f>
        <v>NA</v>
      </c>
      <c r="AG39" s="117">
        <f t="shared" ref="AG39:AG44" si="15">IFERROR((J39+L39+N39+P39+R39+T39+V39+X39)/8, "NA")</f>
        <v>0</v>
      </c>
      <c r="AH39" s="116">
        <f>IFERROR(AG39/AG148, "NA")</f>
        <v>0</v>
      </c>
      <c r="AI39" s="118">
        <f t="shared" ref="AI39:AI44" si="16">IFERROR(X39-AG39, "NA")</f>
        <v>0</v>
      </c>
      <c r="AJ39" s="119">
        <f>IFERROR(AI39/AI148, "NA")</f>
        <v>0</v>
      </c>
      <c r="AK39" s="118" t="str">
        <f t="shared" ref="AK39:AK44" si="17">IFERROR((X39-AG39)/AG39, "NA")</f>
        <v>NA</v>
      </c>
      <c r="AL39" s="119" t="str">
        <f>IFERROR(AK39/AK148, "NA")</f>
        <v>NA</v>
      </c>
    </row>
    <row r="40" spans="1:38" ht="16.5" customHeight="1" x14ac:dyDescent="0.25">
      <c r="A40" s="7" t="s">
        <v>46</v>
      </c>
      <c r="B40" s="115">
        <v>3558.7200000000003</v>
      </c>
      <c r="C40" s="116">
        <f>IFERROR(B40/B148, "NA")</f>
        <v>2.4695888432143629E-2</v>
      </c>
      <c r="D40" s="115">
        <v>3107.7700000000004</v>
      </c>
      <c r="E40" s="116">
        <f>IFERROR(D40/D148, "NA")</f>
        <v>2.7415588715268488E-2</v>
      </c>
      <c r="F40" s="115">
        <v>4051.3499999999995</v>
      </c>
      <c r="G40" s="116">
        <f>IFERROR(F40/F148, "NA")</f>
        <v>3.1666015319681093E-2</v>
      </c>
      <c r="H40" s="115">
        <v>3126.81</v>
      </c>
      <c r="I40" s="116">
        <f>IFERROR(H40/H148, "NA")</f>
        <v>2.5036778756631805E-2</v>
      </c>
      <c r="J40" s="115">
        <v>3302.5099999999998</v>
      </c>
      <c r="K40" s="116">
        <f>IFERROR(J40/J148, "NA")</f>
        <v>2.6013247378420038E-2</v>
      </c>
      <c r="L40" s="115">
        <v>3097.12</v>
      </c>
      <c r="M40" s="116">
        <f>IFERROR(L40/L148, "NA")</f>
        <v>2.5134225930325951E-2</v>
      </c>
      <c r="N40" s="115">
        <v>2971.4100000000003</v>
      </c>
      <c r="O40" s="116">
        <f>IFERROR(N40/N148, "NA")</f>
        <v>2.3248099196146125E-2</v>
      </c>
      <c r="P40" s="115">
        <v>2980.56</v>
      </c>
      <c r="Q40" s="116">
        <f>IFERROR(P40/P148, "NA")</f>
        <v>2.6811440433069135E-2</v>
      </c>
      <c r="R40" s="115">
        <v>3237.43</v>
      </c>
      <c r="S40" s="116">
        <f>IFERROR(R40/R148, "NA")</f>
        <v>2.4006324310912756E-2</v>
      </c>
      <c r="T40" s="115">
        <v>3153.06</v>
      </c>
      <c r="U40" s="116">
        <f>IFERROR(T40/T148, "NA")</f>
        <v>2.4438369975464436E-2</v>
      </c>
      <c r="V40" s="115">
        <v>2933.7400000000002</v>
      </c>
      <c r="W40" s="116">
        <f>IFERROR(V40/V148, "NA")</f>
        <v>2.1654524222185664E-2</v>
      </c>
      <c r="X40" s="115">
        <v>2005.56</v>
      </c>
      <c r="Y40" s="116">
        <f>IFERROR(X40/X148, "NA")</f>
        <v>1.3228600863530369E-2</v>
      </c>
      <c r="Z40" s="115">
        <v>4939.3</v>
      </c>
      <c r="AA40" s="116">
        <f>IFERROR(Z40/Z148, "NA")</f>
        <v>1.7204878323023691E-2</v>
      </c>
      <c r="AB40" s="117">
        <f t="shared" si="12"/>
        <v>2832.4474999999998</v>
      </c>
      <c r="AC40" s="116">
        <f>IFERROR(AB40/AB148, "NA")</f>
        <v>2.0563522096776161E-2</v>
      </c>
      <c r="AD40" s="118">
        <f t="shared" si="13"/>
        <v>-826.88749999999982</v>
      </c>
      <c r="AE40" s="119">
        <f>IFERROR(AD40/AD148, "NA")</f>
        <v>-5.96319838228941E-2</v>
      </c>
      <c r="AF40" s="118">
        <f t="shared" si="14"/>
        <v>-0.29193391934007601</v>
      </c>
      <c r="AG40" s="117">
        <f t="shared" si="15"/>
        <v>2960.1737500000004</v>
      </c>
      <c r="AH40" s="116">
        <f>IFERROR(AG40/AG148, "NA")</f>
        <v>2.2767850927939294E-2</v>
      </c>
      <c r="AI40" s="118">
        <f t="shared" si="16"/>
        <v>-954.61375000000044</v>
      </c>
      <c r="AJ40" s="119">
        <f>IFERROR(AI40/AI148, "NA")</f>
        <v>-4.4210718513400131E-2</v>
      </c>
      <c r="AK40" s="118">
        <f t="shared" si="17"/>
        <v>-0.32248571557666178</v>
      </c>
      <c r="AL40" s="119">
        <f>IFERROR(AK40/AK148, "NA")</f>
        <v>-1.9418046373075764</v>
      </c>
    </row>
    <row r="41" spans="1:38" ht="16.5" customHeight="1" x14ac:dyDescent="0.25">
      <c r="A41" s="7" t="s">
        <v>47</v>
      </c>
      <c r="B41" s="115">
        <v>2233.42</v>
      </c>
      <c r="C41" s="116">
        <f>IFERROR(B41/B148, "NA")</f>
        <v>1.5498912851283108E-2</v>
      </c>
      <c r="D41" s="115">
        <v>1334.04</v>
      </c>
      <c r="E41" s="116">
        <f>IFERROR(D41/D148, "NA")</f>
        <v>1.1768403700954951E-2</v>
      </c>
      <c r="F41" s="115">
        <v>687.32</v>
      </c>
      <c r="G41" s="116">
        <f>IFERROR(F41/F148, "NA")</f>
        <v>5.3722057214319217E-3</v>
      </c>
      <c r="H41" s="115">
        <v>1435.9599999999998</v>
      </c>
      <c r="I41" s="116">
        <f>IFERROR(H41/H148, "NA")</f>
        <v>1.1497920507921174E-2</v>
      </c>
      <c r="J41" s="115">
        <v>1558.5499999999997</v>
      </c>
      <c r="K41" s="116">
        <f>IFERROR(J41/J148, "NA")</f>
        <v>1.2276403917516237E-2</v>
      </c>
      <c r="L41" s="115">
        <v>1711.4</v>
      </c>
      <c r="M41" s="116">
        <f>IFERROR(L41/L148, "NA")</f>
        <v>1.3888617249948287E-2</v>
      </c>
      <c r="N41" s="115">
        <v>1038.08</v>
      </c>
      <c r="O41" s="116">
        <f>IFERROR(N41/N148, "NA")</f>
        <v>8.1218636315874837E-3</v>
      </c>
      <c r="P41" s="115">
        <v>1621.8400000000001</v>
      </c>
      <c r="Q41" s="116">
        <f>IFERROR(P41/P148, "NA")</f>
        <v>1.458915994040343E-2</v>
      </c>
      <c r="R41" s="115">
        <v>2223.34</v>
      </c>
      <c r="S41" s="116">
        <f>IFERROR(R41/R148, "NA")</f>
        <v>1.6486602364661096E-2</v>
      </c>
      <c r="T41" s="115">
        <v>1652.0900000000001</v>
      </c>
      <c r="U41" s="116">
        <f>IFERROR(T41/T148, "NA")</f>
        <v>1.2804826629612201E-2</v>
      </c>
      <c r="V41" s="115">
        <v>1858.0600000000002</v>
      </c>
      <c r="W41" s="116">
        <f>IFERROR(V41/V148, "NA")</f>
        <v>1.3714714077005561E-2</v>
      </c>
      <c r="X41" s="115">
        <v>-3423.45</v>
      </c>
      <c r="Y41" s="116">
        <f>IFERROR(X41/X148, "NA")</f>
        <v>-2.2580951767213666E-2</v>
      </c>
      <c r="Z41" s="115">
        <v>-1565.3899999999999</v>
      </c>
      <c r="AA41" s="116">
        <f>IFERROR(Z41/Z148, "NA")</f>
        <v>-5.4526642394829329E-3</v>
      </c>
      <c r="AB41" s="117">
        <f t="shared" si="12"/>
        <v>577.51000000000022</v>
      </c>
      <c r="AC41" s="116">
        <f>IFERROR(AB41/AB148, "NA")</f>
        <v>4.1927130674475717E-3</v>
      </c>
      <c r="AD41" s="118">
        <f t="shared" si="13"/>
        <v>-4000.96</v>
      </c>
      <c r="AE41" s="119">
        <f>IFERROR(AD41/AD148, "NA")</f>
        <v>-0.28853402911042486</v>
      </c>
      <c r="AF41" s="118">
        <f t="shared" si="14"/>
        <v>-6.9279492995792253</v>
      </c>
      <c r="AG41" s="117">
        <f t="shared" si="15"/>
        <v>1029.98875</v>
      </c>
      <c r="AH41" s="116">
        <f>IFERROR(AG41/AG148, "NA")</f>
        <v>7.9220452236813902E-3</v>
      </c>
      <c r="AI41" s="118">
        <f t="shared" si="16"/>
        <v>-4453.4387499999993</v>
      </c>
      <c r="AJ41" s="119">
        <f>IFERROR(AI41/AI148, "NA")</f>
        <v>-0.20625067153382026</v>
      </c>
      <c r="AK41" s="118">
        <f t="shared" si="17"/>
        <v>-4.3237741674362944</v>
      </c>
      <c r="AL41" s="119">
        <f>IFERROR(AK41/AK148, "NA")</f>
        <v>-26.035028292602345</v>
      </c>
    </row>
    <row r="42" spans="1:38" ht="16.5" customHeight="1" x14ac:dyDescent="0.25">
      <c r="A42" s="7" t="s">
        <v>48</v>
      </c>
      <c r="B42" s="115">
        <v>0</v>
      </c>
      <c r="C42" s="116">
        <f>IFERROR(B42/B148, "NA")</f>
        <v>0</v>
      </c>
      <c r="D42" s="115">
        <v>0</v>
      </c>
      <c r="E42" s="116">
        <f>IFERROR(D42/D148, "NA")</f>
        <v>0</v>
      </c>
      <c r="F42" s="115">
        <v>0</v>
      </c>
      <c r="G42" s="116">
        <f>IFERROR(F42/F148, "NA")</f>
        <v>0</v>
      </c>
      <c r="H42" s="115">
        <v>0</v>
      </c>
      <c r="I42" s="116">
        <f>IFERROR(H42/H148, "NA")</f>
        <v>0</v>
      </c>
      <c r="J42" s="115">
        <v>0</v>
      </c>
      <c r="K42" s="116">
        <f>IFERROR(J42/J148, "NA")</f>
        <v>0</v>
      </c>
      <c r="L42" s="115">
        <v>0</v>
      </c>
      <c r="M42" s="116">
        <f>IFERROR(L42/L148, "NA")</f>
        <v>0</v>
      </c>
      <c r="N42" s="115">
        <v>0</v>
      </c>
      <c r="O42" s="116">
        <f>IFERROR(N42/N148, "NA")</f>
        <v>0</v>
      </c>
      <c r="P42" s="115">
        <v>0</v>
      </c>
      <c r="Q42" s="116">
        <f>IFERROR(P42/P148, "NA")</f>
        <v>0</v>
      </c>
      <c r="R42" s="115">
        <v>0</v>
      </c>
      <c r="S42" s="116">
        <f>IFERROR(R42/R148, "NA")</f>
        <v>0</v>
      </c>
      <c r="T42" s="115">
        <v>308.57000000000005</v>
      </c>
      <c r="U42" s="116">
        <f>IFERROR(T42/T148, "NA")</f>
        <v>2.3916283937917651E-3</v>
      </c>
      <c r="V42" s="115">
        <v>0</v>
      </c>
      <c r="W42" s="116">
        <f>IFERROR(V42/V148, "NA")</f>
        <v>0</v>
      </c>
      <c r="X42" s="115">
        <v>0</v>
      </c>
      <c r="Y42" s="116">
        <f>IFERROR(X42/X148, "NA")</f>
        <v>0</v>
      </c>
      <c r="Z42" s="115">
        <v>0</v>
      </c>
      <c r="AA42" s="116">
        <f>IFERROR(Z42/Z148, "NA")</f>
        <v>0</v>
      </c>
      <c r="AB42" s="117">
        <f t="shared" si="12"/>
        <v>77.142500000000013</v>
      </c>
      <c r="AC42" s="116">
        <f>IFERROR(AB42/AB148, "NA")</f>
        <v>5.6005327666287037E-4</v>
      </c>
      <c r="AD42" s="118">
        <f t="shared" si="13"/>
        <v>-77.142500000000013</v>
      </c>
      <c r="AE42" s="119">
        <f>IFERROR(AD42/AD148, "NA")</f>
        <v>-5.5632239114239961E-3</v>
      </c>
      <c r="AF42" s="118">
        <f t="shared" si="14"/>
        <v>-1</v>
      </c>
      <c r="AG42" s="117">
        <f t="shared" si="15"/>
        <v>38.571250000000006</v>
      </c>
      <c r="AH42" s="116">
        <f>IFERROR(AG42/AG148, "NA")</f>
        <v>2.9666652847802551E-4</v>
      </c>
      <c r="AI42" s="118">
        <f t="shared" si="16"/>
        <v>-38.571250000000006</v>
      </c>
      <c r="AJ42" s="119">
        <f>IFERROR(AI42/AI148, "NA")</f>
        <v>-1.7863378528331321E-3</v>
      </c>
      <c r="AK42" s="118">
        <f t="shared" si="17"/>
        <v>-1</v>
      </c>
      <c r="AL42" s="119">
        <f>IFERROR(AK42/AK148, "NA")</f>
        <v>-6.0213663536547175</v>
      </c>
    </row>
    <row r="43" spans="1:38" ht="16.5" hidden="1" customHeight="1" x14ac:dyDescent="0.25">
      <c r="A43" s="7" t="s">
        <v>49</v>
      </c>
      <c r="B43" s="115">
        <v>0</v>
      </c>
      <c r="C43" s="116">
        <f>IFERROR(B43/B148, "NA")</f>
        <v>0</v>
      </c>
      <c r="D43" s="115">
        <v>0</v>
      </c>
      <c r="E43" s="116">
        <f>IFERROR(D43/D148, "NA")</f>
        <v>0</v>
      </c>
      <c r="F43" s="115">
        <v>0</v>
      </c>
      <c r="G43" s="116">
        <f>IFERROR(F43/F148, "NA")</f>
        <v>0</v>
      </c>
      <c r="H43" s="115">
        <v>0</v>
      </c>
      <c r="I43" s="116">
        <f>IFERROR(H43/H148, "NA")</f>
        <v>0</v>
      </c>
      <c r="J43" s="115">
        <v>0</v>
      </c>
      <c r="K43" s="116">
        <f>IFERROR(J43/J148, "NA")</f>
        <v>0</v>
      </c>
      <c r="L43" s="115">
        <v>0</v>
      </c>
      <c r="M43" s="116">
        <f>IFERROR(L43/L148, "NA")</f>
        <v>0</v>
      </c>
      <c r="N43" s="115">
        <v>0</v>
      </c>
      <c r="O43" s="116">
        <f>IFERROR(N43/N148, "NA")</f>
        <v>0</v>
      </c>
      <c r="P43" s="115">
        <v>0</v>
      </c>
      <c r="Q43" s="116">
        <f>IFERROR(P43/P148, "NA")</f>
        <v>0</v>
      </c>
      <c r="R43" s="115">
        <v>0</v>
      </c>
      <c r="S43" s="116">
        <f>IFERROR(R43/R148, "NA")</f>
        <v>0</v>
      </c>
      <c r="T43" s="115">
        <v>0</v>
      </c>
      <c r="U43" s="116">
        <f>IFERROR(T43/T148, "NA")</f>
        <v>0</v>
      </c>
      <c r="V43" s="115">
        <v>0</v>
      </c>
      <c r="W43" s="116">
        <f>IFERROR(V43/V148, "NA")</f>
        <v>0</v>
      </c>
      <c r="X43" s="115">
        <v>0</v>
      </c>
      <c r="Y43" s="116">
        <f>IFERROR(X43/X148, "NA")</f>
        <v>0</v>
      </c>
      <c r="Z43" s="115">
        <v>0</v>
      </c>
      <c r="AA43" s="116">
        <f>IFERROR(Z43/Z148, "NA")</f>
        <v>0</v>
      </c>
      <c r="AB43" s="117">
        <f t="shared" si="12"/>
        <v>0</v>
      </c>
      <c r="AC43" s="116">
        <f>IFERROR(AB43/AB148, "NA")</f>
        <v>0</v>
      </c>
      <c r="AD43" s="118">
        <f t="shared" si="13"/>
        <v>0</v>
      </c>
      <c r="AE43" s="119">
        <f>IFERROR(AD43/AD148, "NA")</f>
        <v>0</v>
      </c>
      <c r="AF43" s="118" t="str">
        <f t="shared" si="14"/>
        <v>NA</v>
      </c>
      <c r="AG43" s="117">
        <f t="shared" si="15"/>
        <v>0</v>
      </c>
      <c r="AH43" s="116">
        <f>IFERROR(AG43/AG148, "NA")</f>
        <v>0</v>
      </c>
      <c r="AI43" s="118">
        <f t="shared" si="16"/>
        <v>0</v>
      </c>
      <c r="AJ43" s="119">
        <f>IFERROR(AI43/AI148, "NA")</f>
        <v>0</v>
      </c>
      <c r="AK43" s="118" t="str">
        <f t="shared" si="17"/>
        <v>NA</v>
      </c>
      <c r="AL43" s="119" t="str">
        <f>IFERROR(AK43/AK148, "NA")</f>
        <v>NA</v>
      </c>
    </row>
    <row r="44" spans="1:38" ht="16.5" customHeight="1" x14ac:dyDescent="0.25">
      <c r="A44" s="129" t="s">
        <v>50</v>
      </c>
      <c r="B44" s="121">
        <f>IFERROR(B39+B40+B41+B42+B43, "NA")</f>
        <v>5792.14</v>
      </c>
      <c r="C44" s="122">
        <f>IFERROR(B44/B148, "NA")</f>
        <v>4.0194801283426736E-2</v>
      </c>
      <c r="D44" s="121">
        <f>IFERROR(D39+D40+D41+D42+D43, "NA")</f>
        <v>4441.8100000000004</v>
      </c>
      <c r="E44" s="122">
        <f>IFERROR(D44/D148, "NA")</f>
        <v>3.9183992416223438E-2</v>
      </c>
      <c r="F44" s="121">
        <f>IFERROR(F39+F40+F41+F42+F43, "NA")</f>
        <v>4738.6699999999992</v>
      </c>
      <c r="G44" s="122">
        <f>IFERROR(F44/F148, "NA")</f>
        <v>3.7038221041113012E-2</v>
      </c>
      <c r="H44" s="121">
        <f>IFERROR(H39+H40+H41+H42+H43, "NA")</f>
        <v>4562.7699999999995</v>
      </c>
      <c r="I44" s="122">
        <f>IFERROR(H44/H148, "NA")</f>
        <v>3.6534699264552981E-2</v>
      </c>
      <c r="J44" s="121">
        <f>IFERROR(J39+J40+J41+J42+J43, "NA")</f>
        <v>4861.0599999999995</v>
      </c>
      <c r="K44" s="122">
        <f>IFERROR(J44/J148, "NA")</f>
        <v>3.8289651295936276E-2</v>
      </c>
      <c r="L44" s="121">
        <f>IFERROR(L39+L40+L41+L42+L43, "NA")</f>
        <v>4808.5200000000004</v>
      </c>
      <c r="M44" s="122">
        <f>IFERROR(L44/L148, "NA")</f>
        <v>3.9022843180274241E-2</v>
      </c>
      <c r="N44" s="121">
        <f>IFERROR(N39+N40+N41+N42+N43, "NA")</f>
        <v>4009.4900000000002</v>
      </c>
      <c r="O44" s="122">
        <f>IFERROR(N44/N148, "NA")</f>
        <v>3.1369962827733605E-2</v>
      </c>
      <c r="P44" s="121">
        <f>IFERROR(P39+P40+P41+P42+P43, "NA")</f>
        <v>4602.3999999999996</v>
      </c>
      <c r="Q44" s="122">
        <f>IFERROR(P44/P148, "NA")</f>
        <v>4.1400600373472561E-2</v>
      </c>
      <c r="R44" s="121">
        <f>IFERROR(R39+R40+R41+R42+R43, "NA")</f>
        <v>5460.77</v>
      </c>
      <c r="S44" s="122">
        <f>IFERROR(R44/R148, "NA")</f>
        <v>4.0492926675573859E-2</v>
      </c>
      <c r="T44" s="121">
        <f>IFERROR(T39+T40+T41+T42+T43, "NA")</f>
        <v>5113.7199999999993</v>
      </c>
      <c r="U44" s="122">
        <f>IFERROR(T44/T148, "NA")</f>
        <v>3.9634824998868397E-2</v>
      </c>
      <c r="V44" s="121">
        <f>IFERROR(V39+V40+V41+V42+V43, "NA")</f>
        <v>4791.8</v>
      </c>
      <c r="W44" s="122">
        <f>IFERROR(V44/V148, "NA")</f>
        <v>3.5369238299191225E-2</v>
      </c>
      <c r="X44" s="121">
        <f>IFERROR(X39+X40+X41+X42+X43, "NA")</f>
        <v>-1417.8899999999999</v>
      </c>
      <c r="Y44" s="122">
        <f>IFERROR(X44/X148, "NA")</f>
        <v>-9.3523509036832972E-3</v>
      </c>
      <c r="Z44" s="121">
        <f>IFERROR(Z39+Z40+Z41+Z42+Z43, "NA")</f>
        <v>3373.9100000000003</v>
      </c>
      <c r="AA44" s="122">
        <f>IFERROR(Z44/Z148, "NA")</f>
        <v>1.1752214083540756E-2</v>
      </c>
      <c r="AB44" s="121">
        <f t="shared" si="12"/>
        <v>3487.1000000000004</v>
      </c>
      <c r="AC44" s="122">
        <f>IFERROR(AB44/AB148, "NA")</f>
        <v>2.5316288440886604E-2</v>
      </c>
      <c r="AD44" s="123">
        <f t="shared" si="13"/>
        <v>-4904.99</v>
      </c>
      <c r="AE44" s="124">
        <f>IFERROR(AD44/AD148, "NA")</f>
        <v>-0.35372923684474294</v>
      </c>
      <c r="AF44" s="123">
        <f t="shared" si="14"/>
        <v>-1.406610077141464</v>
      </c>
      <c r="AG44" s="121">
        <f t="shared" si="15"/>
        <v>4028.7337500000003</v>
      </c>
      <c r="AH44" s="122">
        <f>IFERROR(AG44/AG148, "NA")</f>
        <v>3.0986562680098709E-2</v>
      </c>
      <c r="AI44" s="123">
        <f t="shared" si="16"/>
        <v>-5446.6237500000007</v>
      </c>
      <c r="AJ44" s="124">
        <f>IFERROR(AI44/AI148, "NA")</f>
        <v>-0.25224772790005356</v>
      </c>
      <c r="AK44" s="123">
        <f t="shared" si="17"/>
        <v>-1.3519443299026648</v>
      </c>
      <c r="AL44" s="124">
        <f>IFERROR(AK44/AK148, "NA")</f>
        <v>-8.1405521000901793</v>
      </c>
    </row>
    <row r="45" spans="1:38" ht="16.5" customHeight="1" x14ac:dyDescent="0.25">
      <c r="A45" s="6" t="s">
        <v>51</v>
      </c>
      <c r="B45" s="111"/>
      <c r="C45" s="112"/>
      <c r="D45" s="111"/>
      <c r="E45" s="112"/>
      <c r="F45" s="111"/>
      <c r="G45" s="112"/>
      <c r="H45" s="111"/>
      <c r="I45" s="112"/>
      <c r="J45" s="111"/>
      <c r="K45" s="112"/>
      <c r="L45" s="111"/>
      <c r="M45" s="112"/>
      <c r="N45" s="111"/>
      <c r="O45" s="112"/>
      <c r="P45" s="111"/>
      <c r="Q45" s="112"/>
      <c r="R45" s="111"/>
      <c r="S45" s="112"/>
      <c r="T45" s="111"/>
      <c r="U45" s="112"/>
      <c r="V45" s="111"/>
      <c r="W45" s="112"/>
      <c r="X45" s="111"/>
      <c r="Y45" s="112"/>
      <c r="Z45" s="111"/>
      <c r="AA45" s="112"/>
      <c r="AB45" s="111"/>
      <c r="AC45" s="112"/>
      <c r="AD45" s="113"/>
      <c r="AE45" s="114"/>
      <c r="AF45" s="113"/>
      <c r="AG45" s="111"/>
      <c r="AH45" s="112"/>
      <c r="AI45" s="113"/>
      <c r="AJ45" s="114"/>
      <c r="AK45" s="113"/>
      <c r="AL45" s="114"/>
    </row>
    <row r="46" spans="1:38" ht="16.5" hidden="1" customHeight="1" x14ac:dyDescent="0.25">
      <c r="A46" s="7" t="s">
        <v>52</v>
      </c>
      <c r="B46" s="115">
        <v>0</v>
      </c>
      <c r="C46" s="116">
        <f>IFERROR(B46/B148, "NA")</f>
        <v>0</v>
      </c>
      <c r="D46" s="115">
        <v>0</v>
      </c>
      <c r="E46" s="116">
        <f>IFERROR(D46/D148, "NA")</f>
        <v>0</v>
      </c>
      <c r="F46" s="115">
        <v>0</v>
      </c>
      <c r="G46" s="116">
        <f>IFERROR(F46/F148, "NA")</f>
        <v>0</v>
      </c>
      <c r="H46" s="115">
        <v>0</v>
      </c>
      <c r="I46" s="116">
        <f>IFERROR(H46/H148, "NA")</f>
        <v>0</v>
      </c>
      <c r="J46" s="115">
        <v>0</v>
      </c>
      <c r="K46" s="116">
        <f>IFERROR(J46/J148, "NA")</f>
        <v>0</v>
      </c>
      <c r="L46" s="115">
        <v>0</v>
      </c>
      <c r="M46" s="116">
        <f>IFERROR(L46/L148, "NA")</f>
        <v>0</v>
      </c>
      <c r="N46" s="115">
        <v>0</v>
      </c>
      <c r="O46" s="116">
        <f>IFERROR(N46/N148, "NA")</f>
        <v>0</v>
      </c>
      <c r="P46" s="115">
        <v>0</v>
      </c>
      <c r="Q46" s="116">
        <f>IFERROR(P46/P148, "NA")</f>
        <v>0</v>
      </c>
      <c r="R46" s="115">
        <v>0</v>
      </c>
      <c r="S46" s="116">
        <f>IFERROR(R46/R148, "NA")</f>
        <v>0</v>
      </c>
      <c r="T46" s="115">
        <v>0</v>
      </c>
      <c r="U46" s="116">
        <f>IFERROR(T46/T148, "NA")</f>
        <v>0</v>
      </c>
      <c r="V46" s="115">
        <v>0</v>
      </c>
      <c r="W46" s="116">
        <f>IFERROR(V46/V148, "NA")</f>
        <v>0</v>
      </c>
      <c r="X46" s="115">
        <v>0</v>
      </c>
      <c r="Y46" s="116">
        <f>IFERROR(X46/X148, "NA")</f>
        <v>0</v>
      </c>
      <c r="Z46" s="115">
        <v>0</v>
      </c>
      <c r="AA46" s="116">
        <f>IFERROR(Z46/Z148, "NA")</f>
        <v>0</v>
      </c>
      <c r="AB46" s="117">
        <f t="shared" ref="AB46:AB57" si="18">IFERROR((R46+T46+V46+X46)/4, "NA")</f>
        <v>0</v>
      </c>
      <c r="AC46" s="116">
        <f>IFERROR(AB46/AB148, "NA")</f>
        <v>0</v>
      </c>
      <c r="AD46" s="118">
        <f t="shared" ref="AD46:AD57" si="19">IFERROR(X46-AB46, "NA")</f>
        <v>0</v>
      </c>
      <c r="AE46" s="119">
        <f>IFERROR(AD46/AD148, "NA")</f>
        <v>0</v>
      </c>
      <c r="AF46" s="118" t="str">
        <f t="shared" ref="AF46:AF57" si="20">IFERROR((X46-AB46)/AB46, "NA")</f>
        <v>NA</v>
      </c>
      <c r="AG46" s="117">
        <f t="shared" ref="AG46:AG57" si="21">IFERROR((J46+L46+N46+P46+R46+T46+V46+X46)/8, "NA")</f>
        <v>0</v>
      </c>
      <c r="AH46" s="116">
        <f>IFERROR(AG46/AG148, "NA")</f>
        <v>0</v>
      </c>
      <c r="AI46" s="118">
        <f t="shared" ref="AI46:AI57" si="22">IFERROR(X46-AG46, "NA")</f>
        <v>0</v>
      </c>
      <c r="AJ46" s="119">
        <f>IFERROR(AI46/AI148, "NA")</f>
        <v>0</v>
      </c>
      <c r="AK46" s="118" t="str">
        <f t="shared" ref="AK46:AK57" si="23">IFERROR((X46-AG46)/AG46, "NA")</f>
        <v>NA</v>
      </c>
      <c r="AL46" s="119" t="str">
        <f>IFERROR(AK46/AK148, "NA")</f>
        <v>NA</v>
      </c>
    </row>
    <row r="47" spans="1:38" ht="16.5" customHeight="1" x14ac:dyDescent="0.25">
      <c r="A47" s="7" t="s">
        <v>53</v>
      </c>
      <c r="B47" s="115">
        <v>390.62</v>
      </c>
      <c r="C47" s="116">
        <f>IFERROR(B47/B148, "NA")</f>
        <v>2.7107240635295678E-3</v>
      </c>
      <c r="D47" s="115">
        <v>434.28000000000003</v>
      </c>
      <c r="E47" s="116">
        <f>IFERROR(D47/D148, "NA")</f>
        <v>3.8310563095939527E-3</v>
      </c>
      <c r="F47" s="115">
        <v>492.29999999999995</v>
      </c>
      <c r="G47" s="116">
        <f>IFERROR(F47/F148, "NA")</f>
        <v>3.8478974519305922E-3</v>
      </c>
      <c r="H47" s="115">
        <v>424.97999999999996</v>
      </c>
      <c r="I47" s="116">
        <f>IFERROR(H47/H148, "NA")</f>
        <v>3.4028707327894512E-3</v>
      </c>
      <c r="J47" s="115">
        <v>449.36</v>
      </c>
      <c r="K47" s="116">
        <f>IFERROR(J47/J148, "NA")</f>
        <v>3.539523829440889E-3</v>
      </c>
      <c r="L47" s="115">
        <v>366.85</v>
      </c>
      <c r="M47" s="116">
        <f>IFERROR(L47/L148, "NA")</f>
        <v>2.9771177037183176E-3</v>
      </c>
      <c r="N47" s="115">
        <v>340.22</v>
      </c>
      <c r="O47" s="116">
        <f>IFERROR(N47/N148, "NA")</f>
        <v>2.6618569327399562E-3</v>
      </c>
      <c r="P47" s="115">
        <v>313.95999999999998</v>
      </c>
      <c r="Q47" s="116">
        <f>IFERROR(P47/P148, "NA")</f>
        <v>2.8242074772413185E-3</v>
      </c>
      <c r="R47" s="115">
        <v>273.58000000000004</v>
      </c>
      <c r="S47" s="116">
        <f>IFERROR(R47/R148, "NA")</f>
        <v>2.0286616868872881E-3</v>
      </c>
      <c r="T47" s="115">
        <v>380.57</v>
      </c>
      <c r="U47" s="116">
        <f>IFERROR(T47/T148, "NA")</f>
        <v>2.9496776025709948E-3</v>
      </c>
      <c r="V47" s="115">
        <v>376.63</v>
      </c>
      <c r="W47" s="116">
        <f>IFERROR(V47/V148, "NA")</f>
        <v>2.7799816813356961E-3</v>
      </c>
      <c r="X47" s="115">
        <v>494.4</v>
      </c>
      <c r="Y47" s="116">
        <f>IFERROR(X47/X148, "NA")</f>
        <v>3.2610444299494478E-3</v>
      </c>
      <c r="Z47" s="115">
        <v>871.03</v>
      </c>
      <c r="AA47" s="116">
        <f>IFERROR(Z47/Z148, "NA")</f>
        <v>3.0340261101174911E-3</v>
      </c>
      <c r="AB47" s="117">
        <f t="shared" si="18"/>
        <v>381.29500000000007</v>
      </c>
      <c r="AC47" s="116">
        <f>IFERROR(AB47/AB148, "NA")</f>
        <v>2.7681954062309254E-3</v>
      </c>
      <c r="AD47" s="118">
        <f t="shared" si="19"/>
        <v>113.1049999999999</v>
      </c>
      <c r="AE47" s="119">
        <f>IFERROR(AD47/AD148, "NA")</f>
        <v>8.1567027319779696E-3</v>
      </c>
      <c r="AF47" s="118">
        <f t="shared" si="20"/>
        <v>0.29663383994020348</v>
      </c>
      <c r="AG47" s="117">
        <f t="shared" si="21"/>
        <v>374.44625000000008</v>
      </c>
      <c r="AH47" s="116">
        <f>IFERROR(AG47/AG148, "NA")</f>
        <v>2.8800121616259482E-3</v>
      </c>
      <c r="AI47" s="118">
        <f t="shared" si="22"/>
        <v>119.9537499999999</v>
      </c>
      <c r="AJ47" s="119">
        <f>IFERROR(AI47/AI148, "NA")</f>
        <v>5.555379310089305E-3</v>
      </c>
      <c r="AK47" s="118">
        <f t="shared" si="23"/>
        <v>0.32034971641457183</v>
      </c>
      <c r="AL47" s="119">
        <f>IFERROR(AK47/AK148, "NA")</f>
        <v>1.9289430038215334</v>
      </c>
    </row>
    <row r="48" spans="1:38" ht="16.5" hidden="1" customHeight="1" x14ac:dyDescent="0.25">
      <c r="A48" s="7" t="s">
        <v>54</v>
      </c>
      <c r="B48" s="115">
        <v>0</v>
      </c>
      <c r="C48" s="116">
        <f>IFERROR(B48/B148, "NA")</f>
        <v>0</v>
      </c>
      <c r="D48" s="115">
        <v>0</v>
      </c>
      <c r="E48" s="116">
        <f>IFERROR(D48/D148, "NA")</f>
        <v>0</v>
      </c>
      <c r="F48" s="115">
        <v>0</v>
      </c>
      <c r="G48" s="116">
        <f>IFERROR(F48/F148, "NA")</f>
        <v>0</v>
      </c>
      <c r="H48" s="115">
        <v>0</v>
      </c>
      <c r="I48" s="116">
        <f>IFERROR(H48/H148, "NA")</f>
        <v>0</v>
      </c>
      <c r="J48" s="115">
        <v>0</v>
      </c>
      <c r="K48" s="116">
        <f>IFERROR(J48/J148, "NA")</f>
        <v>0</v>
      </c>
      <c r="L48" s="115">
        <v>0</v>
      </c>
      <c r="M48" s="116">
        <f>IFERROR(L48/L148, "NA")</f>
        <v>0</v>
      </c>
      <c r="N48" s="115">
        <v>0</v>
      </c>
      <c r="O48" s="116">
        <f>IFERROR(N48/N148, "NA")</f>
        <v>0</v>
      </c>
      <c r="P48" s="115">
        <v>0</v>
      </c>
      <c r="Q48" s="116">
        <f>IFERROR(P48/P148, "NA")</f>
        <v>0</v>
      </c>
      <c r="R48" s="115">
        <v>0</v>
      </c>
      <c r="S48" s="116">
        <f>IFERROR(R48/R148, "NA")</f>
        <v>0</v>
      </c>
      <c r="T48" s="115">
        <v>0</v>
      </c>
      <c r="U48" s="116">
        <f>IFERROR(T48/T148, "NA")</f>
        <v>0</v>
      </c>
      <c r="V48" s="115">
        <v>0</v>
      </c>
      <c r="W48" s="116">
        <f>IFERROR(V48/V148, "NA")</f>
        <v>0</v>
      </c>
      <c r="X48" s="115">
        <v>0</v>
      </c>
      <c r="Y48" s="116">
        <f>IFERROR(X48/X148, "NA")</f>
        <v>0</v>
      </c>
      <c r="Z48" s="115">
        <v>0</v>
      </c>
      <c r="AA48" s="116">
        <f>IFERROR(Z48/Z148, "NA")</f>
        <v>0</v>
      </c>
      <c r="AB48" s="117">
        <f t="shared" si="18"/>
        <v>0</v>
      </c>
      <c r="AC48" s="116">
        <f>IFERROR(AB48/AB148, "NA")</f>
        <v>0</v>
      </c>
      <c r="AD48" s="118">
        <f t="shared" si="19"/>
        <v>0</v>
      </c>
      <c r="AE48" s="119">
        <f>IFERROR(AD48/AD148, "NA")</f>
        <v>0</v>
      </c>
      <c r="AF48" s="118" t="str">
        <f t="shared" si="20"/>
        <v>NA</v>
      </c>
      <c r="AG48" s="117">
        <f t="shared" si="21"/>
        <v>0</v>
      </c>
      <c r="AH48" s="116">
        <f>IFERROR(AG48/AG148, "NA")</f>
        <v>0</v>
      </c>
      <c r="AI48" s="118">
        <f t="shared" si="22"/>
        <v>0</v>
      </c>
      <c r="AJ48" s="119">
        <f>IFERROR(AI48/AI148, "NA")</f>
        <v>0</v>
      </c>
      <c r="AK48" s="118" t="str">
        <f t="shared" si="23"/>
        <v>NA</v>
      </c>
      <c r="AL48" s="119" t="str">
        <f>IFERROR(AK48/AK148, "NA")</f>
        <v>NA</v>
      </c>
    </row>
    <row r="49" spans="1:38" ht="16.5" hidden="1" customHeight="1" x14ac:dyDescent="0.25">
      <c r="A49" s="7" t="s">
        <v>55</v>
      </c>
      <c r="B49" s="115">
        <v>0</v>
      </c>
      <c r="C49" s="116">
        <f>IFERROR(B49/B148, "NA")</f>
        <v>0</v>
      </c>
      <c r="D49" s="115">
        <v>0</v>
      </c>
      <c r="E49" s="116">
        <f>IFERROR(D49/D148, "NA")</f>
        <v>0</v>
      </c>
      <c r="F49" s="115">
        <v>0</v>
      </c>
      <c r="G49" s="116">
        <f>IFERROR(F49/F148, "NA")</f>
        <v>0</v>
      </c>
      <c r="H49" s="115">
        <v>0</v>
      </c>
      <c r="I49" s="116">
        <f>IFERROR(H49/H148, "NA")</f>
        <v>0</v>
      </c>
      <c r="J49" s="115">
        <v>0</v>
      </c>
      <c r="K49" s="116">
        <f>IFERROR(J49/J148, "NA")</f>
        <v>0</v>
      </c>
      <c r="L49" s="115">
        <v>0</v>
      </c>
      <c r="M49" s="116">
        <f>IFERROR(L49/L148, "NA")</f>
        <v>0</v>
      </c>
      <c r="N49" s="115">
        <v>0</v>
      </c>
      <c r="O49" s="116">
        <f>IFERROR(N49/N148, "NA")</f>
        <v>0</v>
      </c>
      <c r="P49" s="115">
        <v>0</v>
      </c>
      <c r="Q49" s="116">
        <f>IFERROR(P49/P148, "NA")</f>
        <v>0</v>
      </c>
      <c r="R49" s="115">
        <v>0</v>
      </c>
      <c r="S49" s="116">
        <f>IFERROR(R49/R148, "NA")</f>
        <v>0</v>
      </c>
      <c r="T49" s="115">
        <v>0</v>
      </c>
      <c r="U49" s="116">
        <f>IFERROR(T49/T148, "NA")</f>
        <v>0</v>
      </c>
      <c r="V49" s="115">
        <v>0</v>
      </c>
      <c r="W49" s="116">
        <f>IFERROR(V49/V148, "NA")</f>
        <v>0</v>
      </c>
      <c r="X49" s="115">
        <v>0</v>
      </c>
      <c r="Y49" s="116">
        <f>IFERROR(X49/X148, "NA")</f>
        <v>0</v>
      </c>
      <c r="Z49" s="115">
        <v>0</v>
      </c>
      <c r="AA49" s="116">
        <f>IFERROR(Z49/Z148, "NA")</f>
        <v>0</v>
      </c>
      <c r="AB49" s="117">
        <f t="shared" si="18"/>
        <v>0</v>
      </c>
      <c r="AC49" s="116">
        <f>IFERROR(AB49/AB148, "NA")</f>
        <v>0</v>
      </c>
      <c r="AD49" s="118">
        <f t="shared" si="19"/>
        <v>0</v>
      </c>
      <c r="AE49" s="119">
        <f>IFERROR(AD49/AD148, "NA")</f>
        <v>0</v>
      </c>
      <c r="AF49" s="118" t="str">
        <f t="shared" si="20"/>
        <v>NA</v>
      </c>
      <c r="AG49" s="117">
        <f t="shared" si="21"/>
        <v>0</v>
      </c>
      <c r="AH49" s="116">
        <f>IFERROR(AG49/AG148, "NA")</f>
        <v>0</v>
      </c>
      <c r="AI49" s="118">
        <f t="shared" si="22"/>
        <v>0</v>
      </c>
      <c r="AJ49" s="119">
        <f>IFERROR(AI49/AI148, "NA")</f>
        <v>0</v>
      </c>
      <c r="AK49" s="118" t="str">
        <f t="shared" si="23"/>
        <v>NA</v>
      </c>
      <c r="AL49" s="119" t="str">
        <f>IFERROR(AK49/AK148, "NA")</f>
        <v>NA</v>
      </c>
    </row>
    <row r="50" spans="1:38" ht="16.5" hidden="1" customHeight="1" x14ac:dyDescent="0.25">
      <c r="A50" s="7" t="s">
        <v>56</v>
      </c>
      <c r="B50" s="115">
        <v>0</v>
      </c>
      <c r="C50" s="116">
        <f>IFERROR(B50/B148, "NA")</f>
        <v>0</v>
      </c>
      <c r="D50" s="115">
        <v>0</v>
      </c>
      <c r="E50" s="116">
        <f>IFERROR(D50/D148, "NA")</f>
        <v>0</v>
      </c>
      <c r="F50" s="115">
        <v>0</v>
      </c>
      <c r="G50" s="116">
        <f>IFERROR(F50/F148, "NA")</f>
        <v>0</v>
      </c>
      <c r="H50" s="115">
        <v>0</v>
      </c>
      <c r="I50" s="116">
        <f>IFERROR(H50/H148, "NA")</f>
        <v>0</v>
      </c>
      <c r="J50" s="115">
        <v>0</v>
      </c>
      <c r="K50" s="116">
        <f>IFERROR(J50/J148, "NA")</f>
        <v>0</v>
      </c>
      <c r="L50" s="115">
        <v>0</v>
      </c>
      <c r="M50" s="116">
        <f>IFERROR(L50/L148, "NA")</f>
        <v>0</v>
      </c>
      <c r="N50" s="115">
        <v>0</v>
      </c>
      <c r="O50" s="116">
        <f>IFERROR(N50/N148, "NA")</f>
        <v>0</v>
      </c>
      <c r="P50" s="115">
        <v>0</v>
      </c>
      <c r="Q50" s="116">
        <f>IFERROR(P50/P148, "NA")</f>
        <v>0</v>
      </c>
      <c r="R50" s="115">
        <v>0</v>
      </c>
      <c r="S50" s="116">
        <f>IFERROR(R50/R148, "NA")</f>
        <v>0</v>
      </c>
      <c r="T50" s="115">
        <v>0</v>
      </c>
      <c r="U50" s="116">
        <f>IFERROR(T50/T148, "NA")</f>
        <v>0</v>
      </c>
      <c r="V50" s="115">
        <v>0</v>
      </c>
      <c r="W50" s="116">
        <f>IFERROR(V50/V148, "NA")</f>
        <v>0</v>
      </c>
      <c r="X50" s="115">
        <v>0</v>
      </c>
      <c r="Y50" s="116">
        <f>IFERROR(X50/X148, "NA")</f>
        <v>0</v>
      </c>
      <c r="Z50" s="115">
        <v>0</v>
      </c>
      <c r="AA50" s="116">
        <f>IFERROR(Z50/Z148, "NA")</f>
        <v>0</v>
      </c>
      <c r="AB50" s="117">
        <f t="shared" si="18"/>
        <v>0</v>
      </c>
      <c r="AC50" s="116">
        <f>IFERROR(AB50/AB148, "NA")</f>
        <v>0</v>
      </c>
      <c r="AD50" s="118">
        <f t="shared" si="19"/>
        <v>0</v>
      </c>
      <c r="AE50" s="119">
        <f>IFERROR(AD50/AD148, "NA")</f>
        <v>0</v>
      </c>
      <c r="AF50" s="118" t="str">
        <f t="shared" si="20"/>
        <v>NA</v>
      </c>
      <c r="AG50" s="117">
        <f t="shared" si="21"/>
        <v>0</v>
      </c>
      <c r="AH50" s="116">
        <f>IFERROR(AG50/AG148, "NA")</f>
        <v>0</v>
      </c>
      <c r="AI50" s="118">
        <f t="shared" si="22"/>
        <v>0</v>
      </c>
      <c r="AJ50" s="119">
        <f>IFERROR(AI50/AI148, "NA")</f>
        <v>0</v>
      </c>
      <c r="AK50" s="118" t="str">
        <f t="shared" si="23"/>
        <v>NA</v>
      </c>
      <c r="AL50" s="119" t="str">
        <f>IFERROR(AK50/AK148, "NA")</f>
        <v>NA</v>
      </c>
    </row>
    <row r="51" spans="1:38" ht="16.5" hidden="1" customHeight="1" x14ac:dyDescent="0.25">
      <c r="A51" s="7" t="s">
        <v>57</v>
      </c>
      <c r="B51" s="115">
        <v>0</v>
      </c>
      <c r="C51" s="116">
        <f>IFERROR(B51/B148, "NA")</f>
        <v>0</v>
      </c>
      <c r="D51" s="115">
        <v>0</v>
      </c>
      <c r="E51" s="116">
        <f>IFERROR(D51/D148, "NA")</f>
        <v>0</v>
      </c>
      <c r="F51" s="115">
        <v>0</v>
      </c>
      <c r="G51" s="116">
        <f>IFERROR(F51/F148, "NA")</f>
        <v>0</v>
      </c>
      <c r="H51" s="115">
        <v>0</v>
      </c>
      <c r="I51" s="116">
        <f>IFERROR(H51/H148, "NA")</f>
        <v>0</v>
      </c>
      <c r="J51" s="115">
        <v>0</v>
      </c>
      <c r="K51" s="116">
        <f>IFERROR(J51/J148, "NA")</f>
        <v>0</v>
      </c>
      <c r="L51" s="115">
        <v>0</v>
      </c>
      <c r="M51" s="116">
        <f>IFERROR(L51/L148, "NA")</f>
        <v>0</v>
      </c>
      <c r="N51" s="115">
        <v>0</v>
      </c>
      <c r="O51" s="116">
        <f>IFERROR(N51/N148, "NA")</f>
        <v>0</v>
      </c>
      <c r="P51" s="115">
        <v>0</v>
      </c>
      <c r="Q51" s="116">
        <f>IFERROR(P51/P148, "NA")</f>
        <v>0</v>
      </c>
      <c r="R51" s="115">
        <v>0</v>
      </c>
      <c r="S51" s="116">
        <f>IFERROR(R51/R148, "NA")</f>
        <v>0</v>
      </c>
      <c r="T51" s="115">
        <v>0</v>
      </c>
      <c r="U51" s="116">
        <f>IFERROR(T51/T148, "NA")</f>
        <v>0</v>
      </c>
      <c r="V51" s="115">
        <v>0</v>
      </c>
      <c r="W51" s="116">
        <f>IFERROR(V51/V148, "NA")</f>
        <v>0</v>
      </c>
      <c r="X51" s="115">
        <v>0</v>
      </c>
      <c r="Y51" s="116">
        <f>IFERROR(X51/X148, "NA")</f>
        <v>0</v>
      </c>
      <c r="Z51" s="115">
        <v>0</v>
      </c>
      <c r="AA51" s="116">
        <f>IFERROR(Z51/Z148, "NA")</f>
        <v>0</v>
      </c>
      <c r="AB51" s="117">
        <f t="shared" si="18"/>
        <v>0</v>
      </c>
      <c r="AC51" s="116">
        <f>IFERROR(AB51/AB148, "NA")</f>
        <v>0</v>
      </c>
      <c r="AD51" s="118">
        <f t="shared" si="19"/>
        <v>0</v>
      </c>
      <c r="AE51" s="119">
        <f>IFERROR(AD51/AD148, "NA")</f>
        <v>0</v>
      </c>
      <c r="AF51" s="118" t="str">
        <f t="shared" si="20"/>
        <v>NA</v>
      </c>
      <c r="AG51" s="117">
        <f t="shared" si="21"/>
        <v>0</v>
      </c>
      <c r="AH51" s="116">
        <f>IFERROR(AG51/AG148, "NA")</f>
        <v>0</v>
      </c>
      <c r="AI51" s="118">
        <f t="shared" si="22"/>
        <v>0</v>
      </c>
      <c r="AJ51" s="119">
        <f>IFERROR(AI51/AI148, "NA")</f>
        <v>0</v>
      </c>
      <c r="AK51" s="118" t="str">
        <f t="shared" si="23"/>
        <v>NA</v>
      </c>
      <c r="AL51" s="119" t="str">
        <f>IFERROR(AK51/AK148, "NA")</f>
        <v>NA</v>
      </c>
    </row>
    <row r="52" spans="1:38" ht="16.5" customHeight="1" x14ac:dyDescent="0.25">
      <c r="A52" s="129" t="s">
        <v>58</v>
      </c>
      <c r="B52" s="121">
        <f>IFERROR(B46+B47+B48+B49+B50+B51, "NA")</f>
        <v>390.62</v>
      </c>
      <c r="C52" s="122">
        <f>IFERROR(B52/B148, "NA")</f>
        <v>2.7107240635295678E-3</v>
      </c>
      <c r="D52" s="121">
        <f>IFERROR(D46+D47+D48+D49+D50+D51, "NA")</f>
        <v>434.28000000000003</v>
      </c>
      <c r="E52" s="122">
        <f>IFERROR(D52/D148, "NA")</f>
        <v>3.8310563095939527E-3</v>
      </c>
      <c r="F52" s="121">
        <f>IFERROR(F46+F47+F48+F49+F50+F51, "NA")</f>
        <v>492.29999999999995</v>
      </c>
      <c r="G52" s="122">
        <f>IFERROR(F52/F148, "NA")</f>
        <v>3.8478974519305922E-3</v>
      </c>
      <c r="H52" s="121">
        <f>IFERROR(H46+H47+H48+H49+H50+H51, "NA")</f>
        <v>424.97999999999996</v>
      </c>
      <c r="I52" s="122">
        <f>IFERROR(H52/H148, "NA")</f>
        <v>3.4028707327894512E-3</v>
      </c>
      <c r="J52" s="121">
        <f>IFERROR(J46+J47+J48+J49+J50+J51, "NA")</f>
        <v>449.36</v>
      </c>
      <c r="K52" s="122">
        <f>IFERROR(J52/J148, "NA")</f>
        <v>3.539523829440889E-3</v>
      </c>
      <c r="L52" s="121">
        <f>IFERROR(L46+L47+L48+L49+L50+L51, "NA")</f>
        <v>366.85</v>
      </c>
      <c r="M52" s="122">
        <f>IFERROR(L52/L148, "NA")</f>
        <v>2.9771177037183176E-3</v>
      </c>
      <c r="N52" s="121">
        <f>IFERROR(N46+N47+N48+N49+N50+N51, "NA")</f>
        <v>340.22</v>
      </c>
      <c r="O52" s="122">
        <f>IFERROR(N52/N148, "NA")</f>
        <v>2.6618569327399562E-3</v>
      </c>
      <c r="P52" s="121">
        <f>IFERROR(P46+P47+P48+P49+P50+P51, "NA")</f>
        <v>313.95999999999998</v>
      </c>
      <c r="Q52" s="122">
        <f>IFERROR(P52/P148, "NA")</f>
        <v>2.8242074772413185E-3</v>
      </c>
      <c r="R52" s="121">
        <f>IFERROR(R46+R47+R48+R49+R50+R51, "NA")</f>
        <v>273.58000000000004</v>
      </c>
      <c r="S52" s="122">
        <f>IFERROR(R52/R148, "NA")</f>
        <v>2.0286616868872881E-3</v>
      </c>
      <c r="T52" s="121">
        <f>IFERROR(T46+T47+T48+T49+T50+T51, "NA")</f>
        <v>380.57</v>
      </c>
      <c r="U52" s="122">
        <f>IFERROR(T52/T148, "NA")</f>
        <v>2.9496776025709948E-3</v>
      </c>
      <c r="V52" s="121">
        <f>IFERROR(V46+V47+V48+V49+V50+V51, "NA")</f>
        <v>376.63</v>
      </c>
      <c r="W52" s="122">
        <f>IFERROR(V52/V148, "NA")</f>
        <v>2.7799816813356961E-3</v>
      </c>
      <c r="X52" s="121">
        <f>IFERROR(X46+X47+X48+X49+X50+X51, "NA")</f>
        <v>494.4</v>
      </c>
      <c r="Y52" s="122">
        <f>IFERROR(X52/X148, "NA")</f>
        <v>3.2610444299494478E-3</v>
      </c>
      <c r="Z52" s="121">
        <f>IFERROR(Z46+Z47+Z48+Z49+Z50+Z51, "NA")</f>
        <v>871.03</v>
      </c>
      <c r="AA52" s="122">
        <f>IFERROR(Z52/Z148, "NA")</f>
        <v>3.0340261101174911E-3</v>
      </c>
      <c r="AB52" s="121">
        <f t="shared" si="18"/>
        <v>381.29500000000007</v>
      </c>
      <c r="AC52" s="122">
        <f>IFERROR(AB52/AB148, "NA")</f>
        <v>2.7681954062309254E-3</v>
      </c>
      <c r="AD52" s="123">
        <f t="shared" si="19"/>
        <v>113.1049999999999</v>
      </c>
      <c r="AE52" s="124">
        <f>IFERROR(AD52/AD148, "NA")</f>
        <v>8.1567027319779696E-3</v>
      </c>
      <c r="AF52" s="123">
        <f t="shared" si="20"/>
        <v>0.29663383994020348</v>
      </c>
      <c r="AG52" s="121">
        <f t="shared" si="21"/>
        <v>374.44625000000008</v>
      </c>
      <c r="AH52" s="122">
        <f>IFERROR(AG52/AG148, "NA")</f>
        <v>2.8800121616259482E-3</v>
      </c>
      <c r="AI52" s="123">
        <f t="shared" si="22"/>
        <v>119.9537499999999</v>
      </c>
      <c r="AJ52" s="124">
        <f>IFERROR(AI52/AI148, "NA")</f>
        <v>5.555379310089305E-3</v>
      </c>
      <c r="AK52" s="123">
        <f t="shared" si="23"/>
        <v>0.32034971641457183</v>
      </c>
      <c r="AL52" s="124">
        <f>IFERROR(AK52/AK148, "NA")</f>
        <v>1.9289430038215334</v>
      </c>
    </row>
    <row r="53" spans="1:38" ht="16.5" customHeight="1" x14ac:dyDescent="0.25">
      <c r="A53" s="5" t="s">
        <v>59</v>
      </c>
      <c r="B53" s="115">
        <v>296.46000000000004</v>
      </c>
      <c r="C53" s="116">
        <f>IFERROR(B53/B148, "NA")</f>
        <v>2.0572967484357579E-3</v>
      </c>
      <c r="D53" s="115">
        <v>122.15</v>
      </c>
      <c r="E53" s="116">
        <f>IFERROR(D53/D148, "NA")</f>
        <v>1.0775617763122899E-3</v>
      </c>
      <c r="F53" s="115">
        <v>207.34999999999997</v>
      </c>
      <c r="G53" s="116">
        <f>IFERROR(F53/F148, "NA")</f>
        <v>1.6206815694856961E-3</v>
      </c>
      <c r="H53" s="115">
        <v>145.39999999999998</v>
      </c>
      <c r="I53" s="116">
        <f>IFERROR(H53/H148, "NA")</f>
        <v>1.1642369159668366E-3</v>
      </c>
      <c r="J53" s="115">
        <v>200.7</v>
      </c>
      <c r="K53" s="116">
        <f>IFERROR(J53/J148, "NA")</f>
        <v>1.5808759848869199E-3</v>
      </c>
      <c r="L53" s="115">
        <v>195.33</v>
      </c>
      <c r="M53" s="116">
        <f>IFERROR(L53/L148, "NA")</f>
        <v>1.585172144111487E-3</v>
      </c>
      <c r="N53" s="115">
        <v>196.01000000000002</v>
      </c>
      <c r="O53" s="116">
        <f>IFERROR(N53/N148, "NA")</f>
        <v>1.533568212880956E-3</v>
      </c>
      <c r="P53" s="115">
        <v>159.20000000000002</v>
      </c>
      <c r="Q53" s="116">
        <f>IFERROR(P53/P148, "NA")</f>
        <v>1.4320736093031534E-3</v>
      </c>
      <c r="R53" s="115">
        <v>186.17</v>
      </c>
      <c r="S53" s="116">
        <f>IFERROR(R53/R148, "NA")</f>
        <v>1.380495453789774E-3</v>
      </c>
      <c r="T53" s="115">
        <v>198.64999999999998</v>
      </c>
      <c r="U53" s="116">
        <f>IFERROR(T53/T148, "NA")</f>
        <v>1.5396732683888065E-3</v>
      </c>
      <c r="V53" s="115">
        <v>239.28000000000003</v>
      </c>
      <c r="W53" s="116">
        <f>IFERROR(V53/V148, "NA")</f>
        <v>1.7661737426917809E-3</v>
      </c>
      <c r="X53" s="115">
        <v>200.53</v>
      </c>
      <c r="Y53" s="116">
        <f>IFERROR(X53/X148, "NA")</f>
        <v>1.3226885912980639E-3</v>
      </c>
      <c r="Z53" s="115">
        <v>439.81</v>
      </c>
      <c r="AA53" s="116">
        <f>IFERROR(Z53/Z148, "NA")</f>
        <v>1.5319736673717022E-3</v>
      </c>
      <c r="AB53" s="117">
        <f t="shared" si="18"/>
        <v>206.15749999999997</v>
      </c>
      <c r="AC53" s="116">
        <f>IFERROR(AB53/AB148, "NA")</f>
        <v>1.4967000471027728E-3</v>
      </c>
      <c r="AD53" s="118">
        <f t="shared" si="19"/>
        <v>-5.6274999999999693</v>
      </c>
      <c r="AE53" s="119">
        <f>IFERROR(AD53/AD148, "NA")</f>
        <v>-4.0583391206583093E-4</v>
      </c>
      <c r="AF53" s="118">
        <f t="shared" si="20"/>
        <v>-2.7297090816487249E-2</v>
      </c>
      <c r="AG53" s="117">
        <f t="shared" si="21"/>
        <v>196.98374999999999</v>
      </c>
      <c r="AH53" s="116">
        <f>IFERROR(AG53/AG148, "NA")</f>
        <v>1.5150788548227822E-3</v>
      </c>
      <c r="AI53" s="118">
        <f t="shared" si="22"/>
        <v>3.5462500000000148</v>
      </c>
      <c r="AJ53" s="119">
        <f>IFERROR(AI53/AI148, "NA")</f>
        <v>1.6423633173956041E-4</v>
      </c>
      <c r="AK53" s="118">
        <f t="shared" si="23"/>
        <v>1.8002754034279554E-2</v>
      </c>
      <c r="AL53" s="119">
        <f>IFERROR(AK53/AK148, "NA")</f>
        <v>0.10840117741513264</v>
      </c>
    </row>
    <row r="54" spans="1:38" ht="16.5" customHeight="1" x14ac:dyDescent="0.25">
      <c r="A54" s="5" t="s">
        <v>60</v>
      </c>
      <c r="B54" s="115">
        <v>130.81</v>
      </c>
      <c r="C54" s="116">
        <f>IFERROR(B54/B148, "NA")</f>
        <v>9.0776154510855247E-4</v>
      </c>
      <c r="D54" s="115">
        <v>132</v>
      </c>
      <c r="E54" s="116">
        <f>IFERROR(D54/D148, "NA")</f>
        <v>1.1644548053477059E-3</v>
      </c>
      <c r="F54" s="115">
        <v>129</v>
      </c>
      <c r="G54" s="116">
        <f>IFERROR(F54/F148, "NA")</f>
        <v>1.0082851336564015E-3</v>
      </c>
      <c r="H54" s="115">
        <v>123</v>
      </c>
      <c r="I54" s="116">
        <f>IFERROR(H54/H148, "NA")</f>
        <v>9.8487717100358271E-4</v>
      </c>
      <c r="J54" s="115">
        <v>162</v>
      </c>
      <c r="K54" s="116">
        <f>IFERROR(J54/J148, "NA")</f>
        <v>1.2760433958728503E-3</v>
      </c>
      <c r="L54" s="115">
        <v>152</v>
      </c>
      <c r="M54" s="116">
        <f>IFERROR(L54/L148, "NA")</f>
        <v>1.2335338448008293E-3</v>
      </c>
      <c r="N54" s="115">
        <v>147.75</v>
      </c>
      <c r="O54" s="116">
        <f>IFERROR(N54/N148, "NA")</f>
        <v>1.1559854265249796E-3</v>
      </c>
      <c r="P54" s="115">
        <v>135.75</v>
      </c>
      <c r="Q54" s="116">
        <f>IFERROR(P54/P148, "NA")</f>
        <v>1.2211306059227579E-3</v>
      </c>
      <c r="R54" s="115">
        <v>162.5</v>
      </c>
      <c r="S54" s="116">
        <f>IFERROR(R54/R148, "NA")</f>
        <v>1.2049766946384394E-3</v>
      </c>
      <c r="T54" s="115">
        <v>171.25</v>
      </c>
      <c r="U54" s="116">
        <f>IFERROR(T54/T148, "NA")</f>
        <v>1.3273045417144884E-3</v>
      </c>
      <c r="V54" s="115">
        <v>212</v>
      </c>
      <c r="W54" s="116">
        <f>IFERROR(V54/V148, "NA")</f>
        <v>1.5648145831271211E-3</v>
      </c>
      <c r="X54" s="115">
        <v>166</v>
      </c>
      <c r="Y54" s="116">
        <f>IFERROR(X54/X148, "NA")</f>
        <v>1.0949299663665219E-3</v>
      </c>
      <c r="Z54" s="115">
        <v>378</v>
      </c>
      <c r="AA54" s="116">
        <f>IFERROR(Z54/Z148, "NA")</f>
        <v>1.3166732140390248E-3</v>
      </c>
      <c r="AB54" s="117">
        <f t="shared" si="18"/>
        <v>177.9375</v>
      </c>
      <c r="AC54" s="116">
        <f>IFERROR(AB54/AB148, "NA")</f>
        <v>1.291823312910516E-3</v>
      </c>
      <c r="AD54" s="118">
        <f t="shared" si="19"/>
        <v>-11.9375</v>
      </c>
      <c r="AE54" s="119">
        <f>IFERROR(AD54/AD148, "NA")</f>
        <v>-8.6088713021517248E-4</v>
      </c>
      <c r="AF54" s="118">
        <f t="shared" si="20"/>
        <v>-6.7088162978573937E-2</v>
      </c>
      <c r="AG54" s="117">
        <f t="shared" si="21"/>
        <v>163.65625</v>
      </c>
      <c r="AH54" s="116">
        <f>IFERROR(AG54/AG148, "NA")</f>
        <v>1.2587440529210707E-3</v>
      </c>
      <c r="AI54" s="118">
        <f t="shared" si="22"/>
        <v>2.34375</v>
      </c>
      <c r="AJ54" s="119">
        <f>IFERROR(AI54/AI148, "NA")</f>
        <v>1.0854533733227863E-4</v>
      </c>
      <c r="AK54" s="118">
        <f t="shared" si="23"/>
        <v>1.4321176245942334E-2</v>
      </c>
      <c r="AL54" s="119">
        <f>IFERROR(AK54/AK148, "NA")</f>
        <v>8.6233048792076356E-2</v>
      </c>
    </row>
    <row r="55" spans="1:38" ht="16.5" customHeight="1" x14ac:dyDescent="0.25">
      <c r="A55" s="5" t="s">
        <v>61</v>
      </c>
      <c r="B55" s="115">
        <v>-934.09999999999991</v>
      </c>
      <c r="C55" s="116">
        <f>IFERROR(B55/B148, "NA")</f>
        <v>-6.48222658272226E-3</v>
      </c>
      <c r="D55" s="115">
        <v>-1087.01</v>
      </c>
      <c r="E55" s="116">
        <f>IFERROR(D55/D148, "NA")</f>
        <v>-9.5891971057652254E-3</v>
      </c>
      <c r="F55" s="115">
        <v>-1121.99</v>
      </c>
      <c r="G55" s="116">
        <f>IFERROR(F55/F148, "NA")</f>
        <v>-8.769657652024386E-3</v>
      </c>
      <c r="H55" s="115">
        <v>-1670.63</v>
      </c>
      <c r="I55" s="116">
        <f>IFERROR(H55/H148, "NA")</f>
        <v>-1.3376954050355409E-2</v>
      </c>
      <c r="J55" s="115">
        <v>-1845.62</v>
      </c>
      <c r="K55" s="116">
        <f>IFERROR(J55/J148, "NA")</f>
        <v>-1.4537600075869442E-2</v>
      </c>
      <c r="L55" s="115">
        <v>-1478.68</v>
      </c>
      <c r="M55" s="116">
        <f>IFERROR(L55/L148, "NA")</f>
        <v>-1.200001201072428E-2</v>
      </c>
      <c r="N55" s="115">
        <v>-1539.51</v>
      </c>
      <c r="O55" s="116">
        <f>IFERROR(N55/N148, "NA")</f>
        <v>-1.2045016067610635E-2</v>
      </c>
      <c r="P55" s="115">
        <v>-1475.83</v>
      </c>
      <c r="Q55" s="116">
        <f>IFERROR(P55/P148, "NA")</f>
        <v>-1.327573614835347E-2</v>
      </c>
      <c r="R55" s="115">
        <v>-1621.81</v>
      </c>
      <c r="S55" s="116">
        <f>IFERROR(R55/R148, "NA")</f>
        <v>-1.2026112326963491E-2</v>
      </c>
      <c r="T55" s="115">
        <v>-1439.54</v>
      </c>
      <c r="U55" s="116">
        <f>IFERROR(T55/T148, "NA")</f>
        <v>-1.115741886119518E-2</v>
      </c>
      <c r="V55" s="115">
        <v>0</v>
      </c>
      <c r="W55" s="116">
        <f>IFERROR(V55/V148, "NA")</f>
        <v>0</v>
      </c>
      <c r="X55" s="115">
        <v>0</v>
      </c>
      <c r="Y55" s="116">
        <f>IFERROR(X55/X148, "NA")</f>
        <v>0</v>
      </c>
      <c r="Z55" s="115">
        <v>0</v>
      </c>
      <c r="AA55" s="116">
        <f>IFERROR(Z55/Z148, "NA")</f>
        <v>0</v>
      </c>
      <c r="AB55" s="117">
        <f t="shared" si="18"/>
        <v>-765.33749999999998</v>
      </c>
      <c r="AC55" s="116">
        <f>IFERROR(AB55/AB148, "NA")</f>
        <v>-5.5563376171107945E-3</v>
      </c>
      <c r="AD55" s="118">
        <f t="shared" si="19"/>
        <v>765.33749999999998</v>
      </c>
      <c r="AE55" s="119">
        <f>IFERROR(AD55/AD148, "NA")</f>
        <v>5.5193231750454833E-2</v>
      </c>
      <c r="AF55" s="118">
        <f t="shared" si="20"/>
        <v>-1</v>
      </c>
      <c r="AG55" s="117">
        <f t="shared" si="21"/>
        <v>-1175.1237500000002</v>
      </c>
      <c r="AH55" s="116">
        <f>IFERROR(AG55/AG148, "NA")</f>
        <v>-9.0383351186331552E-3</v>
      </c>
      <c r="AI55" s="118">
        <f t="shared" si="22"/>
        <v>1175.1237500000002</v>
      </c>
      <c r="AJ55" s="119">
        <f>IFERROR(AI55/AI148, "NA")</f>
        <v>5.442312697639351E-2</v>
      </c>
      <c r="AK55" s="118">
        <f t="shared" si="23"/>
        <v>-1</v>
      </c>
      <c r="AL55" s="119">
        <f>IFERROR(AK55/AK148, "NA")</f>
        <v>-6.0213663536547175</v>
      </c>
    </row>
    <row r="56" spans="1:38" ht="16.5" customHeight="1" x14ac:dyDescent="0.25">
      <c r="A56" s="130" t="s">
        <v>62</v>
      </c>
      <c r="B56" s="121">
        <f>IFERROR(B37+B39+B40+B41+B42+B43+B46+B47+B48+B49+B50+B51+B53+B54+B55, "NA")</f>
        <v>5675.93</v>
      </c>
      <c r="C56" s="122">
        <f>IFERROR(B56/B148, "NA")</f>
        <v>3.9388357057778357E-2</v>
      </c>
      <c r="D56" s="121">
        <f>IFERROR(D37+D39+D40+D41+D42+D43+D46+D47+D48+D49+D50+D51+D53+D54+D55, "NA")</f>
        <v>4043.2299999999996</v>
      </c>
      <c r="E56" s="122">
        <f>IFERROR(D56/D148, "NA")</f>
        <v>3.5667868201712152E-2</v>
      </c>
      <c r="F56" s="121">
        <f>IFERROR(F37+F39+F40+F41+F42+F43+F46+F47+F48+F49+F50+F51+F53+F54+F55, "NA")</f>
        <v>4445.33</v>
      </c>
      <c r="G56" s="122">
        <f>IFERROR(F56/F148, "NA")</f>
        <v>3.4745427544161323E-2</v>
      </c>
      <c r="H56" s="121">
        <f>IFERROR(H37+H39+H40+H41+H42+H43+H46+H47+H48+H49+H50+H51+H53+H54+H55, "NA")</f>
        <v>3585.5199999999986</v>
      </c>
      <c r="I56" s="122">
        <f>IFERROR(H56/H148, "NA")</f>
        <v>2.8709730033957433E-2</v>
      </c>
      <c r="J56" s="121">
        <f>IFERROR(J37+J39+J40+J41+J42+J43+J46+J47+J48+J49+J50+J51+J53+J54+J55, "NA")</f>
        <v>3827.4999999999991</v>
      </c>
      <c r="K56" s="122">
        <f>IFERROR(J56/J148, "NA")</f>
        <v>3.014849443026749E-2</v>
      </c>
      <c r="L56" s="121">
        <f>IFERROR(L37+L39+L40+L41+L42+L43+L46+L47+L48+L49+L50+L51+L53+L54+L55, "NA")</f>
        <v>4044.0200000000004</v>
      </c>
      <c r="M56" s="122">
        <f>IFERROR(L56/L148, "NA")</f>
        <v>3.2818654862180593E-2</v>
      </c>
      <c r="N56" s="121">
        <f>IFERROR(N37+N39+N40+N41+N42+N43+N46+N47+N48+N49+N50+N51+N53+N54+N55, "NA")</f>
        <v>3153.96</v>
      </c>
      <c r="O56" s="122">
        <f>IFERROR(N56/N148, "NA")</f>
        <v>2.4676357332268861E-2</v>
      </c>
      <c r="P56" s="121">
        <f>IFERROR(P37+P39+P40+P41+P42+P43+P46+P47+P48+P49+P50+P51+P53+P54+P55, "NA")</f>
        <v>3735.4799999999996</v>
      </c>
      <c r="Q56" s="122">
        <f>IFERROR(P56/P148, "NA")</f>
        <v>3.360227591758632E-2</v>
      </c>
      <c r="R56" s="121">
        <f>IFERROR(R37+R39+R40+R41+R42+R43+R46+R47+R48+R49+R50+R51+R53+R54+R55, "NA")</f>
        <v>4461.2100000000009</v>
      </c>
      <c r="S56" s="122">
        <f>IFERROR(R56/R148, "NA")</f>
        <v>3.3080948183925867E-2</v>
      </c>
      <c r="T56" s="121">
        <f>IFERROR(T37+T39+T40+T41+T42+T43+T46+T47+T48+T49+T50+T51+T53+T54+T55, "NA")</f>
        <v>4424.6499999999987</v>
      </c>
      <c r="U56" s="122">
        <f>IFERROR(T56/T148, "NA")</f>
        <v>3.4294061550347504E-2</v>
      </c>
      <c r="V56" s="121">
        <f>IFERROR(V37+V39+V40+V41+V42+V43+V46+V47+V48+V49+V50+V51+V53+V54+V55, "NA")</f>
        <v>5619.71</v>
      </c>
      <c r="W56" s="122">
        <f>IFERROR(V56/V148, "NA")</f>
        <v>4.1480208306345821E-2</v>
      </c>
      <c r="X56" s="121">
        <f>IFERROR(X37+X39+X40+X41+X42+X43+X46+X47+X48+X49+X50+X51+X53+X54+X55, "NA")</f>
        <v>-556.95999999999992</v>
      </c>
      <c r="Y56" s="122">
        <f>IFERROR(X56/X148, "NA")</f>
        <v>-3.6736879160692644E-3</v>
      </c>
      <c r="Z56" s="121">
        <f>IFERROR(Z37+Z39+Z40+Z41+Z42+Z43+Z46+Z47+Z48+Z49+Z50+Z51+Z53+Z54+Z55, "NA")</f>
        <v>5062.7500000000009</v>
      </c>
      <c r="AA56" s="122">
        <f>IFERROR(Z56/Z148, "NA")</f>
        <v>1.7634887075068977E-2</v>
      </c>
      <c r="AB56" s="121">
        <f t="shared" si="18"/>
        <v>3487.1525000000001</v>
      </c>
      <c r="AC56" s="122">
        <f>IFERROR(AB56/AB148, "NA")</f>
        <v>2.5316669590020022E-2</v>
      </c>
      <c r="AD56" s="123">
        <f t="shared" si="19"/>
        <v>-4044.1125000000002</v>
      </c>
      <c r="AE56" s="124">
        <f>IFERROR(AD56/AD148, "NA")</f>
        <v>-0.29164602340459117</v>
      </c>
      <c r="AF56" s="123">
        <f t="shared" si="20"/>
        <v>-1.1597177066388693</v>
      </c>
      <c r="AG56" s="121">
        <f t="shared" si="21"/>
        <v>3588.6962499999995</v>
      </c>
      <c r="AH56" s="122">
        <f>IFERROR(AG56/AG148, "NA")</f>
        <v>2.7602062630835349E-2</v>
      </c>
      <c r="AI56" s="123">
        <f t="shared" si="22"/>
        <v>-4145.6562499999991</v>
      </c>
      <c r="AJ56" s="124">
        <f>IFERROR(AI56/AI148, "NA")</f>
        <v>-0.19199643994449883</v>
      </c>
      <c r="AK56" s="123">
        <f t="shared" si="23"/>
        <v>-1.1551984233828649</v>
      </c>
      <c r="AL56" s="124">
        <f>IFERROR(AK56/AK148, "NA")</f>
        <v>-6.9558729183525605</v>
      </c>
    </row>
    <row r="57" spans="1:38" ht="16.5" customHeight="1" x14ac:dyDescent="0.25">
      <c r="A57" s="120" t="s">
        <v>63</v>
      </c>
      <c r="B57" s="131">
        <f>IFERROR(B13+B15+B16+B17+B18+B19+B20+B21+B22+B23+B24+B25+B26+B29+B30+B31+B32+B33+B37+B39+B40+B41+B42+B43+B46+B47+B48+B49+B50+B51+B53+B54+B55, "NA")</f>
        <v>34257.360000000001</v>
      </c>
      <c r="C57" s="132">
        <f>IFERROR(B57/B148, "NA")</f>
        <v>0.23773040321794911</v>
      </c>
      <c r="D57" s="131">
        <f>IFERROR(D13+D15+D16+D17+D18+D19+D20+D21+D22+D23+D24+D25+D26+D29+D30+D31+D32+D33+D37+D39+D40+D41+D42+D43+D46+D47+D48+D49+D50+D51+D53+D54+D55, "NA")</f>
        <v>30707.340000000007</v>
      </c>
      <c r="E57" s="132">
        <f>IFERROR(D57/D148, "NA")</f>
        <v>0.27088870926095326</v>
      </c>
      <c r="F57" s="131">
        <f>IFERROR(F13+F15+F16+F17+F18+F19+F20+F21+F22+F23+F24+F25+F26+F29+F30+F31+F32+F33+F37+F39+F40+F41+F42+F43+F46+F47+F48+F49+F50+F51+F53+F54+F55, "NA")</f>
        <v>32594.799999999999</v>
      </c>
      <c r="G57" s="132">
        <f>IFERROR(F57/F148, "NA")</f>
        <v>0.25476629670157885</v>
      </c>
      <c r="H57" s="131">
        <f>IFERROR(H13+H15+H16+H17+H18+H19+H20+H21+H22+H23+H24+H25+H26+H29+H30+H31+H32+H33+H37+H39+H40+H41+H42+H43+H46+H47+H48+H49+H50+H51+H53+H54+H55, "NA")</f>
        <v>30699.03</v>
      </c>
      <c r="I57" s="132">
        <f>IFERROR(H57/H148, "NA")</f>
        <v>0.24581116925978952</v>
      </c>
      <c r="J57" s="131">
        <f>IFERROR(J13+J15+J16+J17+J18+J19+J20+J21+J22+J23+J24+J25+J26+J29+J30+J31+J32+J33+J37+J39+J40+J41+J42+J43+J46+J47+J48+J49+J50+J51+J53+J54+J55, "NA")</f>
        <v>31109.319999999996</v>
      </c>
      <c r="K57" s="132">
        <f>IFERROR(J57/J148, "NA")</f>
        <v>0.24504223664256281</v>
      </c>
      <c r="L57" s="131">
        <f>IFERROR(L13+L15+L16+L17+L18+L19+L20+L21+L22+L23+L24+L25+L26+L29+L30+L31+L32+L33+L37+L39+L40+L41+L42+L43+L46+L47+L48+L49+L50+L51+L53+L54+L55, "NA")</f>
        <v>28983.209999999995</v>
      </c>
      <c r="M57" s="132">
        <f>IFERROR(L57/L148, "NA")</f>
        <v>0.23520901622348581</v>
      </c>
      <c r="N57" s="131">
        <f>IFERROR(N13+N15+N16+N17+N18+N19+N20+N21+N22+N23+N24+N25+N26+N29+N30+N31+N32+N33+N37+N39+N40+N41+N42+N43+N46+N47+N48+N49+N50+N51+N53+N54+N55, "NA")</f>
        <v>29321.440000000002</v>
      </c>
      <c r="O57" s="132">
        <f>IFERROR(N57/N148, "NA")</f>
        <v>0.22940884822149982</v>
      </c>
      <c r="P57" s="131">
        <f>IFERROR(P13+P15+P16+P17+P18+P19+P20+P21+P22+P23+P24+P25+P26+P29+P30+P31+P32+P33+P37+P39+P40+P41+P42+P43+P46+P47+P48+P49+P50+P51+P53+P54+P55, "NA")</f>
        <v>28566.33</v>
      </c>
      <c r="Q57" s="132">
        <f>IFERROR(P57/P148, "NA")</f>
        <v>0.25696662881686522</v>
      </c>
      <c r="R57" s="131">
        <f>IFERROR(R13+R15+R16+R17+R18+R19+R20+R21+R22+R23+R24+R25+R26+R29+R30+R31+R32+R33+R37+R39+R40+R41+R42+R43+R46+R47+R48+R49+R50+R51+R53+R54+R55, "NA")</f>
        <v>33442.78</v>
      </c>
      <c r="S57" s="132">
        <f>IFERROR(R57/R148, "NA")</f>
        <v>0.2479862800241262</v>
      </c>
      <c r="T57" s="131">
        <f>IFERROR(T13+T15+T16+T17+T18+T19+T20+T21+T22+T23+T24+T25+T26+T29+T30+T31+T32+T33+T37+T39+T40+T41+T42+T43+T46+T47+T48+T49+T50+T51+T53+T54+T55, "NA")</f>
        <v>32335.290000000008</v>
      </c>
      <c r="U57" s="132">
        <f>IFERROR(T57/T148, "NA")</f>
        <v>0.25062059722426333</v>
      </c>
      <c r="V57" s="131">
        <f>IFERROR(V13+V15+V16+V17+V18+V19+V20+V21+V22+V23+V24+V25+V26+V29+V30+V31+V32+V33+V37+V39+V40+V41+V42+V43+V46+V47+V48+V49+V50+V51+V53+V54+V55, "NA")</f>
        <v>35214.9</v>
      </c>
      <c r="W57" s="132">
        <f>IFERROR(V57/V148, "NA")</f>
        <v>0.25992825029888328</v>
      </c>
      <c r="X57" s="131">
        <f>IFERROR(X13+X15+X16+X17+X18+X19+X20+X21+X22+X23+X24+X25+X26+X29+X30+X31+X32+X33+X37+X39+X40+X41+X42+X43+X46+X47+X48+X49+X50+X51+X53+X54+X55, "NA")</f>
        <v>29799.010000000002</v>
      </c>
      <c r="Y57" s="132">
        <f>IFERROR(X57/X148, "NA")</f>
        <v>0.19655318684973283</v>
      </c>
      <c r="Z57" s="131">
        <f>IFERROR(Z13+Z15+Z16+Z17+Z18+Z19+Z20+Z21+Z22+Z23+Z24+Z25+Z26+Z29+Z30+Z31+Z32+Z33+Z37+Z39+Z40+Z41+Z42+Z43+Z46+Z47+Z48+Z49+Z50+Z51+Z53+Z54+Z55, "NA")</f>
        <v>65013.910000000011</v>
      </c>
      <c r="AA57" s="132">
        <f>IFERROR(Z57/Z148, "NA")</f>
        <v>0.2264605127961479</v>
      </c>
      <c r="AB57" s="131">
        <f t="shared" si="18"/>
        <v>32697.995000000003</v>
      </c>
      <c r="AC57" s="132">
        <f>IFERROR(AB57/AB148, "NA")</f>
        <v>0.23738690397713516</v>
      </c>
      <c r="AD57" s="133">
        <f t="shared" si="19"/>
        <v>-2898.9850000000006</v>
      </c>
      <c r="AE57" s="134">
        <f>IFERROR(AD57/AD148, "NA")</f>
        <v>-0.20906378028790218</v>
      </c>
      <c r="AF57" s="133">
        <f t="shared" si="20"/>
        <v>-8.8659411685640066E-2</v>
      </c>
      <c r="AG57" s="131">
        <f t="shared" si="21"/>
        <v>31096.535000000003</v>
      </c>
      <c r="AH57" s="132">
        <f>IFERROR(AG57/AG148, "NA")</f>
        <v>0.23917557989812141</v>
      </c>
      <c r="AI57" s="133">
        <f t="shared" si="22"/>
        <v>-1297.5250000000015</v>
      </c>
      <c r="AJ57" s="134">
        <f>IFERROR(AI57/AI148, "NA")</f>
        <v>-6.0091856564081066E-2</v>
      </c>
      <c r="AK57" s="133">
        <f t="shared" si="23"/>
        <v>-4.1725709954501401E-2</v>
      </c>
      <c r="AL57" s="134">
        <f>IFERROR(AK57/AK148, "NA")</f>
        <v>-0.25124578600239045</v>
      </c>
    </row>
    <row r="58" spans="1:38" ht="3.75" customHeight="1" x14ac:dyDescent="0.25">
      <c r="A58" s="3" t="s">
        <v>2</v>
      </c>
      <c r="B58" s="125"/>
      <c r="C58" s="126"/>
      <c r="D58" s="125"/>
      <c r="E58" s="126"/>
      <c r="F58" s="125"/>
      <c r="G58" s="126"/>
      <c r="H58" s="125"/>
      <c r="I58" s="126"/>
      <c r="J58" s="125"/>
      <c r="K58" s="126"/>
      <c r="L58" s="125"/>
      <c r="M58" s="126"/>
      <c r="N58" s="125"/>
      <c r="O58" s="126"/>
      <c r="P58" s="125"/>
      <c r="Q58" s="126"/>
      <c r="R58" s="125"/>
      <c r="S58" s="126"/>
      <c r="T58" s="125"/>
      <c r="U58" s="126"/>
      <c r="V58" s="125"/>
      <c r="W58" s="126"/>
      <c r="X58" s="125"/>
      <c r="Y58" s="126"/>
      <c r="Z58" s="125"/>
      <c r="AA58" s="126"/>
      <c r="AB58" s="125"/>
      <c r="AC58" s="126"/>
      <c r="AD58" s="127"/>
      <c r="AE58" s="128"/>
      <c r="AF58" s="127"/>
      <c r="AG58" s="125"/>
      <c r="AH58" s="126"/>
      <c r="AI58" s="127"/>
      <c r="AJ58" s="128"/>
      <c r="AK58" s="127"/>
      <c r="AL58" s="128"/>
    </row>
    <row r="59" spans="1:38" ht="16.5" customHeight="1" x14ac:dyDescent="0.25">
      <c r="A59" s="135" t="s">
        <v>64</v>
      </c>
      <c r="B59" s="136">
        <f>IFERROR(B9-B57, "NA")</f>
        <v>109844.36000000009</v>
      </c>
      <c r="C59" s="137">
        <f>IFERROR(B59/B148, "NA")</f>
        <v>0.76226959678205153</v>
      </c>
      <c r="D59" s="136">
        <f>IFERROR(D9-D57, "NA")</f>
        <v>82650.430000000022</v>
      </c>
      <c r="E59" s="137">
        <f>IFERROR(D59/D148, "NA")</f>
        <v>0.72911129073904712</v>
      </c>
      <c r="F59" s="136">
        <f>IFERROR(F9-F57, "NA")</f>
        <v>95345.199999999953</v>
      </c>
      <c r="G59" s="137">
        <f>IFERROR(F59/F148, "NA")</f>
        <v>0.74523370329842076</v>
      </c>
      <c r="H59" s="136">
        <f>IFERROR(H9-H57, "NA")</f>
        <v>94189.640000000043</v>
      </c>
      <c r="I59" s="137">
        <f>IFERROR(H59/H148, "NA")</f>
        <v>0.75418883074021081</v>
      </c>
      <c r="J59" s="136">
        <f>IFERROR(J9-J57, "NA")</f>
        <v>95845.609999999986</v>
      </c>
      <c r="K59" s="137">
        <f>IFERROR(J59/J148, "NA")</f>
        <v>0.75495776335743703</v>
      </c>
      <c r="L59" s="136">
        <f>IFERROR(L9-L57, "NA")</f>
        <v>94240.000000000029</v>
      </c>
      <c r="M59" s="137">
        <f>IFERROR(L59/L148, "NA")</f>
        <v>0.76479098377651444</v>
      </c>
      <c r="N59" s="136">
        <f>IFERROR(N9-N57, "NA")</f>
        <v>98491.590000000011</v>
      </c>
      <c r="O59" s="137">
        <f>IFERROR(N59/N148, "NA")</f>
        <v>0.77059115177850035</v>
      </c>
      <c r="P59" s="136">
        <f>IFERROR(P9-P57, "NA")</f>
        <v>82601.13999999997</v>
      </c>
      <c r="Q59" s="137">
        <f>IFERROR(P59/P148, "NA")</f>
        <v>0.74303337118313451</v>
      </c>
      <c r="R59" s="136">
        <f>IFERROR(R9-R57, "NA")</f>
        <v>101414.60000000003</v>
      </c>
      <c r="S59" s="137">
        <f>IFERROR(R59/R148, "NA")</f>
        <v>0.75201371997587396</v>
      </c>
      <c r="T59" s="136">
        <f>IFERROR(T9-T57, "NA")</f>
        <v>96685.59000000004</v>
      </c>
      <c r="U59" s="137">
        <f>IFERROR(T59/T148, "NA")</f>
        <v>0.74937940277573711</v>
      </c>
      <c r="V59" s="136">
        <f>IFERROR(V9-V57, "NA")</f>
        <v>100264.41000000003</v>
      </c>
      <c r="W59" s="137">
        <f>IFERROR(V59/V148, "NA")</f>
        <v>0.740071749701117</v>
      </c>
      <c r="X59" s="136">
        <f>IFERROR(X9-X57, "NA")</f>
        <v>121808.85999999999</v>
      </c>
      <c r="Y59" s="137">
        <f>IFERROR(X59/X148, "NA")</f>
        <v>0.80344681315026711</v>
      </c>
      <c r="Z59" s="136">
        <f>IFERROR(Z9-Z57, "NA")</f>
        <v>222073.27000000005</v>
      </c>
      <c r="AA59" s="137">
        <f>IFERROR(Z59/Z148, "NA")</f>
        <v>0.77353948720385235</v>
      </c>
      <c r="AB59" s="136">
        <f>IFERROR((R59+T59+V59+X59)/4, "NA")</f>
        <v>105043.36500000002</v>
      </c>
      <c r="AC59" s="137">
        <f>IFERROR(AB59/AB148, "NA")</f>
        <v>0.76261309602286509</v>
      </c>
      <c r="AD59" s="123">
        <f>IFERROR(X59-AB59, "NA")</f>
        <v>16765.494999999966</v>
      </c>
      <c r="AE59" s="124">
        <f>IFERROR(AD59/AD148, "NA")</f>
        <v>1.209063780287899</v>
      </c>
      <c r="AF59" s="123">
        <f>IFERROR((X59-AB59)/AB59, "NA")</f>
        <v>0.15960546389579164</v>
      </c>
      <c r="AG59" s="136">
        <f>IFERROR((J59+L59+N59+P59+R59+T59+V59+X59)/8, "NA")</f>
        <v>98918.975000000006</v>
      </c>
      <c r="AH59" s="137">
        <f>IFERROR(AG59/AG148, "NA")</f>
        <v>0.76082442010187867</v>
      </c>
      <c r="AI59" s="123">
        <f>IFERROR(X59-AG59, "NA")</f>
        <v>22889.88499999998</v>
      </c>
      <c r="AJ59" s="124">
        <f>IFERROR(AI59/AI148, "NA")</f>
        <v>1.06009185656408</v>
      </c>
      <c r="AK59" s="123">
        <f>IFERROR((X59-AG59)/AG59, "NA")</f>
        <v>0.23140034558586944</v>
      </c>
      <c r="AL59" s="124">
        <f>IFERROR(AK59/AK148, "NA")</f>
        <v>1.3933462551348283</v>
      </c>
    </row>
    <row r="60" spans="1:38" ht="3.75" customHeight="1" x14ac:dyDescent="0.25">
      <c r="A60" s="8" t="s">
        <v>2</v>
      </c>
      <c r="B60" s="138"/>
      <c r="C60" s="126"/>
      <c r="D60" s="138"/>
      <c r="E60" s="126"/>
      <c r="F60" s="138"/>
      <c r="G60" s="126"/>
      <c r="H60" s="138"/>
      <c r="I60" s="126"/>
      <c r="J60" s="138"/>
      <c r="K60" s="126"/>
      <c r="L60" s="138"/>
      <c r="M60" s="126"/>
      <c r="N60" s="138"/>
      <c r="O60" s="126"/>
      <c r="P60" s="138"/>
      <c r="Q60" s="126"/>
      <c r="R60" s="138"/>
      <c r="S60" s="126"/>
      <c r="T60" s="138"/>
      <c r="U60" s="126"/>
      <c r="V60" s="138"/>
      <c r="W60" s="126"/>
      <c r="X60" s="138"/>
      <c r="Y60" s="126"/>
      <c r="Z60" s="138"/>
      <c r="AA60" s="126"/>
      <c r="AB60" s="138"/>
      <c r="AC60" s="126"/>
      <c r="AD60" s="139"/>
      <c r="AE60" s="128"/>
      <c r="AF60" s="139"/>
      <c r="AG60" s="138"/>
      <c r="AH60" s="126"/>
      <c r="AI60" s="139"/>
      <c r="AJ60" s="128"/>
      <c r="AK60" s="139"/>
      <c r="AL60" s="128"/>
    </row>
    <row r="61" spans="1:38" ht="16.5" customHeight="1" x14ac:dyDescent="0.25">
      <c r="A61" s="1" t="s">
        <v>65</v>
      </c>
      <c r="B61" s="111"/>
      <c r="C61" s="112"/>
      <c r="D61" s="111"/>
      <c r="E61" s="112"/>
      <c r="F61" s="111"/>
      <c r="G61" s="112"/>
      <c r="H61" s="111"/>
      <c r="I61" s="112"/>
      <c r="J61" s="111"/>
      <c r="K61" s="112"/>
      <c r="L61" s="111"/>
      <c r="M61" s="112"/>
      <c r="N61" s="111"/>
      <c r="O61" s="112"/>
      <c r="P61" s="111"/>
      <c r="Q61" s="112"/>
      <c r="R61" s="111"/>
      <c r="S61" s="112"/>
      <c r="T61" s="111"/>
      <c r="U61" s="112"/>
      <c r="V61" s="111"/>
      <c r="W61" s="112"/>
      <c r="X61" s="111"/>
      <c r="Y61" s="112"/>
      <c r="Z61" s="111"/>
      <c r="AA61" s="112"/>
      <c r="AB61" s="111"/>
      <c r="AC61" s="112"/>
      <c r="AD61" s="113"/>
      <c r="AE61" s="114"/>
      <c r="AF61" s="113"/>
      <c r="AG61" s="111"/>
      <c r="AH61" s="112"/>
      <c r="AI61" s="113"/>
      <c r="AJ61" s="114"/>
      <c r="AK61" s="113"/>
      <c r="AL61" s="114"/>
    </row>
    <row r="62" spans="1:38" ht="16.5" customHeight="1" x14ac:dyDescent="0.25">
      <c r="A62" s="4" t="s">
        <v>65</v>
      </c>
      <c r="B62" s="111"/>
      <c r="C62" s="112"/>
      <c r="D62" s="111"/>
      <c r="E62" s="112"/>
      <c r="F62" s="111"/>
      <c r="G62" s="112"/>
      <c r="H62" s="111"/>
      <c r="I62" s="112"/>
      <c r="J62" s="111"/>
      <c r="K62" s="112"/>
      <c r="L62" s="111"/>
      <c r="M62" s="112"/>
      <c r="N62" s="111"/>
      <c r="O62" s="112"/>
      <c r="P62" s="111"/>
      <c r="Q62" s="112"/>
      <c r="R62" s="111"/>
      <c r="S62" s="112"/>
      <c r="T62" s="111"/>
      <c r="U62" s="112"/>
      <c r="V62" s="111"/>
      <c r="W62" s="112"/>
      <c r="X62" s="111"/>
      <c r="Y62" s="112"/>
      <c r="Z62" s="111"/>
      <c r="AA62" s="112"/>
      <c r="AB62" s="111"/>
      <c r="AC62" s="112"/>
      <c r="AD62" s="113"/>
      <c r="AE62" s="114"/>
      <c r="AF62" s="113"/>
      <c r="AG62" s="111"/>
      <c r="AH62" s="112"/>
      <c r="AI62" s="113"/>
      <c r="AJ62" s="114"/>
      <c r="AK62" s="113"/>
      <c r="AL62" s="114"/>
    </row>
    <row r="63" spans="1:38" ht="16.5" hidden="1" customHeight="1" x14ac:dyDescent="0.25">
      <c r="A63" s="5" t="s">
        <v>66</v>
      </c>
      <c r="B63" s="115">
        <v>0</v>
      </c>
      <c r="C63" s="116">
        <f>IFERROR(B63/B148, "NA")</f>
        <v>0</v>
      </c>
      <c r="D63" s="115">
        <v>0</v>
      </c>
      <c r="E63" s="116">
        <f>IFERROR(D63/D148, "NA")</f>
        <v>0</v>
      </c>
      <c r="F63" s="115">
        <v>0</v>
      </c>
      <c r="G63" s="116">
        <f>IFERROR(F63/F148, "NA")</f>
        <v>0</v>
      </c>
      <c r="H63" s="115">
        <v>0</v>
      </c>
      <c r="I63" s="116">
        <f>IFERROR(H63/H148, "NA")</f>
        <v>0</v>
      </c>
      <c r="J63" s="115">
        <v>0</v>
      </c>
      <c r="K63" s="116">
        <f>IFERROR(J63/J148, "NA")</f>
        <v>0</v>
      </c>
      <c r="L63" s="115">
        <v>0</v>
      </c>
      <c r="M63" s="116">
        <f>IFERROR(L63/L148, "NA")</f>
        <v>0</v>
      </c>
      <c r="N63" s="115">
        <v>0</v>
      </c>
      <c r="O63" s="116">
        <f>IFERROR(N63/N148, "NA")</f>
        <v>0</v>
      </c>
      <c r="P63" s="115">
        <v>0</v>
      </c>
      <c r="Q63" s="116">
        <f>IFERROR(P63/P148, "NA")</f>
        <v>0</v>
      </c>
      <c r="R63" s="115">
        <v>0</v>
      </c>
      <c r="S63" s="116">
        <f>IFERROR(R63/R148, "NA")</f>
        <v>0</v>
      </c>
      <c r="T63" s="115">
        <v>0</v>
      </c>
      <c r="U63" s="116">
        <f>IFERROR(T63/T148, "NA")</f>
        <v>0</v>
      </c>
      <c r="V63" s="115">
        <v>0</v>
      </c>
      <c r="W63" s="116">
        <f>IFERROR(V63/V148, "NA")</f>
        <v>0</v>
      </c>
      <c r="X63" s="115">
        <v>0</v>
      </c>
      <c r="Y63" s="116">
        <f>IFERROR(X63/X148, "NA")</f>
        <v>0</v>
      </c>
      <c r="Z63" s="115">
        <v>0</v>
      </c>
      <c r="AA63" s="116">
        <f>IFERROR(Z63/Z148, "NA")</f>
        <v>0</v>
      </c>
      <c r="AB63" s="117">
        <f>IFERROR((R63+T63+V63+X63)/4, "NA")</f>
        <v>0</v>
      </c>
      <c r="AC63" s="116">
        <f>IFERROR(AB63/AB148, "NA")</f>
        <v>0</v>
      </c>
      <c r="AD63" s="118">
        <f>IFERROR(X63-AB63, "NA")</f>
        <v>0</v>
      </c>
      <c r="AE63" s="119">
        <f>IFERROR(AD63/AD148, "NA")</f>
        <v>0</v>
      </c>
      <c r="AF63" s="118" t="str">
        <f>IFERROR((X63-AB63)/AB63, "NA")</f>
        <v>NA</v>
      </c>
      <c r="AG63" s="117">
        <f>IFERROR((J63+L63+N63+P63+R63+T63+V63+X63)/8, "NA")</f>
        <v>0</v>
      </c>
      <c r="AH63" s="116">
        <f>IFERROR(AG63/AG148, "NA")</f>
        <v>0</v>
      </c>
      <c r="AI63" s="118">
        <f>IFERROR(X63-AG63, "NA")</f>
        <v>0</v>
      </c>
      <c r="AJ63" s="119">
        <f>IFERROR(AI63/AI148, "NA")</f>
        <v>0</v>
      </c>
      <c r="AK63" s="118" t="str">
        <f>IFERROR((X63-AG63)/AG63, "NA")</f>
        <v>NA</v>
      </c>
      <c r="AL63" s="119" t="str">
        <f>IFERROR(AK63/AK148, "NA")</f>
        <v>NA</v>
      </c>
    </row>
    <row r="64" spans="1:38" ht="16.5" customHeight="1" x14ac:dyDescent="0.25">
      <c r="A64" s="6" t="s">
        <v>67</v>
      </c>
      <c r="B64" s="111"/>
      <c r="C64" s="112"/>
      <c r="D64" s="111"/>
      <c r="E64" s="112"/>
      <c r="F64" s="111"/>
      <c r="G64" s="112"/>
      <c r="H64" s="111"/>
      <c r="I64" s="112"/>
      <c r="J64" s="111"/>
      <c r="K64" s="112"/>
      <c r="L64" s="111"/>
      <c r="M64" s="112"/>
      <c r="N64" s="111"/>
      <c r="O64" s="112"/>
      <c r="P64" s="111"/>
      <c r="Q64" s="112"/>
      <c r="R64" s="111"/>
      <c r="S64" s="112"/>
      <c r="T64" s="111"/>
      <c r="U64" s="112"/>
      <c r="V64" s="111"/>
      <c r="W64" s="112"/>
      <c r="X64" s="111"/>
      <c r="Y64" s="112"/>
      <c r="Z64" s="111"/>
      <c r="AA64" s="112"/>
      <c r="AB64" s="111"/>
      <c r="AC64" s="112"/>
      <c r="AD64" s="113"/>
      <c r="AE64" s="114"/>
      <c r="AF64" s="113"/>
      <c r="AG64" s="111"/>
      <c r="AH64" s="112"/>
      <c r="AI64" s="113"/>
      <c r="AJ64" s="114"/>
      <c r="AK64" s="113"/>
      <c r="AL64" s="114"/>
    </row>
    <row r="65" spans="1:38" ht="16.5" hidden="1" customHeight="1" x14ac:dyDescent="0.25">
      <c r="A65" s="7" t="s">
        <v>68</v>
      </c>
      <c r="B65" s="115">
        <v>0</v>
      </c>
      <c r="C65" s="116">
        <f>IFERROR(B65/B148, "NA")</f>
        <v>0</v>
      </c>
      <c r="D65" s="115">
        <v>0</v>
      </c>
      <c r="E65" s="116">
        <f>IFERROR(D65/D148, "NA")</f>
        <v>0</v>
      </c>
      <c r="F65" s="115">
        <v>0</v>
      </c>
      <c r="G65" s="116">
        <f>IFERROR(F65/F148, "NA")</f>
        <v>0</v>
      </c>
      <c r="H65" s="115">
        <v>0</v>
      </c>
      <c r="I65" s="116">
        <f>IFERROR(H65/H148, "NA")</f>
        <v>0</v>
      </c>
      <c r="J65" s="115">
        <v>0</v>
      </c>
      <c r="K65" s="116">
        <f>IFERROR(J65/J148, "NA")</f>
        <v>0</v>
      </c>
      <c r="L65" s="115">
        <v>0</v>
      </c>
      <c r="M65" s="116">
        <f>IFERROR(L65/L148, "NA")</f>
        <v>0</v>
      </c>
      <c r="N65" s="115">
        <v>0</v>
      </c>
      <c r="O65" s="116">
        <f>IFERROR(N65/N148, "NA")</f>
        <v>0</v>
      </c>
      <c r="P65" s="115">
        <v>0</v>
      </c>
      <c r="Q65" s="116">
        <f>IFERROR(P65/P148, "NA")</f>
        <v>0</v>
      </c>
      <c r="R65" s="115">
        <v>0</v>
      </c>
      <c r="S65" s="116">
        <f>IFERROR(R65/R148, "NA")</f>
        <v>0</v>
      </c>
      <c r="T65" s="115">
        <v>0</v>
      </c>
      <c r="U65" s="116">
        <f>IFERROR(T65/T148, "NA")</f>
        <v>0</v>
      </c>
      <c r="V65" s="115">
        <v>0</v>
      </c>
      <c r="W65" s="116">
        <f>IFERROR(V65/V148, "NA")</f>
        <v>0</v>
      </c>
      <c r="X65" s="115">
        <v>0</v>
      </c>
      <c r="Y65" s="116">
        <f>IFERROR(X65/X148, "NA")</f>
        <v>0</v>
      </c>
      <c r="Z65" s="115">
        <v>0</v>
      </c>
      <c r="AA65" s="116">
        <f>IFERROR(Z65/Z148, "NA")</f>
        <v>0</v>
      </c>
      <c r="AB65" s="117">
        <f t="shared" ref="AB65:AB72" si="24">IFERROR((R65+T65+V65+X65)/4, "NA")</f>
        <v>0</v>
      </c>
      <c r="AC65" s="116">
        <f>IFERROR(AB65/AB148, "NA")</f>
        <v>0</v>
      </c>
      <c r="AD65" s="118">
        <f t="shared" ref="AD65:AD72" si="25">IFERROR(X65-AB65, "NA")</f>
        <v>0</v>
      </c>
      <c r="AE65" s="119">
        <f>IFERROR(AD65/AD148, "NA")</f>
        <v>0</v>
      </c>
      <c r="AF65" s="118" t="str">
        <f t="shared" ref="AF65:AF72" si="26">IFERROR((X65-AB65)/AB65, "NA")</f>
        <v>NA</v>
      </c>
      <c r="AG65" s="117">
        <f t="shared" ref="AG65:AG72" si="27">IFERROR((J65+L65+N65+P65+R65+T65+V65+X65)/8, "NA")</f>
        <v>0</v>
      </c>
      <c r="AH65" s="116">
        <f>IFERROR(AG65/AG148, "NA")</f>
        <v>0</v>
      </c>
      <c r="AI65" s="118">
        <f t="shared" ref="AI65:AI72" si="28">IFERROR(X65-AG65, "NA")</f>
        <v>0</v>
      </c>
      <c r="AJ65" s="119">
        <f>IFERROR(AI65/AI148, "NA")</f>
        <v>0</v>
      </c>
      <c r="AK65" s="118" t="str">
        <f t="shared" ref="AK65:AK72" si="29">IFERROR((X65-AG65)/AG65, "NA")</f>
        <v>NA</v>
      </c>
      <c r="AL65" s="119" t="str">
        <f>IFERROR(AK65/AK148, "NA")</f>
        <v>NA</v>
      </c>
    </row>
    <row r="66" spans="1:38" ht="16.5" customHeight="1" x14ac:dyDescent="0.25">
      <c r="A66" s="7" t="s">
        <v>69</v>
      </c>
      <c r="B66" s="115">
        <v>6688.85</v>
      </c>
      <c r="C66" s="116">
        <f>IFERROR(B66/B148, "NA")</f>
        <v>4.6417558374736961E-2</v>
      </c>
      <c r="D66" s="115">
        <v>6688.85</v>
      </c>
      <c r="E66" s="116">
        <f>IFERROR(D66/D148, "NA")</f>
        <v>5.9006541854166691E-2</v>
      </c>
      <c r="F66" s="115">
        <v>6688.85</v>
      </c>
      <c r="G66" s="116">
        <f>IFERROR(F66/F148, "NA")</f>
        <v>5.2281147412849775E-2</v>
      </c>
      <c r="H66" s="115">
        <v>6688.85</v>
      </c>
      <c r="I66" s="116">
        <f>IFERROR(H66/H148, "NA")</f>
        <v>5.3558501343636697E-2</v>
      </c>
      <c r="J66" s="115">
        <v>6688.85</v>
      </c>
      <c r="K66" s="116">
        <f>IFERROR(J66/J148, "NA")</f>
        <v>5.2686807830148855E-2</v>
      </c>
      <c r="L66" s="115">
        <v>6688.85</v>
      </c>
      <c r="M66" s="116">
        <f>IFERROR(L66/L148, "NA")</f>
        <v>5.4282387222342292E-2</v>
      </c>
      <c r="N66" s="115">
        <v>6688.85</v>
      </c>
      <c r="O66" s="116">
        <f>IFERROR(N66/N148, "NA")</f>
        <v>5.2333083723936441E-2</v>
      </c>
      <c r="P66" s="115">
        <v>6688.85</v>
      </c>
      <c r="Q66" s="116">
        <f>IFERROR(P66/P148, "NA")</f>
        <v>6.0169130411981131E-2</v>
      </c>
      <c r="R66" s="115">
        <v>6688.85</v>
      </c>
      <c r="S66" s="116">
        <f>IFERROR(R66/R148, "NA")</f>
        <v>4.9599436085737393E-2</v>
      </c>
      <c r="T66" s="115">
        <v>6688.85</v>
      </c>
      <c r="U66" s="116">
        <f>IFERROR(T66/T148, "NA")</f>
        <v>5.1843159029763254E-2</v>
      </c>
      <c r="V66" s="115">
        <v>6823.46</v>
      </c>
      <c r="W66" s="116">
        <f>IFERROR(V66/V148, "NA")</f>
        <v>5.0365328846153704E-2</v>
      </c>
      <c r="X66" s="115">
        <v>6823.46</v>
      </c>
      <c r="Y66" s="116">
        <f>IFERROR(X66/X148, "NA")</f>
        <v>4.500729414640546E-2</v>
      </c>
      <c r="Z66" s="115">
        <v>13646.92</v>
      </c>
      <c r="AA66" s="116">
        <f>IFERROR(Z66/Z148, "NA")</f>
        <v>4.7535804280776313E-2</v>
      </c>
      <c r="AB66" s="117">
        <f t="shared" si="24"/>
        <v>6756.1549999999997</v>
      </c>
      <c r="AC66" s="116">
        <f>IFERROR(AB66/AB148, "NA")</f>
        <v>4.9049573780889054E-2</v>
      </c>
      <c r="AD66" s="118">
        <f t="shared" si="25"/>
        <v>67.305000000000291</v>
      </c>
      <c r="AE66" s="119">
        <f>IFERROR(AD66/AD148, "NA")</f>
        <v>4.8537807999273243E-3</v>
      </c>
      <c r="AF66" s="118">
        <f t="shared" si="26"/>
        <v>9.9620272181440914E-3</v>
      </c>
      <c r="AG66" s="117">
        <f t="shared" si="27"/>
        <v>6722.5024999999996</v>
      </c>
      <c r="AH66" s="116">
        <f>IFERROR(AG66/AG148, "NA")</f>
        <v>5.1705388841685115E-2</v>
      </c>
      <c r="AI66" s="118">
        <f t="shared" si="28"/>
        <v>100.95750000000044</v>
      </c>
      <c r="AJ66" s="119">
        <f>IFERROR(AI66/AI148, "NA")</f>
        <v>4.6756121146553893E-3</v>
      </c>
      <c r="AK66" s="118">
        <f t="shared" si="29"/>
        <v>1.5017844917127281E-2</v>
      </c>
      <c r="AL66" s="119">
        <f>IFERROR(AK66/AK148, "NA")</f>
        <v>9.0427946088394731E-2</v>
      </c>
    </row>
    <row r="67" spans="1:38" ht="16.5" hidden="1" customHeight="1" x14ac:dyDescent="0.25">
      <c r="A67" s="7" t="s">
        <v>70</v>
      </c>
      <c r="B67" s="115">
        <v>0</v>
      </c>
      <c r="C67" s="116">
        <f>IFERROR(B67/B148, "NA")</f>
        <v>0</v>
      </c>
      <c r="D67" s="115">
        <v>0</v>
      </c>
      <c r="E67" s="116">
        <f>IFERROR(D67/D148, "NA")</f>
        <v>0</v>
      </c>
      <c r="F67" s="115">
        <v>0</v>
      </c>
      <c r="G67" s="116">
        <f>IFERROR(F67/F148, "NA")</f>
        <v>0</v>
      </c>
      <c r="H67" s="115">
        <v>0</v>
      </c>
      <c r="I67" s="116">
        <f>IFERROR(H67/H148, "NA")</f>
        <v>0</v>
      </c>
      <c r="J67" s="115">
        <v>0</v>
      </c>
      <c r="K67" s="116">
        <f>IFERROR(J67/J148, "NA")</f>
        <v>0</v>
      </c>
      <c r="L67" s="115">
        <v>0</v>
      </c>
      <c r="M67" s="116">
        <f>IFERROR(L67/L148, "NA")</f>
        <v>0</v>
      </c>
      <c r="N67" s="115">
        <v>0</v>
      </c>
      <c r="O67" s="116">
        <f>IFERROR(N67/N148, "NA")</f>
        <v>0</v>
      </c>
      <c r="P67" s="115">
        <v>0</v>
      </c>
      <c r="Q67" s="116">
        <f>IFERROR(P67/P148, "NA")</f>
        <v>0</v>
      </c>
      <c r="R67" s="115">
        <v>0</v>
      </c>
      <c r="S67" s="116">
        <f>IFERROR(R67/R148, "NA")</f>
        <v>0</v>
      </c>
      <c r="T67" s="115">
        <v>0</v>
      </c>
      <c r="U67" s="116">
        <f>IFERROR(T67/T148, "NA")</f>
        <v>0</v>
      </c>
      <c r="V67" s="115">
        <v>0</v>
      </c>
      <c r="W67" s="116">
        <f>IFERROR(V67/V148, "NA")</f>
        <v>0</v>
      </c>
      <c r="X67" s="115">
        <v>0</v>
      </c>
      <c r="Y67" s="116">
        <f>IFERROR(X67/X148, "NA")</f>
        <v>0</v>
      </c>
      <c r="Z67" s="115">
        <v>0</v>
      </c>
      <c r="AA67" s="116">
        <f>IFERROR(Z67/Z148, "NA")</f>
        <v>0</v>
      </c>
      <c r="AB67" s="117">
        <f t="shared" si="24"/>
        <v>0</v>
      </c>
      <c r="AC67" s="116">
        <f>IFERROR(AB67/AB148, "NA")</f>
        <v>0</v>
      </c>
      <c r="AD67" s="118">
        <f t="shared" si="25"/>
        <v>0</v>
      </c>
      <c r="AE67" s="119">
        <f>IFERROR(AD67/AD148, "NA")</f>
        <v>0</v>
      </c>
      <c r="AF67" s="118" t="str">
        <f t="shared" si="26"/>
        <v>NA</v>
      </c>
      <c r="AG67" s="117">
        <f t="shared" si="27"/>
        <v>0</v>
      </c>
      <c r="AH67" s="116">
        <f>IFERROR(AG67/AG148, "NA")</f>
        <v>0</v>
      </c>
      <c r="AI67" s="118">
        <f t="shared" si="28"/>
        <v>0</v>
      </c>
      <c r="AJ67" s="119">
        <f>IFERROR(AI67/AI148, "NA")</f>
        <v>0</v>
      </c>
      <c r="AK67" s="118" t="str">
        <f t="shared" si="29"/>
        <v>NA</v>
      </c>
      <c r="AL67" s="119" t="str">
        <f>IFERROR(AK67/AK148, "NA")</f>
        <v>NA</v>
      </c>
    </row>
    <row r="68" spans="1:38" ht="16.5" customHeight="1" x14ac:dyDescent="0.25">
      <c r="A68" s="7" t="s">
        <v>71</v>
      </c>
      <c r="B68" s="115">
        <v>25611.300000000003</v>
      </c>
      <c r="C68" s="116">
        <f>IFERROR(B68/B148, "NA")</f>
        <v>0.17773070300618204</v>
      </c>
      <c r="D68" s="115">
        <v>22484.54</v>
      </c>
      <c r="E68" s="116">
        <f>IFERROR(D68/D148, "NA")</f>
        <v>0.19835023218964173</v>
      </c>
      <c r="F68" s="115">
        <v>23694.840000000004</v>
      </c>
      <c r="G68" s="116">
        <f>IFERROR(F68/F148, "NA")</f>
        <v>0.18520275128966707</v>
      </c>
      <c r="H68" s="115">
        <v>24595.300000000003</v>
      </c>
      <c r="I68" s="116">
        <f>IFERROR(H68/H148, "NA")</f>
        <v>0.19693780068280015</v>
      </c>
      <c r="J68" s="115">
        <v>21983.68</v>
      </c>
      <c r="K68" s="116">
        <f>IFERROR(J68/J148, "NA")</f>
        <v>0.17316129432704977</v>
      </c>
      <c r="L68" s="115">
        <v>23061.24</v>
      </c>
      <c r="M68" s="116">
        <f>IFERROR(L68/L148, "NA")</f>
        <v>0.18715013186233342</v>
      </c>
      <c r="N68" s="115">
        <v>23069.690000000002</v>
      </c>
      <c r="O68" s="116">
        <f>IFERROR(N68/N148, "NA")</f>
        <v>0.1804956036172525</v>
      </c>
      <c r="P68" s="115">
        <v>22198.83</v>
      </c>
      <c r="Q68" s="116">
        <f>IFERROR(P68/P148, "NA")</f>
        <v>0.19968818216336129</v>
      </c>
      <c r="R68" s="115">
        <v>23481.63</v>
      </c>
      <c r="S68" s="116">
        <f>IFERROR(R68/R148, "NA")</f>
        <v>0.17412195016690968</v>
      </c>
      <c r="T68" s="115">
        <v>22904.18</v>
      </c>
      <c r="U68" s="116">
        <f>IFERROR(T68/T148, "NA")</f>
        <v>0.1775230489824593</v>
      </c>
      <c r="V68" s="115">
        <v>24297.18</v>
      </c>
      <c r="W68" s="116">
        <f>IFERROR(V68/V148, "NA")</f>
        <v>0.17934236600407841</v>
      </c>
      <c r="X68" s="115">
        <v>23998.190000000002</v>
      </c>
      <c r="Y68" s="116">
        <f>IFERROR(X68/X148, "NA")</f>
        <v>0.15829118897323735</v>
      </c>
      <c r="Z68" s="115">
        <v>48295.369999999995</v>
      </c>
      <c r="AA68" s="116">
        <f>IFERROR(Z68/Z148, "NA")</f>
        <v>0.16822544984419016</v>
      </c>
      <c r="AB68" s="117">
        <f t="shared" si="24"/>
        <v>23670.294999999998</v>
      </c>
      <c r="AC68" s="116">
        <f>IFERROR(AB68/AB148, "NA")</f>
        <v>0.17184595099104583</v>
      </c>
      <c r="AD68" s="118">
        <f t="shared" si="25"/>
        <v>327.89500000000407</v>
      </c>
      <c r="AE68" s="119">
        <f>IFERROR(AD68/AD148, "NA")</f>
        <v>2.3646541198903245E-2</v>
      </c>
      <c r="AF68" s="118">
        <f t="shared" si="26"/>
        <v>1.3852594570536789E-2</v>
      </c>
      <c r="AG68" s="117">
        <f t="shared" si="27"/>
        <v>23124.327499999999</v>
      </c>
      <c r="AH68" s="116">
        <f>IFERROR(AG68/AG148, "NA")</f>
        <v>0.17785822245361343</v>
      </c>
      <c r="AI68" s="118">
        <f t="shared" si="28"/>
        <v>873.86250000000291</v>
      </c>
      <c r="AJ68" s="119">
        <f>IFERROR(AI68/AI148, "NA")</f>
        <v>4.047091193366556E-2</v>
      </c>
      <c r="AK68" s="118">
        <f t="shared" si="29"/>
        <v>3.778974761536321E-2</v>
      </c>
      <c r="AL68" s="119">
        <f>IFERROR(AK68/AK148, "NA")</f>
        <v>0.22754591480425165</v>
      </c>
    </row>
    <row r="69" spans="1:38" ht="16.5" customHeight="1" x14ac:dyDescent="0.25">
      <c r="A69" s="7" t="s">
        <v>72</v>
      </c>
      <c r="B69" s="115">
        <v>280.23</v>
      </c>
      <c r="C69" s="116">
        <f>IFERROR(B69/B148, "NA")</f>
        <v>1.9446679748166783E-3</v>
      </c>
      <c r="D69" s="115">
        <v>176.77</v>
      </c>
      <c r="E69" s="116">
        <f>IFERROR(D69/D148, "NA")</f>
        <v>1.5593990601614695E-3</v>
      </c>
      <c r="F69" s="115">
        <v>701.38</v>
      </c>
      <c r="G69" s="116">
        <f>IFERROR(F69/F148, "NA")</f>
        <v>5.4821009848366421E-3</v>
      </c>
      <c r="H69" s="115">
        <v>314.83000000000004</v>
      </c>
      <c r="I69" s="116">
        <f>IFERROR(H69/H148, "NA")</f>
        <v>2.5208852011955932E-3</v>
      </c>
      <c r="J69" s="115">
        <v>250.08</v>
      </c>
      <c r="K69" s="116">
        <f>IFERROR(J69/J148, "NA")</f>
        <v>1.9698329162955706E-3</v>
      </c>
      <c r="L69" s="115">
        <v>303.98</v>
      </c>
      <c r="M69" s="116">
        <f>IFERROR(L69/L148, "NA")</f>
        <v>2.4669053825168165E-3</v>
      </c>
      <c r="N69" s="115">
        <v>506.76</v>
      </c>
      <c r="O69" s="116">
        <f>IFERROR(N69/N148, "NA")</f>
        <v>3.9648539745908533E-3</v>
      </c>
      <c r="P69" s="115">
        <v>446.07000000000005</v>
      </c>
      <c r="Q69" s="116">
        <f>IFERROR(P69/P148, "NA")</f>
        <v>4.0125946915945832E-3</v>
      </c>
      <c r="R69" s="115">
        <v>281.07</v>
      </c>
      <c r="S69" s="116">
        <f>IFERROR(R69/R148, "NA")</f>
        <v>2.0842018434586228E-3</v>
      </c>
      <c r="T69" s="115">
        <v>381.61</v>
      </c>
      <c r="U69" s="116">
        <f>IFERROR(T69/T148, "NA")</f>
        <v>2.9577383133644729E-3</v>
      </c>
      <c r="V69" s="115">
        <v>1037.57</v>
      </c>
      <c r="W69" s="116">
        <f>IFERROR(V69/V148, "NA")</f>
        <v>7.6585125802604102E-3</v>
      </c>
      <c r="X69" s="115">
        <v>333.15999999999997</v>
      </c>
      <c r="Y69" s="116">
        <f>IFERROR(X69/X148, "NA")</f>
        <v>2.1975112505703033E-3</v>
      </c>
      <c r="Z69" s="115">
        <v>1370.73</v>
      </c>
      <c r="AA69" s="116">
        <f>IFERROR(Z69/Z148, "NA")</f>
        <v>4.7746123668775458E-3</v>
      </c>
      <c r="AB69" s="117">
        <f t="shared" si="24"/>
        <v>508.35249999999996</v>
      </c>
      <c r="AC69" s="116">
        <f>IFERROR(AB69/AB148, "NA")</f>
        <v>3.6906307589819067E-3</v>
      </c>
      <c r="AD69" s="118">
        <f t="shared" si="25"/>
        <v>-175.1925</v>
      </c>
      <c r="AE69" s="119">
        <f>IFERROR(AD69/AD148, "NA")</f>
        <v>-1.2634217261589245E-2</v>
      </c>
      <c r="AF69" s="118">
        <f t="shared" si="26"/>
        <v>-0.34462798943646389</v>
      </c>
      <c r="AG69" s="117">
        <f t="shared" si="27"/>
        <v>442.53750000000002</v>
      </c>
      <c r="AH69" s="116">
        <f>IFERROR(AG69/AG148, "NA")</f>
        <v>3.4037285243891289E-3</v>
      </c>
      <c r="AI69" s="118">
        <f t="shared" si="28"/>
        <v>-109.37750000000005</v>
      </c>
      <c r="AJ69" s="119">
        <f>IFERROR(AI69/AI148, "NA")</f>
        <v>-5.0655648571994935E-3</v>
      </c>
      <c r="AK69" s="118">
        <f t="shared" si="29"/>
        <v>-0.24715984521085796</v>
      </c>
      <c r="AL69" s="119">
        <f>IFERROR(AK69/AK148, "NA")</f>
        <v>-1.4882399759271683</v>
      </c>
    </row>
    <row r="70" spans="1:38" ht="16.5" customHeight="1" x14ac:dyDescent="0.25">
      <c r="A70" s="129" t="s">
        <v>73</v>
      </c>
      <c r="B70" s="121">
        <f>IFERROR(B65+B66+B67+B68+B69, "NA")</f>
        <v>32580.38</v>
      </c>
      <c r="C70" s="122">
        <f>IFERROR(B70/B148, "NA")</f>
        <v>0.22609292935573566</v>
      </c>
      <c r="D70" s="121">
        <f>IFERROR(D65+D66+D67+D68+D69, "NA")</f>
        <v>29350.16</v>
      </c>
      <c r="E70" s="122">
        <f>IFERROR(D70/D148, "NA")</f>
        <v>0.25891617310396986</v>
      </c>
      <c r="F70" s="121">
        <f>IFERROR(F65+F66+F67+F68+F69, "NA")</f>
        <v>31085.070000000003</v>
      </c>
      <c r="G70" s="122">
        <f>IFERROR(F70/F148, "NA")</f>
        <v>0.24296599968735347</v>
      </c>
      <c r="H70" s="121">
        <f>IFERROR(H65+H66+H67+H68+H69, "NA")</f>
        <v>31598.980000000003</v>
      </c>
      <c r="I70" s="122">
        <f>IFERROR(H70/H148, "NA")</f>
        <v>0.25301718722763245</v>
      </c>
      <c r="J70" s="121">
        <f>IFERROR(J65+J66+J67+J68+J69, "NA")</f>
        <v>28922.61</v>
      </c>
      <c r="K70" s="122">
        <f>IFERROR(J70/J148, "NA")</f>
        <v>0.22781793507349418</v>
      </c>
      <c r="L70" s="121">
        <f>IFERROR(L65+L66+L67+L68+L69, "NA")</f>
        <v>30054.070000000003</v>
      </c>
      <c r="M70" s="122">
        <f>IFERROR(L70/L148, "NA")</f>
        <v>0.24389942446719254</v>
      </c>
      <c r="N70" s="121">
        <f>IFERROR(N65+N66+N67+N68+N69, "NA")</f>
        <v>30265.3</v>
      </c>
      <c r="O70" s="122">
        <f>IFERROR(N70/N148, "NA")</f>
        <v>0.23679354131577976</v>
      </c>
      <c r="P70" s="121">
        <f>IFERROR(P65+P66+P67+P68+P69, "NA")</f>
        <v>29333.75</v>
      </c>
      <c r="Q70" s="122">
        <f>IFERROR(P70/P148, "NA")</f>
        <v>0.26386990726693699</v>
      </c>
      <c r="R70" s="121">
        <f>IFERROR(R65+R66+R67+R68+R69, "NA")</f>
        <v>30451.550000000003</v>
      </c>
      <c r="S70" s="122">
        <f>IFERROR(R70/R148, "NA")</f>
        <v>0.22580558809610568</v>
      </c>
      <c r="T70" s="121">
        <f>IFERROR(T65+T66+T67+T68+T69, "NA")</f>
        <v>29974.639999999999</v>
      </c>
      <c r="U70" s="122">
        <f>IFERROR(T70/T148, "NA")</f>
        <v>0.23232394632558701</v>
      </c>
      <c r="V70" s="121">
        <f>IFERROR(V65+V66+V67+V68+V69, "NA")</f>
        <v>32158.21</v>
      </c>
      <c r="W70" s="122">
        <f>IFERROR(V70/V148, "NA")</f>
        <v>0.23736620743049253</v>
      </c>
      <c r="X70" s="121">
        <f>IFERROR(X65+X66+X67+X68+X69, "NA")</f>
        <v>31154.81</v>
      </c>
      <c r="Y70" s="122">
        <f>IFERROR(X70/X148, "NA")</f>
        <v>0.20549599437021313</v>
      </c>
      <c r="Z70" s="121">
        <f>IFERROR(Z65+Z66+Z67+Z68+Z69, "NA")</f>
        <v>63313.02</v>
      </c>
      <c r="AA70" s="122">
        <f>IFERROR(Z70/Z148, "NA")</f>
        <v>0.22053586649184403</v>
      </c>
      <c r="AB70" s="121">
        <f t="shared" si="24"/>
        <v>30934.802499999998</v>
      </c>
      <c r="AC70" s="122">
        <f>IFERROR(AB70/AB148, "NA")</f>
        <v>0.22458615553091679</v>
      </c>
      <c r="AD70" s="123">
        <f t="shared" si="25"/>
        <v>220.00750000000335</v>
      </c>
      <c r="AE70" s="124">
        <f>IFERROR(AD70/AD148, "NA")</f>
        <v>1.5866104737241253E-2</v>
      </c>
      <c r="AF70" s="123">
        <f t="shared" si="26"/>
        <v>7.1119736419847307E-3</v>
      </c>
      <c r="AG70" s="121">
        <f t="shared" si="27"/>
        <v>30289.367500000004</v>
      </c>
      <c r="AH70" s="122">
        <f>IFERROR(AG70/AG148, "NA")</f>
        <v>0.2329673398196877</v>
      </c>
      <c r="AI70" s="123">
        <f t="shared" si="28"/>
        <v>865.44249999999738</v>
      </c>
      <c r="AJ70" s="124">
        <f>IFERROR(AI70/AI148, "NA")</f>
        <v>4.0080959191121181E-2</v>
      </c>
      <c r="AK70" s="123">
        <f t="shared" si="29"/>
        <v>2.8572485047764606E-2</v>
      </c>
      <c r="AL70" s="124">
        <f>IFERROR(AK70/AK148, "NA")</f>
        <v>0.17204540010691233</v>
      </c>
    </row>
    <row r="71" spans="1:38" ht="16.5" hidden="1" customHeight="1" x14ac:dyDescent="0.25">
      <c r="A71" s="5" t="s">
        <v>74</v>
      </c>
      <c r="B71" s="115">
        <v>0</v>
      </c>
      <c r="C71" s="116">
        <f>IFERROR(B71/B148, "NA")</f>
        <v>0</v>
      </c>
      <c r="D71" s="115">
        <v>0</v>
      </c>
      <c r="E71" s="116">
        <f>IFERROR(D71/D148, "NA")</f>
        <v>0</v>
      </c>
      <c r="F71" s="115">
        <v>0</v>
      </c>
      <c r="G71" s="116">
        <f>IFERROR(F71/F148, "NA")</f>
        <v>0</v>
      </c>
      <c r="H71" s="115">
        <v>0</v>
      </c>
      <c r="I71" s="116">
        <f>IFERROR(H71/H148, "NA")</f>
        <v>0</v>
      </c>
      <c r="J71" s="115">
        <v>0</v>
      </c>
      <c r="K71" s="116">
        <f>IFERROR(J71/J148, "NA")</f>
        <v>0</v>
      </c>
      <c r="L71" s="115">
        <v>0</v>
      </c>
      <c r="M71" s="116">
        <f>IFERROR(L71/L148, "NA")</f>
        <v>0</v>
      </c>
      <c r="N71" s="115">
        <v>0</v>
      </c>
      <c r="O71" s="116">
        <f>IFERROR(N71/N148, "NA")</f>
        <v>0</v>
      </c>
      <c r="P71" s="115">
        <v>0</v>
      </c>
      <c r="Q71" s="116">
        <f>IFERROR(P71/P148, "NA")</f>
        <v>0</v>
      </c>
      <c r="R71" s="115">
        <v>0</v>
      </c>
      <c r="S71" s="116">
        <f>IFERROR(R71/R148, "NA")</f>
        <v>0</v>
      </c>
      <c r="T71" s="115">
        <v>0</v>
      </c>
      <c r="U71" s="116">
        <f>IFERROR(T71/T148, "NA")</f>
        <v>0</v>
      </c>
      <c r="V71" s="115">
        <v>0</v>
      </c>
      <c r="W71" s="116">
        <f>IFERROR(V71/V148, "NA")</f>
        <v>0</v>
      </c>
      <c r="X71" s="115">
        <v>0</v>
      </c>
      <c r="Y71" s="116">
        <f>IFERROR(X71/X148, "NA")</f>
        <v>0</v>
      </c>
      <c r="Z71" s="115">
        <v>0</v>
      </c>
      <c r="AA71" s="116">
        <f>IFERROR(Z71/Z148, "NA")</f>
        <v>0</v>
      </c>
      <c r="AB71" s="117">
        <f t="shared" si="24"/>
        <v>0</v>
      </c>
      <c r="AC71" s="116">
        <f>IFERROR(AB71/AB148, "NA")</f>
        <v>0</v>
      </c>
      <c r="AD71" s="118">
        <f t="shared" si="25"/>
        <v>0</v>
      </c>
      <c r="AE71" s="119">
        <f>IFERROR(AD71/AD148, "NA")</f>
        <v>0</v>
      </c>
      <c r="AF71" s="118" t="str">
        <f t="shared" si="26"/>
        <v>NA</v>
      </c>
      <c r="AG71" s="117">
        <f t="shared" si="27"/>
        <v>0</v>
      </c>
      <c r="AH71" s="116">
        <f>IFERROR(AG71/AG148, "NA")</f>
        <v>0</v>
      </c>
      <c r="AI71" s="118">
        <f t="shared" si="28"/>
        <v>0</v>
      </c>
      <c r="AJ71" s="119">
        <f>IFERROR(AI71/AI148, "NA")</f>
        <v>0</v>
      </c>
      <c r="AK71" s="118" t="str">
        <f t="shared" si="29"/>
        <v>NA</v>
      </c>
      <c r="AL71" s="119" t="str">
        <f>IFERROR(AK71/AK148, "NA")</f>
        <v>NA</v>
      </c>
    </row>
    <row r="72" spans="1:38" ht="16.5" customHeight="1" x14ac:dyDescent="0.25">
      <c r="A72" s="5" t="s">
        <v>75</v>
      </c>
      <c r="B72" s="115">
        <v>-2405</v>
      </c>
      <c r="C72" s="116">
        <f>IFERROR(B72/B148, "NA")</f>
        <v>-1.668959954121297E-2</v>
      </c>
      <c r="D72" s="115">
        <v>0</v>
      </c>
      <c r="E72" s="116">
        <f>IFERROR(D72/D148, "NA")</f>
        <v>0</v>
      </c>
      <c r="F72" s="115">
        <v>0</v>
      </c>
      <c r="G72" s="116">
        <f>IFERROR(F72/F148, "NA")</f>
        <v>0</v>
      </c>
      <c r="H72" s="115">
        <v>0</v>
      </c>
      <c r="I72" s="116">
        <f>IFERROR(H72/H148, "NA")</f>
        <v>0</v>
      </c>
      <c r="J72" s="115">
        <v>1831</v>
      </c>
      <c r="K72" s="116">
        <f>IFERROR(J72/J148, "NA")</f>
        <v>1.4422441097797462E-2</v>
      </c>
      <c r="L72" s="115">
        <v>0</v>
      </c>
      <c r="M72" s="116">
        <f>IFERROR(L72/L148, "NA")</f>
        <v>0</v>
      </c>
      <c r="N72" s="115">
        <v>0</v>
      </c>
      <c r="O72" s="116">
        <f>IFERROR(N72/N148, "NA")</f>
        <v>0</v>
      </c>
      <c r="P72" s="115">
        <v>0</v>
      </c>
      <c r="Q72" s="116">
        <f>IFERROR(P72/P148, "NA")</f>
        <v>0</v>
      </c>
      <c r="R72" s="115">
        <v>0</v>
      </c>
      <c r="S72" s="116">
        <f>IFERROR(R72/R148, "NA")</f>
        <v>0</v>
      </c>
      <c r="T72" s="115">
        <v>2449</v>
      </c>
      <c r="U72" s="116">
        <f>IFERROR(T72/T148, "NA")</f>
        <v>1.8981423781949093E-2</v>
      </c>
      <c r="V72" s="115">
        <v>0</v>
      </c>
      <c r="W72" s="116">
        <f>IFERROR(V72/V148, "NA")</f>
        <v>0</v>
      </c>
      <c r="X72" s="115">
        <v>0</v>
      </c>
      <c r="Y72" s="116">
        <f>IFERROR(X72/X148, "NA")</f>
        <v>0</v>
      </c>
      <c r="Z72" s="115">
        <v>0</v>
      </c>
      <c r="AA72" s="116">
        <f>IFERROR(Z72/Z148, "NA")</f>
        <v>0</v>
      </c>
      <c r="AB72" s="117">
        <f t="shared" si="24"/>
        <v>612.25</v>
      </c>
      <c r="AC72" s="116">
        <f>IFERROR(AB72/AB148, "NA")</f>
        <v>4.4449248940187612E-3</v>
      </c>
      <c r="AD72" s="118">
        <f t="shared" si="25"/>
        <v>-612.25</v>
      </c>
      <c r="AE72" s="119">
        <f>IFERROR(AD72/AD148, "NA")</f>
        <v>-4.4153143076376071E-2</v>
      </c>
      <c r="AF72" s="118">
        <f t="shared" si="26"/>
        <v>-1</v>
      </c>
      <c r="AG72" s="117">
        <f t="shared" si="27"/>
        <v>535</v>
      </c>
      <c r="AH72" s="116">
        <f>IFERROR(AG72/AG148, "NA")</f>
        <v>4.114893676915931E-3</v>
      </c>
      <c r="AI72" s="118">
        <f t="shared" si="28"/>
        <v>-535</v>
      </c>
      <c r="AJ72" s="119">
        <f>IFERROR(AI72/AI148, "NA")</f>
        <v>-2.4777282335048136E-2</v>
      </c>
      <c r="AK72" s="118">
        <f t="shared" si="29"/>
        <v>-1</v>
      </c>
      <c r="AL72" s="119">
        <f>IFERROR(AK72/AK148, "NA")</f>
        <v>-6.0213663536547175</v>
      </c>
    </row>
    <row r="73" spans="1:38" ht="16.5" customHeight="1" x14ac:dyDescent="0.25">
      <c r="A73" s="6" t="s">
        <v>76</v>
      </c>
      <c r="B73" s="111"/>
      <c r="C73" s="112"/>
      <c r="D73" s="111"/>
      <c r="E73" s="112"/>
      <c r="F73" s="111"/>
      <c r="G73" s="112"/>
      <c r="H73" s="111"/>
      <c r="I73" s="112"/>
      <c r="J73" s="111"/>
      <c r="K73" s="112"/>
      <c r="L73" s="111"/>
      <c r="M73" s="112"/>
      <c r="N73" s="111"/>
      <c r="O73" s="112"/>
      <c r="P73" s="111"/>
      <c r="Q73" s="112"/>
      <c r="R73" s="111"/>
      <c r="S73" s="112"/>
      <c r="T73" s="111"/>
      <c r="U73" s="112"/>
      <c r="V73" s="111"/>
      <c r="W73" s="112"/>
      <c r="X73" s="111"/>
      <c r="Y73" s="112"/>
      <c r="Z73" s="111"/>
      <c r="AA73" s="112"/>
      <c r="AB73" s="111"/>
      <c r="AC73" s="112"/>
      <c r="AD73" s="113"/>
      <c r="AE73" s="114"/>
      <c r="AF73" s="113"/>
      <c r="AG73" s="111"/>
      <c r="AH73" s="112"/>
      <c r="AI73" s="113"/>
      <c r="AJ73" s="114"/>
      <c r="AK73" s="113"/>
      <c r="AL73" s="114"/>
    </row>
    <row r="74" spans="1:38" ht="16.5" customHeight="1" x14ac:dyDescent="0.25">
      <c r="A74" s="7" t="s">
        <v>77</v>
      </c>
      <c r="B74" s="115">
        <v>3135.0099999999998</v>
      </c>
      <c r="C74" s="116">
        <f>IFERROR(B74/B148, "NA")</f>
        <v>2.1755534909645768E-2</v>
      </c>
      <c r="D74" s="115">
        <v>2780.3</v>
      </c>
      <c r="E74" s="116">
        <f>IFERROR(D74/D148, "NA")</f>
        <v>2.4526770419001719E-2</v>
      </c>
      <c r="F74" s="115">
        <v>2898.94</v>
      </c>
      <c r="G74" s="116">
        <f>IFERROR(F74/F148, "NA")</f>
        <v>2.2658589964045645E-2</v>
      </c>
      <c r="H74" s="115">
        <v>2921.1400000000003</v>
      </c>
      <c r="I74" s="116">
        <f>IFERROR(H74/H148, "NA")</f>
        <v>2.3389952026873218E-2</v>
      </c>
      <c r="J74" s="115">
        <v>2697.2599999999998</v>
      </c>
      <c r="K74" s="116">
        <f>IFERROR(J74/J148, "NA")</f>
        <v>2.1245807468839528E-2</v>
      </c>
      <c r="L74" s="115">
        <v>2719.6499999999996</v>
      </c>
      <c r="M74" s="116">
        <f>IFERROR(L74/L148, "NA")</f>
        <v>2.2070923164556416E-2</v>
      </c>
      <c r="N74" s="115">
        <v>2757.96</v>
      </c>
      <c r="O74" s="116">
        <f>IFERROR(N74/N148, "NA")</f>
        <v>2.1578081671328814E-2</v>
      </c>
      <c r="P74" s="115">
        <v>2625.54</v>
      </c>
      <c r="Q74" s="116">
        <f>IFERROR(P74/P148, "NA")</f>
        <v>2.3617880302574126E-2</v>
      </c>
      <c r="R74" s="115">
        <v>2787.38</v>
      </c>
      <c r="S74" s="116">
        <f>IFERROR(R74/R148, "NA")</f>
        <v>2.0669095009854112E-2</v>
      </c>
      <c r="T74" s="115">
        <v>2746.7599999999998</v>
      </c>
      <c r="U74" s="116">
        <f>IFERROR(T74/T148, "NA")</f>
        <v>2.1289267287589418E-2</v>
      </c>
      <c r="V74" s="115">
        <v>2801.86</v>
      </c>
      <c r="W74" s="116">
        <f>IFERROR(V74/V148, "NA")</f>
        <v>2.0681091452266771E-2</v>
      </c>
      <c r="X74" s="115">
        <v>2906.9900000000002</v>
      </c>
      <c r="Y74" s="116">
        <f>IFERROR(X74/X148, "NA")</f>
        <v>1.9174400379083224E-2</v>
      </c>
      <c r="Z74" s="115">
        <v>5708.85</v>
      </c>
      <c r="AA74" s="116">
        <f>IFERROR(Z74/Z148, "NA")</f>
        <v>1.9885422957583828E-2</v>
      </c>
      <c r="AB74" s="117">
        <f t="shared" ref="AB74:AB85" si="30">IFERROR((R74+T74+V74+X74)/4, "NA")</f>
        <v>2810.7474999999999</v>
      </c>
      <c r="AC74" s="116">
        <f>IFERROR(AB74/AB148, "NA")</f>
        <v>2.0405980454962839E-2</v>
      </c>
      <c r="AD74" s="118">
        <f t="shared" ref="AD74:AD85" si="31">IFERROR(X74-AB74, "NA")</f>
        <v>96.242500000000291</v>
      </c>
      <c r="AE74" s="119">
        <f>IFERROR(AD74/AD148, "NA")</f>
        <v>6.9406433197682924E-3</v>
      </c>
      <c r="AF74" s="118">
        <f t="shared" ref="AF74:AF85" si="32">IFERROR((X74-AB74)/AB74, "NA")</f>
        <v>3.4240891435463446E-2</v>
      </c>
      <c r="AG74" s="117">
        <f t="shared" ref="AG74:AG85" si="33">IFERROR((J74+L74+N74+P74+R74+T74+V74+X74)/8, "NA")</f>
        <v>2755.4250000000002</v>
      </c>
      <c r="AH74" s="116">
        <f>IFERROR(AG74/AG148, "NA")</f>
        <v>2.119304842937585E-2</v>
      </c>
      <c r="AI74" s="118">
        <f t="shared" ref="AI74:AI85" si="34">IFERROR(X74-AG74, "NA")</f>
        <v>151.56500000000005</v>
      </c>
      <c r="AJ74" s="119">
        <f>IFERROR(AI74/AI148, "NA")</f>
        <v>7.019380929180509E-3</v>
      </c>
      <c r="AK74" s="118">
        <f t="shared" ref="AK74:AK85" si="35">IFERROR((X74-AG74)/AG74, "NA")</f>
        <v>5.5006033551992906E-2</v>
      </c>
      <c r="AL74" s="119">
        <f>IFERROR(AK74/AK148, "NA")</f>
        <v>0.3312114796779726</v>
      </c>
    </row>
    <row r="75" spans="1:38" ht="16.5" hidden="1" customHeight="1" x14ac:dyDescent="0.25">
      <c r="A75" s="7" t="s">
        <v>78</v>
      </c>
      <c r="B75" s="115">
        <v>0</v>
      </c>
      <c r="C75" s="116">
        <f>IFERROR(B75/B148, "NA")</f>
        <v>0</v>
      </c>
      <c r="D75" s="115">
        <v>0</v>
      </c>
      <c r="E75" s="116">
        <f>IFERROR(D75/D148, "NA")</f>
        <v>0</v>
      </c>
      <c r="F75" s="115">
        <v>0</v>
      </c>
      <c r="G75" s="116">
        <f>IFERROR(F75/F148, "NA")</f>
        <v>0</v>
      </c>
      <c r="H75" s="115">
        <v>0</v>
      </c>
      <c r="I75" s="116">
        <f>IFERROR(H75/H148, "NA")</f>
        <v>0</v>
      </c>
      <c r="J75" s="115">
        <v>0</v>
      </c>
      <c r="K75" s="116">
        <f>IFERROR(J75/J148, "NA")</f>
        <v>0</v>
      </c>
      <c r="L75" s="115">
        <v>0</v>
      </c>
      <c r="M75" s="116">
        <f>IFERROR(L75/L148, "NA")</f>
        <v>0</v>
      </c>
      <c r="N75" s="115">
        <v>0</v>
      </c>
      <c r="O75" s="116">
        <f>IFERROR(N75/N148, "NA")</f>
        <v>0</v>
      </c>
      <c r="P75" s="115">
        <v>0</v>
      </c>
      <c r="Q75" s="116">
        <f>IFERROR(P75/P148, "NA")</f>
        <v>0</v>
      </c>
      <c r="R75" s="115">
        <v>0</v>
      </c>
      <c r="S75" s="116">
        <f>IFERROR(R75/R148, "NA")</f>
        <v>0</v>
      </c>
      <c r="T75" s="115">
        <v>0</v>
      </c>
      <c r="U75" s="116">
        <f>IFERROR(T75/T148, "NA")</f>
        <v>0</v>
      </c>
      <c r="V75" s="115">
        <v>0</v>
      </c>
      <c r="W75" s="116">
        <f>IFERROR(V75/V148, "NA")</f>
        <v>0</v>
      </c>
      <c r="X75" s="115">
        <v>0</v>
      </c>
      <c r="Y75" s="116">
        <f>IFERROR(X75/X148, "NA")</f>
        <v>0</v>
      </c>
      <c r="Z75" s="115">
        <v>0</v>
      </c>
      <c r="AA75" s="116">
        <f>IFERROR(Z75/Z148, "NA")</f>
        <v>0</v>
      </c>
      <c r="AB75" s="117">
        <f t="shared" si="30"/>
        <v>0</v>
      </c>
      <c r="AC75" s="116">
        <f>IFERROR(AB75/AB148, "NA")</f>
        <v>0</v>
      </c>
      <c r="AD75" s="118">
        <f t="shared" si="31"/>
        <v>0</v>
      </c>
      <c r="AE75" s="119">
        <f>IFERROR(AD75/AD148, "NA")</f>
        <v>0</v>
      </c>
      <c r="AF75" s="118" t="str">
        <f t="shared" si="32"/>
        <v>NA</v>
      </c>
      <c r="AG75" s="117">
        <f t="shared" si="33"/>
        <v>0</v>
      </c>
      <c r="AH75" s="116">
        <f>IFERROR(AG75/AG148, "NA")</f>
        <v>0</v>
      </c>
      <c r="AI75" s="118">
        <f t="shared" si="34"/>
        <v>0</v>
      </c>
      <c r="AJ75" s="119">
        <f>IFERROR(AI75/AI148, "NA")</f>
        <v>0</v>
      </c>
      <c r="AK75" s="118" t="str">
        <f t="shared" si="35"/>
        <v>NA</v>
      </c>
      <c r="AL75" s="119" t="str">
        <f>IFERROR(AK75/AK148, "NA")</f>
        <v>NA</v>
      </c>
    </row>
    <row r="76" spans="1:38" ht="16.5" hidden="1" customHeight="1" x14ac:dyDescent="0.25">
      <c r="A76" s="7" t="s">
        <v>79</v>
      </c>
      <c r="B76" s="115">
        <v>0</v>
      </c>
      <c r="C76" s="116">
        <f>IFERROR(B76/B148, "NA")</f>
        <v>0</v>
      </c>
      <c r="D76" s="115">
        <v>0</v>
      </c>
      <c r="E76" s="116">
        <f>IFERROR(D76/D148, "NA")</f>
        <v>0</v>
      </c>
      <c r="F76" s="115">
        <v>0</v>
      </c>
      <c r="G76" s="116">
        <f>IFERROR(F76/F148, "NA")</f>
        <v>0</v>
      </c>
      <c r="H76" s="115">
        <v>0</v>
      </c>
      <c r="I76" s="116">
        <f>IFERROR(H76/H148, "NA")</f>
        <v>0</v>
      </c>
      <c r="J76" s="115">
        <v>0</v>
      </c>
      <c r="K76" s="116">
        <f>IFERROR(J76/J148, "NA")</f>
        <v>0</v>
      </c>
      <c r="L76" s="115">
        <v>0</v>
      </c>
      <c r="M76" s="116">
        <f>IFERROR(L76/L148, "NA")</f>
        <v>0</v>
      </c>
      <c r="N76" s="115">
        <v>0</v>
      </c>
      <c r="O76" s="116">
        <f>IFERROR(N76/N148, "NA")</f>
        <v>0</v>
      </c>
      <c r="P76" s="115">
        <v>0</v>
      </c>
      <c r="Q76" s="116">
        <f>IFERROR(P76/P148, "NA")</f>
        <v>0</v>
      </c>
      <c r="R76" s="115">
        <v>0</v>
      </c>
      <c r="S76" s="116">
        <f>IFERROR(R76/R148, "NA")</f>
        <v>0</v>
      </c>
      <c r="T76" s="115">
        <v>0</v>
      </c>
      <c r="U76" s="116">
        <f>IFERROR(T76/T148, "NA")</f>
        <v>0</v>
      </c>
      <c r="V76" s="115">
        <v>0</v>
      </c>
      <c r="W76" s="116">
        <f>IFERROR(V76/V148, "NA")</f>
        <v>0</v>
      </c>
      <c r="X76" s="115">
        <v>0</v>
      </c>
      <c r="Y76" s="116">
        <f>IFERROR(X76/X148, "NA")</f>
        <v>0</v>
      </c>
      <c r="Z76" s="115">
        <v>0</v>
      </c>
      <c r="AA76" s="116">
        <f>IFERROR(Z76/Z148, "NA")</f>
        <v>0</v>
      </c>
      <c r="AB76" s="117">
        <f t="shared" si="30"/>
        <v>0</v>
      </c>
      <c r="AC76" s="116">
        <f>IFERROR(AB76/AB148, "NA")</f>
        <v>0</v>
      </c>
      <c r="AD76" s="118">
        <f t="shared" si="31"/>
        <v>0</v>
      </c>
      <c r="AE76" s="119">
        <f>IFERROR(AD76/AD148, "NA")</f>
        <v>0</v>
      </c>
      <c r="AF76" s="118" t="str">
        <f t="shared" si="32"/>
        <v>NA</v>
      </c>
      <c r="AG76" s="117">
        <f t="shared" si="33"/>
        <v>0</v>
      </c>
      <c r="AH76" s="116">
        <f>IFERROR(AG76/AG148, "NA")</f>
        <v>0</v>
      </c>
      <c r="AI76" s="118">
        <f t="shared" si="34"/>
        <v>0</v>
      </c>
      <c r="AJ76" s="119">
        <f>IFERROR(AI76/AI148, "NA")</f>
        <v>0</v>
      </c>
      <c r="AK76" s="118" t="str">
        <f t="shared" si="35"/>
        <v>NA</v>
      </c>
      <c r="AL76" s="119" t="str">
        <f>IFERROR(AK76/AK148, "NA")</f>
        <v>NA</v>
      </c>
    </row>
    <row r="77" spans="1:38" ht="16.5" hidden="1" customHeight="1" x14ac:dyDescent="0.25">
      <c r="A77" s="7" t="s">
        <v>80</v>
      </c>
      <c r="B77" s="115">
        <v>0</v>
      </c>
      <c r="C77" s="116">
        <f>IFERROR(B77/B148, "NA")</f>
        <v>0</v>
      </c>
      <c r="D77" s="115">
        <v>0</v>
      </c>
      <c r="E77" s="116">
        <f>IFERROR(D77/D148, "NA")</f>
        <v>0</v>
      </c>
      <c r="F77" s="115">
        <v>0</v>
      </c>
      <c r="G77" s="116">
        <f>IFERROR(F77/F148, "NA")</f>
        <v>0</v>
      </c>
      <c r="H77" s="115">
        <v>0</v>
      </c>
      <c r="I77" s="116">
        <f>IFERROR(H77/H148, "NA")</f>
        <v>0</v>
      </c>
      <c r="J77" s="115">
        <v>0</v>
      </c>
      <c r="K77" s="116">
        <f>IFERROR(J77/J148, "NA")</f>
        <v>0</v>
      </c>
      <c r="L77" s="115">
        <v>0</v>
      </c>
      <c r="M77" s="116">
        <f>IFERROR(L77/L148, "NA")</f>
        <v>0</v>
      </c>
      <c r="N77" s="115">
        <v>0</v>
      </c>
      <c r="O77" s="116">
        <f>IFERROR(N77/N148, "NA")</f>
        <v>0</v>
      </c>
      <c r="P77" s="115">
        <v>0</v>
      </c>
      <c r="Q77" s="116">
        <f>IFERROR(P77/P148, "NA")</f>
        <v>0</v>
      </c>
      <c r="R77" s="115">
        <v>0</v>
      </c>
      <c r="S77" s="116">
        <f>IFERROR(R77/R148, "NA")</f>
        <v>0</v>
      </c>
      <c r="T77" s="115">
        <v>0</v>
      </c>
      <c r="U77" s="116">
        <f>IFERROR(T77/T148, "NA")</f>
        <v>0</v>
      </c>
      <c r="V77" s="115">
        <v>0</v>
      </c>
      <c r="W77" s="116">
        <f>IFERROR(V77/V148, "NA")</f>
        <v>0</v>
      </c>
      <c r="X77" s="115">
        <v>0</v>
      </c>
      <c r="Y77" s="116">
        <f>IFERROR(X77/X148, "NA")</f>
        <v>0</v>
      </c>
      <c r="Z77" s="115">
        <v>0</v>
      </c>
      <c r="AA77" s="116">
        <f>IFERROR(Z77/Z148, "NA")</f>
        <v>0</v>
      </c>
      <c r="AB77" s="117">
        <f t="shared" si="30"/>
        <v>0</v>
      </c>
      <c r="AC77" s="116">
        <f>IFERROR(AB77/AB148, "NA")</f>
        <v>0</v>
      </c>
      <c r="AD77" s="118">
        <f t="shared" si="31"/>
        <v>0</v>
      </c>
      <c r="AE77" s="119">
        <f>IFERROR(AD77/AD148, "NA")</f>
        <v>0</v>
      </c>
      <c r="AF77" s="118" t="str">
        <f t="shared" si="32"/>
        <v>NA</v>
      </c>
      <c r="AG77" s="117">
        <f t="shared" si="33"/>
        <v>0</v>
      </c>
      <c r="AH77" s="116">
        <f>IFERROR(AG77/AG148, "NA")</f>
        <v>0</v>
      </c>
      <c r="AI77" s="118">
        <f t="shared" si="34"/>
        <v>0</v>
      </c>
      <c r="AJ77" s="119">
        <f>IFERROR(AI77/AI148, "NA")</f>
        <v>0</v>
      </c>
      <c r="AK77" s="118" t="str">
        <f t="shared" si="35"/>
        <v>NA</v>
      </c>
      <c r="AL77" s="119" t="str">
        <f>IFERROR(AK77/AK148, "NA")</f>
        <v>NA</v>
      </c>
    </row>
    <row r="78" spans="1:38" ht="16.5" hidden="1" customHeight="1" x14ac:dyDescent="0.25">
      <c r="A78" s="7" t="s">
        <v>81</v>
      </c>
      <c r="B78" s="115">
        <v>0</v>
      </c>
      <c r="C78" s="116">
        <f>IFERROR(B78/B148, "NA")</f>
        <v>0</v>
      </c>
      <c r="D78" s="115">
        <v>0</v>
      </c>
      <c r="E78" s="116">
        <f>IFERROR(D78/D148, "NA")</f>
        <v>0</v>
      </c>
      <c r="F78" s="115">
        <v>0</v>
      </c>
      <c r="G78" s="116">
        <f>IFERROR(F78/F148, "NA")</f>
        <v>0</v>
      </c>
      <c r="H78" s="115">
        <v>0</v>
      </c>
      <c r="I78" s="116">
        <f>IFERROR(H78/H148, "NA")</f>
        <v>0</v>
      </c>
      <c r="J78" s="115">
        <v>0</v>
      </c>
      <c r="K78" s="116">
        <f>IFERROR(J78/J148, "NA")</f>
        <v>0</v>
      </c>
      <c r="L78" s="115">
        <v>0</v>
      </c>
      <c r="M78" s="116">
        <f>IFERROR(L78/L148, "NA")</f>
        <v>0</v>
      </c>
      <c r="N78" s="115">
        <v>0</v>
      </c>
      <c r="O78" s="116">
        <f>IFERROR(N78/N148, "NA")</f>
        <v>0</v>
      </c>
      <c r="P78" s="115">
        <v>0</v>
      </c>
      <c r="Q78" s="116">
        <f>IFERROR(P78/P148, "NA")</f>
        <v>0</v>
      </c>
      <c r="R78" s="115">
        <v>0</v>
      </c>
      <c r="S78" s="116">
        <f>IFERROR(R78/R148, "NA")</f>
        <v>0</v>
      </c>
      <c r="T78" s="115">
        <v>0</v>
      </c>
      <c r="U78" s="116">
        <f>IFERROR(T78/T148, "NA")</f>
        <v>0</v>
      </c>
      <c r="V78" s="115">
        <v>0</v>
      </c>
      <c r="W78" s="116">
        <f>IFERROR(V78/V148, "NA")</f>
        <v>0</v>
      </c>
      <c r="X78" s="115">
        <v>0</v>
      </c>
      <c r="Y78" s="116">
        <f>IFERROR(X78/X148, "NA")</f>
        <v>0</v>
      </c>
      <c r="Z78" s="115">
        <v>0</v>
      </c>
      <c r="AA78" s="116">
        <f>IFERROR(Z78/Z148, "NA")</f>
        <v>0</v>
      </c>
      <c r="AB78" s="117">
        <f t="shared" si="30"/>
        <v>0</v>
      </c>
      <c r="AC78" s="116">
        <f>IFERROR(AB78/AB148, "NA")</f>
        <v>0</v>
      </c>
      <c r="AD78" s="118">
        <f t="shared" si="31"/>
        <v>0</v>
      </c>
      <c r="AE78" s="119">
        <f>IFERROR(AD78/AD148, "NA")</f>
        <v>0</v>
      </c>
      <c r="AF78" s="118" t="str">
        <f t="shared" si="32"/>
        <v>NA</v>
      </c>
      <c r="AG78" s="117">
        <f t="shared" si="33"/>
        <v>0</v>
      </c>
      <c r="AH78" s="116">
        <f>IFERROR(AG78/AG148, "NA")</f>
        <v>0</v>
      </c>
      <c r="AI78" s="118">
        <f t="shared" si="34"/>
        <v>0</v>
      </c>
      <c r="AJ78" s="119">
        <f>IFERROR(AI78/AI148, "NA")</f>
        <v>0</v>
      </c>
      <c r="AK78" s="118" t="str">
        <f t="shared" si="35"/>
        <v>NA</v>
      </c>
      <c r="AL78" s="119" t="str">
        <f>IFERROR(AK78/AK148, "NA")</f>
        <v>NA</v>
      </c>
    </row>
    <row r="79" spans="1:38" ht="16.5" hidden="1" customHeight="1" x14ac:dyDescent="0.25">
      <c r="A79" s="7" t="s">
        <v>82</v>
      </c>
      <c r="B79" s="115">
        <v>0</v>
      </c>
      <c r="C79" s="116">
        <f>IFERROR(B79/B148, "NA")</f>
        <v>0</v>
      </c>
      <c r="D79" s="115">
        <v>0</v>
      </c>
      <c r="E79" s="116">
        <f>IFERROR(D79/D148, "NA")</f>
        <v>0</v>
      </c>
      <c r="F79" s="115">
        <v>0</v>
      </c>
      <c r="G79" s="116">
        <f>IFERROR(F79/F148, "NA")</f>
        <v>0</v>
      </c>
      <c r="H79" s="115">
        <v>0</v>
      </c>
      <c r="I79" s="116">
        <f>IFERROR(H79/H148, "NA")</f>
        <v>0</v>
      </c>
      <c r="J79" s="115">
        <v>0</v>
      </c>
      <c r="K79" s="116">
        <f>IFERROR(J79/J148, "NA")</f>
        <v>0</v>
      </c>
      <c r="L79" s="115">
        <v>0</v>
      </c>
      <c r="M79" s="116">
        <f>IFERROR(L79/L148, "NA")</f>
        <v>0</v>
      </c>
      <c r="N79" s="115">
        <v>0</v>
      </c>
      <c r="O79" s="116">
        <f>IFERROR(N79/N148, "NA")</f>
        <v>0</v>
      </c>
      <c r="P79" s="115">
        <v>0</v>
      </c>
      <c r="Q79" s="116">
        <f>IFERROR(P79/P148, "NA")</f>
        <v>0</v>
      </c>
      <c r="R79" s="115">
        <v>0</v>
      </c>
      <c r="S79" s="116">
        <f>IFERROR(R79/R148, "NA")</f>
        <v>0</v>
      </c>
      <c r="T79" s="115">
        <v>0</v>
      </c>
      <c r="U79" s="116">
        <f>IFERROR(T79/T148, "NA")</f>
        <v>0</v>
      </c>
      <c r="V79" s="115">
        <v>0</v>
      </c>
      <c r="W79" s="116">
        <f>IFERROR(V79/V148, "NA")</f>
        <v>0</v>
      </c>
      <c r="X79" s="115">
        <v>0</v>
      </c>
      <c r="Y79" s="116">
        <f>IFERROR(X79/X148, "NA")</f>
        <v>0</v>
      </c>
      <c r="Z79" s="115">
        <v>0</v>
      </c>
      <c r="AA79" s="116">
        <f>IFERROR(Z79/Z148, "NA")</f>
        <v>0</v>
      </c>
      <c r="AB79" s="117">
        <f t="shared" si="30"/>
        <v>0</v>
      </c>
      <c r="AC79" s="116">
        <f>IFERROR(AB79/AB148, "NA")</f>
        <v>0</v>
      </c>
      <c r="AD79" s="118">
        <f t="shared" si="31"/>
        <v>0</v>
      </c>
      <c r="AE79" s="119">
        <f>IFERROR(AD79/AD148, "NA")</f>
        <v>0</v>
      </c>
      <c r="AF79" s="118" t="str">
        <f t="shared" si="32"/>
        <v>NA</v>
      </c>
      <c r="AG79" s="117">
        <f t="shared" si="33"/>
        <v>0</v>
      </c>
      <c r="AH79" s="116">
        <f>IFERROR(AG79/AG148, "NA")</f>
        <v>0</v>
      </c>
      <c r="AI79" s="118">
        <f t="shared" si="34"/>
        <v>0</v>
      </c>
      <c r="AJ79" s="119">
        <f>IFERROR(AI79/AI148, "NA")</f>
        <v>0</v>
      </c>
      <c r="AK79" s="118" t="str">
        <f t="shared" si="35"/>
        <v>NA</v>
      </c>
      <c r="AL79" s="119" t="str">
        <f>IFERROR(AK79/AK148, "NA")</f>
        <v>NA</v>
      </c>
    </row>
    <row r="80" spans="1:38" ht="16.5" hidden="1" customHeight="1" x14ac:dyDescent="0.25">
      <c r="A80" s="7" t="s">
        <v>83</v>
      </c>
      <c r="B80" s="115">
        <v>0</v>
      </c>
      <c r="C80" s="116">
        <f>IFERROR(B80/B148, "NA")</f>
        <v>0</v>
      </c>
      <c r="D80" s="115">
        <v>0</v>
      </c>
      <c r="E80" s="116">
        <f>IFERROR(D80/D148, "NA")</f>
        <v>0</v>
      </c>
      <c r="F80" s="115">
        <v>0</v>
      </c>
      <c r="G80" s="116">
        <f>IFERROR(F80/F148, "NA")</f>
        <v>0</v>
      </c>
      <c r="H80" s="115">
        <v>0</v>
      </c>
      <c r="I80" s="116">
        <f>IFERROR(H80/H148, "NA")</f>
        <v>0</v>
      </c>
      <c r="J80" s="115">
        <v>0</v>
      </c>
      <c r="K80" s="116">
        <f>IFERROR(J80/J148, "NA")</f>
        <v>0</v>
      </c>
      <c r="L80" s="115">
        <v>0</v>
      </c>
      <c r="M80" s="116">
        <f>IFERROR(L80/L148, "NA")</f>
        <v>0</v>
      </c>
      <c r="N80" s="115">
        <v>0</v>
      </c>
      <c r="O80" s="116">
        <f>IFERROR(N80/N148, "NA")</f>
        <v>0</v>
      </c>
      <c r="P80" s="115">
        <v>0</v>
      </c>
      <c r="Q80" s="116">
        <f>IFERROR(P80/P148, "NA")</f>
        <v>0</v>
      </c>
      <c r="R80" s="115">
        <v>0</v>
      </c>
      <c r="S80" s="116">
        <f>IFERROR(R80/R148, "NA")</f>
        <v>0</v>
      </c>
      <c r="T80" s="115">
        <v>0</v>
      </c>
      <c r="U80" s="116">
        <f>IFERROR(T80/T148, "NA")</f>
        <v>0</v>
      </c>
      <c r="V80" s="115">
        <v>0</v>
      </c>
      <c r="W80" s="116">
        <f>IFERROR(V80/V148, "NA")</f>
        <v>0</v>
      </c>
      <c r="X80" s="115">
        <v>0</v>
      </c>
      <c r="Y80" s="116">
        <f>IFERROR(X80/X148, "NA")</f>
        <v>0</v>
      </c>
      <c r="Z80" s="115">
        <v>0</v>
      </c>
      <c r="AA80" s="116">
        <f>IFERROR(Z80/Z148, "NA")</f>
        <v>0</v>
      </c>
      <c r="AB80" s="117">
        <f t="shared" si="30"/>
        <v>0</v>
      </c>
      <c r="AC80" s="116">
        <f>IFERROR(AB80/AB148, "NA")</f>
        <v>0</v>
      </c>
      <c r="AD80" s="118">
        <f t="shared" si="31"/>
        <v>0</v>
      </c>
      <c r="AE80" s="119">
        <f>IFERROR(AD80/AD148, "NA")</f>
        <v>0</v>
      </c>
      <c r="AF80" s="118" t="str">
        <f t="shared" si="32"/>
        <v>NA</v>
      </c>
      <c r="AG80" s="117">
        <f t="shared" si="33"/>
        <v>0</v>
      </c>
      <c r="AH80" s="116">
        <f>IFERROR(AG80/AG148, "NA")</f>
        <v>0</v>
      </c>
      <c r="AI80" s="118">
        <f t="shared" si="34"/>
        <v>0</v>
      </c>
      <c r="AJ80" s="119">
        <f>IFERROR(AI80/AI148, "NA")</f>
        <v>0</v>
      </c>
      <c r="AK80" s="118" t="str">
        <f t="shared" si="35"/>
        <v>NA</v>
      </c>
      <c r="AL80" s="119" t="str">
        <f>IFERROR(AK80/AK148, "NA")</f>
        <v>NA</v>
      </c>
    </row>
    <row r="81" spans="1:38" ht="16.5" customHeight="1" x14ac:dyDescent="0.25">
      <c r="A81" s="129" t="s">
        <v>84</v>
      </c>
      <c r="B81" s="121">
        <f>IFERROR(B74+B75+B76+B77+B78+B79+B80, "NA")</f>
        <v>3135.0099999999998</v>
      </c>
      <c r="C81" s="122">
        <f>IFERROR(B81/B148, "NA")</f>
        <v>2.1755534909645768E-2</v>
      </c>
      <c r="D81" s="121">
        <f>IFERROR(D74+D75+D76+D77+D78+D79+D80, "NA")</f>
        <v>2780.3</v>
      </c>
      <c r="E81" s="122">
        <f>IFERROR(D81/D148, "NA")</f>
        <v>2.4526770419001719E-2</v>
      </c>
      <c r="F81" s="121">
        <f>IFERROR(F74+F75+F76+F77+F78+F79+F80, "NA")</f>
        <v>2898.94</v>
      </c>
      <c r="G81" s="122">
        <f>IFERROR(F81/F148, "NA")</f>
        <v>2.2658589964045645E-2</v>
      </c>
      <c r="H81" s="121">
        <f>IFERROR(H74+H75+H76+H77+H78+H79+H80, "NA")</f>
        <v>2921.1400000000003</v>
      </c>
      <c r="I81" s="122">
        <f>IFERROR(H81/H148, "NA")</f>
        <v>2.3389952026873218E-2</v>
      </c>
      <c r="J81" s="121">
        <f>IFERROR(J74+J75+J76+J77+J78+J79+J80, "NA")</f>
        <v>2697.2599999999998</v>
      </c>
      <c r="K81" s="122">
        <f>IFERROR(J81/J148, "NA")</f>
        <v>2.1245807468839528E-2</v>
      </c>
      <c r="L81" s="121">
        <f>IFERROR(L74+L75+L76+L77+L78+L79+L80, "NA")</f>
        <v>2719.6499999999996</v>
      </c>
      <c r="M81" s="122">
        <f>IFERROR(L81/L148, "NA")</f>
        <v>2.2070923164556416E-2</v>
      </c>
      <c r="N81" s="121">
        <f>IFERROR(N74+N75+N76+N77+N78+N79+N80, "NA")</f>
        <v>2757.96</v>
      </c>
      <c r="O81" s="122">
        <f>IFERROR(N81/N148, "NA")</f>
        <v>2.1578081671328814E-2</v>
      </c>
      <c r="P81" s="121">
        <f>IFERROR(P74+P75+P76+P77+P78+P79+P80, "NA")</f>
        <v>2625.54</v>
      </c>
      <c r="Q81" s="122">
        <f>IFERROR(P81/P148, "NA")</f>
        <v>2.3617880302574126E-2</v>
      </c>
      <c r="R81" s="121">
        <f>IFERROR(R74+R75+R76+R77+R78+R79+R80, "NA")</f>
        <v>2787.38</v>
      </c>
      <c r="S81" s="122">
        <f>IFERROR(R81/R148, "NA")</f>
        <v>2.0669095009854112E-2</v>
      </c>
      <c r="T81" s="121">
        <f>IFERROR(T74+T75+T76+T77+T78+T79+T80, "NA")</f>
        <v>2746.7599999999998</v>
      </c>
      <c r="U81" s="122">
        <f>IFERROR(T81/T148, "NA")</f>
        <v>2.1289267287589418E-2</v>
      </c>
      <c r="V81" s="121">
        <f>IFERROR(V74+V75+V76+V77+V78+V79+V80, "NA")</f>
        <v>2801.86</v>
      </c>
      <c r="W81" s="122">
        <f>IFERROR(V81/V148, "NA")</f>
        <v>2.0681091452266771E-2</v>
      </c>
      <c r="X81" s="121">
        <f>IFERROR(X74+X75+X76+X77+X78+X79+X80, "NA")</f>
        <v>2906.9900000000002</v>
      </c>
      <c r="Y81" s="122">
        <f>IFERROR(X81/X148, "NA")</f>
        <v>1.9174400379083224E-2</v>
      </c>
      <c r="Z81" s="121">
        <f>IFERROR(Z74+Z75+Z76+Z77+Z78+Z79+Z80, "NA")</f>
        <v>5708.85</v>
      </c>
      <c r="AA81" s="122">
        <f>IFERROR(Z81/Z148, "NA")</f>
        <v>1.9885422957583828E-2</v>
      </c>
      <c r="AB81" s="121">
        <f t="shared" si="30"/>
        <v>2810.7474999999999</v>
      </c>
      <c r="AC81" s="122">
        <f>IFERROR(AB81/AB148, "NA")</f>
        <v>2.0405980454962839E-2</v>
      </c>
      <c r="AD81" s="123">
        <f t="shared" si="31"/>
        <v>96.242500000000291</v>
      </c>
      <c r="AE81" s="124">
        <f>IFERROR(AD81/AD148, "NA")</f>
        <v>6.9406433197682924E-3</v>
      </c>
      <c r="AF81" s="123">
        <f t="shared" si="32"/>
        <v>3.4240891435463446E-2</v>
      </c>
      <c r="AG81" s="121">
        <f t="shared" si="33"/>
        <v>2755.4250000000002</v>
      </c>
      <c r="AH81" s="122">
        <f>IFERROR(AG81/AG148, "NA")</f>
        <v>2.119304842937585E-2</v>
      </c>
      <c r="AI81" s="123">
        <f t="shared" si="34"/>
        <v>151.56500000000005</v>
      </c>
      <c r="AJ81" s="124">
        <f>IFERROR(AI81/AI148, "NA")</f>
        <v>7.019380929180509E-3</v>
      </c>
      <c r="AK81" s="123">
        <f t="shared" si="35"/>
        <v>5.5006033551992906E-2</v>
      </c>
      <c r="AL81" s="124">
        <f>IFERROR(AK81/AK148, "NA")</f>
        <v>0.3312114796779726</v>
      </c>
    </row>
    <row r="82" spans="1:38" ht="16.5" customHeight="1" x14ac:dyDescent="0.25">
      <c r="A82" s="5" t="s">
        <v>85</v>
      </c>
      <c r="B82" s="115">
        <v>0</v>
      </c>
      <c r="C82" s="116">
        <f>IFERROR(B82/B148, "NA")</f>
        <v>0</v>
      </c>
      <c r="D82" s="115">
        <v>1132.6400000000001</v>
      </c>
      <c r="E82" s="116">
        <f>IFERROR(D82/D148, "NA")</f>
        <v>9.9917279600683761E-3</v>
      </c>
      <c r="F82" s="115">
        <v>0</v>
      </c>
      <c r="G82" s="116">
        <f>IFERROR(F82/F148, "NA")</f>
        <v>0</v>
      </c>
      <c r="H82" s="115">
        <v>0</v>
      </c>
      <c r="I82" s="116">
        <f>IFERROR(H82/H148, "NA")</f>
        <v>0</v>
      </c>
      <c r="J82" s="115">
        <v>0</v>
      </c>
      <c r="K82" s="116">
        <f>IFERROR(J82/J148, "NA")</f>
        <v>0</v>
      </c>
      <c r="L82" s="115">
        <v>0</v>
      </c>
      <c r="M82" s="116">
        <f>IFERROR(L82/L148, "NA")</f>
        <v>0</v>
      </c>
      <c r="N82" s="115">
        <v>1119.92</v>
      </c>
      <c r="O82" s="116">
        <f>IFERROR(N82/N148, "NA")</f>
        <v>8.7621739348484277E-3</v>
      </c>
      <c r="P82" s="115">
        <v>0</v>
      </c>
      <c r="Q82" s="116">
        <f>IFERROR(P82/P148, "NA")</f>
        <v>0</v>
      </c>
      <c r="R82" s="115">
        <v>0</v>
      </c>
      <c r="S82" s="116">
        <f>IFERROR(R82/R148, "NA")</f>
        <v>0</v>
      </c>
      <c r="T82" s="115">
        <v>0</v>
      </c>
      <c r="U82" s="116">
        <f>IFERROR(T82/T148, "NA")</f>
        <v>0</v>
      </c>
      <c r="V82" s="115">
        <v>1732.64</v>
      </c>
      <c r="W82" s="116">
        <f>IFERROR(V82/V148, "NA")</f>
        <v>1.2788963864666865E-2</v>
      </c>
      <c r="X82" s="115">
        <v>969.44</v>
      </c>
      <c r="Y82" s="116">
        <f>IFERROR(X82/X148, "NA")</f>
        <v>6.3943910035804876E-3</v>
      </c>
      <c r="Z82" s="115">
        <v>2702.08</v>
      </c>
      <c r="AA82" s="116">
        <f>IFERROR(Z82/Z148, "NA")</f>
        <v>9.4120538576470038E-3</v>
      </c>
      <c r="AB82" s="117">
        <f t="shared" si="30"/>
        <v>675.52</v>
      </c>
      <c r="AC82" s="116">
        <f>IFERROR(AB82/AB148, "NA")</f>
        <v>4.9042640496652573E-3</v>
      </c>
      <c r="AD82" s="118">
        <f t="shared" si="31"/>
        <v>293.92000000000007</v>
      </c>
      <c r="AE82" s="119">
        <f>IFERROR(AD82/AD148, "NA")</f>
        <v>2.1196393324636111E-2</v>
      </c>
      <c r="AF82" s="118">
        <f t="shared" si="32"/>
        <v>0.43510184746565622</v>
      </c>
      <c r="AG82" s="117">
        <f t="shared" si="33"/>
        <v>477.75000000000006</v>
      </c>
      <c r="AH82" s="116">
        <f>IFERROR(AG82/AG148, "NA")</f>
        <v>3.6745615965356753E-3</v>
      </c>
      <c r="AI82" s="118">
        <f t="shared" si="34"/>
        <v>491.69</v>
      </c>
      <c r="AJ82" s="119">
        <f>IFERROR(AI82/AI148, "NA")</f>
        <v>2.2771480282840782E-2</v>
      </c>
      <c r="AK82" s="118">
        <f t="shared" si="35"/>
        <v>1.0291784406070119</v>
      </c>
      <c r="AL82" s="119">
        <f>IFERROR(AK82/AK148, "NA")</f>
        <v>6.1970604341778923</v>
      </c>
    </row>
    <row r="83" spans="1:38" ht="16.5" customHeight="1" x14ac:dyDescent="0.25">
      <c r="A83" s="5" t="s">
        <v>86</v>
      </c>
      <c r="B83" s="115">
        <v>-159.66</v>
      </c>
      <c r="C83" s="116">
        <f>IFERROR(B83/B148, "NA")</f>
        <v>-1.1079673441788203E-3</v>
      </c>
      <c r="D83" s="115">
        <v>-411.29999999999995</v>
      </c>
      <c r="E83" s="116">
        <f>IFERROR(D83/D148, "NA")</f>
        <v>-3.628335313935692E-3</v>
      </c>
      <c r="F83" s="115">
        <v>-222.57</v>
      </c>
      <c r="G83" s="116">
        <f>IFERROR(F83/F148, "NA")</f>
        <v>-1.7396435829294982E-3</v>
      </c>
      <c r="H83" s="115">
        <v>1643.14</v>
      </c>
      <c r="I83" s="116">
        <f>IFERROR(H83/H148, "NA")</f>
        <v>1.3156838006201845E-2</v>
      </c>
      <c r="J83" s="115">
        <v>-222.57</v>
      </c>
      <c r="K83" s="116">
        <f>IFERROR(J83/J148, "NA")</f>
        <v>-1.7531418433297547E-3</v>
      </c>
      <c r="L83" s="115">
        <v>-222.57</v>
      </c>
      <c r="M83" s="116">
        <f>IFERROR(L83/L148, "NA")</f>
        <v>-1.8062343936665829E-3</v>
      </c>
      <c r="N83" s="115">
        <v>-222.57</v>
      </c>
      <c r="O83" s="116">
        <f>IFERROR(N83/N148, "NA")</f>
        <v>-1.7413717521601671E-3</v>
      </c>
      <c r="P83" s="115">
        <v>-222.57</v>
      </c>
      <c r="Q83" s="116">
        <f>IFERROR(P83/P148, "NA")</f>
        <v>-2.0021144674786605E-3</v>
      </c>
      <c r="R83" s="115">
        <v>1681.6100000000001</v>
      </c>
      <c r="S83" s="116">
        <f>IFERROR(R83/R148, "NA")</f>
        <v>1.2469543750590438E-2</v>
      </c>
      <c r="T83" s="115">
        <v>-222.57</v>
      </c>
      <c r="U83" s="116">
        <f>IFERROR(T83/T148, "NA")</f>
        <v>-1.7250696166387952E-3</v>
      </c>
      <c r="V83" s="115">
        <v>-222.57</v>
      </c>
      <c r="W83" s="116">
        <f>IFERROR(V83/V148, "NA")</f>
        <v>-1.6428338762575628E-3</v>
      </c>
      <c r="X83" s="115">
        <v>-231.63</v>
      </c>
      <c r="Y83" s="116">
        <f>IFERROR(X83/X148, "NA")</f>
        <v>-1.5278230609004665E-3</v>
      </c>
      <c r="Z83" s="115">
        <v>-454.2</v>
      </c>
      <c r="AA83" s="116">
        <f>IFERROR(Z83/Z148, "NA")</f>
        <v>-1.5820978143294311E-3</v>
      </c>
      <c r="AB83" s="117">
        <f t="shared" si="30"/>
        <v>251.21000000000006</v>
      </c>
      <c r="AC83" s="116">
        <f>IFERROR(AB83/AB148, "NA")</f>
        <v>1.8237804534527618E-3</v>
      </c>
      <c r="AD83" s="118">
        <f t="shared" si="31"/>
        <v>-482.84000000000003</v>
      </c>
      <c r="AE83" s="119">
        <f>IFERROR(AD83/AD148, "NA")</f>
        <v>-3.482058571334818E-2</v>
      </c>
      <c r="AF83" s="118">
        <f t="shared" si="32"/>
        <v>-1.92205724294415</v>
      </c>
      <c r="AG83" s="117">
        <f t="shared" si="33"/>
        <v>14.320000000000029</v>
      </c>
      <c r="AH83" s="116">
        <f>IFERROR(AG83/AG148, "NA")</f>
        <v>1.1014070552044159E-4</v>
      </c>
      <c r="AI83" s="118">
        <f t="shared" si="34"/>
        <v>-245.95000000000002</v>
      </c>
      <c r="AJ83" s="119">
        <f>IFERROR(AI83/AI148, "NA")</f>
        <v>-1.1390602972532879E-2</v>
      </c>
      <c r="AK83" s="118">
        <f t="shared" si="35"/>
        <v>-17.175279329608905</v>
      </c>
      <c r="AL83" s="119">
        <f>IFERROR(AK83/AK148, "NA")</f>
        <v>-103.41864906992842</v>
      </c>
    </row>
    <row r="84" spans="1:38" ht="16.5" customHeight="1" x14ac:dyDescent="0.25">
      <c r="A84" s="130" t="s">
        <v>87</v>
      </c>
      <c r="B84" s="121">
        <f>IFERROR(B63+B65+B66+B67+B68+B69+B71+B72+B74+B75+B76+B77+B78+B79+B80+B82+B83, "NA")</f>
        <v>33150.729999999996</v>
      </c>
      <c r="C84" s="122">
        <f>IFERROR(B84/B148, "NA")</f>
        <v>0.2300508973799896</v>
      </c>
      <c r="D84" s="121">
        <f>IFERROR(D63+D65+D66+D67+D68+D69+D71+D72+D74+D75+D76+D77+D78+D79+D80+D82+D83, "NA")</f>
        <v>32851.799999999996</v>
      </c>
      <c r="E84" s="122">
        <f>IFERROR(D84/D148, "NA")</f>
        <v>0.28980633616910423</v>
      </c>
      <c r="F84" s="121">
        <f>IFERROR(F63+F65+F66+F67+F68+F69+F71+F72+F74+F75+F76+F77+F78+F79+F80+F82+F83, "NA")</f>
        <v>33761.440000000002</v>
      </c>
      <c r="G84" s="122">
        <f>IFERROR(F84/F148, "NA")</f>
        <v>0.26388494606846963</v>
      </c>
      <c r="H84" s="121">
        <f>IFERROR(H63+H65+H66+H67+H68+H69+H71+H72+H74+H75+H76+H77+H78+H79+H80+H82+H83, "NA")</f>
        <v>36163.26</v>
      </c>
      <c r="I84" s="122">
        <f>IFERROR(H84/H148, "NA")</f>
        <v>0.28956397726070748</v>
      </c>
      <c r="J84" s="121">
        <f>IFERROR(J63+J65+J66+J67+J68+J69+J71+J72+J74+J75+J76+J77+J78+J79+J80+J82+J83, "NA")</f>
        <v>33228.300000000003</v>
      </c>
      <c r="K84" s="122">
        <f>IFERROR(J84/J148, "NA")</f>
        <v>0.26173304179680146</v>
      </c>
      <c r="L84" s="121">
        <f>IFERROR(L63+L65+L66+L67+L68+L69+L71+L72+L74+L75+L76+L77+L78+L79+L80+L82+L83, "NA")</f>
        <v>32551.15</v>
      </c>
      <c r="M84" s="122">
        <f>IFERROR(L84/L148, "NA")</f>
        <v>0.26416411323808237</v>
      </c>
      <c r="N84" s="121">
        <f>IFERROR(N63+N65+N66+N67+N68+N69+N71+N72+N74+N75+N76+N77+N78+N79+N80+N82+N83, "NA")</f>
        <v>33920.61</v>
      </c>
      <c r="O84" s="122">
        <f>IFERROR(N84/N148, "NA")</f>
        <v>0.26539242516979683</v>
      </c>
      <c r="P84" s="121">
        <f>IFERROR(P63+P65+P66+P67+P68+P69+P71+P72+P74+P75+P76+P77+P78+P79+P80+P82+P83, "NA")</f>
        <v>31736.720000000001</v>
      </c>
      <c r="Q84" s="122">
        <f>IFERROR(P84/P148, "NA")</f>
        <v>0.28548567310203249</v>
      </c>
      <c r="R84" s="121">
        <f>IFERROR(R63+R65+R66+R67+R68+R69+R71+R72+R74+R75+R76+R77+R78+R79+R80+R82+R83, "NA")</f>
        <v>34920.54</v>
      </c>
      <c r="S84" s="122">
        <f>IFERROR(R84/R148, "NA")</f>
        <v>0.25894422685655022</v>
      </c>
      <c r="T84" s="121">
        <f>IFERROR(T63+T65+T66+T67+T68+T69+T71+T72+T74+T75+T76+T77+T78+T79+T80+T82+T83, "NA")</f>
        <v>34947.83</v>
      </c>
      <c r="U84" s="122">
        <f>IFERROR(T84/T148, "NA")</f>
        <v>0.27086956777848675</v>
      </c>
      <c r="V84" s="121">
        <f>IFERROR(V63+V65+V66+V67+V68+V69+V71+V72+V74+V75+V76+V77+V78+V79+V80+V82+V83, "NA")</f>
        <v>36470.14</v>
      </c>
      <c r="W84" s="122">
        <f>IFERROR(V84/V148, "NA")</f>
        <v>0.26919342887116859</v>
      </c>
      <c r="X84" s="121">
        <f>IFERROR(X63+X65+X66+X67+X68+X69+X71+X72+X74+X75+X76+X77+X78+X79+X80+X82+X83, "NA")</f>
        <v>34799.610000000008</v>
      </c>
      <c r="Y84" s="122">
        <f>IFERROR(X84/X148, "NA")</f>
        <v>0.2295369626919764</v>
      </c>
      <c r="Z84" s="121">
        <f>IFERROR(Z63+Z65+Z66+Z67+Z68+Z69+Z71+Z72+Z74+Z75+Z76+Z77+Z78+Z79+Z80+Z82+Z83, "NA")</f>
        <v>71269.75</v>
      </c>
      <c r="AA84" s="122">
        <f>IFERROR(Z84/Z148, "NA")</f>
        <v>0.24825124549274544</v>
      </c>
      <c r="AB84" s="121">
        <f t="shared" si="30"/>
        <v>35284.53</v>
      </c>
      <c r="AC84" s="122">
        <f>IFERROR(AB84/AB148, "NA")</f>
        <v>0.2561651053830164</v>
      </c>
      <c r="AD84" s="123">
        <f t="shared" si="31"/>
        <v>-484.91999999999098</v>
      </c>
      <c r="AE84" s="124">
        <f>IFERROR(AD84/AD148, "NA")</f>
        <v>-3.4970587408078214E-2</v>
      </c>
      <c r="AF84" s="123">
        <f t="shared" si="32"/>
        <v>-1.3743133322166711E-2</v>
      </c>
      <c r="AG84" s="121">
        <f t="shared" si="33"/>
        <v>34071.862500000003</v>
      </c>
      <c r="AH84" s="122">
        <f>IFERROR(AG84/AG148, "NA")</f>
        <v>0.26205998422803561</v>
      </c>
      <c r="AI84" s="123">
        <f t="shared" si="34"/>
        <v>727.74750000000495</v>
      </c>
      <c r="AJ84" s="124">
        <f>IFERROR(AI84/AI148, "NA")</f>
        <v>3.3703935095561806E-2</v>
      </c>
      <c r="AK84" s="123">
        <f t="shared" si="35"/>
        <v>2.13591933813423E-2</v>
      </c>
      <c r="AL84" s="124">
        <f>IFERROR(AK84/AK148, "NA")</f>
        <v>0.12861152836761908</v>
      </c>
    </row>
    <row r="85" spans="1:38" ht="16.5" customHeight="1" x14ac:dyDescent="0.25">
      <c r="A85" s="120" t="s">
        <v>87</v>
      </c>
      <c r="B85" s="131">
        <f>IFERROR(B63+B65+B66+B67+B68+B69+B71+B72+B74+B75+B76+B77+B78+B79+B80+B82+B83, "NA")</f>
        <v>33150.729999999996</v>
      </c>
      <c r="C85" s="132">
        <f>IFERROR(B85/B148, "NA")</f>
        <v>0.2300508973799896</v>
      </c>
      <c r="D85" s="131">
        <f>IFERROR(D63+D65+D66+D67+D68+D69+D71+D72+D74+D75+D76+D77+D78+D79+D80+D82+D83, "NA")</f>
        <v>32851.799999999996</v>
      </c>
      <c r="E85" s="132">
        <f>IFERROR(D85/D148, "NA")</f>
        <v>0.28980633616910423</v>
      </c>
      <c r="F85" s="131">
        <f>IFERROR(F63+F65+F66+F67+F68+F69+F71+F72+F74+F75+F76+F77+F78+F79+F80+F82+F83, "NA")</f>
        <v>33761.440000000002</v>
      </c>
      <c r="G85" s="132">
        <f>IFERROR(F85/F148, "NA")</f>
        <v>0.26388494606846963</v>
      </c>
      <c r="H85" s="131">
        <f>IFERROR(H63+H65+H66+H67+H68+H69+H71+H72+H74+H75+H76+H77+H78+H79+H80+H82+H83, "NA")</f>
        <v>36163.26</v>
      </c>
      <c r="I85" s="132">
        <f>IFERROR(H85/H148, "NA")</f>
        <v>0.28956397726070748</v>
      </c>
      <c r="J85" s="131">
        <f>IFERROR(J63+J65+J66+J67+J68+J69+J71+J72+J74+J75+J76+J77+J78+J79+J80+J82+J83, "NA")</f>
        <v>33228.300000000003</v>
      </c>
      <c r="K85" s="132">
        <f>IFERROR(J85/J148, "NA")</f>
        <v>0.26173304179680146</v>
      </c>
      <c r="L85" s="131">
        <f>IFERROR(L63+L65+L66+L67+L68+L69+L71+L72+L74+L75+L76+L77+L78+L79+L80+L82+L83, "NA")</f>
        <v>32551.15</v>
      </c>
      <c r="M85" s="132">
        <f>IFERROR(L85/L148, "NA")</f>
        <v>0.26416411323808237</v>
      </c>
      <c r="N85" s="131">
        <f>IFERROR(N63+N65+N66+N67+N68+N69+N71+N72+N74+N75+N76+N77+N78+N79+N80+N82+N83, "NA")</f>
        <v>33920.61</v>
      </c>
      <c r="O85" s="132">
        <f>IFERROR(N85/N148, "NA")</f>
        <v>0.26539242516979683</v>
      </c>
      <c r="P85" s="131">
        <f>IFERROR(P63+P65+P66+P67+P68+P69+P71+P72+P74+P75+P76+P77+P78+P79+P80+P82+P83, "NA")</f>
        <v>31736.720000000001</v>
      </c>
      <c r="Q85" s="132">
        <f>IFERROR(P85/P148, "NA")</f>
        <v>0.28548567310203249</v>
      </c>
      <c r="R85" s="131">
        <f>IFERROR(R63+R65+R66+R67+R68+R69+R71+R72+R74+R75+R76+R77+R78+R79+R80+R82+R83, "NA")</f>
        <v>34920.54</v>
      </c>
      <c r="S85" s="132">
        <f>IFERROR(R85/R148, "NA")</f>
        <v>0.25894422685655022</v>
      </c>
      <c r="T85" s="131">
        <f>IFERROR(T63+T65+T66+T67+T68+T69+T71+T72+T74+T75+T76+T77+T78+T79+T80+T82+T83, "NA")</f>
        <v>34947.83</v>
      </c>
      <c r="U85" s="132">
        <f>IFERROR(T85/T148, "NA")</f>
        <v>0.27086956777848675</v>
      </c>
      <c r="V85" s="131">
        <f>IFERROR(V63+V65+V66+V67+V68+V69+V71+V72+V74+V75+V76+V77+V78+V79+V80+V82+V83, "NA")</f>
        <v>36470.14</v>
      </c>
      <c r="W85" s="132">
        <f>IFERROR(V85/V148, "NA")</f>
        <v>0.26919342887116859</v>
      </c>
      <c r="X85" s="131">
        <f>IFERROR(X63+X65+X66+X67+X68+X69+X71+X72+X74+X75+X76+X77+X78+X79+X80+X82+X83, "NA")</f>
        <v>34799.610000000008</v>
      </c>
      <c r="Y85" s="132">
        <f>IFERROR(X85/X148, "NA")</f>
        <v>0.2295369626919764</v>
      </c>
      <c r="Z85" s="131">
        <f>IFERROR(Z63+Z65+Z66+Z67+Z68+Z69+Z71+Z72+Z74+Z75+Z76+Z77+Z78+Z79+Z80+Z82+Z83, "NA")</f>
        <v>71269.75</v>
      </c>
      <c r="AA85" s="132">
        <f>IFERROR(Z85/Z148, "NA")</f>
        <v>0.24825124549274544</v>
      </c>
      <c r="AB85" s="131">
        <f t="shared" si="30"/>
        <v>35284.53</v>
      </c>
      <c r="AC85" s="132">
        <f>IFERROR(AB85/AB148, "NA")</f>
        <v>0.2561651053830164</v>
      </c>
      <c r="AD85" s="133">
        <f t="shared" si="31"/>
        <v>-484.91999999999098</v>
      </c>
      <c r="AE85" s="134">
        <f>IFERROR(AD85/AD148, "NA")</f>
        <v>-3.4970587408078214E-2</v>
      </c>
      <c r="AF85" s="133">
        <f t="shared" si="32"/>
        <v>-1.3743133322166711E-2</v>
      </c>
      <c r="AG85" s="131">
        <f t="shared" si="33"/>
        <v>34071.862500000003</v>
      </c>
      <c r="AH85" s="132">
        <f>IFERROR(AG85/AG148, "NA")</f>
        <v>0.26205998422803561</v>
      </c>
      <c r="AI85" s="133">
        <f t="shared" si="34"/>
        <v>727.74750000000495</v>
      </c>
      <c r="AJ85" s="134">
        <f>IFERROR(AI85/AI148, "NA")</f>
        <v>3.3703935095561806E-2</v>
      </c>
      <c r="AK85" s="133">
        <f t="shared" si="35"/>
        <v>2.13591933813423E-2</v>
      </c>
      <c r="AL85" s="134">
        <f>IFERROR(AK85/AK148, "NA")</f>
        <v>0.12861152836761908</v>
      </c>
    </row>
    <row r="86" spans="1:38" ht="3.75" customHeight="1" x14ac:dyDescent="0.25">
      <c r="A86" s="8" t="s">
        <v>2</v>
      </c>
      <c r="B86" s="138"/>
      <c r="C86" s="126"/>
      <c r="D86" s="138"/>
      <c r="E86" s="126"/>
      <c r="F86" s="138"/>
      <c r="G86" s="126"/>
      <c r="H86" s="138"/>
      <c r="I86" s="126"/>
      <c r="J86" s="138"/>
      <c r="K86" s="126"/>
      <c r="L86" s="138"/>
      <c r="M86" s="126"/>
      <c r="N86" s="138"/>
      <c r="O86" s="126"/>
      <c r="P86" s="138"/>
      <c r="Q86" s="126"/>
      <c r="R86" s="138"/>
      <c r="S86" s="126"/>
      <c r="T86" s="138"/>
      <c r="U86" s="126"/>
      <c r="V86" s="138"/>
      <c r="W86" s="126"/>
      <c r="X86" s="138"/>
      <c r="Y86" s="126"/>
      <c r="Z86" s="138"/>
      <c r="AA86" s="126"/>
      <c r="AB86" s="138"/>
      <c r="AC86" s="126"/>
      <c r="AD86" s="139"/>
      <c r="AE86" s="128"/>
      <c r="AF86" s="139"/>
      <c r="AG86" s="138"/>
      <c r="AH86" s="126"/>
      <c r="AI86" s="139"/>
      <c r="AJ86" s="128"/>
      <c r="AK86" s="139"/>
      <c r="AL86" s="128"/>
    </row>
    <row r="87" spans="1:38" ht="16.5" customHeight="1" x14ac:dyDescent="0.25">
      <c r="A87" s="135" t="s">
        <v>88</v>
      </c>
      <c r="B87" s="136">
        <f>IFERROR(B59-B85, "NA")</f>
        <v>76693.630000000092</v>
      </c>
      <c r="C87" s="137">
        <f>IFERROR(B87/B148, "NA")</f>
        <v>0.5322186994020619</v>
      </c>
      <c r="D87" s="136">
        <f>IFERROR(D59-D85, "NA")</f>
        <v>49798.630000000026</v>
      </c>
      <c r="E87" s="137">
        <f>IFERROR(D87/D148, "NA")</f>
        <v>0.43930495456994284</v>
      </c>
      <c r="F87" s="136">
        <f>IFERROR(F59-F85, "NA")</f>
        <v>61583.759999999951</v>
      </c>
      <c r="G87" s="137">
        <f>IFERROR(F87/F148, "NA")</f>
        <v>0.48134875722995119</v>
      </c>
      <c r="H87" s="136">
        <f>IFERROR(H59-H85, "NA")</f>
        <v>58026.380000000041</v>
      </c>
      <c r="I87" s="137">
        <f>IFERROR(H87/H148, "NA")</f>
        <v>0.46462485347950333</v>
      </c>
      <c r="J87" s="136">
        <f>IFERROR(J59-J85, "NA")</f>
        <v>62617.309999999983</v>
      </c>
      <c r="K87" s="137">
        <f>IFERROR(J87/J148, "NA")</f>
        <v>0.49322472156063557</v>
      </c>
      <c r="L87" s="136">
        <f>IFERROR(L59-L85, "NA")</f>
        <v>61688.850000000028</v>
      </c>
      <c r="M87" s="137">
        <f>IFERROR(L87/L148, "NA")</f>
        <v>0.50062687053843213</v>
      </c>
      <c r="N87" s="136">
        <f>IFERROR(N59-N85, "NA")</f>
        <v>64570.98000000001</v>
      </c>
      <c r="O87" s="137">
        <f>IFERROR(N87/N148, "NA")</f>
        <v>0.50519872660870346</v>
      </c>
      <c r="P87" s="136">
        <f>IFERROR(P59-P85, "NA")</f>
        <v>50864.419999999969</v>
      </c>
      <c r="Q87" s="137">
        <f>IFERROR(P87/P148, "NA")</f>
        <v>0.45754769808110202</v>
      </c>
      <c r="R87" s="136">
        <f>IFERROR(R59-R85, "NA")</f>
        <v>66494.060000000027</v>
      </c>
      <c r="S87" s="137">
        <f>IFERROR(R87/R148, "NA")</f>
        <v>0.49306949311932374</v>
      </c>
      <c r="T87" s="136">
        <f>IFERROR(T59-T85, "NA")</f>
        <v>61737.760000000038</v>
      </c>
      <c r="U87" s="137">
        <f>IFERROR(T87/T148, "NA")</f>
        <v>0.47850983499725042</v>
      </c>
      <c r="V87" s="136">
        <f>IFERROR(V59-V85, "NA")</f>
        <v>63794.270000000033</v>
      </c>
      <c r="W87" s="137">
        <f>IFERROR(V87/V148, "NA")</f>
        <v>0.4708783208299484</v>
      </c>
      <c r="X87" s="136">
        <f>IFERROR(X59-X85, "NA")</f>
        <v>87009.249999999971</v>
      </c>
      <c r="Y87" s="137">
        <f>IFERROR(X87/X148, "NA")</f>
        <v>0.57390985045829068</v>
      </c>
      <c r="Z87" s="136">
        <f>IFERROR(Z59-Z85, "NA")</f>
        <v>150803.52000000005</v>
      </c>
      <c r="AA87" s="137">
        <f>IFERROR(Z87/Z148, "NA")</f>
        <v>0.52528824171110688</v>
      </c>
      <c r="AB87" s="136">
        <f>IFERROR((R87+T87+V87+X87)/4, "NA")</f>
        <v>69758.835000000021</v>
      </c>
      <c r="AC87" s="137">
        <f>IFERROR(AB87/AB148, "NA")</f>
        <v>0.50644799063984869</v>
      </c>
      <c r="AD87" s="123">
        <f>IFERROR(X87-AB87, "NA")</f>
        <v>17250.41499999995</v>
      </c>
      <c r="AE87" s="124">
        <f>IFERROR(AD87/AD148, "NA")</f>
        <v>1.2440343676959766</v>
      </c>
      <c r="AF87" s="123">
        <f>IFERROR((X87-AB87)/AB87, "NA")</f>
        <v>0.24728645482683226</v>
      </c>
      <c r="AG87" s="136">
        <f>IFERROR((J87+L87+N87+P87+R87+T87+V87+X87)/8, "NA")</f>
        <v>64847.112500000003</v>
      </c>
      <c r="AH87" s="137">
        <f>IFERROR(AG87/AG148, "NA")</f>
        <v>0.49876443587384311</v>
      </c>
      <c r="AI87" s="123">
        <f>IFERROR(X87-AG87, "NA")</f>
        <v>22162.137499999968</v>
      </c>
      <c r="AJ87" s="124">
        <f>IFERROR(AI87/AI148, "NA")</f>
        <v>1.0263879214685179</v>
      </c>
      <c r="AK87" s="123">
        <f>IFERROR((X87-AG87)/AG87, "NA")</f>
        <v>0.34175982006908889</v>
      </c>
      <c r="AL87" s="124">
        <f>IFERROR(AK87/AK148, "NA")</f>
        <v>2.0578610815951022</v>
      </c>
    </row>
    <row r="88" spans="1:38" ht="3.75" customHeight="1" x14ac:dyDescent="0.25">
      <c r="A88" s="8" t="s">
        <v>2</v>
      </c>
      <c r="B88" s="138"/>
      <c r="C88" s="126"/>
      <c r="D88" s="138"/>
      <c r="E88" s="126"/>
      <c r="F88" s="138"/>
      <c r="G88" s="126"/>
      <c r="H88" s="138"/>
      <c r="I88" s="126"/>
      <c r="J88" s="138"/>
      <c r="K88" s="126"/>
      <c r="L88" s="138"/>
      <c r="M88" s="126"/>
      <c r="N88" s="138"/>
      <c r="O88" s="126"/>
      <c r="P88" s="138"/>
      <c r="Q88" s="126"/>
      <c r="R88" s="138"/>
      <c r="S88" s="126"/>
      <c r="T88" s="138"/>
      <c r="U88" s="126"/>
      <c r="V88" s="138"/>
      <c r="W88" s="126"/>
      <c r="X88" s="138"/>
      <c r="Y88" s="126"/>
      <c r="Z88" s="138"/>
      <c r="AA88" s="126"/>
      <c r="AB88" s="138"/>
      <c r="AC88" s="126"/>
      <c r="AD88" s="139"/>
      <c r="AE88" s="128"/>
      <c r="AF88" s="139"/>
      <c r="AG88" s="138"/>
      <c r="AH88" s="126"/>
      <c r="AI88" s="139"/>
      <c r="AJ88" s="128"/>
      <c r="AK88" s="139"/>
      <c r="AL88" s="128"/>
    </row>
    <row r="89" spans="1:38" ht="16.5" hidden="1" customHeight="1" x14ac:dyDescent="0.25">
      <c r="A89" s="1" t="s">
        <v>89</v>
      </c>
      <c r="B89" s="111"/>
      <c r="C89" s="112"/>
      <c r="D89" s="111"/>
      <c r="E89" s="112"/>
      <c r="F89" s="111"/>
      <c r="G89" s="112"/>
      <c r="H89" s="111"/>
      <c r="I89" s="112"/>
      <c r="J89" s="111"/>
      <c r="K89" s="112"/>
      <c r="L89" s="111"/>
      <c r="M89" s="112"/>
      <c r="N89" s="111"/>
      <c r="O89" s="112"/>
      <c r="P89" s="111"/>
      <c r="Q89" s="112"/>
      <c r="R89" s="111"/>
      <c r="S89" s="112"/>
      <c r="T89" s="111"/>
      <c r="U89" s="112"/>
      <c r="V89" s="111"/>
      <c r="W89" s="112"/>
      <c r="X89" s="111"/>
      <c r="Y89" s="112"/>
      <c r="Z89" s="111"/>
      <c r="AA89" s="112"/>
      <c r="AB89" s="111"/>
      <c r="AC89" s="112"/>
      <c r="AD89" s="113"/>
      <c r="AE89" s="114"/>
      <c r="AF89" s="113"/>
      <c r="AG89" s="111"/>
      <c r="AH89" s="112"/>
      <c r="AI89" s="113"/>
      <c r="AJ89" s="114"/>
      <c r="AK89" s="113"/>
      <c r="AL89" s="114"/>
    </row>
    <row r="90" spans="1:38" ht="16.5" hidden="1" customHeight="1" x14ac:dyDescent="0.25">
      <c r="A90" s="2" t="s">
        <v>90</v>
      </c>
      <c r="B90" s="115">
        <v>3249.4299999999994</v>
      </c>
      <c r="C90" s="116">
        <f>IFERROR(B90/B148, "NA")</f>
        <v>2.2549557354346633E-2</v>
      </c>
      <c r="D90" s="115">
        <v>2727.7499999999995</v>
      </c>
      <c r="E90" s="116">
        <f>IFERROR(D90/D148, "NA")</f>
        <v>2.4063193903690942E-2</v>
      </c>
      <c r="F90" s="115">
        <v>1807.8100000000002</v>
      </c>
      <c r="G90" s="116">
        <f>IFERROR(F90/F148, "NA")</f>
        <v>1.4130139127716119E-2</v>
      </c>
      <c r="H90" s="115">
        <v>2241.21</v>
      </c>
      <c r="I90" s="116">
        <f>IFERROR(H90/H148, "NA")</f>
        <v>1.7945663125406013E-2</v>
      </c>
      <c r="J90" s="115">
        <v>2573.41</v>
      </c>
      <c r="K90" s="116">
        <f>IFERROR(J90/J148, "NA")</f>
        <v>2.027026441588365E-2</v>
      </c>
      <c r="L90" s="115">
        <v>2906.4399999999996</v>
      </c>
      <c r="M90" s="116">
        <f>IFERROR(L90/L148, "NA")</f>
        <v>2.3586790183440277E-2</v>
      </c>
      <c r="N90" s="115">
        <v>3012.8099999999995</v>
      </c>
      <c r="O90" s="116">
        <f>IFERROR(N90/N148, "NA")</f>
        <v>2.3572009833426211E-2</v>
      </c>
      <c r="P90" s="115">
        <v>2801.81</v>
      </c>
      <c r="Q90" s="116">
        <f>IFERROR(P90/P148, "NA")</f>
        <v>2.5203506025638613E-2</v>
      </c>
      <c r="R90" s="115">
        <v>2929.91</v>
      </c>
      <c r="S90" s="116">
        <f>IFERROR(R90/R148, "NA")</f>
        <v>2.1725989337772984E-2</v>
      </c>
      <c r="T90" s="115">
        <v>2777.24</v>
      </c>
      <c r="U90" s="116">
        <f>IFERROR(T90/T148, "NA")</f>
        <v>2.152550811930596E-2</v>
      </c>
      <c r="V90" s="115">
        <v>2153.87</v>
      </c>
      <c r="W90" s="116">
        <f>IFERROR(V90/V148, "NA")</f>
        <v>1.589814710452836E-2</v>
      </c>
      <c r="X90" s="115">
        <v>1987.0200000000002</v>
      </c>
      <c r="Y90" s="116">
        <f>IFERROR(X90/X148, "NA")</f>
        <v>1.3106311697407266E-2</v>
      </c>
      <c r="Z90" s="115">
        <v>4140.8900000000003</v>
      </c>
      <c r="AA90" s="116">
        <f>IFERROR(Z90/Z148, "NA")</f>
        <v>1.4423806733550416E-2</v>
      </c>
      <c r="AB90" s="117">
        <f t="shared" ref="AB90:AB99" si="36">IFERROR((R90+T90+V90+X90)/4, "NA")</f>
        <v>2462.0099999999998</v>
      </c>
      <c r="AC90" s="116">
        <f>IFERROR(AB90/AB148, "NA")</f>
        <v>1.7874151961328102E-2</v>
      </c>
      <c r="AD90" s="118">
        <f t="shared" ref="AD90:AD99" si="37">IFERROR(X90-AB90, "NA")</f>
        <v>-474.98999999999955</v>
      </c>
      <c r="AE90" s="119">
        <f>IFERROR(AD90/AD148, "NA")</f>
        <v>-3.4254473548138591E-2</v>
      </c>
      <c r="AF90" s="118">
        <f t="shared" ref="AF90:AF99" si="38">IFERROR((X90-AB90)/AB90, "NA")</f>
        <v>-0.19292772978176351</v>
      </c>
      <c r="AG90" s="117">
        <f t="shared" ref="AG90:AG99" si="39">IFERROR((J90+L90+N90+P90+R90+T90+V90+X90)/8, "NA")</f>
        <v>2642.8137499999998</v>
      </c>
      <c r="AH90" s="116">
        <f>IFERROR(AG90/AG148, "NA")</f>
        <v>2.032691138157286E-2</v>
      </c>
      <c r="AI90" s="118">
        <f t="shared" ref="AI90:AI99" si="40">IFERROR(X90-AG90, "NA")</f>
        <v>-655.79374999999959</v>
      </c>
      <c r="AJ90" s="119">
        <f>IFERROR(AI90/AI148, "NA")</f>
        <v>-3.0371564294037316E-2</v>
      </c>
      <c r="AK90" s="118">
        <f t="shared" ref="AK90:AK99" si="41">IFERROR((X90-AG90)/AG90, "NA")</f>
        <v>-0.24814224990315706</v>
      </c>
      <c r="AL90" s="119">
        <f>IFERROR(AK90/AK148, "NA")</f>
        <v>-1.4941553944870505</v>
      </c>
    </row>
    <row r="91" spans="1:38" ht="16.5" hidden="1" customHeight="1" x14ac:dyDescent="0.25">
      <c r="A91" s="2" t="s">
        <v>91</v>
      </c>
      <c r="B91" s="115">
        <v>3947.0099999999998</v>
      </c>
      <c r="C91" s="116">
        <f>IFERROR(B91/B148, "NA")</f>
        <v>2.7390443361814138E-2</v>
      </c>
      <c r="D91" s="115">
        <v>3981.48</v>
      </c>
      <c r="E91" s="116">
        <f>IFERROR(D91/D148, "NA")</f>
        <v>3.5123132715119576E-2</v>
      </c>
      <c r="F91" s="115">
        <v>3814.29</v>
      </c>
      <c r="G91" s="116">
        <f>IFERROR(F91/F148, "NA")</f>
        <v>2.9813115522901359E-2</v>
      </c>
      <c r="H91" s="115">
        <v>6868.91</v>
      </c>
      <c r="I91" s="116">
        <f>IFERROR(H91/H148, "NA")</f>
        <v>5.5000265436408284E-2</v>
      </c>
      <c r="J91" s="115">
        <v>6977.4700000000012</v>
      </c>
      <c r="K91" s="116">
        <f>IFERROR(J91/J148, "NA")</f>
        <v>5.4960213045684804E-2</v>
      </c>
      <c r="L91" s="115">
        <v>6584.36</v>
      </c>
      <c r="M91" s="116">
        <f>IFERROR(L91/L148, "NA")</f>
        <v>5.3434413857584136E-2</v>
      </c>
      <c r="N91" s="115">
        <v>3386.75</v>
      </c>
      <c r="O91" s="116">
        <f>IFERROR(N91/N148, "NA")</f>
        <v>2.6497689633052279E-2</v>
      </c>
      <c r="P91" s="115">
        <v>1560.85</v>
      </c>
      <c r="Q91" s="116">
        <f>IFERROR(P91/P148, "NA")</f>
        <v>1.4040528222869513E-2</v>
      </c>
      <c r="R91" s="115">
        <v>1389.9199999999998</v>
      </c>
      <c r="S91" s="116">
        <f>IFERROR(R91/R148, "NA")</f>
        <v>1.0306592045611443E-2</v>
      </c>
      <c r="T91" s="115">
        <v>1739.2399999999998</v>
      </c>
      <c r="U91" s="116">
        <f>IFERROR(T91/T148, "NA")</f>
        <v>1.3480298692738726E-2</v>
      </c>
      <c r="V91" s="115">
        <v>1922.7399999999998</v>
      </c>
      <c r="W91" s="116">
        <f>IFERROR(V91/V148, "NA")</f>
        <v>1.4192130148876606E-2</v>
      </c>
      <c r="X91" s="115">
        <v>2444.6799999999998</v>
      </c>
      <c r="Y91" s="116">
        <f>IFERROR(X91/X148, "NA")</f>
        <v>1.6125020422752458E-2</v>
      </c>
      <c r="Z91" s="115">
        <v>4367.42</v>
      </c>
      <c r="AA91" s="116">
        <f>IFERROR(Z91/Z148, "NA")</f>
        <v>1.5212870181106659E-2</v>
      </c>
      <c r="AB91" s="117">
        <f t="shared" si="36"/>
        <v>1874.145</v>
      </c>
      <c r="AC91" s="116">
        <f>IFERROR(AB91/AB148, "NA")</f>
        <v>1.3606261764803253E-2</v>
      </c>
      <c r="AD91" s="118">
        <f t="shared" si="37"/>
        <v>570.53499999999985</v>
      </c>
      <c r="AE91" s="119">
        <f>IFERROR(AD91/AD148, "NA")</f>
        <v>4.1144815818832531E-2</v>
      </c>
      <c r="AF91" s="118">
        <f t="shared" si="38"/>
        <v>0.30442415074607349</v>
      </c>
      <c r="AG91" s="117">
        <f t="shared" si="39"/>
        <v>3250.7512499999993</v>
      </c>
      <c r="AH91" s="116">
        <f>IFERROR(AG91/AG148, "NA")</f>
        <v>2.5002795820283284E-2</v>
      </c>
      <c r="AI91" s="118">
        <f t="shared" si="40"/>
        <v>-806.07124999999951</v>
      </c>
      <c r="AJ91" s="119">
        <f>IFERROR(AI91/AI148, "NA")</f>
        <v>-3.7331317651243284E-2</v>
      </c>
      <c r="AK91" s="118">
        <f t="shared" si="41"/>
        <v>-0.247964605104743</v>
      </c>
      <c r="AL91" s="119">
        <f>IFERROR(AK91/AK148, "NA")</f>
        <v>-1.4930857300749785</v>
      </c>
    </row>
    <row r="92" spans="1:38" ht="16.5" hidden="1" customHeight="1" x14ac:dyDescent="0.25">
      <c r="A92" s="2" t="s">
        <v>92</v>
      </c>
      <c r="B92" s="115">
        <v>2449.08</v>
      </c>
      <c r="C92" s="116">
        <f>IFERROR(B92/B148, "NA")</f>
        <v>1.6995494571473539E-2</v>
      </c>
      <c r="D92" s="115">
        <v>2086.89</v>
      </c>
      <c r="E92" s="116">
        <f>IFERROR(D92/D148, "NA")</f>
        <v>1.8409765823727831E-2</v>
      </c>
      <c r="F92" s="115">
        <v>2096.62</v>
      </c>
      <c r="G92" s="116">
        <f>IFERROR(F92/F148, "NA")</f>
        <v>1.6387525402532438E-2</v>
      </c>
      <c r="H92" s="115">
        <v>2132.9500000000003</v>
      </c>
      <c r="I92" s="116">
        <f>IFERROR(H92/H148, "NA")</f>
        <v>1.7078811072293431E-2</v>
      </c>
      <c r="J92" s="115">
        <v>1781.1299999999999</v>
      </c>
      <c r="K92" s="116">
        <f>IFERROR(J92/J148, "NA")</f>
        <v>1.402962452895685E-2</v>
      </c>
      <c r="L92" s="115">
        <v>2064.7399999999998</v>
      </c>
      <c r="M92" s="116">
        <f>IFERROR(L92/L148, "NA")</f>
        <v>1.6756096517855687E-2</v>
      </c>
      <c r="N92" s="115">
        <v>1726.78</v>
      </c>
      <c r="O92" s="116">
        <f>IFERROR(N92/N148, "NA")</f>
        <v>1.3510203145954681E-2</v>
      </c>
      <c r="P92" s="115">
        <v>1602.3400000000001</v>
      </c>
      <c r="Q92" s="116">
        <f>IFERROR(P92/P148, "NA")</f>
        <v>1.4413748914138283E-2</v>
      </c>
      <c r="R92" s="115">
        <v>2301.19</v>
      </c>
      <c r="S92" s="116">
        <f>IFERROR(R92/R148, "NA")</f>
        <v>1.7063878891907882E-2</v>
      </c>
      <c r="T92" s="115">
        <v>2152.9799999999996</v>
      </c>
      <c r="U92" s="116">
        <f>IFERROR(T92/T148, "NA")</f>
        <v>1.6687066465520928E-2</v>
      </c>
      <c r="V92" s="115">
        <v>65.56</v>
      </c>
      <c r="W92" s="116">
        <f>IFERROR(V92/V148, "NA")</f>
        <v>4.8391152863119839E-4</v>
      </c>
      <c r="X92" s="115">
        <v>59.599999999999994</v>
      </c>
      <c r="Y92" s="116">
        <f>IFERROR(X92/X148, "NA")</f>
        <v>3.9311943370749813E-4</v>
      </c>
      <c r="Z92" s="115">
        <v>125.16000000000001</v>
      </c>
      <c r="AA92" s="116">
        <f>IFERROR(Z92/Z148, "NA")</f>
        <v>4.3596513087069933E-4</v>
      </c>
      <c r="AB92" s="117">
        <f t="shared" si="36"/>
        <v>1144.8325000000002</v>
      </c>
      <c r="AC92" s="116">
        <f>IFERROR(AB92/AB148, "NA")</f>
        <v>8.3114650530530573E-3</v>
      </c>
      <c r="AD92" s="118">
        <f t="shared" si="37"/>
        <v>-1085.2325000000003</v>
      </c>
      <c r="AE92" s="119">
        <f>IFERROR(AD92/AD148, "NA")</f>
        <v>-7.8262843354239789E-2</v>
      </c>
      <c r="AF92" s="118">
        <f t="shared" si="38"/>
        <v>-0.947939982486521</v>
      </c>
      <c r="AG92" s="117">
        <f t="shared" si="39"/>
        <v>1469.29</v>
      </c>
      <c r="AH92" s="116">
        <f>IFERROR(AG92/AG148, "NA")</f>
        <v>1.1300882487020202E-2</v>
      </c>
      <c r="AI92" s="118">
        <f t="shared" si="40"/>
        <v>-1409.69</v>
      </c>
      <c r="AJ92" s="119">
        <f>IFERROR(AI92/AI148, "NA")</f>
        <v>-6.5286518009147684E-2</v>
      </c>
      <c r="AK92" s="118">
        <f t="shared" si="41"/>
        <v>-0.95943619026876936</v>
      </c>
      <c r="AL92" s="119">
        <f>IFERROR(AK92/AK148, "NA")</f>
        <v>-5.7771167945630335</v>
      </c>
    </row>
    <row r="93" spans="1:38" ht="16.5" hidden="1" customHeight="1" x14ac:dyDescent="0.25">
      <c r="A93" s="2" t="s">
        <v>93</v>
      </c>
      <c r="B93" s="115">
        <v>13171.34</v>
      </c>
      <c r="C93" s="116">
        <f>IFERROR(B93/B148, "NA")</f>
        <v>9.1403072773871122E-2</v>
      </c>
      <c r="D93" s="115">
        <v>8902.130000000001</v>
      </c>
      <c r="E93" s="116">
        <f>IFERROR(D93/D148, "NA")</f>
        <v>7.8531273154014952E-2</v>
      </c>
      <c r="F93" s="115">
        <v>10948.640000000001</v>
      </c>
      <c r="G93" s="116">
        <f>IFERROR(F93/F148, "NA")</f>
        <v>8.5576363920587789E-2</v>
      </c>
      <c r="H93" s="115">
        <v>11301.440000000002</v>
      </c>
      <c r="I93" s="116">
        <f>IFERROR(H93/H148, "NA")</f>
        <v>9.0492115898103506E-2</v>
      </c>
      <c r="J93" s="115">
        <v>11272.529999999999</v>
      </c>
      <c r="K93" s="116">
        <f>IFERROR(J93/J148, "NA")</f>
        <v>8.8791589267151722E-2</v>
      </c>
      <c r="L93" s="115">
        <v>10970.989999999998</v>
      </c>
      <c r="M93" s="116">
        <f>IFERROR(L93/L148, "NA")</f>
        <v>8.9033470236654269E-2</v>
      </c>
      <c r="N93" s="115">
        <v>13335.71</v>
      </c>
      <c r="O93" s="116">
        <f>IFERROR(N93/N148, "NA")</f>
        <v>0.10433764069281512</v>
      </c>
      <c r="P93" s="115">
        <v>8314.4</v>
      </c>
      <c r="Q93" s="116">
        <f>IFERROR(P93/P148, "NA")</f>
        <v>7.4791663424561158E-2</v>
      </c>
      <c r="R93" s="115">
        <v>10062.51</v>
      </c>
      <c r="S93" s="116">
        <f>IFERROR(R93/R148, "NA")</f>
        <v>7.4615938705023033E-2</v>
      </c>
      <c r="T93" s="115">
        <v>12978.249999999998</v>
      </c>
      <c r="U93" s="116">
        <f>IFERROR(T93/T148, "NA")</f>
        <v>0.10059030755332005</v>
      </c>
      <c r="V93" s="115">
        <v>11788.52</v>
      </c>
      <c r="W93" s="116">
        <f>IFERROR(V93/V148, "NA")</f>
        <v>8.7013434007008159E-2</v>
      </c>
      <c r="X93" s="115">
        <v>13527.039999999999</v>
      </c>
      <c r="Y93" s="116">
        <f>IFERROR(X93/X148, "NA")</f>
        <v>8.9223864170112008E-2</v>
      </c>
      <c r="Z93" s="115">
        <v>25315.559999999998</v>
      </c>
      <c r="AA93" s="116">
        <f>IFERROR(Z93/Z148, "NA")</f>
        <v>8.8180740080417375E-2</v>
      </c>
      <c r="AB93" s="117">
        <f t="shared" si="36"/>
        <v>12089.08</v>
      </c>
      <c r="AC93" s="116">
        <f>IFERROR(AB93/AB148, "NA")</f>
        <v>8.7766521254037291E-2</v>
      </c>
      <c r="AD93" s="118">
        <f t="shared" si="37"/>
        <v>1437.9599999999991</v>
      </c>
      <c r="AE93" s="119">
        <f>IFERROR(AD93/AD148, "NA")</f>
        <v>0.10370021007448869</v>
      </c>
      <c r="AF93" s="118">
        <f t="shared" si="38"/>
        <v>0.11894701664642794</v>
      </c>
      <c r="AG93" s="117">
        <f t="shared" si="39"/>
        <v>11531.24375</v>
      </c>
      <c r="AH93" s="116">
        <f>IFERROR(AG93/AG148, "NA")</f>
        <v>8.8691293446451117E-2</v>
      </c>
      <c r="AI93" s="118">
        <f t="shared" si="40"/>
        <v>1995.7962499999994</v>
      </c>
      <c r="AJ93" s="119">
        <f>IFERROR(AI93/AI148, "NA")</f>
        <v>9.2430667606505229E-2</v>
      </c>
      <c r="AK93" s="118">
        <f t="shared" si="41"/>
        <v>0.17307727538063702</v>
      </c>
      <c r="AL93" s="119">
        <f>IFERROR(AK93/AK148, "NA")</f>
        <v>1.0421616825591997</v>
      </c>
    </row>
    <row r="94" spans="1:38" ht="16.5" hidden="1" customHeight="1" x14ac:dyDescent="0.25">
      <c r="A94" s="2" t="s">
        <v>94</v>
      </c>
      <c r="B94" s="115">
        <v>3880.6099999999997</v>
      </c>
      <c r="C94" s="116">
        <f>IFERROR(B94/B148, "NA")</f>
        <v>2.6929657744543228E-2</v>
      </c>
      <c r="D94" s="115">
        <v>3070.28</v>
      </c>
      <c r="E94" s="116">
        <f>IFERROR(D94/D148, "NA")</f>
        <v>2.708486590729511E-2</v>
      </c>
      <c r="F94" s="115">
        <v>3448.5699999999997</v>
      </c>
      <c r="G94" s="116">
        <f>IFERROR(F94/F148, "NA")</f>
        <v>2.6954588088166326E-2</v>
      </c>
      <c r="H94" s="115">
        <v>3237.78</v>
      </c>
      <c r="I94" s="116">
        <f>IFERROR(H94/H148, "NA")</f>
        <v>2.5925330136032359E-2</v>
      </c>
      <c r="J94" s="115">
        <v>3570.71</v>
      </c>
      <c r="K94" s="116">
        <f>IFERROR(J94/J148, "NA")</f>
        <v>2.8125808111587314E-2</v>
      </c>
      <c r="L94" s="115">
        <v>3353.83</v>
      </c>
      <c r="M94" s="116">
        <f>IFERROR(L94/L148, "NA")</f>
        <v>2.7217518517818194E-2</v>
      </c>
      <c r="N94" s="115">
        <v>3261.43</v>
      </c>
      <c r="O94" s="116">
        <f>IFERROR(N94/N148, "NA")</f>
        <v>2.5517194921362868E-2</v>
      </c>
      <c r="P94" s="115">
        <v>2847.27</v>
      </c>
      <c r="Q94" s="116">
        <f>IFERROR(P94/P148, "NA")</f>
        <v>2.5612438602767518E-2</v>
      </c>
      <c r="R94" s="115">
        <v>3133.2999999999997</v>
      </c>
      <c r="S94" s="116">
        <f>IFERROR(R94/R148, "NA")</f>
        <v>2.3234175244988442E-2</v>
      </c>
      <c r="T94" s="115">
        <v>3383.58</v>
      </c>
      <c r="U94" s="116">
        <f>IFERROR(T94/T148, "NA")</f>
        <v>2.6225057525572606E-2</v>
      </c>
      <c r="V94" s="115">
        <v>3177.1900000000005</v>
      </c>
      <c r="W94" s="116">
        <f>IFERROR(V94/V148, "NA")</f>
        <v>2.345147757247952E-2</v>
      </c>
      <c r="X94" s="115">
        <v>3575.36</v>
      </c>
      <c r="Y94" s="116">
        <f>IFERROR(X94/X148, "NA")</f>
        <v>2.3582944605712093E-2</v>
      </c>
      <c r="Z94" s="115">
        <v>6752.5499999999993</v>
      </c>
      <c r="AA94" s="116">
        <f>IFERROR(Z94/Z148, "NA")</f>
        <v>2.3520903998569351E-2</v>
      </c>
      <c r="AB94" s="117">
        <f t="shared" si="36"/>
        <v>3317.3575000000001</v>
      </c>
      <c r="AC94" s="116">
        <f>IFERROR(AB94/AB148, "NA")</f>
        <v>2.4083960692706973E-2</v>
      </c>
      <c r="AD94" s="118">
        <f t="shared" si="37"/>
        <v>258.00250000000005</v>
      </c>
      <c r="AE94" s="119">
        <f>IFERROR(AD94/AD148, "NA")</f>
        <v>1.8606159733054666E-2</v>
      </c>
      <c r="AF94" s="118">
        <f t="shared" si="38"/>
        <v>7.7773498937030464E-2</v>
      </c>
      <c r="AG94" s="117">
        <f t="shared" si="39"/>
        <v>3287.8337499999998</v>
      </c>
      <c r="AH94" s="116">
        <f>IFERROR(AG94/AG148, "NA")</f>
        <v>2.5288011791823915E-2</v>
      </c>
      <c r="AI94" s="118">
        <f t="shared" si="40"/>
        <v>287.52625000000035</v>
      </c>
      <c r="AJ94" s="119">
        <f>IFERROR(AI94/AI148, "NA")</f>
        <v>1.3316110420537651E-2</v>
      </c>
      <c r="AK94" s="118">
        <f t="shared" si="41"/>
        <v>8.7451578109750946E-2</v>
      </c>
      <c r="AL94" s="119">
        <f>IFERROR(AK94/AK148, "NA")</f>
        <v>0.5265779900040618</v>
      </c>
    </row>
    <row r="95" spans="1:38" ht="16.5" hidden="1" customHeight="1" x14ac:dyDescent="0.25">
      <c r="A95" s="2" t="s">
        <v>95</v>
      </c>
      <c r="B95" s="115">
        <v>4399.22</v>
      </c>
      <c r="C95" s="116">
        <f>IFERROR(B95/B148, "NA")</f>
        <v>3.0528573843532195E-2</v>
      </c>
      <c r="D95" s="115">
        <v>0</v>
      </c>
      <c r="E95" s="116">
        <f>IFERROR(D95/D148, "NA")</f>
        <v>0</v>
      </c>
      <c r="F95" s="115">
        <v>0</v>
      </c>
      <c r="G95" s="116">
        <f>IFERROR(F95/F148, "NA")</f>
        <v>0</v>
      </c>
      <c r="H95" s="115">
        <v>0</v>
      </c>
      <c r="I95" s="116">
        <f>IFERROR(H95/H148, "NA")</f>
        <v>0</v>
      </c>
      <c r="J95" s="115">
        <v>4545.34</v>
      </c>
      <c r="K95" s="116">
        <f>IFERROR(J95/J148, "NA")</f>
        <v>3.5802784499979638E-2</v>
      </c>
      <c r="L95" s="115">
        <v>0</v>
      </c>
      <c r="M95" s="116">
        <f>IFERROR(L95/L148, "NA")</f>
        <v>0</v>
      </c>
      <c r="N95" s="115">
        <v>0</v>
      </c>
      <c r="O95" s="116">
        <f>IFERROR(N95/N148, "NA")</f>
        <v>0</v>
      </c>
      <c r="P95" s="115">
        <v>0</v>
      </c>
      <c r="Q95" s="116">
        <f>IFERROR(P95/P148, "NA")</f>
        <v>0</v>
      </c>
      <c r="R95" s="115">
        <v>-41</v>
      </c>
      <c r="S95" s="116">
        <f>IFERROR(R95/R148, "NA")</f>
        <v>-3.040248891087755E-4</v>
      </c>
      <c r="T95" s="115">
        <v>4545.34</v>
      </c>
      <c r="U95" s="116">
        <f>IFERROR(T95/T148, "NA")</f>
        <v>3.5229491536563698E-2</v>
      </c>
      <c r="V95" s="115">
        <v>0</v>
      </c>
      <c r="W95" s="116">
        <f>IFERROR(V95/V148, "NA")</f>
        <v>0</v>
      </c>
      <c r="X95" s="115">
        <v>0</v>
      </c>
      <c r="Y95" s="116">
        <f>IFERROR(X95/X148, "NA")</f>
        <v>0</v>
      </c>
      <c r="Z95" s="115">
        <v>0</v>
      </c>
      <c r="AA95" s="116">
        <f>IFERROR(Z95/Z148, "NA")</f>
        <v>0</v>
      </c>
      <c r="AB95" s="117">
        <f t="shared" si="36"/>
        <v>1126.085</v>
      </c>
      <c r="AC95" s="116">
        <f>IFERROR(AB95/AB148, "NA")</f>
        <v>8.1753585125048864E-3</v>
      </c>
      <c r="AD95" s="118">
        <f t="shared" si="37"/>
        <v>-1126.085</v>
      </c>
      <c r="AE95" s="119">
        <f>IFERROR(AD95/AD148, "NA")</f>
        <v>-8.1208970389809634E-2</v>
      </c>
      <c r="AF95" s="118">
        <f t="shared" si="38"/>
        <v>-1</v>
      </c>
      <c r="AG95" s="117">
        <f t="shared" si="39"/>
        <v>1131.21</v>
      </c>
      <c r="AH95" s="116">
        <f>IFERROR(AG95/AG148, "NA")</f>
        <v>8.7005773388113463E-3</v>
      </c>
      <c r="AI95" s="118">
        <f t="shared" si="40"/>
        <v>-1131.21</v>
      </c>
      <c r="AJ95" s="119">
        <f>IFERROR(AI95/AI148, "NA")</f>
        <v>-5.2389363645289351E-2</v>
      </c>
      <c r="AK95" s="118">
        <f t="shared" si="41"/>
        <v>-1</v>
      </c>
      <c r="AL95" s="119">
        <f>IFERROR(AK95/AK148, "NA")</f>
        <v>-6.0213663536547175</v>
      </c>
    </row>
    <row r="96" spans="1:38" ht="16.5" hidden="1" customHeight="1" x14ac:dyDescent="0.25">
      <c r="A96" s="2" t="s">
        <v>96</v>
      </c>
      <c r="B96" s="115">
        <v>0</v>
      </c>
      <c r="C96" s="116">
        <f>IFERROR(B96/B148, "NA")</f>
        <v>0</v>
      </c>
      <c r="D96" s="115">
        <v>0</v>
      </c>
      <c r="E96" s="116">
        <f>IFERROR(D96/D148, "NA")</f>
        <v>0</v>
      </c>
      <c r="F96" s="115">
        <v>0</v>
      </c>
      <c r="G96" s="116">
        <f>IFERROR(F96/F148, "NA")</f>
        <v>0</v>
      </c>
      <c r="H96" s="115">
        <v>0</v>
      </c>
      <c r="I96" s="116">
        <f>IFERROR(H96/H148, "NA")</f>
        <v>0</v>
      </c>
      <c r="J96" s="115">
        <v>0</v>
      </c>
      <c r="K96" s="116">
        <f>IFERROR(J96/J148, "NA")</f>
        <v>0</v>
      </c>
      <c r="L96" s="115">
        <v>0</v>
      </c>
      <c r="M96" s="116">
        <f>IFERROR(L96/L148, "NA")</f>
        <v>0</v>
      </c>
      <c r="N96" s="115">
        <v>0</v>
      </c>
      <c r="O96" s="116">
        <f>IFERROR(N96/N148, "NA")</f>
        <v>0</v>
      </c>
      <c r="P96" s="115">
        <v>0</v>
      </c>
      <c r="Q96" s="116">
        <f>IFERROR(P96/P148, "NA")</f>
        <v>0</v>
      </c>
      <c r="R96" s="115">
        <v>0</v>
      </c>
      <c r="S96" s="116">
        <f>IFERROR(R96/R148, "NA")</f>
        <v>0</v>
      </c>
      <c r="T96" s="115">
        <v>0</v>
      </c>
      <c r="U96" s="116">
        <f>IFERROR(T96/T148, "NA")</f>
        <v>0</v>
      </c>
      <c r="V96" s="115">
        <v>7000</v>
      </c>
      <c r="W96" s="116">
        <f>IFERROR(V96/V148, "NA")</f>
        <v>5.1668406046650225E-2</v>
      </c>
      <c r="X96" s="115">
        <v>0</v>
      </c>
      <c r="Y96" s="116">
        <f>IFERROR(X96/X148, "NA")</f>
        <v>0</v>
      </c>
      <c r="Z96" s="115">
        <v>7000</v>
      </c>
      <c r="AA96" s="116">
        <f>IFERROR(Z96/Z148, "NA")</f>
        <v>2.4382837297018976E-2</v>
      </c>
      <c r="AB96" s="117">
        <f t="shared" si="36"/>
        <v>1750</v>
      </c>
      <c r="AC96" s="116">
        <f>IFERROR(AB96/AB148, "NA")</f>
        <v>1.2704971113977677E-2</v>
      </c>
      <c r="AD96" s="118">
        <f t="shared" si="37"/>
        <v>-1750</v>
      </c>
      <c r="AE96" s="119">
        <f>IFERROR(AD96/AD148, "NA")</f>
        <v>-0.12620334893206717</v>
      </c>
      <c r="AF96" s="118">
        <f t="shared" si="38"/>
        <v>-1</v>
      </c>
      <c r="AG96" s="117">
        <f t="shared" si="39"/>
        <v>875</v>
      </c>
      <c r="AH96" s="116">
        <f>IFERROR(AG96/AG148, "NA")</f>
        <v>6.7299662940213832E-3</v>
      </c>
      <c r="AI96" s="118">
        <f t="shared" si="40"/>
        <v>-875</v>
      </c>
      <c r="AJ96" s="119">
        <f>IFERROR(AI96/AI148, "NA")</f>
        <v>-4.0523592604050689E-2</v>
      </c>
      <c r="AK96" s="118">
        <f t="shared" si="41"/>
        <v>-1</v>
      </c>
      <c r="AL96" s="119">
        <f>IFERROR(AK96/AK148, "NA")</f>
        <v>-6.0213663536547175</v>
      </c>
    </row>
    <row r="97" spans="1:38" ht="16.5" hidden="1" customHeight="1" x14ac:dyDescent="0.25">
      <c r="A97" s="2" t="s">
        <v>97</v>
      </c>
      <c r="B97" s="115">
        <v>4481.1899999999996</v>
      </c>
      <c r="C97" s="116">
        <f>IFERROR(B97/B148, "NA")</f>
        <v>3.1097408136419188E-2</v>
      </c>
      <c r="D97" s="115">
        <v>671.29000000000008</v>
      </c>
      <c r="E97" s="116">
        <f>IFERROR(D97/D148, "NA")</f>
        <v>5.9218701991050121E-3</v>
      </c>
      <c r="F97" s="115">
        <v>888.5</v>
      </c>
      <c r="G97" s="116">
        <f>IFERROR(F97/F148, "NA")</f>
        <v>6.9446615601062994E-3</v>
      </c>
      <c r="H97" s="115">
        <v>2810.5199999999995</v>
      </c>
      <c r="I97" s="116">
        <f>IFERROR(H97/H148, "NA")</f>
        <v>2.2504203143487712E-2</v>
      </c>
      <c r="J97" s="115">
        <v>4175.1000000000004</v>
      </c>
      <c r="K97" s="116">
        <f>IFERROR(J97/J148, "NA")</f>
        <v>3.2886473963634179E-2</v>
      </c>
      <c r="L97" s="115">
        <v>2628.29</v>
      </c>
      <c r="M97" s="116">
        <f>IFERROR(L97/L148, "NA")</f>
        <v>2.1329504400997183E-2</v>
      </c>
      <c r="N97" s="115">
        <v>2969.64</v>
      </c>
      <c r="O97" s="116">
        <f>IFERROR(N97/N148, "NA")</f>
        <v>2.323425084281313E-2</v>
      </c>
      <c r="P97" s="115">
        <v>177.07</v>
      </c>
      <c r="Q97" s="116">
        <f>IFERROR(P97/P148, "NA")</f>
        <v>1.5928220728599831E-3</v>
      </c>
      <c r="R97" s="115">
        <v>3353.3999999999996</v>
      </c>
      <c r="S97" s="116">
        <f>IFERROR(R97/R148, "NA")</f>
        <v>2.4866269832618724E-2</v>
      </c>
      <c r="T97" s="115">
        <v>3217.4700000000003</v>
      </c>
      <c r="U97" s="116">
        <f>IFERROR(T97/T148, "NA")</f>
        <v>2.4937591496818193E-2</v>
      </c>
      <c r="V97" s="115">
        <v>668.45</v>
      </c>
      <c r="W97" s="116">
        <f>IFERROR(V97/V148, "NA")</f>
        <v>4.9339637174119063E-3</v>
      </c>
      <c r="X97" s="115">
        <v>0</v>
      </c>
      <c r="Y97" s="116">
        <f>IFERROR(X97/X148, "NA")</f>
        <v>0</v>
      </c>
      <c r="Z97" s="115">
        <v>668.45</v>
      </c>
      <c r="AA97" s="116">
        <f>IFERROR(Z97/Z148, "NA")</f>
        <v>2.3283867987417624E-3</v>
      </c>
      <c r="AB97" s="117">
        <f t="shared" si="36"/>
        <v>1809.83</v>
      </c>
      <c r="AC97" s="116">
        <f>IFERROR(AB97/AB148, "NA")</f>
        <v>1.3139335926405838E-2</v>
      </c>
      <c r="AD97" s="118">
        <f t="shared" si="37"/>
        <v>-1809.83</v>
      </c>
      <c r="AE97" s="119">
        <f>IFERROR(AD97/AD148, "NA")</f>
        <v>-0.13051806114155606</v>
      </c>
      <c r="AF97" s="118">
        <f t="shared" si="38"/>
        <v>-1</v>
      </c>
      <c r="AG97" s="117">
        <f t="shared" si="39"/>
        <v>2148.6775000000002</v>
      </c>
      <c r="AH97" s="116">
        <f>IFERROR(AG97/AG148, "NA")</f>
        <v>1.6526316744825294E-2</v>
      </c>
      <c r="AI97" s="118">
        <f t="shared" si="40"/>
        <v>-2148.6775000000002</v>
      </c>
      <c r="AJ97" s="119">
        <f>IFERROR(AI97/AI148, "NA")</f>
        <v>-9.9511007597131593E-2</v>
      </c>
      <c r="AK97" s="118">
        <f t="shared" si="41"/>
        <v>-1</v>
      </c>
      <c r="AL97" s="119">
        <f>IFERROR(AK97/AK148, "NA")</f>
        <v>-6.0213663536547175</v>
      </c>
    </row>
    <row r="98" spans="1:38" ht="16.5" hidden="1" customHeight="1" x14ac:dyDescent="0.25">
      <c r="A98" s="2" t="s">
        <v>98</v>
      </c>
      <c r="B98" s="115">
        <v>4443.0499999999993</v>
      </c>
      <c r="C98" s="116">
        <f>IFERROR(B98/B148, "NA")</f>
        <v>3.0832733988185562E-2</v>
      </c>
      <c r="D98" s="115">
        <v>1622.7</v>
      </c>
      <c r="E98" s="116">
        <f>IFERROR(D98/D148, "NA")</f>
        <v>1.4314854641194866E-2</v>
      </c>
      <c r="F98" s="115">
        <v>3459.4299999999994</v>
      </c>
      <c r="G98" s="116">
        <f>IFERROR(F98/F148, "NA")</f>
        <v>2.7039471627325305E-2</v>
      </c>
      <c r="H98" s="115">
        <v>10094.550000000001</v>
      </c>
      <c r="I98" s="116">
        <f>IFERROR(H98/H148, "NA")</f>
        <v>8.0828388996375747E-2</v>
      </c>
      <c r="J98" s="115">
        <v>5050.13</v>
      </c>
      <c r="K98" s="116">
        <f>IFERROR(J98/J148, "NA")</f>
        <v>3.9778919967897265E-2</v>
      </c>
      <c r="L98" s="115">
        <v>2184.6799999999998</v>
      </c>
      <c r="M98" s="116">
        <f>IFERROR(L98/L148, "NA")</f>
        <v>1.7729452105654447E-2</v>
      </c>
      <c r="N98" s="115">
        <v>3088.1299999999997</v>
      </c>
      <c r="O98" s="116">
        <f>IFERROR(N98/N148, "NA")</f>
        <v>2.4161308123279761E-2</v>
      </c>
      <c r="P98" s="115">
        <v>3889.5399999999995</v>
      </c>
      <c r="Q98" s="116">
        <f>IFERROR(P98/P148, "NA")</f>
        <v>3.498811297945343E-2</v>
      </c>
      <c r="R98" s="115">
        <v>10245.310000000001</v>
      </c>
      <c r="S98" s="116">
        <f>IFERROR(R98/R148, "NA")</f>
        <v>7.5971444795976326E-2</v>
      </c>
      <c r="T98" s="115">
        <v>5596.88</v>
      </c>
      <c r="U98" s="116">
        <f>IFERROR(T98/T148, "NA")</f>
        <v>4.3379645217115251E-2</v>
      </c>
      <c r="V98" s="115">
        <v>2149.9499999999998</v>
      </c>
      <c r="W98" s="116">
        <f>IFERROR(V98/V148, "NA")</f>
        <v>1.5869212797142235E-2</v>
      </c>
      <c r="X98" s="115">
        <v>-55.42</v>
      </c>
      <c r="Y98" s="116">
        <f>IFERROR(X98/X148, "NA")</f>
        <v>-3.6554830563875084E-4</v>
      </c>
      <c r="Z98" s="115">
        <v>2094.5299999999997</v>
      </c>
      <c r="AA98" s="116">
        <f>IFERROR(Z98/Z148, "NA")</f>
        <v>7.2957977433893073E-3</v>
      </c>
      <c r="AB98" s="117">
        <f t="shared" si="36"/>
        <v>4484.1800000000012</v>
      </c>
      <c r="AC98" s="116">
        <f>IFERROR(AB98/AB148, "NA")</f>
        <v>3.2555072782786534E-2</v>
      </c>
      <c r="AD98" s="118">
        <f t="shared" si="37"/>
        <v>-4539.6000000000013</v>
      </c>
      <c r="AE98" s="119">
        <f>IFERROR(AD98/AD148, "NA")</f>
        <v>-0.32737869874972131</v>
      </c>
      <c r="AF98" s="118">
        <f t="shared" si="38"/>
        <v>-1.0123590043218604</v>
      </c>
      <c r="AG98" s="117">
        <f t="shared" si="39"/>
        <v>4018.6500000000005</v>
      </c>
      <c r="AH98" s="116">
        <f>IFERROR(AG98/AG148, "NA")</f>
        <v>3.0909004625678894E-2</v>
      </c>
      <c r="AI98" s="118">
        <f t="shared" si="40"/>
        <v>-4074.0700000000006</v>
      </c>
      <c r="AJ98" s="119">
        <f>IFERROR(AI98/AI148, "NA")</f>
        <v>-0.18868108905186837</v>
      </c>
      <c r="AK98" s="118">
        <f t="shared" si="41"/>
        <v>-1.0137907008572531</v>
      </c>
      <c r="AL98" s="119">
        <f>IFERROR(AK98/AK148, "NA")</f>
        <v>-6.1044052157898987</v>
      </c>
    </row>
    <row r="99" spans="1:38" ht="16.5" hidden="1" customHeight="1" x14ac:dyDescent="0.25">
      <c r="A99" s="120" t="s">
        <v>99</v>
      </c>
      <c r="B99" s="121">
        <f>IFERROR(B90+B91+B92+B93+B94+B95+B96+B97+B98, "NA")</f>
        <v>40020.930000000008</v>
      </c>
      <c r="C99" s="122">
        <f>IFERROR(B99/B148, "NA")</f>
        <v>0.27772694177418566</v>
      </c>
      <c r="D99" s="121">
        <f>IFERROR(D90+D91+D92+D93+D94+D95+D96+D97+D98, "NA")</f>
        <v>23062.52</v>
      </c>
      <c r="E99" s="122">
        <f>IFERROR(D99/D148, "NA")</f>
        <v>0.20344895634414828</v>
      </c>
      <c r="F99" s="121">
        <f>IFERROR(F90+F91+F92+F93+F94+F95+F96+F97+F98, "NA")</f>
        <v>26463.86</v>
      </c>
      <c r="G99" s="122">
        <f>IFERROR(F99/F148, "NA")</f>
        <v>0.20684586524933563</v>
      </c>
      <c r="H99" s="121">
        <f>IFERROR(H90+H91+H92+H93+H94+H95+H96+H97+H98, "NA")</f>
        <v>38687.360000000001</v>
      </c>
      <c r="I99" s="122">
        <f>IFERROR(H99/H148, "NA")</f>
        <v>0.30977477780810703</v>
      </c>
      <c r="J99" s="121">
        <f>IFERROR(J90+J91+J92+J93+J94+J95+J96+J97+J98, "NA")</f>
        <v>39945.82</v>
      </c>
      <c r="K99" s="122">
        <f>IFERROR(J99/J148, "NA")</f>
        <v>0.3146456778007754</v>
      </c>
      <c r="L99" s="121">
        <f>IFERROR(L90+L91+L92+L93+L94+L95+L96+L97+L98, "NA")</f>
        <v>30693.33</v>
      </c>
      <c r="M99" s="122">
        <f>IFERROR(L99/L148, "NA")</f>
        <v>0.24908724582000424</v>
      </c>
      <c r="N99" s="121">
        <f>IFERROR(N90+N91+N92+N93+N94+N95+N96+N97+N98, "NA")</f>
        <v>30781.25</v>
      </c>
      <c r="O99" s="122">
        <f>IFERROR(N99/N148, "NA")</f>
        <v>0.24083029719270407</v>
      </c>
      <c r="P99" s="121">
        <f>IFERROR(P90+P91+P92+P93+P94+P95+P96+P97+P98, "NA")</f>
        <v>21193.279999999999</v>
      </c>
      <c r="Q99" s="122">
        <f>IFERROR(P99/P148, "NA")</f>
        <v>0.19064282024228849</v>
      </c>
      <c r="R99" s="121">
        <f>IFERROR(R90+R91+R92+R93+R94+R95+R96+R97+R98, "NA")</f>
        <v>33374.539999999994</v>
      </c>
      <c r="S99" s="122">
        <f>IFERROR(R99/R148, "NA")</f>
        <v>0.24748026396479</v>
      </c>
      <c r="T99" s="121">
        <f>IFERROR(T90+T91+T92+T93+T94+T95+T96+T97+T98, "NA")</f>
        <v>36390.980000000003</v>
      </c>
      <c r="U99" s="122">
        <f>IFERROR(T99/T148, "NA")</f>
        <v>0.28205496660695545</v>
      </c>
      <c r="V99" s="121">
        <f>IFERROR(V90+V91+V92+V93+V94+V95+V96+V97+V98, "NA")</f>
        <v>28926.280000000002</v>
      </c>
      <c r="W99" s="122">
        <f>IFERROR(V99/V148, "NA")</f>
        <v>0.21351068292272823</v>
      </c>
      <c r="X99" s="121">
        <f>IFERROR(X90+X91+X92+X93+X94+X95+X96+X97+X98, "NA")</f>
        <v>21538.280000000002</v>
      </c>
      <c r="Y99" s="122">
        <f>IFERROR(X99/X148, "NA")</f>
        <v>0.1420657120240526</v>
      </c>
      <c r="Z99" s="121">
        <f>IFERROR(Z90+Z91+Z92+Z93+Z94+Z95+Z96+Z97+Z98, "NA")</f>
        <v>50464.56</v>
      </c>
      <c r="AA99" s="122">
        <f>IFERROR(Z99/Z148, "NA")</f>
        <v>0.17578130796366456</v>
      </c>
      <c r="AB99" s="121">
        <f t="shared" si="36"/>
        <v>30057.519999999997</v>
      </c>
      <c r="AC99" s="122">
        <f>IFERROR(AB99/AB148, "NA")</f>
        <v>0.21821709906160358</v>
      </c>
      <c r="AD99" s="123">
        <f t="shared" si="37"/>
        <v>-8519.2399999999943</v>
      </c>
      <c r="AE99" s="124">
        <f>IFERROR(AD99/AD148, "NA")</f>
        <v>-0.61437521048915611</v>
      </c>
      <c r="AF99" s="123">
        <f t="shared" si="38"/>
        <v>-0.28343123451302688</v>
      </c>
      <c r="AG99" s="121">
        <f t="shared" si="39"/>
        <v>30355.469999999998</v>
      </c>
      <c r="AH99" s="122">
        <f>IFERROR(AG99/AG148, "NA")</f>
        <v>0.23347575993048827</v>
      </c>
      <c r="AI99" s="123">
        <f t="shared" si="40"/>
        <v>-8817.1899999999951</v>
      </c>
      <c r="AJ99" s="124">
        <f>IFERROR(AI99/AI148, "NA")</f>
        <v>-0.40834767482572515</v>
      </c>
      <c r="AK99" s="123">
        <f t="shared" si="41"/>
        <v>-0.29046461807377699</v>
      </c>
      <c r="AL99" s="124">
        <f>IFERROR(AK99/AK148, "NA")</f>
        <v>-1.7489938781966088</v>
      </c>
    </row>
    <row r="100" spans="1:38" ht="16.5" hidden="1" customHeight="1" x14ac:dyDescent="0.25">
      <c r="A100" s="8" t="s">
        <v>2</v>
      </c>
      <c r="B100" s="138"/>
      <c r="C100" s="126"/>
      <c r="D100" s="138"/>
      <c r="E100" s="126"/>
      <c r="F100" s="138"/>
      <c r="G100" s="126"/>
      <c r="H100" s="138"/>
      <c r="I100" s="126"/>
      <c r="J100" s="138"/>
      <c r="K100" s="126"/>
      <c r="L100" s="138"/>
      <c r="M100" s="126"/>
      <c r="N100" s="138"/>
      <c r="O100" s="126"/>
      <c r="P100" s="138"/>
      <c r="Q100" s="126"/>
      <c r="R100" s="138"/>
      <c r="S100" s="126"/>
      <c r="T100" s="138"/>
      <c r="U100" s="126"/>
      <c r="V100" s="138"/>
      <c r="W100" s="126"/>
      <c r="X100" s="138"/>
      <c r="Y100" s="126"/>
      <c r="Z100" s="138"/>
      <c r="AA100" s="126"/>
      <c r="AB100" s="138"/>
      <c r="AC100" s="126"/>
      <c r="AD100" s="139"/>
      <c r="AE100" s="128"/>
      <c r="AF100" s="139"/>
      <c r="AG100" s="138"/>
      <c r="AH100" s="126"/>
      <c r="AI100" s="139"/>
      <c r="AJ100" s="128"/>
      <c r="AK100" s="139"/>
      <c r="AL100" s="128"/>
    </row>
    <row r="101" spans="1:38" ht="16.5" hidden="1" customHeight="1" x14ac:dyDescent="0.25">
      <c r="A101" s="135" t="s">
        <v>100</v>
      </c>
      <c r="B101" s="136">
        <f>IFERROR(B87-B99, "NA")</f>
        <v>36672.700000000084</v>
      </c>
      <c r="C101" s="137">
        <f>IFERROR(B101/B148, "NA")</f>
        <v>0.25449175762787624</v>
      </c>
      <c r="D101" s="136">
        <f>IFERROR(D87-D99, "NA")</f>
        <v>26736.110000000026</v>
      </c>
      <c r="E101" s="137">
        <f>IFERROR(D101/D148, "NA")</f>
        <v>0.23585599822579456</v>
      </c>
      <c r="F101" s="136">
        <f>IFERROR(F87-F99, "NA")</f>
        <v>35119.899999999951</v>
      </c>
      <c r="G101" s="137">
        <f>IFERROR(F101/F148, "NA")</f>
        <v>0.2745028919806155</v>
      </c>
      <c r="H101" s="136">
        <f>IFERROR(H87-H99, "NA")</f>
        <v>19339.02000000004</v>
      </c>
      <c r="I101" s="137">
        <f>IFERROR(H101/H148, "NA")</f>
        <v>0.1548500756713963</v>
      </c>
      <c r="J101" s="136">
        <f>IFERROR(J87-J99, "NA")</f>
        <v>22671.489999999983</v>
      </c>
      <c r="K101" s="137">
        <f>IFERROR(J101/J148, "NA")</f>
        <v>0.17857904375986014</v>
      </c>
      <c r="L101" s="136">
        <f>IFERROR(L87-L99, "NA")</f>
        <v>30995.520000000026</v>
      </c>
      <c r="M101" s="137">
        <f>IFERROR(L101/L148, "NA")</f>
        <v>0.25153962471842789</v>
      </c>
      <c r="N101" s="136">
        <f>IFERROR(N87-N99, "NA")</f>
        <v>33789.73000000001</v>
      </c>
      <c r="O101" s="137">
        <f>IFERROR(N101/N148, "NA")</f>
        <v>0.26436842941599936</v>
      </c>
      <c r="P101" s="136">
        <f>IFERROR(P87-P99, "NA")</f>
        <v>29671.13999999997</v>
      </c>
      <c r="Q101" s="137">
        <f>IFERROR(P101/P148, "NA")</f>
        <v>0.26690487783881356</v>
      </c>
      <c r="R101" s="136">
        <f>IFERROR(R87-R99, "NA")</f>
        <v>33119.520000000033</v>
      </c>
      <c r="S101" s="137">
        <f>IFERROR(R101/R148, "NA")</f>
        <v>0.24558922915453371</v>
      </c>
      <c r="T101" s="136">
        <f>IFERROR(T87-T99, "NA")</f>
        <v>25346.780000000035</v>
      </c>
      <c r="U101" s="137">
        <f>IFERROR(T101/T148, "NA")</f>
        <v>0.19645486839029494</v>
      </c>
      <c r="V101" s="136">
        <f>IFERROR(V87-V99, "NA")</f>
        <v>34867.990000000034</v>
      </c>
      <c r="W101" s="137">
        <f>IFERROR(V101/V148, "NA")</f>
        <v>0.25736763790722017</v>
      </c>
      <c r="X101" s="136">
        <f>IFERROR(X87-X99, "NA")</f>
        <v>65470.969999999972</v>
      </c>
      <c r="Y101" s="137">
        <f>IFERROR(X101/X148, "NA")</f>
        <v>0.43184413843423808</v>
      </c>
      <c r="Z101" s="136">
        <f>IFERROR(Z87-Z99, "NA")</f>
        <v>100338.96000000005</v>
      </c>
      <c r="AA101" s="137">
        <f>IFERROR(Z101/Z148, "NA")</f>
        <v>0.34950693374744235</v>
      </c>
      <c r="AB101" s="136">
        <f>IFERROR((R101+T101+V101+X101)/4, "NA")</f>
        <v>39701.315000000017</v>
      </c>
      <c r="AC101" s="137">
        <f>IFERROR(AB101/AB148, "NA")</f>
        <v>0.28823089157824505</v>
      </c>
      <c r="AD101" s="123">
        <f>IFERROR(X101-AB101, "NA")</f>
        <v>25769.654999999955</v>
      </c>
      <c r="AE101" s="124">
        <f>IFERROR(AD101/AD148, "NA")</f>
        <v>1.8584095781851337</v>
      </c>
      <c r="AF101" s="123">
        <f>IFERROR((X101-AB101)/AB101, "NA")</f>
        <v>0.64908819770831128</v>
      </c>
      <c r="AG101" s="136">
        <f>IFERROR((J101+L101+N101+P101+R101+T101+V101+X101)/8, "NA")</f>
        <v>34491.642500000009</v>
      </c>
      <c r="AH101" s="137">
        <f>IFERROR(AG101/AG148, "NA")</f>
        <v>0.26528867594335481</v>
      </c>
      <c r="AI101" s="123">
        <f>IFERROR(X101-AG101, "NA")</f>
        <v>30979.327499999963</v>
      </c>
      <c r="AJ101" s="124">
        <f>IFERROR(AI101/AI148, "NA")</f>
        <v>1.434735596294243</v>
      </c>
      <c r="AK101" s="123">
        <f>IFERROR((X101-AG101)/AG101, "NA")</f>
        <v>0.89816909994935601</v>
      </c>
      <c r="AL101" s="124">
        <f>IFERROR(AK101/AK148, "NA")</f>
        <v>5.4082051983273933</v>
      </c>
    </row>
    <row r="102" spans="1:38" ht="3.75" hidden="1" customHeight="1" x14ac:dyDescent="0.25">
      <c r="A102" s="8" t="s">
        <v>2</v>
      </c>
      <c r="B102" s="138"/>
      <c r="C102" s="126"/>
      <c r="D102" s="138"/>
      <c r="E102" s="126"/>
      <c r="F102" s="138"/>
      <c r="G102" s="126"/>
      <c r="H102" s="138"/>
      <c r="I102" s="126"/>
      <c r="J102" s="138"/>
      <c r="K102" s="126"/>
      <c r="L102" s="138"/>
      <c r="M102" s="126"/>
      <c r="N102" s="138"/>
      <c r="O102" s="126"/>
      <c r="P102" s="138"/>
      <c r="Q102" s="126"/>
      <c r="R102" s="138"/>
      <c r="S102" s="126"/>
      <c r="T102" s="138"/>
      <c r="U102" s="126"/>
      <c r="V102" s="138"/>
      <c r="W102" s="126"/>
      <c r="X102" s="138"/>
      <c r="Y102" s="126"/>
      <c r="Z102" s="138"/>
      <c r="AA102" s="126"/>
      <c r="AB102" s="138"/>
      <c r="AC102" s="126"/>
      <c r="AD102" s="139"/>
      <c r="AE102" s="128"/>
      <c r="AF102" s="139"/>
      <c r="AG102" s="138"/>
      <c r="AH102" s="126"/>
      <c r="AI102" s="139"/>
      <c r="AJ102" s="128"/>
      <c r="AK102" s="139"/>
      <c r="AL102" s="128"/>
    </row>
    <row r="103" spans="1:38" ht="16.5" hidden="1" customHeight="1" x14ac:dyDescent="0.25">
      <c r="A103" s="1" t="s">
        <v>101</v>
      </c>
      <c r="B103" s="111"/>
      <c r="C103" s="112"/>
      <c r="D103" s="111"/>
      <c r="E103" s="112"/>
      <c r="F103" s="111"/>
      <c r="G103" s="112"/>
      <c r="H103" s="111"/>
      <c r="I103" s="112"/>
      <c r="J103" s="111"/>
      <c r="K103" s="112"/>
      <c r="L103" s="111"/>
      <c r="M103" s="112"/>
      <c r="N103" s="111"/>
      <c r="O103" s="112"/>
      <c r="P103" s="111"/>
      <c r="Q103" s="112"/>
      <c r="R103" s="111"/>
      <c r="S103" s="112"/>
      <c r="T103" s="111"/>
      <c r="U103" s="112"/>
      <c r="V103" s="111"/>
      <c r="W103" s="112"/>
      <c r="X103" s="111"/>
      <c r="Y103" s="112"/>
      <c r="Z103" s="111"/>
      <c r="AA103" s="112"/>
      <c r="AB103" s="111"/>
      <c r="AC103" s="112"/>
      <c r="AD103" s="113"/>
      <c r="AE103" s="114"/>
      <c r="AF103" s="113"/>
      <c r="AG103" s="111"/>
      <c r="AH103" s="112"/>
      <c r="AI103" s="113"/>
      <c r="AJ103" s="114"/>
      <c r="AK103" s="113"/>
      <c r="AL103" s="114"/>
    </row>
    <row r="104" spans="1:38" ht="16.5" hidden="1" customHeight="1" x14ac:dyDescent="0.25">
      <c r="A104" s="9" t="s">
        <v>102</v>
      </c>
      <c r="B104" s="140">
        <v>72267.219999999987</v>
      </c>
      <c r="C104" s="137">
        <f>IFERROR(B104/B148, "NA")</f>
        <v>0.50150143939989045</v>
      </c>
      <c r="D104" s="140">
        <v>-8450.15</v>
      </c>
      <c r="E104" s="137">
        <f>IFERROR(D104/D148, "NA")</f>
        <v>-7.4544074040976641E-2</v>
      </c>
      <c r="F104" s="140">
        <v>0</v>
      </c>
      <c r="G104" s="137">
        <f>IFERROR(F104/F148, "NA")</f>
        <v>0</v>
      </c>
      <c r="H104" s="140">
        <v>14933.440000000002</v>
      </c>
      <c r="I104" s="137">
        <f>IFERROR(H104/H148, "NA")</f>
        <v>0.11957401740285971</v>
      </c>
      <c r="J104" s="140">
        <v>74446.34</v>
      </c>
      <c r="K104" s="137">
        <f>IFERROR(J104/J148, "NA")</f>
        <v>0.58639975619694318</v>
      </c>
      <c r="L104" s="140">
        <v>-8748.61</v>
      </c>
      <c r="M104" s="137">
        <f>IFERROR(L104/L148, "NA")</f>
        <v>-7.0998069276072273E-2</v>
      </c>
      <c r="N104" s="140">
        <v>0</v>
      </c>
      <c r="O104" s="137">
        <f>IFERROR(N104/N148, "NA")</f>
        <v>0</v>
      </c>
      <c r="P104" s="140">
        <v>0</v>
      </c>
      <c r="Q104" s="137">
        <f>IFERROR(P104/P148, "NA")</f>
        <v>0</v>
      </c>
      <c r="R104" s="140">
        <v>12955.830000000002</v>
      </c>
      <c r="S104" s="137">
        <f>IFERROR(R104/R148, "NA")</f>
        <v>9.6070604367369444E-2</v>
      </c>
      <c r="T104" s="140">
        <v>74392.51999999999</v>
      </c>
      <c r="U104" s="137">
        <f>IFERROR(T104/T148, "NA")</f>
        <v>0.57659287395962577</v>
      </c>
      <c r="V104" s="140">
        <v>-9639</v>
      </c>
      <c r="W104" s="137">
        <f>IFERROR(V104/V148, "NA")</f>
        <v>-7.1147395126237356E-2</v>
      </c>
      <c r="X104" s="140">
        <v>0</v>
      </c>
      <c r="Y104" s="137">
        <f>IFERROR(X104/X148, "NA")</f>
        <v>0</v>
      </c>
      <c r="Z104" s="140">
        <v>-9639</v>
      </c>
      <c r="AA104" s="137">
        <f>IFERROR(Z104/Z148, "NA")</f>
        <v>-3.3575166957995131E-2</v>
      </c>
      <c r="AB104" s="136">
        <f>IFERROR((R104+T104+V104+X104)/4, "NA")</f>
        <v>19427.337499999998</v>
      </c>
      <c r="AC104" s="137">
        <f>IFERROR(AB104/AB148, "NA")</f>
        <v>0.14104214957656871</v>
      </c>
      <c r="AD104" s="123">
        <f>IFERROR(X104-AB104, "NA")</f>
        <v>-19427.337499999998</v>
      </c>
      <c r="AE104" s="124">
        <f>IFERROR(AD104/AD148, "NA")</f>
        <v>-1.4010257447620191</v>
      </c>
      <c r="AF104" s="123">
        <f>IFERROR((X104-AB104)/AB104, "NA")</f>
        <v>-1</v>
      </c>
      <c r="AG104" s="136">
        <f>IFERROR((J104+L104+N104+P104+R104+T104+V104+X104)/8, "NA")</f>
        <v>17925.884999999998</v>
      </c>
      <c r="AH104" s="137">
        <f>IFERROR(AG104/AG148, "NA")</f>
        <v>0.13787497353200398</v>
      </c>
      <c r="AI104" s="123">
        <f>IFERROR(X104-AG104, "NA")</f>
        <v>-17925.884999999998</v>
      </c>
      <c r="AJ104" s="124">
        <f>IFERROR(AI104/AI148, "NA")</f>
        <v>-0.83019572663664365</v>
      </c>
      <c r="AK104" s="123">
        <f>IFERROR((X104-AG104)/AG104, "NA")</f>
        <v>-1</v>
      </c>
      <c r="AL104" s="124">
        <f>IFERROR(AK104/AK148, "NA")</f>
        <v>-6.0213663536547175</v>
      </c>
    </row>
    <row r="105" spans="1:38" ht="16.5" hidden="1" customHeight="1" x14ac:dyDescent="0.25">
      <c r="A105" s="120" t="s">
        <v>103</v>
      </c>
      <c r="B105" s="121">
        <f>IFERROR(B104, "NA")</f>
        <v>72267.219999999987</v>
      </c>
      <c r="C105" s="122">
        <f>IFERROR(B105/B148, "NA")</f>
        <v>0.50150143939989045</v>
      </c>
      <c r="D105" s="121">
        <f>IFERROR(D104, "NA")</f>
        <v>-8450.15</v>
      </c>
      <c r="E105" s="122">
        <f>IFERROR(D105/D148, "NA")</f>
        <v>-7.4544074040976641E-2</v>
      </c>
      <c r="F105" s="121">
        <f>IFERROR(F104, "NA")</f>
        <v>0</v>
      </c>
      <c r="G105" s="122">
        <f>IFERROR(F105/F148, "NA")</f>
        <v>0</v>
      </c>
      <c r="H105" s="121">
        <f>IFERROR(H104, "NA")</f>
        <v>14933.440000000002</v>
      </c>
      <c r="I105" s="122">
        <f>IFERROR(H105/H148, "NA")</f>
        <v>0.11957401740285971</v>
      </c>
      <c r="J105" s="121">
        <f>IFERROR(J104, "NA")</f>
        <v>74446.34</v>
      </c>
      <c r="K105" s="122">
        <f>IFERROR(J105/J148, "NA")</f>
        <v>0.58639975619694318</v>
      </c>
      <c r="L105" s="121">
        <f>IFERROR(L104, "NA")</f>
        <v>-8748.61</v>
      </c>
      <c r="M105" s="122">
        <f>IFERROR(L105/L148, "NA")</f>
        <v>-7.0998069276072273E-2</v>
      </c>
      <c r="N105" s="121">
        <f>IFERROR(N104, "NA")</f>
        <v>0</v>
      </c>
      <c r="O105" s="122">
        <f>IFERROR(N105/N148, "NA")</f>
        <v>0</v>
      </c>
      <c r="P105" s="121">
        <f>IFERROR(P104, "NA")</f>
        <v>0</v>
      </c>
      <c r="Q105" s="122">
        <f>IFERROR(P105/P148, "NA")</f>
        <v>0</v>
      </c>
      <c r="R105" s="121">
        <f>IFERROR(R104, "NA")</f>
        <v>12955.830000000002</v>
      </c>
      <c r="S105" s="122">
        <f>IFERROR(R105/R148, "NA")</f>
        <v>9.6070604367369444E-2</v>
      </c>
      <c r="T105" s="121">
        <f>IFERROR(T104, "NA")</f>
        <v>74392.51999999999</v>
      </c>
      <c r="U105" s="122">
        <f>IFERROR(T105/T148, "NA")</f>
        <v>0.57659287395962577</v>
      </c>
      <c r="V105" s="121">
        <f>IFERROR(V104, "NA")</f>
        <v>-9639</v>
      </c>
      <c r="W105" s="122">
        <f>IFERROR(V105/V148, "NA")</f>
        <v>-7.1147395126237356E-2</v>
      </c>
      <c r="X105" s="121">
        <f>IFERROR(X104, "NA")</f>
        <v>0</v>
      </c>
      <c r="Y105" s="122">
        <f>IFERROR(X105/X148, "NA")</f>
        <v>0</v>
      </c>
      <c r="Z105" s="121">
        <f>IFERROR(Z104, "NA")</f>
        <v>-9639</v>
      </c>
      <c r="AA105" s="122">
        <f>IFERROR(Z105/Z148, "NA")</f>
        <v>-3.3575166957995131E-2</v>
      </c>
      <c r="AB105" s="121">
        <f>IFERROR((R105+T105+V105+X105)/4, "NA")</f>
        <v>19427.337499999998</v>
      </c>
      <c r="AC105" s="122">
        <f>IFERROR(AB105/AB148, "NA")</f>
        <v>0.14104214957656871</v>
      </c>
      <c r="AD105" s="123">
        <f>IFERROR(X105-AB105, "NA")</f>
        <v>-19427.337499999998</v>
      </c>
      <c r="AE105" s="124">
        <f>IFERROR(AD105/AD148, "NA")</f>
        <v>-1.4010257447620191</v>
      </c>
      <c r="AF105" s="123">
        <f>IFERROR((X105-AB105)/AB105, "NA")</f>
        <v>-1</v>
      </c>
      <c r="AG105" s="121">
        <f>IFERROR((J105+L105+N105+P105+R105+T105+V105+X105)/8, "NA")</f>
        <v>17925.884999999998</v>
      </c>
      <c r="AH105" s="122">
        <f>IFERROR(AG105/AG148, "NA")</f>
        <v>0.13787497353200398</v>
      </c>
      <c r="AI105" s="123">
        <f>IFERROR(X105-AG105, "NA")</f>
        <v>-17925.884999999998</v>
      </c>
      <c r="AJ105" s="124">
        <f>IFERROR(AI105/AI148, "NA")</f>
        <v>-0.83019572663664365</v>
      </c>
      <c r="AK105" s="123">
        <f>IFERROR((X105-AG105)/AG105, "NA")</f>
        <v>-1</v>
      </c>
      <c r="AL105" s="124">
        <f>IFERROR(AK105/AK148, "NA")</f>
        <v>-6.0213663536547175</v>
      </c>
    </row>
    <row r="106" spans="1:38" ht="16.5" hidden="1" customHeight="1" x14ac:dyDescent="0.25">
      <c r="A106" s="8" t="s">
        <v>2</v>
      </c>
      <c r="B106" s="138"/>
      <c r="C106" s="126"/>
      <c r="D106" s="138"/>
      <c r="E106" s="126"/>
      <c r="F106" s="138"/>
      <c r="G106" s="126"/>
      <c r="H106" s="138"/>
      <c r="I106" s="126"/>
      <c r="J106" s="138"/>
      <c r="K106" s="126"/>
      <c r="L106" s="138"/>
      <c r="M106" s="126"/>
      <c r="N106" s="138"/>
      <c r="O106" s="126"/>
      <c r="P106" s="138"/>
      <c r="Q106" s="126"/>
      <c r="R106" s="138"/>
      <c r="S106" s="126"/>
      <c r="T106" s="138"/>
      <c r="U106" s="126"/>
      <c r="V106" s="138"/>
      <c r="W106" s="126"/>
      <c r="X106" s="138"/>
      <c r="Y106" s="126"/>
      <c r="Z106" s="138"/>
      <c r="AA106" s="126"/>
      <c r="AB106" s="138"/>
      <c r="AC106" s="126"/>
      <c r="AD106" s="139"/>
      <c r="AE106" s="128"/>
      <c r="AF106" s="139"/>
      <c r="AG106" s="138"/>
      <c r="AH106" s="126"/>
      <c r="AI106" s="139"/>
      <c r="AJ106" s="128"/>
      <c r="AK106" s="139"/>
      <c r="AL106" s="128"/>
    </row>
    <row r="107" spans="1:38" ht="16.5" hidden="1" customHeight="1" x14ac:dyDescent="0.25">
      <c r="A107" s="135" t="s">
        <v>104</v>
      </c>
      <c r="B107" s="136">
        <f>IFERROR(B87-B99-B105, "NA")</f>
        <v>-35594.519999999902</v>
      </c>
      <c r="C107" s="137">
        <f>IFERROR(B107/B148, "NA")</f>
        <v>-0.24700968177201427</v>
      </c>
      <c r="D107" s="136">
        <f>IFERROR(D87-D99-D105, "NA")</f>
        <v>35186.260000000024</v>
      </c>
      <c r="E107" s="137">
        <f>IFERROR(D107/D148, "NA")</f>
        <v>0.31040007226677119</v>
      </c>
      <c r="F107" s="136">
        <f>IFERROR(F87-F99-F105, "NA")</f>
        <v>35119.899999999951</v>
      </c>
      <c r="G107" s="137">
        <f>IFERROR(F107/F148, "NA")</f>
        <v>0.2745028919806155</v>
      </c>
      <c r="H107" s="136">
        <f>IFERROR(H87-H99-H105, "NA")</f>
        <v>4405.5800000000381</v>
      </c>
      <c r="I107" s="137">
        <f>IFERROR(H107/H148, "NA")</f>
        <v>3.5276058268536595E-2</v>
      </c>
      <c r="J107" s="136">
        <f>IFERROR(J87-J99-J105, "NA")</f>
        <v>-51774.850000000013</v>
      </c>
      <c r="K107" s="137">
        <f>IFERROR(J107/J148, "NA")</f>
        <v>-0.40782071243708307</v>
      </c>
      <c r="L107" s="136">
        <f>IFERROR(L87-L99-L105, "NA")</f>
        <v>39744.130000000026</v>
      </c>
      <c r="M107" s="137">
        <f>IFERROR(L107/L148, "NA")</f>
        <v>0.32253769399450016</v>
      </c>
      <c r="N107" s="136">
        <f>IFERROR(N87-N99-N105, "NA")</f>
        <v>33789.73000000001</v>
      </c>
      <c r="O107" s="137">
        <f>IFERROR(N107/N148, "NA")</f>
        <v>0.26436842941599936</v>
      </c>
      <c r="P107" s="136">
        <f>IFERROR(P87-P99-P105, "NA")</f>
        <v>29671.13999999997</v>
      </c>
      <c r="Q107" s="137">
        <f>IFERROR(P107/P148, "NA")</f>
        <v>0.26690487783881356</v>
      </c>
      <c r="R107" s="136">
        <f>IFERROR(R87-R99-R105, "NA")</f>
        <v>20163.690000000031</v>
      </c>
      <c r="S107" s="137">
        <f>IFERROR(R107/R148, "NA")</f>
        <v>0.14951862478716427</v>
      </c>
      <c r="T107" s="136">
        <f>IFERROR(T87-T99-T105, "NA")</f>
        <v>-49045.739999999954</v>
      </c>
      <c r="U107" s="137">
        <f>IFERROR(T107/T148, "NA")</f>
        <v>-0.38013800556933081</v>
      </c>
      <c r="V107" s="136">
        <f>IFERROR(V87-V99-V105, "NA")</f>
        <v>44506.990000000034</v>
      </c>
      <c r="W107" s="137">
        <f>IFERROR(V107/V148, "NA")</f>
        <v>0.32851503303345753</v>
      </c>
      <c r="X107" s="136">
        <f>IFERROR(X87-X99-X105, "NA")</f>
        <v>65470.969999999972</v>
      </c>
      <c r="Y107" s="137">
        <f>IFERROR(X107/X148, "NA")</f>
        <v>0.43184413843423808</v>
      </c>
      <c r="Z107" s="136">
        <f>IFERROR(Z87-Z99-Z105, "NA")</f>
        <v>109977.96000000005</v>
      </c>
      <c r="AA107" s="137">
        <f>IFERROR(Z107/Z148, "NA")</f>
        <v>0.38308210070543747</v>
      </c>
      <c r="AB107" s="136">
        <f>IFERROR((R107+T107+V107+X107)/4, "NA")</f>
        <v>20273.977500000023</v>
      </c>
      <c r="AC107" s="137">
        <f>IFERROR(AB107/AB148, "NA")</f>
        <v>0.14718874200167636</v>
      </c>
      <c r="AD107" s="123">
        <f>IFERROR(X107-AB107, "NA")</f>
        <v>45196.992499999949</v>
      </c>
      <c r="AE107" s="124">
        <f>IFERROR(AD107/AD148, "NA")</f>
        <v>3.2594353229471524</v>
      </c>
      <c r="AF107" s="123">
        <f>IFERROR((X107-AB107)/AB107, "NA")</f>
        <v>2.2293105780550411</v>
      </c>
      <c r="AG107" s="136">
        <f>IFERROR((J107+L107+N107+P107+R107+T107+V107+X107)/8, "NA")</f>
        <v>16565.757500000011</v>
      </c>
      <c r="AH107" s="137">
        <f>IFERROR(AG107/AG148, "NA")</f>
        <v>0.12741370241135086</v>
      </c>
      <c r="AI107" s="123">
        <f>IFERROR(X107-AG107, "NA")</f>
        <v>48905.212499999965</v>
      </c>
      <c r="AJ107" s="124">
        <f>IFERROR(AI107/AI148, "NA")</f>
        <v>2.2649313229308867</v>
      </c>
      <c r="AK107" s="123">
        <f>IFERROR((X107-AG107)/AG107, "NA")</f>
        <v>2.9521869132757699</v>
      </c>
      <c r="AL107" s="124">
        <f>IFERROR(AK107/AK148, "NA")</f>
        <v>17.7761989492985</v>
      </c>
    </row>
    <row r="108" spans="1:38" ht="3.75" hidden="1" customHeight="1" x14ac:dyDescent="0.25">
      <c r="A108" s="8" t="s">
        <v>2</v>
      </c>
      <c r="B108" s="138"/>
      <c r="C108" s="126"/>
      <c r="D108" s="138"/>
      <c r="E108" s="126"/>
      <c r="F108" s="138"/>
      <c r="G108" s="126"/>
      <c r="H108" s="138"/>
      <c r="I108" s="126"/>
      <c r="J108" s="138"/>
      <c r="K108" s="126"/>
      <c r="L108" s="138"/>
      <c r="M108" s="126"/>
      <c r="N108" s="138"/>
      <c r="O108" s="126"/>
      <c r="P108" s="138"/>
      <c r="Q108" s="126"/>
      <c r="R108" s="138"/>
      <c r="S108" s="126"/>
      <c r="T108" s="138"/>
      <c r="U108" s="126"/>
      <c r="V108" s="138"/>
      <c r="W108" s="126"/>
      <c r="X108" s="138"/>
      <c r="Y108" s="126"/>
      <c r="Z108" s="138"/>
      <c r="AA108" s="126"/>
      <c r="AB108" s="138"/>
      <c r="AC108" s="126"/>
      <c r="AD108" s="139"/>
      <c r="AE108" s="128"/>
      <c r="AF108" s="139"/>
      <c r="AG108" s="138"/>
      <c r="AH108" s="126"/>
      <c r="AI108" s="139"/>
      <c r="AJ108" s="128"/>
      <c r="AK108" s="139"/>
      <c r="AL108" s="128"/>
    </row>
    <row r="109" spans="1:38" ht="16.5" hidden="1" customHeight="1" x14ac:dyDescent="0.25">
      <c r="A109" s="1" t="s">
        <v>105</v>
      </c>
      <c r="B109" s="111"/>
      <c r="C109" s="112"/>
      <c r="D109" s="111"/>
      <c r="E109" s="112"/>
      <c r="F109" s="111"/>
      <c r="G109" s="112"/>
      <c r="H109" s="111"/>
      <c r="I109" s="112"/>
      <c r="J109" s="111"/>
      <c r="K109" s="112"/>
      <c r="L109" s="111"/>
      <c r="M109" s="112"/>
      <c r="N109" s="111"/>
      <c r="O109" s="112"/>
      <c r="P109" s="111"/>
      <c r="Q109" s="112"/>
      <c r="R109" s="111"/>
      <c r="S109" s="112"/>
      <c r="T109" s="111"/>
      <c r="U109" s="112"/>
      <c r="V109" s="111"/>
      <c r="W109" s="112"/>
      <c r="X109" s="111"/>
      <c r="Y109" s="112"/>
      <c r="Z109" s="111"/>
      <c r="AA109" s="112"/>
      <c r="AB109" s="111"/>
      <c r="AC109" s="112"/>
      <c r="AD109" s="113"/>
      <c r="AE109" s="114"/>
      <c r="AF109" s="113"/>
      <c r="AG109" s="111"/>
      <c r="AH109" s="112"/>
      <c r="AI109" s="113"/>
      <c r="AJ109" s="114"/>
      <c r="AK109" s="113"/>
      <c r="AL109" s="114"/>
    </row>
    <row r="110" spans="1:38" ht="16.5" hidden="1" customHeight="1" x14ac:dyDescent="0.25">
      <c r="A110" s="2" t="s">
        <v>106</v>
      </c>
      <c r="B110" s="115">
        <v>0</v>
      </c>
      <c r="C110" s="116">
        <f>IFERROR(B110/B148, "NA")</f>
        <v>0</v>
      </c>
      <c r="D110" s="115">
        <v>0</v>
      </c>
      <c r="E110" s="116">
        <f>IFERROR(D110/D148, "NA")</f>
        <v>0</v>
      </c>
      <c r="F110" s="115">
        <v>0</v>
      </c>
      <c r="G110" s="116">
        <f>IFERROR(F110/F148, "NA")</f>
        <v>0</v>
      </c>
      <c r="H110" s="115">
        <v>0</v>
      </c>
      <c r="I110" s="116">
        <f>IFERROR(H110/H148, "NA")</f>
        <v>0</v>
      </c>
      <c r="J110" s="115">
        <v>0</v>
      </c>
      <c r="K110" s="116">
        <f>IFERROR(J110/J148, "NA")</f>
        <v>0</v>
      </c>
      <c r="L110" s="115">
        <v>0</v>
      </c>
      <c r="M110" s="116">
        <f>IFERROR(L110/L148, "NA")</f>
        <v>0</v>
      </c>
      <c r="N110" s="115">
        <v>0</v>
      </c>
      <c r="O110" s="116">
        <f>IFERROR(N110/N148, "NA")</f>
        <v>0</v>
      </c>
      <c r="P110" s="115">
        <v>0</v>
      </c>
      <c r="Q110" s="116">
        <f>IFERROR(P110/P148, "NA")</f>
        <v>0</v>
      </c>
      <c r="R110" s="115">
        <v>0</v>
      </c>
      <c r="S110" s="116">
        <f>IFERROR(R110/R148, "NA")</f>
        <v>0</v>
      </c>
      <c r="T110" s="115">
        <v>0</v>
      </c>
      <c r="U110" s="116">
        <f>IFERROR(T110/T148, "NA")</f>
        <v>0</v>
      </c>
      <c r="V110" s="115">
        <v>0</v>
      </c>
      <c r="W110" s="116">
        <f>IFERROR(V110/V148, "NA")</f>
        <v>0</v>
      </c>
      <c r="X110" s="115">
        <v>0</v>
      </c>
      <c r="Y110" s="116">
        <f>IFERROR(X110/X148, "NA")</f>
        <v>0</v>
      </c>
      <c r="Z110" s="115">
        <v>0</v>
      </c>
      <c r="AA110" s="116">
        <f>IFERROR(Z110/Z148, "NA")</f>
        <v>0</v>
      </c>
      <c r="AB110" s="117">
        <f t="shared" ref="AB110:AB135" si="42">IFERROR((R110+T110+V110+X110)/4, "NA")</f>
        <v>0</v>
      </c>
      <c r="AC110" s="116">
        <f>IFERROR(AB110/AB148, "NA")</f>
        <v>0</v>
      </c>
      <c r="AD110" s="118">
        <f t="shared" ref="AD110:AD135" si="43">IFERROR(X110-AB110, "NA")</f>
        <v>0</v>
      </c>
      <c r="AE110" s="119">
        <f>IFERROR(AD110/AD148, "NA")</f>
        <v>0</v>
      </c>
      <c r="AF110" s="118" t="str">
        <f t="shared" ref="AF110:AF135" si="44">IFERROR((X110-AB110)/AB110, "NA")</f>
        <v>NA</v>
      </c>
      <c r="AG110" s="117">
        <f t="shared" ref="AG110:AG135" si="45">IFERROR((J110+L110+N110+P110+R110+T110+V110+X110)/8, "NA")</f>
        <v>0</v>
      </c>
      <c r="AH110" s="116">
        <f>IFERROR(AG110/AG148, "NA")</f>
        <v>0</v>
      </c>
      <c r="AI110" s="118">
        <f t="shared" ref="AI110:AI135" si="46">IFERROR(X110-AG110, "NA")</f>
        <v>0</v>
      </c>
      <c r="AJ110" s="119">
        <f>IFERROR(AI110/AI148, "NA")</f>
        <v>0</v>
      </c>
      <c r="AK110" s="118" t="str">
        <f t="shared" ref="AK110:AK135" si="47">IFERROR((X110-AG110)/AG110, "NA")</f>
        <v>NA</v>
      </c>
      <c r="AL110" s="119" t="str">
        <f>IFERROR(AK110/AK148, "NA")</f>
        <v>NA</v>
      </c>
    </row>
    <row r="111" spans="1:38" ht="16.5" hidden="1" customHeight="1" x14ac:dyDescent="0.25">
      <c r="A111" s="2" t="s">
        <v>107</v>
      </c>
      <c r="B111" s="115">
        <v>9101.7499999999982</v>
      </c>
      <c r="C111" s="116">
        <f>IFERROR(B111/B148, "NA")</f>
        <v>6.316198030113726E-2</v>
      </c>
      <c r="D111" s="115">
        <v>9237.14</v>
      </c>
      <c r="E111" s="116">
        <f>IFERROR(D111/D148, "NA")</f>
        <v>8.1486606520223534E-2</v>
      </c>
      <c r="F111" s="115">
        <v>9101.4299999999985</v>
      </c>
      <c r="G111" s="116">
        <f>IFERROR(F111/F148, "NA")</f>
        <v>7.1138267938095967E-2</v>
      </c>
      <c r="H111" s="115">
        <v>14579.41</v>
      </c>
      <c r="I111" s="116">
        <f>IFERROR(H111/H148, "NA")</f>
        <v>0.11673925264797839</v>
      </c>
      <c r="J111" s="115">
        <v>8423.2899999999991</v>
      </c>
      <c r="K111" s="116">
        <f>IFERROR(J111/J148, "NA")</f>
        <v>6.6348664049517406E-2</v>
      </c>
      <c r="L111" s="115">
        <v>9101.4599999999991</v>
      </c>
      <c r="M111" s="116">
        <f>IFERROR(L111/L148, "NA")</f>
        <v>7.3861572020401028E-2</v>
      </c>
      <c r="N111" s="115">
        <v>9237.1299999999992</v>
      </c>
      <c r="O111" s="116">
        <f>IFERROR(N111/N148, "NA")</f>
        <v>7.2270644080654367E-2</v>
      </c>
      <c r="P111" s="115">
        <v>9101.4499999999989</v>
      </c>
      <c r="Q111" s="116">
        <f>IFERROR(P111/P148, "NA")</f>
        <v>8.1871522307739836E-2</v>
      </c>
      <c r="R111" s="115">
        <v>14579.42</v>
      </c>
      <c r="S111" s="116">
        <f>IFERROR(R111/R148, "NA")</f>
        <v>0.10810991582366497</v>
      </c>
      <c r="T111" s="115">
        <v>9101.4399999999987</v>
      </c>
      <c r="U111" s="116">
        <f>IFERROR(T111/T148, "NA")</f>
        <v>7.0542380427106061E-2</v>
      </c>
      <c r="V111" s="115">
        <v>9044.5299999999988</v>
      </c>
      <c r="W111" s="116">
        <f>IFERROR(V111/V148, "NA")</f>
        <v>6.6759492648729893E-2</v>
      </c>
      <c r="X111" s="115">
        <v>8817.739999999998</v>
      </c>
      <c r="Y111" s="116">
        <f>IFERROR(X111/X148, "NA")</f>
        <v>5.8161492539932115E-2</v>
      </c>
      <c r="Z111" s="115">
        <v>17862.269999999997</v>
      </c>
      <c r="AA111" s="116">
        <f>IFERROR(Z111/Z148, "NA")</f>
        <v>6.2218974737917578E-2</v>
      </c>
      <c r="AB111" s="117">
        <f t="shared" si="42"/>
        <v>10385.782499999999</v>
      </c>
      <c r="AC111" s="116">
        <f>IFERROR(AB111/AB148, "NA")</f>
        <v>7.5400609519174197E-2</v>
      </c>
      <c r="AD111" s="118">
        <f t="shared" si="43"/>
        <v>-1568.0425000000014</v>
      </c>
      <c r="AE111" s="119">
        <f>IFERROR(AD111/AD148, "NA")</f>
        <v>-0.11308126558160636</v>
      </c>
      <c r="AF111" s="118">
        <f t="shared" si="44"/>
        <v>-0.15097971674257588</v>
      </c>
      <c r="AG111" s="117">
        <f t="shared" si="45"/>
        <v>9675.807499999999</v>
      </c>
      <c r="AH111" s="116">
        <f>IFERROR(AG111/AG148, "NA")</f>
        <v>7.4420409534216331E-2</v>
      </c>
      <c r="AI111" s="118">
        <f t="shared" si="46"/>
        <v>-858.06750000000102</v>
      </c>
      <c r="AJ111" s="119">
        <f>IFERROR(AI111/AI148, "NA")</f>
        <v>-3.9739403196315783E-2</v>
      </c>
      <c r="AK111" s="118">
        <f t="shared" si="47"/>
        <v>-8.8681745683758292E-2</v>
      </c>
      <c r="AL111" s="119">
        <f>IFERROR(AK111/AK148, "NA")</f>
        <v>-0.5339852796435467</v>
      </c>
    </row>
    <row r="112" spans="1:38" ht="16.5" hidden="1" customHeight="1" x14ac:dyDescent="0.25">
      <c r="A112" s="2" t="s">
        <v>108</v>
      </c>
      <c r="B112" s="115">
        <v>274.5</v>
      </c>
      <c r="C112" s="116">
        <f>IFERROR(B112/B148, "NA")</f>
        <v>1.9049043966997757E-3</v>
      </c>
      <c r="D112" s="115">
        <v>414.19</v>
      </c>
      <c r="E112" s="116">
        <f>IFERROR(D112/D148, "NA")</f>
        <v>3.6538298168709567E-3</v>
      </c>
      <c r="F112" s="115">
        <v>319.11</v>
      </c>
      <c r="G112" s="116">
        <f>IFERROR(F112/F148, "NA")</f>
        <v>2.4942160387681728E-3</v>
      </c>
      <c r="H112" s="115">
        <v>293.70999999999998</v>
      </c>
      <c r="I112" s="116">
        <f>IFERROR(H112/H148, "NA")</f>
        <v>2.3517745845159531E-3</v>
      </c>
      <c r="J112" s="115">
        <v>229.46</v>
      </c>
      <c r="K112" s="116">
        <f>IFERROR(J112/J148, "NA")</f>
        <v>1.8074130717097791E-3</v>
      </c>
      <c r="L112" s="115">
        <v>119.12</v>
      </c>
      <c r="M112" s="116">
        <f>IFERROR(L112/L148, "NA")</f>
        <v>9.6670099732022903E-4</v>
      </c>
      <c r="N112" s="115">
        <v>117.38</v>
      </c>
      <c r="O112" s="116">
        <f>IFERROR(N112/N148, "NA")</f>
        <v>9.183727199018754E-4</v>
      </c>
      <c r="P112" s="115">
        <v>197.78</v>
      </c>
      <c r="Q112" s="116">
        <f>IFERROR(P112/P148, "NA")</f>
        <v>1.7791175781908142E-3</v>
      </c>
      <c r="R112" s="115">
        <v>1437.61</v>
      </c>
      <c r="S112" s="116">
        <f>IFERROR(R112/R148, "NA")</f>
        <v>1.0660224898333334E-2</v>
      </c>
      <c r="T112" s="115">
        <v>1625.3200000000002</v>
      </c>
      <c r="U112" s="116">
        <f>IFERROR(T112/T148, "NA")</f>
        <v>1.2597340833514702E-2</v>
      </c>
      <c r="V112" s="115">
        <v>0</v>
      </c>
      <c r="W112" s="116">
        <f>IFERROR(V112/V148, "NA")</f>
        <v>0</v>
      </c>
      <c r="X112" s="115">
        <v>0</v>
      </c>
      <c r="Y112" s="116">
        <f>IFERROR(X112/X148, "NA")</f>
        <v>0</v>
      </c>
      <c r="Z112" s="115">
        <v>0</v>
      </c>
      <c r="AA112" s="116">
        <f>IFERROR(Z112/Z148, "NA")</f>
        <v>0</v>
      </c>
      <c r="AB112" s="117">
        <f t="shared" si="42"/>
        <v>765.73250000000007</v>
      </c>
      <c r="AC112" s="116">
        <f>IFERROR(AB112/AB148, "NA")</f>
        <v>5.5592053105908068E-3</v>
      </c>
      <c r="AD112" s="118">
        <f t="shared" si="43"/>
        <v>-765.73250000000007</v>
      </c>
      <c r="AE112" s="119">
        <f>IFERROR(AD112/AD148, "NA")</f>
        <v>-5.522171764921379E-2</v>
      </c>
      <c r="AF112" s="118">
        <f t="shared" si="44"/>
        <v>-1</v>
      </c>
      <c r="AG112" s="117">
        <f t="shared" si="45"/>
        <v>465.83375000000001</v>
      </c>
      <c r="AH112" s="116">
        <f>IFERROR(AG112/AG148, "NA")</f>
        <v>3.5829090698486668E-3</v>
      </c>
      <c r="AI112" s="118">
        <f t="shared" si="46"/>
        <v>-465.83375000000001</v>
      </c>
      <c r="AJ112" s="119">
        <f>IFERROR(AI112/AI148, "NA")</f>
        <v>-2.1574008121391083E-2</v>
      </c>
      <c r="AK112" s="118">
        <f t="shared" si="47"/>
        <v>-1</v>
      </c>
      <c r="AL112" s="119">
        <f>IFERROR(AK112/AK148, "NA")</f>
        <v>-6.0213663536547175</v>
      </c>
    </row>
    <row r="113" spans="1:38" ht="16.5" hidden="1" customHeight="1" x14ac:dyDescent="0.25">
      <c r="A113" s="2" t="s">
        <v>109</v>
      </c>
      <c r="B113" s="115">
        <v>0</v>
      </c>
      <c r="C113" s="116">
        <f>IFERROR(B113/B148, "NA")</f>
        <v>0</v>
      </c>
      <c r="D113" s="115">
        <v>0</v>
      </c>
      <c r="E113" s="116">
        <f>IFERROR(D113/D148, "NA")</f>
        <v>0</v>
      </c>
      <c r="F113" s="115">
        <v>0</v>
      </c>
      <c r="G113" s="116">
        <f>IFERROR(F113/F148, "NA")</f>
        <v>0</v>
      </c>
      <c r="H113" s="115">
        <v>0</v>
      </c>
      <c r="I113" s="116">
        <f>IFERROR(H113/H148, "NA")</f>
        <v>0</v>
      </c>
      <c r="J113" s="115">
        <v>0</v>
      </c>
      <c r="K113" s="116">
        <f>IFERROR(J113/J148, "NA")</f>
        <v>0</v>
      </c>
      <c r="L113" s="115">
        <v>0</v>
      </c>
      <c r="M113" s="116">
        <f>IFERROR(L113/L148, "NA")</f>
        <v>0</v>
      </c>
      <c r="N113" s="115">
        <v>0</v>
      </c>
      <c r="O113" s="116">
        <f>IFERROR(N113/N148, "NA")</f>
        <v>0</v>
      </c>
      <c r="P113" s="115">
        <v>0</v>
      </c>
      <c r="Q113" s="116">
        <f>IFERROR(P113/P148, "NA")</f>
        <v>0</v>
      </c>
      <c r="R113" s="115">
        <v>0</v>
      </c>
      <c r="S113" s="116">
        <f>IFERROR(R113/R148, "NA")</f>
        <v>0</v>
      </c>
      <c r="T113" s="115">
        <v>0</v>
      </c>
      <c r="U113" s="116">
        <f>IFERROR(T113/T148, "NA")</f>
        <v>0</v>
      </c>
      <c r="V113" s="115">
        <v>0</v>
      </c>
      <c r="W113" s="116">
        <f>IFERROR(V113/V148, "NA")</f>
        <v>0</v>
      </c>
      <c r="X113" s="115">
        <v>0</v>
      </c>
      <c r="Y113" s="116">
        <f>IFERROR(X113/X148, "NA")</f>
        <v>0</v>
      </c>
      <c r="Z113" s="115">
        <v>0</v>
      </c>
      <c r="AA113" s="116">
        <f>IFERROR(Z113/Z148, "NA")</f>
        <v>0</v>
      </c>
      <c r="AB113" s="117">
        <f t="shared" si="42"/>
        <v>0</v>
      </c>
      <c r="AC113" s="116">
        <f>IFERROR(AB113/AB148, "NA")</f>
        <v>0</v>
      </c>
      <c r="AD113" s="118">
        <f t="shared" si="43"/>
        <v>0</v>
      </c>
      <c r="AE113" s="119">
        <f>IFERROR(AD113/AD148, "NA")</f>
        <v>0</v>
      </c>
      <c r="AF113" s="118" t="str">
        <f t="shared" si="44"/>
        <v>NA</v>
      </c>
      <c r="AG113" s="117">
        <f t="shared" si="45"/>
        <v>0</v>
      </c>
      <c r="AH113" s="116">
        <f>IFERROR(AG113/AG148, "NA")</f>
        <v>0</v>
      </c>
      <c r="AI113" s="118">
        <f t="shared" si="46"/>
        <v>0</v>
      </c>
      <c r="AJ113" s="119">
        <f>IFERROR(AI113/AI148, "NA")</f>
        <v>0</v>
      </c>
      <c r="AK113" s="118" t="str">
        <f t="shared" si="47"/>
        <v>NA</v>
      </c>
      <c r="AL113" s="119" t="str">
        <f>IFERROR(AK113/AK148, "NA")</f>
        <v>NA</v>
      </c>
    </row>
    <row r="114" spans="1:38" ht="16.5" hidden="1" customHeight="1" x14ac:dyDescent="0.25">
      <c r="A114" s="2" t="s">
        <v>110</v>
      </c>
      <c r="B114" s="115">
        <v>0</v>
      </c>
      <c r="C114" s="116">
        <f>IFERROR(B114/B148, "NA")</f>
        <v>0</v>
      </c>
      <c r="D114" s="115">
        <v>0</v>
      </c>
      <c r="E114" s="116">
        <f>IFERROR(D114/D148, "NA")</f>
        <v>0</v>
      </c>
      <c r="F114" s="115">
        <v>0</v>
      </c>
      <c r="G114" s="116">
        <f>IFERROR(F114/F148, "NA")</f>
        <v>0</v>
      </c>
      <c r="H114" s="115">
        <v>110.71</v>
      </c>
      <c r="I114" s="116">
        <f>IFERROR(H114/H148, "NA")</f>
        <v>8.8646952521794008E-4</v>
      </c>
      <c r="J114" s="115">
        <v>0</v>
      </c>
      <c r="K114" s="116">
        <f>IFERROR(J114/J148, "NA")</f>
        <v>0</v>
      </c>
      <c r="L114" s="115">
        <v>79.349999999999994</v>
      </c>
      <c r="M114" s="116">
        <f>IFERROR(L114/L148, "NA")</f>
        <v>6.4395335911148562E-4</v>
      </c>
      <c r="N114" s="115">
        <v>0</v>
      </c>
      <c r="O114" s="116">
        <f>IFERROR(N114/N148, "NA")</f>
        <v>0</v>
      </c>
      <c r="P114" s="115">
        <v>0</v>
      </c>
      <c r="Q114" s="116">
        <f>IFERROR(P114/P148, "NA")</f>
        <v>0</v>
      </c>
      <c r="R114" s="115">
        <v>110.71</v>
      </c>
      <c r="S114" s="116">
        <f>IFERROR(R114/R148, "NA")</f>
        <v>8.2094135300567151E-4</v>
      </c>
      <c r="T114" s="115">
        <v>0</v>
      </c>
      <c r="U114" s="116">
        <f>IFERROR(T114/T148, "NA")</f>
        <v>0</v>
      </c>
      <c r="V114" s="115">
        <v>0</v>
      </c>
      <c r="W114" s="116">
        <f>IFERROR(V114/V148, "NA")</f>
        <v>0</v>
      </c>
      <c r="X114" s="115">
        <v>98</v>
      </c>
      <c r="Y114" s="116">
        <f>IFERROR(X114/X148, "NA")</f>
        <v>6.4640443797541651E-4</v>
      </c>
      <c r="Z114" s="115">
        <v>98</v>
      </c>
      <c r="AA114" s="116">
        <f>IFERROR(Z114/Z148, "NA")</f>
        <v>3.4135972215826565E-4</v>
      </c>
      <c r="AB114" s="117">
        <f t="shared" si="42"/>
        <v>52.177499999999995</v>
      </c>
      <c r="AC114" s="116">
        <f>IFERROR(AB114/AB148, "NA")</f>
        <v>3.7880778874261153E-4</v>
      </c>
      <c r="AD114" s="118">
        <f t="shared" si="43"/>
        <v>45.822500000000005</v>
      </c>
      <c r="AE114" s="119">
        <f>IFERROR(AD114/AD148, "NA")</f>
        <v>3.3045445465369424E-3</v>
      </c>
      <c r="AF114" s="118">
        <f t="shared" si="44"/>
        <v>0.87820420679411637</v>
      </c>
      <c r="AG114" s="117">
        <f t="shared" si="45"/>
        <v>36.0075</v>
      </c>
      <c r="AH114" s="116">
        <f>IFERROR(AG114/AG148, "NA")</f>
        <v>2.7694772723654279E-4</v>
      </c>
      <c r="AI114" s="118">
        <f t="shared" si="46"/>
        <v>61.9925</v>
      </c>
      <c r="AJ114" s="119">
        <f>IFERROR(AI114/AI148, "NA")</f>
        <v>2.8710386451504142E-3</v>
      </c>
      <c r="AK114" s="118">
        <f t="shared" si="47"/>
        <v>1.7216552107199889</v>
      </c>
      <c r="AL114" s="119">
        <f>IFERROR(AK114/AK148, "NA")</f>
        <v>10.366716758423665</v>
      </c>
    </row>
    <row r="115" spans="1:38" ht="16.5" hidden="1" customHeight="1" x14ac:dyDescent="0.25">
      <c r="A115" s="2" t="s">
        <v>111</v>
      </c>
      <c r="B115" s="115">
        <v>88.29</v>
      </c>
      <c r="C115" s="116">
        <f>IFERROR(B115/B148, "NA")</f>
        <v>6.1269220103687873E-4</v>
      </c>
      <c r="D115" s="115">
        <v>129.84</v>
      </c>
      <c r="E115" s="116">
        <f>IFERROR(D115/D148, "NA")</f>
        <v>1.145400090351107E-3</v>
      </c>
      <c r="F115" s="115">
        <v>44.82</v>
      </c>
      <c r="G115" s="116">
        <f>IFERROR(F115/F148, "NA")</f>
        <v>3.5032046271689854E-4</v>
      </c>
      <c r="H115" s="115">
        <v>106.63</v>
      </c>
      <c r="I115" s="116">
        <f>IFERROR(H115/H148, "NA")</f>
        <v>8.5380042881391877E-4</v>
      </c>
      <c r="J115" s="115">
        <v>0</v>
      </c>
      <c r="K115" s="116">
        <f>IFERROR(J115/J148, "NA")</f>
        <v>0</v>
      </c>
      <c r="L115" s="115">
        <v>37.07</v>
      </c>
      <c r="M115" s="116">
        <f>IFERROR(L115/L148, "NA")</f>
        <v>3.0083618175504441E-4</v>
      </c>
      <c r="N115" s="115">
        <v>0</v>
      </c>
      <c r="O115" s="116">
        <f>IFERROR(N115/N148, "NA")</f>
        <v>0</v>
      </c>
      <c r="P115" s="115">
        <v>30.66</v>
      </c>
      <c r="Q115" s="116">
        <f>IFERROR(P115/P148, "NA")</f>
        <v>2.7580010591227812E-4</v>
      </c>
      <c r="R115" s="115">
        <v>64.790000000000006</v>
      </c>
      <c r="S115" s="116">
        <f>IFERROR(R115/R148, "NA")</f>
        <v>4.8043347720384306E-4</v>
      </c>
      <c r="T115" s="115">
        <v>168.44</v>
      </c>
      <c r="U115" s="116">
        <f>IFERROR(T115/T148, "NA")</f>
        <v>1.3055251212051879E-3</v>
      </c>
      <c r="V115" s="115">
        <v>0</v>
      </c>
      <c r="W115" s="116">
        <f>IFERROR(V115/V148, "NA")</f>
        <v>0</v>
      </c>
      <c r="X115" s="115">
        <v>0</v>
      </c>
      <c r="Y115" s="116">
        <f>IFERROR(X115/X148, "NA")</f>
        <v>0</v>
      </c>
      <c r="Z115" s="115">
        <v>0</v>
      </c>
      <c r="AA115" s="116">
        <f>IFERROR(Z115/Z148, "NA")</f>
        <v>0</v>
      </c>
      <c r="AB115" s="117">
        <f t="shared" si="42"/>
        <v>58.307500000000005</v>
      </c>
      <c r="AC115" s="116">
        <f>IFERROR(AB115/AB148, "NA")</f>
        <v>4.2331148755900196E-4</v>
      </c>
      <c r="AD115" s="118">
        <f t="shared" si="43"/>
        <v>-58.307500000000005</v>
      </c>
      <c r="AE115" s="119">
        <f>IFERROR(AD115/AD148, "NA")</f>
        <v>-4.2049152959180046E-3</v>
      </c>
      <c r="AF115" s="118">
        <f t="shared" si="44"/>
        <v>-1</v>
      </c>
      <c r="AG115" s="117">
        <f t="shared" si="45"/>
        <v>37.620000000000005</v>
      </c>
      <c r="AH115" s="116">
        <f>IFERROR(AG115/AG148, "NA")</f>
        <v>2.8935009369266795E-4</v>
      </c>
      <c r="AI115" s="118">
        <f t="shared" si="46"/>
        <v>-37.620000000000005</v>
      </c>
      <c r="AJ115" s="119">
        <f>IFERROR(AI115/AI148, "NA")</f>
        <v>-1.7422829185878711E-3</v>
      </c>
      <c r="AK115" s="118">
        <f t="shared" si="47"/>
        <v>-1</v>
      </c>
      <c r="AL115" s="119">
        <f>IFERROR(AK115/AK148, "NA")</f>
        <v>-6.0213663536547175</v>
      </c>
    </row>
    <row r="116" spans="1:38" ht="16.5" hidden="1" customHeight="1" x14ac:dyDescent="0.25">
      <c r="A116" s="2" t="s">
        <v>112</v>
      </c>
      <c r="B116" s="115">
        <v>781.8</v>
      </c>
      <c r="C116" s="116">
        <f>IFERROR(B116/B148, "NA")</f>
        <v>5.4253342708192511E-3</v>
      </c>
      <c r="D116" s="115">
        <v>0</v>
      </c>
      <c r="E116" s="116">
        <f>IFERROR(D116/D148, "NA")</f>
        <v>0</v>
      </c>
      <c r="F116" s="115">
        <v>0</v>
      </c>
      <c r="G116" s="116">
        <f>IFERROR(F116/F148, "NA")</f>
        <v>0</v>
      </c>
      <c r="H116" s="115">
        <v>0</v>
      </c>
      <c r="I116" s="116">
        <f>IFERROR(H116/H148, "NA")</f>
        <v>0</v>
      </c>
      <c r="J116" s="115">
        <v>781.8</v>
      </c>
      <c r="K116" s="116">
        <f>IFERROR(J116/J148, "NA")</f>
        <v>6.1580909067493472E-3</v>
      </c>
      <c r="L116" s="115">
        <v>0</v>
      </c>
      <c r="M116" s="116">
        <f>IFERROR(L116/L148, "NA")</f>
        <v>0</v>
      </c>
      <c r="N116" s="115">
        <v>0</v>
      </c>
      <c r="O116" s="116">
        <f>IFERROR(N116/N148, "NA")</f>
        <v>0</v>
      </c>
      <c r="P116" s="115">
        <v>0</v>
      </c>
      <c r="Q116" s="116">
        <f>IFERROR(P116/P148, "NA")</f>
        <v>0</v>
      </c>
      <c r="R116" s="115">
        <v>0</v>
      </c>
      <c r="S116" s="116">
        <f>IFERROR(R116/R148, "NA")</f>
        <v>0</v>
      </c>
      <c r="T116" s="115">
        <v>781.8</v>
      </c>
      <c r="U116" s="116">
        <f>IFERROR(T116/T148, "NA")</f>
        <v>6.0594843253278076E-3</v>
      </c>
      <c r="V116" s="115">
        <v>0</v>
      </c>
      <c r="W116" s="116">
        <f>IFERROR(V116/V148, "NA")</f>
        <v>0</v>
      </c>
      <c r="X116" s="115">
        <v>0</v>
      </c>
      <c r="Y116" s="116">
        <f>IFERROR(X116/X148, "NA")</f>
        <v>0</v>
      </c>
      <c r="Z116" s="115">
        <v>0</v>
      </c>
      <c r="AA116" s="116">
        <f>IFERROR(Z116/Z148, "NA")</f>
        <v>0</v>
      </c>
      <c r="AB116" s="117">
        <f t="shared" si="42"/>
        <v>195.45</v>
      </c>
      <c r="AC116" s="116">
        <f>IFERROR(AB116/AB148, "NA")</f>
        <v>1.4189637738439638E-3</v>
      </c>
      <c r="AD116" s="118">
        <f t="shared" si="43"/>
        <v>-195.45</v>
      </c>
      <c r="AE116" s="119">
        <f>IFERROR(AD116/AD148, "NA")</f>
        <v>-1.4095111170727159E-2</v>
      </c>
      <c r="AF116" s="118">
        <f t="shared" si="44"/>
        <v>-1</v>
      </c>
      <c r="AG116" s="117">
        <f t="shared" si="45"/>
        <v>195.45</v>
      </c>
      <c r="AH116" s="116">
        <f>IFERROR(AG116/AG148, "NA")</f>
        <v>1.5032821853331192E-3</v>
      </c>
      <c r="AI116" s="118">
        <f t="shared" si="46"/>
        <v>-195.45</v>
      </c>
      <c r="AJ116" s="119">
        <f>IFERROR(AI116/AI148, "NA")</f>
        <v>-9.0518127708133795E-3</v>
      </c>
      <c r="AK116" s="118">
        <f t="shared" si="47"/>
        <v>-1</v>
      </c>
      <c r="AL116" s="119">
        <f>IFERROR(AK116/AK148, "NA")</f>
        <v>-6.0213663536547175</v>
      </c>
    </row>
    <row r="117" spans="1:38" ht="16.5" hidden="1" customHeight="1" x14ac:dyDescent="0.25">
      <c r="A117" s="2" t="s">
        <v>113</v>
      </c>
      <c r="B117" s="115">
        <v>289.8</v>
      </c>
      <c r="C117" s="116">
        <f>IFERROR(B117/B148, "NA")</f>
        <v>2.0110793958600911E-3</v>
      </c>
      <c r="D117" s="115">
        <v>531</v>
      </c>
      <c r="E117" s="116">
        <f>IFERROR(D117/D148, "NA")</f>
        <v>4.6842841033305441E-3</v>
      </c>
      <c r="F117" s="115">
        <v>310.5</v>
      </c>
      <c r="G117" s="116">
        <f>IFERROR(F117/F148, "NA")</f>
        <v>2.4269188682194778E-3</v>
      </c>
      <c r="H117" s="115">
        <v>111.61</v>
      </c>
      <c r="I117" s="116">
        <f>IFERROR(H117/H148, "NA")</f>
        <v>8.9367594354235658E-4</v>
      </c>
      <c r="J117" s="115">
        <v>0</v>
      </c>
      <c r="K117" s="116">
        <f>IFERROR(J117/J148, "NA")</f>
        <v>0</v>
      </c>
      <c r="L117" s="115">
        <v>0</v>
      </c>
      <c r="M117" s="116">
        <f>IFERROR(L117/L148, "NA")</f>
        <v>0</v>
      </c>
      <c r="N117" s="115">
        <v>531</v>
      </c>
      <c r="O117" s="116">
        <f>IFERROR(N117/N148, "NA")</f>
        <v>4.1545059998968807E-3</v>
      </c>
      <c r="P117" s="115">
        <v>0</v>
      </c>
      <c r="Q117" s="116">
        <f>IFERROR(P117/P148, "NA")</f>
        <v>0</v>
      </c>
      <c r="R117" s="115">
        <v>111.61</v>
      </c>
      <c r="S117" s="116">
        <f>IFERROR(R117/R148, "NA")</f>
        <v>8.2761507008366909E-4</v>
      </c>
      <c r="T117" s="115">
        <v>0</v>
      </c>
      <c r="U117" s="116">
        <f>IFERROR(T117/T148, "NA")</f>
        <v>0</v>
      </c>
      <c r="V117" s="115">
        <v>0</v>
      </c>
      <c r="W117" s="116">
        <f>IFERROR(V117/V148, "NA")</f>
        <v>0</v>
      </c>
      <c r="X117" s="115">
        <v>0</v>
      </c>
      <c r="Y117" s="116">
        <f>IFERROR(X117/X148, "NA")</f>
        <v>0</v>
      </c>
      <c r="Z117" s="115">
        <v>0</v>
      </c>
      <c r="AA117" s="116">
        <f>IFERROR(Z117/Z148, "NA")</f>
        <v>0</v>
      </c>
      <c r="AB117" s="117">
        <f t="shared" si="42"/>
        <v>27.9025</v>
      </c>
      <c r="AC117" s="116">
        <f>IFERROR(AB117/AB148, "NA")</f>
        <v>2.0257168943300694E-4</v>
      </c>
      <c r="AD117" s="118">
        <f t="shared" si="43"/>
        <v>-27.9025</v>
      </c>
      <c r="AE117" s="119">
        <f>IFERROR(AD117/AD148, "NA")</f>
        <v>-2.0122222534725738E-3</v>
      </c>
      <c r="AF117" s="118">
        <f t="shared" si="44"/>
        <v>-1</v>
      </c>
      <c r="AG117" s="117">
        <f t="shared" si="45"/>
        <v>80.326250000000002</v>
      </c>
      <c r="AH117" s="116">
        <f>IFERROR(AG117/AG148, "NA")</f>
        <v>6.1782052002872585E-4</v>
      </c>
      <c r="AI117" s="118">
        <f t="shared" si="46"/>
        <v>-80.326250000000002</v>
      </c>
      <c r="AJ117" s="119">
        <f>IFERROR(AI117/AI148, "NA")</f>
        <v>-3.7201236918984306E-3</v>
      </c>
      <c r="AK117" s="118">
        <f t="shared" si="47"/>
        <v>-1</v>
      </c>
      <c r="AL117" s="119">
        <f>IFERROR(AK117/AK148, "NA")</f>
        <v>-6.0213663536547175</v>
      </c>
    </row>
    <row r="118" spans="1:38" ht="16.5" hidden="1" customHeight="1" x14ac:dyDescent="0.25">
      <c r="A118" s="2" t="s">
        <v>114</v>
      </c>
      <c r="B118" s="115">
        <v>1635.64</v>
      </c>
      <c r="C118" s="116">
        <f>IFERROR(B118/B148, "NA")</f>
        <v>1.1350593178207727E-2</v>
      </c>
      <c r="D118" s="115">
        <v>0</v>
      </c>
      <c r="E118" s="116">
        <f>IFERROR(D118/D148, "NA")</f>
        <v>0</v>
      </c>
      <c r="F118" s="115">
        <v>0</v>
      </c>
      <c r="G118" s="116">
        <f>IFERROR(F118/F148, "NA")</f>
        <v>0</v>
      </c>
      <c r="H118" s="115">
        <v>0</v>
      </c>
      <c r="I118" s="116">
        <f>IFERROR(H118/H148, "NA")</f>
        <v>0</v>
      </c>
      <c r="J118" s="115">
        <v>1635.64</v>
      </c>
      <c r="K118" s="116">
        <f>IFERROR(J118/J148, "NA")</f>
        <v>1.2883627284107833E-2</v>
      </c>
      <c r="L118" s="115">
        <v>0</v>
      </c>
      <c r="M118" s="116">
        <f>IFERROR(L118/L148, "NA")</f>
        <v>0</v>
      </c>
      <c r="N118" s="115">
        <v>0</v>
      </c>
      <c r="O118" s="116">
        <f>IFERROR(N118/N148, "NA")</f>
        <v>0</v>
      </c>
      <c r="P118" s="115">
        <v>0</v>
      </c>
      <c r="Q118" s="116">
        <f>IFERROR(P118/P148, "NA")</f>
        <v>0</v>
      </c>
      <c r="R118" s="115">
        <v>0</v>
      </c>
      <c r="S118" s="116">
        <f>IFERROR(R118/R148, "NA")</f>
        <v>0</v>
      </c>
      <c r="T118" s="115">
        <v>1635.64</v>
      </c>
      <c r="U118" s="116">
        <f>IFERROR(T118/T148, "NA")</f>
        <v>1.2677327886773058E-2</v>
      </c>
      <c r="V118" s="115">
        <v>0</v>
      </c>
      <c r="W118" s="116">
        <f>IFERROR(V118/V148, "NA")</f>
        <v>0</v>
      </c>
      <c r="X118" s="115">
        <v>0</v>
      </c>
      <c r="Y118" s="116">
        <f>IFERROR(X118/X148, "NA")</f>
        <v>0</v>
      </c>
      <c r="Z118" s="115">
        <v>0</v>
      </c>
      <c r="AA118" s="116">
        <f>IFERROR(Z118/Z148, "NA")</f>
        <v>0</v>
      </c>
      <c r="AB118" s="117">
        <f t="shared" si="42"/>
        <v>408.91</v>
      </c>
      <c r="AC118" s="116">
        <f>IFERROR(AB118/AB148, "NA")</f>
        <v>2.9686798504094925E-3</v>
      </c>
      <c r="AD118" s="118">
        <f t="shared" si="43"/>
        <v>-408.91</v>
      </c>
      <c r="AE118" s="119">
        <f>IFERROR(AD118/AD148, "NA")</f>
        <v>-2.9489035092463766E-2</v>
      </c>
      <c r="AF118" s="118">
        <f t="shared" si="44"/>
        <v>-1</v>
      </c>
      <c r="AG118" s="117">
        <f t="shared" si="45"/>
        <v>408.91</v>
      </c>
      <c r="AH118" s="116">
        <f>IFERROR(AG118/AG148, "NA")</f>
        <v>3.1450863054723241E-3</v>
      </c>
      <c r="AI118" s="118">
        <f t="shared" si="46"/>
        <v>-408.91</v>
      </c>
      <c r="AJ118" s="119">
        <f>IFERROR(AI118/AI148, "NA")</f>
        <v>-1.8937716859111279E-2</v>
      </c>
      <c r="AK118" s="118">
        <f t="shared" si="47"/>
        <v>-1</v>
      </c>
      <c r="AL118" s="119">
        <f>IFERROR(AK118/AK148, "NA")</f>
        <v>-6.0213663536547175</v>
      </c>
    </row>
    <row r="119" spans="1:38" ht="16.5" hidden="1" customHeight="1" x14ac:dyDescent="0.25">
      <c r="A119" s="2" t="s">
        <v>115</v>
      </c>
      <c r="B119" s="115">
        <v>0</v>
      </c>
      <c r="C119" s="116">
        <f>IFERROR(B119/B148, "NA")</f>
        <v>0</v>
      </c>
      <c r="D119" s="115">
        <v>0</v>
      </c>
      <c r="E119" s="116">
        <f>IFERROR(D119/D148, "NA")</f>
        <v>0</v>
      </c>
      <c r="F119" s="115">
        <v>0</v>
      </c>
      <c r="G119" s="116">
        <f>IFERROR(F119/F148, "NA")</f>
        <v>0</v>
      </c>
      <c r="H119" s="115">
        <v>0</v>
      </c>
      <c r="I119" s="116">
        <f>IFERROR(H119/H148, "NA")</f>
        <v>0</v>
      </c>
      <c r="J119" s="115">
        <v>0</v>
      </c>
      <c r="K119" s="116">
        <f>IFERROR(J119/J148, "NA")</f>
        <v>0</v>
      </c>
      <c r="L119" s="115">
        <v>0</v>
      </c>
      <c r="M119" s="116">
        <f>IFERROR(L119/L148, "NA")</f>
        <v>0</v>
      </c>
      <c r="N119" s="115">
        <v>0</v>
      </c>
      <c r="O119" s="116">
        <f>IFERROR(N119/N148, "NA")</f>
        <v>0</v>
      </c>
      <c r="P119" s="115">
        <v>0</v>
      </c>
      <c r="Q119" s="116">
        <f>IFERROR(P119/P148, "NA")</f>
        <v>0</v>
      </c>
      <c r="R119" s="115">
        <v>0</v>
      </c>
      <c r="S119" s="116">
        <f>IFERROR(R119/R148, "NA")</f>
        <v>0</v>
      </c>
      <c r="T119" s="115">
        <v>118.74</v>
      </c>
      <c r="U119" s="116">
        <f>IFERROR(T119/T148, "NA")</f>
        <v>9.203161534784138E-4</v>
      </c>
      <c r="V119" s="115">
        <v>0</v>
      </c>
      <c r="W119" s="116">
        <f>IFERROR(V119/V148, "NA")</f>
        <v>0</v>
      </c>
      <c r="X119" s="115">
        <v>0</v>
      </c>
      <c r="Y119" s="116">
        <f>IFERROR(X119/X148, "NA")</f>
        <v>0</v>
      </c>
      <c r="Z119" s="115">
        <v>0</v>
      </c>
      <c r="AA119" s="116">
        <f>IFERROR(Z119/Z148, "NA")</f>
        <v>0</v>
      </c>
      <c r="AB119" s="117">
        <f t="shared" si="42"/>
        <v>29.684999999999999</v>
      </c>
      <c r="AC119" s="116">
        <f>IFERROR(AB119/AB148, "NA")</f>
        <v>2.1551261001052989E-4</v>
      </c>
      <c r="AD119" s="118">
        <f t="shared" si="43"/>
        <v>-29.684999999999999</v>
      </c>
      <c r="AE119" s="119">
        <f>IFERROR(AD119/AD148, "NA")</f>
        <v>-2.1407693788848079E-3</v>
      </c>
      <c r="AF119" s="118">
        <f t="shared" si="44"/>
        <v>-1</v>
      </c>
      <c r="AG119" s="117">
        <f t="shared" si="45"/>
        <v>14.842499999999999</v>
      </c>
      <c r="AH119" s="116">
        <f>IFERROR(AG119/AG148, "NA")</f>
        <v>1.1415945682172842E-4</v>
      </c>
      <c r="AI119" s="118">
        <f t="shared" si="46"/>
        <v>-14.842499999999999</v>
      </c>
      <c r="AJ119" s="119">
        <f>IFERROR(AI119/AI148, "NA")</f>
        <v>-6.8739591225785415E-4</v>
      </c>
      <c r="AK119" s="118">
        <f t="shared" si="47"/>
        <v>-1</v>
      </c>
      <c r="AL119" s="119">
        <f>IFERROR(AK119/AK148, "NA")</f>
        <v>-6.0213663536547175</v>
      </c>
    </row>
    <row r="120" spans="1:38" ht="16.5" hidden="1" customHeight="1" x14ac:dyDescent="0.25">
      <c r="A120" s="2" t="s">
        <v>116</v>
      </c>
      <c r="B120" s="115">
        <v>0</v>
      </c>
      <c r="C120" s="116">
        <f>IFERROR(B120/B148, "NA")</f>
        <v>0</v>
      </c>
      <c r="D120" s="115">
        <v>0</v>
      </c>
      <c r="E120" s="116">
        <f>IFERROR(D120/D148, "NA")</f>
        <v>0</v>
      </c>
      <c r="F120" s="115">
        <v>0</v>
      </c>
      <c r="G120" s="116">
        <f>IFERROR(F120/F148, "NA")</f>
        <v>0</v>
      </c>
      <c r="H120" s="115">
        <v>39.25</v>
      </c>
      <c r="I120" s="116">
        <f>IFERROR(H120/H148, "NA")</f>
        <v>3.1427991025927333E-4</v>
      </c>
      <c r="J120" s="115">
        <v>0</v>
      </c>
      <c r="K120" s="116">
        <f>IFERROR(J120/J148, "NA")</f>
        <v>0</v>
      </c>
      <c r="L120" s="115">
        <v>0</v>
      </c>
      <c r="M120" s="116">
        <f>IFERROR(L120/L148, "NA")</f>
        <v>0</v>
      </c>
      <c r="N120" s="115">
        <v>0</v>
      </c>
      <c r="O120" s="116">
        <f>IFERROR(N120/N148, "NA")</f>
        <v>0</v>
      </c>
      <c r="P120" s="115">
        <v>0</v>
      </c>
      <c r="Q120" s="116">
        <f>IFERROR(P120/P148, "NA")</f>
        <v>0</v>
      </c>
      <c r="R120" s="115">
        <v>39.25</v>
      </c>
      <c r="S120" s="116">
        <f>IFERROR(R120/R148, "NA")</f>
        <v>2.9104821701266925E-4</v>
      </c>
      <c r="T120" s="115">
        <v>0</v>
      </c>
      <c r="U120" s="116">
        <f>IFERROR(T120/T148, "NA")</f>
        <v>0</v>
      </c>
      <c r="V120" s="115">
        <v>0</v>
      </c>
      <c r="W120" s="116">
        <f>IFERROR(V120/V148, "NA")</f>
        <v>0</v>
      </c>
      <c r="X120" s="115">
        <v>0</v>
      </c>
      <c r="Y120" s="116">
        <f>IFERROR(X120/X148, "NA")</f>
        <v>0</v>
      </c>
      <c r="Z120" s="115">
        <v>0</v>
      </c>
      <c r="AA120" s="116">
        <f>IFERROR(Z120/Z148, "NA")</f>
        <v>0</v>
      </c>
      <c r="AB120" s="117">
        <f t="shared" si="42"/>
        <v>9.8125</v>
      </c>
      <c r="AC120" s="116">
        <f>IFERROR(AB120/AB148, "NA")</f>
        <v>7.1238588031946254E-5</v>
      </c>
      <c r="AD120" s="118">
        <f t="shared" si="43"/>
        <v>-9.8125</v>
      </c>
      <c r="AE120" s="119">
        <f>IFERROR(AD120/AD148, "NA")</f>
        <v>-7.0764020651194811E-4</v>
      </c>
      <c r="AF120" s="118">
        <f t="shared" si="44"/>
        <v>-1</v>
      </c>
      <c r="AG120" s="117">
        <f t="shared" si="45"/>
        <v>4.90625</v>
      </c>
      <c r="AH120" s="116">
        <f>IFERROR(AG120/AG148, "NA")</f>
        <v>3.7735882434334185E-5</v>
      </c>
      <c r="AI120" s="118">
        <f t="shared" si="46"/>
        <v>-4.90625</v>
      </c>
      <c r="AJ120" s="119">
        <f>IFERROR(AI120/AI148, "NA")</f>
        <v>-2.2722157281556993E-4</v>
      </c>
      <c r="AK120" s="118">
        <f t="shared" si="47"/>
        <v>-1</v>
      </c>
      <c r="AL120" s="119">
        <f>IFERROR(AK120/AK148, "NA")</f>
        <v>-6.0213663536547175</v>
      </c>
    </row>
    <row r="121" spans="1:38" ht="16.5" hidden="1" customHeight="1" x14ac:dyDescent="0.25">
      <c r="A121" s="2" t="s">
        <v>117</v>
      </c>
      <c r="B121" s="115">
        <v>0</v>
      </c>
      <c r="C121" s="116">
        <f>IFERROR(B121/B148, "NA")</f>
        <v>0</v>
      </c>
      <c r="D121" s="115">
        <v>0</v>
      </c>
      <c r="E121" s="116">
        <f>IFERROR(D121/D148, "NA")</f>
        <v>0</v>
      </c>
      <c r="F121" s="115">
        <v>0</v>
      </c>
      <c r="G121" s="116">
        <f>IFERROR(F121/F148, "NA")</f>
        <v>0</v>
      </c>
      <c r="H121" s="115">
        <v>0</v>
      </c>
      <c r="I121" s="116">
        <f>IFERROR(H121/H148, "NA")</f>
        <v>0</v>
      </c>
      <c r="J121" s="115">
        <v>0</v>
      </c>
      <c r="K121" s="116">
        <f>IFERROR(J121/J148, "NA")</f>
        <v>0</v>
      </c>
      <c r="L121" s="115">
        <v>0</v>
      </c>
      <c r="M121" s="116">
        <f>IFERROR(L121/L148, "NA")</f>
        <v>0</v>
      </c>
      <c r="N121" s="115">
        <v>0</v>
      </c>
      <c r="O121" s="116">
        <f>IFERROR(N121/N148, "NA")</f>
        <v>0</v>
      </c>
      <c r="P121" s="115">
        <v>0</v>
      </c>
      <c r="Q121" s="116">
        <f>IFERROR(P121/P148, "NA")</f>
        <v>0</v>
      </c>
      <c r="R121" s="115">
        <v>0</v>
      </c>
      <c r="S121" s="116">
        <f>IFERROR(R121/R148, "NA")</f>
        <v>0</v>
      </c>
      <c r="T121" s="115">
        <v>0</v>
      </c>
      <c r="U121" s="116">
        <f>IFERROR(T121/T148, "NA")</f>
        <v>0</v>
      </c>
      <c r="V121" s="115">
        <v>0</v>
      </c>
      <c r="W121" s="116">
        <f>IFERROR(V121/V148, "NA")</f>
        <v>0</v>
      </c>
      <c r="X121" s="115">
        <v>0</v>
      </c>
      <c r="Y121" s="116">
        <f>IFERROR(X121/X148, "NA")</f>
        <v>0</v>
      </c>
      <c r="Z121" s="115">
        <v>0</v>
      </c>
      <c r="AA121" s="116">
        <f>IFERROR(Z121/Z148, "NA")</f>
        <v>0</v>
      </c>
      <c r="AB121" s="117">
        <f t="shared" si="42"/>
        <v>0</v>
      </c>
      <c r="AC121" s="116">
        <f>IFERROR(AB121/AB148, "NA")</f>
        <v>0</v>
      </c>
      <c r="AD121" s="118">
        <f t="shared" si="43"/>
        <v>0</v>
      </c>
      <c r="AE121" s="119">
        <f>IFERROR(AD121/AD148, "NA")</f>
        <v>0</v>
      </c>
      <c r="AF121" s="118" t="str">
        <f t="shared" si="44"/>
        <v>NA</v>
      </c>
      <c r="AG121" s="117">
        <f t="shared" si="45"/>
        <v>0</v>
      </c>
      <c r="AH121" s="116">
        <f>IFERROR(AG121/AG148, "NA")</f>
        <v>0</v>
      </c>
      <c r="AI121" s="118">
        <f t="shared" si="46"/>
        <v>0</v>
      </c>
      <c r="AJ121" s="119">
        <f>IFERROR(AI121/AI148, "NA")</f>
        <v>0</v>
      </c>
      <c r="AK121" s="118" t="str">
        <f t="shared" si="47"/>
        <v>NA</v>
      </c>
      <c r="AL121" s="119" t="str">
        <f>IFERROR(AK121/AK148, "NA")</f>
        <v>NA</v>
      </c>
    </row>
    <row r="122" spans="1:38" ht="16.5" hidden="1" customHeight="1" x14ac:dyDescent="0.25">
      <c r="A122" s="2" t="s">
        <v>118</v>
      </c>
      <c r="B122" s="115">
        <v>1361.2</v>
      </c>
      <c r="C122" s="116">
        <f>IFERROR(B122/B148, "NA")</f>
        <v>9.4461051540536776E-3</v>
      </c>
      <c r="D122" s="115">
        <v>963.58</v>
      </c>
      <c r="E122" s="116">
        <f>IFERROR(D122/D148, "NA")</f>
        <v>8.5003436464919889E-3</v>
      </c>
      <c r="F122" s="115">
        <v>259.7</v>
      </c>
      <c r="G122" s="116">
        <f>IFERROR(F122/F148, "NA")</f>
        <v>2.0298577458183523E-3</v>
      </c>
      <c r="H122" s="115">
        <v>1948.44</v>
      </c>
      <c r="I122" s="116">
        <f>IFERROR(H122/H148, "NA")</f>
        <v>1.5601415244473338E-2</v>
      </c>
      <c r="J122" s="115">
        <v>1569.44</v>
      </c>
      <c r="K122" s="116">
        <f>IFERROR(J122/J148, "NA")</f>
        <v>1.2362182390238804E-2</v>
      </c>
      <c r="L122" s="115">
        <v>192.05</v>
      </c>
      <c r="M122" s="116">
        <f>IFERROR(L122/L148, "NA")</f>
        <v>1.5585537821973638E-3</v>
      </c>
      <c r="N122" s="115">
        <v>1453.97</v>
      </c>
      <c r="O122" s="116">
        <f>IFERROR(N122/N148, "NA")</f>
        <v>1.1375757229133837E-2</v>
      </c>
      <c r="P122" s="115">
        <v>23.57</v>
      </c>
      <c r="Q122" s="116">
        <f>IFERROR(P122/P148, "NA")</f>
        <v>2.1202245584971935E-4</v>
      </c>
      <c r="R122" s="115">
        <v>2810.68</v>
      </c>
      <c r="S122" s="116">
        <f>IFERROR(R122/R148, "NA")</f>
        <v>2.0841870129762269E-2</v>
      </c>
      <c r="T122" s="115">
        <v>1411.28</v>
      </c>
      <c r="U122" s="116">
        <f>IFERROR(T122/T148, "NA")</f>
        <v>1.0938384546749332E-2</v>
      </c>
      <c r="V122" s="115">
        <v>24.37</v>
      </c>
      <c r="W122" s="116">
        <f>IFERROR(V122/V148, "NA")</f>
        <v>1.7987986505098086E-4</v>
      </c>
      <c r="X122" s="115">
        <v>0</v>
      </c>
      <c r="Y122" s="116">
        <f>IFERROR(X122/X148, "NA")</f>
        <v>0</v>
      </c>
      <c r="Z122" s="115">
        <v>24.37</v>
      </c>
      <c r="AA122" s="116">
        <f>IFERROR(Z122/Z148, "NA")</f>
        <v>8.488710641833606E-5</v>
      </c>
      <c r="AB122" s="117">
        <f t="shared" si="42"/>
        <v>1061.5825</v>
      </c>
      <c r="AC122" s="116">
        <f>IFERROR(AB122/AB148, "NA")</f>
        <v>7.7070714272024039E-3</v>
      </c>
      <c r="AD122" s="118">
        <f t="shared" si="43"/>
        <v>-1061.5825</v>
      </c>
      <c r="AE122" s="119">
        <f>IFERROR(AD122/AD148, "NA")</f>
        <v>-7.6557295238672121E-2</v>
      </c>
      <c r="AF122" s="118">
        <f t="shared" si="44"/>
        <v>-1</v>
      </c>
      <c r="AG122" s="117">
        <f t="shared" si="45"/>
        <v>935.67</v>
      </c>
      <c r="AH122" s="116">
        <f>IFERROR(AG122/AG148, "NA")</f>
        <v>7.196602928373699E-3</v>
      </c>
      <c r="AI122" s="118">
        <f t="shared" si="46"/>
        <v>-935.67</v>
      </c>
      <c r="AJ122" s="119">
        <f>IFERROR(AI122/AI148, "NA")</f>
        <v>-4.3333382733522406E-2</v>
      </c>
      <c r="AK122" s="118">
        <f t="shared" si="47"/>
        <v>-1</v>
      </c>
      <c r="AL122" s="119">
        <f>IFERROR(AK122/AK148, "NA")</f>
        <v>-6.0213663536547175</v>
      </c>
    </row>
    <row r="123" spans="1:38" ht="16.5" hidden="1" customHeight="1" x14ac:dyDescent="0.25">
      <c r="A123" s="2" t="s">
        <v>119</v>
      </c>
      <c r="B123" s="115">
        <v>50.52</v>
      </c>
      <c r="C123" s="116">
        <f>IFERROR(B123/B148, "NA")</f>
        <v>3.505856835019041E-4</v>
      </c>
      <c r="D123" s="115">
        <v>0</v>
      </c>
      <c r="E123" s="116">
        <f>IFERROR(D123/D148, "NA")</f>
        <v>0</v>
      </c>
      <c r="F123" s="115">
        <v>253.83</v>
      </c>
      <c r="G123" s="116">
        <f>IFERROR(F123/F148, "NA")</f>
        <v>1.9839768641550727E-3</v>
      </c>
      <c r="H123" s="115">
        <v>68.12</v>
      </c>
      <c r="I123" s="116">
        <f>IFERROR(H123/H148, "NA")</f>
        <v>5.4544579584361018E-4</v>
      </c>
      <c r="J123" s="115">
        <v>0</v>
      </c>
      <c r="K123" s="116">
        <f>IFERROR(J123/J148, "NA")</f>
        <v>0</v>
      </c>
      <c r="L123" s="115">
        <v>189.51</v>
      </c>
      <c r="M123" s="116">
        <f>IFERROR(L123/L148, "NA")</f>
        <v>1.5379407824224025E-3</v>
      </c>
      <c r="N123" s="115">
        <v>0</v>
      </c>
      <c r="O123" s="116">
        <f>IFERROR(N123/N148, "NA")</f>
        <v>0</v>
      </c>
      <c r="P123" s="115">
        <v>4.99</v>
      </c>
      <c r="Q123" s="116">
        <f>IFERROR(P123/P148, "NA")</f>
        <v>4.4887231849389038E-5</v>
      </c>
      <c r="R123" s="115">
        <v>0</v>
      </c>
      <c r="S123" s="116">
        <f>IFERROR(R123/R148, "NA")</f>
        <v>0</v>
      </c>
      <c r="T123" s="115">
        <v>33.35</v>
      </c>
      <c r="U123" s="116">
        <f>IFERROR(T123/T148, "NA")</f>
        <v>2.5848529323315735E-4</v>
      </c>
      <c r="V123" s="115">
        <v>0</v>
      </c>
      <c r="W123" s="116">
        <f>IFERROR(V123/V148, "NA")</f>
        <v>0</v>
      </c>
      <c r="X123" s="115">
        <v>0</v>
      </c>
      <c r="Y123" s="116">
        <f>IFERROR(X123/X148, "NA")</f>
        <v>0</v>
      </c>
      <c r="Z123" s="115">
        <v>0</v>
      </c>
      <c r="AA123" s="116">
        <f>IFERROR(Z123/Z148, "NA")</f>
        <v>0</v>
      </c>
      <c r="AB123" s="117">
        <f t="shared" si="42"/>
        <v>8.3375000000000004</v>
      </c>
      <c r="AC123" s="116">
        <f>IFERROR(AB123/AB148, "NA")</f>
        <v>6.0530112378736503E-5</v>
      </c>
      <c r="AD123" s="118">
        <f t="shared" si="43"/>
        <v>-8.3375000000000004</v>
      </c>
      <c r="AE123" s="119">
        <f>IFERROR(AD123/AD148, "NA")</f>
        <v>-6.0126881241206293E-4</v>
      </c>
      <c r="AF123" s="118">
        <f t="shared" si="44"/>
        <v>-1</v>
      </c>
      <c r="AG123" s="117">
        <f t="shared" si="45"/>
        <v>28.481249999999999</v>
      </c>
      <c r="AH123" s="116">
        <f>IFERROR(AG123/AG148, "NA")</f>
        <v>2.1906040287039601E-4</v>
      </c>
      <c r="AI123" s="118">
        <f t="shared" si="46"/>
        <v>-28.481249999999999</v>
      </c>
      <c r="AJ123" s="119">
        <f>IFERROR(AI123/AI148, "NA")</f>
        <v>-1.31904293926185E-3</v>
      </c>
      <c r="AK123" s="118">
        <f t="shared" si="47"/>
        <v>-1</v>
      </c>
      <c r="AL123" s="119">
        <f>IFERROR(AK123/AK148, "NA")</f>
        <v>-6.0213663536547175</v>
      </c>
    </row>
    <row r="124" spans="1:38" ht="16.5" hidden="1" customHeight="1" x14ac:dyDescent="0.25">
      <c r="A124" s="2" t="s">
        <v>120</v>
      </c>
      <c r="B124" s="115">
        <v>0</v>
      </c>
      <c r="C124" s="116">
        <f>IFERROR(B124/B148, "NA")</f>
        <v>0</v>
      </c>
      <c r="D124" s="115">
        <v>0</v>
      </c>
      <c r="E124" s="116">
        <f>IFERROR(D124/D148, "NA")</f>
        <v>0</v>
      </c>
      <c r="F124" s="115">
        <v>0</v>
      </c>
      <c r="G124" s="116">
        <f>IFERROR(F124/F148, "NA")</f>
        <v>0</v>
      </c>
      <c r="H124" s="115">
        <v>10900</v>
      </c>
      <c r="I124" s="116">
        <f>IFERROR(H124/H148, "NA")</f>
        <v>8.727773304015489E-2</v>
      </c>
      <c r="J124" s="115">
        <v>0</v>
      </c>
      <c r="K124" s="116">
        <f>IFERROR(J124/J148, "NA")</f>
        <v>0</v>
      </c>
      <c r="L124" s="115">
        <v>0</v>
      </c>
      <c r="M124" s="116">
        <f>IFERROR(L124/L148, "NA")</f>
        <v>0</v>
      </c>
      <c r="N124" s="115">
        <v>0</v>
      </c>
      <c r="O124" s="116">
        <f>IFERROR(N124/N148, "NA")</f>
        <v>0</v>
      </c>
      <c r="P124" s="115">
        <v>0</v>
      </c>
      <c r="Q124" s="116">
        <f>IFERROR(P124/P148, "NA")</f>
        <v>0</v>
      </c>
      <c r="R124" s="115">
        <v>9150</v>
      </c>
      <c r="S124" s="116">
        <f>IFERROR(R124/R148, "NA")</f>
        <v>6.7849456959641355E-2</v>
      </c>
      <c r="T124" s="115">
        <v>0</v>
      </c>
      <c r="U124" s="116">
        <f>IFERROR(T124/T148, "NA")</f>
        <v>0</v>
      </c>
      <c r="V124" s="115">
        <v>0</v>
      </c>
      <c r="W124" s="116">
        <f>IFERROR(V124/V148, "NA")</f>
        <v>0</v>
      </c>
      <c r="X124" s="115">
        <v>0</v>
      </c>
      <c r="Y124" s="116">
        <f>IFERROR(X124/X148, "NA")</f>
        <v>0</v>
      </c>
      <c r="Z124" s="115">
        <v>0</v>
      </c>
      <c r="AA124" s="116">
        <f>IFERROR(Z124/Z148, "NA")</f>
        <v>0</v>
      </c>
      <c r="AB124" s="117">
        <f t="shared" si="42"/>
        <v>2287.5</v>
      </c>
      <c r="AC124" s="116">
        <f>IFERROR(AB124/AB148, "NA")</f>
        <v>1.6607212241842247E-2</v>
      </c>
      <c r="AD124" s="118">
        <f t="shared" si="43"/>
        <v>-2287.5</v>
      </c>
      <c r="AE124" s="119">
        <f>IFERROR(AD124/AD148, "NA")</f>
        <v>-0.16496580610405923</v>
      </c>
      <c r="AF124" s="118">
        <f t="shared" si="44"/>
        <v>-1</v>
      </c>
      <c r="AG124" s="117">
        <f t="shared" si="45"/>
        <v>1143.75</v>
      </c>
      <c r="AH124" s="116">
        <f>IFERROR(AG124/AG148, "NA")</f>
        <v>8.7970273700422354E-3</v>
      </c>
      <c r="AI124" s="118">
        <f t="shared" si="46"/>
        <v>-1143.75</v>
      </c>
      <c r="AJ124" s="119">
        <f>IFERROR(AI124/AI148, "NA")</f>
        <v>-5.2970124618151974E-2</v>
      </c>
      <c r="AK124" s="118">
        <f t="shared" si="47"/>
        <v>-1</v>
      </c>
      <c r="AL124" s="119">
        <f>IFERROR(AK124/AK148, "NA")</f>
        <v>-6.0213663536547175</v>
      </c>
    </row>
    <row r="125" spans="1:38" ht="16.5" hidden="1" customHeight="1" x14ac:dyDescent="0.25">
      <c r="A125" s="2" t="s">
        <v>121</v>
      </c>
      <c r="B125" s="115">
        <v>0</v>
      </c>
      <c r="C125" s="116">
        <f>IFERROR(B125/B148, "NA")</f>
        <v>0</v>
      </c>
      <c r="D125" s="115">
        <v>0</v>
      </c>
      <c r="E125" s="116">
        <f>IFERROR(D125/D148, "NA")</f>
        <v>0</v>
      </c>
      <c r="F125" s="115">
        <v>1525</v>
      </c>
      <c r="G125" s="116">
        <f>IFERROR(F125/F148, "NA")</f>
        <v>1.191964983586056E-2</v>
      </c>
      <c r="H125" s="115">
        <v>0</v>
      </c>
      <c r="I125" s="116">
        <f>IFERROR(H125/H148, "NA")</f>
        <v>0</v>
      </c>
      <c r="J125" s="115">
        <v>0</v>
      </c>
      <c r="K125" s="116">
        <f>IFERROR(J125/J148, "NA")</f>
        <v>0</v>
      </c>
      <c r="L125" s="115">
        <v>0</v>
      </c>
      <c r="M125" s="116">
        <f>IFERROR(L125/L148, "NA")</f>
        <v>0</v>
      </c>
      <c r="N125" s="115">
        <v>894.5</v>
      </c>
      <c r="O125" s="116">
        <f>IFERROR(N125/N148, "NA")</f>
        <v>6.9985039866436154E-3</v>
      </c>
      <c r="P125" s="115">
        <v>0</v>
      </c>
      <c r="Q125" s="116">
        <f>IFERROR(P125/P148, "NA")</f>
        <v>0</v>
      </c>
      <c r="R125" s="115">
        <v>0</v>
      </c>
      <c r="S125" s="116">
        <f>IFERROR(R125/R148, "NA")</f>
        <v>0</v>
      </c>
      <c r="T125" s="115">
        <v>0</v>
      </c>
      <c r="U125" s="116">
        <f>IFERROR(T125/T148, "NA")</f>
        <v>0</v>
      </c>
      <c r="V125" s="115">
        <v>0</v>
      </c>
      <c r="W125" s="116">
        <f>IFERROR(V125/V148, "NA")</f>
        <v>0</v>
      </c>
      <c r="X125" s="115">
        <v>2013</v>
      </c>
      <c r="Y125" s="116">
        <f>IFERROR(X125/X148, "NA")</f>
        <v>1.3277674833107279E-2</v>
      </c>
      <c r="Z125" s="115">
        <v>2013</v>
      </c>
      <c r="AA125" s="116">
        <f>IFERROR(Z125/Z148, "NA")</f>
        <v>7.0118073541284567E-3</v>
      </c>
      <c r="AB125" s="117">
        <f t="shared" si="42"/>
        <v>503.25</v>
      </c>
      <c r="AC125" s="116">
        <f>IFERROR(AB125/AB148, "NA")</f>
        <v>3.6535866932052947E-3</v>
      </c>
      <c r="AD125" s="118">
        <f t="shared" si="43"/>
        <v>1509.75</v>
      </c>
      <c r="AE125" s="119">
        <f>IFERROR(AD125/AD148, "NA")</f>
        <v>0.1088774320286791</v>
      </c>
      <c r="AF125" s="118">
        <f t="shared" si="44"/>
        <v>3</v>
      </c>
      <c r="AG125" s="117">
        <f t="shared" si="45"/>
        <v>363.4375</v>
      </c>
      <c r="AH125" s="116">
        <f>IFERROR(AG125/AG148, "NA")</f>
        <v>2.7953395714095958E-3</v>
      </c>
      <c r="AI125" s="118">
        <f t="shared" si="46"/>
        <v>1649.5625</v>
      </c>
      <c r="AJ125" s="119">
        <f>IFERROR(AI125/AI148, "NA")</f>
        <v>7.6395655685622135E-2</v>
      </c>
      <c r="AK125" s="118">
        <f t="shared" si="47"/>
        <v>4.5387790197764399</v>
      </c>
      <c r="AL125" s="119">
        <f>IFERROR(AK125/AK148, "NA")</f>
        <v>27.329651276355797</v>
      </c>
    </row>
    <row r="126" spans="1:38" ht="16.5" hidden="1" customHeight="1" x14ac:dyDescent="0.25">
      <c r="A126" s="2" t="s">
        <v>122</v>
      </c>
      <c r="B126" s="115">
        <v>0</v>
      </c>
      <c r="C126" s="116">
        <f>IFERROR(B126/B148, "NA")</f>
        <v>0</v>
      </c>
      <c r="D126" s="115">
        <v>0</v>
      </c>
      <c r="E126" s="116">
        <f>IFERROR(D126/D148, "NA")</f>
        <v>0</v>
      </c>
      <c r="F126" s="115">
        <v>0</v>
      </c>
      <c r="G126" s="116">
        <f>IFERROR(F126/F148, "NA")</f>
        <v>0</v>
      </c>
      <c r="H126" s="115">
        <v>0</v>
      </c>
      <c r="I126" s="116">
        <f>IFERROR(H126/H148, "NA")</f>
        <v>0</v>
      </c>
      <c r="J126" s="115">
        <v>0</v>
      </c>
      <c r="K126" s="116">
        <f>IFERROR(J126/J148, "NA")</f>
        <v>0</v>
      </c>
      <c r="L126" s="115">
        <v>0</v>
      </c>
      <c r="M126" s="116">
        <f>IFERROR(L126/L148, "NA")</f>
        <v>0</v>
      </c>
      <c r="N126" s="115">
        <v>0</v>
      </c>
      <c r="O126" s="116">
        <f>IFERROR(N126/N148, "NA")</f>
        <v>0</v>
      </c>
      <c r="P126" s="115">
        <v>0</v>
      </c>
      <c r="Q126" s="116">
        <f>IFERROR(P126/P148, "NA")</f>
        <v>0</v>
      </c>
      <c r="R126" s="115">
        <v>0</v>
      </c>
      <c r="S126" s="116">
        <f>IFERROR(R126/R148, "NA")</f>
        <v>0</v>
      </c>
      <c r="T126" s="115">
        <v>0</v>
      </c>
      <c r="U126" s="116">
        <f>IFERROR(T126/T148, "NA")</f>
        <v>0</v>
      </c>
      <c r="V126" s="115">
        <v>0</v>
      </c>
      <c r="W126" s="116">
        <f>IFERROR(V126/V148, "NA")</f>
        <v>0</v>
      </c>
      <c r="X126" s="115">
        <v>0</v>
      </c>
      <c r="Y126" s="116">
        <f>IFERROR(X126/X148, "NA")</f>
        <v>0</v>
      </c>
      <c r="Z126" s="115">
        <v>0</v>
      </c>
      <c r="AA126" s="116">
        <f>IFERROR(Z126/Z148, "NA")</f>
        <v>0</v>
      </c>
      <c r="AB126" s="117">
        <f t="shared" si="42"/>
        <v>0</v>
      </c>
      <c r="AC126" s="116">
        <f>IFERROR(AB126/AB148, "NA")</f>
        <v>0</v>
      </c>
      <c r="AD126" s="118">
        <f t="shared" si="43"/>
        <v>0</v>
      </c>
      <c r="AE126" s="119">
        <f>IFERROR(AD126/AD148, "NA")</f>
        <v>0</v>
      </c>
      <c r="AF126" s="118" t="str">
        <f t="shared" si="44"/>
        <v>NA</v>
      </c>
      <c r="AG126" s="117">
        <f t="shared" si="45"/>
        <v>0</v>
      </c>
      <c r="AH126" s="116">
        <f>IFERROR(AG126/AG148, "NA")</f>
        <v>0</v>
      </c>
      <c r="AI126" s="118">
        <f t="shared" si="46"/>
        <v>0</v>
      </c>
      <c r="AJ126" s="119">
        <f>IFERROR(AI126/AI148, "NA")</f>
        <v>0</v>
      </c>
      <c r="AK126" s="118" t="str">
        <f t="shared" si="47"/>
        <v>NA</v>
      </c>
      <c r="AL126" s="119" t="str">
        <f>IFERROR(AK126/AK148, "NA")</f>
        <v>NA</v>
      </c>
    </row>
    <row r="127" spans="1:38" ht="16.5" hidden="1" customHeight="1" x14ac:dyDescent="0.25">
      <c r="A127" s="2" t="s">
        <v>123</v>
      </c>
      <c r="B127" s="115">
        <v>0</v>
      </c>
      <c r="C127" s="116">
        <f>IFERROR(B127/B148, "NA")</f>
        <v>0</v>
      </c>
      <c r="D127" s="115">
        <v>0</v>
      </c>
      <c r="E127" s="116">
        <f>IFERROR(D127/D148, "NA")</f>
        <v>0</v>
      </c>
      <c r="F127" s="115">
        <v>0</v>
      </c>
      <c r="G127" s="116">
        <f>IFERROR(F127/F148, "NA")</f>
        <v>0</v>
      </c>
      <c r="H127" s="115">
        <v>0</v>
      </c>
      <c r="I127" s="116">
        <f>IFERROR(H127/H148, "NA")</f>
        <v>0</v>
      </c>
      <c r="J127" s="115">
        <v>0</v>
      </c>
      <c r="K127" s="116">
        <f>IFERROR(J127/J148, "NA")</f>
        <v>0</v>
      </c>
      <c r="L127" s="115">
        <v>0</v>
      </c>
      <c r="M127" s="116">
        <f>IFERROR(L127/L148, "NA")</f>
        <v>0</v>
      </c>
      <c r="N127" s="115">
        <v>0</v>
      </c>
      <c r="O127" s="116">
        <f>IFERROR(N127/N148, "NA")</f>
        <v>0</v>
      </c>
      <c r="P127" s="115">
        <v>0</v>
      </c>
      <c r="Q127" s="116">
        <f>IFERROR(P127/P148, "NA")</f>
        <v>0</v>
      </c>
      <c r="R127" s="115">
        <v>0</v>
      </c>
      <c r="S127" s="116">
        <f>IFERROR(R127/R148, "NA")</f>
        <v>0</v>
      </c>
      <c r="T127" s="115">
        <v>0</v>
      </c>
      <c r="U127" s="116">
        <f>IFERROR(T127/T148, "NA")</f>
        <v>0</v>
      </c>
      <c r="V127" s="115">
        <v>0</v>
      </c>
      <c r="W127" s="116">
        <f>IFERROR(V127/V148, "NA")</f>
        <v>0</v>
      </c>
      <c r="X127" s="115">
        <v>0</v>
      </c>
      <c r="Y127" s="116">
        <f>IFERROR(X127/X148, "NA")</f>
        <v>0</v>
      </c>
      <c r="Z127" s="115">
        <v>0</v>
      </c>
      <c r="AA127" s="116">
        <f>IFERROR(Z127/Z148, "NA")</f>
        <v>0</v>
      </c>
      <c r="AB127" s="117">
        <f t="shared" si="42"/>
        <v>0</v>
      </c>
      <c r="AC127" s="116">
        <f>IFERROR(AB127/AB148, "NA")</f>
        <v>0</v>
      </c>
      <c r="AD127" s="118">
        <f t="shared" si="43"/>
        <v>0</v>
      </c>
      <c r="AE127" s="119">
        <f>IFERROR(AD127/AD148, "NA")</f>
        <v>0</v>
      </c>
      <c r="AF127" s="118" t="str">
        <f t="shared" si="44"/>
        <v>NA</v>
      </c>
      <c r="AG127" s="117">
        <f t="shared" si="45"/>
        <v>0</v>
      </c>
      <c r="AH127" s="116">
        <f>IFERROR(AG127/AG148, "NA")</f>
        <v>0</v>
      </c>
      <c r="AI127" s="118">
        <f t="shared" si="46"/>
        <v>0</v>
      </c>
      <c r="AJ127" s="119">
        <f>IFERROR(AI127/AI148, "NA")</f>
        <v>0</v>
      </c>
      <c r="AK127" s="118" t="str">
        <f t="shared" si="47"/>
        <v>NA</v>
      </c>
      <c r="AL127" s="119" t="str">
        <f>IFERROR(AK127/AK148, "NA")</f>
        <v>NA</v>
      </c>
    </row>
    <row r="128" spans="1:38" ht="16.5" hidden="1" customHeight="1" x14ac:dyDescent="0.25">
      <c r="A128" s="2" t="s">
        <v>124</v>
      </c>
      <c r="B128" s="115">
        <v>6225.2799999999988</v>
      </c>
      <c r="C128" s="116">
        <f>IFERROR(B128/B148, "NA")</f>
        <v>4.3200594691027966E-2</v>
      </c>
      <c r="D128" s="115">
        <v>3261.7</v>
      </c>
      <c r="E128" s="116">
        <f>IFERROR(D128/D148, "NA")</f>
        <v>2.8773501807595546E-2</v>
      </c>
      <c r="F128" s="115">
        <v>5009.7300000000005</v>
      </c>
      <c r="G128" s="116">
        <f>IFERROR(F128/F148, "NA")</f>
        <v>3.9156870408003752E-2</v>
      </c>
      <c r="H128" s="115">
        <v>11238.999999999998</v>
      </c>
      <c r="I128" s="116">
        <f>IFERROR(H128/H148, "NA")</f>
        <v>8.9992150609018398E-2</v>
      </c>
      <c r="J128" s="115">
        <v>3932.6200000000013</v>
      </c>
      <c r="K128" s="116">
        <f>IFERROR(J128/J148, "NA")</f>
        <v>3.0976504811589443E-2</v>
      </c>
      <c r="L128" s="115">
        <v>3940.389999999999</v>
      </c>
      <c r="M128" s="116">
        <f>IFERROR(L128/L148, "NA")</f>
        <v>3.197766070207065E-2</v>
      </c>
      <c r="N128" s="115">
        <v>4802.8999999999996</v>
      </c>
      <c r="O128" s="116">
        <f>IFERROR(N128/N148, "NA")</f>
        <v>3.7577545888709464E-2</v>
      </c>
      <c r="P128" s="115">
        <v>3847.4400000000005</v>
      </c>
      <c r="Q128" s="116">
        <f>IFERROR(P128/P148, "NA")</f>
        <v>3.4609405071465607E-2</v>
      </c>
      <c r="R128" s="115">
        <v>3648.4</v>
      </c>
      <c r="S128" s="116">
        <f>IFERROR(R128/R148, "NA")</f>
        <v>2.7053765985962354E-2</v>
      </c>
      <c r="T128" s="115">
        <v>2845.9200000000023</v>
      </c>
      <c r="U128" s="116">
        <f>IFERROR(T128/T148, "NA")</f>
        <v>2.2057825059013724E-2</v>
      </c>
      <c r="V128" s="115">
        <v>2608.6900000000005</v>
      </c>
      <c r="W128" s="116">
        <f>IFERROR(V128/V148, "NA")</f>
        <v>1.9255264881405141E-2</v>
      </c>
      <c r="X128" s="115">
        <v>4974.1900000000005</v>
      </c>
      <c r="Y128" s="116">
        <f>IFERROR(X128/X148, "NA")</f>
        <v>3.2809576442172826E-2</v>
      </c>
      <c r="Z128" s="115">
        <v>7582.88</v>
      </c>
      <c r="AA128" s="116">
        <f>IFERROR(Z128/Z148, "NA")</f>
        <v>2.6413161326117037E-2</v>
      </c>
      <c r="AB128" s="117">
        <f t="shared" si="42"/>
        <v>3519.3000000000006</v>
      </c>
      <c r="AC128" s="116">
        <f>IFERROR(AB128/AB148, "NA")</f>
        <v>2.5550059909383797E-2</v>
      </c>
      <c r="AD128" s="118">
        <f t="shared" si="43"/>
        <v>1454.8899999999999</v>
      </c>
      <c r="AE128" s="119">
        <f>IFERROR(AD128/AD148, "NA")</f>
        <v>0.10492113733015726</v>
      </c>
      <c r="AF128" s="118">
        <f t="shared" si="44"/>
        <v>0.41340323359759029</v>
      </c>
      <c r="AG128" s="117">
        <f t="shared" si="45"/>
        <v>3825.0687500000004</v>
      </c>
      <c r="AH128" s="116">
        <f>IFERROR(AG128/AG148, "NA")</f>
        <v>2.942009572550229E-2</v>
      </c>
      <c r="AI128" s="118">
        <f t="shared" si="46"/>
        <v>1149.1212500000001</v>
      </c>
      <c r="AJ128" s="119">
        <f>IFERROR(AI128/AI148, "NA")</f>
        <v>5.3218881585894273E-2</v>
      </c>
      <c r="AK128" s="118">
        <f t="shared" si="47"/>
        <v>0.30041845653101007</v>
      </c>
      <c r="AL128" s="119">
        <f>IFERROR(AK128/AK148, "NA")</f>
        <v>1.8089295861727064</v>
      </c>
    </row>
    <row r="129" spans="1:38" ht="16.5" hidden="1" customHeight="1" x14ac:dyDescent="0.25">
      <c r="A129" s="2" t="s">
        <v>125</v>
      </c>
      <c r="B129" s="115">
        <v>2351.75</v>
      </c>
      <c r="C129" s="116">
        <f>IFERROR(B129/B148, "NA")</f>
        <v>1.6320068906880501E-2</v>
      </c>
      <c r="D129" s="115">
        <v>256.25</v>
      </c>
      <c r="E129" s="116">
        <f>IFERROR(D129/D148, "NA")</f>
        <v>2.2605419990178004E-3</v>
      </c>
      <c r="F129" s="115">
        <v>268.75</v>
      </c>
      <c r="G129" s="116">
        <f>IFERROR(F129/F148, "NA")</f>
        <v>2.1005940284508362E-3</v>
      </c>
      <c r="H129" s="115">
        <v>6256.25</v>
      </c>
      <c r="I129" s="116">
        <f>IFERROR(H129/H148, "NA")</f>
        <v>5.0094616269033852E-2</v>
      </c>
      <c r="J129" s="115">
        <v>2108</v>
      </c>
      <c r="K129" s="116">
        <f>IFERROR(J129/J148, "NA")</f>
        <v>1.6604317768518322E-2</v>
      </c>
      <c r="L129" s="115">
        <v>2593.75</v>
      </c>
      <c r="M129" s="116">
        <f>IFERROR(L129/L148, "NA")</f>
        <v>2.1049200065474678E-2</v>
      </c>
      <c r="N129" s="115">
        <v>287.5</v>
      </c>
      <c r="O129" s="116">
        <f>IFERROR(N129/N148, "NA")</f>
        <v>2.2493794255562206E-3</v>
      </c>
      <c r="P129" s="115">
        <v>681.25</v>
      </c>
      <c r="Q129" s="116">
        <f>IFERROR(P129/P148, "NA")</f>
        <v>6.1281416227247053E-3</v>
      </c>
      <c r="R129" s="115">
        <v>12050</v>
      </c>
      <c r="S129" s="116">
        <f>IFERROR(R129/R148, "NA")</f>
        <v>8.9353656433188891E-2</v>
      </c>
      <c r="T129" s="115">
        <v>2651.75</v>
      </c>
      <c r="U129" s="116">
        <f>IFERROR(T129/T148, "NA")</f>
        <v>2.0552874852504496E-2</v>
      </c>
      <c r="V129" s="115">
        <v>0</v>
      </c>
      <c r="W129" s="116">
        <f>IFERROR(V129/V148, "NA")</f>
        <v>0</v>
      </c>
      <c r="X129" s="115">
        <v>0</v>
      </c>
      <c r="Y129" s="116">
        <f>IFERROR(X129/X148, "NA")</f>
        <v>0</v>
      </c>
      <c r="Z129" s="115">
        <v>0</v>
      </c>
      <c r="AA129" s="116">
        <f>IFERROR(Z129/Z148, "NA")</f>
        <v>0</v>
      </c>
      <c r="AB129" s="117">
        <f t="shared" si="42"/>
        <v>3675.4375</v>
      </c>
      <c r="AC129" s="116">
        <f>IFERROR(AB129/AB148, "NA")</f>
        <v>2.6683615582131615E-2</v>
      </c>
      <c r="AD129" s="118">
        <f t="shared" si="43"/>
        <v>-3675.4375</v>
      </c>
      <c r="AE129" s="119">
        <f>IFERROR(AD129/AD148, "NA")</f>
        <v>-0.26505858359457407</v>
      </c>
      <c r="AF129" s="118">
        <f t="shared" si="44"/>
        <v>-1</v>
      </c>
      <c r="AG129" s="117">
        <f t="shared" si="45"/>
        <v>2546.53125</v>
      </c>
      <c r="AH129" s="116">
        <f>IFERROR(AG129/AG148, "NA")</f>
        <v>1.9586365119053872E-2</v>
      </c>
      <c r="AI129" s="118">
        <f t="shared" si="46"/>
        <v>-2546.53125</v>
      </c>
      <c r="AJ129" s="119">
        <f>IFERROR(AI129/AI148, "NA")</f>
        <v>-0.11793667991826738</v>
      </c>
      <c r="AK129" s="118">
        <f t="shared" si="47"/>
        <v>-1</v>
      </c>
      <c r="AL129" s="119">
        <f>IFERROR(AK129/AK148, "NA")</f>
        <v>-6.0213663536547175</v>
      </c>
    </row>
    <row r="130" spans="1:38" ht="16.5" hidden="1" customHeight="1" x14ac:dyDescent="0.25">
      <c r="A130" s="2" t="s">
        <v>126</v>
      </c>
      <c r="B130" s="115">
        <v>0</v>
      </c>
      <c r="C130" s="116">
        <f>IFERROR(B130/B148, "NA")</f>
        <v>0</v>
      </c>
      <c r="D130" s="115">
        <v>0</v>
      </c>
      <c r="E130" s="116">
        <f>IFERROR(D130/D148, "NA")</f>
        <v>0</v>
      </c>
      <c r="F130" s="115">
        <v>0</v>
      </c>
      <c r="G130" s="116">
        <f>IFERROR(F130/F148, "NA")</f>
        <v>0</v>
      </c>
      <c r="H130" s="115">
        <v>231.02</v>
      </c>
      <c r="I130" s="116">
        <f>IFERROR(H130/H148, "NA")</f>
        <v>1.8498075125629892E-3</v>
      </c>
      <c r="J130" s="115">
        <v>0</v>
      </c>
      <c r="K130" s="116">
        <f>IFERROR(J130/J148, "NA")</f>
        <v>0</v>
      </c>
      <c r="L130" s="115">
        <v>0</v>
      </c>
      <c r="M130" s="116">
        <f>IFERROR(L130/L148, "NA")</f>
        <v>0</v>
      </c>
      <c r="N130" s="115">
        <v>0</v>
      </c>
      <c r="O130" s="116">
        <f>IFERROR(N130/N148, "NA")</f>
        <v>0</v>
      </c>
      <c r="P130" s="115">
        <v>0</v>
      </c>
      <c r="Q130" s="116">
        <f>IFERROR(P130/P148, "NA")</f>
        <v>0</v>
      </c>
      <c r="R130" s="115">
        <v>216.4</v>
      </c>
      <c r="S130" s="116">
        <f>IFERROR(R130/R148, "NA")</f>
        <v>1.6046581951985126E-3</v>
      </c>
      <c r="T130" s="115">
        <v>0</v>
      </c>
      <c r="U130" s="116">
        <f>IFERROR(T130/T148, "NA")</f>
        <v>0</v>
      </c>
      <c r="V130" s="115">
        <v>0</v>
      </c>
      <c r="W130" s="116">
        <f>IFERROR(V130/V148, "NA")</f>
        <v>0</v>
      </c>
      <c r="X130" s="115">
        <v>0</v>
      </c>
      <c r="Y130" s="116">
        <f>IFERROR(X130/X148, "NA")</f>
        <v>0</v>
      </c>
      <c r="Z130" s="115">
        <v>0</v>
      </c>
      <c r="AA130" s="116">
        <f>IFERROR(Z130/Z148, "NA")</f>
        <v>0</v>
      </c>
      <c r="AB130" s="117">
        <f t="shared" si="42"/>
        <v>54.1</v>
      </c>
      <c r="AC130" s="116">
        <f>IFERROR(AB130/AB148, "NA")</f>
        <v>3.9276510700925275E-4</v>
      </c>
      <c r="AD130" s="118">
        <f t="shared" si="43"/>
        <v>-54.1</v>
      </c>
      <c r="AE130" s="119">
        <f>IFERROR(AD130/AD148, "NA")</f>
        <v>-3.9014863869856198E-3</v>
      </c>
      <c r="AF130" s="118">
        <f t="shared" si="44"/>
        <v>-1</v>
      </c>
      <c r="AG130" s="117">
        <f t="shared" si="45"/>
        <v>27.05</v>
      </c>
      <c r="AH130" s="116">
        <f>IFERROR(AG130/AG148, "NA")</f>
        <v>2.0805210086088962E-4</v>
      </c>
      <c r="AI130" s="118">
        <f t="shared" si="46"/>
        <v>-27.05</v>
      </c>
      <c r="AJ130" s="119">
        <f>IFERROR(AI130/AI148, "NA")</f>
        <v>-1.2527579199309385E-3</v>
      </c>
      <c r="AK130" s="118">
        <f t="shared" si="47"/>
        <v>-1</v>
      </c>
      <c r="AL130" s="119">
        <f>IFERROR(AK130/AK148, "NA")</f>
        <v>-6.0213663536547175</v>
      </c>
    </row>
    <row r="131" spans="1:38" ht="16.5" hidden="1" customHeight="1" x14ac:dyDescent="0.25">
      <c r="A131" s="2" t="s">
        <v>127</v>
      </c>
      <c r="B131" s="115">
        <v>0</v>
      </c>
      <c r="C131" s="116">
        <f>IFERROR(B131/B148, "NA")</f>
        <v>0</v>
      </c>
      <c r="D131" s="115">
        <v>0</v>
      </c>
      <c r="E131" s="116">
        <f>IFERROR(D131/D148, "NA")</f>
        <v>0</v>
      </c>
      <c r="F131" s="115">
        <v>154.5</v>
      </c>
      <c r="G131" s="116">
        <f>IFERROR(F131/F148, "NA")</f>
        <v>1.2075973112396436E-3</v>
      </c>
      <c r="H131" s="115">
        <v>0</v>
      </c>
      <c r="I131" s="116">
        <f>IFERROR(H131/H148, "NA")</f>
        <v>0</v>
      </c>
      <c r="J131" s="115">
        <v>0</v>
      </c>
      <c r="K131" s="116">
        <f>IFERROR(J131/J148, "NA")</f>
        <v>0</v>
      </c>
      <c r="L131" s="115">
        <v>0</v>
      </c>
      <c r="M131" s="116">
        <f>IFERROR(L131/L148, "NA")</f>
        <v>0</v>
      </c>
      <c r="N131" s="115">
        <v>1809</v>
      </c>
      <c r="O131" s="116">
        <f>IFERROR(N131/N148, "NA")</f>
        <v>1.4153486542021577E-2</v>
      </c>
      <c r="P131" s="115">
        <v>0</v>
      </c>
      <c r="Q131" s="116">
        <f>IFERROR(P131/P148, "NA")</f>
        <v>0</v>
      </c>
      <c r="R131" s="115">
        <v>0</v>
      </c>
      <c r="S131" s="116">
        <f>IFERROR(R131/R148, "NA")</f>
        <v>0</v>
      </c>
      <c r="T131" s="115">
        <v>0</v>
      </c>
      <c r="U131" s="116">
        <f>IFERROR(T131/T148, "NA")</f>
        <v>0</v>
      </c>
      <c r="V131" s="115">
        <v>0</v>
      </c>
      <c r="W131" s="116">
        <f>IFERROR(V131/V148, "NA")</f>
        <v>0</v>
      </c>
      <c r="X131" s="115">
        <v>0</v>
      </c>
      <c r="Y131" s="116">
        <f>IFERROR(X131/X148, "NA")</f>
        <v>0</v>
      </c>
      <c r="Z131" s="115">
        <v>0</v>
      </c>
      <c r="AA131" s="116">
        <f>IFERROR(Z131/Z148, "NA")</f>
        <v>0</v>
      </c>
      <c r="AB131" s="117">
        <f t="shared" si="42"/>
        <v>0</v>
      </c>
      <c r="AC131" s="116">
        <f>IFERROR(AB131/AB148, "NA")</f>
        <v>0</v>
      </c>
      <c r="AD131" s="118">
        <f t="shared" si="43"/>
        <v>0</v>
      </c>
      <c r="AE131" s="119">
        <f>IFERROR(AD131/AD148, "NA")</f>
        <v>0</v>
      </c>
      <c r="AF131" s="118" t="str">
        <f t="shared" si="44"/>
        <v>NA</v>
      </c>
      <c r="AG131" s="117">
        <f t="shared" si="45"/>
        <v>226.125</v>
      </c>
      <c r="AH131" s="116">
        <f>IFERROR(AG131/AG148, "NA")</f>
        <v>1.7392155751263831E-3</v>
      </c>
      <c r="AI131" s="118">
        <f t="shared" si="46"/>
        <v>-226.125</v>
      </c>
      <c r="AJ131" s="119">
        <f>IFERROR(AI131/AI148, "NA")</f>
        <v>-1.0472454145818242E-2</v>
      </c>
      <c r="AK131" s="118">
        <f t="shared" si="47"/>
        <v>-1</v>
      </c>
      <c r="AL131" s="119">
        <f>IFERROR(AK131/AK148, "NA")</f>
        <v>-6.0213663536547175</v>
      </c>
    </row>
    <row r="132" spans="1:38" ht="16.5" hidden="1" customHeight="1" x14ac:dyDescent="0.25">
      <c r="A132" s="2" t="s">
        <v>128</v>
      </c>
      <c r="B132" s="115">
        <v>0</v>
      </c>
      <c r="C132" s="116">
        <f>IFERROR(B132/B148, "NA")</f>
        <v>0</v>
      </c>
      <c r="D132" s="115">
        <v>0</v>
      </c>
      <c r="E132" s="116">
        <f>IFERROR(D132/D148, "NA")</f>
        <v>0</v>
      </c>
      <c r="F132" s="115">
        <v>0</v>
      </c>
      <c r="G132" s="116">
        <f>IFERROR(F132/F148, "NA")</f>
        <v>0</v>
      </c>
      <c r="H132" s="115">
        <v>0</v>
      </c>
      <c r="I132" s="116">
        <f>IFERROR(H132/H148, "NA")</f>
        <v>0</v>
      </c>
      <c r="J132" s="115">
        <v>0</v>
      </c>
      <c r="K132" s="116">
        <f>IFERROR(J132/J148, "NA")</f>
        <v>0</v>
      </c>
      <c r="L132" s="115">
        <v>0</v>
      </c>
      <c r="M132" s="116">
        <f>IFERROR(L132/L148, "NA")</f>
        <v>0</v>
      </c>
      <c r="N132" s="115">
        <v>0</v>
      </c>
      <c r="O132" s="116">
        <f>IFERROR(N132/N148, "NA")</f>
        <v>0</v>
      </c>
      <c r="P132" s="115">
        <v>0</v>
      </c>
      <c r="Q132" s="116">
        <f>IFERROR(P132/P148, "NA")</f>
        <v>0</v>
      </c>
      <c r="R132" s="115">
        <v>0</v>
      </c>
      <c r="S132" s="116">
        <f>IFERROR(R132/R148, "NA")</f>
        <v>0</v>
      </c>
      <c r="T132" s="115">
        <v>0</v>
      </c>
      <c r="U132" s="116">
        <f>IFERROR(T132/T148, "NA")</f>
        <v>0</v>
      </c>
      <c r="V132" s="115">
        <v>0</v>
      </c>
      <c r="W132" s="116">
        <f>IFERROR(V132/V148, "NA")</f>
        <v>0</v>
      </c>
      <c r="X132" s="115">
        <v>0</v>
      </c>
      <c r="Y132" s="116">
        <f>IFERROR(X132/X148, "NA")</f>
        <v>0</v>
      </c>
      <c r="Z132" s="115">
        <v>0</v>
      </c>
      <c r="AA132" s="116">
        <f>IFERROR(Z132/Z148, "NA")</f>
        <v>0</v>
      </c>
      <c r="AB132" s="117">
        <f t="shared" si="42"/>
        <v>0</v>
      </c>
      <c r="AC132" s="116">
        <f>IFERROR(AB132/AB148, "NA")</f>
        <v>0</v>
      </c>
      <c r="AD132" s="118">
        <f t="shared" si="43"/>
        <v>0</v>
      </c>
      <c r="AE132" s="119">
        <f>IFERROR(AD132/AD148, "NA")</f>
        <v>0</v>
      </c>
      <c r="AF132" s="118" t="str">
        <f t="shared" si="44"/>
        <v>NA</v>
      </c>
      <c r="AG132" s="117">
        <f t="shared" si="45"/>
        <v>0</v>
      </c>
      <c r="AH132" s="116">
        <f>IFERROR(AG132/AG148, "NA")</f>
        <v>0</v>
      </c>
      <c r="AI132" s="118">
        <f t="shared" si="46"/>
        <v>0</v>
      </c>
      <c r="AJ132" s="119">
        <f>IFERROR(AI132/AI148, "NA")</f>
        <v>0</v>
      </c>
      <c r="AK132" s="118" t="str">
        <f t="shared" si="47"/>
        <v>NA</v>
      </c>
      <c r="AL132" s="119" t="str">
        <f>IFERROR(AK132/AK148, "NA")</f>
        <v>NA</v>
      </c>
    </row>
    <row r="133" spans="1:38" ht="16.5" hidden="1" customHeight="1" x14ac:dyDescent="0.25">
      <c r="A133" s="2" t="s">
        <v>129</v>
      </c>
      <c r="B133" s="115">
        <v>0</v>
      </c>
      <c r="C133" s="116">
        <f>IFERROR(B133/B148, "NA")</f>
        <v>0</v>
      </c>
      <c r="D133" s="115">
        <v>0</v>
      </c>
      <c r="E133" s="116">
        <f>IFERROR(D133/D148, "NA")</f>
        <v>0</v>
      </c>
      <c r="F133" s="115">
        <v>0</v>
      </c>
      <c r="G133" s="116">
        <f>IFERROR(F133/F148, "NA")</f>
        <v>0</v>
      </c>
      <c r="H133" s="115">
        <v>0</v>
      </c>
      <c r="I133" s="116">
        <f>IFERROR(H133/H148, "NA")</f>
        <v>0</v>
      </c>
      <c r="J133" s="115">
        <v>0</v>
      </c>
      <c r="K133" s="116">
        <f>IFERROR(J133/J148, "NA")</f>
        <v>0</v>
      </c>
      <c r="L133" s="115">
        <v>0</v>
      </c>
      <c r="M133" s="116">
        <f>IFERROR(L133/L148, "NA")</f>
        <v>0</v>
      </c>
      <c r="N133" s="115">
        <v>0</v>
      </c>
      <c r="O133" s="116">
        <f>IFERROR(N133/N148, "NA")</f>
        <v>0</v>
      </c>
      <c r="P133" s="115">
        <v>0</v>
      </c>
      <c r="Q133" s="116">
        <f>IFERROR(P133/P148, "NA")</f>
        <v>0</v>
      </c>
      <c r="R133" s="115">
        <v>0</v>
      </c>
      <c r="S133" s="116">
        <f>IFERROR(R133/R148, "NA")</f>
        <v>0</v>
      </c>
      <c r="T133" s="115">
        <v>0</v>
      </c>
      <c r="U133" s="116">
        <f>IFERROR(T133/T148, "NA")</f>
        <v>0</v>
      </c>
      <c r="V133" s="115">
        <v>0</v>
      </c>
      <c r="W133" s="116">
        <f>IFERROR(V133/V148, "NA")</f>
        <v>0</v>
      </c>
      <c r="X133" s="115">
        <v>0</v>
      </c>
      <c r="Y133" s="116">
        <f>IFERROR(X133/X148, "NA")</f>
        <v>0</v>
      </c>
      <c r="Z133" s="115">
        <v>0</v>
      </c>
      <c r="AA133" s="116">
        <f>IFERROR(Z133/Z148, "NA")</f>
        <v>0</v>
      </c>
      <c r="AB133" s="117">
        <f t="shared" si="42"/>
        <v>0</v>
      </c>
      <c r="AC133" s="116">
        <f>IFERROR(AB133/AB148, "NA")</f>
        <v>0</v>
      </c>
      <c r="AD133" s="118">
        <f t="shared" si="43"/>
        <v>0</v>
      </c>
      <c r="AE133" s="119">
        <f>IFERROR(AD133/AD148, "NA")</f>
        <v>0</v>
      </c>
      <c r="AF133" s="118" t="str">
        <f t="shared" si="44"/>
        <v>NA</v>
      </c>
      <c r="AG133" s="117">
        <f t="shared" si="45"/>
        <v>0</v>
      </c>
      <c r="AH133" s="116">
        <f>IFERROR(AG133/AG148, "NA")</f>
        <v>0</v>
      </c>
      <c r="AI133" s="118">
        <f t="shared" si="46"/>
        <v>0</v>
      </c>
      <c r="AJ133" s="119">
        <f>IFERROR(AI133/AI148, "NA")</f>
        <v>0</v>
      </c>
      <c r="AK133" s="118" t="str">
        <f t="shared" si="47"/>
        <v>NA</v>
      </c>
      <c r="AL133" s="119" t="str">
        <f>IFERROR(AK133/AK148, "NA")</f>
        <v>NA</v>
      </c>
    </row>
    <row r="134" spans="1:38" ht="16.5" hidden="1" customHeight="1" x14ac:dyDescent="0.25">
      <c r="A134" s="2" t="s">
        <v>130</v>
      </c>
      <c r="B134" s="115">
        <v>0</v>
      </c>
      <c r="C134" s="116">
        <f>IFERROR(B134/B148, "NA")</f>
        <v>0</v>
      </c>
      <c r="D134" s="115">
        <v>0</v>
      </c>
      <c r="E134" s="116">
        <f>IFERROR(D134/D148, "NA")</f>
        <v>0</v>
      </c>
      <c r="F134" s="115">
        <v>0</v>
      </c>
      <c r="G134" s="116">
        <f>IFERROR(F134/F148, "NA")</f>
        <v>0</v>
      </c>
      <c r="H134" s="115">
        <v>0</v>
      </c>
      <c r="I134" s="116">
        <f>IFERROR(H134/H148, "NA")</f>
        <v>0</v>
      </c>
      <c r="J134" s="115">
        <v>0</v>
      </c>
      <c r="K134" s="116">
        <f>IFERROR(J134/J148, "NA")</f>
        <v>0</v>
      </c>
      <c r="L134" s="115">
        <v>0</v>
      </c>
      <c r="M134" s="116">
        <f>IFERROR(L134/L148, "NA")</f>
        <v>0</v>
      </c>
      <c r="N134" s="115">
        <v>0</v>
      </c>
      <c r="O134" s="116">
        <f>IFERROR(N134/N148, "NA")</f>
        <v>0</v>
      </c>
      <c r="P134" s="115">
        <v>0</v>
      </c>
      <c r="Q134" s="116">
        <f>IFERROR(P134/P148, "NA")</f>
        <v>0</v>
      </c>
      <c r="R134" s="115">
        <v>0</v>
      </c>
      <c r="S134" s="116">
        <f>IFERROR(R134/R148, "NA")</f>
        <v>0</v>
      </c>
      <c r="T134" s="115">
        <v>0</v>
      </c>
      <c r="U134" s="116">
        <f>IFERROR(T134/T148, "NA")</f>
        <v>0</v>
      </c>
      <c r="V134" s="115">
        <v>0</v>
      </c>
      <c r="W134" s="116">
        <f>IFERROR(V134/V148, "NA")</f>
        <v>0</v>
      </c>
      <c r="X134" s="115">
        <v>0</v>
      </c>
      <c r="Y134" s="116">
        <f>IFERROR(X134/X148, "NA")</f>
        <v>0</v>
      </c>
      <c r="Z134" s="115">
        <v>0</v>
      </c>
      <c r="AA134" s="116">
        <f>IFERROR(Z134/Z148, "NA")</f>
        <v>0</v>
      </c>
      <c r="AB134" s="117">
        <f t="shared" si="42"/>
        <v>0</v>
      </c>
      <c r="AC134" s="116">
        <f>IFERROR(AB134/AB148, "NA")</f>
        <v>0</v>
      </c>
      <c r="AD134" s="118">
        <f t="shared" si="43"/>
        <v>0</v>
      </c>
      <c r="AE134" s="119">
        <f>IFERROR(AD134/AD148, "NA")</f>
        <v>0</v>
      </c>
      <c r="AF134" s="118" t="str">
        <f t="shared" si="44"/>
        <v>NA</v>
      </c>
      <c r="AG134" s="117">
        <f t="shared" si="45"/>
        <v>0</v>
      </c>
      <c r="AH134" s="116">
        <f>IFERROR(AG134/AG148, "NA")</f>
        <v>0</v>
      </c>
      <c r="AI134" s="118">
        <f t="shared" si="46"/>
        <v>0</v>
      </c>
      <c r="AJ134" s="119">
        <f>IFERROR(AI134/AI148, "NA")</f>
        <v>0</v>
      </c>
      <c r="AK134" s="118" t="str">
        <f t="shared" si="47"/>
        <v>NA</v>
      </c>
      <c r="AL134" s="119" t="str">
        <f>IFERROR(AK134/AK148, "NA")</f>
        <v>NA</v>
      </c>
    </row>
    <row r="135" spans="1:38" ht="16.5" hidden="1" customHeight="1" x14ac:dyDescent="0.25">
      <c r="A135" s="120" t="s">
        <v>131</v>
      </c>
      <c r="B135" s="121">
        <f>IFERROR(B110+B111+B112+B113+B114+B115+B116+B117+B118+B119+B120+B121+B122+B123+B124+B125+B126+B127+B128+B129+B130+B131+B132+B133+B134, "NA")</f>
        <v>22160.53</v>
      </c>
      <c r="C135" s="122">
        <f>IFERROR(B135/B148, "NA")</f>
        <v>0.15378393817922506</v>
      </c>
      <c r="D135" s="121">
        <f>IFERROR(D110+D111+D112+D113+D114+D115+D116+D117+D118+D119+D120+D121+D122+D123+D124+D125+D126+D127+D128+D129+D130+D131+D132+D133+D134, "NA")</f>
        <v>14793.7</v>
      </c>
      <c r="E135" s="122">
        <f>IFERROR(D135/D148, "NA")</f>
        <v>0.1305045079838815</v>
      </c>
      <c r="F135" s="121">
        <f>IFERROR(F110+F111+F112+F113+F114+F115+F116+F117+F118+F119+F120+F121+F122+F123+F124+F125+F126+F127+F128+F129+F130+F131+F132+F133+F134, "NA")</f>
        <v>17247.37</v>
      </c>
      <c r="G135" s="122">
        <f>IFERROR(F135/F148, "NA")</f>
        <v>0.13480826950132874</v>
      </c>
      <c r="H135" s="121">
        <f>IFERROR(H110+H111+H112+H113+H114+H115+H116+H117+H118+H119+H120+H121+H122+H123+H124+H125+H126+H127+H128+H129+H130+H131+H132+H133+H134, "NA")</f>
        <v>45884.149999999994</v>
      </c>
      <c r="I135" s="122">
        <f>IFERROR(H135/H148, "NA")</f>
        <v>0.36740042151141489</v>
      </c>
      <c r="J135" s="121">
        <f>IFERROR(J110+J111+J112+J113+J114+J115+J116+J117+J118+J119+J120+J121+J122+J123+J124+J125+J126+J127+J128+J129+J130+J131+J132+J133+J134, "NA")</f>
        <v>18680.25</v>
      </c>
      <c r="K135" s="122">
        <f>IFERROR(J135/J148, "NA")</f>
        <v>0.14714080028243093</v>
      </c>
      <c r="L135" s="121">
        <f>IFERROR(L110+L111+L112+L113+L114+L115+L116+L117+L118+L119+L120+L121+L122+L123+L124+L125+L126+L127+L128+L129+L130+L131+L132+L133+L134, "NA")</f>
        <v>16252.699999999999</v>
      </c>
      <c r="M135" s="122">
        <f>IFERROR(L135/L148, "NA")</f>
        <v>0.13189641789075288</v>
      </c>
      <c r="N135" s="121">
        <f>IFERROR(N110+N111+N112+N113+N114+N115+N116+N117+N118+N119+N120+N121+N122+N123+N124+N125+N126+N127+N128+N129+N130+N131+N132+N133+N134, "NA")</f>
        <v>19133.379999999997</v>
      </c>
      <c r="O135" s="122">
        <f>IFERROR(N135/N148, "NA")</f>
        <v>0.14969819587251784</v>
      </c>
      <c r="P135" s="121">
        <f>IFERROR(P110+P111+P112+P113+P114+P115+P116+P117+P118+P119+P120+P121+P122+P123+P124+P125+P126+P127+P128+P129+P130+P131+P132+P133+P134, "NA")</f>
        <v>13887.14</v>
      </c>
      <c r="Q135" s="122">
        <f>IFERROR(P135/P148, "NA")</f>
        <v>0.12492089637373234</v>
      </c>
      <c r="R135" s="121">
        <f>IFERROR(R110+R111+R112+R113+R114+R115+R116+R117+R118+R119+R120+R121+R122+R123+R124+R125+R126+R127+R128+R129+R130+R131+R132+R133+R134, "NA")</f>
        <v>44218.87</v>
      </c>
      <c r="S135" s="122">
        <f>IFERROR(R135/R148, "NA")</f>
        <v>0.32789358654305756</v>
      </c>
      <c r="T135" s="121">
        <f>IFERROR(T110+T111+T112+T113+T114+T115+T116+T117+T118+T119+T120+T121+T122+T123+T124+T125+T126+T127+T128+T129+T130+T131+T132+T133+T134, "NA")</f>
        <v>20373.68</v>
      </c>
      <c r="U135" s="122">
        <f>IFERROR(T135/T148, "NA")</f>
        <v>0.15790994449890594</v>
      </c>
      <c r="V135" s="121">
        <f>IFERROR(V110+V111+V112+V113+V114+V115+V116+V117+V118+V119+V120+V121+V122+V123+V124+V125+V126+V127+V128+V129+V130+V131+V132+V133+V134, "NA")</f>
        <v>11677.59</v>
      </c>
      <c r="W135" s="122">
        <f>IFERROR(V135/V148, "NA")</f>
        <v>8.6194637395186027E-2</v>
      </c>
      <c r="X135" s="121">
        <f>IFERROR(X110+X111+X112+X113+X114+X115+X116+X117+X118+X119+X120+X121+X122+X123+X124+X125+X126+X127+X128+X129+X130+X131+X132+X133+X134, "NA")</f>
        <v>15902.929999999998</v>
      </c>
      <c r="Y135" s="122">
        <f>IFERROR(X135/X148, "NA")</f>
        <v>0.10489514825318765</v>
      </c>
      <c r="Z135" s="121">
        <f>IFERROR(Z110+Z111+Z112+Z113+Z114+Z115+Z116+Z117+Z118+Z119+Z120+Z121+Z122+Z123+Z124+Z125+Z126+Z127+Z128+Z129+Z130+Z131+Z132+Z133+Z134, "NA")</f>
        <v>27580.519999999997</v>
      </c>
      <c r="AA135" s="122">
        <f>IFERROR(Z135/Z148, "NA")</f>
        <v>9.607019024673967E-2</v>
      </c>
      <c r="AB135" s="121">
        <f t="shared" si="42"/>
        <v>23043.267499999998</v>
      </c>
      <c r="AC135" s="122">
        <f>IFERROR(AB135/AB148, "NA")</f>
        <v>0.16729374169094891</v>
      </c>
      <c r="AD135" s="123">
        <f t="shared" si="43"/>
        <v>-7140.3374999999996</v>
      </c>
      <c r="AE135" s="124">
        <f>IFERROR(AD135/AD148, "NA")</f>
        <v>-0.51493400286012814</v>
      </c>
      <c r="AF135" s="123">
        <f t="shared" si="44"/>
        <v>-0.30986653693969402</v>
      </c>
      <c r="AG135" s="121">
        <f t="shared" si="45"/>
        <v>20015.817499999997</v>
      </c>
      <c r="AH135" s="122">
        <f>IFERROR(AG135/AG148, "NA")</f>
        <v>0.15394945956832379</v>
      </c>
      <c r="AI135" s="123">
        <f t="shared" si="46"/>
        <v>-4112.8874999999989</v>
      </c>
      <c r="AJ135" s="124">
        <f>IFERROR(AI135/AI148, "NA")</f>
        <v>-0.19047883140147714</v>
      </c>
      <c r="AK135" s="123">
        <f t="shared" si="47"/>
        <v>-0.2054818645303895</v>
      </c>
      <c r="AL135" s="124">
        <f>IFERROR(AK135/AK148, "NA")</f>
        <v>-1.237281585369524</v>
      </c>
    </row>
    <row r="136" spans="1:38" ht="16.5" hidden="1" customHeight="1" x14ac:dyDescent="0.25">
      <c r="A136" s="8" t="s">
        <v>2</v>
      </c>
      <c r="B136" s="138"/>
      <c r="C136" s="126"/>
      <c r="D136" s="138"/>
      <c r="E136" s="126"/>
      <c r="F136" s="138"/>
      <c r="G136" s="126"/>
      <c r="H136" s="138"/>
      <c r="I136" s="126"/>
      <c r="J136" s="138"/>
      <c r="K136" s="126"/>
      <c r="L136" s="138"/>
      <c r="M136" s="126"/>
      <c r="N136" s="138"/>
      <c r="O136" s="126"/>
      <c r="P136" s="138"/>
      <c r="Q136" s="126"/>
      <c r="R136" s="138"/>
      <c r="S136" s="126"/>
      <c r="T136" s="138"/>
      <c r="U136" s="126"/>
      <c r="V136" s="138"/>
      <c r="W136" s="126"/>
      <c r="X136" s="138"/>
      <c r="Y136" s="126"/>
      <c r="Z136" s="138"/>
      <c r="AA136" s="126"/>
      <c r="AB136" s="138"/>
      <c r="AC136" s="126"/>
      <c r="AD136" s="139"/>
      <c r="AE136" s="128"/>
      <c r="AF136" s="139"/>
      <c r="AG136" s="138"/>
      <c r="AH136" s="126"/>
      <c r="AI136" s="139"/>
      <c r="AJ136" s="128"/>
      <c r="AK136" s="139"/>
      <c r="AL136" s="128"/>
    </row>
    <row r="137" spans="1:38" ht="16.5" hidden="1" customHeight="1" x14ac:dyDescent="0.25">
      <c r="A137" s="135" t="s">
        <v>132</v>
      </c>
      <c r="B137" s="136">
        <f>IFERROR(B107-B135, "NA")</f>
        <v>-57755.049999999901</v>
      </c>
      <c r="C137" s="137">
        <f>IFERROR(B137/B148, "NA")</f>
        <v>-0.4007936199512393</v>
      </c>
      <c r="D137" s="136">
        <f>IFERROR(D107-D135, "NA")</f>
        <v>20392.560000000023</v>
      </c>
      <c r="E137" s="137">
        <f>IFERROR(D137/D148, "NA")</f>
        <v>0.17989556428288969</v>
      </c>
      <c r="F137" s="136">
        <f>IFERROR(F107-F135, "NA")</f>
        <v>17872.529999999952</v>
      </c>
      <c r="G137" s="137">
        <f>IFERROR(F137/F148, "NA")</f>
        <v>0.1396946224792868</v>
      </c>
      <c r="H137" s="136">
        <f>IFERROR(H107-H135, "NA")</f>
        <v>-41478.569999999956</v>
      </c>
      <c r="I137" s="137">
        <f>IFERROR(H137/H148, "NA")</f>
        <v>-0.33212436324287831</v>
      </c>
      <c r="J137" s="136">
        <f>IFERROR(J107-J135, "NA")</f>
        <v>-70455.100000000006</v>
      </c>
      <c r="K137" s="137">
        <f>IFERROR(J137/J148, "NA")</f>
        <v>-0.55496151271951388</v>
      </c>
      <c r="L137" s="136">
        <f>IFERROR(L107-L135, "NA")</f>
        <v>23491.430000000029</v>
      </c>
      <c r="M137" s="137">
        <f>IFERROR(L137/L148, "NA")</f>
        <v>0.19064127610374726</v>
      </c>
      <c r="N137" s="136">
        <f>IFERROR(N107-N135, "NA")</f>
        <v>14656.350000000013</v>
      </c>
      <c r="O137" s="137">
        <f>IFERROR(N137/N148, "NA")</f>
        <v>0.11467023354348155</v>
      </c>
      <c r="P137" s="136">
        <f>IFERROR(P107-P135, "NA")</f>
        <v>15783.999999999971</v>
      </c>
      <c r="Q137" s="137">
        <f>IFERROR(P137/P148, "NA")</f>
        <v>0.1419839814650812</v>
      </c>
      <c r="R137" s="136">
        <f>IFERROR(R107-R135, "NA")</f>
        <v>-24055.179999999971</v>
      </c>
      <c r="S137" s="137">
        <f>IFERROR(R137/R148, "NA")</f>
        <v>-0.17837496175589329</v>
      </c>
      <c r="T137" s="136">
        <f>IFERROR(T107-T135, "NA")</f>
        <v>-69419.419999999955</v>
      </c>
      <c r="U137" s="137">
        <f>IFERROR(T137/T148, "NA")</f>
        <v>-0.53804795006823669</v>
      </c>
      <c r="V137" s="136">
        <f>IFERROR(V107-V135, "NA")</f>
        <v>32829.400000000038</v>
      </c>
      <c r="W137" s="137">
        <f>IFERROR(V137/V148, "NA")</f>
        <v>0.24232039563827154</v>
      </c>
      <c r="X137" s="136">
        <f>IFERROR(X107-X135, "NA")</f>
        <v>49568.039999999972</v>
      </c>
      <c r="Y137" s="137">
        <f>IFERROR(X137/X148, "NA")</f>
        <v>0.32694899018105045</v>
      </c>
      <c r="Z137" s="136">
        <f>IFERROR(Z107-Z135, "NA")</f>
        <v>82397.440000000061</v>
      </c>
      <c r="AA137" s="137">
        <f>IFERROR(Z137/Z148, "NA")</f>
        <v>0.28701191045869784</v>
      </c>
      <c r="AB137" s="136">
        <f>IFERROR((R137+T137+V137+X137)/4, "NA")</f>
        <v>-2769.2899999999772</v>
      </c>
      <c r="AC137" s="137">
        <f>IFERROR(AB137/AB148, "NA")</f>
        <v>-2.0104999689272544E-2</v>
      </c>
      <c r="AD137" s="123">
        <f>IFERROR(X137-AB137, "NA")</f>
        <v>52337.329999999951</v>
      </c>
      <c r="AE137" s="124">
        <f>IFERROR(AD137/AD148, "NA")</f>
        <v>3.7743693258072808</v>
      </c>
      <c r="AF137" s="123">
        <f>IFERROR((X137-AB137)/AB137, "NA")</f>
        <v>-18.899187156274852</v>
      </c>
      <c r="AG137" s="136">
        <f>IFERROR((J137+L137+N137+P137+R137+T137+V137+X137)/8, "NA")</f>
        <v>-3450.0599999999895</v>
      </c>
      <c r="AH137" s="137">
        <f>IFERROR(AG137/AG148, "NA")</f>
        <v>-2.6535757156972963E-2</v>
      </c>
      <c r="AI137" s="123">
        <f>IFERROR(X137-AG137, "NA")</f>
        <v>53018.099999999962</v>
      </c>
      <c r="AJ137" s="124">
        <f>IFERROR(AI137/AI148, "NA")</f>
        <v>2.4554101543323639</v>
      </c>
      <c r="AK137" s="123">
        <f>IFERROR((X137-AG137)/AG137, "NA")</f>
        <v>-15.367297960035513</v>
      </c>
      <c r="AL137" s="124">
        <f>IFERROR(AK137/AK148, "NA")</f>
        <v>-92.532130883144617</v>
      </c>
    </row>
    <row r="138" spans="1:38" ht="3.75" hidden="1" customHeight="1" x14ac:dyDescent="0.25">
      <c r="A138" s="8" t="s">
        <v>2</v>
      </c>
      <c r="B138" s="138"/>
      <c r="C138" s="126"/>
      <c r="D138" s="138"/>
      <c r="E138" s="126"/>
      <c r="F138" s="138"/>
      <c r="G138" s="126"/>
      <c r="H138" s="138"/>
      <c r="I138" s="126"/>
      <c r="J138" s="138"/>
      <c r="K138" s="126"/>
      <c r="L138" s="138"/>
      <c r="M138" s="126"/>
      <c r="N138" s="138"/>
      <c r="O138" s="126"/>
      <c r="P138" s="138"/>
      <c r="Q138" s="126"/>
      <c r="R138" s="138"/>
      <c r="S138" s="126"/>
      <c r="T138" s="138"/>
      <c r="U138" s="126"/>
      <c r="V138" s="138"/>
      <c r="W138" s="126"/>
      <c r="X138" s="138"/>
      <c r="Y138" s="126"/>
      <c r="Z138" s="138"/>
      <c r="AA138" s="126"/>
      <c r="AB138" s="138"/>
      <c r="AC138" s="126"/>
      <c r="AD138" s="139"/>
      <c r="AE138" s="128"/>
      <c r="AF138" s="139"/>
      <c r="AG138" s="138"/>
      <c r="AH138" s="126"/>
      <c r="AI138" s="139"/>
      <c r="AJ138" s="128"/>
      <c r="AK138" s="139"/>
      <c r="AL138" s="128"/>
    </row>
    <row r="139" spans="1:38" ht="16.5" hidden="1" customHeight="1" x14ac:dyDescent="0.25">
      <c r="A139" s="1" t="s">
        <v>133</v>
      </c>
      <c r="B139" s="111"/>
      <c r="C139" s="112"/>
      <c r="D139" s="111"/>
      <c r="E139" s="112"/>
      <c r="F139" s="111"/>
      <c r="G139" s="112"/>
      <c r="H139" s="111"/>
      <c r="I139" s="112"/>
      <c r="J139" s="111"/>
      <c r="K139" s="112"/>
      <c r="L139" s="111"/>
      <c r="M139" s="112"/>
      <c r="N139" s="111"/>
      <c r="O139" s="112"/>
      <c r="P139" s="111"/>
      <c r="Q139" s="112"/>
      <c r="R139" s="111"/>
      <c r="S139" s="112"/>
      <c r="T139" s="111"/>
      <c r="U139" s="112"/>
      <c r="V139" s="111"/>
      <c r="W139" s="112"/>
      <c r="X139" s="111"/>
      <c r="Y139" s="112"/>
      <c r="Z139" s="111"/>
      <c r="AA139" s="112"/>
      <c r="AB139" s="111"/>
      <c r="AC139" s="112"/>
      <c r="AD139" s="113"/>
      <c r="AE139" s="114"/>
      <c r="AF139" s="113"/>
      <c r="AG139" s="111"/>
      <c r="AH139" s="112"/>
      <c r="AI139" s="113"/>
      <c r="AJ139" s="114"/>
      <c r="AK139" s="113"/>
      <c r="AL139" s="114"/>
    </row>
    <row r="140" spans="1:38" ht="16.5" hidden="1" customHeight="1" x14ac:dyDescent="0.25">
      <c r="A140" s="2" t="s">
        <v>134</v>
      </c>
      <c r="B140" s="115">
        <v>14127.359999999997</v>
      </c>
      <c r="C140" s="116">
        <f>IFERROR(B140/B148, "NA")</f>
        <v>9.8037414126632194E-2</v>
      </c>
      <c r="D140" s="115">
        <v>-684.05</v>
      </c>
      <c r="E140" s="116">
        <f>IFERROR(D140/D148, "NA")</f>
        <v>-6.0344341636219554E-3</v>
      </c>
      <c r="F140" s="115">
        <v>0</v>
      </c>
      <c r="G140" s="116">
        <f>IFERROR(F140/F148, "NA")</f>
        <v>0</v>
      </c>
      <c r="H140" s="115">
        <v>16.14</v>
      </c>
      <c r="I140" s="116">
        <f>IFERROR(H140/H148, "NA")</f>
        <v>1.2923510195120183E-4</v>
      </c>
      <c r="J140" s="115">
        <v>13572.98</v>
      </c>
      <c r="K140" s="116">
        <f>IFERROR(J140/J148, "NA")</f>
        <v>0.10691179932910048</v>
      </c>
      <c r="L140" s="115">
        <v>0</v>
      </c>
      <c r="M140" s="116">
        <f>IFERROR(L140/L148, "NA")</f>
        <v>0</v>
      </c>
      <c r="N140" s="115">
        <v>-722.26</v>
      </c>
      <c r="O140" s="116">
        <f>IFERROR(N140/N148, "NA")</f>
        <v>-5.6509105527034293E-3</v>
      </c>
      <c r="P140" s="115">
        <v>0</v>
      </c>
      <c r="Q140" s="116">
        <f>IFERROR(P140/P148, "NA")</f>
        <v>0</v>
      </c>
      <c r="R140" s="115">
        <v>-3264.3599999999997</v>
      </c>
      <c r="S140" s="116">
        <f>IFERROR(R140/R148, "NA")</f>
        <v>-2.4206016756368836E-2</v>
      </c>
      <c r="T140" s="115">
        <v>13229.520000000002</v>
      </c>
      <c r="U140" s="116">
        <f>IFERROR(T140/T148, "NA")</f>
        <v>0.10253782178512504</v>
      </c>
      <c r="V140" s="115">
        <v>0</v>
      </c>
      <c r="W140" s="116">
        <f>IFERROR(V140/V148, "NA")</f>
        <v>0</v>
      </c>
      <c r="X140" s="115">
        <v>0</v>
      </c>
      <c r="Y140" s="116">
        <f>IFERROR(X140/X148, "NA")</f>
        <v>0</v>
      </c>
      <c r="Z140" s="115">
        <v>0</v>
      </c>
      <c r="AA140" s="116">
        <f>IFERROR(Z140/Z148, "NA")</f>
        <v>0</v>
      </c>
      <c r="AB140" s="117">
        <f>IFERROR((R140+T140+V140+X140)/4, "NA")</f>
        <v>2491.2900000000009</v>
      </c>
      <c r="AC140" s="116">
        <f>IFERROR(AB140/AB148, "NA")</f>
        <v>1.8086724278023689E-2</v>
      </c>
      <c r="AD140" s="118">
        <f>IFERROR(X140-AB140, "NA")</f>
        <v>-2491.2900000000009</v>
      </c>
      <c r="AE140" s="119">
        <f>IFERROR(AD140/AD148, "NA")</f>
        <v>-0.179662366377697</v>
      </c>
      <c r="AF140" s="118">
        <f>IFERROR((X140-AB140)/AB140, "NA")</f>
        <v>-1</v>
      </c>
      <c r="AG140" s="117">
        <f>IFERROR((J140+L140+N140+P140+R140+T140+V140+X140)/8, "NA")</f>
        <v>2851.9850000000006</v>
      </c>
      <c r="AH140" s="116">
        <f>IFERROR(AG140/AG148, "NA")</f>
        <v>2.1935729052633801E-2</v>
      </c>
      <c r="AI140" s="118">
        <f>IFERROR(X140-AG140, "NA")</f>
        <v>-2851.9850000000006</v>
      </c>
      <c r="AJ140" s="119">
        <f>IFERROR(AI140/AI148, "NA")</f>
        <v>-0.13208306086041546</v>
      </c>
      <c r="AK140" s="118">
        <f>IFERROR((X140-AG140)/AG140, "NA")</f>
        <v>-1</v>
      </c>
      <c r="AL140" s="119">
        <f>IFERROR(AK140/AK148, "NA")</f>
        <v>-6.0213663536547175</v>
      </c>
    </row>
    <row r="141" spans="1:38" ht="16.5" hidden="1" customHeight="1" x14ac:dyDescent="0.25">
      <c r="A141" s="120" t="s">
        <v>135</v>
      </c>
      <c r="B141" s="121">
        <f>IFERROR(B140, "NA")</f>
        <v>14127.359999999997</v>
      </c>
      <c r="C141" s="122">
        <f>IFERROR(B141/B148, "NA")</f>
        <v>9.8037414126632194E-2</v>
      </c>
      <c r="D141" s="121">
        <f>IFERROR(D140, "NA")</f>
        <v>-684.05</v>
      </c>
      <c r="E141" s="122">
        <f>IFERROR(D141/D148, "NA")</f>
        <v>-6.0344341636219554E-3</v>
      </c>
      <c r="F141" s="121">
        <f>IFERROR(F140, "NA")</f>
        <v>0</v>
      </c>
      <c r="G141" s="122">
        <f>IFERROR(F141/F148, "NA")</f>
        <v>0</v>
      </c>
      <c r="H141" s="121">
        <f>IFERROR(H140, "NA")</f>
        <v>16.14</v>
      </c>
      <c r="I141" s="122">
        <f>IFERROR(H141/H148, "NA")</f>
        <v>1.2923510195120183E-4</v>
      </c>
      <c r="J141" s="121">
        <f>IFERROR(J140, "NA")</f>
        <v>13572.98</v>
      </c>
      <c r="K141" s="122">
        <f>IFERROR(J141/J148, "NA")</f>
        <v>0.10691179932910048</v>
      </c>
      <c r="L141" s="121">
        <f>IFERROR(L140, "NA")</f>
        <v>0</v>
      </c>
      <c r="M141" s="122">
        <f>IFERROR(L141/L148, "NA")</f>
        <v>0</v>
      </c>
      <c r="N141" s="121">
        <f>IFERROR(N140, "NA")</f>
        <v>-722.26</v>
      </c>
      <c r="O141" s="122">
        <f>IFERROR(N141/N148, "NA")</f>
        <v>-5.6509105527034293E-3</v>
      </c>
      <c r="P141" s="121">
        <f>IFERROR(P140, "NA")</f>
        <v>0</v>
      </c>
      <c r="Q141" s="122">
        <f>IFERROR(P141/P148, "NA")</f>
        <v>0</v>
      </c>
      <c r="R141" s="121">
        <f>IFERROR(R140, "NA")</f>
        <v>-3264.3599999999997</v>
      </c>
      <c r="S141" s="122">
        <f>IFERROR(R141/R148, "NA")</f>
        <v>-2.4206016756368836E-2</v>
      </c>
      <c r="T141" s="121">
        <f>IFERROR(T140, "NA")</f>
        <v>13229.520000000002</v>
      </c>
      <c r="U141" s="122">
        <f>IFERROR(T141/T148, "NA")</f>
        <v>0.10253782178512504</v>
      </c>
      <c r="V141" s="121">
        <f>IFERROR(V140, "NA")</f>
        <v>0</v>
      </c>
      <c r="W141" s="122">
        <f>IFERROR(V141/V148, "NA")</f>
        <v>0</v>
      </c>
      <c r="X141" s="121">
        <f>IFERROR(X140, "NA")</f>
        <v>0</v>
      </c>
      <c r="Y141" s="122">
        <f>IFERROR(X141/X148, "NA")</f>
        <v>0</v>
      </c>
      <c r="Z141" s="121">
        <f>IFERROR(Z140, "NA")</f>
        <v>0</v>
      </c>
      <c r="AA141" s="122">
        <f>IFERROR(Z141/Z148, "NA")</f>
        <v>0</v>
      </c>
      <c r="AB141" s="121">
        <f>IFERROR((R141+T141+V141+X141)/4, "NA")</f>
        <v>2491.2900000000009</v>
      </c>
      <c r="AC141" s="122">
        <f>IFERROR(AB141/AB148, "NA")</f>
        <v>1.8086724278023689E-2</v>
      </c>
      <c r="AD141" s="123">
        <f>IFERROR(X141-AB141, "NA")</f>
        <v>-2491.2900000000009</v>
      </c>
      <c r="AE141" s="124">
        <f>IFERROR(AD141/AD148, "NA")</f>
        <v>-0.179662366377697</v>
      </c>
      <c r="AF141" s="123">
        <f>IFERROR((X141-AB141)/AB141, "NA")</f>
        <v>-1</v>
      </c>
      <c r="AG141" s="121">
        <f>IFERROR((J141+L141+N141+P141+R141+T141+V141+X141)/8, "NA")</f>
        <v>2851.9850000000006</v>
      </c>
      <c r="AH141" s="122">
        <f>IFERROR(AG141/AG148, "NA")</f>
        <v>2.1935729052633801E-2</v>
      </c>
      <c r="AI141" s="123">
        <f>IFERROR(X141-AG141, "NA")</f>
        <v>-2851.9850000000006</v>
      </c>
      <c r="AJ141" s="124">
        <f>IFERROR(AI141/AI148, "NA")</f>
        <v>-0.13208306086041546</v>
      </c>
      <c r="AK141" s="123">
        <f>IFERROR((X141-AG141)/AG141, "NA")</f>
        <v>-1</v>
      </c>
      <c r="AL141" s="124">
        <f>IFERROR(AK141/AK148, "NA")</f>
        <v>-6.0213663536547175</v>
      </c>
    </row>
    <row r="142" spans="1:38" ht="3.75" hidden="1" customHeight="1" x14ac:dyDescent="0.25">
      <c r="A142" s="8" t="s">
        <v>2</v>
      </c>
      <c r="B142" s="138"/>
      <c r="C142" s="126"/>
      <c r="D142" s="138"/>
      <c r="E142" s="126"/>
      <c r="F142" s="138"/>
      <c r="G142" s="126"/>
      <c r="H142" s="138"/>
      <c r="I142" s="126"/>
      <c r="J142" s="138"/>
      <c r="K142" s="126"/>
      <c r="L142" s="138"/>
      <c r="M142" s="126"/>
      <c r="N142" s="138"/>
      <c r="O142" s="126"/>
      <c r="P142" s="138"/>
      <c r="Q142" s="126"/>
      <c r="R142" s="138"/>
      <c r="S142" s="126"/>
      <c r="T142" s="138"/>
      <c r="U142" s="126"/>
      <c r="V142" s="138"/>
      <c r="W142" s="126"/>
      <c r="X142" s="138"/>
      <c r="Y142" s="126"/>
      <c r="Z142" s="138"/>
      <c r="AA142" s="126"/>
      <c r="AB142" s="138"/>
      <c r="AC142" s="126"/>
      <c r="AD142" s="139"/>
      <c r="AE142" s="128"/>
      <c r="AF142" s="139"/>
      <c r="AG142" s="138"/>
      <c r="AH142" s="126"/>
      <c r="AI142" s="139"/>
      <c r="AJ142" s="128"/>
      <c r="AK142" s="139"/>
      <c r="AL142" s="128"/>
    </row>
    <row r="143" spans="1:38" ht="16.5" hidden="1" customHeight="1" x14ac:dyDescent="0.25">
      <c r="A143" s="1" t="s">
        <v>136</v>
      </c>
      <c r="B143" s="111"/>
      <c r="C143" s="112"/>
      <c r="D143" s="111"/>
      <c r="E143" s="112"/>
      <c r="F143" s="111"/>
      <c r="G143" s="112"/>
      <c r="H143" s="111"/>
      <c r="I143" s="112"/>
      <c r="J143" s="111"/>
      <c r="K143" s="112"/>
      <c r="L143" s="111"/>
      <c r="M143" s="112"/>
      <c r="N143" s="111"/>
      <c r="O143" s="112"/>
      <c r="P143" s="111"/>
      <c r="Q143" s="112"/>
      <c r="R143" s="111"/>
      <c r="S143" s="112"/>
      <c r="T143" s="111"/>
      <c r="U143" s="112"/>
      <c r="V143" s="111"/>
      <c r="W143" s="112"/>
      <c r="X143" s="111"/>
      <c r="Y143" s="112"/>
      <c r="Z143" s="111"/>
      <c r="AA143" s="112"/>
      <c r="AB143" s="111"/>
      <c r="AC143" s="112"/>
      <c r="AD143" s="113"/>
      <c r="AE143" s="114"/>
      <c r="AF143" s="113"/>
      <c r="AG143" s="111"/>
      <c r="AH143" s="112"/>
      <c r="AI143" s="113"/>
      <c r="AJ143" s="114"/>
      <c r="AK143" s="113"/>
      <c r="AL143" s="114"/>
    </row>
    <row r="144" spans="1:38" ht="16.5" hidden="1" customHeight="1" x14ac:dyDescent="0.25">
      <c r="A144" s="2" t="s">
        <v>137</v>
      </c>
      <c r="B144" s="115">
        <v>0</v>
      </c>
      <c r="C144" s="116">
        <f>IFERROR(B144/B148, "NA")</f>
        <v>0</v>
      </c>
      <c r="D144" s="115">
        <v>0</v>
      </c>
      <c r="E144" s="116">
        <f>IFERROR(D144/D148, "NA")</f>
        <v>0</v>
      </c>
      <c r="F144" s="115">
        <v>0</v>
      </c>
      <c r="G144" s="116">
        <f>IFERROR(F144/F148, "NA")</f>
        <v>0</v>
      </c>
      <c r="H144" s="115">
        <v>0</v>
      </c>
      <c r="I144" s="116">
        <f>IFERROR(H144/H148, "NA")</f>
        <v>0</v>
      </c>
      <c r="J144" s="115">
        <v>0</v>
      </c>
      <c r="K144" s="116">
        <f>IFERROR(J144/J148, "NA")</f>
        <v>0</v>
      </c>
      <c r="L144" s="115">
        <v>0</v>
      </c>
      <c r="M144" s="116">
        <f>IFERROR(L144/L148, "NA")</f>
        <v>0</v>
      </c>
      <c r="N144" s="115">
        <v>0</v>
      </c>
      <c r="O144" s="116">
        <f>IFERROR(N144/N148, "NA")</f>
        <v>0</v>
      </c>
      <c r="P144" s="115">
        <v>0</v>
      </c>
      <c r="Q144" s="116">
        <f>IFERROR(P144/P148, "NA")</f>
        <v>0</v>
      </c>
      <c r="R144" s="115">
        <v>0</v>
      </c>
      <c r="S144" s="116">
        <f>IFERROR(R144/R148, "NA")</f>
        <v>0</v>
      </c>
      <c r="T144" s="115">
        <v>0</v>
      </c>
      <c r="U144" s="116">
        <f>IFERROR(T144/T148, "NA")</f>
        <v>0</v>
      </c>
      <c r="V144" s="115">
        <v>0</v>
      </c>
      <c r="W144" s="116">
        <f>IFERROR(V144/V148, "NA")</f>
        <v>0</v>
      </c>
      <c r="X144" s="115">
        <v>0</v>
      </c>
      <c r="Y144" s="116">
        <f>IFERROR(X144/X148, "NA")</f>
        <v>0</v>
      </c>
      <c r="Z144" s="115">
        <v>0</v>
      </c>
      <c r="AA144" s="116">
        <f>IFERROR(Z144/Z148, "NA")</f>
        <v>0</v>
      </c>
      <c r="AB144" s="117">
        <f>IFERROR((R144+T144+V144+X144)/4, "NA")</f>
        <v>0</v>
      </c>
      <c r="AC144" s="116">
        <f>IFERROR(AB144/AB148, "NA")</f>
        <v>0</v>
      </c>
      <c r="AD144" s="118">
        <f>IFERROR(X144-AB144, "NA")</f>
        <v>0</v>
      </c>
      <c r="AE144" s="119">
        <f>IFERROR(AD144/AD148, "NA")</f>
        <v>0</v>
      </c>
      <c r="AF144" s="118" t="str">
        <f>IFERROR((X144-AB144)/AB144, "NA")</f>
        <v>NA</v>
      </c>
      <c r="AG144" s="117">
        <f>IFERROR((J144+L144+N144+P144+R144+T144+V144+X144)/8, "NA")</f>
        <v>0</v>
      </c>
      <c r="AH144" s="116">
        <f>IFERROR(AG144/AG148, "NA")</f>
        <v>0</v>
      </c>
      <c r="AI144" s="118">
        <f>IFERROR(X144-AG144, "NA")</f>
        <v>0</v>
      </c>
      <c r="AJ144" s="119">
        <f>IFERROR(AI144/AI148, "NA")</f>
        <v>0</v>
      </c>
      <c r="AK144" s="118" t="str">
        <f>IFERROR((X144-AG144)/AG144, "NA")</f>
        <v>NA</v>
      </c>
      <c r="AL144" s="119" t="str">
        <f>IFERROR(AK144/AK148, "NA")</f>
        <v>NA</v>
      </c>
    </row>
    <row r="145" spans="1:38" ht="16.5" hidden="1" customHeight="1" x14ac:dyDescent="0.25">
      <c r="A145" s="120" t="s">
        <v>138</v>
      </c>
      <c r="B145" s="121">
        <f>IFERROR(B144, "NA")</f>
        <v>0</v>
      </c>
      <c r="C145" s="122">
        <f>IFERROR(B145/B148, "NA")</f>
        <v>0</v>
      </c>
      <c r="D145" s="121">
        <f>IFERROR(D144, "NA")</f>
        <v>0</v>
      </c>
      <c r="E145" s="122">
        <f>IFERROR(D145/D148, "NA")</f>
        <v>0</v>
      </c>
      <c r="F145" s="121">
        <f>IFERROR(F144, "NA")</f>
        <v>0</v>
      </c>
      <c r="G145" s="122">
        <f>IFERROR(F145/F148, "NA")</f>
        <v>0</v>
      </c>
      <c r="H145" s="121">
        <f>IFERROR(H144, "NA")</f>
        <v>0</v>
      </c>
      <c r="I145" s="122">
        <f>IFERROR(H145/H148, "NA")</f>
        <v>0</v>
      </c>
      <c r="J145" s="121">
        <f>IFERROR(J144, "NA")</f>
        <v>0</v>
      </c>
      <c r="K145" s="122">
        <f>IFERROR(J145/J148, "NA")</f>
        <v>0</v>
      </c>
      <c r="L145" s="121">
        <f>IFERROR(L144, "NA")</f>
        <v>0</v>
      </c>
      <c r="M145" s="122">
        <f>IFERROR(L145/L148, "NA")</f>
        <v>0</v>
      </c>
      <c r="N145" s="121">
        <f>IFERROR(N144, "NA")</f>
        <v>0</v>
      </c>
      <c r="O145" s="122">
        <f>IFERROR(N145/N148, "NA")</f>
        <v>0</v>
      </c>
      <c r="P145" s="121">
        <f>IFERROR(P144, "NA")</f>
        <v>0</v>
      </c>
      <c r="Q145" s="122">
        <f>IFERROR(P145/P148, "NA")</f>
        <v>0</v>
      </c>
      <c r="R145" s="121">
        <f>IFERROR(R144, "NA")</f>
        <v>0</v>
      </c>
      <c r="S145" s="122">
        <f>IFERROR(R145/R148, "NA")</f>
        <v>0</v>
      </c>
      <c r="T145" s="121">
        <f>IFERROR(T144, "NA")</f>
        <v>0</v>
      </c>
      <c r="U145" s="122">
        <f>IFERROR(T145/T148, "NA")</f>
        <v>0</v>
      </c>
      <c r="V145" s="121">
        <f>IFERROR(V144, "NA")</f>
        <v>0</v>
      </c>
      <c r="W145" s="122">
        <f>IFERROR(V145/V148, "NA")</f>
        <v>0</v>
      </c>
      <c r="X145" s="121">
        <f>IFERROR(X144, "NA")</f>
        <v>0</v>
      </c>
      <c r="Y145" s="122">
        <f>IFERROR(X145/X148, "NA")</f>
        <v>0</v>
      </c>
      <c r="Z145" s="121">
        <f>IFERROR(Z144, "NA")</f>
        <v>0</v>
      </c>
      <c r="AA145" s="122">
        <f>IFERROR(Z145/Z148, "NA")</f>
        <v>0</v>
      </c>
      <c r="AB145" s="121">
        <f>IFERROR((R145+T145+V145+X145)/4, "NA")</f>
        <v>0</v>
      </c>
      <c r="AC145" s="122">
        <f>IFERROR(AB145/AB148, "NA")</f>
        <v>0</v>
      </c>
      <c r="AD145" s="123">
        <f>IFERROR(X145-AB145, "NA")</f>
        <v>0</v>
      </c>
      <c r="AE145" s="124">
        <f>IFERROR(AD145/AD148, "NA")</f>
        <v>0</v>
      </c>
      <c r="AF145" s="123" t="str">
        <f>IFERROR((X145-AB145)/AB145, "NA")</f>
        <v>NA</v>
      </c>
      <c r="AG145" s="121">
        <f>IFERROR((J145+L145+N145+P145+R145+T145+V145+X145)/8, "NA")</f>
        <v>0</v>
      </c>
      <c r="AH145" s="122">
        <f>IFERROR(AG145/AG148, "NA")</f>
        <v>0</v>
      </c>
      <c r="AI145" s="123">
        <f>IFERROR(X145-AG145, "NA")</f>
        <v>0</v>
      </c>
      <c r="AJ145" s="124">
        <f>IFERROR(AI145/AI148, "NA")</f>
        <v>0</v>
      </c>
      <c r="AK145" s="123" t="str">
        <f>IFERROR((X145-AG145)/AG145, "NA")</f>
        <v>NA</v>
      </c>
      <c r="AL145" s="124" t="str">
        <f>IFERROR(AK145/AK148, "NA")</f>
        <v>NA</v>
      </c>
    </row>
    <row r="146" spans="1:38" ht="3.75" hidden="1" customHeight="1" x14ac:dyDescent="0.25">
      <c r="A146" s="8" t="s">
        <v>2</v>
      </c>
      <c r="B146" s="138"/>
      <c r="C146" s="126"/>
      <c r="D146" s="138"/>
      <c r="E146" s="126"/>
      <c r="F146" s="138"/>
      <c r="G146" s="126"/>
      <c r="H146" s="138"/>
      <c r="I146" s="126"/>
      <c r="J146" s="138"/>
      <c r="K146" s="126"/>
      <c r="L146" s="138"/>
      <c r="M146" s="126"/>
      <c r="N146" s="138"/>
      <c r="O146" s="126"/>
      <c r="P146" s="138"/>
      <c r="Q146" s="126"/>
      <c r="R146" s="138"/>
      <c r="S146" s="126"/>
      <c r="T146" s="138"/>
      <c r="U146" s="126"/>
      <c r="V146" s="138"/>
      <c r="W146" s="126"/>
      <c r="X146" s="138"/>
      <c r="Y146" s="126"/>
      <c r="Z146" s="138"/>
      <c r="AA146" s="126"/>
      <c r="AB146" s="138"/>
      <c r="AC146" s="126"/>
      <c r="AD146" s="139"/>
      <c r="AE146" s="128"/>
      <c r="AF146" s="139"/>
      <c r="AG146" s="138"/>
      <c r="AH146" s="126"/>
      <c r="AI146" s="139"/>
      <c r="AJ146" s="128"/>
      <c r="AK146" s="139"/>
      <c r="AL146" s="128"/>
    </row>
    <row r="147" spans="1:38" ht="16.5" hidden="1" customHeight="1" x14ac:dyDescent="0.25">
      <c r="A147" s="135" t="s">
        <v>139</v>
      </c>
      <c r="B147" s="136">
        <f>IFERROR(B137-B141-B145, "NA")</f>
        <v>-71882.409999999902</v>
      </c>
      <c r="C147" s="137">
        <f>IFERROR(B147/B148, "NA")</f>
        <v>-0.49883103407787155</v>
      </c>
      <c r="D147" s="136">
        <f>IFERROR(D137-D141-D145, "NA")</f>
        <v>21076.610000000022</v>
      </c>
      <c r="E147" s="137">
        <f>IFERROR(D147/D148, "NA")</f>
        <v>0.18592999844651165</v>
      </c>
      <c r="F147" s="136">
        <f>IFERROR(F137-F141-F145, "NA")</f>
        <v>17872.529999999952</v>
      </c>
      <c r="G147" s="137">
        <f>IFERROR(F147/F148, "NA")</f>
        <v>0.1396946224792868</v>
      </c>
      <c r="H147" s="136">
        <f>IFERROR(H137-H141-H145, "NA")</f>
        <v>-41494.709999999955</v>
      </c>
      <c r="I147" s="137">
        <f>IFERROR(H147/H148, "NA")</f>
        <v>-0.33225359834482948</v>
      </c>
      <c r="J147" s="136">
        <f>IFERROR(J137-J141-J145, "NA")</f>
        <v>-84028.08</v>
      </c>
      <c r="K147" s="137">
        <f>IFERROR(J147/J148, "NA")</f>
        <v>-0.66187331204861444</v>
      </c>
      <c r="L147" s="136">
        <f>IFERROR(L137-L141-L145, "NA")</f>
        <v>23491.430000000029</v>
      </c>
      <c r="M147" s="137">
        <f>IFERROR(L147/L148, "NA")</f>
        <v>0.19064127610374726</v>
      </c>
      <c r="N147" s="136">
        <f>IFERROR(N137-N141-N145, "NA")</f>
        <v>15378.610000000013</v>
      </c>
      <c r="O147" s="137">
        <f>IFERROR(N147/N148, "NA")</f>
        <v>0.12032114409618498</v>
      </c>
      <c r="P147" s="136">
        <f>IFERROR(P137-P141-P145, "NA")</f>
        <v>15783.999999999971</v>
      </c>
      <c r="Q147" s="137">
        <f>IFERROR(P147/P148, "NA")</f>
        <v>0.1419839814650812</v>
      </c>
      <c r="R147" s="136">
        <f>IFERROR(R137-R141-R145, "NA")</f>
        <v>-20790.819999999971</v>
      </c>
      <c r="S147" s="137">
        <f>IFERROR(R147/R148, "NA")</f>
        <v>-0.15416894499952447</v>
      </c>
      <c r="T147" s="136">
        <f>IFERROR(T137-T141-T145, "NA")</f>
        <v>-82648.939999999959</v>
      </c>
      <c r="U147" s="137">
        <f>IFERROR(T147/T148, "NA")</f>
        <v>-0.64058577185336174</v>
      </c>
      <c r="V147" s="136">
        <f>IFERROR(V137-V141-V145, "NA")</f>
        <v>32829.400000000038</v>
      </c>
      <c r="W147" s="137">
        <f>IFERROR(V147/V148, "NA")</f>
        <v>0.24232039563827154</v>
      </c>
      <c r="X147" s="136">
        <f>IFERROR(X137-X141-X145, "NA")</f>
        <v>49568.039999999972</v>
      </c>
      <c r="Y147" s="137">
        <f>IFERROR(X147/X148, "NA")</f>
        <v>0.32694899018105045</v>
      </c>
      <c r="Z147" s="136">
        <f>IFERROR(Z137-Z141-Z145, "NA")</f>
        <v>82397.440000000061</v>
      </c>
      <c r="AA147" s="137">
        <f>IFERROR(Z147/Z148, "NA")</f>
        <v>0.28701191045869784</v>
      </c>
      <c r="AB147" s="136">
        <f>IFERROR((R147+T147+V147+X147)/4, "NA")</f>
        <v>-5260.5799999999781</v>
      </c>
      <c r="AC147" s="137">
        <f>IFERROR(AB147/AB148, "NA")</f>
        <v>-3.8191723967296233E-2</v>
      </c>
      <c r="AD147" s="123">
        <f>IFERROR(X147-AB147, "NA")</f>
        <v>54828.619999999952</v>
      </c>
      <c r="AE147" s="124">
        <f>IFERROR(AD147/AD148, "NA")</f>
        <v>3.9540316921849779</v>
      </c>
      <c r="AF147" s="123">
        <f>IFERROR((X147-AB147)/AB147, "NA")</f>
        <v>-10.422542761444589</v>
      </c>
      <c r="AG147" s="136">
        <f>IFERROR((J147+L147+N147+P147+R147+T147+V147+X147)/8, "NA")</f>
        <v>-6302.0449999999901</v>
      </c>
      <c r="AH147" s="137">
        <f>IFERROR(AG147/AG148, "NA")</f>
        <v>-4.8471486209606764E-2</v>
      </c>
      <c r="AI147" s="123">
        <f>IFERROR(X147-AG147, "NA")</f>
        <v>55870.084999999963</v>
      </c>
      <c r="AJ147" s="124">
        <f>IFERROR(AI147/AI148, "NA")</f>
        <v>2.5874932151927794</v>
      </c>
      <c r="AK147" s="123">
        <f>IFERROR((X147-AG147)/AG147, "NA")</f>
        <v>-8.8653897266680968</v>
      </c>
      <c r="AL147" s="124">
        <f>IFERROR(AK147/AK148, "NA")</f>
        <v>-53.381759412195471</v>
      </c>
    </row>
    <row r="148" spans="1:38" ht="15.75" hidden="1" x14ac:dyDescent="0.25">
      <c r="A148" s="10" t="s">
        <v>16</v>
      </c>
      <c r="B148" s="115">
        <v>144101.72</v>
      </c>
      <c r="C148" s="141"/>
      <c r="D148" s="115">
        <v>113357.76999999999</v>
      </c>
      <c r="E148" s="141"/>
      <c r="F148" s="115">
        <v>127940</v>
      </c>
      <c r="G148" s="141"/>
      <c r="H148" s="115">
        <v>124888.67</v>
      </c>
      <c r="I148" s="141"/>
      <c r="J148" s="115">
        <v>126954.93000000001</v>
      </c>
      <c r="K148" s="141"/>
      <c r="L148" s="115">
        <v>123223.20999999999</v>
      </c>
      <c r="M148" s="141"/>
      <c r="N148" s="115">
        <v>127813.03</v>
      </c>
      <c r="O148" s="141"/>
      <c r="P148" s="115">
        <v>111167.47</v>
      </c>
      <c r="Q148" s="141"/>
      <c r="R148" s="115">
        <v>134857.38</v>
      </c>
      <c r="S148" s="141"/>
      <c r="T148" s="115">
        <v>129020.87999999999</v>
      </c>
      <c r="U148" s="141"/>
      <c r="V148" s="115">
        <v>135479.31</v>
      </c>
      <c r="W148" s="141"/>
      <c r="X148" s="115">
        <v>151607.87</v>
      </c>
      <c r="Y148" s="141"/>
      <c r="Z148" s="115">
        <v>287087.18</v>
      </c>
      <c r="AA148" s="141"/>
      <c r="AB148" s="117">
        <f>IFERROR((R148+T148+V148+X148)/4, "NA")</f>
        <v>137741.35999999999</v>
      </c>
      <c r="AC148" s="141"/>
      <c r="AD148" s="118">
        <f>IFERROR(X148-AB148, "NA")</f>
        <v>13866.510000000009</v>
      </c>
      <c r="AE148" s="142"/>
      <c r="AF148" s="118">
        <f>IFERROR((X148-AB148)/AB148, "NA")</f>
        <v>0.10067063371524726</v>
      </c>
      <c r="AG148" s="117">
        <f>IFERROR((J148+L148+N148+P148+R148+T148+V148+X148)/8, "NA")</f>
        <v>130015.51</v>
      </c>
      <c r="AH148" s="141"/>
      <c r="AI148" s="118">
        <f>IFERROR(X148-AG148, "NA")</f>
        <v>21592.36</v>
      </c>
      <c r="AJ148" s="142"/>
      <c r="AK148" s="118">
        <f>IFERROR((X148-AG148)/AG148, "NA")</f>
        <v>0.16607526286671492</v>
      </c>
      <c r="AL148" s="142"/>
    </row>
    <row r="151" spans="1:38" ht="15.75" x14ac:dyDescent="0.25">
      <c r="A151" s="11" t="s">
        <v>140</v>
      </c>
    </row>
    <row r="152" spans="1:38" ht="15.75" x14ac:dyDescent="0.25">
      <c r="A152" s="11" t="s">
        <v>141</v>
      </c>
    </row>
    <row r="153" spans="1:38" ht="15.75" x14ac:dyDescent="0.25">
      <c r="A153" s="11" t="s">
        <v>247</v>
      </c>
    </row>
  </sheetData>
  <mergeCells count="21">
    <mergeCell ref="AK5:AL5"/>
    <mergeCell ref="Z5:AA5"/>
    <mergeCell ref="AB5:AC5"/>
    <mergeCell ref="AD5:AE5"/>
    <mergeCell ref="AG5:AH5"/>
    <mergeCell ref="A1:AL1"/>
    <mergeCell ref="A2:AL2"/>
    <mergeCell ref="A3:AL3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AI5:AJ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L153"/>
  <sheetViews>
    <sheetView showGridLines="0" workbookViewId="0">
      <pane xSplit="1" ySplit="5" topLeftCell="N38" activePane="bottomRight" state="frozen"/>
      <selection activeCell="D11" sqref="D11"/>
      <selection pane="topRight" activeCell="D11" sqref="D11"/>
      <selection pane="bottomLeft" activeCell="D11" sqref="D11"/>
      <selection pane="bottomRight" activeCell="O41" sqref="O41"/>
    </sheetView>
  </sheetViews>
  <sheetFormatPr defaultRowHeight="15" x14ac:dyDescent="0.25"/>
  <cols>
    <col min="1" max="1" width="42.85546875" customWidth="1"/>
    <col min="2" max="2" width="17.140625" customWidth="1"/>
    <col min="3" max="3" width="9.42578125" customWidth="1"/>
    <col min="4" max="4" width="17.140625" customWidth="1"/>
    <col min="5" max="5" width="9.42578125" customWidth="1"/>
    <col min="6" max="6" width="17.140625" customWidth="1"/>
    <col min="7" max="7" width="9.42578125" customWidth="1"/>
    <col min="8" max="8" width="17.140625" customWidth="1"/>
    <col min="9" max="9" width="9.42578125" customWidth="1"/>
    <col min="10" max="10" width="17.140625" customWidth="1"/>
    <col min="11" max="11" width="9.42578125" customWidth="1"/>
    <col min="12" max="12" width="17.140625" customWidth="1"/>
    <col min="13" max="13" width="9.42578125" customWidth="1"/>
    <col min="14" max="14" width="17.140625" customWidth="1"/>
    <col min="15" max="15" width="9.42578125" customWidth="1"/>
    <col min="16" max="16" width="17.140625" customWidth="1"/>
    <col min="17" max="17" width="9.42578125" customWidth="1"/>
    <col min="18" max="18" width="17.140625" customWidth="1"/>
    <col min="19" max="19" width="9.42578125" customWidth="1"/>
    <col min="20" max="20" width="17.140625" customWidth="1"/>
    <col min="21" max="21" width="9.42578125" customWidth="1"/>
    <col min="22" max="22" width="17.140625" customWidth="1"/>
    <col min="23" max="23" width="9.42578125" customWidth="1"/>
    <col min="24" max="24" width="17.140625" customWidth="1"/>
    <col min="25" max="25" width="9.42578125" customWidth="1"/>
    <col min="26" max="26" width="17.140625" customWidth="1"/>
    <col min="27" max="27" width="9.42578125" customWidth="1"/>
    <col min="28" max="28" width="17.140625" customWidth="1"/>
    <col min="29" max="29" width="9.42578125" customWidth="1"/>
    <col min="30" max="30" width="16.7109375" customWidth="1"/>
    <col min="31" max="31" width="0" hidden="1" customWidth="1"/>
    <col min="32" max="32" width="16.7109375" customWidth="1"/>
    <col min="33" max="33" width="17.140625" customWidth="1"/>
    <col min="34" max="34" width="9.42578125" customWidth="1"/>
    <col min="35" max="35" width="16.7109375" customWidth="1"/>
    <col min="36" max="36" width="0" hidden="1" customWidth="1"/>
    <col min="37" max="37" width="16.7109375" customWidth="1"/>
    <col min="38" max="38" width="0" hidden="1" customWidth="1"/>
  </cols>
  <sheetData>
    <row r="1" spans="1:38" ht="33.75" x14ac:dyDescent="0.25">
      <c r="A1" s="151" t="s">
        <v>243</v>
      </c>
      <c r="B1" s="151" t="s">
        <v>243</v>
      </c>
      <c r="C1" s="151" t="s">
        <v>243</v>
      </c>
      <c r="D1" s="151" t="s">
        <v>243</v>
      </c>
      <c r="E1" s="151" t="s">
        <v>243</v>
      </c>
      <c r="F1" s="151" t="s">
        <v>243</v>
      </c>
      <c r="G1" s="151" t="s">
        <v>243</v>
      </c>
      <c r="H1" s="151" t="s">
        <v>243</v>
      </c>
      <c r="I1" s="151" t="s">
        <v>243</v>
      </c>
      <c r="J1" s="151" t="s">
        <v>243</v>
      </c>
      <c r="K1" s="151" t="s">
        <v>243</v>
      </c>
      <c r="L1" s="151" t="s">
        <v>243</v>
      </c>
      <c r="M1" s="151" t="s">
        <v>243</v>
      </c>
      <c r="N1" s="151" t="s">
        <v>243</v>
      </c>
      <c r="O1" s="151" t="s">
        <v>243</v>
      </c>
      <c r="P1" s="151" t="s">
        <v>243</v>
      </c>
      <c r="Q1" s="151" t="s">
        <v>243</v>
      </c>
      <c r="R1" s="151" t="s">
        <v>243</v>
      </c>
      <c r="S1" s="151" t="s">
        <v>243</v>
      </c>
      <c r="T1" s="151" t="s">
        <v>243</v>
      </c>
      <c r="U1" s="151" t="s">
        <v>243</v>
      </c>
      <c r="V1" s="151" t="s">
        <v>243</v>
      </c>
      <c r="W1" s="151" t="s">
        <v>243</v>
      </c>
      <c r="X1" s="151" t="s">
        <v>243</v>
      </c>
      <c r="Y1" s="151" t="s">
        <v>243</v>
      </c>
      <c r="Z1" s="151" t="s">
        <v>243</v>
      </c>
      <c r="AA1" s="151" t="s">
        <v>243</v>
      </c>
      <c r="AB1" s="151" t="s">
        <v>243</v>
      </c>
      <c r="AC1" s="151" t="s">
        <v>243</v>
      </c>
      <c r="AD1" s="151" t="s">
        <v>243</v>
      </c>
      <c r="AE1" s="151" t="s">
        <v>243</v>
      </c>
      <c r="AF1" s="151" t="s">
        <v>243</v>
      </c>
      <c r="AG1" s="151" t="s">
        <v>243</v>
      </c>
      <c r="AH1" s="151" t="s">
        <v>243</v>
      </c>
      <c r="AI1" s="151" t="s">
        <v>243</v>
      </c>
      <c r="AJ1" s="151" t="s">
        <v>243</v>
      </c>
      <c r="AK1" s="151" t="s">
        <v>243</v>
      </c>
      <c r="AL1" s="151" t="s">
        <v>243</v>
      </c>
    </row>
    <row r="2" spans="1:38" ht="23.25" x14ac:dyDescent="0.25">
      <c r="A2" s="152" t="s">
        <v>246</v>
      </c>
      <c r="B2" s="152" t="s">
        <v>246</v>
      </c>
      <c r="C2" s="152" t="s">
        <v>246</v>
      </c>
      <c r="D2" s="152" t="s">
        <v>246</v>
      </c>
      <c r="E2" s="152" t="s">
        <v>246</v>
      </c>
      <c r="F2" s="152" t="s">
        <v>246</v>
      </c>
      <c r="G2" s="152" t="s">
        <v>246</v>
      </c>
      <c r="H2" s="152" t="s">
        <v>246</v>
      </c>
      <c r="I2" s="152" t="s">
        <v>246</v>
      </c>
      <c r="J2" s="152" t="s">
        <v>246</v>
      </c>
      <c r="K2" s="152" t="s">
        <v>246</v>
      </c>
      <c r="L2" s="152" t="s">
        <v>246</v>
      </c>
      <c r="M2" s="152" t="s">
        <v>246</v>
      </c>
      <c r="N2" s="152" t="s">
        <v>246</v>
      </c>
      <c r="O2" s="152" t="s">
        <v>246</v>
      </c>
      <c r="P2" s="152" t="s">
        <v>246</v>
      </c>
      <c r="Q2" s="152" t="s">
        <v>246</v>
      </c>
      <c r="R2" s="152" t="s">
        <v>246</v>
      </c>
      <c r="S2" s="152" t="s">
        <v>246</v>
      </c>
      <c r="T2" s="152" t="s">
        <v>246</v>
      </c>
      <c r="U2" s="152" t="s">
        <v>246</v>
      </c>
      <c r="V2" s="152" t="s">
        <v>246</v>
      </c>
      <c r="W2" s="152" t="s">
        <v>246</v>
      </c>
      <c r="X2" s="152" t="s">
        <v>246</v>
      </c>
      <c r="Y2" s="152" t="s">
        <v>246</v>
      </c>
      <c r="Z2" s="152" t="s">
        <v>246</v>
      </c>
      <c r="AA2" s="152" t="s">
        <v>246</v>
      </c>
      <c r="AB2" s="152" t="s">
        <v>246</v>
      </c>
      <c r="AC2" s="152" t="s">
        <v>246</v>
      </c>
      <c r="AD2" s="152" t="s">
        <v>246</v>
      </c>
      <c r="AE2" s="152" t="s">
        <v>246</v>
      </c>
      <c r="AF2" s="152" t="s">
        <v>246</v>
      </c>
      <c r="AG2" s="152" t="s">
        <v>246</v>
      </c>
      <c r="AH2" s="152" t="s">
        <v>246</v>
      </c>
      <c r="AI2" s="152" t="s">
        <v>246</v>
      </c>
      <c r="AJ2" s="152" t="s">
        <v>246</v>
      </c>
      <c r="AK2" s="152" t="s">
        <v>246</v>
      </c>
      <c r="AL2" s="152" t="s">
        <v>246</v>
      </c>
    </row>
    <row r="3" spans="1:38" ht="15.75" x14ac:dyDescent="0.25">
      <c r="A3" s="153" t="s">
        <v>142</v>
      </c>
      <c r="B3" s="153" t="s">
        <v>142</v>
      </c>
      <c r="C3" s="153" t="s">
        <v>142</v>
      </c>
      <c r="D3" s="153" t="s">
        <v>142</v>
      </c>
      <c r="E3" s="153" t="s">
        <v>142</v>
      </c>
      <c r="F3" s="153" t="s">
        <v>142</v>
      </c>
      <c r="G3" s="153" t="s">
        <v>142</v>
      </c>
      <c r="H3" s="153" t="s">
        <v>142</v>
      </c>
      <c r="I3" s="153" t="s">
        <v>142</v>
      </c>
      <c r="J3" s="153" t="s">
        <v>142</v>
      </c>
      <c r="K3" s="153" t="s">
        <v>142</v>
      </c>
      <c r="L3" s="153" t="s">
        <v>142</v>
      </c>
      <c r="M3" s="153" t="s">
        <v>142</v>
      </c>
      <c r="N3" s="153" t="s">
        <v>142</v>
      </c>
      <c r="O3" s="153" t="s">
        <v>142</v>
      </c>
      <c r="P3" s="153" t="s">
        <v>142</v>
      </c>
      <c r="Q3" s="153" t="s">
        <v>142</v>
      </c>
      <c r="R3" s="153" t="s">
        <v>142</v>
      </c>
      <c r="S3" s="153" t="s">
        <v>142</v>
      </c>
      <c r="T3" s="153" t="s">
        <v>142</v>
      </c>
      <c r="U3" s="153" t="s">
        <v>142</v>
      </c>
      <c r="V3" s="153" t="s">
        <v>142</v>
      </c>
      <c r="W3" s="153" t="s">
        <v>142</v>
      </c>
      <c r="X3" s="153" t="s">
        <v>142</v>
      </c>
      <c r="Y3" s="153" t="s">
        <v>142</v>
      </c>
      <c r="Z3" s="153" t="s">
        <v>142</v>
      </c>
      <c r="AA3" s="153" t="s">
        <v>142</v>
      </c>
      <c r="AB3" s="153" t="s">
        <v>142</v>
      </c>
      <c r="AC3" s="153" t="s">
        <v>142</v>
      </c>
      <c r="AD3" s="153" t="s">
        <v>142</v>
      </c>
      <c r="AE3" s="153" t="s">
        <v>142</v>
      </c>
      <c r="AF3" s="153" t="s">
        <v>142</v>
      </c>
      <c r="AG3" s="153" t="s">
        <v>142</v>
      </c>
      <c r="AH3" s="153" t="s">
        <v>142</v>
      </c>
      <c r="AI3" s="153" t="s">
        <v>142</v>
      </c>
      <c r="AJ3" s="153" t="s">
        <v>142</v>
      </c>
      <c r="AK3" s="153" t="s">
        <v>142</v>
      </c>
      <c r="AL3" s="153" t="s">
        <v>142</v>
      </c>
    </row>
    <row r="5" spans="1:38" ht="13.5" customHeight="1" x14ac:dyDescent="0.25">
      <c r="A5" s="110" t="s">
        <v>2</v>
      </c>
      <c r="B5" s="154" t="s">
        <v>3</v>
      </c>
      <c r="C5" s="155" t="s">
        <v>2</v>
      </c>
      <c r="D5" s="154" t="s">
        <v>4</v>
      </c>
      <c r="E5" s="155" t="s">
        <v>2</v>
      </c>
      <c r="F5" s="154" t="s">
        <v>5</v>
      </c>
      <c r="G5" s="155" t="s">
        <v>2</v>
      </c>
      <c r="H5" s="154" t="s">
        <v>6</v>
      </c>
      <c r="I5" s="155" t="s">
        <v>2</v>
      </c>
      <c r="J5" s="154" t="s">
        <v>237</v>
      </c>
      <c r="K5" s="155" t="s">
        <v>2</v>
      </c>
      <c r="L5" s="154" t="s">
        <v>238</v>
      </c>
      <c r="M5" s="155" t="s">
        <v>2</v>
      </c>
      <c r="N5" s="154" t="s">
        <v>239</v>
      </c>
      <c r="O5" s="155" t="s">
        <v>2</v>
      </c>
      <c r="P5" s="154" t="s">
        <v>240</v>
      </c>
      <c r="Q5" s="155" t="s">
        <v>2</v>
      </c>
      <c r="R5" s="154" t="s">
        <v>241</v>
      </c>
      <c r="S5" s="155" t="s">
        <v>2</v>
      </c>
      <c r="T5" s="154" t="s">
        <v>242</v>
      </c>
      <c r="U5" s="155" t="s">
        <v>2</v>
      </c>
      <c r="V5" s="154" t="s">
        <v>244</v>
      </c>
      <c r="W5" s="155" t="s">
        <v>2</v>
      </c>
      <c r="X5" s="154" t="s">
        <v>245</v>
      </c>
      <c r="Y5" s="155" t="s">
        <v>2</v>
      </c>
      <c r="Z5" s="154" t="s">
        <v>7</v>
      </c>
      <c r="AA5" s="155" t="s">
        <v>2</v>
      </c>
      <c r="AB5" s="154" t="s">
        <v>8</v>
      </c>
      <c r="AC5" s="155" t="s">
        <v>2</v>
      </c>
      <c r="AD5" s="156" t="s">
        <v>9</v>
      </c>
      <c r="AE5" s="157" t="s">
        <v>2</v>
      </c>
      <c r="AF5" s="143" t="s">
        <v>10</v>
      </c>
      <c r="AG5" s="154" t="s">
        <v>11</v>
      </c>
      <c r="AH5" s="155" t="s">
        <v>2</v>
      </c>
      <c r="AI5" s="156" t="s">
        <v>12</v>
      </c>
      <c r="AJ5" s="157" t="s">
        <v>2</v>
      </c>
      <c r="AK5" s="156" t="s">
        <v>13</v>
      </c>
      <c r="AL5" s="157" t="s">
        <v>2</v>
      </c>
    </row>
    <row r="6" spans="1:38" ht="16.5" customHeight="1" x14ac:dyDescent="0.25">
      <c r="A6" s="1" t="s">
        <v>14</v>
      </c>
      <c r="B6" s="111"/>
      <c r="C6" s="112"/>
      <c r="D6" s="111"/>
      <c r="E6" s="112"/>
      <c r="F6" s="111"/>
      <c r="G6" s="112"/>
      <c r="H6" s="111"/>
      <c r="I6" s="112"/>
      <c r="J6" s="111"/>
      <c r="K6" s="112"/>
      <c r="L6" s="111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  <c r="X6" s="111"/>
      <c r="Y6" s="112"/>
      <c r="Z6" s="111"/>
      <c r="AA6" s="112"/>
      <c r="AB6" s="111"/>
      <c r="AC6" s="112"/>
      <c r="AD6" s="113"/>
      <c r="AE6" s="114"/>
      <c r="AF6" s="113"/>
      <c r="AG6" s="111"/>
      <c r="AH6" s="112"/>
      <c r="AI6" s="113"/>
      <c r="AJ6" s="114"/>
      <c r="AK6" s="113"/>
      <c r="AL6" s="114"/>
    </row>
    <row r="7" spans="1:38" ht="16.5" customHeight="1" x14ac:dyDescent="0.25">
      <c r="A7" s="2" t="s">
        <v>14</v>
      </c>
      <c r="B7" s="115">
        <v>48039.839999999997</v>
      </c>
      <c r="C7" s="116">
        <f>IFERROR(B7/B148, "NA")</f>
        <v>1</v>
      </c>
      <c r="D7" s="115">
        <v>41480.409999999996</v>
      </c>
      <c r="E7" s="116">
        <f>IFERROR(D7/D148, "NA")</f>
        <v>0.99999999999999978</v>
      </c>
      <c r="F7" s="115">
        <v>49860.789999999986</v>
      </c>
      <c r="G7" s="116">
        <f>IFERROR(F7/F148, "NA")</f>
        <v>0.99999999999999967</v>
      </c>
      <c r="H7" s="115">
        <v>51166.44000000001</v>
      </c>
      <c r="I7" s="116">
        <f>IFERROR(H7/H148, "NA")</f>
        <v>1.0000000000000002</v>
      </c>
      <c r="J7" s="115">
        <v>47375.87000000001</v>
      </c>
      <c r="K7" s="116">
        <f>IFERROR(J7/J148, "NA")</f>
        <v>1.0000000000000002</v>
      </c>
      <c r="L7" s="115">
        <v>44090.540000000008</v>
      </c>
      <c r="M7" s="116">
        <f>IFERROR(L7/L148, "NA")</f>
        <v>1.0000000000000002</v>
      </c>
      <c r="N7" s="115">
        <v>49571.040000000008</v>
      </c>
      <c r="O7" s="116">
        <f>IFERROR(N7/N148, "NA")</f>
        <v>1.0000000000000002</v>
      </c>
      <c r="P7" s="115">
        <v>41446.520000000004</v>
      </c>
      <c r="Q7" s="116">
        <f>IFERROR(P7/P148, "NA")</f>
        <v>1.0000000000000002</v>
      </c>
      <c r="R7" s="115">
        <v>38893.35</v>
      </c>
      <c r="S7" s="116">
        <f>IFERROR(R7/R148, "NA")</f>
        <v>1</v>
      </c>
      <c r="T7" s="115">
        <v>43597.16</v>
      </c>
      <c r="U7" s="116">
        <f>IFERROR(T7/T148, "NA")</f>
        <v>1</v>
      </c>
      <c r="V7" s="115">
        <v>47869.840000000004</v>
      </c>
      <c r="W7" s="116">
        <f>IFERROR(V7/V148, "NA")</f>
        <v>1.0000000000000002</v>
      </c>
      <c r="X7" s="115">
        <v>55034.880000000005</v>
      </c>
      <c r="Y7" s="116">
        <f>IFERROR(X7/X148, "NA")</f>
        <v>1.0000000000000002</v>
      </c>
      <c r="Z7" s="115">
        <v>102904.72</v>
      </c>
      <c r="AA7" s="116">
        <f>IFERROR(Z7/Z148, "NA")</f>
        <v>1</v>
      </c>
      <c r="AB7" s="117">
        <f>IFERROR((R7+T7+V7+X7)/4, "NA")</f>
        <v>46348.807500000003</v>
      </c>
      <c r="AC7" s="116">
        <f>IFERROR(AB7/AB148, "NA")</f>
        <v>1</v>
      </c>
      <c r="AD7" s="118">
        <f>IFERROR(X7-AB7, "NA")</f>
        <v>8686.072500000002</v>
      </c>
      <c r="AE7" s="119">
        <f>IFERROR(AD7/AD148, "NA")</f>
        <v>1.0000000000000009</v>
      </c>
      <c r="AF7" s="118">
        <f>IFERROR((X7-AB7)/AB7, "NA")</f>
        <v>0.1874066015614318</v>
      </c>
      <c r="AG7" s="117">
        <f>IFERROR((J7+L7+N7+P7+R7+T7+V7+X7)/8, "NA")</f>
        <v>45984.900000000009</v>
      </c>
      <c r="AH7" s="116">
        <f>IFERROR(AG7/AG148, "NA")</f>
        <v>1.0000000000000002</v>
      </c>
      <c r="AI7" s="118">
        <f>IFERROR(X7-AG7, "NA")</f>
        <v>9049.9799999999959</v>
      </c>
      <c r="AJ7" s="119">
        <f>IFERROR(AI7/AI148, "NA")</f>
        <v>0.99999999999999922</v>
      </c>
      <c r="AK7" s="118">
        <f>IFERROR((X7-AG7)/AG7, "NA")</f>
        <v>0.19680329847406419</v>
      </c>
      <c r="AL7" s="119">
        <f>IFERROR(AK7/AK148, "NA")</f>
        <v>0.99999999999999889</v>
      </c>
    </row>
    <row r="8" spans="1:38" ht="30.75" hidden="1" customHeight="1" x14ac:dyDescent="0.25">
      <c r="A8" s="2" t="s">
        <v>15</v>
      </c>
      <c r="B8" s="115">
        <v>0</v>
      </c>
      <c r="C8" s="116">
        <f>IFERROR(B8/B148, "NA")</f>
        <v>0</v>
      </c>
      <c r="D8" s="115">
        <v>0</v>
      </c>
      <c r="E8" s="116">
        <f>IFERROR(D8/D148, "NA")</f>
        <v>0</v>
      </c>
      <c r="F8" s="115">
        <v>0</v>
      </c>
      <c r="G8" s="116">
        <f>IFERROR(F8/F148, "NA")</f>
        <v>0</v>
      </c>
      <c r="H8" s="115">
        <v>0</v>
      </c>
      <c r="I8" s="116">
        <f>IFERROR(H8/H148, "NA")</f>
        <v>0</v>
      </c>
      <c r="J8" s="115">
        <v>0</v>
      </c>
      <c r="K8" s="116">
        <f>IFERROR(J8/J148, "NA")</f>
        <v>0</v>
      </c>
      <c r="L8" s="115">
        <v>0</v>
      </c>
      <c r="M8" s="116">
        <f>IFERROR(L8/L148, "NA")</f>
        <v>0</v>
      </c>
      <c r="N8" s="115">
        <v>0</v>
      </c>
      <c r="O8" s="116">
        <f>IFERROR(N8/N148, "NA")</f>
        <v>0</v>
      </c>
      <c r="P8" s="115">
        <v>0</v>
      </c>
      <c r="Q8" s="116">
        <f>IFERROR(P8/P148, "NA")</f>
        <v>0</v>
      </c>
      <c r="R8" s="115">
        <v>0</v>
      </c>
      <c r="S8" s="116">
        <f>IFERROR(R8/R148, "NA")</f>
        <v>0</v>
      </c>
      <c r="T8" s="115">
        <v>0</v>
      </c>
      <c r="U8" s="116">
        <f>IFERROR(T8/T148, "NA")</f>
        <v>0</v>
      </c>
      <c r="V8" s="115">
        <v>0</v>
      </c>
      <c r="W8" s="116">
        <f>IFERROR(V8/V148, "NA")</f>
        <v>0</v>
      </c>
      <c r="X8" s="115">
        <v>0</v>
      </c>
      <c r="Y8" s="116">
        <f>IFERROR(X8/X148, "NA")</f>
        <v>0</v>
      </c>
      <c r="Z8" s="115">
        <v>0</v>
      </c>
      <c r="AA8" s="116">
        <f>IFERROR(Z8/Z148, "NA")</f>
        <v>0</v>
      </c>
      <c r="AB8" s="117">
        <f>IFERROR((R8+T8+V8+X8)/4, "NA")</f>
        <v>0</v>
      </c>
      <c r="AC8" s="116">
        <f>IFERROR(AB8/AB148, "NA")</f>
        <v>0</v>
      </c>
      <c r="AD8" s="118">
        <f>IFERROR(X8-AB8, "NA")</f>
        <v>0</v>
      </c>
      <c r="AE8" s="119">
        <f>IFERROR(AD8/AD148, "NA")</f>
        <v>0</v>
      </c>
      <c r="AF8" s="118" t="str">
        <f>IFERROR((X8-AB8)/AB8, "NA")</f>
        <v>NA</v>
      </c>
      <c r="AG8" s="117">
        <f>IFERROR((J8+L8+N8+P8+R8+T8+V8+X8)/8, "NA")</f>
        <v>0</v>
      </c>
      <c r="AH8" s="116">
        <f>IFERROR(AG8/AG148, "NA")</f>
        <v>0</v>
      </c>
      <c r="AI8" s="118">
        <f>IFERROR(X8-AG8, "NA")</f>
        <v>0</v>
      </c>
      <c r="AJ8" s="119">
        <f>IFERROR(AI8/AI148, "NA")</f>
        <v>0</v>
      </c>
      <c r="AK8" s="118" t="str">
        <f>IFERROR((X8-AG8)/AG8, "NA")</f>
        <v>NA</v>
      </c>
      <c r="AL8" s="119" t="str">
        <f>IFERROR(AK8/AK148, "NA")</f>
        <v>NA</v>
      </c>
    </row>
    <row r="9" spans="1:38" ht="16.5" customHeight="1" x14ac:dyDescent="0.25">
      <c r="A9" s="120" t="s">
        <v>16</v>
      </c>
      <c r="B9" s="121">
        <f>IFERROR(B7+B8, "NA")</f>
        <v>48039.839999999997</v>
      </c>
      <c r="C9" s="122">
        <f>IFERROR(B9/B148, "NA")</f>
        <v>1</v>
      </c>
      <c r="D9" s="121">
        <f>IFERROR(D7+D8, "NA")</f>
        <v>41480.409999999996</v>
      </c>
      <c r="E9" s="122">
        <f>IFERROR(D9/D148, "NA")</f>
        <v>0.99999999999999978</v>
      </c>
      <c r="F9" s="121">
        <f>IFERROR(F7+F8, "NA")</f>
        <v>49860.789999999986</v>
      </c>
      <c r="G9" s="122">
        <f>IFERROR(F9/F148, "NA")</f>
        <v>0.99999999999999967</v>
      </c>
      <c r="H9" s="121">
        <f>IFERROR(H7+H8, "NA")</f>
        <v>51166.44000000001</v>
      </c>
      <c r="I9" s="122">
        <f>IFERROR(H9/H148, "NA")</f>
        <v>1.0000000000000002</v>
      </c>
      <c r="J9" s="121">
        <f>IFERROR(J7+J8, "NA")</f>
        <v>47375.87000000001</v>
      </c>
      <c r="K9" s="122">
        <f>IFERROR(J9/J148, "NA")</f>
        <v>1.0000000000000002</v>
      </c>
      <c r="L9" s="121">
        <f>IFERROR(L7+L8, "NA")</f>
        <v>44090.540000000008</v>
      </c>
      <c r="M9" s="122">
        <f>IFERROR(L9/L148, "NA")</f>
        <v>1.0000000000000002</v>
      </c>
      <c r="N9" s="121">
        <f>IFERROR(N7+N8, "NA")</f>
        <v>49571.040000000008</v>
      </c>
      <c r="O9" s="122">
        <f>IFERROR(N9/N148, "NA")</f>
        <v>1.0000000000000002</v>
      </c>
      <c r="P9" s="121">
        <f>IFERROR(P7+P8, "NA")</f>
        <v>41446.520000000004</v>
      </c>
      <c r="Q9" s="122">
        <f>IFERROR(P9/P148, "NA")</f>
        <v>1.0000000000000002</v>
      </c>
      <c r="R9" s="121">
        <f>IFERROR(R7+R8, "NA")</f>
        <v>38893.35</v>
      </c>
      <c r="S9" s="122">
        <f>IFERROR(R9/R148, "NA")</f>
        <v>1</v>
      </c>
      <c r="T9" s="121">
        <f>IFERROR(T7+T8, "NA")</f>
        <v>43597.16</v>
      </c>
      <c r="U9" s="122">
        <f>IFERROR(T9/T148, "NA")</f>
        <v>1</v>
      </c>
      <c r="V9" s="121">
        <f>IFERROR(V7+V8, "NA")</f>
        <v>47869.840000000004</v>
      </c>
      <c r="W9" s="122">
        <f>IFERROR(V9/V148, "NA")</f>
        <v>1.0000000000000002</v>
      </c>
      <c r="X9" s="121">
        <f>IFERROR(X7+X8, "NA")</f>
        <v>55034.880000000005</v>
      </c>
      <c r="Y9" s="122">
        <f>IFERROR(X9/X148, "NA")</f>
        <v>1.0000000000000002</v>
      </c>
      <c r="Z9" s="121">
        <f>IFERROR(Z7+Z8, "NA")</f>
        <v>102904.72</v>
      </c>
      <c r="AA9" s="122">
        <f>IFERROR(Z9/Z148, "NA")</f>
        <v>1</v>
      </c>
      <c r="AB9" s="121">
        <f>IFERROR((R9+T9+V9+X9)/4, "NA")</f>
        <v>46348.807500000003</v>
      </c>
      <c r="AC9" s="122">
        <f>IFERROR(AB9/AB148, "NA")</f>
        <v>1</v>
      </c>
      <c r="AD9" s="123">
        <f>IFERROR(X9-AB9, "NA")</f>
        <v>8686.072500000002</v>
      </c>
      <c r="AE9" s="124">
        <f>IFERROR(AD9/AD148, "NA")</f>
        <v>1.0000000000000009</v>
      </c>
      <c r="AF9" s="123">
        <f>IFERROR((X9-AB9)/AB9, "NA")</f>
        <v>0.1874066015614318</v>
      </c>
      <c r="AG9" s="121">
        <f>IFERROR((J9+L9+N9+P9+R9+T9+V9+X9)/8, "NA")</f>
        <v>45984.900000000009</v>
      </c>
      <c r="AH9" s="122">
        <f>IFERROR(AG9/AG148, "NA")</f>
        <v>1.0000000000000002</v>
      </c>
      <c r="AI9" s="123">
        <f>IFERROR(X9-AG9, "NA")</f>
        <v>9049.9799999999959</v>
      </c>
      <c r="AJ9" s="124">
        <f>IFERROR(AI9/AI148, "NA")</f>
        <v>0.99999999999999922</v>
      </c>
      <c r="AK9" s="123">
        <f>IFERROR((X9-AG9)/AG9, "NA")</f>
        <v>0.19680329847406419</v>
      </c>
      <c r="AL9" s="124">
        <f>IFERROR(AK9/AK148, "NA")</f>
        <v>0.99999999999999889</v>
      </c>
    </row>
    <row r="10" spans="1:38" ht="3.75" customHeight="1" x14ac:dyDescent="0.25">
      <c r="A10" s="3" t="s">
        <v>2</v>
      </c>
      <c r="B10" s="125"/>
      <c r="C10" s="126"/>
      <c r="D10" s="125"/>
      <c r="E10" s="126"/>
      <c r="F10" s="125"/>
      <c r="G10" s="126"/>
      <c r="H10" s="125"/>
      <c r="I10" s="126"/>
      <c r="J10" s="125"/>
      <c r="K10" s="126"/>
      <c r="L10" s="125"/>
      <c r="M10" s="126"/>
      <c r="N10" s="125"/>
      <c r="O10" s="126"/>
      <c r="P10" s="125"/>
      <c r="Q10" s="126"/>
      <c r="R10" s="125"/>
      <c r="S10" s="126"/>
      <c r="T10" s="125"/>
      <c r="U10" s="126"/>
      <c r="V10" s="125"/>
      <c r="W10" s="126"/>
      <c r="X10" s="125"/>
      <c r="Y10" s="126"/>
      <c r="Z10" s="125"/>
      <c r="AA10" s="126"/>
      <c r="AB10" s="125"/>
      <c r="AC10" s="126"/>
      <c r="AD10" s="127"/>
      <c r="AE10" s="128"/>
      <c r="AF10" s="127"/>
      <c r="AG10" s="125"/>
      <c r="AH10" s="126"/>
      <c r="AI10" s="127"/>
      <c r="AJ10" s="128"/>
      <c r="AK10" s="127"/>
      <c r="AL10" s="128"/>
    </row>
    <row r="11" spans="1:38" ht="16.5" customHeight="1" x14ac:dyDescent="0.25">
      <c r="A11" s="1" t="s">
        <v>17</v>
      </c>
      <c r="B11" s="111"/>
      <c r="C11" s="112"/>
      <c r="D11" s="111"/>
      <c r="E11" s="112"/>
      <c r="F11" s="111"/>
      <c r="G11" s="112"/>
      <c r="H11" s="111"/>
      <c r="I11" s="112"/>
      <c r="J11" s="111"/>
      <c r="K11" s="112"/>
      <c r="L11" s="111"/>
      <c r="M11" s="112"/>
      <c r="N11" s="111"/>
      <c r="O11" s="112"/>
      <c r="P11" s="111"/>
      <c r="Q11" s="112"/>
      <c r="R11" s="111"/>
      <c r="S11" s="112"/>
      <c r="T11" s="111"/>
      <c r="U11" s="112"/>
      <c r="V11" s="111"/>
      <c r="W11" s="112"/>
      <c r="X11" s="111"/>
      <c r="Y11" s="112"/>
      <c r="Z11" s="111"/>
      <c r="AA11" s="112"/>
      <c r="AB11" s="111"/>
      <c r="AC11" s="112"/>
      <c r="AD11" s="113"/>
      <c r="AE11" s="114"/>
      <c r="AF11" s="113"/>
      <c r="AG11" s="111"/>
      <c r="AH11" s="112"/>
      <c r="AI11" s="113"/>
      <c r="AJ11" s="114"/>
      <c r="AK11" s="113"/>
      <c r="AL11" s="114"/>
    </row>
    <row r="12" spans="1:38" ht="16.5" customHeight="1" x14ac:dyDescent="0.25">
      <c r="A12" s="4" t="s">
        <v>18</v>
      </c>
      <c r="B12" s="111"/>
      <c r="C12" s="112"/>
      <c r="D12" s="111"/>
      <c r="E12" s="112"/>
      <c r="F12" s="111"/>
      <c r="G12" s="112"/>
      <c r="H12" s="111"/>
      <c r="I12" s="112"/>
      <c r="J12" s="111"/>
      <c r="K12" s="112"/>
      <c r="L12" s="111"/>
      <c r="M12" s="112"/>
      <c r="N12" s="111"/>
      <c r="O12" s="112"/>
      <c r="P12" s="111"/>
      <c r="Q12" s="112"/>
      <c r="R12" s="111"/>
      <c r="S12" s="112"/>
      <c r="T12" s="111"/>
      <c r="U12" s="112"/>
      <c r="V12" s="111"/>
      <c r="W12" s="112"/>
      <c r="X12" s="111"/>
      <c r="Y12" s="112"/>
      <c r="Z12" s="111"/>
      <c r="AA12" s="112"/>
      <c r="AB12" s="111"/>
      <c r="AC12" s="112"/>
      <c r="AD12" s="113"/>
      <c r="AE12" s="114"/>
      <c r="AF12" s="113"/>
      <c r="AG12" s="111"/>
      <c r="AH12" s="112"/>
      <c r="AI12" s="113"/>
      <c r="AJ12" s="114"/>
      <c r="AK12" s="113"/>
      <c r="AL12" s="114"/>
    </row>
    <row r="13" spans="1:38" ht="16.5" hidden="1" customHeight="1" x14ac:dyDescent="0.25">
      <c r="A13" s="5" t="s">
        <v>19</v>
      </c>
      <c r="B13" s="115">
        <v>0</v>
      </c>
      <c r="C13" s="116">
        <f>IFERROR(B13/B148, "NA")</f>
        <v>0</v>
      </c>
      <c r="D13" s="115">
        <v>0</v>
      </c>
      <c r="E13" s="116">
        <f>IFERROR(D13/D148, "NA")</f>
        <v>0</v>
      </c>
      <c r="F13" s="115">
        <v>0</v>
      </c>
      <c r="G13" s="116">
        <f>IFERROR(F13/F148, "NA")</f>
        <v>0</v>
      </c>
      <c r="H13" s="115">
        <v>0</v>
      </c>
      <c r="I13" s="116">
        <f>IFERROR(H13/H148, "NA")</f>
        <v>0</v>
      </c>
      <c r="J13" s="115">
        <v>0</v>
      </c>
      <c r="K13" s="116">
        <f>IFERROR(J13/J148, "NA")</f>
        <v>0</v>
      </c>
      <c r="L13" s="115">
        <v>0</v>
      </c>
      <c r="M13" s="116">
        <f>IFERROR(L13/L148, "NA")</f>
        <v>0</v>
      </c>
      <c r="N13" s="115">
        <v>0</v>
      </c>
      <c r="O13" s="116">
        <f>IFERROR(N13/N148, "NA")</f>
        <v>0</v>
      </c>
      <c r="P13" s="115">
        <v>0</v>
      </c>
      <c r="Q13" s="116">
        <f>IFERROR(P13/P148, "NA")</f>
        <v>0</v>
      </c>
      <c r="R13" s="115">
        <v>0</v>
      </c>
      <c r="S13" s="116">
        <f>IFERROR(R13/R148, "NA")</f>
        <v>0</v>
      </c>
      <c r="T13" s="115">
        <v>0</v>
      </c>
      <c r="U13" s="116">
        <f>IFERROR(T13/T148, "NA")</f>
        <v>0</v>
      </c>
      <c r="V13" s="115">
        <v>0</v>
      </c>
      <c r="W13" s="116">
        <f>IFERROR(V13/V148, "NA")</f>
        <v>0</v>
      </c>
      <c r="X13" s="115">
        <v>0</v>
      </c>
      <c r="Y13" s="116">
        <f>IFERROR(X13/X148, "NA")</f>
        <v>0</v>
      </c>
      <c r="Z13" s="115">
        <v>0</v>
      </c>
      <c r="AA13" s="116">
        <f>IFERROR(Z13/Z148, "NA")</f>
        <v>0</v>
      </c>
      <c r="AB13" s="117">
        <f>IFERROR((R13+T13+V13+X13)/4, "NA")</f>
        <v>0</v>
      </c>
      <c r="AC13" s="116">
        <f>IFERROR(AB13/AB148, "NA")</f>
        <v>0</v>
      </c>
      <c r="AD13" s="118">
        <f>IFERROR(X13-AB13, "NA")</f>
        <v>0</v>
      </c>
      <c r="AE13" s="119">
        <f>IFERROR(AD13/AD148, "NA")</f>
        <v>0</v>
      </c>
      <c r="AF13" s="118" t="str">
        <f>IFERROR((X13-AB13)/AB13, "NA")</f>
        <v>NA</v>
      </c>
      <c r="AG13" s="117">
        <f>IFERROR((J13+L13+N13+P13+R13+T13+V13+X13)/8, "NA")</f>
        <v>0</v>
      </c>
      <c r="AH13" s="116">
        <f>IFERROR(AG13/AG148, "NA")</f>
        <v>0</v>
      </c>
      <c r="AI13" s="118">
        <f>IFERROR(X13-AG13, "NA")</f>
        <v>0</v>
      </c>
      <c r="AJ13" s="119">
        <f>IFERROR(AI13/AI148, "NA")</f>
        <v>0</v>
      </c>
      <c r="AK13" s="118" t="str">
        <f>IFERROR((X13-AG13)/AG13, "NA")</f>
        <v>NA</v>
      </c>
      <c r="AL13" s="119" t="str">
        <f>IFERROR(AK13/AK148, "NA")</f>
        <v>NA</v>
      </c>
    </row>
    <row r="14" spans="1:38" ht="16.5" customHeight="1" x14ac:dyDescent="0.25">
      <c r="A14" s="6" t="s">
        <v>20</v>
      </c>
      <c r="B14" s="111"/>
      <c r="C14" s="112"/>
      <c r="D14" s="111"/>
      <c r="E14" s="112"/>
      <c r="F14" s="111"/>
      <c r="G14" s="112"/>
      <c r="H14" s="111"/>
      <c r="I14" s="112"/>
      <c r="J14" s="111"/>
      <c r="K14" s="112"/>
      <c r="L14" s="111"/>
      <c r="M14" s="112"/>
      <c r="N14" s="111"/>
      <c r="O14" s="112"/>
      <c r="P14" s="111"/>
      <c r="Q14" s="112"/>
      <c r="R14" s="111"/>
      <c r="S14" s="112"/>
      <c r="T14" s="111"/>
      <c r="U14" s="112"/>
      <c r="V14" s="111"/>
      <c r="W14" s="112"/>
      <c r="X14" s="111"/>
      <c r="Y14" s="112"/>
      <c r="Z14" s="111"/>
      <c r="AA14" s="112"/>
      <c r="AB14" s="111"/>
      <c r="AC14" s="112"/>
      <c r="AD14" s="113"/>
      <c r="AE14" s="114"/>
      <c r="AF14" s="113"/>
      <c r="AG14" s="111"/>
      <c r="AH14" s="112"/>
      <c r="AI14" s="113"/>
      <c r="AJ14" s="114"/>
      <c r="AK14" s="113"/>
      <c r="AL14" s="114"/>
    </row>
    <row r="15" spans="1:38" ht="16.5" hidden="1" customHeight="1" x14ac:dyDescent="0.25">
      <c r="A15" s="7" t="s">
        <v>21</v>
      </c>
      <c r="B15" s="115">
        <v>0</v>
      </c>
      <c r="C15" s="116">
        <f>IFERROR(B15/B148, "NA")</f>
        <v>0</v>
      </c>
      <c r="D15" s="115">
        <v>0</v>
      </c>
      <c r="E15" s="116">
        <f>IFERROR(D15/D148, "NA")</f>
        <v>0</v>
      </c>
      <c r="F15" s="115">
        <v>0</v>
      </c>
      <c r="G15" s="116">
        <f>IFERROR(F15/F148, "NA")</f>
        <v>0</v>
      </c>
      <c r="H15" s="115">
        <v>0</v>
      </c>
      <c r="I15" s="116">
        <f>IFERROR(H15/H148, "NA")</f>
        <v>0</v>
      </c>
      <c r="J15" s="115">
        <v>0</v>
      </c>
      <c r="K15" s="116">
        <f>IFERROR(J15/J148, "NA")</f>
        <v>0</v>
      </c>
      <c r="L15" s="115">
        <v>0</v>
      </c>
      <c r="M15" s="116">
        <f>IFERROR(L15/L148, "NA")</f>
        <v>0</v>
      </c>
      <c r="N15" s="115">
        <v>0</v>
      </c>
      <c r="O15" s="116">
        <f>IFERROR(N15/N148, "NA")</f>
        <v>0</v>
      </c>
      <c r="P15" s="115">
        <v>0</v>
      </c>
      <c r="Q15" s="116">
        <f>IFERROR(P15/P148, "NA")</f>
        <v>0</v>
      </c>
      <c r="R15" s="115">
        <v>0</v>
      </c>
      <c r="S15" s="116">
        <f>IFERROR(R15/R148, "NA")</f>
        <v>0</v>
      </c>
      <c r="T15" s="115">
        <v>0</v>
      </c>
      <c r="U15" s="116">
        <f>IFERROR(T15/T148, "NA")</f>
        <v>0</v>
      </c>
      <c r="V15" s="115">
        <v>0</v>
      </c>
      <c r="W15" s="116">
        <f>IFERROR(V15/V148, "NA")</f>
        <v>0</v>
      </c>
      <c r="X15" s="115">
        <v>0</v>
      </c>
      <c r="Y15" s="116">
        <f>IFERROR(X15/X148, "NA")</f>
        <v>0</v>
      </c>
      <c r="Z15" s="115">
        <v>0</v>
      </c>
      <c r="AA15" s="116">
        <f>IFERROR(Z15/Z148, "NA")</f>
        <v>0</v>
      </c>
      <c r="AB15" s="117">
        <f t="shared" ref="AB15:AB27" si="0">IFERROR((R15+T15+V15+X15)/4, "NA")</f>
        <v>0</v>
      </c>
      <c r="AC15" s="116">
        <f>IFERROR(AB15/AB148, "NA")</f>
        <v>0</v>
      </c>
      <c r="AD15" s="118">
        <f t="shared" ref="AD15:AD27" si="1">IFERROR(X15-AB15, "NA")</f>
        <v>0</v>
      </c>
      <c r="AE15" s="119">
        <f>IFERROR(AD15/AD148, "NA")</f>
        <v>0</v>
      </c>
      <c r="AF15" s="118" t="str">
        <f t="shared" ref="AF15:AF27" si="2">IFERROR((X15-AB15)/AB15, "NA")</f>
        <v>NA</v>
      </c>
      <c r="AG15" s="117">
        <f t="shared" ref="AG15:AG27" si="3">IFERROR((J15+L15+N15+P15+R15+T15+V15+X15)/8, "NA")</f>
        <v>0</v>
      </c>
      <c r="AH15" s="116">
        <f>IFERROR(AG15/AG148, "NA")</f>
        <v>0</v>
      </c>
      <c r="AI15" s="118">
        <f t="shared" ref="AI15:AI27" si="4">IFERROR(X15-AG15, "NA")</f>
        <v>0</v>
      </c>
      <c r="AJ15" s="119">
        <f>IFERROR(AI15/AI148, "NA")</f>
        <v>0</v>
      </c>
      <c r="AK15" s="118" t="str">
        <f t="shared" ref="AK15:AK27" si="5">IFERROR((X15-AG15)/AG15, "NA")</f>
        <v>NA</v>
      </c>
      <c r="AL15" s="119" t="str">
        <f>IFERROR(AK15/AK148, "NA")</f>
        <v>NA</v>
      </c>
    </row>
    <row r="16" spans="1:38" ht="16.5" customHeight="1" x14ac:dyDescent="0.25">
      <c r="A16" s="7" t="s">
        <v>22</v>
      </c>
      <c r="B16" s="115">
        <v>1714.77</v>
      </c>
      <c r="C16" s="116">
        <f>IFERROR(B16/B148, "NA")</f>
        <v>3.5694748358862147E-2</v>
      </c>
      <c r="D16" s="115">
        <v>2098.02</v>
      </c>
      <c r="E16" s="116">
        <f>IFERROR(D16/D148, "NA")</f>
        <v>5.0578574319781307E-2</v>
      </c>
      <c r="F16" s="115">
        <v>1917.76</v>
      </c>
      <c r="G16" s="116">
        <f>IFERROR(F16/F148, "NA")</f>
        <v>3.8462286698626315E-2</v>
      </c>
      <c r="H16" s="115">
        <v>2181.1</v>
      </c>
      <c r="I16" s="116">
        <f>IFERROR(H16/H148, "NA")</f>
        <v>4.2627550402177673E-2</v>
      </c>
      <c r="J16" s="115">
        <v>1595.25</v>
      </c>
      <c r="K16" s="116">
        <f>IFERROR(J16/J148, "NA")</f>
        <v>3.3672204858718163E-2</v>
      </c>
      <c r="L16" s="115">
        <v>1850.78</v>
      </c>
      <c r="M16" s="116">
        <f>IFERROR(L16/L148, "NA")</f>
        <v>4.1976805001707848E-2</v>
      </c>
      <c r="N16" s="115">
        <v>1432.03</v>
      </c>
      <c r="O16" s="116">
        <f>IFERROR(N16/N148, "NA")</f>
        <v>2.8888439701890457E-2</v>
      </c>
      <c r="P16" s="115">
        <v>1684.72</v>
      </c>
      <c r="Q16" s="116">
        <f>IFERROR(P16/P148, "NA")</f>
        <v>4.0648044757436816E-2</v>
      </c>
      <c r="R16" s="115">
        <v>1391.59</v>
      </c>
      <c r="S16" s="116">
        <f>IFERROR(R16/R148, "NA")</f>
        <v>3.5779638421478223E-2</v>
      </c>
      <c r="T16" s="115">
        <v>1564.08</v>
      </c>
      <c r="U16" s="116">
        <f>IFERROR(T16/T148, "NA")</f>
        <v>3.5875731354978166E-2</v>
      </c>
      <c r="V16" s="115">
        <v>1908.1</v>
      </c>
      <c r="W16" s="116">
        <f>IFERROR(V16/V148, "NA")</f>
        <v>3.9860170829900413E-2</v>
      </c>
      <c r="X16" s="115">
        <v>1859.03</v>
      </c>
      <c r="Y16" s="116">
        <f>IFERROR(X16/X148, "NA")</f>
        <v>3.3779123348683597E-2</v>
      </c>
      <c r="Z16" s="115">
        <v>3767.13</v>
      </c>
      <c r="AA16" s="116">
        <f>IFERROR(Z16/Z148, "NA")</f>
        <v>3.6607941793146123E-2</v>
      </c>
      <c r="AB16" s="117">
        <f t="shared" si="0"/>
        <v>1680.7</v>
      </c>
      <c r="AC16" s="116">
        <f>IFERROR(AB16/AB148, "NA")</f>
        <v>3.6261990127793471E-2</v>
      </c>
      <c r="AD16" s="118">
        <f t="shared" si="1"/>
        <v>178.32999999999993</v>
      </c>
      <c r="AE16" s="119">
        <f>IFERROR(AD16/AD148, "NA")</f>
        <v>2.053056775660116E-2</v>
      </c>
      <c r="AF16" s="118">
        <f t="shared" si="2"/>
        <v>0.10610459927411194</v>
      </c>
      <c r="AG16" s="117">
        <f t="shared" si="3"/>
        <v>1660.6975000000002</v>
      </c>
      <c r="AH16" s="116">
        <f>IFERROR(AG16/AG148, "NA")</f>
        <v>3.61139743698475E-2</v>
      </c>
      <c r="AI16" s="118">
        <f t="shared" si="4"/>
        <v>198.33249999999975</v>
      </c>
      <c r="AJ16" s="119">
        <f>IFERROR(AI16/AI148, "NA")</f>
        <v>2.1915241801639306E-2</v>
      </c>
      <c r="AK16" s="118">
        <f t="shared" si="5"/>
        <v>0.11942722861929986</v>
      </c>
      <c r="AL16" s="119">
        <f>IFERROR(AK16/AK148, "NA")</f>
        <v>0.606835502988475</v>
      </c>
    </row>
    <row r="17" spans="1:38" ht="16.5" customHeight="1" x14ac:dyDescent="0.25">
      <c r="A17" s="7" t="s">
        <v>23</v>
      </c>
      <c r="B17" s="115">
        <v>1125.1199999999999</v>
      </c>
      <c r="C17" s="116">
        <f>IFERROR(B17/B148, "NA")</f>
        <v>2.3420560934424427E-2</v>
      </c>
      <c r="D17" s="115">
        <v>1264.8399999999999</v>
      </c>
      <c r="E17" s="116">
        <f>IFERROR(D17/D148, "NA")</f>
        <v>3.0492466202720749E-2</v>
      </c>
      <c r="F17" s="115">
        <v>1046.3599999999999</v>
      </c>
      <c r="G17" s="116">
        <f>IFERROR(F17/F148, "NA")</f>
        <v>2.0985628185995447E-2</v>
      </c>
      <c r="H17" s="115">
        <v>938.94</v>
      </c>
      <c r="I17" s="116">
        <f>IFERROR(H17/H148, "NA")</f>
        <v>1.8350700185512221E-2</v>
      </c>
      <c r="J17" s="115">
        <v>1391.84</v>
      </c>
      <c r="K17" s="116">
        <f>IFERROR(J17/J148, "NA")</f>
        <v>2.9378668929984818E-2</v>
      </c>
      <c r="L17" s="115">
        <v>1097.3499999999999</v>
      </c>
      <c r="M17" s="116">
        <f>IFERROR(L17/L148, "NA")</f>
        <v>2.4888558860925721E-2</v>
      </c>
      <c r="N17" s="115">
        <v>1061.22</v>
      </c>
      <c r="O17" s="116">
        <f>IFERROR(N17/N148, "NA")</f>
        <v>2.1408064063211101E-2</v>
      </c>
      <c r="P17" s="115">
        <v>1057.67</v>
      </c>
      <c r="Q17" s="116">
        <f>IFERROR(P17/P148, "NA")</f>
        <v>2.5518909669617621E-2</v>
      </c>
      <c r="R17" s="115">
        <v>923.85</v>
      </c>
      <c r="S17" s="116">
        <f>IFERROR(R17/R148, "NA")</f>
        <v>2.3753418000763627E-2</v>
      </c>
      <c r="T17" s="115">
        <v>1247.3699999999999</v>
      </c>
      <c r="U17" s="116">
        <f>IFERROR(T17/T148, "NA")</f>
        <v>2.8611267339432197E-2</v>
      </c>
      <c r="V17" s="115">
        <v>1085.19</v>
      </c>
      <c r="W17" s="116">
        <f>IFERROR(V17/V148, "NA")</f>
        <v>2.2669597391593542E-2</v>
      </c>
      <c r="X17" s="115">
        <v>1144.52</v>
      </c>
      <c r="Y17" s="116">
        <f>IFERROR(X17/X148, "NA")</f>
        <v>2.0796265931714578E-2</v>
      </c>
      <c r="Z17" s="115">
        <v>2229.71</v>
      </c>
      <c r="AA17" s="116">
        <f>IFERROR(Z17/Z148, "NA")</f>
        <v>2.1667713589813956E-2</v>
      </c>
      <c r="AB17" s="117">
        <f t="shared" si="0"/>
        <v>1100.2325000000001</v>
      </c>
      <c r="AC17" s="116">
        <f>IFERROR(AB17/AB148, "NA")</f>
        <v>2.3738097253095454E-2</v>
      </c>
      <c r="AD17" s="118">
        <f t="shared" si="1"/>
        <v>44.287499999999909</v>
      </c>
      <c r="AE17" s="119">
        <f>IFERROR(AD17/AD148, "NA")</f>
        <v>5.0986795240311354E-3</v>
      </c>
      <c r="AF17" s="118">
        <f t="shared" si="2"/>
        <v>4.0252855646420102E-2</v>
      </c>
      <c r="AG17" s="117">
        <f t="shared" si="3"/>
        <v>1126.12625</v>
      </c>
      <c r="AH17" s="116">
        <f>IFERROR(AG17/AG148, "NA")</f>
        <v>2.4489044229736287E-2</v>
      </c>
      <c r="AI17" s="118">
        <f t="shared" si="4"/>
        <v>18.393749999999955</v>
      </c>
      <c r="AJ17" s="119">
        <f>IFERROR(AI17/AI148, "NA")</f>
        <v>2.0324630551669669E-3</v>
      </c>
      <c r="AK17" s="118">
        <f t="shared" si="5"/>
        <v>1.6333648203298658E-2</v>
      </c>
      <c r="AL17" s="119">
        <f>IFERROR(AK17/AK148, "NA")</f>
        <v>8.2994788857419358E-2</v>
      </c>
    </row>
    <row r="18" spans="1:38" ht="16.5" customHeight="1" x14ac:dyDescent="0.25">
      <c r="A18" s="7" t="s">
        <v>24</v>
      </c>
      <c r="B18" s="115">
        <v>1395</v>
      </c>
      <c r="C18" s="116">
        <f>IFERROR(B18/B148, "NA")</f>
        <v>2.9038398129552473E-2</v>
      </c>
      <c r="D18" s="115">
        <v>1290.43</v>
      </c>
      <c r="E18" s="116">
        <f>IFERROR(D18/D148, "NA")</f>
        <v>3.1109383923640099E-2</v>
      </c>
      <c r="F18" s="115">
        <v>1734.51</v>
      </c>
      <c r="G18" s="116">
        <f>IFERROR(F18/F148, "NA")</f>
        <v>3.4787054116069964E-2</v>
      </c>
      <c r="H18" s="115">
        <v>1379.1</v>
      </c>
      <c r="I18" s="116">
        <f>IFERROR(H18/H148, "NA")</f>
        <v>2.6953213864400177E-2</v>
      </c>
      <c r="J18" s="115">
        <v>1325.44</v>
      </c>
      <c r="K18" s="116">
        <f>IFERROR(J18/J148, "NA")</f>
        <v>2.7977111554890705E-2</v>
      </c>
      <c r="L18" s="115">
        <v>1334.53</v>
      </c>
      <c r="M18" s="116">
        <f>IFERROR(L18/L148, "NA")</f>
        <v>3.0267944098666063E-2</v>
      </c>
      <c r="N18" s="115">
        <v>1669.82</v>
      </c>
      <c r="O18" s="116">
        <f>IFERROR(N18/N148, "NA")</f>
        <v>3.368539372988745E-2</v>
      </c>
      <c r="P18" s="115">
        <v>1246.3800000000001</v>
      </c>
      <c r="Q18" s="116">
        <f>IFERROR(P18/P148, "NA")</f>
        <v>3.0072006045380895E-2</v>
      </c>
      <c r="R18" s="115">
        <v>1149.1300000000001</v>
      </c>
      <c r="S18" s="116">
        <f>IFERROR(R18/R148, "NA")</f>
        <v>2.954566783267577E-2</v>
      </c>
      <c r="T18" s="115">
        <v>1305.3800000000001</v>
      </c>
      <c r="U18" s="116">
        <f>IFERROR(T18/T148, "NA")</f>
        <v>2.9941858598128868E-2</v>
      </c>
      <c r="V18" s="115">
        <v>1602.78</v>
      </c>
      <c r="W18" s="116">
        <f>IFERROR(V18/V148, "NA")</f>
        <v>3.3482042137596452E-2</v>
      </c>
      <c r="X18" s="115">
        <v>1720.04</v>
      </c>
      <c r="Y18" s="116">
        <f>IFERROR(X18/X148, "NA")</f>
        <v>3.1253634058982231E-2</v>
      </c>
      <c r="Z18" s="115">
        <v>3322.82</v>
      </c>
      <c r="AA18" s="116">
        <f>IFERROR(Z18/Z148, "NA")</f>
        <v>3.2290258406028415E-2</v>
      </c>
      <c r="AB18" s="117">
        <f t="shared" si="0"/>
        <v>1444.3325</v>
      </c>
      <c r="AC18" s="116">
        <f>IFERROR(AB18/AB148, "NA")</f>
        <v>3.1162236482567537E-2</v>
      </c>
      <c r="AD18" s="118">
        <f t="shared" si="1"/>
        <v>275.70749999999998</v>
      </c>
      <c r="AE18" s="119">
        <f>IFERROR(AD18/AD148, "NA")</f>
        <v>3.1741330733769509E-2</v>
      </c>
      <c r="AF18" s="118">
        <f t="shared" si="2"/>
        <v>0.1908892169912399</v>
      </c>
      <c r="AG18" s="117">
        <f t="shared" si="3"/>
        <v>1419.1875</v>
      </c>
      <c r="AH18" s="116">
        <f>IFERROR(AG18/AG148, "NA")</f>
        <v>3.0862032971692887E-2</v>
      </c>
      <c r="AI18" s="118">
        <f t="shared" si="4"/>
        <v>300.85249999999996</v>
      </c>
      <c r="AJ18" s="119">
        <f>IFERROR(AI18/AI148, "NA")</f>
        <v>3.3243443631919611E-2</v>
      </c>
      <c r="AK18" s="118">
        <f t="shared" si="5"/>
        <v>0.2119892544149381</v>
      </c>
      <c r="AL18" s="119">
        <f>IFERROR(AK18/AK148, "NA")</f>
        <v>1.0771631169732399</v>
      </c>
    </row>
    <row r="19" spans="1:38" ht="16.5" customHeight="1" x14ac:dyDescent="0.25">
      <c r="A19" s="7" t="s">
        <v>25</v>
      </c>
      <c r="B19" s="115">
        <v>1073.48</v>
      </c>
      <c r="C19" s="116">
        <f>IFERROR(B19/B148, "NA")</f>
        <v>2.2345619802230817E-2</v>
      </c>
      <c r="D19" s="115">
        <v>653.54999999999995</v>
      </c>
      <c r="E19" s="116">
        <f>IFERROR(D19/D148, "NA")</f>
        <v>1.5755630187840475E-2</v>
      </c>
      <c r="F19" s="115">
        <v>1034.21</v>
      </c>
      <c r="G19" s="116">
        <f>IFERROR(F19/F148, "NA")</f>
        <v>2.0741949736456242E-2</v>
      </c>
      <c r="H19" s="115">
        <v>785.76</v>
      </c>
      <c r="I19" s="116">
        <f>IFERROR(H19/H148, "NA")</f>
        <v>1.5356940994917762E-2</v>
      </c>
      <c r="J19" s="115">
        <v>995.27</v>
      </c>
      <c r="K19" s="116">
        <f>IFERROR(J19/J148, "NA")</f>
        <v>2.1007951938402398E-2</v>
      </c>
      <c r="L19" s="115">
        <v>924.27</v>
      </c>
      <c r="M19" s="116">
        <f>IFERROR(L19/L148, "NA")</f>
        <v>2.0963000226352408E-2</v>
      </c>
      <c r="N19" s="115">
        <v>965.2</v>
      </c>
      <c r="O19" s="116">
        <f>IFERROR(N19/N148, "NA")</f>
        <v>1.9471045997824538E-2</v>
      </c>
      <c r="P19" s="115">
        <v>754.02</v>
      </c>
      <c r="Q19" s="116">
        <f>IFERROR(P19/P148, "NA")</f>
        <v>1.8192600971082735E-2</v>
      </c>
      <c r="R19" s="115">
        <v>958.38</v>
      </c>
      <c r="S19" s="116">
        <f>IFERROR(R19/R148, "NA")</f>
        <v>2.4641230441707903E-2</v>
      </c>
      <c r="T19" s="115">
        <v>833.27</v>
      </c>
      <c r="U19" s="116">
        <f>IFERROR(T19/T148, "NA")</f>
        <v>1.9112942219172074E-2</v>
      </c>
      <c r="V19" s="115">
        <v>1164.6300000000001</v>
      </c>
      <c r="W19" s="116">
        <f>IFERROR(V19/V148, "NA")</f>
        <v>2.4329097402456333E-2</v>
      </c>
      <c r="X19" s="115">
        <v>893.29</v>
      </c>
      <c r="Y19" s="116">
        <f>IFERROR(X19/X148, "NA")</f>
        <v>1.6231342741185227E-2</v>
      </c>
      <c r="Z19" s="115">
        <v>2057.92</v>
      </c>
      <c r="AA19" s="116">
        <f>IFERROR(Z19/Z148, "NA")</f>
        <v>1.9998305228370476E-2</v>
      </c>
      <c r="AB19" s="117">
        <f t="shared" si="0"/>
        <v>962.39250000000004</v>
      </c>
      <c r="AC19" s="116">
        <f>IFERROR(AB19/AB148, "NA")</f>
        <v>2.0764126455680657E-2</v>
      </c>
      <c r="AD19" s="118">
        <f t="shared" si="1"/>
        <v>-69.102500000000077</v>
      </c>
      <c r="AE19" s="119">
        <f>IFERROR(AD19/AD148, "NA")</f>
        <v>-7.9555518331213704E-3</v>
      </c>
      <c r="AF19" s="118">
        <f t="shared" si="2"/>
        <v>-7.1802824731073939E-2</v>
      </c>
      <c r="AG19" s="117">
        <f t="shared" si="3"/>
        <v>936.04124999999999</v>
      </c>
      <c r="AH19" s="116">
        <f>IFERROR(AG19/AG148, "NA")</f>
        <v>2.0355404708937066E-2</v>
      </c>
      <c r="AI19" s="118">
        <f t="shared" si="4"/>
        <v>-42.751250000000027</v>
      </c>
      <c r="AJ19" s="119">
        <f>IFERROR(AI19/AI148, "NA")</f>
        <v>-4.7239054671944043E-3</v>
      </c>
      <c r="AK19" s="118">
        <f t="shared" si="5"/>
        <v>-4.5672399587090878E-2</v>
      </c>
      <c r="AL19" s="119">
        <f>IFERROR(AK19/AK148, "NA")</f>
        <v>-0.23207131151366236</v>
      </c>
    </row>
    <row r="20" spans="1:38" ht="16.5" customHeight="1" x14ac:dyDescent="0.25">
      <c r="A20" s="7" t="s">
        <v>26</v>
      </c>
      <c r="B20" s="115">
        <v>593.52</v>
      </c>
      <c r="C20" s="116">
        <f>IFERROR(B20/B148, "NA")</f>
        <v>1.2354745561184217E-2</v>
      </c>
      <c r="D20" s="115">
        <v>549.02</v>
      </c>
      <c r="E20" s="116">
        <f>IFERROR(D20/D148, "NA")</f>
        <v>1.3235645452877634E-2</v>
      </c>
      <c r="F20" s="115">
        <v>581.52</v>
      </c>
      <c r="G20" s="116">
        <f>IFERROR(F20/F148, "NA")</f>
        <v>1.1662871767575283E-2</v>
      </c>
      <c r="H20" s="115">
        <v>943.81</v>
      </c>
      <c r="I20" s="116">
        <f>IFERROR(H20/H148, "NA")</f>
        <v>1.8445879760249098E-2</v>
      </c>
      <c r="J20" s="115">
        <v>513.5</v>
      </c>
      <c r="K20" s="116">
        <f>IFERROR(J20/J148, "NA")</f>
        <v>1.0838851086006442E-2</v>
      </c>
      <c r="L20" s="115">
        <v>763.72</v>
      </c>
      <c r="M20" s="116">
        <f>IFERROR(L20/L148, "NA")</f>
        <v>1.7321629537764789E-2</v>
      </c>
      <c r="N20" s="115">
        <v>419.33</v>
      </c>
      <c r="O20" s="116">
        <f>IFERROR(N20/N148, "NA")</f>
        <v>8.4591729364564463E-3</v>
      </c>
      <c r="P20" s="115">
        <v>597.42999999999995</v>
      </c>
      <c r="Q20" s="116">
        <f>IFERROR(P20/P148, "NA")</f>
        <v>1.4414479189085115E-2</v>
      </c>
      <c r="R20" s="115">
        <v>726.42</v>
      </c>
      <c r="S20" s="116">
        <f>IFERROR(R20/R148, "NA")</f>
        <v>1.8677228883600922E-2</v>
      </c>
      <c r="T20" s="115">
        <v>791.75</v>
      </c>
      <c r="U20" s="116">
        <f>IFERROR(T20/T148, "NA")</f>
        <v>1.8160586607017519E-2</v>
      </c>
      <c r="V20" s="115">
        <v>448.06</v>
      </c>
      <c r="W20" s="116">
        <f>IFERROR(V20/V148, "NA")</f>
        <v>9.3599644368980561E-3</v>
      </c>
      <c r="X20" s="115">
        <v>870.18</v>
      </c>
      <c r="Y20" s="116">
        <f>IFERROR(X20/X148, "NA")</f>
        <v>1.5811427225788446E-2</v>
      </c>
      <c r="Z20" s="115">
        <v>1318.24</v>
      </c>
      <c r="AA20" s="116">
        <f>IFERROR(Z20/Z148, "NA")</f>
        <v>1.2810296748292984E-2</v>
      </c>
      <c r="AB20" s="117">
        <f t="shared" si="0"/>
        <v>709.10249999999996</v>
      </c>
      <c r="AC20" s="116">
        <f>IFERROR(AB20/AB148, "NA")</f>
        <v>1.5299260935677792E-2</v>
      </c>
      <c r="AD20" s="118">
        <f t="shared" si="1"/>
        <v>161.07749999999999</v>
      </c>
      <c r="AE20" s="119">
        <f>IFERROR(AD20/AD148, "NA")</f>
        <v>1.8544342106285677E-2</v>
      </c>
      <c r="AF20" s="118">
        <f t="shared" si="2"/>
        <v>0.22715686378203431</v>
      </c>
      <c r="AG20" s="117">
        <f t="shared" si="3"/>
        <v>641.29875000000004</v>
      </c>
      <c r="AH20" s="116">
        <f>IFERROR(AG20/AG148, "NA")</f>
        <v>1.3945855052419383E-2</v>
      </c>
      <c r="AI20" s="118">
        <f t="shared" si="4"/>
        <v>228.88124999999991</v>
      </c>
      <c r="AJ20" s="119">
        <f>IFERROR(AI20/AI148, "NA")</f>
        <v>2.5290801747628152E-2</v>
      </c>
      <c r="AK20" s="118">
        <f t="shared" si="5"/>
        <v>0.35690269160824012</v>
      </c>
      <c r="AL20" s="119">
        <f>IFERROR(AK20/AK148, "NA")</f>
        <v>1.8134995418040429</v>
      </c>
    </row>
    <row r="21" spans="1:38" ht="16.5" customHeight="1" x14ac:dyDescent="0.25">
      <c r="A21" s="7" t="s">
        <v>27</v>
      </c>
      <c r="B21" s="115">
        <v>525.52</v>
      </c>
      <c r="C21" s="116">
        <f>IFERROR(B21/B148, "NA")</f>
        <v>1.0939253752718578E-2</v>
      </c>
      <c r="D21" s="115">
        <v>394.77</v>
      </c>
      <c r="E21" s="116">
        <f>IFERROR(D21/D148, "NA")</f>
        <v>9.5170226138073365E-3</v>
      </c>
      <c r="F21" s="115">
        <v>500.48</v>
      </c>
      <c r="G21" s="116">
        <f>IFERROR(F21/F148, "NA")</f>
        <v>1.0037546537068506E-2</v>
      </c>
      <c r="H21" s="115">
        <v>485.93</v>
      </c>
      <c r="I21" s="116">
        <f>IFERROR(H21/H148, "NA")</f>
        <v>9.4970453289304462E-3</v>
      </c>
      <c r="J21" s="115">
        <v>606.97</v>
      </c>
      <c r="K21" s="116">
        <f>IFERROR(J21/J148, "NA")</f>
        <v>1.2811796384952931E-2</v>
      </c>
      <c r="L21" s="115">
        <v>338.99</v>
      </c>
      <c r="M21" s="116">
        <f>IFERROR(L21/L148, "NA")</f>
        <v>7.688497351132465E-3</v>
      </c>
      <c r="N21" s="115">
        <v>417.92</v>
      </c>
      <c r="O21" s="116">
        <f>IFERROR(N21/N148, "NA")</f>
        <v>8.4307289094600404E-3</v>
      </c>
      <c r="P21" s="115">
        <v>391.1</v>
      </c>
      <c r="Q21" s="116">
        <f>IFERROR(P21/P148, "NA")</f>
        <v>9.4362566507393154E-3</v>
      </c>
      <c r="R21" s="115">
        <v>438.55</v>
      </c>
      <c r="S21" s="116">
        <f>IFERROR(R21/R148, "NA")</f>
        <v>1.1275706515381165E-2</v>
      </c>
      <c r="T21" s="115">
        <v>262.24</v>
      </c>
      <c r="U21" s="116">
        <f>IFERROR(T21/T148, "NA")</f>
        <v>6.0150707064405111E-3</v>
      </c>
      <c r="V21" s="115">
        <v>623.86</v>
      </c>
      <c r="W21" s="116">
        <f>IFERROR(V21/V148, "NA")</f>
        <v>1.3032422920151812E-2</v>
      </c>
      <c r="X21" s="115">
        <v>412.45</v>
      </c>
      <c r="Y21" s="116">
        <f>IFERROR(X21/X148, "NA")</f>
        <v>7.4943381361056846E-3</v>
      </c>
      <c r="Z21" s="115">
        <v>1036.31</v>
      </c>
      <c r="AA21" s="116">
        <f>IFERROR(Z21/Z148, "NA")</f>
        <v>1.0070577909351485E-2</v>
      </c>
      <c r="AB21" s="117">
        <f t="shared" si="0"/>
        <v>434.27500000000003</v>
      </c>
      <c r="AC21" s="116">
        <f>IFERROR(AB21/AB148, "NA")</f>
        <v>9.3697124785788715E-3</v>
      </c>
      <c r="AD21" s="118">
        <f t="shared" si="1"/>
        <v>-21.825000000000045</v>
      </c>
      <c r="AE21" s="119">
        <f>IFERROR(AD21/AD148, "NA")</f>
        <v>-2.5126430846622635E-3</v>
      </c>
      <c r="AF21" s="118">
        <f t="shared" si="2"/>
        <v>-5.0256174083242289E-2</v>
      </c>
      <c r="AG21" s="117">
        <f t="shared" si="3"/>
        <v>436.51000000000005</v>
      </c>
      <c r="AH21" s="116">
        <f>IFERROR(AG21/AG148, "NA")</f>
        <v>9.4924638305182805E-3</v>
      </c>
      <c r="AI21" s="118">
        <f t="shared" si="4"/>
        <v>-24.060000000000059</v>
      </c>
      <c r="AJ21" s="119">
        <f>IFERROR(AI21/AI148, "NA")</f>
        <v>-2.6585694112031245E-3</v>
      </c>
      <c r="AK21" s="118">
        <f t="shared" si="5"/>
        <v>-5.5119012164669898E-2</v>
      </c>
      <c r="AL21" s="119">
        <f>IFERROR(AK21/AK148, "NA")</f>
        <v>-0.28007158717379788</v>
      </c>
    </row>
    <row r="22" spans="1:38" ht="16.5" hidden="1" customHeight="1" x14ac:dyDescent="0.25">
      <c r="A22" s="7" t="s">
        <v>28</v>
      </c>
      <c r="B22" s="115">
        <v>0</v>
      </c>
      <c r="C22" s="116">
        <f>IFERROR(B22/B148, "NA")</f>
        <v>0</v>
      </c>
      <c r="D22" s="115">
        <v>0</v>
      </c>
      <c r="E22" s="116">
        <f>IFERROR(D22/D148, "NA")</f>
        <v>0</v>
      </c>
      <c r="F22" s="115">
        <v>0</v>
      </c>
      <c r="G22" s="116">
        <f>IFERROR(F22/F148, "NA")</f>
        <v>0</v>
      </c>
      <c r="H22" s="115">
        <v>0</v>
      </c>
      <c r="I22" s="116">
        <f>IFERROR(H22/H148, "NA")</f>
        <v>0</v>
      </c>
      <c r="J22" s="115">
        <v>0</v>
      </c>
      <c r="K22" s="116">
        <f>IFERROR(J22/J148, "NA")</f>
        <v>0</v>
      </c>
      <c r="L22" s="115">
        <v>0</v>
      </c>
      <c r="M22" s="116">
        <f>IFERROR(L22/L148, "NA")</f>
        <v>0</v>
      </c>
      <c r="N22" s="115">
        <v>0</v>
      </c>
      <c r="O22" s="116">
        <f>IFERROR(N22/N148, "NA")</f>
        <v>0</v>
      </c>
      <c r="P22" s="115">
        <v>0</v>
      </c>
      <c r="Q22" s="116">
        <f>IFERROR(P22/P148, "NA")</f>
        <v>0</v>
      </c>
      <c r="R22" s="115">
        <v>0</v>
      </c>
      <c r="S22" s="116">
        <f>IFERROR(R22/R148, "NA")</f>
        <v>0</v>
      </c>
      <c r="T22" s="115">
        <v>0</v>
      </c>
      <c r="U22" s="116">
        <f>IFERROR(T22/T148, "NA")</f>
        <v>0</v>
      </c>
      <c r="V22" s="115">
        <v>0</v>
      </c>
      <c r="W22" s="116">
        <f>IFERROR(V22/V148, "NA")</f>
        <v>0</v>
      </c>
      <c r="X22" s="115">
        <v>0</v>
      </c>
      <c r="Y22" s="116">
        <f>IFERROR(X22/X148, "NA")</f>
        <v>0</v>
      </c>
      <c r="Z22" s="115">
        <v>0</v>
      </c>
      <c r="AA22" s="116">
        <f>IFERROR(Z22/Z148, "NA")</f>
        <v>0</v>
      </c>
      <c r="AB22" s="117">
        <f t="shared" si="0"/>
        <v>0</v>
      </c>
      <c r="AC22" s="116">
        <f>IFERROR(AB22/AB148, "NA")</f>
        <v>0</v>
      </c>
      <c r="AD22" s="118">
        <f t="shared" si="1"/>
        <v>0</v>
      </c>
      <c r="AE22" s="119">
        <f>IFERROR(AD22/AD148, "NA")</f>
        <v>0</v>
      </c>
      <c r="AF22" s="118" t="str">
        <f t="shared" si="2"/>
        <v>NA</v>
      </c>
      <c r="AG22" s="117">
        <f t="shared" si="3"/>
        <v>0</v>
      </c>
      <c r="AH22" s="116">
        <f>IFERROR(AG22/AG148, "NA")</f>
        <v>0</v>
      </c>
      <c r="AI22" s="118">
        <f t="shared" si="4"/>
        <v>0</v>
      </c>
      <c r="AJ22" s="119">
        <f>IFERROR(AI22/AI148, "NA")</f>
        <v>0</v>
      </c>
      <c r="AK22" s="118" t="str">
        <f t="shared" si="5"/>
        <v>NA</v>
      </c>
      <c r="AL22" s="119" t="str">
        <f>IFERROR(AK22/AK148, "NA")</f>
        <v>NA</v>
      </c>
    </row>
    <row r="23" spans="1:38" ht="16.5" customHeight="1" x14ac:dyDescent="0.25">
      <c r="A23" s="7" t="s">
        <v>29</v>
      </c>
      <c r="B23" s="115">
        <v>261</v>
      </c>
      <c r="C23" s="116">
        <f>IFERROR(B23/B148, "NA")</f>
        <v>5.4329906177872367E-3</v>
      </c>
      <c r="D23" s="115">
        <v>160.02000000000001</v>
      </c>
      <c r="E23" s="116">
        <f>IFERROR(D23/D148, "NA")</f>
        <v>3.8577246464053753E-3</v>
      </c>
      <c r="F23" s="115">
        <v>535.89</v>
      </c>
      <c r="G23" s="116">
        <f>IFERROR(F23/F148, "NA")</f>
        <v>1.0747723812639149E-2</v>
      </c>
      <c r="H23" s="115">
        <v>224.58</v>
      </c>
      <c r="I23" s="116">
        <f>IFERROR(H23/H148, "NA")</f>
        <v>4.3892051117881171E-3</v>
      </c>
      <c r="J23" s="115">
        <v>74.47</v>
      </c>
      <c r="K23" s="116">
        <f>IFERROR(J23/J148, "NA")</f>
        <v>1.5718972548683537E-3</v>
      </c>
      <c r="L23" s="115">
        <v>282.38</v>
      </c>
      <c r="M23" s="116">
        <f>IFERROR(L23/L148, "NA")</f>
        <v>6.4045484586943138E-3</v>
      </c>
      <c r="N23" s="115">
        <v>184.38</v>
      </c>
      <c r="O23" s="116">
        <f>IFERROR(N23/N148, "NA")</f>
        <v>3.7195104238281059E-3</v>
      </c>
      <c r="P23" s="115">
        <v>234.84</v>
      </c>
      <c r="Q23" s="116">
        <f>IFERROR(P23/P148, "NA")</f>
        <v>5.6660969364858626E-3</v>
      </c>
      <c r="R23" s="115">
        <v>459.69</v>
      </c>
      <c r="S23" s="116">
        <f>IFERROR(R23/R148, "NA")</f>
        <v>1.1819244163848061E-2</v>
      </c>
      <c r="T23" s="115">
        <v>234.29</v>
      </c>
      <c r="U23" s="116">
        <f>IFERROR(T23/T148, "NA")</f>
        <v>5.3739739010522699E-3</v>
      </c>
      <c r="V23" s="115">
        <v>139.02000000000001</v>
      </c>
      <c r="W23" s="116">
        <f>IFERROR(V23/V148, "NA")</f>
        <v>2.9041250190098822E-3</v>
      </c>
      <c r="X23" s="115">
        <v>301.31</v>
      </c>
      <c r="Y23" s="116">
        <f>IFERROR(X23/X148, "NA")</f>
        <v>5.4748915596799707E-3</v>
      </c>
      <c r="Z23" s="115">
        <v>440.33</v>
      </c>
      <c r="AA23" s="116">
        <f>IFERROR(Z23/Z148, "NA")</f>
        <v>4.2790068327283725E-3</v>
      </c>
      <c r="AB23" s="117">
        <f t="shared" si="0"/>
        <v>283.57749999999999</v>
      </c>
      <c r="AC23" s="116">
        <f>IFERROR(AB23/AB148, "NA")</f>
        <v>6.1183343282348738E-3</v>
      </c>
      <c r="AD23" s="118">
        <f t="shared" si="1"/>
        <v>17.732500000000016</v>
      </c>
      <c r="AE23" s="119">
        <f>IFERROR(AD23/AD148, "NA")</f>
        <v>2.0414865291534267E-3</v>
      </c>
      <c r="AF23" s="118">
        <f t="shared" si="2"/>
        <v>6.2531406758293648E-2</v>
      </c>
      <c r="AG23" s="117">
        <f t="shared" si="3"/>
        <v>238.79749999999999</v>
      </c>
      <c r="AH23" s="116">
        <f>IFERROR(AG23/AG148, "NA")</f>
        <v>5.1929546438069891E-3</v>
      </c>
      <c r="AI23" s="118">
        <f t="shared" si="4"/>
        <v>62.512500000000017</v>
      </c>
      <c r="AJ23" s="119">
        <f>IFERROR(AI23/AI148, "NA")</f>
        <v>6.9074738286714439E-3</v>
      </c>
      <c r="AK23" s="118">
        <f t="shared" si="5"/>
        <v>0.26178037877280969</v>
      </c>
      <c r="AL23" s="119">
        <f>IFERROR(AK23/AK148, "NA")</f>
        <v>1.3301625572465099</v>
      </c>
    </row>
    <row r="24" spans="1:38" ht="16.5" customHeight="1" x14ac:dyDescent="0.25">
      <c r="A24" s="7" t="s">
        <v>30</v>
      </c>
      <c r="B24" s="115">
        <v>2429.73</v>
      </c>
      <c r="C24" s="116">
        <f>IFERROR(B24/B148, "NA")</f>
        <v>5.0577395761517943E-2</v>
      </c>
      <c r="D24" s="115">
        <v>2512.91</v>
      </c>
      <c r="E24" s="116">
        <f>IFERROR(D24/D148, "NA")</f>
        <v>6.0580645176843709E-2</v>
      </c>
      <c r="F24" s="115">
        <v>2734.04</v>
      </c>
      <c r="G24" s="116">
        <f>IFERROR(F24/F148, "NA")</f>
        <v>5.4833467339767378E-2</v>
      </c>
      <c r="H24" s="115">
        <v>2908.93</v>
      </c>
      <c r="I24" s="116">
        <f>IFERROR(H24/H148, "NA")</f>
        <v>5.685230397111856E-2</v>
      </c>
      <c r="J24" s="115">
        <v>2811.2</v>
      </c>
      <c r="K24" s="116">
        <f>IFERROR(J24/J148, "NA")</f>
        <v>5.9338224290129124E-2</v>
      </c>
      <c r="L24" s="115">
        <v>2216.1999999999998</v>
      </c>
      <c r="M24" s="116">
        <f>IFERROR(L24/L148, "NA")</f>
        <v>5.0264750669871579E-2</v>
      </c>
      <c r="N24" s="115">
        <v>2362.21</v>
      </c>
      <c r="O24" s="116">
        <f>IFERROR(N24/N148, "NA")</f>
        <v>4.7653024830626917E-2</v>
      </c>
      <c r="P24" s="115">
        <v>2413.1</v>
      </c>
      <c r="Q24" s="116">
        <f>IFERROR(P24/P148, "NA")</f>
        <v>5.8222017192275738E-2</v>
      </c>
      <c r="R24" s="115">
        <v>2328.41</v>
      </c>
      <c r="S24" s="116">
        <f>IFERROR(R24/R148, "NA")</f>
        <v>5.9866532453491404E-2</v>
      </c>
      <c r="T24" s="115">
        <v>2332.7199999999998</v>
      </c>
      <c r="U24" s="116">
        <f>IFERROR(T24/T148, "NA")</f>
        <v>5.350623756226322E-2</v>
      </c>
      <c r="V24" s="115">
        <v>2422.5</v>
      </c>
      <c r="W24" s="116">
        <f>IFERROR(V24/V148, "NA")</f>
        <v>5.0605976539716872E-2</v>
      </c>
      <c r="X24" s="115">
        <v>3073.45</v>
      </c>
      <c r="Y24" s="116">
        <f>IFERROR(X24/X148, "NA")</f>
        <v>5.5845492894687876E-2</v>
      </c>
      <c r="Z24" s="115">
        <v>5495.95</v>
      </c>
      <c r="AA24" s="116">
        <f>IFERROR(Z24/Z148, "NA")</f>
        <v>5.3408142988970765E-2</v>
      </c>
      <c r="AB24" s="117">
        <f t="shared" si="0"/>
        <v>2539.2699999999995</v>
      </c>
      <c r="AC24" s="116">
        <f>IFERROR(AB24/AB148, "NA")</f>
        <v>5.4786091314215565E-2</v>
      </c>
      <c r="AD24" s="118">
        <f t="shared" si="1"/>
        <v>534.18000000000029</v>
      </c>
      <c r="AE24" s="119">
        <f>IFERROR(AD24/AD148, "NA")</f>
        <v>6.1498450536764532E-2</v>
      </c>
      <c r="AF24" s="118">
        <f t="shared" si="2"/>
        <v>0.21036754657834747</v>
      </c>
      <c r="AG24" s="117">
        <f t="shared" si="3"/>
        <v>2494.9737499999997</v>
      </c>
      <c r="AH24" s="116">
        <f>IFERROR(AG24/AG148, "NA")</f>
        <v>5.4256370025812822E-2</v>
      </c>
      <c r="AI24" s="118">
        <f t="shared" si="4"/>
        <v>578.47625000000016</v>
      </c>
      <c r="AJ24" s="119">
        <f>IFERROR(AI24/AI148, "NA")</f>
        <v>6.392016888435112E-2</v>
      </c>
      <c r="AK24" s="118">
        <f t="shared" si="5"/>
        <v>0.23185664779038268</v>
      </c>
      <c r="AL24" s="119">
        <f>IFERROR(AK24/AK148, "NA")</f>
        <v>1.1781136270992822</v>
      </c>
    </row>
    <row r="25" spans="1:38" ht="16.5" hidden="1" customHeight="1" x14ac:dyDescent="0.25">
      <c r="A25" s="7" t="s">
        <v>31</v>
      </c>
      <c r="B25" s="115">
        <v>0</v>
      </c>
      <c r="C25" s="116">
        <f>IFERROR(B25/B148, "NA")</f>
        <v>0</v>
      </c>
      <c r="D25" s="115">
        <v>0</v>
      </c>
      <c r="E25" s="116">
        <f>IFERROR(D25/D148, "NA")</f>
        <v>0</v>
      </c>
      <c r="F25" s="115">
        <v>0</v>
      </c>
      <c r="G25" s="116">
        <f>IFERROR(F25/F148, "NA")</f>
        <v>0</v>
      </c>
      <c r="H25" s="115">
        <v>0</v>
      </c>
      <c r="I25" s="116">
        <f>IFERROR(H25/H148, "NA")</f>
        <v>0</v>
      </c>
      <c r="J25" s="115">
        <v>0</v>
      </c>
      <c r="K25" s="116">
        <f>IFERROR(J25/J148, "NA")</f>
        <v>0</v>
      </c>
      <c r="L25" s="115">
        <v>0</v>
      </c>
      <c r="M25" s="116">
        <f>IFERROR(L25/L148, "NA")</f>
        <v>0</v>
      </c>
      <c r="N25" s="115">
        <v>0</v>
      </c>
      <c r="O25" s="116">
        <f>IFERROR(N25/N148, "NA")</f>
        <v>0</v>
      </c>
      <c r="P25" s="115">
        <v>0</v>
      </c>
      <c r="Q25" s="116">
        <f>IFERROR(P25/P148, "NA")</f>
        <v>0</v>
      </c>
      <c r="R25" s="115">
        <v>0</v>
      </c>
      <c r="S25" s="116">
        <f>IFERROR(R25/R148, "NA")</f>
        <v>0</v>
      </c>
      <c r="T25" s="115">
        <v>0</v>
      </c>
      <c r="U25" s="116">
        <f>IFERROR(T25/T148, "NA")</f>
        <v>0</v>
      </c>
      <c r="V25" s="115">
        <v>0</v>
      </c>
      <c r="W25" s="116">
        <f>IFERROR(V25/V148, "NA")</f>
        <v>0</v>
      </c>
      <c r="X25" s="115">
        <v>0</v>
      </c>
      <c r="Y25" s="116">
        <f>IFERROR(X25/X148, "NA")</f>
        <v>0</v>
      </c>
      <c r="Z25" s="115">
        <v>0</v>
      </c>
      <c r="AA25" s="116">
        <f>IFERROR(Z25/Z148, "NA")</f>
        <v>0</v>
      </c>
      <c r="AB25" s="117">
        <f t="shared" si="0"/>
        <v>0</v>
      </c>
      <c r="AC25" s="116">
        <f>IFERROR(AB25/AB148, "NA")</f>
        <v>0</v>
      </c>
      <c r="AD25" s="118">
        <f t="shared" si="1"/>
        <v>0</v>
      </c>
      <c r="AE25" s="119">
        <f>IFERROR(AD25/AD148, "NA")</f>
        <v>0</v>
      </c>
      <c r="AF25" s="118" t="str">
        <f t="shared" si="2"/>
        <v>NA</v>
      </c>
      <c r="AG25" s="117">
        <f t="shared" si="3"/>
        <v>0</v>
      </c>
      <c r="AH25" s="116">
        <f>IFERROR(AG25/AG148, "NA")</f>
        <v>0</v>
      </c>
      <c r="AI25" s="118">
        <f t="shared" si="4"/>
        <v>0</v>
      </c>
      <c r="AJ25" s="119">
        <f>IFERROR(AI25/AI148, "NA")</f>
        <v>0</v>
      </c>
      <c r="AK25" s="118" t="str">
        <f t="shared" si="5"/>
        <v>NA</v>
      </c>
      <c r="AL25" s="119" t="str">
        <f>IFERROR(AK25/AK148, "NA")</f>
        <v>NA</v>
      </c>
    </row>
    <row r="26" spans="1:38" ht="16.5" hidden="1" customHeight="1" x14ac:dyDescent="0.25">
      <c r="A26" s="7" t="s">
        <v>32</v>
      </c>
      <c r="B26" s="115">
        <v>0</v>
      </c>
      <c r="C26" s="116">
        <f>IFERROR(B26/B148, "NA")</f>
        <v>0</v>
      </c>
      <c r="D26" s="115">
        <v>0</v>
      </c>
      <c r="E26" s="116">
        <f>IFERROR(D26/D148, "NA")</f>
        <v>0</v>
      </c>
      <c r="F26" s="115">
        <v>0</v>
      </c>
      <c r="G26" s="116">
        <f>IFERROR(F26/F148, "NA")</f>
        <v>0</v>
      </c>
      <c r="H26" s="115">
        <v>0</v>
      </c>
      <c r="I26" s="116">
        <f>IFERROR(H26/H148, "NA")</f>
        <v>0</v>
      </c>
      <c r="J26" s="115">
        <v>0</v>
      </c>
      <c r="K26" s="116">
        <f>IFERROR(J26/J148, "NA")</f>
        <v>0</v>
      </c>
      <c r="L26" s="115">
        <v>0</v>
      </c>
      <c r="M26" s="116">
        <f>IFERROR(L26/L148, "NA")</f>
        <v>0</v>
      </c>
      <c r="N26" s="115">
        <v>0</v>
      </c>
      <c r="O26" s="116">
        <f>IFERROR(N26/N148, "NA")</f>
        <v>0</v>
      </c>
      <c r="P26" s="115">
        <v>0</v>
      </c>
      <c r="Q26" s="116">
        <f>IFERROR(P26/P148, "NA")</f>
        <v>0</v>
      </c>
      <c r="R26" s="115">
        <v>0</v>
      </c>
      <c r="S26" s="116">
        <f>IFERROR(R26/R148, "NA")</f>
        <v>0</v>
      </c>
      <c r="T26" s="115">
        <v>0</v>
      </c>
      <c r="U26" s="116">
        <f>IFERROR(T26/T148, "NA")</f>
        <v>0</v>
      </c>
      <c r="V26" s="115">
        <v>0</v>
      </c>
      <c r="W26" s="116">
        <f>IFERROR(V26/V148, "NA")</f>
        <v>0</v>
      </c>
      <c r="X26" s="115">
        <v>0</v>
      </c>
      <c r="Y26" s="116">
        <f>IFERROR(X26/X148, "NA")</f>
        <v>0</v>
      </c>
      <c r="Z26" s="115">
        <v>0</v>
      </c>
      <c r="AA26" s="116">
        <f>IFERROR(Z26/Z148, "NA")</f>
        <v>0</v>
      </c>
      <c r="AB26" s="117">
        <f t="shared" si="0"/>
        <v>0</v>
      </c>
      <c r="AC26" s="116">
        <f>IFERROR(AB26/AB148, "NA")</f>
        <v>0</v>
      </c>
      <c r="AD26" s="118">
        <f t="shared" si="1"/>
        <v>0</v>
      </c>
      <c r="AE26" s="119">
        <f>IFERROR(AD26/AD148, "NA")</f>
        <v>0</v>
      </c>
      <c r="AF26" s="118" t="str">
        <f t="shared" si="2"/>
        <v>NA</v>
      </c>
      <c r="AG26" s="117">
        <f t="shared" si="3"/>
        <v>0</v>
      </c>
      <c r="AH26" s="116">
        <f>IFERROR(AG26/AG148, "NA")</f>
        <v>0</v>
      </c>
      <c r="AI26" s="118">
        <f t="shared" si="4"/>
        <v>0</v>
      </c>
      <c r="AJ26" s="119">
        <f>IFERROR(AI26/AI148, "NA")</f>
        <v>0</v>
      </c>
      <c r="AK26" s="118" t="str">
        <f t="shared" si="5"/>
        <v>NA</v>
      </c>
      <c r="AL26" s="119" t="str">
        <f>IFERROR(AK26/AK148, "NA")</f>
        <v>NA</v>
      </c>
    </row>
    <row r="27" spans="1:38" ht="16.5" customHeight="1" x14ac:dyDescent="0.25">
      <c r="A27" s="129" t="s">
        <v>33</v>
      </c>
      <c r="B27" s="121">
        <f>IFERROR(B15+B16+B17+B18+B19+B20+B21+B22+B23+B24+B25+B26, "NA")</f>
        <v>9118.14</v>
      </c>
      <c r="C27" s="122">
        <f>IFERROR(B27/B148, "NA")</f>
        <v>0.18980371291827783</v>
      </c>
      <c r="D27" s="121">
        <f>IFERROR(D15+D16+D17+D18+D19+D20+D21+D22+D23+D24+D25+D26, "NA")</f>
        <v>8923.5600000000013</v>
      </c>
      <c r="E27" s="122">
        <f>IFERROR(D27/D148, "NA")</f>
        <v>0.21512709252391674</v>
      </c>
      <c r="F27" s="121">
        <f>IFERROR(F15+F16+F17+F18+F19+F20+F21+F22+F23+F24+F25+F26, "NA")</f>
        <v>10084.77</v>
      </c>
      <c r="G27" s="122">
        <f>IFERROR(F27/F148, "NA")</f>
        <v>0.20225852819419829</v>
      </c>
      <c r="H27" s="121">
        <f>IFERROR(H15+H16+H17+H18+H19+H20+H21+H22+H23+H24+H25+H26, "NA")</f>
        <v>9848.15</v>
      </c>
      <c r="I27" s="122">
        <f>IFERROR(H27/H148, "NA")</f>
        <v>0.19247283961909406</v>
      </c>
      <c r="J27" s="121">
        <f>IFERROR(J15+J16+J17+J18+J19+J20+J21+J22+J23+J24+J25+J26, "NA")</f>
        <v>9313.9400000000023</v>
      </c>
      <c r="K27" s="122">
        <f>IFERROR(J27/J148, "NA")</f>
        <v>0.19659670629795298</v>
      </c>
      <c r="L27" s="121">
        <f>IFERROR(L15+L16+L17+L18+L19+L20+L21+L22+L23+L24+L25+L26, "NA")</f>
        <v>8808.2200000000012</v>
      </c>
      <c r="M27" s="122">
        <f>IFERROR(L27/L148, "NA")</f>
        <v>0.19977573420511521</v>
      </c>
      <c r="N27" s="121">
        <f>IFERROR(N15+N16+N17+N18+N19+N20+N21+N22+N23+N24+N25+N26, "NA")</f>
        <v>8512.11</v>
      </c>
      <c r="O27" s="122">
        <f>IFERROR(N27/N148, "NA")</f>
        <v>0.17171538059318506</v>
      </c>
      <c r="P27" s="121">
        <f>IFERROR(P15+P16+P17+P18+P19+P20+P21+P22+P23+P24+P25+P26, "NA")</f>
        <v>8379.260000000002</v>
      </c>
      <c r="Q27" s="122">
        <f>IFERROR(P27/P148, "NA")</f>
        <v>0.20217041141210415</v>
      </c>
      <c r="R27" s="121">
        <f>IFERROR(R15+R16+R17+R18+R19+R20+R21+R22+R23+R24+R25+R26, "NA")</f>
        <v>8376.02</v>
      </c>
      <c r="S27" s="122">
        <f>IFERROR(R27/R148, "NA")</f>
        <v>0.21535866671294709</v>
      </c>
      <c r="T27" s="121">
        <f>IFERROR(T15+T16+T17+T18+T19+T20+T21+T22+T23+T24+T25+T26, "NA")</f>
        <v>8571.1</v>
      </c>
      <c r="U27" s="122">
        <f>IFERROR(T27/T148, "NA")</f>
        <v>0.19659766828848485</v>
      </c>
      <c r="V27" s="121">
        <f>IFERROR(V15+V16+V17+V18+V19+V20+V21+V22+V23+V24+V25+V26, "NA")</f>
        <v>9394.14</v>
      </c>
      <c r="W27" s="122">
        <f>IFERROR(V27/V148, "NA")</f>
        <v>0.19624339667732335</v>
      </c>
      <c r="X27" s="121">
        <f>IFERROR(X15+X16+X17+X18+X19+X20+X21+X22+X23+X24+X25+X26, "NA")</f>
        <v>10274.27</v>
      </c>
      <c r="Y27" s="122">
        <f>IFERROR(X27/X148, "NA")</f>
        <v>0.18668651589682764</v>
      </c>
      <c r="Z27" s="121">
        <f>IFERROR(Z15+Z16+Z17+Z18+Z19+Z20+Z21+Z22+Z23+Z24+Z25+Z26, "NA")</f>
        <v>19668.41</v>
      </c>
      <c r="AA27" s="122">
        <f>IFERROR(Z27/Z148, "NA")</f>
        <v>0.19113224349670258</v>
      </c>
      <c r="AB27" s="121">
        <f t="shared" si="0"/>
        <v>9153.8824999999997</v>
      </c>
      <c r="AC27" s="122">
        <f>IFERROR(AB27/AB148, "NA")</f>
        <v>0.19749984937584422</v>
      </c>
      <c r="AD27" s="123">
        <f t="shared" si="1"/>
        <v>1120.3875000000007</v>
      </c>
      <c r="AE27" s="124">
        <f>IFERROR(AD27/AD148, "NA")</f>
        <v>0.12898666226882188</v>
      </c>
      <c r="AF27" s="123">
        <f t="shared" si="2"/>
        <v>0.12239478712994194</v>
      </c>
      <c r="AG27" s="121">
        <f t="shared" si="3"/>
        <v>8953.6324999999997</v>
      </c>
      <c r="AH27" s="122">
        <f>IFERROR(AG27/AG148, "NA")</f>
        <v>0.19470809983277121</v>
      </c>
      <c r="AI27" s="123">
        <f t="shared" si="4"/>
        <v>1320.6375000000007</v>
      </c>
      <c r="AJ27" s="124">
        <f>IFERROR(AI27/AI148, "NA")</f>
        <v>0.14592711807097919</v>
      </c>
      <c r="AK27" s="123">
        <f t="shared" si="5"/>
        <v>0.14749739840226866</v>
      </c>
      <c r="AL27" s="124">
        <f>IFERROR(AK27/AK148, "NA")</f>
        <v>0.7494660889624597</v>
      </c>
    </row>
    <row r="28" spans="1:38" ht="16.5" customHeight="1" x14ac:dyDescent="0.25">
      <c r="A28" s="6" t="s">
        <v>34</v>
      </c>
      <c r="B28" s="111"/>
      <c r="C28" s="112"/>
      <c r="D28" s="111"/>
      <c r="E28" s="112"/>
      <c r="F28" s="111"/>
      <c r="G28" s="112"/>
      <c r="H28" s="111"/>
      <c r="I28" s="112"/>
      <c r="J28" s="111"/>
      <c r="K28" s="112"/>
      <c r="L28" s="111"/>
      <c r="M28" s="112"/>
      <c r="N28" s="111"/>
      <c r="O28" s="112"/>
      <c r="P28" s="111"/>
      <c r="Q28" s="112"/>
      <c r="R28" s="111"/>
      <c r="S28" s="112"/>
      <c r="T28" s="111"/>
      <c r="U28" s="112"/>
      <c r="V28" s="111"/>
      <c r="W28" s="112"/>
      <c r="X28" s="111"/>
      <c r="Y28" s="112"/>
      <c r="Z28" s="111"/>
      <c r="AA28" s="112"/>
      <c r="AB28" s="111"/>
      <c r="AC28" s="112"/>
      <c r="AD28" s="113"/>
      <c r="AE28" s="114"/>
      <c r="AF28" s="113"/>
      <c r="AG28" s="111"/>
      <c r="AH28" s="112"/>
      <c r="AI28" s="113"/>
      <c r="AJ28" s="114"/>
      <c r="AK28" s="113"/>
      <c r="AL28" s="114"/>
    </row>
    <row r="29" spans="1:38" ht="16.5" hidden="1" customHeight="1" x14ac:dyDescent="0.25">
      <c r="A29" s="7" t="s">
        <v>35</v>
      </c>
      <c r="B29" s="115">
        <v>0</v>
      </c>
      <c r="C29" s="116">
        <f>IFERROR(B29/B148, "NA")</f>
        <v>0</v>
      </c>
      <c r="D29" s="115">
        <v>0</v>
      </c>
      <c r="E29" s="116">
        <f>IFERROR(D29/D148, "NA")</f>
        <v>0</v>
      </c>
      <c r="F29" s="115">
        <v>0</v>
      </c>
      <c r="G29" s="116">
        <f>IFERROR(F29/F148, "NA")</f>
        <v>0</v>
      </c>
      <c r="H29" s="115">
        <v>0</v>
      </c>
      <c r="I29" s="116">
        <f>IFERROR(H29/H148, "NA")</f>
        <v>0</v>
      </c>
      <c r="J29" s="115">
        <v>0</v>
      </c>
      <c r="K29" s="116">
        <f>IFERROR(J29/J148, "NA")</f>
        <v>0</v>
      </c>
      <c r="L29" s="115">
        <v>0</v>
      </c>
      <c r="M29" s="116">
        <f>IFERROR(L29/L148, "NA")</f>
        <v>0</v>
      </c>
      <c r="N29" s="115">
        <v>0</v>
      </c>
      <c r="O29" s="116">
        <f>IFERROR(N29/N148, "NA")</f>
        <v>0</v>
      </c>
      <c r="P29" s="115">
        <v>0</v>
      </c>
      <c r="Q29" s="116">
        <f>IFERROR(P29/P148, "NA")</f>
        <v>0</v>
      </c>
      <c r="R29" s="115">
        <v>0</v>
      </c>
      <c r="S29" s="116">
        <f>IFERROR(R29/R148, "NA")</f>
        <v>0</v>
      </c>
      <c r="T29" s="115">
        <v>0</v>
      </c>
      <c r="U29" s="116">
        <f>IFERROR(T29/T148, "NA")</f>
        <v>0</v>
      </c>
      <c r="V29" s="115">
        <v>0</v>
      </c>
      <c r="W29" s="116">
        <f>IFERROR(V29/V148, "NA")</f>
        <v>0</v>
      </c>
      <c r="X29" s="115">
        <v>0</v>
      </c>
      <c r="Y29" s="116">
        <f>IFERROR(X29/X148, "NA")</f>
        <v>0</v>
      </c>
      <c r="Z29" s="115">
        <v>0</v>
      </c>
      <c r="AA29" s="116">
        <f>IFERROR(Z29/Z148, "NA")</f>
        <v>0</v>
      </c>
      <c r="AB29" s="117">
        <f t="shared" ref="AB29:AB35" si="6">IFERROR((R29+T29+V29+X29)/4, "NA")</f>
        <v>0</v>
      </c>
      <c r="AC29" s="116">
        <f>IFERROR(AB29/AB148, "NA")</f>
        <v>0</v>
      </c>
      <c r="AD29" s="118">
        <f t="shared" ref="AD29:AD35" si="7">IFERROR(X29-AB29, "NA")</f>
        <v>0</v>
      </c>
      <c r="AE29" s="119">
        <f>IFERROR(AD29/AD148, "NA")</f>
        <v>0</v>
      </c>
      <c r="AF29" s="118" t="str">
        <f t="shared" ref="AF29:AF35" si="8">IFERROR((X29-AB29)/AB29, "NA")</f>
        <v>NA</v>
      </c>
      <c r="AG29" s="117">
        <f t="shared" ref="AG29:AG35" si="9">IFERROR((J29+L29+N29+P29+R29+T29+V29+X29)/8, "NA")</f>
        <v>0</v>
      </c>
      <c r="AH29" s="116">
        <f>IFERROR(AG29/AG148, "NA")</f>
        <v>0</v>
      </c>
      <c r="AI29" s="118">
        <f t="shared" ref="AI29:AI35" si="10">IFERROR(X29-AG29, "NA")</f>
        <v>0</v>
      </c>
      <c r="AJ29" s="119">
        <f>IFERROR(AI29/AI148, "NA")</f>
        <v>0</v>
      </c>
      <c r="AK29" s="118" t="str">
        <f t="shared" ref="AK29:AK35" si="11">IFERROR((X29-AG29)/AG29, "NA")</f>
        <v>NA</v>
      </c>
      <c r="AL29" s="119" t="str">
        <f>IFERROR(AK29/AK148, "NA")</f>
        <v>NA</v>
      </c>
    </row>
    <row r="30" spans="1:38" ht="16.5" customHeight="1" x14ac:dyDescent="0.25">
      <c r="A30" s="7" t="s">
        <v>36</v>
      </c>
      <c r="B30" s="115">
        <v>318.64</v>
      </c>
      <c r="C30" s="116">
        <f>IFERROR(B30/B148, "NA")</f>
        <v>6.6328280860219356E-3</v>
      </c>
      <c r="D30" s="115">
        <v>487.72</v>
      </c>
      <c r="E30" s="116">
        <f>IFERROR(D30/D148, "NA")</f>
        <v>1.1757839423477251E-2</v>
      </c>
      <c r="F30" s="115">
        <v>523.28</v>
      </c>
      <c r="G30" s="116">
        <f>IFERROR(F30/F148, "NA")</f>
        <v>1.0494819676944548E-2</v>
      </c>
      <c r="H30" s="115">
        <v>472.27</v>
      </c>
      <c r="I30" s="116">
        <f>IFERROR(H30/H148, "NA")</f>
        <v>9.230073462214685E-3</v>
      </c>
      <c r="J30" s="115">
        <v>470.85</v>
      </c>
      <c r="K30" s="116">
        <f>IFERROR(J30/J148, "NA")</f>
        <v>9.9386037660099957E-3</v>
      </c>
      <c r="L30" s="115">
        <v>347.2</v>
      </c>
      <c r="M30" s="116">
        <f>IFERROR(L30/L148, "NA")</f>
        <v>7.8747050954694579E-3</v>
      </c>
      <c r="N30" s="115">
        <v>607.32000000000005</v>
      </c>
      <c r="O30" s="116">
        <f>IFERROR(N30/N148, "NA")</f>
        <v>1.2251508138622875E-2</v>
      </c>
      <c r="P30" s="115">
        <v>586.84</v>
      </c>
      <c r="Q30" s="116">
        <f>IFERROR(P30/P148, "NA")</f>
        <v>1.4158969196931373E-2</v>
      </c>
      <c r="R30" s="115">
        <v>283.3</v>
      </c>
      <c r="S30" s="116">
        <f>IFERROR(R30/R148, "NA")</f>
        <v>7.2840215615265855E-3</v>
      </c>
      <c r="T30" s="115">
        <v>377.79</v>
      </c>
      <c r="U30" s="116">
        <f>IFERROR(T30/T148, "NA")</f>
        <v>8.6654727051028099E-3</v>
      </c>
      <c r="V30" s="115">
        <v>680.67</v>
      </c>
      <c r="W30" s="116">
        <f>IFERROR(V30/V148, "NA")</f>
        <v>1.4219182683710663E-2</v>
      </c>
      <c r="X30" s="115">
        <v>696.17</v>
      </c>
      <c r="Y30" s="116">
        <f>IFERROR(X30/X148, "NA")</f>
        <v>1.2649614208298446E-2</v>
      </c>
      <c r="Z30" s="115">
        <v>1376.84</v>
      </c>
      <c r="AA30" s="116">
        <f>IFERROR(Z30/Z148, "NA")</f>
        <v>1.3379755564176258E-2</v>
      </c>
      <c r="AB30" s="117">
        <f t="shared" si="6"/>
        <v>509.48249999999996</v>
      </c>
      <c r="AC30" s="116">
        <f>IFERROR(AB30/AB148, "NA")</f>
        <v>1.0992354010402532E-2</v>
      </c>
      <c r="AD30" s="118">
        <f t="shared" si="7"/>
        <v>186.6875</v>
      </c>
      <c r="AE30" s="119">
        <f>IFERROR(AD30/AD148, "NA")</f>
        <v>2.1492740245951217E-2</v>
      </c>
      <c r="AF30" s="118">
        <f t="shared" si="8"/>
        <v>0.36642573591830929</v>
      </c>
      <c r="AG30" s="117">
        <f t="shared" si="9"/>
        <v>506.26750000000004</v>
      </c>
      <c r="AH30" s="116">
        <f>IFERROR(AG30/AG148, "NA")</f>
        <v>1.1009429182188068E-2</v>
      </c>
      <c r="AI30" s="118">
        <f t="shared" si="10"/>
        <v>189.90249999999992</v>
      </c>
      <c r="AJ30" s="119">
        <f>IFERROR(AI30/AI148, "NA")</f>
        <v>2.098374803038237E-2</v>
      </c>
      <c r="AK30" s="118">
        <f t="shared" si="11"/>
        <v>0.37510308285639488</v>
      </c>
      <c r="AL30" s="119">
        <f>IFERROR(AK30/AK148, "NA")</f>
        <v>1.905979654633825</v>
      </c>
    </row>
    <row r="31" spans="1:38" ht="16.5" customHeight="1" x14ac:dyDescent="0.25">
      <c r="A31" s="7" t="s">
        <v>37</v>
      </c>
      <c r="B31" s="115">
        <v>17.82</v>
      </c>
      <c r="C31" s="116">
        <f>IFERROR(B31/B148, "NA")</f>
        <v>3.7094211804202513E-4</v>
      </c>
      <c r="D31" s="115">
        <v>12.94</v>
      </c>
      <c r="E31" s="116">
        <f>IFERROR(D31/D148, "NA")</f>
        <v>3.1195448646722629E-4</v>
      </c>
      <c r="F31" s="115">
        <v>14.53</v>
      </c>
      <c r="G31" s="116">
        <f>IFERROR(F31/F148, "NA")</f>
        <v>2.9141134747363607E-4</v>
      </c>
      <c r="H31" s="115">
        <v>8.9</v>
      </c>
      <c r="I31" s="116">
        <f>IFERROR(H31/H148, "NA")</f>
        <v>1.7394213863618419E-4</v>
      </c>
      <c r="J31" s="115">
        <v>12.93</v>
      </c>
      <c r="K31" s="116">
        <f>IFERROR(J31/J148, "NA")</f>
        <v>2.7292374789106771E-4</v>
      </c>
      <c r="L31" s="115">
        <v>13.7</v>
      </c>
      <c r="M31" s="116">
        <f>IFERROR(L31/L148, "NA")</f>
        <v>3.1072425059888129E-4</v>
      </c>
      <c r="N31" s="115">
        <v>16.12</v>
      </c>
      <c r="O31" s="116">
        <f>IFERROR(N31/N148, "NA")</f>
        <v>3.2518986892346826E-4</v>
      </c>
      <c r="P31" s="115">
        <v>138.07</v>
      </c>
      <c r="Q31" s="116">
        <f>IFERROR(P31/P148, "NA")</f>
        <v>3.3312808892037257E-3</v>
      </c>
      <c r="R31" s="115">
        <v>-92.69</v>
      </c>
      <c r="S31" s="116">
        <f>IFERROR(R31/R148, "NA")</f>
        <v>-2.38318375763466E-3</v>
      </c>
      <c r="T31" s="115">
        <v>18.63</v>
      </c>
      <c r="U31" s="116">
        <f>IFERROR(T31/T148, "NA")</f>
        <v>4.2732141267917445E-4</v>
      </c>
      <c r="V31" s="115">
        <v>5.64</v>
      </c>
      <c r="W31" s="116">
        <f>IFERROR(V31/V148, "NA")</f>
        <v>1.1781948717605909E-4</v>
      </c>
      <c r="X31" s="115">
        <v>5.62</v>
      </c>
      <c r="Y31" s="116">
        <f>IFERROR(X31/X148, "NA")</f>
        <v>1.0211705740068845E-4</v>
      </c>
      <c r="Z31" s="115">
        <v>11.26</v>
      </c>
      <c r="AA31" s="116">
        <f>IFERROR(Z31/Z148, "NA")</f>
        <v>1.0942160864924368E-4</v>
      </c>
      <c r="AB31" s="117">
        <f t="shared" si="6"/>
        <v>-15.700000000000001</v>
      </c>
      <c r="AC31" s="116">
        <f>IFERROR(AB31/AB148, "NA")</f>
        <v>-3.3873579163822069E-4</v>
      </c>
      <c r="AD31" s="118">
        <f t="shared" si="7"/>
        <v>21.32</v>
      </c>
      <c r="AE31" s="119">
        <f>IFERROR(AD31/AD148, "NA")</f>
        <v>2.4545040350515165E-3</v>
      </c>
      <c r="AF31" s="118">
        <f t="shared" si="8"/>
        <v>-1.3579617834394904</v>
      </c>
      <c r="AG31" s="117">
        <f t="shared" si="9"/>
        <v>14.7525</v>
      </c>
      <c r="AH31" s="116">
        <f>IFERROR(AG31/AG148, "NA")</f>
        <v>3.2081183170997439E-4</v>
      </c>
      <c r="AI31" s="118">
        <f t="shared" si="10"/>
        <v>-9.1325000000000003</v>
      </c>
      <c r="AJ31" s="119">
        <f>IFERROR(AI31/AI148, "NA")</f>
        <v>-1.0091182521950323E-3</v>
      </c>
      <c r="AK31" s="118">
        <f t="shared" si="11"/>
        <v>-0.61904761904761907</v>
      </c>
      <c r="AL31" s="119">
        <f>IFERROR(AK31/AK148, "NA")</f>
        <v>-3.1455144494399816</v>
      </c>
    </row>
    <row r="32" spans="1:38" ht="16.5" customHeight="1" x14ac:dyDescent="0.25">
      <c r="A32" s="7" t="s">
        <v>38</v>
      </c>
      <c r="B32" s="115">
        <v>1.6</v>
      </c>
      <c r="C32" s="116">
        <f>IFERROR(B32/B148, "NA")</f>
        <v>3.3305689610956244E-5</v>
      </c>
      <c r="D32" s="115">
        <v>0.8</v>
      </c>
      <c r="E32" s="116">
        <f>IFERROR(D32/D148, "NA")</f>
        <v>1.9286212455469942E-5</v>
      </c>
      <c r="F32" s="115">
        <v>0.8</v>
      </c>
      <c r="G32" s="116">
        <f>IFERROR(F32/F148, "NA")</f>
        <v>1.6044671574597996E-5</v>
      </c>
      <c r="H32" s="115">
        <v>-1.6</v>
      </c>
      <c r="I32" s="116">
        <f>IFERROR(H32/H148, "NA")</f>
        <v>-3.1270496833471313E-5</v>
      </c>
      <c r="J32" s="115">
        <v>2.4</v>
      </c>
      <c r="K32" s="116">
        <f>IFERROR(J32/J148, "NA")</f>
        <v>5.0658700304606536E-5</v>
      </c>
      <c r="L32" s="115">
        <v>1.59</v>
      </c>
      <c r="M32" s="116">
        <f>IFERROR(L32/L148, "NA")</f>
        <v>3.6062157551257029E-5</v>
      </c>
      <c r="N32" s="115">
        <v>0</v>
      </c>
      <c r="O32" s="116">
        <f>IFERROR(N32/N148, "NA")</f>
        <v>0</v>
      </c>
      <c r="P32" s="115">
        <v>-1.59</v>
      </c>
      <c r="Q32" s="116">
        <f>IFERROR(P32/P148, "NA")</f>
        <v>-3.8362690040080573E-5</v>
      </c>
      <c r="R32" s="115">
        <v>1.59</v>
      </c>
      <c r="S32" s="116">
        <f>IFERROR(R32/R148, "NA")</f>
        <v>4.0881024648172504E-5</v>
      </c>
      <c r="T32" s="115">
        <v>11.2</v>
      </c>
      <c r="U32" s="116">
        <f>IFERROR(T32/T148, "NA")</f>
        <v>2.5689746763321277E-4</v>
      </c>
      <c r="V32" s="115">
        <v>0</v>
      </c>
      <c r="W32" s="116">
        <f>IFERROR(V32/V148, "NA")</f>
        <v>0</v>
      </c>
      <c r="X32" s="115">
        <v>-35.18</v>
      </c>
      <c r="Y32" s="116">
        <f>IFERROR(X32/X148, "NA")</f>
        <v>-6.3923097497441627E-4</v>
      </c>
      <c r="Z32" s="115">
        <v>-35.18</v>
      </c>
      <c r="AA32" s="116">
        <f>IFERROR(Z32/Z148, "NA")</f>
        <v>-3.4186964407463522E-4</v>
      </c>
      <c r="AB32" s="117">
        <f t="shared" si="6"/>
        <v>-5.5975000000000001</v>
      </c>
      <c r="AC32" s="116">
        <f>IFERROR(AB32/AB148, "NA")</f>
        <v>-1.2076901870668409E-4</v>
      </c>
      <c r="AD32" s="118">
        <f t="shared" si="7"/>
        <v>-29.5825</v>
      </c>
      <c r="AE32" s="119">
        <f>IFERROR(AD32/AD148, "NA")</f>
        <v>-3.4057394754648915E-3</v>
      </c>
      <c r="AF32" s="118">
        <f t="shared" si="8"/>
        <v>5.2849486377847255</v>
      </c>
      <c r="AG32" s="117">
        <f t="shared" si="9"/>
        <v>-2.4987500000000002</v>
      </c>
      <c r="AH32" s="116">
        <f>IFERROR(AG32/AG148, "NA")</f>
        <v>-5.433848937368572E-5</v>
      </c>
      <c r="AI32" s="118">
        <f t="shared" si="10"/>
        <v>-32.681249999999999</v>
      </c>
      <c r="AJ32" s="119">
        <f>IFERROR(AI32/AI148, "NA")</f>
        <v>-3.6111958258471274E-3</v>
      </c>
      <c r="AK32" s="118">
        <f t="shared" si="11"/>
        <v>13.079039519759878</v>
      </c>
      <c r="AL32" s="119">
        <f>IFERROR(AK32/AK148, "NA")</f>
        <v>66.457420282940475</v>
      </c>
    </row>
    <row r="33" spans="1:38" ht="16.5" customHeight="1" x14ac:dyDescent="0.25">
      <c r="A33" s="7" t="s">
        <v>39</v>
      </c>
      <c r="B33" s="115">
        <v>-13.72</v>
      </c>
      <c r="C33" s="116">
        <f>IFERROR(B33/B148, "NA")</f>
        <v>-2.8559628841394978E-4</v>
      </c>
      <c r="D33" s="115">
        <v>18.989999999999998</v>
      </c>
      <c r="E33" s="116">
        <f>IFERROR(D33/D148, "NA")</f>
        <v>4.5780646816171773E-4</v>
      </c>
      <c r="F33" s="115">
        <v>20.57</v>
      </c>
      <c r="G33" s="116">
        <f>IFERROR(F33/F148, "NA")</f>
        <v>4.1254861786185098E-4</v>
      </c>
      <c r="H33" s="115">
        <v>-9.1999999999999993</v>
      </c>
      <c r="I33" s="116">
        <f>IFERROR(H33/H148, "NA")</f>
        <v>-1.7980535679246003E-4</v>
      </c>
      <c r="J33" s="115">
        <v>13</v>
      </c>
      <c r="K33" s="116">
        <f>IFERROR(J33/J148, "NA")</f>
        <v>2.7440129331661879E-4</v>
      </c>
      <c r="L33" s="115">
        <v>14.34</v>
      </c>
      <c r="M33" s="116">
        <f>IFERROR(L33/L148, "NA")</f>
        <v>3.2523983602831809E-4</v>
      </c>
      <c r="N33" s="115">
        <v>-6.02</v>
      </c>
      <c r="O33" s="116">
        <f>IFERROR(N33/N148, "NA")</f>
        <v>-1.2144187412650611E-4</v>
      </c>
      <c r="P33" s="115">
        <v>-2.1800000000000002</v>
      </c>
      <c r="Q33" s="116">
        <f>IFERROR(P33/P148, "NA")</f>
        <v>-5.2597902067531855E-5</v>
      </c>
      <c r="R33" s="115">
        <v>9.85</v>
      </c>
      <c r="S33" s="116">
        <f>IFERROR(R33/R148, "NA")</f>
        <v>2.5325666212861581E-4</v>
      </c>
      <c r="T33" s="115">
        <v>-1.83</v>
      </c>
      <c r="U33" s="116">
        <f>IFERROR(T33/T148, "NA")</f>
        <v>-4.1975211229355307E-5</v>
      </c>
      <c r="V33" s="115">
        <v>5.34</v>
      </c>
      <c r="W33" s="116">
        <f>IFERROR(V33/V148, "NA")</f>
        <v>1.1155249317733254E-4</v>
      </c>
      <c r="X33" s="115">
        <v>7.54</v>
      </c>
      <c r="Y33" s="116">
        <f>IFERROR(X33/X148, "NA")</f>
        <v>1.3700402363010512E-4</v>
      </c>
      <c r="Z33" s="115">
        <v>12.88</v>
      </c>
      <c r="AA33" s="116">
        <f>IFERROR(Z33/Z148, "NA")</f>
        <v>1.2516432676751854E-4</v>
      </c>
      <c r="AB33" s="117">
        <f t="shared" si="6"/>
        <v>5.2249999999999996</v>
      </c>
      <c r="AC33" s="116">
        <f>IFERROR(AB33/AB148, "NA")</f>
        <v>1.1273213447832502E-4</v>
      </c>
      <c r="AD33" s="118">
        <f t="shared" si="7"/>
        <v>2.3150000000000004</v>
      </c>
      <c r="AE33" s="119">
        <f>IFERROR(AD33/AD148, "NA")</f>
        <v>2.6651861356211359E-4</v>
      </c>
      <c r="AF33" s="118">
        <f t="shared" si="8"/>
        <v>0.44306220095693788</v>
      </c>
      <c r="AG33" s="117">
        <f t="shared" si="9"/>
        <v>5.0049999999999999</v>
      </c>
      <c r="AH33" s="116">
        <f>IFERROR(AG33/AG148, "NA")</f>
        <v>1.0884007576400081E-4</v>
      </c>
      <c r="AI33" s="118">
        <f t="shared" si="10"/>
        <v>2.5350000000000001</v>
      </c>
      <c r="AJ33" s="119">
        <f>IFERROR(AI33/AI148, "NA")</f>
        <v>2.801111162676602E-4</v>
      </c>
      <c r="AK33" s="118">
        <f t="shared" si="11"/>
        <v>0.50649350649350655</v>
      </c>
      <c r="AL33" s="119">
        <f>IFERROR(AK33/AK148, "NA")</f>
        <v>2.5736027313599852</v>
      </c>
    </row>
    <row r="34" spans="1:38" ht="16.5" customHeight="1" x14ac:dyDescent="0.25">
      <c r="A34" s="129" t="s">
        <v>40</v>
      </c>
      <c r="B34" s="121">
        <f>IFERROR(B29+B30+B31+B32+B33, "NA")</f>
        <v>324.33999999999997</v>
      </c>
      <c r="C34" s="122">
        <f>IFERROR(B34/B148, "NA")</f>
        <v>6.7514796052609667E-3</v>
      </c>
      <c r="D34" s="121">
        <f>IFERROR(D29+D30+D31+D32+D33, "NA")</f>
        <v>520.45000000000005</v>
      </c>
      <c r="E34" s="122">
        <f>IFERROR(D34/D148, "NA")</f>
        <v>1.2546886590561666E-2</v>
      </c>
      <c r="F34" s="121">
        <f>IFERROR(F29+F30+F31+F32+F33, "NA")</f>
        <v>559.17999999999995</v>
      </c>
      <c r="G34" s="122">
        <f>IFERROR(F34/F148, "NA")</f>
        <v>1.1214824313854633E-2</v>
      </c>
      <c r="H34" s="121">
        <f>IFERROR(H29+H30+H31+H32+H33, "NA")</f>
        <v>470.36999999999995</v>
      </c>
      <c r="I34" s="122">
        <f>IFERROR(H34/H148, "NA")</f>
        <v>9.1929397472249371E-3</v>
      </c>
      <c r="J34" s="121">
        <f>IFERROR(J29+J30+J31+J32+J33, "NA")</f>
        <v>499.18</v>
      </c>
      <c r="K34" s="122">
        <f>IFERROR(J34/J148, "NA")</f>
        <v>1.0536587507522288E-2</v>
      </c>
      <c r="L34" s="121">
        <f>IFERROR(L29+L30+L31+L32+L33, "NA")</f>
        <v>376.82999999999993</v>
      </c>
      <c r="M34" s="122">
        <f>IFERROR(L34/L148, "NA")</f>
        <v>8.5467313396479141E-3</v>
      </c>
      <c r="N34" s="121">
        <f>IFERROR(N29+N30+N31+N32+N33, "NA")</f>
        <v>617.42000000000007</v>
      </c>
      <c r="O34" s="122">
        <f>IFERROR(N34/N148, "NA")</f>
        <v>1.2455256133419837E-2</v>
      </c>
      <c r="P34" s="121">
        <f>IFERROR(P29+P30+P31+P32+P33, "NA")</f>
        <v>721.1400000000001</v>
      </c>
      <c r="Q34" s="122">
        <f>IFERROR(P34/P148, "NA")</f>
        <v>1.7399289494027487E-2</v>
      </c>
      <c r="R34" s="121">
        <f>IFERROR(R29+R30+R31+R32+R33, "NA")</f>
        <v>202.05</v>
      </c>
      <c r="S34" s="122">
        <f>IFERROR(R34/R148, "NA")</f>
        <v>5.1949754906687141E-3</v>
      </c>
      <c r="T34" s="121">
        <f>IFERROR(T29+T30+T31+T32+T33, "NA")</f>
        <v>405.79</v>
      </c>
      <c r="U34" s="122">
        <f>IFERROR(T34/T148, "NA")</f>
        <v>9.3077163741858409E-3</v>
      </c>
      <c r="V34" s="121">
        <f>IFERROR(V29+V30+V31+V32+V33, "NA")</f>
        <v>691.65</v>
      </c>
      <c r="W34" s="122">
        <f>IFERROR(V34/V148, "NA")</f>
        <v>1.4448554664064054E-2</v>
      </c>
      <c r="X34" s="121">
        <f>IFERROR(X29+X30+X31+X32+X33, "NA")</f>
        <v>674.15</v>
      </c>
      <c r="Y34" s="122">
        <f>IFERROR(X34/X148, "NA")</f>
        <v>1.2249504314354823E-2</v>
      </c>
      <c r="Z34" s="121">
        <f>IFERROR(Z29+Z30+Z31+Z32+Z33, "NA")</f>
        <v>1365.8</v>
      </c>
      <c r="AA34" s="122">
        <f>IFERROR(Z34/Z148, "NA")</f>
        <v>1.3272471855518386E-2</v>
      </c>
      <c r="AB34" s="121">
        <f t="shared" si="6"/>
        <v>493.40999999999997</v>
      </c>
      <c r="AC34" s="122">
        <f>IFERROR(AB34/AB148, "NA")</f>
        <v>1.0645581334535952E-2</v>
      </c>
      <c r="AD34" s="123">
        <f t="shared" si="7"/>
        <v>180.74</v>
      </c>
      <c r="AE34" s="124">
        <f>IFERROR(AD34/AD148, "NA")</f>
        <v>2.0808023419099958E-2</v>
      </c>
      <c r="AF34" s="123">
        <f t="shared" si="8"/>
        <v>0.36630793863115874</v>
      </c>
      <c r="AG34" s="121">
        <f t="shared" si="9"/>
        <v>523.52625</v>
      </c>
      <c r="AH34" s="122">
        <f>IFERROR(AG34/AG148, "NA")</f>
        <v>1.1384742600288357E-2</v>
      </c>
      <c r="AI34" s="123">
        <f t="shared" si="10"/>
        <v>150.62374999999997</v>
      </c>
      <c r="AJ34" s="124">
        <f>IFERROR(AI34/AI148, "NA")</f>
        <v>1.6643545068607879E-2</v>
      </c>
      <c r="AK34" s="123">
        <f t="shared" si="11"/>
        <v>0.28771002409143759</v>
      </c>
      <c r="AL34" s="124">
        <f>IFERROR(AK34/AK148, "NA")</f>
        <v>1.461916676815014</v>
      </c>
    </row>
    <row r="35" spans="1:38" ht="16.5" customHeight="1" x14ac:dyDescent="0.25">
      <c r="A35" s="130" t="s">
        <v>41</v>
      </c>
      <c r="B35" s="121">
        <f>IFERROR(B13+B15+B16+B17+B18+B19+B20+B21+B22+B23+B24+B25+B26+B29+B30+B31+B32+B33, "NA")</f>
        <v>9442.48</v>
      </c>
      <c r="C35" s="122">
        <f>IFERROR(B35/B148, "NA")</f>
        <v>0.19655519252353881</v>
      </c>
      <c r="D35" s="121">
        <f>IFERROR(D13+D15+D16+D17+D18+D19+D20+D21+D22+D23+D24+D25+D26+D29+D30+D31+D32+D33, "NA")</f>
        <v>9444.01</v>
      </c>
      <c r="E35" s="122">
        <f>IFERROR(D35/D148, "NA")</f>
        <v>0.22767397911447837</v>
      </c>
      <c r="F35" s="121">
        <f>IFERROR(F13+F15+F16+F17+F18+F19+F20+F21+F22+F23+F24+F25+F26+F29+F30+F31+F32+F33, "NA")</f>
        <v>10643.95</v>
      </c>
      <c r="G35" s="122">
        <f>IFERROR(F35/F148, "NA")</f>
        <v>0.21347335250805294</v>
      </c>
      <c r="H35" s="121">
        <f>IFERROR(H13+H15+H16+H17+H18+H19+H20+H21+H22+H23+H24+H25+H26+H29+H30+H31+H32+H33, "NA")</f>
        <v>10318.519999999999</v>
      </c>
      <c r="I35" s="122">
        <f>IFERROR(H35/H148, "NA")</f>
        <v>0.20166577936631899</v>
      </c>
      <c r="J35" s="121">
        <f>IFERROR(J13+J15+J16+J17+J18+J19+J20+J21+J22+J23+J24+J25+J26+J29+J30+J31+J32+J33, "NA")</f>
        <v>9813.1200000000026</v>
      </c>
      <c r="K35" s="122">
        <f>IFERROR(J35/J148, "NA")</f>
        <v>0.20713329380547527</v>
      </c>
      <c r="L35" s="121">
        <f>IFERROR(L13+L15+L16+L17+L18+L19+L20+L21+L22+L23+L24+L25+L26+L29+L30+L31+L32+L33, "NA")</f>
        <v>9185.0500000000029</v>
      </c>
      <c r="M35" s="122">
        <f>IFERROR(L35/L148, "NA")</f>
        <v>0.20832246554476319</v>
      </c>
      <c r="N35" s="121">
        <f>IFERROR(N13+N15+N16+N17+N18+N19+N20+N21+N22+N23+N24+N25+N26+N29+N30+N31+N32+N33, "NA")</f>
        <v>9129.5300000000007</v>
      </c>
      <c r="O35" s="122">
        <f>IFERROR(N35/N148, "NA")</f>
        <v>0.18417063672660489</v>
      </c>
      <c r="P35" s="121">
        <f>IFERROR(P13+P15+P16+P17+P18+P19+P20+P21+P22+P23+P24+P25+P26+P29+P30+P31+P32+P33, "NA")</f>
        <v>9100.4000000000015</v>
      </c>
      <c r="Q35" s="122">
        <f>IFERROR(P35/P148, "NA")</f>
        <v>0.21956970090613162</v>
      </c>
      <c r="R35" s="121">
        <f>IFERROR(R13+R15+R16+R17+R18+R19+R20+R21+R22+R23+R24+R25+R26+R29+R30+R31+R32+R33, "NA")</f>
        <v>8578.07</v>
      </c>
      <c r="S35" s="122">
        <f>IFERROR(R35/R148, "NA")</f>
        <v>0.22055364220361579</v>
      </c>
      <c r="T35" s="121">
        <f>IFERROR(T13+T15+T16+T17+T18+T19+T20+T21+T22+T23+T24+T25+T26+T29+T30+T31+T32+T33, "NA")</f>
        <v>8976.8900000000012</v>
      </c>
      <c r="U35" s="122">
        <f>IFERROR(T35/T148, "NA")</f>
        <v>0.20590538466267069</v>
      </c>
      <c r="V35" s="121">
        <f>IFERROR(V13+V15+V16+V17+V18+V19+V20+V21+V22+V23+V24+V25+V26+V29+V30+V31+V32+V33, "NA")</f>
        <v>10085.789999999999</v>
      </c>
      <c r="W35" s="122">
        <f>IFERROR(V35/V148, "NA")</f>
        <v>0.21069195134138738</v>
      </c>
      <c r="X35" s="121">
        <f>IFERROR(X13+X15+X16+X17+X18+X19+X20+X21+X22+X23+X24+X25+X26+X29+X30+X31+X32+X33, "NA")</f>
        <v>10948.420000000002</v>
      </c>
      <c r="Y35" s="122">
        <f>IFERROR(X35/X148, "NA")</f>
        <v>0.19893602021118248</v>
      </c>
      <c r="Z35" s="121">
        <f>IFERROR(Z13+Z15+Z16+Z17+Z18+Z19+Z20+Z21+Z22+Z23+Z24+Z25+Z26+Z29+Z30+Z31+Z32+Z33, "NA")</f>
        <v>21034.21</v>
      </c>
      <c r="AA35" s="122">
        <f>IFERROR(Z35/Z148, "NA")</f>
        <v>0.20440471535222096</v>
      </c>
      <c r="AB35" s="121">
        <f t="shared" si="6"/>
        <v>9647.2924999999996</v>
      </c>
      <c r="AC35" s="122">
        <f>IFERROR(AB35/AB148, "NA")</f>
        <v>0.20814543071038016</v>
      </c>
      <c r="AD35" s="123">
        <f t="shared" si="7"/>
        <v>1301.1275000000023</v>
      </c>
      <c r="AE35" s="124">
        <f>IFERROR(AD35/AD148, "NA")</f>
        <v>0.14979468568792204</v>
      </c>
      <c r="AF35" s="123">
        <f t="shared" si="8"/>
        <v>0.13486970567130646</v>
      </c>
      <c r="AG35" s="121">
        <f t="shared" si="9"/>
        <v>9477.1587500000005</v>
      </c>
      <c r="AH35" s="122">
        <f>IFERROR(AG35/AG148, "NA")</f>
        <v>0.20609284243305959</v>
      </c>
      <c r="AI35" s="123">
        <f t="shared" si="10"/>
        <v>1471.2612500000014</v>
      </c>
      <c r="AJ35" s="124">
        <f>IFERROR(AI35/AI148, "NA")</f>
        <v>0.16257066313958715</v>
      </c>
      <c r="AK35" s="123">
        <f t="shared" si="11"/>
        <v>0.15524286221331909</v>
      </c>
      <c r="AL35" s="124">
        <f>IFERROR(AK35/AK148, "NA")</f>
        <v>0.78882246088867081</v>
      </c>
    </row>
    <row r="36" spans="1:38" ht="16.5" customHeight="1" x14ac:dyDescent="0.25">
      <c r="A36" s="4" t="s">
        <v>42</v>
      </c>
      <c r="B36" s="111"/>
      <c r="C36" s="112"/>
      <c r="D36" s="111"/>
      <c r="E36" s="112"/>
      <c r="F36" s="111"/>
      <c r="G36" s="112"/>
      <c r="H36" s="111"/>
      <c r="I36" s="112"/>
      <c r="J36" s="111"/>
      <c r="K36" s="112"/>
      <c r="L36" s="111"/>
      <c r="M36" s="112"/>
      <c r="N36" s="111"/>
      <c r="O36" s="112"/>
      <c r="P36" s="111"/>
      <c r="Q36" s="112"/>
      <c r="R36" s="111"/>
      <c r="S36" s="112"/>
      <c r="T36" s="111"/>
      <c r="U36" s="112"/>
      <c r="V36" s="111"/>
      <c r="W36" s="112"/>
      <c r="X36" s="111"/>
      <c r="Y36" s="112"/>
      <c r="Z36" s="111"/>
      <c r="AA36" s="112"/>
      <c r="AB36" s="111"/>
      <c r="AC36" s="112"/>
      <c r="AD36" s="113"/>
      <c r="AE36" s="114"/>
      <c r="AF36" s="113"/>
      <c r="AG36" s="111"/>
      <c r="AH36" s="112"/>
      <c r="AI36" s="113"/>
      <c r="AJ36" s="114"/>
      <c r="AK36" s="113"/>
      <c r="AL36" s="114"/>
    </row>
    <row r="37" spans="1:38" ht="16.5" hidden="1" customHeight="1" x14ac:dyDescent="0.25">
      <c r="A37" s="5" t="s">
        <v>43</v>
      </c>
      <c r="B37" s="115">
        <v>0</v>
      </c>
      <c r="C37" s="116">
        <f>IFERROR(B37/B148, "NA")</f>
        <v>0</v>
      </c>
      <c r="D37" s="115">
        <v>0</v>
      </c>
      <c r="E37" s="116">
        <f>IFERROR(D37/D148, "NA")</f>
        <v>0</v>
      </c>
      <c r="F37" s="115">
        <v>0</v>
      </c>
      <c r="G37" s="116">
        <f>IFERROR(F37/F148, "NA")</f>
        <v>0</v>
      </c>
      <c r="H37" s="115">
        <v>0</v>
      </c>
      <c r="I37" s="116">
        <f>IFERROR(H37/H148, "NA")</f>
        <v>0</v>
      </c>
      <c r="J37" s="115">
        <v>0</v>
      </c>
      <c r="K37" s="116">
        <f>IFERROR(J37/J148, "NA")</f>
        <v>0</v>
      </c>
      <c r="L37" s="115">
        <v>0</v>
      </c>
      <c r="M37" s="116">
        <f>IFERROR(L37/L148, "NA")</f>
        <v>0</v>
      </c>
      <c r="N37" s="115">
        <v>0</v>
      </c>
      <c r="O37" s="116">
        <f>IFERROR(N37/N148, "NA")</f>
        <v>0</v>
      </c>
      <c r="P37" s="115">
        <v>0</v>
      </c>
      <c r="Q37" s="116">
        <f>IFERROR(P37/P148, "NA")</f>
        <v>0</v>
      </c>
      <c r="R37" s="115">
        <v>0</v>
      </c>
      <c r="S37" s="116">
        <f>IFERROR(R37/R148, "NA")</f>
        <v>0</v>
      </c>
      <c r="T37" s="115">
        <v>0</v>
      </c>
      <c r="U37" s="116">
        <f>IFERROR(T37/T148, "NA")</f>
        <v>0</v>
      </c>
      <c r="V37" s="115">
        <v>0</v>
      </c>
      <c r="W37" s="116">
        <f>IFERROR(V37/V148, "NA")</f>
        <v>0</v>
      </c>
      <c r="X37" s="115">
        <v>0</v>
      </c>
      <c r="Y37" s="116">
        <f>IFERROR(X37/X148, "NA")</f>
        <v>0</v>
      </c>
      <c r="Z37" s="115">
        <v>0</v>
      </c>
      <c r="AA37" s="116">
        <f>IFERROR(Z37/Z148, "NA")</f>
        <v>0</v>
      </c>
      <c r="AB37" s="117">
        <f>IFERROR((R37+T37+V37+X37)/4, "NA")</f>
        <v>0</v>
      </c>
      <c r="AC37" s="116">
        <f>IFERROR(AB37/AB148, "NA")</f>
        <v>0</v>
      </c>
      <c r="AD37" s="118">
        <f>IFERROR(X37-AB37, "NA")</f>
        <v>0</v>
      </c>
      <c r="AE37" s="119">
        <f>IFERROR(AD37/AD148, "NA")</f>
        <v>0</v>
      </c>
      <c r="AF37" s="118" t="str">
        <f>IFERROR((X37-AB37)/AB37, "NA")</f>
        <v>NA</v>
      </c>
      <c r="AG37" s="117">
        <f>IFERROR((J37+L37+N37+P37+R37+T37+V37+X37)/8, "NA")</f>
        <v>0</v>
      </c>
      <c r="AH37" s="116">
        <f>IFERROR(AG37/AG148, "NA")</f>
        <v>0</v>
      </c>
      <c r="AI37" s="118">
        <f>IFERROR(X37-AG37, "NA")</f>
        <v>0</v>
      </c>
      <c r="AJ37" s="119">
        <f>IFERROR(AI37/AI148, "NA")</f>
        <v>0</v>
      </c>
      <c r="AK37" s="118" t="str">
        <f>IFERROR((X37-AG37)/AG37, "NA")</f>
        <v>NA</v>
      </c>
      <c r="AL37" s="119" t="str">
        <f>IFERROR(AK37/AK148, "NA")</f>
        <v>NA</v>
      </c>
    </row>
    <row r="38" spans="1:38" ht="16.5" customHeight="1" x14ac:dyDescent="0.25">
      <c r="A38" s="6" t="s">
        <v>44</v>
      </c>
      <c r="B38" s="111"/>
      <c r="C38" s="112"/>
      <c r="D38" s="111"/>
      <c r="E38" s="112"/>
      <c r="F38" s="111"/>
      <c r="G38" s="112"/>
      <c r="H38" s="111"/>
      <c r="I38" s="112"/>
      <c r="J38" s="111"/>
      <c r="K38" s="112"/>
      <c r="L38" s="111"/>
      <c r="M38" s="112"/>
      <c r="N38" s="111"/>
      <c r="O38" s="112"/>
      <c r="P38" s="111"/>
      <c r="Q38" s="112"/>
      <c r="R38" s="111"/>
      <c r="S38" s="112"/>
      <c r="T38" s="111"/>
      <c r="U38" s="112"/>
      <c r="V38" s="111"/>
      <c r="W38" s="112"/>
      <c r="X38" s="111"/>
      <c r="Y38" s="112"/>
      <c r="Z38" s="111"/>
      <c r="AA38" s="112"/>
      <c r="AB38" s="111"/>
      <c r="AC38" s="112"/>
      <c r="AD38" s="113"/>
      <c r="AE38" s="114"/>
      <c r="AF38" s="113"/>
      <c r="AG38" s="111"/>
      <c r="AH38" s="112"/>
      <c r="AI38" s="113"/>
      <c r="AJ38" s="114"/>
      <c r="AK38" s="113"/>
      <c r="AL38" s="114"/>
    </row>
    <row r="39" spans="1:38" ht="16.5" hidden="1" customHeight="1" x14ac:dyDescent="0.25">
      <c r="A39" s="7" t="s">
        <v>45</v>
      </c>
      <c r="B39" s="115">
        <v>0</v>
      </c>
      <c r="C39" s="116">
        <f>IFERROR(B39/B148, "NA")</f>
        <v>0</v>
      </c>
      <c r="D39" s="115">
        <v>0</v>
      </c>
      <c r="E39" s="116">
        <f>IFERROR(D39/D148, "NA")</f>
        <v>0</v>
      </c>
      <c r="F39" s="115">
        <v>0</v>
      </c>
      <c r="G39" s="116">
        <f>IFERROR(F39/F148, "NA")</f>
        <v>0</v>
      </c>
      <c r="H39" s="115">
        <v>0</v>
      </c>
      <c r="I39" s="116">
        <f>IFERROR(H39/H148, "NA")</f>
        <v>0</v>
      </c>
      <c r="J39" s="115">
        <v>0</v>
      </c>
      <c r="K39" s="116">
        <f>IFERROR(J39/J148, "NA")</f>
        <v>0</v>
      </c>
      <c r="L39" s="115">
        <v>0</v>
      </c>
      <c r="M39" s="116">
        <f>IFERROR(L39/L148, "NA")</f>
        <v>0</v>
      </c>
      <c r="N39" s="115">
        <v>0</v>
      </c>
      <c r="O39" s="116">
        <f>IFERROR(N39/N148, "NA")</f>
        <v>0</v>
      </c>
      <c r="P39" s="115">
        <v>0</v>
      </c>
      <c r="Q39" s="116">
        <f>IFERROR(P39/P148, "NA")</f>
        <v>0</v>
      </c>
      <c r="R39" s="115">
        <v>0</v>
      </c>
      <c r="S39" s="116">
        <f>IFERROR(R39/R148, "NA")</f>
        <v>0</v>
      </c>
      <c r="T39" s="115">
        <v>0</v>
      </c>
      <c r="U39" s="116">
        <f>IFERROR(T39/T148, "NA")</f>
        <v>0</v>
      </c>
      <c r="V39" s="115">
        <v>0</v>
      </c>
      <c r="W39" s="116">
        <f>IFERROR(V39/V148, "NA")</f>
        <v>0</v>
      </c>
      <c r="X39" s="115">
        <v>0</v>
      </c>
      <c r="Y39" s="116">
        <f>IFERROR(X39/X148, "NA")</f>
        <v>0</v>
      </c>
      <c r="Z39" s="115">
        <v>0</v>
      </c>
      <c r="AA39" s="116">
        <f>IFERROR(Z39/Z148, "NA")</f>
        <v>0</v>
      </c>
      <c r="AB39" s="117">
        <f t="shared" ref="AB39:AB44" si="12">IFERROR((R39+T39+V39+X39)/4, "NA")</f>
        <v>0</v>
      </c>
      <c r="AC39" s="116">
        <f>IFERROR(AB39/AB148, "NA")</f>
        <v>0</v>
      </c>
      <c r="AD39" s="118">
        <f t="shared" ref="AD39:AD44" si="13">IFERROR(X39-AB39, "NA")</f>
        <v>0</v>
      </c>
      <c r="AE39" s="119">
        <f>IFERROR(AD39/AD148, "NA")</f>
        <v>0</v>
      </c>
      <c r="AF39" s="118" t="str">
        <f t="shared" ref="AF39:AF44" si="14">IFERROR((X39-AB39)/AB39, "NA")</f>
        <v>NA</v>
      </c>
      <c r="AG39" s="117">
        <f t="shared" ref="AG39:AG44" si="15">IFERROR((J39+L39+N39+P39+R39+T39+V39+X39)/8, "NA")</f>
        <v>0</v>
      </c>
      <c r="AH39" s="116">
        <f>IFERROR(AG39/AG148, "NA")</f>
        <v>0</v>
      </c>
      <c r="AI39" s="118">
        <f t="shared" ref="AI39:AI44" si="16">IFERROR(X39-AG39, "NA")</f>
        <v>0</v>
      </c>
      <c r="AJ39" s="119">
        <f>IFERROR(AI39/AI148, "NA")</f>
        <v>0</v>
      </c>
      <c r="AK39" s="118" t="str">
        <f t="shared" ref="AK39:AK44" si="17">IFERROR((X39-AG39)/AG39, "NA")</f>
        <v>NA</v>
      </c>
      <c r="AL39" s="119" t="str">
        <f>IFERROR(AK39/AK148, "NA")</f>
        <v>NA</v>
      </c>
    </row>
    <row r="40" spans="1:38" ht="16.5" customHeight="1" x14ac:dyDescent="0.25">
      <c r="A40" s="7" t="s">
        <v>46</v>
      </c>
      <c r="B40" s="115">
        <v>1005.2</v>
      </c>
      <c r="C40" s="116">
        <f>IFERROR(B40/B148, "NA")</f>
        <v>2.0924299498083259E-2</v>
      </c>
      <c r="D40" s="115">
        <v>1060.5999999999999</v>
      </c>
      <c r="E40" s="116">
        <f>IFERROR(D40/D148, "NA")</f>
        <v>2.5568696162839272E-2</v>
      </c>
      <c r="F40" s="115">
        <v>1508.79</v>
      </c>
      <c r="G40" s="116">
        <f>IFERROR(F40/F148, "NA")</f>
        <v>3.0260050031297135E-2</v>
      </c>
      <c r="H40" s="115">
        <v>1125.1199999999999</v>
      </c>
      <c r="I40" s="116">
        <f>IFERROR(H40/H148, "NA")</f>
        <v>2.1989413373297025E-2</v>
      </c>
      <c r="J40" s="115">
        <v>974.15</v>
      </c>
      <c r="K40" s="116">
        <f>IFERROR(J40/J148, "NA")</f>
        <v>2.0562155375721859E-2</v>
      </c>
      <c r="L40" s="115">
        <v>940.45</v>
      </c>
      <c r="M40" s="116">
        <f>IFERROR(L40/L148, "NA")</f>
        <v>2.132997237049036E-2</v>
      </c>
      <c r="N40" s="115">
        <v>935.71</v>
      </c>
      <c r="O40" s="116">
        <f>IFERROR(N40/N148, "NA")</f>
        <v>1.887614219915499E-2</v>
      </c>
      <c r="P40" s="115">
        <v>910.54</v>
      </c>
      <c r="Q40" s="116">
        <f>IFERROR(P40/P148, "NA")</f>
        <v>2.1969033829619473E-2</v>
      </c>
      <c r="R40" s="115">
        <v>1041.96</v>
      </c>
      <c r="S40" s="116">
        <f>IFERROR(R40/R148, "NA")</f>
        <v>2.6790183926043914E-2</v>
      </c>
      <c r="T40" s="115">
        <v>822.28</v>
      </c>
      <c r="U40" s="116">
        <f>IFERROR(T40/T148, "NA")</f>
        <v>1.8860861579056983E-2</v>
      </c>
      <c r="V40" s="115">
        <v>730.07</v>
      </c>
      <c r="W40" s="116">
        <f>IFERROR(V40/V148, "NA")</f>
        <v>1.5251147695500969E-2</v>
      </c>
      <c r="X40" s="115">
        <v>756.68</v>
      </c>
      <c r="Y40" s="116">
        <f>IFERROR(X40/X148, "NA")</f>
        <v>1.3749098753372406E-2</v>
      </c>
      <c r="Z40" s="115">
        <v>1486.75</v>
      </c>
      <c r="AA40" s="116">
        <f>IFERROR(Z40/Z148, "NA")</f>
        <v>1.4447830964410572E-2</v>
      </c>
      <c r="AB40" s="117">
        <f t="shared" si="12"/>
        <v>837.74749999999995</v>
      </c>
      <c r="AC40" s="116">
        <f>IFERROR(AB40/AB148, "NA")</f>
        <v>1.8074844751938868E-2</v>
      </c>
      <c r="AD40" s="118">
        <f t="shared" si="13"/>
        <v>-81.067499999999995</v>
      </c>
      <c r="AE40" s="119">
        <f>IFERROR(AD40/AD148, "NA")</f>
        <v>-9.3330443649877488E-3</v>
      </c>
      <c r="AF40" s="118">
        <f t="shared" si="14"/>
        <v>-9.6768417691488182E-2</v>
      </c>
      <c r="AG40" s="117">
        <f t="shared" si="15"/>
        <v>888.9799999999999</v>
      </c>
      <c r="AH40" s="116">
        <f>IFERROR(AG40/AG148, "NA")</f>
        <v>1.9331998112423861E-2</v>
      </c>
      <c r="AI40" s="118">
        <f t="shared" si="16"/>
        <v>-132.29999999999995</v>
      </c>
      <c r="AJ40" s="119">
        <f>IFERROR(AI40/AI148, "NA")</f>
        <v>-1.4618816837164272E-2</v>
      </c>
      <c r="AK40" s="118">
        <f t="shared" si="17"/>
        <v>-0.14882224571981367</v>
      </c>
      <c r="AL40" s="119">
        <f>IFERROR(AK40/AK148, "NA")</f>
        <v>-0.75619792388503138</v>
      </c>
    </row>
    <row r="41" spans="1:38" ht="16.5" customHeight="1" x14ac:dyDescent="0.25">
      <c r="A41" s="7" t="s">
        <v>47</v>
      </c>
      <c r="B41" s="115">
        <v>837.72</v>
      </c>
      <c r="C41" s="116">
        <f>IFERROR(B41/B148, "NA")</f>
        <v>1.7438026438056416E-2</v>
      </c>
      <c r="D41" s="115">
        <v>599.58000000000004</v>
      </c>
      <c r="E41" s="116">
        <f>IFERROR(D41/D148, "NA")</f>
        <v>1.4454534080063336E-2</v>
      </c>
      <c r="F41" s="115">
        <v>452.69</v>
      </c>
      <c r="G41" s="116">
        <f>IFERROR(F41/F148, "NA")</f>
        <v>9.0790779688809577E-3</v>
      </c>
      <c r="H41" s="115">
        <v>685.62</v>
      </c>
      <c r="I41" s="116">
        <f>IFERROR(H41/H148, "NA")</f>
        <v>1.3399798774352876E-2</v>
      </c>
      <c r="J41" s="115">
        <v>867.31</v>
      </c>
      <c r="K41" s="116">
        <f>IFERROR(J41/J148, "NA")</f>
        <v>1.8306998900495124E-2</v>
      </c>
      <c r="L41" s="115">
        <v>842.46</v>
      </c>
      <c r="M41" s="116">
        <f>IFERROR(L41/L148, "NA")</f>
        <v>1.9107500157630186E-2</v>
      </c>
      <c r="N41" s="115">
        <v>436.84</v>
      </c>
      <c r="O41" s="116">
        <f>IFERROR(N41/N148, "NA")</f>
        <v>8.8124033710004872E-3</v>
      </c>
      <c r="P41" s="115">
        <v>632.84</v>
      </c>
      <c r="Q41" s="116">
        <f>IFERROR(P41/P148, "NA")</f>
        <v>1.526883318551232E-2</v>
      </c>
      <c r="R41" s="115">
        <v>961.67</v>
      </c>
      <c r="S41" s="116">
        <f>IFERROR(R41/R148, "NA")</f>
        <v>2.4725820737992486E-2</v>
      </c>
      <c r="T41" s="115">
        <v>897.59</v>
      </c>
      <c r="U41" s="116">
        <f>IFERROR(T41/T148, "NA")</f>
        <v>2.0588267676151382E-2</v>
      </c>
      <c r="V41" s="115">
        <v>759.52</v>
      </c>
      <c r="W41" s="116">
        <f>IFERROR(V41/V148, "NA")</f>
        <v>1.5866357606375957E-2</v>
      </c>
      <c r="X41" s="115">
        <v>1285.6400000000001</v>
      </c>
      <c r="Y41" s="116">
        <f>IFERROR(X41/X148, "NA")</f>
        <v>2.3360457949576707E-2</v>
      </c>
      <c r="Z41" s="115">
        <v>2045.16</v>
      </c>
      <c r="AA41" s="116">
        <f>IFERROR(Z41/Z148, "NA")</f>
        <v>1.9874307028870979E-2</v>
      </c>
      <c r="AB41" s="117">
        <f t="shared" si="12"/>
        <v>976.10500000000002</v>
      </c>
      <c r="AC41" s="116">
        <f>IFERROR(AB41/AB148, "NA")</f>
        <v>2.1059980885160853E-2</v>
      </c>
      <c r="AD41" s="118">
        <f t="shared" si="13"/>
        <v>309.53500000000008</v>
      </c>
      <c r="AE41" s="119">
        <f>IFERROR(AD41/AD148, "NA")</f>
        <v>3.5635783606457382E-2</v>
      </c>
      <c r="AF41" s="118">
        <f t="shared" si="14"/>
        <v>0.31711240081753506</v>
      </c>
      <c r="AG41" s="117">
        <f t="shared" si="15"/>
        <v>835.48374999999999</v>
      </c>
      <c r="AH41" s="116">
        <f>IFERROR(AG41/AG148, "NA")</f>
        <v>1.8168654275642657E-2</v>
      </c>
      <c r="AI41" s="118">
        <f t="shared" si="16"/>
        <v>450.15625000000011</v>
      </c>
      <c r="AJ41" s="119">
        <f>IFERROR(AI41/AI148, "NA")</f>
        <v>4.9741132024601155E-2</v>
      </c>
      <c r="AK41" s="118">
        <f t="shared" si="17"/>
        <v>0.53879713399572415</v>
      </c>
      <c r="AL41" s="119">
        <f>IFERROR(AK41/AK148, "NA")</f>
        <v>2.7377444289468</v>
      </c>
    </row>
    <row r="42" spans="1:38" ht="16.5" customHeight="1" x14ac:dyDescent="0.25">
      <c r="A42" s="7" t="s">
        <v>48</v>
      </c>
      <c r="B42" s="115">
        <v>0</v>
      </c>
      <c r="C42" s="116">
        <f>IFERROR(B42/B148, "NA")</f>
        <v>0</v>
      </c>
      <c r="D42" s="115">
        <v>0</v>
      </c>
      <c r="E42" s="116">
        <f>IFERROR(D42/D148, "NA")</f>
        <v>0</v>
      </c>
      <c r="F42" s="115">
        <v>0</v>
      </c>
      <c r="G42" s="116">
        <f>IFERROR(F42/F148, "NA")</f>
        <v>0</v>
      </c>
      <c r="H42" s="115">
        <v>0</v>
      </c>
      <c r="I42" s="116">
        <f>IFERROR(H42/H148, "NA")</f>
        <v>0</v>
      </c>
      <c r="J42" s="115">
        <v>0</v>
      </c>
      <c r="K42" s="116">
        <f>IFERROR(J42/J148, "NA")</f>
        <v>0</v>
      </c>
      <c r="L42" s="115">
        <v>0</v>
      </c>
      <c r="M42" s="116">
        <f>IFERROR(L42/L148, "NA")</f>
        <v>0</v>
      </c>
      <c r="N42" s="115">
        <v>0</v>
      </c>
      <c r="O42" s="116">
        <f>IFERROR(N42/N148, "NA")</f>
        <v>0</v>
      </c>
      <c r="P42" s="115">
        <v>0</v>
      </c>
      <c r="Q42" s="116">
        <f>IFERROR(P42/P148, "NA")</f>
        <v>0</v>
      </c>
      <c r="R42" s="115">
        <v>0</v>
      </c>
      <c r="S42" s="116">
        <f>IFERROR(R42/R148, "NA")</f>
        <v>0</v>
      </c>
      <c r="T42" s="115">
        <v>77.14</v>
      </c>
      <c r="U42" s="116">
        <f>IFERROR(T42/T148, "NA")</f>
        <v>1.769381308323753E-3</v>
      </c>
      <c r="V42" s="115">
        <v>0</v>
      </c>
      <c r="W42" s="116">
        <f>IFERROR(V42/V148, "NA")</f>
        <v>0</v>
      </c>
      <c r="X42" s="115">
        <v>0</v>
      </c>
      <c r="Y42" s="116">
        <f>IFERROR(X42/X148, "NA")</f>
        <v>0</v>
      </c>
      <c r="Z42" s="115">
        <v>0</v>
      </c>
      <c r="AA42" s="116">
        <f>IFERROR(Z42/Z148, "NA")</f>
        <v>0</v>
      </c>
      <c r="AB42" s="117">
        <f t="shared" si="12"/>
        <v>19.285</v>
      </c>
      <c r="AC42" s="116">
        <f>IFERROR(AB42/AB148, "NA")</f>
        <v>4.16084059983636E-4</v>
      </c>
      <c r="AD42" s="118">
        <f t="shared" si="13"/>
        <v>-19.285</v>
      </c>
      <c r="AE42" s="119">
        <f>IFERROR(AD42/AD148, "NA")</f>
        <v>-2.2202209341448636E-3</v>
      </c>
      <c r="AF42" s="118">
        <f t="shared" si="14"/>
        <v>-1</v>
      </c>
      <c r="AG42" s="117">
        <f t="shared" si="15"/>
        <v>9.6425000000000001</v>
      </c>
      <c r="AH42" s="116">
        <f>IFERROR(AG42/AG148, "NA")</f>
        <v>2.096883977131624E-4</v>
      </c>
      <c r="AI42" s="118">
        <f t="shared" si="16"/>
        <v>-9.6425000000000001</v>
      </c>
      <c r="AJ42" s="119">
        <f>IFERROR(AI42/AI148, "NA")</f>
        <v>-1.0654719678938513E-3</v>
      </c>
      <c r="AK42" s="118">
        <f t="shared" si="17"/>
        <v>-1</v>
      </c>
      <c r="AL42" s="119">
        <f>IFERROR(AK42/AK148, "NA")</f>
        <v>-5.0812156490953546</v>
      </c>
    </row>
    <row r="43" spans="1:38" ht="16.5" hidden="1" customHeight="1" x14ac:dyDescent="0.25">
      <c r="A43" s="7" t="s">
        <v>49</v>
      </c>
      <c r="B43" s="115">
        <v>0</v>
      </c>
      <c r="C43" s="116">
        <f>IFERROR(B43/B148, "NA")</f>
        <v>0</v>
      </c>
      <c r="D43" s="115">
        <v>0</v>
      </c>
      <c r="E43" s="116">
        <f>IFERROR(D43/D148, "NA")</f>
        <v>0</v>
      </c>
      <c r="F43" s="115">
        <v>0</v>
      </c>
      <c r="G43" s="116">
        <f>IFERROR(F43/F148, "NA")</f>
        <v>0</v>
      </c>
      <c r="H43" s="115">
        <v>0</v>
      </c>
      <c r="I43" s="116">
        <f>IFERROR(H43/H148, "NA")</f>
        <v>0</v>
      </c>
      <c r="J43" s="115">
        <v>0</v>
      </c>
      <c r="K43" s="116">
        <f>IFERROR(J43/J148, "NA")</f>
        <v>0</v>
      </c>
      <c r="L43" s="115">
        <v>0</v>
      </c>
      <c r="M43" s="116">
        <f>IFERROR(L43/L148, "NA")</f>
        <v>0</v>
      </c>
      <c r="N43" s="115">
        <v>0</v>
      </c>
      <c r="O43" s="116">
        <f>IFERROR(N43/N148, "NA")</f>
        <v>0</v>
      </c>
      <c r="P43" s="115">
        <v>0</v>
      </c>
      <c r="Q43" s="116">
        <f>IFERROR(P43/P148, "NA")</f>
        <v>0</v>
      </c>
      <c r="R43" s="115">
        <v>0</v>
      </c>
      <c r="S43" s="116">
        <f>IFERROR(R43/R148, "NA")</f>
        <v>0</v>
      </c>
      <c r="T43" s="115">
        <v>0</v>
      </c>
      <c r="U43" s="116">
        <f>IFERROR(T43/T148, "NA")</f>
        <v>0</v>
      </c>
      <c r="V43" s="115">
        <v>0</v>
      </c>
      <c r="W43" s="116">
        <f>IFERROR(V43/V148, "NA")</f>
        <v>0</v>
      </c>
      <c r="X43" s="115">
        <v>0</v>
      </c>
      <c r="Y43" s="116">
        <f>IFERROR(X43/X148, "NA")</f>
        <v>0</v>
      </c>
      <c r="Z43" s="115">
        <v>0</v>
      </c>
      <c r="AA43" s="116">
        <f>IFERROR(Z43/Z148, "NA")</f>
        <v>0</v>
      </c>
      <c r="AB43" s="117">
        <f t="shared" si="12"/>
        <v>0</v>
      </c>
      <c r="AC43" s="116">
        <f>IFERROR(AB43/AB148, "NA")</f>
        <v>0</v>
      </c>
      <c r="AD43" s="118">
        <f t="shared" si="13"/>
        <v>0</v>
      </c>
      <c r="AE43" s="119">
        <f>IFERROR(AD43/AD148, "NA")</f>
        <v>0</v>
      </c>
      <c r="AF43" s="118" t="str">
        <f t="shared" si="14"/>
        <v>NA</v>
      </c>
      <c r="AG43" s="117">
        <f t="shared" si="15"/>
        <v>0</v>
      </c>
      <c r="AH43" s="116">
        <f>IFERROR(AG43/AG148, "NA")</f>
        <v>0</v>
      </c>
      <c r="AI43" s="118">
        <f t="shared" si="16"/>
        <v>0</v>
      </c>
      <c r="AJ43" s="119">
        <f>IFERROR(AI43/AI148, "NA")</f>
        <v>0</v>
      </c>
      <c r="AK43" s="118" t="str">
        <f t="shared" si="17"/>
        <v>NA</v>
      </c>
      <c r="AL43" s="119" t="str">
        <f>IFERROR(AK43/AK148, "NA")</f>
        <v>NA</v>
      </c>
    </row>
    <row r="44" spans="1:38" ht="16.5" customHeight="1" x14ac:dyDescent="0.25">
      <c r="A44" s="129" t="s">
        <v>50</v>
      </c>
      <c r="B44" s="121">
        <f>IFERROR(B39+B40+B41+B42+B43, "NA")</f>
        <v>1842.92</v>
      </c>
      <c r="C44" s="122">
        <f>IFERROR(B44/B148, "NA")</f>
        <v>3.8362325936139675E-2</v>
      </c>
      <c r="D44" s="121">
        <f>IFERROR(D39+D40+D41+D42+D43, "NA")</f>
        <v>1660.1799999999998</v>
      </c>
      <c r="E44" s="122">
        <f>IFERROR(D44/D148, "NA")</f>
        <v>4.0023230242902608E-2</v>
      </c>
      <c r="F44" s="121">
        <f>IFERROR(F39+F40+F41+F42+F43, "NA")</f>
        <v>1961.48</v>
      </c>
      <c r="G44" s="122">
        <f>IFERROR(F44/F148, "NA")</f>
        <v>3.9339128000178095E-2</v>
      </c>
      <c r="H44" s="121">
        <f>IFERROR(H39+H40+H41+H42+H43, "NA")</f>
        <v>1810.7399999999998</v>
      </c>
      <c r="I44" s="122">
        <f>IFERROR(H44/H148, "NA")</f>
        <v>3.5389212147649902E-2</v>
      </c>
      <c r="J44" s="121">
        <f>IFERROR(J39+J40+J41+J42+J43, "NA")</f>
        <v>1841.46</v>
      </c>
      <c r="K44" s="122">
        <f>IFERROR(J44/J148, "NA")</f>
        <v>3.8869154276216983E-2</v>
      </c>
      <c r="L44" s="121">
        <f>IFERROR(L39+L40+L41+L42+L43, "NA")</f>
        <v>1782.91</v>
      </c>
      <c r="M44" s="122">
        <f>IFERROR(L44/L148, "NA")</f>
        <v>4.0437472528120542E-2</v>
      </c>
      <c r="N44" s="121">
        <f>IFERROR(N39+N40+N41+N42+N43, "NA")</f>
        <v>1372.55</v>
      </c>
      <c r="O44" s="122">
        <f>IFERROR(N44/N148, "NA")</f>
        <v>2.7688545570155477E-2</v>
      </c>
      <c r="P44" s="121">
        <f>IFERROR(P39+P40+P41+P42+P43, "NA")</f>
        <v>1543.38</v>
      </c>
      <c r="Q44" s="122">
        <f>IFERROR(P44/P148, "NA")</f>
        <v>3.7237867015131793E-2</v>
      </c>
      <c r="R44" s="121">
        <f>IFERROR(R39+R40+R41+R42+R43, "NA")</f>
        <v>2003.63</v>
      </c>
      <c r="S44" s="122">
        <f>IFERROR(R44/R148, "NA")</f>
        <v>5.1516004664036399E-2</v>
      </c>
      <c r="T44" s="121">
        <f>IFERROR(T39+T40+T41+T42+T43, "NA")</f>
        <v>1797.01</v>
      </c>
      <c r="U44" s="122">
        <f>IFERROR(T44/T148, "NA")</f>
        <v>4.1218510563532117E-2</v>
      </c>
      <c r="V44" s="121">
        <f>IFERROR(V39+V40+V41+V42+V43, "NA")</f>
        <v>1489.5900000000001</v>
      </c>
      <c r="W44" s="122">
        <f>IFERROR(V44/V148, "NA")</f>
        <v>3.111750530187693E-2</v>
      </c>
      <c r="X44" s="121">
        <f>IFERROR(X39+X40+X41+X42+X43, "NA")</f>
        <v>2042.3200000000002</v>
      </c>
      <c r="Y44" s="122">
        <f>IFERROR(X44/X148, "NA")</f>
        <v>3.7109556702949117E-2</v>
      </c>
      <c r="Z44" s="121">
        <f>IFERROR(Z39+Z40+Z41+Z42+Z43, "NA")</f>
        <v>3531.91</v>
      </c>
      <c r="AA44" s="122">
        <f>IFERROR(Z44/Z148, "NA")</f>
        <v>3.432213799328155E-2</v>
      </c>
      <c r="AB44" s="121">
        <f t="shared" si="12"/>
        <v>1833.1375000000003</v>
      </c>
      <c r="AC44" s="122">
        <f>IFERROR(AB44/AB148, "NA")</f>
        <v>3.9550909697083365E-2</v>
      </c>
      <c r="AD44" s="123">
        <f t="shared" si="13"/>
        <v>209.18249999999989</v>
      </c>
      <c r="AE44" s="124">
        <f>IFERROR(AD44/AD148, "NA")</f>
        <v>2.4082518307324746E-2</v>
      </c>
      <c r="AF44" s="123">
        <f t="shared" si="14"/>
        <v>0.11411173466256615</v>
      </c>
      <c r="AG44" s="121">
        <f t="shared" si="15"/>
        <v>1734.10625</v>
      </c>
      <c r="AH44" s="122">
        <f>IFERROR(AG44/AG148, "NA")</f>
        <v>3.7710340785779686E-2</v>
      </c>
      <c r="AI44" s="123">
        <f t="shared" si="16"/>
        <v>308.21375000000012</v>
      </c>
      <c r="AJ44" s="124">
        <f>IFERROR(AI44/AI148, "NA")</f>
        <v>3.4056843219543026E-2</v>
      </c>
      <c r="AK44" s="123">
        <f t="shared" si="17"/>
        <v>0.17773636996002989</v>
      </c>
      <c r="AL44" s="124">
        <f>IFERROR(AK44/AK148, "NA")</f>
        <v>0.90311682445430541</v>
      </c>
    </row>
    <row r="45" spans="1:38" ht="16.5" customHeight="1" x14ac:dyDescent="0.25">
      <c r="A45" s="6" t="s">
        <v>51</v>
      </c>
      <c r="B45" s="111"/>
      <c r="C45" s="112"/>
      <c r="D45" s="111"/>
      <c r="E45" s="112"/>
      <c r="F45" s="111"/>
      <c r="G45" s="112"/>
      <c r="H45" s="111"/>
      <c r="I45" s="112"/>
      <c r="J45" s="111"/>
      <c r="K45" s="112"/>
      <c r="L45" s="111"/>
      <c r="M45" s="112"/>
      <c r="N45" s="111"/>
      <c r="O45" s="112"/>
      <c r="P45" s="111"/>
      <c r="Q45" s="112"/>
      <c r="R45" s="111"/>
      <c r="S45" s="112"/>
      <c r="T45" s="111"/>
      <c r="U45" s="112"/>
      <c r="V45" s="111"/>
      <c r="W45" s="112"/>
      <c r="X45" s="111"/>
      <c r="Y45" s="112"/>
      <c r="Z45" s="111"/>
      <c r="AA45" s="112"/>
      <c r="AB45" s="111"/>
      <c r="AC45" s="112"/>
      <c r="AD45" s="113"/>
      <c r="AE45" s="114"/>
      <c r="AF45" s="113"/>
      <c r="AG45" s="111"/>
      <c r="AH45" s="112"/>
      <c r="AI45" s="113"/>
      <c r="AJ45" s="114"/>
      <c r="AK45" s="113"/>
      <c r="AL45" s="114"/>
    </row>
    <row r="46" spans="1:38" ht="16.5" hidden="1" customHeight="1" x14ac:dyDescent="0.25">
      <c r="A46" s="7" t="s">
        <v>52</v>
      </c>
      <c r="B46" s="115">
        <v>0</v>
      </c>
      <c r="C46" s="116">
        <f>IFERROR(B46/B148, "NA")</f>
        <v>0</v>
      </c>
      <c r="D46" s="115">
        <v>0</v>
      </c>
      <c r="E46" s="116">
        <f>IFERROR(D46/D148, "NA")</f>
        <v>0</v>
      </c>
      <c r="F46" s="115">
        <v>0</v>
      </c>
      <c r="G46" s="116">
        <f>IFERROR(F46/F148, "NA")</f>
        <v>0</v>
      </c>
      <c r="H46" s="115">
        <v>0</v>
      </c>
      <c r="I46" s="116">
        <f>IFERROR(H46/H148, "NA")</f>
        <v>0</v>
      </c>
      <c r="J46" s="115">
        <v>0</v>
      </c>
      <c r="K46" s="116">
        <f>IFERROR(J46/J148, "NA")</f>
        <v>0</v>
      </c>
      <c r="L46" s="115">
        <v>0</v>
      </c>
      <c r="M46" s="116">
        <f>IFERROR(L46/L148, "NA")</f>
        <v>0</v>
      </c>
      <c r="N46" s="115">
        <v>0</v>
      </c>
      <c r="O46" s="116">
        <f>IFERROR(N46/N148, "NA")</f>
        <v>0</v>
      </c>
      <c r="P46" s="115">
        <v>0</v>
      </c>
      <c r="Q46" s="116">
        <f>IFERROR(P46/P148, "NA")</f>
        <v>0</v>
      </c>
      <c r="R46" s="115">
        <v>0</v>
      </c>
      <c r="S46" s="116">
        <f>IFERROR(R46/R148, "NA")</f>
        <v>0</v>
      </c>
      <c r="T46" s="115">
        <v>0</v>
      </c>
      <c r="U46" s="116">
        <f>IFERROR(T46/T148, "NA")</f>
        <v>0</v>
      </c>
      <c r="V46" s="115">
        <v>0</v>
      </c>
      <c r="W46" s="116">
        <f>IFERROR(V46/V148, "NA")</f>
        <v>0</v>
      </c>
      <c r="X46" s="115">
        <v>0</v>
      </c>
      <c r="Y46" s="116">
        <f>IFERROR(X46/X148, "NA")</f>
        <v>0</v>
      </c>
      <c r="Z46" s="115">
        <v>0</v>
      </c>
      <c r="AA46" s="116">
        <f>IFERROR(Z46/Z148, "NA")</f>
        <v>0</v>
      </c>
      <c r="AB46" s="117">
        <f t="shared" ref="AB46:AB57" si="18">IFERROR((R46+T46+V46+X46)/4, "NA")</f>
        <v>0</v>
      </c>
      <c r="AC46" s="116">
        <f>IFERROR(AB46/AB148, "NA")</f>
        <v>0</v>
      </c>
      <c r="AD46" s="118">
        <f t="shared" ref="AD46:AD57" si="19">IFERROR(X46-AB46, "NA")</f>
        <v>0</v>
      </c>
      <c r="AE46" s="119">
        <f>IFERROR(AD46/AD148, "NA")</f>
        <v>0</v>
      </c>
      <c r="AF46" s="118" t="str">
        <f t="shared" ref="AF46:AF57" si="20">IFERROR((X46-AB46)/AB46, "NA")</f>
        <v>NA</v>
      </c>
      <c r="AG46" s="117">
        <f t="shared" ref="AG46:AG57" si="21">IFERROR((J46+L46+N46+P46+R46+T46+V46+X46)/8, "NA")</f>
        <v>0</v>
      </c>
      <c r="AH46" s="116">
        <f>IFERROR(AG46/AG148, "NA")</f>
        <v>0</v>
      </c>
      <c r="AI46" s="118">
        <f t="shared" ref="AI46:AI57" si="22">IFERROR(X46-AG46, "NA")</f>
        <v>0</v>
      </c>
      <c r="AJ46" s="119">
        <f>IFERROR(AI46/AI148, "NA")</f>
        <v>0</v>
      </c>
      <c r="AK46" s="118" t="str">
        <f t="shared" ref="AK46:AK57" si="23">IFERROR((X46-AG46)/AG46, "NA")</f>
        <v>NA</v>
      </c>
      <c r="AL46" s="119" t="str">
        <f>IFERROR(AK46/AK148, "NA")</f>
        <v>NA</v>
      </c>
    </row>
    <row r="47" spans="1:38" ht="16.5" customHeight="1" x14ac:dyDescent="0.25">
      <c r="A47" s="7" t="s">
        <v>53</v>
      </c>
      <c r="B47" s="115">
        <v>86.43</v>
      </c>
      <c r="C47" s="116">
        <f>IFERROR(B47/B148, "NA")</f>
        <v>1.7991317206718426E-3</v>
      </c>
      <c r="D47" s="115">
        <v>69.27</v>
      </c>
      <c r="E47" s="116">
        <f>IFERROR(D47/D148, "NA")</f>
        <v>1.6699449209880036E-3</v>
      </c>
      <c r="F47" s="115">
        <v>84.74</v>
      </c>
      <c r="G47" s="116">
        <f>IFERROR(F47/F148, "NA")</f>
        <v>1.6995318365392925E-3</v>
      </c>
      <c r="H47" s="115">
        <v>70.739999999999995</v>
      </c>
      <c r="I47" s="116">
        <f>IFERROR(H47/H148, "NA")</f>
        <v>1.3825468412498503E-3</v>
      </c>
      <c r="J47" s="115">
        <v>90.89</v>
      </c>
      <c r="K47" s="116">
        <f>IFERROR(J47/J148, "NA")</f>
        <v>1.9184871961190368E-3</v>
      </c>
      <c r="L47" s="115">
        <v>72.19</v>
      </c>
      <c r="M47" s="116">
        <f>IFERROR(L47/L148, "NA")</f>
        <v>1.6373126752360029E-3</v>
      </c>
      <c r="N47" s="115">
        <v>60.02</v>
      </c>
      <c r="O47" s="116">
        <f>IFERROR(N47/N148, "NA")</f>
        <v>1.2107875888825411E-3</v>
      </c>
      <c r="P47" s="115">
        <v>43.93</v>
      </c>
      <c r="Q47" s="116">
        <f>IFERROR(P47/P148, "NA")</f>
        <v>1.0599201090948046E-3</v>
      </c>
      <c r="R47" s="115">
        <v>78.34</v>
      </c>
      <c r="S47" s="116">
        <f>IFERROR(R47/R148, "NA")</f>
        <v>2.0142260823508389E-3</v>
      </c>
      <c r="T47" s="115">
        <v>91.51</v>
      </c>
      <c r="U47" s="116">
        <f>IFERROR(T47/T148, "NA")</f>
        <v>2.0989899342067236E-3</v>
      </c>
      <c r="V47" s="115">
        <v>126.83</v>
      </c>
      <c r="W47" s="116">
        <f>IFERROR(V47/V148, "NA")</f>
        <v>2.6494761628616265E-3</v>
      </c>
      <c r="X47" s="115">
        <v>94.8</v>
      </c>
      <c r="Y47" s="116">
        <f>IFERROR(X47/X148, "NA")</f>
        <v>1.7225439575774492E-3</v>
      </c>
      <c r="Z47" s="115">
        <v>221.63</v>
      </c>
      <c r="AA47" s="116">
        <f>IFERROR(Z47/Z148, "NA")</f>
        <v>2.1537398867612681E-3</v>
      </c>
      <c r="AB47" s="117">
        <f t="shared" si="18"/>
        <v>97.87</v>
      </c>
      <c r="AC47" s="116">
        <f>IFERROR(AB47/AB148, "NA")</f>
        <v>2.1115969380657742E-3</v>
      </c>
      <c r="AD47" s="118">
        <f t="shared" si="19"/>
        <v>-3.0700000000000074</v>
      </c>
      <c r="AE47" s="119">
        <f>IFERROR(AD47/AD148, "NA")</f>
        <v>-3.5343937090094623E-4</v>
      </c>
      <c r="AF47" s="118">
        <f t="shared" si="20"/>
        <v>-3.1368141412077319E-2</v>
      </c>
      <c r="AG47" s="117">
        <f t="shared" si="21"/>
        <v>82.313749999999999</v>
      </c>
      <c r="AH47" s="116">
        <f>IFERROR(AG47/AG148, "NA")</f>
        <v>1.7900169403434608E-3</v>
      </c>
      <c r="AI47" s="118">
        <f t="shared" si="22"/>
        <v>12.486249999999998</v>
      </c>
      <c r="AJ47" s="119">
        <f>IFERROR(AI47/AI148, "NA")</f>
        <v>1.3796991816556494E-3</v>
      </c>
      <c r="AK47" s="118">
        <f t="shared" si="23"/>
        <v>0.15169093863418928</v>
      </c>
      <c r="AL47" s="119">
        <f>IFERROR(AK47/AK148, "NA")</f>
        <v>0.77077437121400572</v>
      </c>
    </row>
    <row r="48" spans="1:38" ht="16.5" hidden="1" customHeight="1" x14ac:dyDescent="0.25">
      <c r="A48" s="7" t="s">
        <v>54</v>
      </c>
      <c r="B48" s="115">
        <v>0</v>
      </c>
      <c r="C48" s="116">
        <f>IFERROR(B48/B148, "NA")</f>
        <v>0</v>
      </c>
      <c r="D48" s="115">
        <v>0</v>
      </c>
      <c r="E48" s="116">
        <f>IFERROR(D48/D148, "NA")</f>
        <v>0</v>
      </c>
      <c r="F48" s="115">
        <v>0</v>
      </c>
      <c r="G48" s="116">
        <f>IFERROR(F48/F148, "NA")</f>
        <v>0</v>
      </c>
      <c r="H48" s="115">
        <v>0</v>
      </c>
      <c r="I48" s="116">
        <f>IFERROR(H48/H148, "NA")</f>
        <v>0</v>
      </c>
      <c r="J48" s="115">
        <v>0</v>
      </c>
      <c r="K48" s="116">
        <f>IFERROR(J48/J148, "NA")</f>
        <v>0</v>
      </c>
      <c r="L48" s="115">
        <v>0</v>
      </c>
      <c r="M48" s="116">
        <f>IFERROR(L48/L148, "NA")</f>
        <v>0</v>
      </c>
      <c r="N48" s="115">
        <v>0</v>
      </c>
      <c r="O48" s="116">
        <f>IFERROR(N48/N148, "NA")</f>
        <v>0</v>
      </c>
      <c r="P48" s="115">
        <v>0</v>
      </c>
      <c r="Q48" s="116">
        <f>IFERROR(P48/P148, "NA")</f>
        <v>0</v>
      </c>
      <c r="R48" s="115">
        <v>0</v>
      </c>
      <c r="S48" s="116">
        <f>IFERROR(R48/R148, "NA")</f>
        <v>0</v>
      </c>
      <c r="T48" s="115">
        <v>0</v>
      </c>
      <c r="U48" s="116">
        <f>IFERROR(T48/T148, "NA")</f>
        <v>0</v>
      </c>
      <c r="V48" s="115">
        <v>0</v>
      </c>
      <c r="W48" s="116">
        <f>IFERROR(V48/V148, "NA")</f>
        <v>0</v>
      </c>
      <c r="X48" s="115">
        <v>0</v>
      </c>
      <c r="Y48" s="116">
        <f>IFERROR(X48/X148, "NA")</f>
        <v>0</v>
      </c>
      <c r="Z48" s="115">
        <v>0</v>
      </c>
      <c r="AA48" s="116">
        <f>IFERROR(Z48/Z148, "NA")</f>
        <v>0</v>
      </c>
      <c r="AB48" s="117">
        <f t="shared" si="18"/>
        <v>0</v>
      </c>
      <c r="AC48" s="116">
        <f>IFERROR(AB48/AB148, "NA")</f>
        <v>0</v>
      </c>
      <c r="AD48" s="118">
        <f t="shared" si="19"/>
        <v>0</v>
      </c>
      <c r="AE48" s="119">
        <f>IFERROR(AD48/AD148, "NA")</f>
        <v>0</v>
      </c>
      <c r="AF48" s="118" t="str">
        <f t="shared" si="20"/>
        <v>NA</v>
      </c>
      <c r="AG48" s="117">
        <f t="shared" si="21"/>
        <v>0</v>
      </c>
      <c r="AH48" s="116">
        <f>IFERROR(AG48/AG148, "NA")</f>
        <v>0</v>
      </c>
      <c r="AI48" s="118">
        <f t="shared" si="22"/>
        <v>0</v>
      </c>
      <c r="AJ48" s="119">
        <f>IFERROR(AI48/AI148, "NA")</f>
        <v>0</v>
      </c>
      <c r="AK48" s="118" t="str">
        <f t="shared" si="23"/>
        <v>NA</v>
      </c>
      <c r="AL48" s="119" t="str">
        <f>IFERROR(AK48/AK148, "NA")</f>
        <v>NA</v>
      </c>
    </row>
    <row r="49" spans="1:38" ht="16.5" hidden="1" customHeight="1" x14ac:dyDescent="0.25">
      <c r="A49" s="7" t="s">
        <v>55</v>
      </c>
      <c r="B49" s="115">
        <v>0</v>
      </c>
      <c r="C49" s="116">
        <f>IFERROR(B49/B148, "NA")</f>
        <v>0</v>
      </c>
      <c r="D49" s="115">
        <v>0</v>
      </c>
      <c r="E49" s="116">
        <f>IFERROR(D49/D148, "NA")</f>
        <v>0</v>
      </c>
      <c r="F49" s="115">
        <v>0</v>
      </c>
      <c r="G49" s="116">
        <f>IFERROR(F49/F148, "NA")</f>
        <v>0</v>
      </c>
      <c r="H49" s="115">
        <v>0</v>
      </c>
      <c r="I49" s="116">
        <f>IFERROR(H49/H148, "NA")</f>
        <v>0</v>
      </c>
      <c r="J49" s="115">
        <v>0</v>
      </c>
      <c r="K49" s="116">
        <f>IFERROR(J49/J148, "NA")</f>
        <v>0</v>
      </c>
      <c r="L49" s="115">
        <v>0</v>
      </c>
      <c r="M49" s="116">
        <f>IFERROR(L49/L148, "NA")</f>
        <v>0</v>
      </c>
      <c r="N49" s="115">
        <v>0</v>
      </c>
      <c r="O49" s="116">
        <f>IFERROR(N49/N148, "NA")</f>
        <v>0</v>
      </c>
      <c r="P49" s="115">
        <v>0</v>
      </c>
      <c r="Q49" s="116">
        <f>IFERROR(P49/P148, "NA")</f>
        <v>0</v>
      </c>
      <c r="R49" s="115">
        <v>0</v>
      </c>
      <c r="S49" s="116">
        <f>IFERROR(R49/R148, "NA")</f>
        <v>0</v>
      </c>
      <c r="T49" s="115">
        <v>0</v>
      </c>
      <c r="U49" s="116">
        <f>IFERROR(T49/T148, "NA")</f>
        <v>0</v>
      </c>
      <c r="V49" s="115">
        <v>0</v>
      </c>
      <c r="W49" s="116">
        <f>IFERROR(V49/V148, "NA")</f>
        <v>0</v>
      </c>
      <c r="X49" s="115">
        <v>0</v>
      </c>
      <c r="Y49" s="116">
        <f>IFERROR(X49/X148, "NA")</f>
        <v>0</v>
      </c>
      <c r="Z49" s="115">
        <v>0</v>
      </c>
      <c r="AA49" s="116">
        <f>IFERROR(Z49/Z148, "NA")</f>
        <v>0</v>
      </c>
      <c r="AB49" s="117">
        <f t="shared" si="18"/>
        <v>0</v>
      </c>
      <c r="AC49" s="116">
        <f>IFERROR(AB49/AB148, "NA")</f>
        <v>0</v>
      </c>
      <c r="AD49" s="118">
        <f t="shared" si="19"/>
        <v>0</v>
      </c>
      <c r="AE49" s="119">
        <f>IFERROR(AD49/AD148, "NA")</f>
        <v>0</v>
      </c>
      <c r="AF49" s="118" t="str">
        <f t="shared" si="20"/>
        <v>NA</v>
      </c>
      <c r="AG49" s="117">
        <f t="shared" si="21"/>
        <v>0</v>
      </c>
      <c r="AH49" s="116">
        <f>IFERROR(AG49/AG148, "NA")</f>
        <v>0</v>
      </c>
      <c r="AI49" s="118">
        <f t="shared" si="22"/>
        <v>0</v>
      </c>
      <c r="AJ49" s="119">
        <f>IFERROR(AI49/AI148, "NA")</f>
        <v>0</v>
      </c>
      <c r="AK49" s="118" t="str">
        <f t="shared" si="23"/>
        <v>NA</v>
      </c>
      <c r="AL49" s="119" t="str">
        <f>IFERROR(AK49/AK148, "NA")</f>
        <v>NA</v>
      </c>
    </row>
    <row r="50" spans="1:38" ht="16.5" hidden="1" customHeight="1" x14ac:dyDescent="0.25">
      <c r="A50" s="7" t="s">
        <v>56</v>
      </c>
      <c r="B50" s="115">
        <v>0</v>
      </c>
      <c r="C50" s="116">
        <f>IFERROR(B50/B148, "NA")</f>
        <v>0</v>
      </c>
      <c r="D50" s="115">
        <v>0</v>
      </c>
      <c r="E50" s="116">
        <f>IFERROR(D50/D148, "NA")</f>
        <v>0</v>
      </c>
      <c r="F50" s="115">
        <v>0</v>
      </c>
      <c r="G50" s="116">
        <f>IFERROR(F50/F148, "NA")</f>
        <v>0</v>
      </c>
      <c r="H50" s="115">
        <v>0</v>
      </c>
      <c r="I50" s="116">
        <f>IFERROR(H50/H148, "NA")</f>
        <v>0</v>
      </c>
      <c r="J50" s="115">
        <v>0</v>
      </c>
      <c r="K50" s="116">
        <f>IFERROR(J50/J148, "NA")</f>
        <v>0</v>
      </c>
      <c r="L50" s="115">
        <v>0</v>
      </c>
      <c r="M50" s="116">
        <f>IFERROR(L50/L148, "NA")</f>
        <v>0</v>
      </c>
      <c r="N50" s="115">
        <v>0</v>
      </c>
      <c r="O50" s="116">
        <f>IFERROR(N50/N148, "NA")</f>
        <v>0</v>
      </c>
      <c r="P50" s="115">
        <v>0</v>
      </c>
      <c r="Q50" s="116">
        <f>IFERROR(P50/P148, "NA")</f>
        <v>0</v>
      </c>
      <c r="R50" s="115">
        <v>0</v>
      </c>
      <c r="S50" s="116">
        <f>IFERROR(R50/R148, "NA")</f>
        <v>0</v>
      </c>
      <c r="T50" s="115">
        <v>0</v>
      </c>
      <c r="U50" s="116">
        <f>IFERROR(T50/T148, "NA")</f>
        <v>0</v>
      </c>
      <c r="V50" s="115">
        <v>0</v>
      </c>
      <c r="W50" s="116">
        <f>IFERROR(V50/V148, "NA")</f>
        <v>0</v>
      </c>
      <c r="X50" s="115">
        <v>0</v>
      </c>
      <c r="Y50" s="116">
        <f>IFERROR(X50/X148, "NA")</f>
        <v>0</v>
      </c>
      <c r="Z50" s="115">
        <v>0</v>
      </c>
      <c r="AA50" s="116">
        <f>IFERROR(Z50/Z148, "NA")</f>
        <v>0</v>
      </c>
      <c r="AB50" s="117">
        <f t="shared" si="18"/>
        <v>0</v>
      </c>
      <c r="AC50" s="116">
        <f>IFERROR(AB50/AB148, "NA")</f>
        <v>0</v>
      </c>
      <c r="AD50" s="118">
        <f t="shared" si="19"/>
        <v>0</v>
      </c>
      <c r="AE50" s="119">
        <f>IFERROR(AD50/AD148, "NA")</f>
        <v>0</v>
      </c>
      <c r="AF50" s="118" t="str">
        <f t="shared" si="20"/>
        <v>NA</v>
      </c>
      <c r="AG50" s="117">
        <f t="shared" si="21"/>
        <v>0</v>
      </c>
      <c r="AH50" s="116">
        <f>IFERROR(AG50/AG148, "NA")</f>
        <v>0</v>
      </c>
      <c r="AI50" s="118">
        <f t="shared" si="22"/>
        <v>0</v>
      </c>
      <c r="AJ50" s="119">
        <f>IFERROR(AI50/AI148, "NA")</f>
        <v>0</v>
      </c>
      <c r="AK50" s="118" t="str">
        <f t="shared" si="23"/>
        <v>NA</v>
      </c>
      <c r="AL50" s="119" t="str">
        <f>IFERROR(AK50/AK148, "NA")</f>
        <v>NA</v>
      </c>
    </row>
    <row r="51" spans="1:38" ht="16.5" hidden="1" customHeight="1" x14ac:dyDescent="0.25">
      <c r="A51" s="7" t="s">
        <v>57</v>
      </c>
      <c r="B51" s="115">
        <v>0</v>
      </c>
      <c r="C51" s="116">
        <f>IFERROR(B51/B148, "NA")</f>
        <v>0</v>
      </c>
      <c r="D51" s="115">
        <v>0</v>
      </c>
      <c r="E51" s="116">
        <f>IFERROR(D51/D148, "NA")</f>
        <v>0</v>
      </c>
      <c r="F51" s="115">
        <v>0</v>
      </c>
      <c r="G51" s="116">
        <f>IFERROR(F51/F148, "NA")</f>
        <v>0</v>
      </c>
      <c r="H51" s="115">
        <v>0</v>
      </c>
      <c r="I51" s="116">
        <f>IFERROR(H51/H148, "NA")</f>
        <v>0</v>
      </c>
      <c r="J51" s="115">
        <v>0</v>
      </c>
      <c r="K51" s="116">
        <f>IFERROR(J51/J148, "NA")</f>
        <v>0</v>
      </c>
      <c r="L51" s="115">
        <v>0</v>
      </c>
      <c r="M51" s="116">
        <f>IFERROR(L51/L148, "NA")</f>
        <v>0</v>
      </c>
      <c r="N51" s="115">
        <v>0</v>
      </c>
      <c r="O51" s="116">
        <f>IFERROR(N51/N148, "NA")</f>
        <v>0</v>
      </c>
      <c r="P51" s="115">
        <v>0</v>
      </c>
      <c r="Q51" s="116">
        <f>IFERROR(P51/P148, "NA")</f>
        <v>0</v>
      </c>
      <c r="R51" s="115">
        <v>0</v>
      </c>
      <c r="S51" s="116">
        <f>IFERROR(R51/R148, "NA")</f>
        <v>0</v>
      </c>
      <c r="T51" s="115">
        <v>0</v>
      </c>
      <c r="U51" s="116">
        <f>IFERROR(T51/T148, "NA")</f>
        <v>0</v>
      </c>
      <c r="V51" s="115">
        <v>0</v>
      </c>
      <c r="W51" s="116">
        <f>IFERROR(V51/V148, "NA")</f>
        <v>0</v>
      </c>
      <c r="X51" s="115">
        <v>0</v>
      </c>
      <c r="Y51" s="116">
        <f>IFERROR(X51/X148, "NA")</f>
        <v>0</v>
      </c>
      <c r="Z51" s="115">
        <v>0</v>
      </c>
      <c r="AA51" s="116">
        <f>IFERROR(Z51/Z148, "NA")</f>
        <v>0</v>
      </c>
      <c r="AB51" s="117">
        <f t="shared" si="18"/>
        <v>0</v>
      </c>
      <c r="AC51" s="116">
        <f>IFERROR(AB51/AB148, "NA")</f>
        <v>0</v>
      </c>
      <c r="AD51" s="118">
        <f t="shared" si="19"/>
        <v>0</v>
      </c>
      <c r="AE51" s="119">
        <f>IFERROR(AD51/AD148, "NA")</f>
        <v>0</v>
      </c>
      <c r="AF51" s="118" t="str">
        <f t="shared" si="20"/>
        <v>NA</v>
      </c>
      <c r="AG51" s="117">
        <f t="shared" si="21"/>
        <v>0</v>
      </c>
      <c r="AH51" s="116">
        <f>IFERROR(AG51/AG148, "NA")</f>
        <v>0</v>
      </c>
      <c r="AI51" s="118">
        <f t="shared" si="22"/>
        <v>0</v>
      </c>
      <c r="AJ51" s="119">
        <f>IFERROR(AI51/AI148, "NA")</f>
        <v>0</v>
      </c>
      <c r="AK51" s="118" t="str">
        <f t="shared" si="23"/>
        <v>NA</v>
      </c>
      <c r="AL51" s="119" t="str">
        <f>IFERROR(AK51/AK148, "NA")</f>
        <v>NA</v>
      </c>
    </row>
    <row r="52" spans="1:38" ht="16.5" customHeight="1" x14ac:dyDescent="0.25">
      <c r="A52" s="129" t="s">
        <v>58</v>
      </c>
      <c r="B52" s="121">
        <f>IFERROR(B46+B47+B48+B49+B50+B51, "NA")</f>
        <v>86.43</v>
      </c>
      <c r="C52" s="122">
        <f>IFERROR(B52/B148, "NA")</f>
        <v>1.7991317206718426E-3</v>
      </c>
      <c r="D52" s="121">
        <f>IFERROR(D46+D47+D48+D49+D50+D51, "NA")</f>
        <v>69.27</v>
      </c>
      <c r="E52" s="122">
        <f>IFERROR(D52/D148, "NA")</f>
        <v>1.6699449209880036E-3</v>
      </c>
      <c r="F52" s="121">
        <f>IFERROR(F46+F47+F48+F49+F50+F51, "NA")</f>
        <v>84.74</v>
      </c>
      <c r="G52" s="122">
        <f>IFERROR(F52/F148, "NA")</f>
        <v>1.6995318365392925E-3</v>
      </c>
      <c r="H52" s="121">
        <f>IFERROR(H46+H47+H48+H49+H50+H51, "NA")</f>
        <v>70.739999999999995</v>
      </c>
      <c r="I52" s="122">
        <f>IFERROR(H52/H148, "NA")</f>
        <v>1.3825468412498503E-3</v>
      </c>
      <c r="J52" s="121">
        <f>IFERROR(J46+J47+J48+J49+J50+J51, "NA")</f>
        <v>90.89</v>
      </c>
      <c r="K52" s="122">
        <f>IFERROR(J52/J148, "NA")</f>
        <v>1.9184871961190368E-3</v>
      </c>
      <c r="L52" s="121">
        <f>IFERROR(L46+L47+L48+L49+L50+L51, "NA")</f>
        <v>72.19</v>
      </c>
      <c r="M52" s="122">
        <f>IFERROR(L52/L148, "NA")</f>
        <v>1.6373126752360029E-3</v>
      </c>
      <c r="N52" s="121">
        <f>IFERROR(N46+N47+N48+N49+N50+N51, "NA")</f>
        <v>60.02</v>
      </c>
      <c r="O52" s="122">
        <f>IFERROR(N52/N148, "NA")</f>
        <v>1.2107875888825411E-3</v>
      </c>
      <c r="P52" s="121">
        <f>IFERROR(P46+P47+P48+P49+P50+P51, "NA")</f>
        <v>43.93</v>
      </c>
      <c r="Q52" s="122">
        <f>IFERROR(P52/P148, "NA")</f>
        <v>1.0599201090948046E-3</v>
      </c>
      <c r="R52" s="121">
        <f>IFERROR(R46+R47+R48+R49+R50+R51, "NA")</f>
        <v>78.34</v>
      </c>
      <c r="S52" s="122">
        <f>IFERROR(R52/R148, "NA")</f>
        <v>2.0142260823508389E-3</v>
      </c>
      <c r="T52" s="121">
        <f>IFERROR(T46+T47+T48+T49+T50+T51, "NA")</f>
        <v>91.51</v>
      </c>
      <c r="U52" s="122">
        <f>IFERROR(T52/T148, "NA")</f>
        <v>2.0989899342067236E-3</v>
      </c>
      <c r="V52" s="121">
        <f>IFERROR(V46+V47+V48+V49+V50+V51, "NA")</f>
        <v>126.83</v>
      </c>
      <c r="W52" s="122">
        <f>IFERROR(V52/V148, "NA")</f>
        <v>2.6494761628616265E-3</v>
      </c>
      <c r="X52" s="121">
        <f>IFERROR(X46+X47+X48+X49+X50+X51, "NA")</f>
        <v>94.8</v>
      </c>
      <c r="Y52" s="122">
        <f>IFERROR(X52/X148, "NA")</f>
        <v>1.7225439575774492E-3</v>
      </c>
      <c r="Z52" s="121">
        <f>IFERROR(Z46+Z47+Z48+Z49+Z50+Z51, "NA")</f>
        <v>221.63</v>
      </c>
      <c r="AA52" s="122">
        <f>IFERROR(Z52/Z148, "NA")</f>
        <v>2.1537398867612681E-3</v>
      </c>
      <c r="AB52" s="121">
        <f t="shared" si="18"/>
        <v>97.87</v>
      </c>
      <c r="AC52" s="122">
        <f>IFERROR(AB52/AB148, "NA")</f>
        <v>2.1115969380657742E-3</v>
      </c>
      <c r="AD52" s="123">
        <f t="shared" si="19"/>
        <v>-3.0700000000000074</v>
      </c>
      <c r="AE52" s="124">
        <f>IFERROR(AD52/AD148, "NA")</f>
        <v>-3.5343937090094623E-4</v>
      </c>
      <c r="AF52" s="123">
        <f t="shared" si="20"/>
        <v>-3.1368141412077319E-2</v>
      </c>
      <c r="AG52" s="121">
        <f t="shared" si="21"/>
        <v>82.313749999999999</v>
      </c>
      <c r="AH52" s="122">
        <f>IFERROR(AG52/AG148, "NA")</f>
        <v>1.7900169403434608E-3</v>
      </c>
      <c r="AI52" s="123">
        <f t="shared" si="22"/>
        <v>12.486249999999998</v>
      </c>
      <c r="AJ52" s="124">
        <f>IFERROR(AI52/AI148, "NA")</f>
        <v>1.3796991816556494E-3</v>
      </c>
      <c r="AK52" s="123">
        <f t="shared" si="23"/>
        <v>0.15169093863418928</v>
      </c>
      <c r="AL52" s="124">
        <f>IFERROR(AK52/AK148, "NA")</f>
        <v>0.77077437121400572</v>
      </c>
    </row>
    <row r="53" spans="1:38" ht="16.5" customHeight="1" x14ac:dyDescent="0.25">
      <c r="A53" s="5" t="s">
        <v>59</v>
      </c>
      <c r="B53" s="115">
        <v>74.28</v>
      </c>
      <c r="C53" s="116">
        <f>IFERROR(B53/B148, "NA")</f>
        <v>1.5462166401886436E-3</v>
      </c>
      <c r="D53" s="115">
        <v>17.3</v>
      </c>
      <c r="E53" s="116">
        <f>IFERROR(D53/D148, "NA")</f>
        <v>4.1706434434953752E-4</v>
      </c>
      <c r="F53" s="115">
        <v>32.81</v>
      </c>
      <c r="G53" s="116">
        <f>IFERROR(F53/F148, "NA")</f>
        <v>6.5803209295320038E-4</v>
      </c>
      <c r="H53" s="115">
        <v>28.18</v>
      </c>
      <c r="I53" s="116">
        <f>IFERROR(H53/H148, "NA")</f>
        <v>5.5075162547951349E-4</v>
      </c>
      <c r="J53" s="115">
        <v>81.52</v>
      </c>
      <c r="K53" s="116">
        <f>IFERROR(J53/J148, "NA")</f>
        <v>1.7207071870131354E-3</v>
      </c>
      <c r="L53" s="115">
        <v>18.22</v>
      </c>
      <c r="M53" s="116">
        <f>IFERROR(L53/L148, "NA")</f>
        <v>4.132405726942786E-4</v>
      </c>
      <c r="N53" s="115">
        <v>59.55</v>
      </c>
      <c r="O53" s="116">
        <f>IFERROR(N53/N148, "NA")</f>
        <v>1.2013062465504052E-3</v>
      </c>
      <c r="P53" s="115">
        <v>29.28</v>
      </c>
      <c r="Q53" s="116">
        <f>IFERROR(P53/P148, "NA")</f>
        <v>7.0645255620978558E-4</v>
      </c>
      <c r="R53" s="115">
        <v>49.78</v>
      </c>
      <c r="S53" s="116">
        <f>IFERROR(R53/R148, "NA")</f>
        <v>1.2799103188591366E-3</v>
      </c>
      <c r="T53" s="115">
        <v>24.68</v>
      </c>
      <c r="U53" s="116">
        <f>IFERROR(T53/T148, "NA")</f>
        <v>5.6609191974890108E-4</v>
      </c>
      <c r="V53" s="115">
        <v>36.340000000000003</v>
      </c>
      <c r="W53" s="116">
        <f>IFERROR(V53/V148, "NA")</f>
        <v>7.5914187304574254E-4</v>
      </c>
      <c r="X53" s="115">
        <v>80.92</v>
      </c>
      <c r="Y53" s="116">
        <f>IFERROR(X53/X148, "NA")</f>
        <v>1.4703402642106244E-3</v>
      </c>
      <c r="Z53" s="115">
        <v>117.26</v>
      </c>
      <c r="AA53" s="116">
        <f>IFERROR(Z53/Z148, "NA")</f>
        <v>1.1395006954005608E-3</v>
      </c>
      <c r="AB53" s="117">
        <f t="shared" si="18"/>
        <v>47.930000000000007</v>
      </c>
      <c r="AC53" s="116">
        <f>IFERROR(AB53/AB148, "NA")</f>
        <v>1.0341150632624152E-3</v>
      </c>
      <c r="AD53" s="118">
        <f t="shared" si="19"/>
        <v>32.989999999999995</v>
      </c>
      <c r="AE53" s="119">
        <f>IFERROR(AD53/AD148, "NA")</f>
        <v>3.7980341517987576E-3</v>
      </c>
      <c r="AF53" s="118">
        <f t="shared" si="20"/>
        <v>0.68829543083663658</v>
      </c>
      <c r="AG53" s="117">
        <f t="shared" si="21"/>
        <v>47.536250000000003</v>
      </c>
      <c r="AH53" s="116">
        <f>IFERROR(AG53/AG148, "NA")</f>
        <v>1.0337360742330636E-3</v>
      </c>
      <c r="AI53" s="118">
        <f t="shared" si="22"/>
        <v>33.383749999999999</v>
      </c>
      <c r="AJ53" s="119">
        <f>IFERROR(AI53/AI148, "NA")</f>
        <v>3.6888203067852068E-3</v>
      </c>
      <c r="AK53" s="118">
        <f t="shared" si="23"/>
        <v>0.70227983907018321</v>
      </c>
      <c r="AL53" s="119">
        <f>IFERROR(AK53/AK148, "NA")</f>
        <v>3.5684353083275822</v>
      </c>
    </row>
    <row r="54" spans="1:38" ht="16.5" customHeight="1" x14ac:dyDescent="0.25">
      <c r="A54" s="5" t="s">
        <v>60</v>
      </c>
      <c r="B54" s="115">
        <v>42</v>
      </c>
      <c r="C54" s="116">
        <f>IFERROR(B54/B148, "NA")</f>
        <v>8.7427435228760141E-4</v>
      </c>
      <c r="D54" s="115">
        <v>46</v>
      </c>
      <c r="E54" s="116">
        <f>IFERROR(D54/D148, "NA")</f>
        <v>1.1089572161895216E-3</v>
      </c>
      <c r="F54" s="115">
        <v>50</v>
      </c>
      <c r="G54" s="116">
        <f>IFERROR(F54/F148, "NA")</f>
        <v>1.0027919734123746E-3</v>
      </c>
      <c r="H54" s="115">
        <v>43</v>
      </c>
      <c r="I54" s="116">
        <f>IFERROR(H54/H148, "NA")</f>
        <v>8.4039460239954155E-4</v>
      </c>
      <c r="J54" s="115">
        <v>49</v>
      </c>
      <c r="K54" s="116">
        <f>IFERROR(J54/J148, "NA")</f>
        <v>1.0342817978857169E-3</v>
      </c>
      <c r="L54" s="115">
        <v>55</v>
      </c>
      <c r="M54" s="116">
        <f>IFERROR(L54/L148, "NA")</f>
        <v>1.2474331228422243E-3</v>
      </c>
      <c r="N54" s="115">
        <v>57.25</v>
      </c>
      <c r="O54" s="116">
        <f>IFERROR(N54/N148, "NA")</f>
        <v>1.1549081883293149E-3</v>
      </c>
      <c r="P54" s="115">
        <v>38</v>
      </c>
      <c r="Q54" s="116">
        <f>IFERROR(P54/P148, "NA")</f>
        <v>9.1684416447991297E-4</v>
      </c>
      <c r="R54" s="115">
        <v>52</v>
      </c>
      <c r="S54" s="116">
        <f>IFERROR(R54/R148, "NA")</f>
        <v>1.3369894853490379E-3</v>
      </c>
      <c r="T54" s="115">
        <v>47.75</v>
      </c>
      <c r="U54" s="116">
        <f>IFERROR(T54/T148, "NA")</f>
        <v>1.0952548285255276E-3</v>
      </c>
      <c r="V54" s="115">
        <v>75</v>
      </c>
      <c r="W54" s="116">
        <f>IFERROR(V54/V148, "NA")</f>
        <v>1.5667484996816367E-3</v>
      </c>
      <c r="X54" s="115">
        <v>48</v>
      </c>
      <c r="Y54" s="116">
        <f>IFERROR(X54/X148, "NA")</f>
        <v>8.7217415573541727E-4</v>
      </c>
      <c r="Z54" s="115">
        <v>123</v>
      </c>
      <c r="AA54" s="116">
        <f>IFERROR(Z54/Z148, "NA")</f>
        <v>1.1952804497208679E-3</v>
      </c>
      <c r="AB54" s="117">
        <f t="shared" si="18"/>
        <v>55.6875</v>
      </c>
      <c r="AC54" s="116">
        <f>IFERROR(AB54/AB148, "NA")</f>
        <v>1.2014872227295167E-3</v>
      </c>
      <c r="AD54" s="118">
        <f t="shared" si="19"/>
        <v>-7.6875</v>
      </c>
      <c r="AE54" s="119">
        <f>IFERROR(AD54/AD148, "NA")</f>
        <v>-8.8503751263876789E-4</v>
      </c>
      <c r="AF54" s="118">
        <f t="shared" si="20"/>
        <v>-0.13804713804713806</v>
      </c>
      <c r="AG54" s="117">
        <f t="shared" si="21"/>
        <v>52.75</v>
      </c>
      <c r="AH54" s="116">
        <f>IFERROR(AG54/AG148, "NA")</f>
        <v>1.147115683626582E-3</v>
      </c>
      <c r="AI54" s="118">
        <f t="shared" si="22"/>
        <v>-4.75</v>
      </c>
      <c r="AJ54" s="119">
        <f>IFERROR(AI54/AI148, "NA")</f>
        <v>-5.2486303837135533E-4</v>
      </c>
      <c r="AK54" s="118">
        <f t="shared" si="23"/>
        <v>-9.004739336492891E-2</v>
      </c>
      <c r="AL54" s="119">
        <f>IFERROR(AK54/AK148, "NA")</f>
        <v>-0.45755022432612197</v>
      </c>
    </row>
    <row r="55" spans="1:38" ht="16.5" customHeight="1" x14ac:dyDescent="0.25">
      <c r="A55" s="5" t="s">
        <v>61</v>
      </c>
      <c r="B55" s="115">
        <v>-267.55</v>
      </c>
      <c r="C55" s="116">
        <f>IFERROR(B55/B148, "NA")</f>
        <v>-5.5693357846320892E-3</v>
      </c>
      <c r="D55" s="115">
        <v>-389.38</v>
      </c>
      <c r="E55" s="116">
        <f>IFERROR(D55/D148, "NA")</f>
        <v>-9.3870817573886069E-3</v>
      </c>
      <c r="F55" s="115">
        <v>-452.63</v>
      </c>
      <c r="G55" s="116">
        <f>IFERROR(F55/F148, "NA")</f>
        <v>-9.0778746185128639E-3</v>
      </c>
      <c r="H55" s="115">
        <v>-547.62</v>
      </c>
      <c r="I55" s="116">
        <f>IFERROR(H55/H148, "NA")</f>
        <v>-1.0702718422465975E-2</v>
      </c>
      <c r="J55" s="115">
        <v>-788.26</v>
      </c>
      <c r="K55" s="116">
        <f>IFERROR(J55/J148, "NA")</f>
        <v>-1.6638427959212148E-2</v>
      </c>
      <c r="L55" s="115">
        <v>-459</v>
      </c>
      <c r="M55" s="116">
        <f>IFERROR(L55/L148, "NA")</f>
        <v>-1.0410396425174199E-2</v>
      </c>
      <c r="N55" s="115">
        <v>-422.16</v>
      </c>
      <c r="O55" s="116">
        <f>IFERROR(N55/N148, "NA")</f>
        <v>-8.5162627211371796E-3</v>
      </c>
      <c r="P55" s="115">
        <v>-454.11</v>
      </c>
      <c r="Q55" s="116">
        <f>IFERROR(P55/P148, "NA")</f>
        <v>-1.0956529040315086E-2</v>
      </c>
      <c r="R55" s="115">
        <v>-450.3</v>
      </c>
      <c r="S55" s="116">
        <f>IFERROR(R55/R148, "NA")</f>
        <v>-1.1577814716397534E-2</v>
      </c>
      <c r="T55" s="115">
        <v>-450.33</v>
      </c>
      <c r="U55" s="116">
        <f>IFERROR(T55/T148, "NA")</f>
        <v>-1.0329342553505778E-2</v>
      </c>
      <c r="V55" s="115">
        <v>0</v>
      </c>
      <c r="W55" s="116">
        <f>IFERROR(V55/V148, "NA")</f>
        <v>0</v>
      </c>
      <c r="X55" s="115">
        <v>0</v>
      </c>
      <c r="Y55" s="116">
        <f>IFERROR(X55/X148, "NA")</f>
        <v>0</v>
      </c>
      <c r="Z55" s="115">
        <v>0</v>
      </c>
      <c r="AA55" s="116">
        <f>IFERROR(Z55/Z148, "NA")</f>
        <v>0</v>
      </c>
      <c r="AB55" s="117">
        <f t="shared" si="18"/>
        <v>-225.1575</v>
      </c>
      <c r="AC55" s="116">
        <f>IFERROR(AB55/AB148, "NA")</f>
        <v>-4.8578919748906157E-3</v>
      </c>
      <c r="AD55" s="118">
        <f t="shared" si="19"/>
        <v>225.1575</v>
      </c>
      <c r="AE55" s="119">
        <f>IFERROR(AD55/AD148, "NA")</f>
        <v>2.5921669431149711E-2</v>
      </c>
      <c r="AF55" s="118">
        <f t="shared" si="20"/>
        <v>-1</v>
      </c>
      <c r="AG55" s="117">
        <f t="shared" si="21"/>
        <v>-378.02000000000004</v>
      </c>
      <c r="AH55" s="116">
        <f>IFERROR(AG55/AG148, "NA")</f>
        <v>-8.220524563498019E-3</v>
      </c>
      <c r="AI55" s="118">
        <f t="shared" si="22"/>
        <v>378.02000000000004</v>
      </c>
      <c r="AJ55" s="119">
        <f>IFERROR(AI55/AI148, "NA")</f>
        <v>4.1770258055818896E-2</v>
      </c>
      <c r="AK55" s="118">
        <f t="shared" si="23"/>
        <v>-1</v>
      </c>
      <c r="AL55" s="119">
        <f>IFERROR(AK55/AK148, "NA")</f>
        <v>-5.0812156490953546</v>
      </c>
    </row>
    <row r="56" spans="1:38" ht="16.5" customHeight="1" x14ac:dyDescent="0.25">
      <c r="A56" s="130" t="s">
        <v>62</v>
      </c>
      <c r="B56" s="121">
        <f>IFERROR(B37+B39+B40+B41+B42+B43+B46+B47+B48+B49+B50+B51+B53+B54+B55, "NA")</f>
        <v>1778.0800000000002</v>
      </c>
      <c r="C56" s="122">
        <f>IFERROR(B56/B148, "NA")</f>
        <v>3.7012612864655674E-2</v>
      </c>
      <c r="D56" s="121">
        <f>IFERROR(D37+D39+D40+D41+D42+D43+D46+D47+D48+D49+D50+D51+D53+D54+D55, "NA")</f>
        <v>1403.37</v>
      </c>
      <c r="E56" s="122">
        <f>IFERROR(D56/D148, "NA")</f>
        <v>3.3832114967041062E-2</v>
      </c>
      <c r="F56" s="121">
        <f>IFERROR(F37+F39+F40+F41+F42+F43+F46+F47+F48+F49+F50+F51+F53+F54+F55, "NA")</f>
        <v>1676.4</v>
      </c>
      <c r="G56" s="122">
        <f>IFERROR(F56/F148, "NA")</f>
        <v>3.36216092845701E-2</v>
      </c>
      <c r="H56" s="121">
        <f>IFERROR(H37+H39+H40+H41+H42+H43+H46+H47+H48+H49+H50+H51+H53+H54+H55, "NA")</f>
        <v>1405.04</v>
      </c>
      <c r="I56" s="122">
        <f>IFERROR(H56/H148, "NA")</f>
        <v>2.7460186794312832E-2</v>
      </c>
      <c r="J56" s="121">
        <f>IFERROR(J37+J39+J40+J41+J42+J43+J46+J47+J48+J49+J50+J51+J53+J54+J55, "NA")</f>
        <v>1274.6099999999999</v>
      </c>
      <c r="K56" s="122">
        <f>IFERROR(J56/J148, "NA")</f>
        <v>2.6904202498022722E-2</v>
      </c>
      <c r="L56" s="121">
        <f>IFERROR(L37+L39+L40+L41+L42+L43+L46+L47+L48+L49+L50+L51+L53+L54+L55, "NA")</f>
        <v>1469.3200000000002</v>
      </c>
      <c r="M56" s="122">
        <f>IFERROR(L56/L148, "NA")</f>
        <v>3.3325062473718858E-2</v>
      </c>
      <c r="N56" s="121">
        <f>IFERROR(N37+N39+N40+N41+N42+N43+N46+N47+N48+N49+N50+N51+N53+N54+N55, "NA")</f>
        <v>1127.2099999999998</v>
      </c>
      <c r="O56" s="122">
        <f>IFERROR(N56/N148, "NA")</f>
        <v>2.2739284872780555E-2</v>
      </c>
      <c r="P56" s="121">
        <f>IFERROR(P37+P39+P40+P41+P42+P43+P46+P47+P48+P49+P50+P51+P53+P54+P55, "NA")</f>
        <v>1200.48</v>
      </c>
      <c r="Q56" s="122">
        <f>IFERROR(P56/P148, "NA")</f>
        <v>2.8964554804601209E-2</v>
      </c>
      <c r="R56" s="121">
        <f>IFERROR(R37+R39+R40+R41+R42+R43+R46+R47+R48+R49+R50+R51+R53+R54+R55, "NA")</f>
        <v>1733.4500000000005</v>
      </c>
      <c r="S56" s="122">
        <f>IFERROR(R56/R148, "NA")</f>
        <v>4.456931583419789E-2</v>
      </c>
      <c r="T56" s="121">
        <f>IFERROR(T37+T39+T40+T41+T42+T43+T46+T47+T48+T49+T50+T51+T53+T54+T55, "NA")</f>
        <v>1510.6200000000001</v>
      </c>
      <c r="U56" s="122">
        <f>IFERROR(T56/T148, "NA")</f>
        <v>3.4649504692507493E-2</v>
      </c>
      <c r="V56" s="121">
        <f>IFERROR(V37+V39+V40+V41+V42+V43+V46+V47+V48+V49+V50+V51+V53+V54+V55, "NA")</f>
        <v>1727.76</v>
      </c>
      <c r="W56" s="122">
        <f>IFERROR(V56/V148, "NA")</f>
        <v>3.6092871837465929E-2</v>
      </c>
      <c r="X56" s="121">
        <f>IFERROR(X37+X39+X40+X41+X42+X43+X46+X47+X48+X49+X50+X51+X53+X54+X55, "NA")</f>
        <v>2266.0400000000004</v>
      </c>
      <c r="Y56" s="122">
        <f>IFERROR(X56/X148, "NA")</f>
        <v>4.1174615080472612E-2</v>
      </c>
      <c r="Z56" s="121">
        <f>IFERROR(Z37+Z39+Z40+Z41+Z42+Z43+Z46+Z47+Z48+Z49+Z50+Z51+Z53+Z54+Z55, "NA")</f>
        <v>3993.8</v>
      </c>
      <c r="AA56" s="122">
        <f>IFERROR(Z56/Z148, "NA")</f>
        <v>3.881065902516425E-2</v>
      </c>
      <c r="AB56" s="121">
        <f t="shared" si="18"/>
        <v>1809.4675000000002</v>
      </c>
      <c r="AC56" s="122">
        <f>IFERROR(AB56/AB148, "NA")</f>
        <v>3.9040216946250456E-2</v>
      </c>
      <c r="AD56" s="123">
        <f t="shared" si="19"/>
        <v>456.57250000000022</v>
      </c>
      <c r="AE56" s="124">
        <f>IFERROR(AD56/AD148, "NA")</f>
        <v>5.2563745006733539E-2</v>
      </c>
      <c r="AF56" s="123">
        <f t="shared" si="20"/>
        <v>0.25232423351068761</v>
      </c>
      <c r="AG56" s="121">
        <f t="shared" si="21"/>
        <v>1538.6862500000004</v>
      </c>
      <c r="AH56" s="122">
        <f>IFERROR(AG56/AG148, "NA")</f>
        <v>3.3460684920484783E-2</v>
      </c>
      <c r="AI56" s="123">
        <f t="shared" si="22"/>
        <v>727.35374999999999</v>
      </c>
      <c r="AJ56" s="124">
        <f>IFERROR(AI56/AI148, "NA")</f>
        <v>8.037075772543141E-2</v>
      </c>
      <c r="AK56" s="123">
        <f t="shared" si="23"/>
        <v>0.47271089216531298</v>
      </c>
      <c r="AL56" s="124">
        <f>IFERROR(AK56/AK148, "NA")</f>
        <v>2.4019459827682148</v>
      </c>
    </row>
    <row r="57" spans="1:38" ht="16.5" customHeight="1" x14ac:dyDescent="0.25">
      <c r="A57" s="120" t="s">
        <v>63</v>
      </c>
      <c r="B57" s="131">
        <f>IFERROR(B13+B15+B16+B17+B18+B19+B20+B21+B22+B23+B24+B25+B26+B29+B30+B31+B32+B33+B37+B39+B40+B41+B42+B43+B46+B47+B48+B49+B50+B51+B53+B54+B55, "NA")</f>
        <v>11220.560000000001</v>
      </c>
      <c r="C57" s="132">
        <f>IFERROR(B57/B148, "NA")</f>
        <v>0.23356780538819452</v>
      </c>
      <c r="D57" s="131">
        <f>IFERROR(D13+D15+D16+D17+D18+D19+D20+D21+D22+D23+D24+D25+D26+D29+D30+D31+D32+D33+D37+D39+D40+D41+D42+D43+D46+D47+D48+D49+D50+D51+D53+D54+D55, "NA")</f>
        <v>10847.380000000001</v>
      </c>
      <c r="E57" s="132">
        <f>IFERROR(D57/D148, "NA")</f>
        <v>0.26150609408151942</v>
      </c>
      <c r="F57" s="131">
        <f>IFERROR(F13+F15+F16+F17+F18+F19+F20+F21+F22+F23+F24+F25+F26+F29+F30+F31+F32+F33+F37+F39+F40+F41+F42+F43+F46+F47+F48+F49+F50+F51+F53+F54+F55, "NA")</f>
        <v>12320.350000000002</v>
      </c>
      <c r="G57" s="132">
        <f>IFERROR(F57/F148, "NA")</f>
        <v>0.24709496179262305</v>
      </c>
      <c r="H57" s="131">
        <f>IFERROR(H13+H15+H16+H17+H18+H19+H20+H21+H22+H23+H24+H25+H26+H29+H30+H31+H32+H33+H37+H39+H40+H41+H42+H43+H46+H47+H48+H49+H50+H51+H53+H54+H55, "NA")</f>
        <v>11723.56</v>
      </c>
      <c r="I57" s="132">
        <f>IFERROR(H57/H148, "NA")</f>
        <v>0.22912596616063183</v>
      </c>
      <c r="J57" s="131">
        <f>IFERROR(J13+J15+J16+J17+J18+J19+J20+J21+J22+J23+J24+J25+J26+J29+J30+J31+J32+J33+J37+J39+J40+J41+J42+J43+J46+J47+J48+J49+J50+J51+J53+J54+J55, "NA")</f>
        <v>11087.730000000001</v>
      </c>
      <c r="K57" s="132">
        <f>IFERROR(J57/J148, "NA")</f>
        <v>0.23403749630349799</v>
      </c>
      <c r="L57" s="131">
        <f>IFERROR(L13+L15+L16+L17+L18+L19+L20+L21+L22+L23+L24+L25+L26+L29+L30+L31+L32+L33+L37+L39+L40+L41+L42+L43+L46+L47+L48+L49+L50+L51+L53+L54+L55, "NA")</f>
        <v>10654.370000000003</v>
      </c>
      <c r="M57" s="132">
        <f>IFERROR(L57/L148, "NA")</f>
        <v>0.24164752801848202</v>
      </c>
      <c r="N57" s="131">
        <f>IFERROR(N13+N15+N16+N17+N18+N19+N20+N21+N22+N23+N24+N25+N26+N29+N30+N31+N32+N33+N37+N39+N40+N41+N42+N43+N46+N47+N48+N49+N50+N51+N53+N54+N55, "NA")</f>
        <v>10256.740000000002</v>
      </c>
      <c r="O57" s="132">
        <f>IFERROR(N57/N148, "NA")</f>
        <v>0.20690992159938548</v>
      </c>
      <c r="P57" s="131">
        <f>IFERROR(P13+P15+P16+P17+P18+P19+P20+P21+P22+P23+P24+P25+P26+P29+P30+P31+P32+P33+P37+P39+P40+P41+P42+P43+P46+P47+P48+P49+P50+P51+P53+P54+P55, "NA")</f>
        <v>10300.880000000003</v>
      </c>
      <c r="Q57" s="132">
        <f>IFERROR(P57/P148, "NA")</f>
        <v>0.24853425571073287</v>
      </c>
      <c r="R57" s="131">
        <f>IFERROR(R13+R15+R16+R17+R18+R19+R20+R21+R22+R23+R24+R25+R26+R29+R30+R31+R32+R33+R37+R39+R40+R41+R42+R43+R46+R47+R48+R49+R50+R51+R53+R54+R55, "NA")</f>
        <v>10311.52</v>
      </c>
      <c r="S57" s="132">
        <f>IFERROR(R57/R148, "NA")</f>
        <v>0.26512295803781366</v>
      </c>
      <c r="T57" s="131">
        <f>IFERROR(T13+T15+T16+T17+T18+T19+T20+T21+T22+T23+T24+T25+T26+T29+T30+T31+T32+T33+T37+T39+T40+T41+T42+T43+T46+T47+T48+T49+T50+T51+T53+T54+T55, "NA")</f>
        <v>10487.510000000002</v>
      </c>
      <c r="U57" s="132">
        <f>IFERROR(T57/T148, "NA")</f>
        <v>0.24055488935517821</v>
      </c>
      <c r="V57" s="131">
        <f>IFERROR(V13+V15+V16+V17+V18+V19+V20+V21+V22+V23+V24+V25+V26+V29+V30+V31+V32+V33+V37+V39+V40+V41+V42+V43+V46+V47+V48+V49+V50+V51+V53+V54+V55, "NA")</f>
        <v>11813.55</v>
      </c>
      <c r="W57" s="132">
        <f>IFERROR(V57/V148, "NA")</f>
        <v>0.24678482317885334</v>
      </c>
      <c r="X57" s="131">
        <f>IFERROR(X13+X15+X16+X17+X18+X19+X20+X21+X22+X23+X24+X25+X26+X29+X30+X31+X32+X33+X37+X39+X40+X41+X42+X43+X46+X47+X48+X49+X50+X51+X53+X54+X55, "NA")</f>
        <v>13214.460000000001</v>
      </c>
      <c r="Y57" s="132">
        <f>IFERROR(X57/X148, "NA")</f>
        <v>0.24011063529165508</v>
      </c>
      <c r="Z57" s="131">
        <f>IFERROR(Z13+Z15+Z16+Z17+Z18+Z19+Z20+Z21+Z22+Z23+Z24+Z25+Z26+Z29+Z30+Z31+Z32+Z33+Z37+Z39+Z40+Z41+Z42+Z43+Z46+Z47+Z48+Z49+Z50+Z51+Z53+Z54+Z55, "NA")</f>
        <v>25028.01</v>
      </c>
      <c r="AA57" s="132">
        <f>IFERROR(Z57/Z148, "NA")</f>
        <v>0.24321537437738519</v>
      </c>
      <c r="AB57" s="131">
        <f t="shared" si="18"/>
        <v>11456.76</v>
      </c>
      <c r="AC57" s="132">
        <f>IFERROR(AB57/AB148, "NA")</f>
        <v>0.24718564765663065</v>
      </c>
      <c r="AD57" s="133">
        <f t="shared" si="19"/>
        <v>1757.7000000000007</v>
      </c>
      <c r="AE57" s="134">
        <f>IFERROR(AD57/AD148, "NA")</f>
        <v>0.20235843069465537</v>
      </c>
      <c r="AF57" s="133">
        <f t="shared" si="20"/>
        <v>0.15342033873451139</v>
      </c>
      <c r="AG57" s="131">
        <f t="shared" si="21"/>
        <v>11015.845000000001</v>
      </c>
      <c r="AH57" s="132">
        <f>IFERROR(AG57/AG148, "NA")</f>
        <v>0.23955352735354438</v>
      </c>
      <c r="AI57" s="133">
        <f t="shared" si="22"/>
        <v>2198.6149999999998</v>
      </c>
      <c r="AJ57" s="134">
        <f>IFERROR(AI57/AI148, "NA")</f>
        <v>0.24294142086501838</v>
      </c>
      <c r="AK57" s="133">
        <f t="shared" si="23"/>
        <v>0.19958659549040492</v>
      </c>
      <c r="AL57" s="134">
        <f>IFERROR(AK57/AK148, "NA")</f>
        <v>1.0141425323555098</v>
      </c>
    </row>
    <row r="58" spans="1:38" ht="3.75" customHeight="1" x14ac:dyDescent="0.25">
      <c r="A58" s="3" t="s">
        <v>2</v>
      </c>
      <c r="B58" s="125"/>
      <c r="C58" s="126"/>
      <c r="D58" s="125"/>
      <c r="E58" s="126"/>
      <c r="F58" s="125"/>
      <c r="G58" s="126"/>
      <c r="H58" s="125"/>
      <c r="I58" s="126"/>
      <c r="J58" s="125"/>
      <c r="K58" s="126"/>
      <c r="L58" s="125"/>
      <c r="M58" s="126"/>
      <c r="N58" s="125"/>
      <c r="O58" s="126"/>
      <c r="P58" s="125"/>
      <c r="Q58" s="126"/>
      <c r="R58" s="125"/>
      <c r="S58" s="126"/>
      <c r="T58" s="125"/>
      <c r="U58" s="126"/>
      <c r="V58" s="125"/>
      <c r="W58" s="126"/>
      <c r="X58" s="125"/>
      <c r="Y58" s="126"/>
      <c r="Z58" s="125"/>
      <c r="AA58" s="126"/>
      <c r="AB58" s="125"/>
      <c r="AC58" s="126"/>
      <c r="AD58" s="127"/>
      <c r="AE58" s="128"/>
      <c r="AF58" s="127"/>
      <c r="AG58" s="125"/>
      <c r="AH58" s="126"/>
      <c r="AI58" s="127"/>
      <c r="AJ58" s="128"/>
      <c r="AK58" s="127"/>
      <c r="AL58" s="128"/>
    </row>
    <row r="59" spans="1:38" ht="16.5" customHeight="1" x14ac:dyDescent="0.25">
      <c r="A59" s="135" t="s">
        <v>64</v>
      </c>
      <c r="B59" s="136">
        <f>IFERROR(B9-B57, "NA")</f>
        <v>36819.279999999999</v>
      </c>
      <c r="C59" s="137">
        <f>IFERROR(B59/B148, "NA")</f>
        <v>0.76643219461180556</v>
      </c>
      <c r="D59" s="136">
        <f>IFERROR(D9-D57, "NA")</f>
        <v>30633.029999999995</v>
      </c>
      <c r="E59" s="137">
        <f>IFERROR(D59/D148, "NA")</f>
        <v>0.73849390591848041</v>
      </c>
      <c r="F59" s="136">
        <f>IFERROR(F9-F57, "NA")</f>
        <v>37540.439999999988</v>
      </c>
      <c r="G59" s="137">
        <f>IFERROR(F59/F148, "NA")</f>
        <v>0.75290503820737675</v>
      </c>
      <c r="H59" s="136">
        <f>IFERROR(H9-H57, "NA")</f>
        <v>39442.880000000012</v>
      </c>
      <c r="I59" s="137">
        <f>IFERROR(H59/H148, "NA")</f>
        <v>0.77087403383936837</v>
      </c>
      <c r="J59" s="136">
        <f>IFERROR(J9-J57, "NA")</f>
        <v>36288.140000000007</v>
      </c>
      <c r="K59" s="137">
        <f>IFERROR(J59/J148, "NA")</f>
        <v>0.76596250369650209</v>
      </c>
      <c r="L59" s="136">
        <f>IFERROR(L9-L57, "NA")</f>
        <v>33436.170000000006</v>
      </c>
      <c r="M59" s="137">
        <f>IFERROR(L59/L148, "NA")</f>
        <v>0.75835247198151812</v>
      </c>
      <c r="N59" s="136">
        <f>IFERROR(N9-N57, "NA")</f>
        <v>39314.300000000003</v>
      </c>
      <c r="O59" s="137">
        <f>IFERROR(N59/N148, "NA")</f>
        <v>0.79309007840061463</v>
      </c>
      <c r="P59" s="136">
        <f>IFERROR(P9-P57, "NA")</f>
        <v>31145.64</v>
      </c>
      <c r="Q59" s="137">
        <f>IFERROR(P59/P148, "NA")</f>
        <v>0.75146574428926727</v>
      </c>
      <c r="R59" s="136">
        <f>IFERROR(R9-R57, "NA")</f>
        <v>28581.829999999998</v>
      </c>
      <c r="S59" s="137">
        <f>IFERROR(R59/R148, "NA")</f>
        <v>0.73487704196218628</v>
      </c>
      <c r="T59" s="136">
        <f>IFERROR(T9-T57, "NA")</f>
        <v>33109.65</v>
      </c>
      <c r="U59" s="137">
        <f>IFERROR(T59/T148, "NA")</f>
        <v>0.75944511064482179</v>
      </c>
      <c r="V59" s="136">
        <f>IFERROR(V9-V57, "NA")</f>
        <v>36056.290000000008</v>
      </c>
      <c r="W59" s="137">
        <f>IFERROR(V59/V148, "NA")</f>
        <v>0.75321517682114691</v>
      </c>
      <c r="X59" s="136">
        <f>IFERROR(X9-X57, "NA")</f>
        <v>41820.420000000006</v>
      </c>
      <c r="Y59" s="137">
        <f>IFERROR(X59/X148, "NA")</f>
        <v>0.75988936470834512</v>
      </c>
      <c r="Z59" s="136">
        <f>IFERROR(Z9-Z57, "NA")</f>
        <v>77876.710000000006</v>
      </c>
      <c r="AA59" s="137">
        <f>IFERROR(Z59/Z148, "NA")</f>
        <v>0.75678462562261484</v>
      </c>
      <c r="AB59" s="136">
        <f>IFERROR((R59+T59+V59+X59)/4, "NA")</f>
        <v>34892.047500000001</v>
      </c>
      <c r="AC59" s="137">
        <f>IFERROR(AB59/AB148, "NA")</f>
        <v>0.75281435234336935</v>
      </c>
      <c r="AD59" s="123">
        <f>IFERROR(X59-AB59, "NA")</f>
        <v>6928.3725000000049</v>
      </c>
      <c r="AE59" s="124">
        <f>IFERROR(AD59/AD148, "NA")</f>
        <v>0.79764156930534591</v>
      </c>
      <c r="AF59" s="123">
        <f>IFERROR((X59-AB59)/AB59, "NA")</f>
        <v>0.19856594830097044</v>
      </c>
      <c r="AG59" s="136">
        <f>IFERROR((J59+L59+N59+P59+R59+T59+V59+X59)/8, "NA")</f>
        <v>34969.055</v>
      </c>
      <c r="AH59" s="137">
        <f>IFERROR(AG59/AG148, "NA")</f>
        <v>0.76044647264645582</v>
      </c>
      <c r="AI59" s="123">
        <f>IFERROR(X59-AG59, "NA")</f>
        <v>6851.3650000000052</v>
      </c>
      <c r="AJ59" s="124">
        <f>IFERROR(AI59/AI148, "NA")</f>
        <v>0.75705857913498187</v>
      </c>
      <c r="AK59" s="123">
        <f>IFERROR((X59-AG59)/AG59, "NA")</f>
        <v>0.19592651274105077</v>
      </c>
      <c r="AL59" s="124">
        <f>IFERROR(AK59/AK148, "NA")</f>
        <v>0.99554486261250752</v>
      </c>
    </row>
    <row r="60" spans="1:38" ht="3.75" customHeight="1" x14ac:dyDescent="0.25">
      <c r="A60" s="8" t="s">
        <v>2</v>
      </c>
      <c r="B60" s="138"/>
      <c r="C60" s="126"/>
      <c r="D60" s="138"/>
      <c r="E60" s="126"/>
      <c r="F60" s="138"/>
      <c r="G60" s="126"/>
      <c r="H60" s="138"/>
      <c r="I60" s="126"/>
      <c r="J60" s="138"/>
      <c r="K60" s="126"/>
      <c r="L60" s="138"/>
      <c r="M60" s="126"/>
      <c r="N60" s="138"/>
      <c r="O60" s="126"/>
      <c r="P60" s="138"/>
      <c r="Q60" s="126"/>
      <c r="R60" s="138"/>
      <c r="S60" s="126"/>
      <c r="T60" s="138"/>
      <c r="U60" s="126"/>
      <c r="V60" s="138"/>
      <c r="W60" s="126"/>
      <c r="X60" s="138"/>
      <c r="Y60" s="126"/>
      <c r="Z60" s="138"/>
      <c r="AA60" s="126"/>
      <c r="AB60" s="138"/>
      <c r="AC60" s="126"/>
      <c r="AD60" s="139"/>
      <c r="AE60" s="128"/>
      <c r="AF60" s="139"/>
      <c r="AG60" s="138"/>
      <c r="AH60" s="126"/>
      <c r="AI60" s="139"/>
      <c r="AJ60" s="128"/>
      <c r="AK60" s="139"/>
      <c r="AL60" s="128"/>
    </row>
    <row r="61" spans="1:38" ht="16.5" customHeight="1" x14ac:dyDescent="0.25">
      <c r="A61" s="1" t="s">
        <v>65</v>
      </c>
      <c r="B61" s="111"/>
      <c r="C61" s="112"/>
      <c r="D61" s="111"/>
      <c r="E61" s="112"/>
      <c r="F61" s="111"/>
      <c r="G61" s="112"/>
      <c r="H61" s="111"/>
      <c r="I61" s="112"/>
      <c r="J61" s="111"/>
      <c r="K61" s="112"/>
      <c r="L61" s="111"/>
      <c r="M61" s="112"/>
      <c r="N61" s="111"/>
      <c r="O61" s="112"/>
      <c r="P61" s="111"/>
      <c r="Q61" s="112"/>
      <c r="R61" s="111"/>
      <c r="S61" s="112"/>
      <c r="T61" s="111"/>
      <c r="U61" s="112"/>
      <c r="V61" s="111"/>
      <c r="W61" s="112"/>
      <c r="X61" s="111"/>
      <c r="Y61" s="112"/>
      <c r="Z61" s="111"/>
      <c r="AA61" s="112"/>
      <c r="AB61" s="111"/>
      <c r="AC61" s="112"/>
      <c r="AD61" s="113"/>
      <c r="AE61" s="114"/>
      <c r="AF61" s="113"/>
      <c r="AG61" s="111"/>
      <c r="AH61" s="112"/>
      <c r="AI61" s="113"/>
      <c r="AJ61" s="114"/>
      <c r="AK61" s="113"/>
      <c r="AL61" s="114"/>
    </row>
    <row r="62" spans="1:38" ht="16.5" customHeight="1" x14ac:dyDescent="0.25">
      <c r="A62" s="4" t="s">
        <v>65</v>
      </c>
      <c r="B62" s="111"/>
      <c r="C62" s="112"/>
      <c r="D62" s="111"/>
      <c r="E62" s="112"/>
      <c r="F62" s="111"/>
      <c r="G62" s="112"/>
      <c r="H62" s="111"/>
      <c r="I62" s="112"/>
      <c r="J62" s="111"/>
      <c r="K62" s="112"/>
      <c r="L62" s="111"/>
      <c r="M62" s="112"/>
      <c r="N62" s="111"/>
      <c r="O62" s="112"/>
      <c r="P62" s="111"/>
      <c r="Q62" s="112"/>
      <c r="R62" s="111"/>
      <c r="S62" s="112"/>
      <c r="T62" s="111"/>
      <c r="U62" s="112"/>
      <c r="V62" s="111"/>
      <c r="W62" s="112"/>
      <c r="X62" s="111"/>
      <c r="Y62" s="112"/>
      <c r="Z62" s="111"/>
      <c r="AA62" s="112"/>
      <c r="AB62" s="111"/>
      <c r="AC62" s="112"/>
      <c r="AD62" s="113"/>
      <c r="AE62" s="114"/>
      <c r="AF62" s="113"/>
      <c r="AG62" s="111"/>
      <c r="AH62" s="112"/>
      <c r="AI62" s="113"/>
      <c r="AJ62" s="114"/>
      <c r="AK62" s="113"/>
      <c r="AL62" s="114"/>
    </row>
    <row r="63" spans="1:38" ht="16.5" hidden="1" customHeight="1" x14ac:dyDescent="0.25">
      <c r="A63" s="5" t="s">
        <v>66</v>
      </c>
      <c r="B63" s="115">
        <v>0</v>
      </c>
      <c r="C63" s="116">
        <f>IFERROR(B63/B148, "NA")</f>
        <v>0</v>
      </c>
      <c r="D63" s="115">
        <v>0</v>
      </c>
      <c r="E63" s="116">
        <f>IFERROR(D63/D148, "NA")</f>
        <v>0</v>
      </c>
      <c r="F63" s="115">
        <v>0</v>
      </c>
      <c r="G63" s="116">
        <f>IFERROR(F63/F148, "NA")</f>
        <v>0</v>
      </c>
      <c r="H63" s="115">
        <v>0</v>
      </c>
      <c r="I63" s="116">
        <f>IFERROR(H63/H148, "NA")</f>
        <v>0</v>
      </c>
      <c r="J63" s="115">
        <v>0</v>
      </c>
      <c r="K63" s="116">
        <f>IFERROR(J63/J148, "NA")</f>
        <v>0</v>
      </c>
      <c r="L63" s="115">
        <v>0</v>
      </c>
      <c r="M63" s="116">
        <f>IFERROR(L63/L148, "NA")</f>
        <v>0</v>
      </c>
      <c r="N63" s="115">
        <v>0</v>
      </c>
      <c r="O63" s="116">
        <f>IFERROR(N63/N148, "NA")</f>
        <v>0</v>
      </c>
      <c r="P63" s="115">
        <v>0</v>
      </c>
      <c r="Q63" s="116">
        <f>IFERROR(P63/P148, "NA")</f>
        <v>0</v>
      </c>
      <c r="R63" s="115">
        <v>0</v>
      </c>
      <c r="S63" s="116">
        <f>IFERROR(R63/R148, "NA")</f>
        <v>0</v>
      </c>
      <c r="T63" s="115">
        <v>0</v>
      </c>
      <c r="U63" s="116">
        <f>IFERROR(T63/T148, "NA")</f>
        <v>0</v>
      </c>
      <c r="V63" s="115">
        <v>0</v>
      </c>
      <c r="W63" s="116">
        <f>IFERROR(V63/V148, "NA")</f>
        <v>0</v>
      </c>
      <c r="X63" s="115">
        <v>0</v>
      </c>
      <c r="Y63" s="116">
        <f>IFERROR(X63/X148, "NA")</f>
        <v>0</v>
      </c>
      <c r="Z63" s="115">
        <v>0</v>
      </c>
      <c r="AA63" s="116">
        <f>IFERROR(Z63/Z148, "NA")</f>
        <v>0</v>
      </c>
      <c r="AB63" s="117">
        <f>IFERROR((R63+T63+V63+X63)/4, "NA")</f>
        <v>0</v>
      </c>
      <c r="AC63" s="116">
        <f>IFERROR(AB63/AB148, "NA")</f>
        <v>0</v>
      </c>
      <c r="AD63" s="118">
        <f>IFERROR(X63-AB63, "NA")</f>
        <v>0</v>
      </c>
      <c r="AE63" s="119">
        <f>IFERROR(AD63/AD148, "NA")</f>
        <v>0</v>
      </c>
      <c r="AF63" s="118" t="str">
        <f>IFERROR((X63-AB63)/AB63, "NA")</f>
        <v>NA</v>
      </c>
      <c r="AG63" s="117">
        <f>IFERROR((J63+L63+N63+P63+R63+T63+V63+X63)/8, "NA")</f>
        <v>0</v>
      </c>
      <c r="AH63" s="116">
        <f>IFERROR(AG63/AG148, "NA")</f>
        <v>0</v>
      </c>
      <c r="AI63" s="118">
        <f>IFERROR(X63-AG63, "NA")</f>
        <v>0</v>
      </c>
      <c r="AJ63" s="119">
        <f>IFERROR(AI63/AI148, "NA")</f>
        <v>0</v>
      </c>
      <c r="AK63" s="118" t="str">
        <f>IFERROR((X63-AG63)/AG63, "NA")</f>
        <v>NA</v>
      </c>
      <c r="AL63" s="119" t="str">
        <f>IFERROR(AK63/AK148, "NA")</f>
        <v>NA</v>
      </c>
    </row>
    <row r="64" spans="1:38" ht="16.5" customHeight="1" x14ac:dyDescent="0.25">
      <c r="A64" s="6" t="s">
        <v>67</v>
      </c>
      <c r="B64" s="111"/>
      <c r="C64" s="112"/>
      <c r="D64" s="111"/>
      <c r="E64" s="112"/>
      <c r="F64" s="111"/>
      <c r="G64" s="112"/>
      <c r="H64" s="111"/>
      <c r="I64" s="112"/>
      <c r="J64" s="111"/>
      <c r="K64" s="112"/>
      <c r="L64" s="111"/>
      <c r="M64" s="112"/>
      <c r="N64" s="111"/>
      <c r="O64" s="112"/>
      <c r="P64" s="111"/>
      <c r="Q64" s="112"/>
      <c r="R64" s="111"/>
      <c r="S64" s="112"/>
      <c r="T64" s="111"/>
      <c r="U64" s="112"/>
      <c r="V64" s="111"/>
      <c r="W64" s="112"/>
      <c r="X64" s="111"/>
      <c r="Y64" s="112"/>
      <c r="Z64" s="111"/>
      <c r="AA64" s="112"/>
      <c r="AB64" s="111"/>
      <c r="AC64" s="112"/>
      <c r="AD64" s="113"/>
      <c r="AE64" s="114"/>
      <c r="AF64" s="113"/>
      <c r="AG64" s="111"/>
      <c r="AH64" s="112"/>
      <c r="AI64" s="113"/>
      <c r="AJ64" s="114"/>
      <c r="AK64" s="113"/>
      <c r="AL64" s="114"/>
    </row>
    <row r="65" spans="1:38" ht="16.5" hidden="1" customHeight="1" x14ac:dyDescent="0.25">
      <c r="A65" s="7" t="s">
        <v>68</v>
      </c>
      <c r="B65" s="115">
        <v>0</v>
      </c>
      <c r="C65" s="116">
        <f>IFERROR(B65/B148, "NA")</f>
        <v>0</v>
      </c>
      <c r="D65" s="115">
        <v>0</v>
      </c>
      <c r="E65" s="116">
        <f>IFERROR(D65/D148, "NA")</f>
        <v>0</v>
      </c>
      <c r="F65" s="115">
        <v>0</v>
      </c>
      <c r="G65" s="116">
        <f>IFERROR(F65/F148, "NA")</f>
        <v>0</v>
      </c>
      <c r="H65" s="115">
        <v>0</v>
      </c>
      <c r="I65" s="116">
        <f>IFERROR(H65/H148, "NA")</f>
        <v>0</v>
      </c>
      <c r="J65" s="115">
        <v>0</v>
      </c>
      <c r="K65" s="116">
        <f>IFERROR(J65/J148, "NA")</f>
        <v>0</v>
      </c>
      <c r="L65" s="115">
        <v>0</v>
      </c>
      <c r="M65" s="116">
        <f>IFERROR(L65/L148, "NA")</f>
        <v>0</v>
      </c>
      <c r="N65" s="115">
        <v>0</v>
      </c>
      <c r="O65" s="116">
        <f>IFERROR(N65/N148, "NA")</f>
        <v>0</v>
      </c>
      <c r="P65" s="115">
        <v>0</v>
      </c>
      <c r="Q65" s="116">
        <f>IFERROR(P65/P148, "NA")</f>
        <v>0</v>
      </c>
      <c r="R65" s="115">
        <v>0</v>
      </c>
      <c r="S65" s="116">
        <f>IFERROR(R65/R148, "NA")</f>
        <v>0</v>
      </c>
      <c r="T65" s="115">
        <v>0</v>
      </c>
      <c r="U65" s="116">
        <f>IFERROR(T65/T148, "NA")</f>
        <v>0</v>
      </c>
      <c r="V65" s="115">
        <v>0</v>
      </c>
      <c r="W65" s="116">
        <f>IFERROR(V65/V148, "NA")</f>
        <v>0</v>
      </c>
      <c r="X65" s="115">
        <v>0</v>
      </c>
      <c r="Y65" s="116">
        <f>IFERROR(X65/X148, "NA")</f>
        <v>0</v>
      </c>
      <c r="Z65" s="115">
        <v>0</v>
      </c>
      <c r="AA65" s="116">
        <f>IFERROR(Z65/Z148, "NA")</f>
        <v>0</v>
      </c>
      <c r="AB65" s="117">
        <f t="shared" ref="AB65:AB72" si="24">IFERROR((R65+T65+V65+X65)/4, "NA")</f>
        <v>0</v>
      </c>
      <c r="AC65" s="116">
        <f>IFERROR(AB65/AB148, "NA")</f>
        <v>0</v>
      </c>
      <c r="AD65" s="118">
        <f t="shared" ref="AD65:AD72" si="25">IFERROR(X65-AB65, "NA")</f>
        <v>0</v>
      </c>
      <c r="AE65" s="119">
        <f>IFERROR(AD65/AD148, "NA")</f>
        <v>0</v>
      </c>
      <c r="AF65" s="118" t="str">
        <f t="shared" ref="AF65:AF72" si="26">IFERROR((X65-AB65)/AB65, "NA")</f>
        <v>NA</v>
      </c>
      <c r="AG65" s="117">
        <f t="shared" ref="AG65:AG72" si="27">IFERROR((J65+L65+N65+P65+R65+T65+V65+X65)/8, "NA")</f>
        <v>0</v>
      </c>
      <c r="AH65" s="116">
        <f>IFERROR(AG65/AG148, "NA")</f>
        <v>0</v>
      </c>
      <c r="AI65" s="118">
        <f t="shared" ref="AI65:AI72" si="28">IFERROR(X65-AG65, "NA")</f>
        <v>0</v>
      </c>
      <c r="AJ65" s="119">
        <f>IFERROR(AI65/AI148, "NA")</f>
        <v>0</v>
      </c>
      <c r="AK65" s="118" t="str">
        <f t="shared" ref="AK65:AK72" si="29">IFERROR((X65-AG65)/AG65, "NA")</f>
        <v>NA</v>
      </c>
      <c r="AL65" s="119" t="str">
        <f>IFERROR(AK65/AK148, "NA")</f>
        <v>NA</v>
      </c>
    </row>
    <row r="66" spans="1:38" ht="16.5" customHeight="1" x14ac:dyDescent="0.25">
      <c r="A66" s="7" t="s">
        <v>69</v>
      </c>
      <c r="B66" s="115">
        <v>2519.23</v>
      </c>
      <c r="C66" s="116">
        <f>IFERROR(B66/B148, "NA")</f>
        <v>5.244043277413081E-2</v>
      </c>
      <c r="D66" s="115">
        <v>2519.23</v>
      </c>
      <c r="E66" s="116">
        <f>IFERROR(D66/D148, "NA")</f>
        <v>6.0733006255241931E-2</v>
      </c>
      <c r="F66" s="115">
        <v>2519.23</v>
      </c>
      <c r="G66" s="116">
        <f>IFERROR(F66/F148, "NA")</f>
        <v>5.0525272463593132E-2</v>
      </c>
      <c r="H66" s="115">
        <v>2519.23</v>
      </c>
      <c r="I66" s="116">
        <f>IFERROR(H66/H148, "NA")</f>
        <v>4.9235983586116208E-2</v>
      </c>
      <c r="J66" s="115">
        <v>2519.23</v>
      </c>
      <c r="K66" s="116">
        <f>IFERROR(J66/J148, "NA")</f>
        <v>5.3175382320155805E-2</v>
      </c>
      <c r="L66" s="115">
        <v>2519.23</v>
      </c>
      <c r="M66" s="116">
        <f>IFERROR(L66/L148, "NA")</f>
        <v>5.7137653564687571E-2</v>
      </c>
      <c r="N66" s="115">
        <v>2519.23</v>
      </c>
      <c r="O66" s="116">
        <f>IFERROR(N66/N148, "NA")</f>
        <v>5.0820600092311964E-2</v>
      </c>
      <c r="P66" s="115">
        <v>2519.23</v>
      </c>
      <c r="Q66" s="116">
        <f>IFERROR(P66/P148, "NA")</f>
        <v>6.0782666433756086E-2</v>
      </c>
      <c r="R66" s="115">
        <v>2519.23</v>
      </c>
      <c r="S66" s="116">
        <f>IFERROR(R66/R148, "NA")</f>
        <v>6.4772769637997246E-2</v>
      </c>
      <c r="T66" s="115">
        <v>2519.23</v>
      </c>
      <c r="U66" s="116">
        <f>IFERROR(T66/T148, "NA")</f>
        <v>5.7784268516573097E-2</v>
      </c>
      <c r="V66" s="115">
        <v>1326.92</v>
      </c>
      <c r="W66" s="116">
        <f>IFERROR(V66/V148, "NA")</f>
        <v>2.7719332255967434E-2</v>
      </c>
      <c r="X66" s="115">
        <v>1326.92</v>
      </c>
      <c r="Y66" s="116">
        <f>IFERROR(X66/X148, "NA")</f>
        <v>2.4110527723509165E-2</v>
      </c>
      <c r="Z66" s="115">
        <v>2653.84</v>
      </c>
      <c r="AA66" s="116">
        <f>IFERROR(Z66/Z148, "NA")</f>
        <v>2.5789293241359579E-2</v>
      </c>
      <c r="AB66" s="117">
        <f t="shared" si="24"/>
        <v>1923.075</v>
      </c>
      <c r="AC66" s="116">
        <f>IFERROR(AB66/AB148, "NA")</f>
        <v>4.1491358758259315E-2</v>
      </c>
      <c r="AD66" s="118">
        <f t="shared" si="25"/>
        <v>-596.15499999999997</v>
      </c>
      <c r="AE66" s="119">
        <f>IFERROR(AD66/AD148, "NA")</f>
        <v>-6.8633435882558005E-2</v>
      </c>
      <c r="AF66" s="118">
        <f t="shared" si="26"/>
        <v>-0.31000091000090996</v>
      </c>
      <c r="AG66" s="117">
        <f t="shared" si="27"/>
        <v>2221.1525000000001</v>
      </c>
      <c r="AH66" s="116">
        <f>IFERROR(AG66/AG148, "NA")</f>
        <v>4.8301779497182777E-2</v>
      </c>
      <c r="AI66" s="118">
        <f t="shared" si="28"/>
        <v>-894.23250000000007</v>
      </c>
      <c r="AJ66" s="119">
        <f>IFERROR(AI66/AI148, "NA")</f>
        <v>-9.881043936008696E-2</v>
      </c>
      <c r="AK66" s="118">
        <f t="shared" si="29"/>
        <v>-0.40259842581722777</v>
      </c>
      <c r="AL66" s="119">
        <f>IFERROR(AK66/AK148, "NA")</f>
        <v>-2.0456894215636527</v>
      </c>
    </row>
    <row r="67" spans="1:38" ht="16.5" hidden="1" customHeight="1" x14ac:dyDescent="0.25">
      <c r="A67" s="7" t="s">
        <v>70</v>
      </c>
      <c r="B67" s="115">
        <v>0</v>
      </c>
      <c r="C67" s="116">
        <f>IFERROR(B67/B148, "NA")</f>
        <v>0</v>
      </c>
      <c r="D67" s="115">
        <v>0</v>
      </c>
      <c r="E67" s="116">
        <f>IFERROR(D67/D148, "NA")</f>
        <v>0</v>
      </c>
      <c r="F67" s="115">
        <v>0</v>
      </c>
      <c r="G67" s="116">
        <f>IFERROR(F67/F148, "NA")</f>
        <v>0</v>
      </c>
      <c r="H67" s="115">
        <v>0</v>
      </c>
      <c r="I67" s="116">
        <f>IFERROR(H67/H148, "NA")</f>
        <v>0</v>
      </c>
      <c r="J67" s="115">
        <v>0</v>
      </c>
      <c r="K67" s="116">
        <f>IFERROR(J67/J148, "NA")</f>
        <v>0</v>
      </c>
      <c r="L67" s="115">
        <v>0</v>
      </c>
      <c r="M67" s="116">
        <f>IFERROR(L67/L148, "NA")</f>
        <v>0</v>
      </c>
      <c r="N67" s="115">
        <v>0</v>
      </c>
      <c r="O67" s="116">
        <f>IFERROR(N67/N148, "NA")</f>
        <v>0</v>
      </c>
      <c r="P67" s="115">
        <v>0</v>
      </c>
      <c r="Q67" s="116">
        <f>IFERROR(P67/P148, "NA")</f>
        <v>0</v>
      </c>
      <c r="R67" s="115">
        <v>0</v>
      </c>
      <c r="S67" s="116">
        <f>IFERROR(R67/R148, "NA")</f>
        <v>0</v>
      </c>
      <c r="T67" s="115">
        <v>0</v>
      </c>
      <c r="U67" s="116">
        <f>IFERROR(T67/T148, "NA")</f>
        <v>0</v>
      </c>
      <c r="V67" s="115">
        <v>0</v>
      </c>
      <c r="W67" s="116">
        <f>IFERROR(V67/V148, "NA")</f>
        <v>0</v>
      </c>
      <c r="X67" s="115">
        <v>0</v>
      </c>
      <c r="Y67" s="116">
        <f>IFERROR(X67/X148, "NA")</f>
        <v>0</v>
      </c>
      <c r="Z67" s="115">
        <v>0</v>
      </c>
      <c r="AA67" s="116">
        <f>IFERROR(Z67/Z148, "NA")</f>
        <v>0</v>
      </c>
      <c r="AB67" s="117">
        <f t="shared" si="24"/>
        <v>0</v>
      </c>
      <c r="AC67" s="116">
        <f>IFERROR(AB67/AB148, "NA")</f>
        <v>0</v>
      </c>
      <c r="AD67" s="118">
        <f t="shared" si="25"/>
        <v>0</v>
      </c>
      <c r="AE67" s="119">
        <f>IFERROR(AD67/AD148, "NA")</f>
        <v>0</v>
      </c>
      <c r="AF67" s="118" t="str">
        <f t="shared" si="26"/>
        <v>NA</v>
      </c>
      <c r="AG67" s="117">
        <f t="shared" si="27"/>
        <v>0</v>
      </c>
      <c r="AH67" s="116">
        <f>IFERROR(AG67/AG148, "NA")</f>
        <v>0</v>
      </c>
      <c r="AI67" s="118">
        <f t="shared" si="28"/>
        <v>0</v>
      </c>
      <c r="AJ67" s="119">
        <f>IFERROR(AI67/AI148, "NA")</f>
        <v>0</v>
      </c>
      <c r="AK67" s="118" t="str">
        <f t="shared" si="29"/>
        <v>NA</v>
      </c>
      <c r="AL67" s="119" t="str">
        <f>IFERROR(AK67/AK148, "NA")</f>
        <v>NA</v>
      </c>
    </row>
    <row r="68" spans="1:38" ht="16.5" customHeight="1" x14ac:dyDescent="0.25">
      <c r="A68" s="7" t="s">
        <v>71</v>
      </c>
      <c r="B68" s="115">
        <v>7551.75</v>
      </c>
      <c r="C68" s="116">
        <f>IFERROR(B68/B148, "NA")</f>
        <v>0.15719765094971175</v>
      </c>
      <c r="D68" s="115">
        <v>6695.05</v>
      </c>
      <c r="E68" s="116">
        <f>IFERROR(D68/D148, "NA")</f>
        <v>0.16140269587499254</v>
      </c>
      <c r="F68" s="115">
        <v>8012.16</v>
      </c>
      <c r="G68" s="116">
        <f>IFERROR(F68/F148, "NA")</f>
        <v>0.16069059475391384</v>
      </c>
      <c r="H68" s="115">
        <v>7685.83</v>
      </c>
      <c r="I68" s="116">
        <f>IFERROR(H68/H148, "NA")</f>
        <v>0.15021232667349926</v>
      </c>
      <c r="J68" s="115">
        <v>6943.38</v>
      </c>
      <c r="K68" s="116">
        <f>IFERROR(J68/J148, "NA")</f>
        <v>0.14655941938374956</v>
      </c>
      <c r="L68" s="115">
        <v>6896.57</v>
      </c>
      <c r="M68" s="116">
        <f>IFERROR(L68/L148, "NA")</f>
        <v>0.1564183609454545</v>
      </c>
      <c r="N68" s="115">
        <v>7621.22</v>
      </c>
      <c r="O68" s="116">
        <f>IFERROR(N68/N148, "NA")</f>
        <v>0.15374339533727757</v>
      </c>
      <c r="P68" s="115">
        <v>7148.11</v>
      </c>
      <c r="Q68" s="116">
        <f>IFERROR(P68/P148, "NA")</f>
        <v>0.17246586685685553</v>
      </c>
      <c r="R68" s="115">
        <v>7063.93</v>
      </c>
      <c r="S68" s="116">
        <f>IFERROR(R68/R148, "NA")</f>
        <v>0.18162307952387749</v>
      </c>
      <c r="T68" s="115">
        <v>6359.56</v>
      </c>
      <c r="U68" s="116">
        <f>IFERROR(T68/T148, "NA")</f>
        <v>0.14587096957691739</v>
      </c>
      <c r="V68" s="115">
        <v>7409.25</v>
      </c>
      <c r="W68" s="116">
        <f>IFERROR(V68/V148, "NA")</f>
        <v>0.15477908428354889</v>
      </c>
      <c r="X68" s="115">
        <v>7294.88</v>
      </c>
      <c r="Y68" s="116">
        <f>IFERROR(X68/X148, "NA")</f>
        <v>0.13255012094148294</v>
      </c>
      <c r="Z68" s="115">
        <v>14704.13</v>
      </c>
      <c r="AA68" s="116">
        <f>IFERROR(Z68/Z148, "NA")</f>
        <v>0.14289072454596835</v>
      </c>
      <c r="AB68" s="117">
        <f t="shared" si="24"/>
        <v>7031.9050000000007</v>
      </c>
      <c r="AC68" s="116">
        <f>IFERROR(AB68/AB148, "NA")</f>
        <v>0.15171706413374281</v>
      </c>
      <c r="AD68" s="118">
        <f t="shared" si="25"/>
        <v>262.97499999999945</v>
      </c>
      <c r="AE68" s="119">
        <f>IFERROR(AD68/AD148, "NA")</f>
        <v>3.0275478359177824E-2</v>
      </c>
      <c r="AF68" s="118">
        <f t="shared" si="26"/>
        <v>3.7397405112839184E-2</v>
      </c>
      <c r="AG68" s="117">
        <f t="shared" si="27"/>
        <v>7092.1125000000002</v>
      </c>
      <c r="AH68" s="116">
        <f>IFERROR(AG68/AG148, "NA")</f>
        <v>0.15422698537998344</v>
      </c>
      <c r="AI68" s="118">
        <f t="shared" si="28"/>
        <v>202.76749999999993</v>
      </c>
      <c r="AJ68" s="119">
        <f>IFERROR(AI68/AI148, "NA")</f>
        <v>2.2405298133255529E-2</v>
      </c>
      <c r="AK68" s="118">
        <f t="shared" si="29"/>
        <v>2.8590564517976827E-2</v>
      </c>
      <c r="AL68" s="119">
        <f>IFERROR(AK68/AK148, "NA")</f>
        <v>0.14527482384521423</v>
      </c>
    </row>
    <row r="69" spans="1:38" ht="16.5" customHeight="1" x14ac:dyDescent="0.25">
      <c r="A69" s="7" t="s">
        <v>72</v>
      </c>
      <c r="B69" s="115">
        <v>93.98</v>
      </c>
      <c r="C69" s="116">
        <f>IFERROR(B69/B148, "NA")</f>
        <v>1.9562929435235424E-3</v>
      </c>
      <c r="D69" s="115">
        <v>145.08000000000001</v>
      </c>
      <c r="E69" s="116">
        <f>IFERROR(D69/D148, "NA")</f>
        <v>3.4975546287994742E-3</v>
      </c>
      <c r="F69" s="115">
        <v>453.47</v>
      </c>
      <c r="G69" s="116">
        <f>IFERROR(F69/F148, "NA")</f>
        <v>9.0947215236661921E-3</v>
      </c>
      <c r="H69" s="115">
        <v>274.60000000000002</v>
      </c>
      <c r="I69" s="116">
        <f>IFERROR(H69/H148, "NA")</f>
        <v>5.3667990190445145E-3</v>
      </c>
      <c r="J69" s="115">
        <v>229.06</v>
      </c>
      <c r="K69" s="116">
        <f>IFERROR(J69/J148, "NA")</f>
        <v>4.8349507882388225E-3</v>
      </c>
      <c r="L69" s="115">
        <v>230.99</v>
      </c>
      <c r="M69" s="116">
        <f>IFERROR(L69/L148, "NA")</f>
        <v>5.2389923099150065E-3</v>
      </c>
      <c r="N69" s="115">
        <v>264.58</v>
      </c>
      <c r="O69" s="116">
        <f>IFERROR(N69/N148, "NA")</f>
        <v>5.337390540928735E-3</v>
      </c>
      <c r="P69" s="115">
        <v>219.61</v>
      </c>
      <c r="Q69" s="116">
        <f>IFERROR(P69/P148, "NA")</f>
        <v>5.2986354463535187E-3</v>
      </c>
      <c r="R69" s="115">
        <v>91.1</v>
      </c>
      <c r="S69" s="116">
        <f>IFERROR(R69/R148, "NA")</f>
        <v>2.3423027329864871E-3</v>
      </c>
      <c r="T69" s="115">
        <v>149.94</v>
      </c>
      <c r="U69" s="116">
        <f>IFERROR(T69/T148, "NA")</f>
        <v>3.4392148479396359E-3</v>
      </c>
      <c r="V69" s="115">
        <v>1037.57</v>
      </c>
      <c r="W69" s="116">
        <f>IFERROR(V69/V148, "NA")</f>
        <v>2.1674816544195678E-2</v>
      </c>
      <c r="X69" s="115">
        <v>280.27</v>
      </c>
      <c r="Y69" s="116">
        <f>IFERROR(X69/X148, "NA")</f>
        <v>5.092588554749279E-3</v>
      </c>
      <c r="Z69" s="115">
        <v>1317.84</v>
      </c>
      <c r="AA69" s="116">
        <f>IFERROR(Z69/Z148, "NA")</f>
        <v>1.2806409657399582E-2</v>
      </c>
      <c r="AB69" s="117">
        <f t="shared" si="24"/>
        <v>389.71999999999997</v>
      </c>
      <c r="AC69" s="116">
        <f>IFERROR(AB69/AB148, "NA")</f>
        <v>8.4084148227546087E-3</v>
      </c>
      <c r="AD69" s="118">
        <f t="shared" si="25"/>
        <v>-109.44999999999999</v>
      </c>
      <c r="AE69" s="119">
        <f>IFERROR(AD69/AD148, "NA")</f>
        <v>-1.2600631643357807E-2</v>
      </c>
      <c r="AF69" s="118">
        <f t="shared" si="26"/>
        <v>-0.28084265626603716</v>
      </c>
      <c r="AG69" s="117">
        <f t="shared" si="27"/>
        <v>312.89</v>
      </c>
      <c r="AH69" s="116">
        <f>IFERROR(AG69/AG148, "NA")</f>
        <v>6.8041900710885533E-3</v>
      </c>
      <c r="AI69" s="118">
        <f t="shared" si="28"/>
        <v>-32.620000000000005</v>
      </c>
      <c r="AJ69" s="119">
        <f>IFERROR(AI69/AI148, "NA")</f>
        <v>-3.6044278550891816E-3</v>
      </c>
      <c r="AK69" s="118">
        <f t="shared" si="29"/>
        <v>-0.10425389114385249</v>
      </c>
      <c r="AL69" s="119">
        <f>IFERROR(AK69/AK148, "NA")</f>
        <v>-0.52973650315922682</v>
      </c>
    </row>
    <row r="70" spans="1:38" ht="16.5" customHeight="1" x14ac:dyDescent="0.25">
      <c r="A70" s="129" t="s">
        <v>73</v>
      </c>
      <c r="B70" s="121">
        <f>IFERROR(B65+B66+B67+B68+B69, "NA")</f>
        <v>10164.959999999999</v>
      </c>
      <c r="C70" s="122">
        <f>IFERROR(B70/B148, "NA")</f>
        <v>0.21159437666736608</v>
      </c>
      <c r="D70" s="121">
        <f>IFERROR(D65+D66+D67+D68+D69, "NA")</f>
        <v>9359.36</v>
      </c>
      <c r="E70" s="122">
        <f>IFERROR(D70/D148, "NA")</f>
        <v>0.22563325675903395</v>
      </c>
      <c r="F70" s="121">
        <f>IFERROR(F65+F66+F67+F68+F69, "NA")</f>
        <v>10984.859999999999</v>
      </c>
      <c r="G70" s="122">
        <f>IFERROR(F70/F148, "NA")</f>
        <v>0.22031058874117315</v>
      </c>
      <c r="H70" s="121">
        <f>IFERROR(H65+H66+H67+H68+H69, "NA")</f>
        <v>10479.66</v>
      </c>
      <c r="I70" s="122">
        <f>IFERROR(H70/H148, "NA")</f>
        <v>0.20481510927865998</v>
      </c>
      <c r="J70" s="121">
        <f>IFERROR(J65+J66+J67+J68+J69, "NA")</f>
        <v>9691.67</v>
      </c>
      <c r="K70" s="122">
        <f>IFERROR(J70/J148, "NA")</f>
        <v>0.20456975249214421</v>
      </c>
      <c r="L70" s="121">
        <f>IFERROR(L65+L66+L67+L68+L69, "NA")</f>
        <v>9646.7899999999991</v>
      </c>
      <c r="M70" s="122">
        <f>IFERROR(L70/L148, "NA")</f>
        <v>0.21879500682005706</v>
      </c>
      <c r="N70" s="121">
        <f>IFERROR(N65+N66+N67+N68+N69, "NA")</f>
        <v>10405.030000000001</v>
      </c>
      <c r="O70" s="122">
        <f>IFERROR(N70/N148, "NA")</f>
        <v>0.20990138597051827</v>
      </c>
      <c r="P70" s="121">
        <f>IFERROR(P65+P66+P67+P68+P69, "NA")</f>
        <v>9886.9500000000007</v>
      </c>
      <c r="Q70" s="122">
        <f>IFERROR(P70/P148, "NA")</f>
        <v>0.23854716873696516</v>
      </c>
      <c r="R70" s="121">
        <f>IFERROR(R65+R66+R67+R68+R69, "NA")</f>
        <v>9674.26</v>
      </c>
      <c r="S70" s="122">
        <f>IFERROR(R70/R148, "NA")</f>
        <v>0.24873815189486123</v>
      </c>
      <c r="T70" s="121">
        <f>IFERROR(T65+T66+T67+T68+T69, "NA")</f>
        <v>9028.7300000000014</v>
      </c>
      <c r="U70" s="122">
        <f>IFERROR(T70/T148, "NA")</f>
        <v>0.20709445294143014</v>
      </c>
      <c r="V70" s="121">
        <f>IFERROR(V65+V66+V67+V68+V69, "NA")</f>
        <v>9773.74</v>
      </c>
      <c r="W70" s="122">
        <f>IFERROR(V70/V148, "NA")</f>
        <v>0.20417323308371202</v>
      </c>
      <c r="X70" s="121">
        <f>IFERROR(X65+X66+X67+X68+X69, "NA")</f>
        <v>8902.07</v>
      </c>
      <c r="Y70" s="122">
        <f>IFERROR(X70/X148, "NA")</f>
        <v>0.16175323721974139</v>
      </c>
      <c r="Z70" s="121">
        <f>IFERROR(Z65+Z66+Z67+Z68+Z69, "NA")</f>
        <v>18675.810000000001</v>
      </c>
      <c r="AA70" s="122">
        <f>IFERROR(Z70/Z148, "NA")</f>
        <v>0.18148642744472751</v>
      </c>
      <c r="AB70" s="121">
        <f t="shared" si="24"/>
        <v>9344.7000000000007</v>
      </c>
      <c r="AC70" s="122">
        <f>IFERROR(AB70/AB148, "NA")</f>
        <v>0.20161683771475675</v>
      </c>
      <c r="AD70" s="123">
        <f t="shared" si="25"/>
        <v>-442.63000000000102</v>
      </c>
      <c r="AE70" s="124">
        <f>IFERROR(AD70/AD148, "NA")</f>
        <v>-5.0958589166738053E-2</v>
      </c>
      <c r="AF70" s="123">
        <f t="shared" si="26"/>
        <v>-4.7366956670626237E-2</v>
      </c>
      <c r="AG70" s="121">
        <f t="shared" si="27"/>
        <v>9626.1550000000025</v>
      </c>
      <c r="AH70" s="122">
        <f>IFERROR(AG70/AG148, "NA")</f>
        <v>0.20933295494825482</v>
      </c>
      <c r="AI70" s="123">
        <f t="shared" si="28"/>
        <v>-724.08500000000276</v>
      </c>
      <c r="AJ70" s="124">
        <f>IFERROR(AI70/AI148, "NA")</f>
        <v>-8.0009569081920903E-2</v>
      </c>
      <c r="AK70" s="123">
        <f t="shared" si="29"/>
        <v>-7.5220583919540313E-2</v>
      </c>
      <c r="AL70" s="124">
        <f>IFERROR(AK70/AK148, "NA")</f>
        <v>-0.3822120081460586</v>
      </c>
    </row>
    <row r="71" spans="1:38" ht="16.5" hidden="1" customHeight="1" x14ac:dyDescent="0.25">
      <c r="A71" s="5" t="s">
        <v>74</v>
      </c>
      <c r="B71" s="115">
        <v>0</v>
      </c>
      <c r="C71" s="116">
        <f>IFERROR(B71/B148, "NA")</f>
        <v>0</v>
      </c>
      <c r="D71" s="115">
        <v>0</v>
      </c>
      <c r="E71" s="116">
        <f>IFERROR(D71/D148, "NA")</f>
        <v>0</v>
      </c>
      <c r="F71" s="115">
        <v>0</v>
      </c>
      <c r="G71" s="116">
        <f>IFERROR(F71/F148, "NA")</f>
        <v>0</v>
      </c>
      <c r="H71" s="115">
        <v>0</v>
      </c>
      <c r="I71" s="116">
        <f>IFERROR(H71/H148, "NA")</f>
        <v>0</v>
      </c>
      <c r="J71" s="115">
        <v>0</v>
      </c>
      <c r="K71" s="116">
        <f>IFERROR(J71/J148, "NA")</f>
        <v>0</v>
      </c>
      <c r="L71" s="115">
        <v>0</v>
      </c>
      <c r="M71" s="116">
        <f>IFERROR(L71/L148, "NA")</f>
        <v>0</v>
      </c>
      <c r="N71" s="115">
        <v>0</v>
      </c>
      <c r="O71" s="116">
        <f>IFERROR(N71/N148, "NA")</f>
        <v>0</v>
      </c>
      <c r="P71" s="115">
        <v>0</v>
      </c>
      <c r="Q71" s="116">
        <f>IFERROR(P71/P148, "NA")</f>
        <v>0</v>
      </c>
      <c r="R71" s="115">
        <v>0</v>
      </c>
      <c r="S71" s="116">
        <f>IFERROR(R71/R148, "NA")</f>
        <v>0</v>
      </c>
      <c r="T71" s="115">
        <v>0</v>
      </c>
      <c r="U71" s="116">
        <f>IFERROR(T71/T148, "NA")</f>
        <v>0</v>
      </c>
      <c r="V71" s="115">
        <v>0</v>
      </c>
      <c r="W71" s="116">
        <f>IFERROR(V71/V148, "NA")</f>
        <v>0</v>
      </c>
      <c r="X71" s="115">
        <v>0</v>
      </c>
      <c r="Y71" s="116">
        <f>IFERROR(X71/X148, "NA")</f>
        <v>0</v>
      </c>
      <c r="Z71" s="115">
        <v>0</v>
      </c>
      <c r="AA71" s="116">
        <f>IFERROR(Z71/Z148, "NA")</f>
        <v>0</v>
      </c>
      <c r="AB71" s="117">
        <f t="shared" si="24"/>
        <v>0</v>
      </c>
      <c r="AC71" s="116">
        <f>IFERROR(AB71/AB148, "NA")</f>
        <v>0</v>
      </c>
      <c r="AD71" s="118">
        <f t="shared" si="25"/>
        <v>0</v>
      </c>
      <c r="AE71" s="119">
        <f>IFERROR(AD71/AD148, "NA")</f>
        <v>0</v>
      </c>
      <c r="AF71" s="118" t="str">
        <f t="shared" si="26"/>
        <v>NA</v>
      </c>
      <c r="AG71" s="117">
        <f t="shared" si="27"/>
        <v>0</v>
      </c>
      <c r="AH71" s="116">
        <f>IFERROR(AG71/AG148, "NA")</f>
        <v>0</v>
      </c>
      <c r="AI71" s="118">
        <f t="shared" si="28"/>
        <v>0</v>
      </c>
      <c r="AJ71" s="119">
        <f>IFERROR(AI71/AI148, "NA")</f>
        <v>0</v>
      </c>
      <c r="AK71" s="118" t="str">
        <f t="shared" si="29"/>
        <v>NA</v>
      </c>
      <c r="AL71" s="119" t="str">
        <f>IFERROR(AK71/AK148, "NA")</f>
        <v>NA</v>
      </c>
    </row>
    <row r="72" spans="1:38" ht="16.5" customHeight="1" x14ac:dyDescent="0.25">
      <c r="A72" s="5" t="s">
        <v>75</v>
      </c>
      <c r="B72" s="115">
        <v>-1876</v>
      </c>
      <c r="C72" s="116">
        <f>IFERROR(B72/B148, "NA")</f>
        <v>-3.9050921068846195E-2</v>
      </c>
      <c r="D72" s="115">
        <v>0</v>
      </c>
      <c r="E72" s="116">
        <f>IFERROR(D72/D148, "NA")</f>
        <v>0</v>
      </c>
      <c r="F72" s="115">
        <v>0</v>
      </c>
      <c r="G72" s="116">
        <f>IFERROR(F72/F148, "NA")</f>
        <v>0</v>
      </c>
      <c r="H72" s="115">
        <v>0</v>
      </c>
      <c r="I72" s="116">
        <f>IFERROR(H72/H148, "NA")</f>
        <v>0</v>
      </c>
      <c r="J72" s="115">
        <v>863</v>
      </c>
      <c r="K72" s="116">
        <f>IFERROR(J72/J148, "NA")</f>
        <v>1.821602431786477E-2</v>
      </c>
      <c r="L72" s="115">
        <v>0</v>
      </c>
      <c r="M72" s="116">
        <f>IFERROR(L72/L148, "NA")</f>
        <v>0</v>
      </c>
      <c r="N72" s="115">
        <v>0</v>
      </c>
      <c r="O72" s="116">
        <f>IFERROR(N72/N148, "NA")</f>
        <v>0</v>
      </c>
      <c r="P72" s="115">
        <v>0</v>
      </c>
      <c r="Q72" s="116">
        <f>IFERROR(P72/P148, "NA")</f>
        <v>0</v>
      </c>
      <c r="R72" s="115">
        <v>0</v>
      </c>
      <c r="S72" s="116">
        <f>IFERROR(R72/R148, "NA")</f>
        <v>0</v>
      </c>
      <c r="T72" s="115">
        <v>1013</v>
      </c>
      <c r="U72" s="116">
        <f>IFERROR(T72/T148, "NA")</f>
        <v>2.3235458456468263E-2</v>
      </c>
      <c r="V72" s="115">
        <v>0</v>
      </c>
      <c r="W72" s="116">
        <f>IFERROR(V72/V148, "NA")</f>
        <v>0</v>
      </c>
      <c r="X72" s="115">
        <v>0</v>
      </c>
      <c r="Y72" s="116">
        <f>IFERROR(X72/X148, "NA")</f>
        <v>0</v>
      </c>
      <c r="Z72" s="115">
        <v>0</v>
      </c>
      <c r="AA72" s="116">
        <f>IFERROR(Z72/Z148, "NA")</f>
        <v>0</v>
      </c>
      <c r="AB72" s="117">
        <f t="shared" si="24"/>
        <v>253.25</v>
      </c>
      <c r="AC72" s="116">
        <f>IFERROR(AB72/AB148, "NA")</f>
        <v>5.4640024988776674E-3</v>
      </c>
      <c r="AD72" s="118">
        <f t="shared" si="25"/>
        <v>-253.25</v>
      </c>
      <c r="AE72" s="119">
        <f>IFERROR(AD72/AD148, "NA")</f>
        <v>-2.9155869928555185E-2</v>
      </c>
      <c r="AF72" s="118">
        <f t="shared" si="26"/>
        <v>-1</v>
      </c>
      <c r="AG72" s="117">
        <f t="shared" si="27"/>
        <v>234.5</v>
      </c>
      <c r="AH72" s="116">
        <f>IFERROR(AG72/AG148, "NA")</f>
        <v>5.099500053278359E-3</v>
      </c>
      <c r="AI72" s="118">
        <f t="shared" si="28"/>
        <v>-234.5</v>
      </c>
      <c r="AJ72" s="119">
        <f>IFERROR(AI72/AI148, "NA")</f>
        <v>-2.5911659473280595E-2</v>
      </c>
      <c r="AK72" s="118">
        <f t="shared" si="29"/>
        <v>-1</v>
      </c>
      <c r="AL72" s="119">
        <f>IFERROR(AK72/AK148, "NA")</f>
        <v>-5.0812156490953546</v>
      </c>
    </row>
    <row r="73" spans="1:38" ht="16.5" customHeight="1" x14ac:dyDescent="0.25">
      <c r="A73" s="6" t="s">
        <v>76</v>
      </c>
      <c r="B73" s="111"/>
      <c r="C73" s="112"/>
      <c r="D73" s="111"/>
      <c r="E73" s="112"/>
      <c r="F73" s="111"/>
      <c r="G73" s="112"/>
      <c r="H73" s="111"/>
      <c r="I73" s="112"/>
      <c r="J73" s="111"/>
      <c r="K73" s="112"/>
      <c r="L73" s="111"/>
      <c r="M73" s="112"/>
      <c r="N73" s="111"/>
      <c r="O73" s="112"/>
      <c r="P73" s="111"/>
      <c r="Q73" s="112"/>
      <c r="R73" s="111"/>
      <c r="S73" s="112"/>
      <c r="T73" s="111"/>
      <c r="U73" s="112"/>
      <c r="V73" s="111"/>
      <c r="W73" s="112"/>
      <c r="X73" s="111"/>
      <c r="Y73" s="112"/>
      <c r="Z73" s="111"/>
      <c r="AA73" s="112"/>
      <c r="AB73" s="111"/>
      <c r="AC73" s="112"/>
      <c r="AD73" s="113"/>
      <c r="AE73" s="114"/>
      <c r="AF73" s="113"/>
      <c r="AG73" s="111"/>
      <c r="AH73" s="112"/>
      <c r="AI73" s="113"/>
      <c r="AJ73" s="114"/>
      <c r="AK73" s="113"/>
      <c r="AL73" s="114"/>
    </row>
    <row r="74" spans="1:38" ht="16.5" customHeight="1" x14ac:dyDescent="0.25">
      <c r="A74" s="7" t="s">
        <v>77</v>
      </c>
      <c r="B74" s="115">
        <v>1016.17</v>
      </c>
      <c r="C74" s="116">
        <f>IFERROR(B74/B148, "NA")</f>
        <v>2.1152651632478377E-2</v>
      </c>
      <c r="D74" s="115">
        <v>1020.27</v>
      </c>
      <c r="E74" s="116">
        <f>IFERROR(D74/D148, "NA")</f>
        <v>2.4596429977427895E-2</v>
      </c>
      <c r="F74" s="115">
        <v>1146.8599999999999</v>
      </c>
      <c r="G74" s="116">
        <f>IFERROR(F74/F148, "NA")</f>
        <v>2.3001240052554318E-2</v>
      </c>
      <c r="H74" s="115">
        <v>1081.04</v>
      </c>
      <c r="I74" s="116">
        <f>IFERROR(H74/H148, "NA")</f>
        <v>2.1127911185534892E-2</v>
      </c>
      <c r="J74" s="115">
        <v>1003.55</v>
      </c>
      <c r="K74" s="116">
        <f>IFERROR(J74/J148, "NA")</f>
        <v>2.1182724454453287E-2</v>
      </c>
      <c r="L74" s="115">
        <v>963.22</v>
      </c>
      <c r="M74" s="116">
        <f>IFERROR(L74/L148, "NA")</f>
        <v>2.1846409683347039E-2</v>
      </c>
      <c r="N74" s="115">
        <v>1037.05</v>
      </c>
      <c r="O74" s="116">
        <f>IFERROR(N74/N148, "NA")</f>
        <v>2.0920480990513815E-2</v>
      </c>
      <c r="P74" s="115">
        <v>954.23</v>
      </c>
      <c r="Q74" s="116">
        <f>IFERROR(P74/P148, "NA")</f>
        <v>2.3023163343991248E-2</v>
      </c>
      <c r="R74" s="115">
        <v>941.37</v>
      </c>
      <c r="S74" s="116">
        <f>IFERROR(R74/R148, "NA")</f>
        <v>2.4203880611981227E-2</v>
      </c>
      <c r="T74" s="115">
        <v>903.18</v>
      </c>
      <c r="U74" s="116">
        <f>IFERROR(T74/T148, "NA")</f>
        <v>2.0716487037229028E-2</v>
      </c>
      <c r="V74" s="115">
        <v>912.03</v>
      </c>
      <c r="W74" s="116">
        <f>IFERROR(V74/V148, "NA")</f>
        <v>1.9052288455528577E-2</v>
      </c>
      <c r="X74" s="115">
        <v>959.49</v>
      </c>
      <c r="Y74" s="116">
        <f>IFERROR(X74/X148, "NA")</f>
        <v>1.7434216264303658E-2</v>
      </c>
      <c r="Z74" s="115">
        <v>1871.52</v>
      </c>
      <c r="AA74" s="116">
        <f>IFERROR(Z74/Z148, "NA")</f>
        <v>1.8186920872045518E-2</v>
      </c>
      <c r="AB74" s="117">
        <f t="shared" ref="AB74:AB85" si="30">IFERROR((R74+T74+V74+X74)/4, "NA")</f>
        <v>929.01749999999993</v>
      </c>
      <c r="AC74" s="116">
        <f>IFERROR(AB74/AB148, "NA")</f>
        <v>2.004404320434781E-2</v>
      </c>
      <c r="AD74" s="118">
        <f t="shared" ref="AD74:AD85" si="31">IFERROR(X74-AB74, "NA")</f>
        <v>30.472500000000082</v>
      </c>
      <c r="AE74" s="119">
        <f>IFERROR(AD74/AD148, "NA")</f>
        <v>3.5082023549769014E-3</v>
      </c>
      <c r="AF74" s="118">
        <f t="shared" ref="AF74:AF85" si="32">IFERROR((X74-AB74)/AB74, "NA")</f>
        <v>3.2800781470747414E-2</v>
      </c>
      <c r="AG74" s="117">
        <f t="shared" ref="AG74:AG85" si="33">IFERROR((J74+L74+N74+P74+R74+T74+V74+X74)/8, "NA")</f>
        <v>959.26499999999999</v>
      </c>
      <c r="AH74" s="116">
        <f>IFERROR(AG74/AG148, "NA")</f>
        <v>2.0860434620929916E-2</v>
      </c>
      <c r="AI74" s="118">
        <f t="shared" ref="AI74:AI85" si="34">IFERROR(X74-AG74, "NA")</f>
        <v>0.22500000000002274</v>
      </c>
      <c r="AJ74" s="119">
        <f>IFERROR(AI74/AI148, "NA")</f>
        <v>2.4861933396540396E-5</v>
      </c>
      <c r="AK74" s="118">
        <f t="shared" ref="AK74:AK85" si="35">IFERROR((X74-AG74)/AG74, "NA")</f>
        <v>2.3455458085098771E-4</v>
      </c>
      <c r="AL74" s="119">
        <f>IFERROR(AK74/AK148, "NA")</f>
        <v>1.1918224067870404E-3</v>
      </c>
    </row>
    <row r="75" spans="1:38" ht="16.5" hidden="1" customHeight="1" x14ac:dyDescent="0.25">
      <c r="A75" s="7" t="s">
        <v>78</v>
      </c>
      <c r="B75" s="115">
        <v>0</v>
      </c>
      <c r="C75" s="116">
        <f>IFERROR(B75/B148, "NA")</f>
        <v>0</v>
      </c>
      <c r="D75" s="115">
        <v>0</v>
      </c>
      <c r="E75" s="116">
        <f>IFERROR(D75/D148, "NA")</f>
        <v>0</v>
      </c>
      <c r="F75" s="115">
        <v>0</v>
      </c>
      <c r="G75" s="116">
        <f>IFERROR(F75/F148, "NA")</f>
        <v>0</v>
      </c>
      <c r="H75" s="115">
        <v>0</v>
      </c>
      <c r="I75" s="116">
        <f>IFERROR(H75/H148, "NA")</f>
        <v>0</v>
      </c>
      <c r="J75" s="115">
        <v>0</v>
      </c>
      <c r="K75" s="116">
        <f>IFERROR(J75/J148, "NA")</f>
        <v>0</v>
      </c>
      <c r="L75" s="115">
        <v>0</v>
      </c>
      <c r="M75" s="116">
        <f>IFERROR(L75/L148, "NA")</f>
        <v>0</v>
      </c>
      <c r="N75" s="115">
        <v>0</v>
      </c>
      <c r="O75" s="116">
        <f>IFERROR(N75/N148, "NA")</f>
        <v>0</v>
      </c>
      <c r="P75" s="115">
        <v>0</v>
      </c>
      <c r="Q75" s="116">
        <f>IFERROR(P75/P148, "NA")</f>
        <v>0</v>
      </c>
      <c r="R75" s="115">
        <v>0</v>
      </c>
      <c r="S75" s="116">
        <f>IFERROR(R75/R148, "NA")</f>
        <v>0</v>
      </c>
      <c r="T75" s="115">
        <v>0</v>
      </c>
      <c r="U75" s="116">
        <f>IFERROR(T75/T148, "NA")</f>
        <v>0</v>
      </c>
      <c r="V75" s="115">
        <v>0</v>
      </c>
      <c r="W75" s="116">
        <f>IFERROR(V75/V148, "NA")</f>
        <v>0</v>
      </c>
      <c r="X75" s="115">
        <v>0</v>
      </c>
      <c r="Y75" s="116">
        <f>IFERROR(X75/X148, "NA")</f>
        <v>0</v>
      </c>
      <c r="Z75" s="115">
        <v>0</v>
      </c>
      <c r="AA75" s="116">
        <f>IFERROR(Z75/Z148, "NA")</f>
        <v>0</v>
      </c>
      <c r="AB75" s="117">
        <f t="shared" si="30"/>
        <v>0</v>
      </c>
      <c r="AC75" s="116">
        <f>IFERROR(AB75/AB148, "NA")</f>
        <v>0</v>
      </c>
      <c r="AD75" s="118">
        <f t="shared" si="31"/>
        <v>0</v>
      </c>
      <c r="AE75" s="119">
        <f>IFERROR(AD75/AD148, "NA")</f>
        <v>0</v>
      </c>
      <c r="AF75" s="118" t="str">
        <f t="shared" si="32"/>
        <v>NA</v>
      </c>
      <c r="AG75" s="117">
        <f t="shared" si="33"/>
        <v>0</v>
      </c>
      <c r="AH75" s="116">
        <f>IFERROR(AG75/AG148, "NA")</f>
        <v>0</v>
      </c>
      <c r="AI75" s="118">
        <f t="shared" si="34"/>
        <v>0</v>
      </c>
      <c r="AJ75" s="119">
        <f>IFERROR(AI75/AI148, "NA")</f>
        <v>0</v>
      </c>
      <c r="AK75" s="118" t="str">
        <f t="shared" si="35"/>
        <v>NA</v>
      </c>
      <c r="AL75" s="119" t="str">
        <f>IFERROR(AK75/AK148, "NA")</f>
        <v>NA</v>
      </c>
    </row>
    <row r="76" spans="1:38" ht="16.5" hidden="1" customHeight="1" x14ac:dyDescent="0.25">
      <c r="A76" s="7" t="s">
        <v>79</v>
      </c>
      <c r="B76" s="115">
        <v>0</v>
      </c>
      <c r="C76" s="116">
        <f>IFERROR(B76/B148, "NA")</f>
        <v>0</v>
      </c>
      <c r="D76" s="115">
        <v>0</v>
      </c>
      <c r="E76" s="116">
        <f>IFERROR(D76/D148, "NA")</f>
        <v>0</v>
      </c>
      <c r="F76" s="115">
        <v>0</v>
      </c>
      <c r="G76" s="116">
        <f>IFERROR(F76/F148, "NA")</f>
        <v>0</v>
      </c>
      <c r="H76" s="115">
        <v>0</v>
      </c>
      <c r="I76" s="116">
        <f>IFERROR(H76/H148, "NA")</f>
        <v>0</v>
      </c>
      <c r="J76" s="115">
        <v>0</v>
      </c>
      <c r="K76" s="116">
        <f>IFERROR(J76/J148, "NA")</f>
        <v>0</v>
      </c>
      <c r="L76" s="115">
        <v>0</v>
      </c>
      <c r="M76" s="116">
        <f>IFERROR(L76/L148, "NA")</f>
        <v>0</v>
      </c>
      <c r="N76" s="115">
        <v>0</v>
      </c>
      <c r="O76" s="116">
        <f>IFERROR(N76/N148, "NA")</f>
        <v>0</v>
      </c>
      <c r="P76" s="115">
        <v>0</v>
      </c>
      <c r="Q76" s="116">
        <f>IFERROR(P76/P148, "NA")</f>
        <v>0</v>
      </c>
      <c r="R76" s="115">
        <v>0</v>
      </c>
      <c r="S76" s="116">
        <f>IFERROR(R76/R148, "NA")</f>
        <v>0</v>
      </c>
      <c r="T76" s="115">
        <v>0</v>
      </c>
      <c r="U76" s="116">
        <f>IFERROR(T76/T148, "NA")</f>
        <v>0</v>
      </c>
      <c r="V76" s="115">
        <v>0</v>
      </c>
      <c r="W76" s="116">
        <f>IFERROR(V76/V148, "NA")</f>
        <v>0</v>
      </c>
      <c r="X76" s="115">
        <v>0</v>
      </c>
      <c r="Y76" s="116">
        <f>IFERROR(X76/X148, "NA")</f>
        <v>0</v>
      </c>
      <c r="Z76" s="115">
        <v>0</v>
      </c>
      <c r="AA76" s="116">
        <f>IFERROR(Z76/Z148, "NA")</f>
        <v>0</v>
      </c>
      <c r="AB76" s="117">
        <f t="shared" si="30"/>
        <v>0</v>
      </c>
      <c r="AC76" s="116">
        <f>IFERROR(AB76/AB148, "NA")</f>
        <v>0</v>
      </c>
      <c r="AD76" s="118">
        <f t="shared" si="31"/>
        <v>0</v>
      </c>
      <c r="AE76" s="119">
        <f>IFERROR(AD76/AD148, "NA")</f>
        <v>0</v>
      </c>
      <c r="AF76" s="118" t="str">
        <f t="shared" si="32"/>
        <v>NA</v>
      </c>
      <c r="AG76" s="117">
        <f t="shared" si="33"/>
        <v>0</v>
      </c>
      <c r="AH76" s="116">
        <f>IFERROR(AG76/AG148, "NA")</f>
        <v>0</v>
      </c>
      <c r="AI76" s="118">
        <f t="shared" si="34"/>
        <v>0</v>
      </c>
      <c r="AJ76" s="119">
        <f>IFERROR(AI76/AI148, "NA")</f>
        <v>0</v>
      </c>
      <c r="AK76" s="118" t="str">
        <f t="shared" si="35"/>
        <v>NA</v>
      </c>
      <c r="AL76" s="119" t="str">
        <f>IFERROR(AK76/AK148, "NA")</f>
        <v>NA</v>
      </c>
    </row>
    <row r="77" spans="1:38" ht="16.5" hidden="1" customHeight="1" x14ac:dyDescent="0.25">
      <c r="A77" s="7" t="s">
        <v>80</v>
      </c>
      <c r="B77" s="115">
        <v>0</v>
      </c>
      <c r="C77" s="116">
        <f>IFERROR(B77/B148, "NA")</f>
        <v>0</v>
      </c>
      <c r="D77" s="115">
        <v>0</v>
      </c>
      <c r="E77" s="116">
        <f>IFERROR(D77/D148, "NA")</f>
        <v>0</v>
      </c>
      <c r="F77" s="115">
        <v>0</v>
      </c>
      <c r="G77" s="116">
        <f>IFERROR(F77/F148, "NA")</f>
        <v>0</v>
      </c>
      <c r="H77" s="115">
        <v>0</v>
      </c>
      <c r="I77" s="116">
        <f>IFERROR(H77/H148, "NA")</f>
        <v>0</v>
      </c>
      <c r="J77" s="115">
        <v>0</v>
      </c>
      <c r="K77" s="116">
        <f>IFERROR(J77/J148, "NA")</f>
        <v>0</v>
      </c>
      <c r="L77" s="115">
        <v>0</v>
      </c>
      <c r="M77" s="116">
        <f>IFERROR(L77/L148, "NA")</f>
        <v>0</v>
      </c>
      <c r="N77" s="115">
        <v>0</v>
      </c>
      <c r="O77" s="116">
        <f>IFERROR(N77/N148, "NA")</f>
        <v>0</v>
      </c>
      <c r="P77" s="115">
        <v>0</v>
      </c>
      <c r="Q77" s="116">
        <f>IFERROR(P77/P148, "NA")</f>
        <v>0</v>
      </c>
      <c r="R77" s="115">
        <v>0</v>
      </c>
      <c r="S77" s="116">
        <f>IFERROR(R77/R148, "NA")</f>
        <v>0</v>
      </c>
      <c r="T77" s="115">
        <v>0</v>
      </c>
      <c r="U77" s="116">
        <f>IFERROR(T77/T148, "NA")</f>
        <v>0</v>
      </c>
      <c r="V77" s="115">
        <v>0</v>
      </c>
      <c r="W77" s="116">
        <f>IFERROR(V77/V148, "NA")</f>
        <v>0</v>
      </c>
      <c r="X77" s="115">
        <v>0</v>
      </c>
      <c r="Y77" s="116">
        <f>IFERROR(X77/X148, "NA")</f>
        <v>0</v>
      </c>
      <c r="Z77" s="115">
        <v>0</v>
      </c>
      <c r="AA77" s="116">
        <f>IFERROR(Z77/Z148, "NA")</f>
        <v>0</v>
      </c>
      <c r="AB77" s="117">
        <f t="shared" si="30"/>
        <v>0</v>
      </c>
      <c r="AC77" s="116">
        <f>IFERROR(AB77/AB148, "NA")</f>
        <v>0</v>
      </c>
      <c r="AD77" s="118">
        <f t="shared" si="31"/>
        <v>0</v>
      </c>
      <c r="AE77" s="119">
        <f>IFERROR(AD77/AD148, "NA")</f>
        <v>0</v>
      </c>
      <c r="AF77" s="118" t="str">
        <f t="shared" si="32"/>
        <v>NA</v>
      </c>
      <c r="AG77" s="117">
        <f t="shared" si="33"/>
        <v>0</v>
      </c>
      <c r="AH77" s="116">
        <f>IFERROR(AG77/AG148, "NA")</f>
        <v>0</v>
      </c>
      <c r="AI77" s="118">
        <f t="shared" si="34"/>
        <v>0</v>
      </c>
      <c r="AJ77" s="119">
        <f>IFERROR(AI77/AI148, "NA")</f>
        <v>0</v>
      </c>
      <c r="AK77" s="118" t="str">
        <f t="shared" si="35"/>
        <v>NA</v>
      </c>
      <c r="AL77" s="119" t="str">
        <f>IFERROR(AK77/AK148, "NA")</f>
        <v>NA</v>
      </c>
    </row>
    <row r="78" spans="1:38" ht="16.5" hidden="1" customHeight="1" x14ac:dyDescent="0.25">
      <c r="A78" s="7" t="s">
        <v>81</v>
      </c>
      <c r="B78" s="115">
        <v>0</v>
      </c>
      <c r="C78" s="116">
        <f>IFERROR(B78/B148, "NA")</f>
        <v>0</v>
      </c>
      <c r="D78" s="115">
        <v>0</v>
      </c>
      <c r="E78" s="116">
        <f>IFERROR(D78/D148, "NA")</f>
        <v>0</v>
      </c>
      <c r="F78" s="115">
        <v>0</v>
      </c>
      <c r="G78" s="116">
        <f>IFERROR(F78/F148, "NA")</f>
        <v>0</v>
      </c>
      <c r="H78" s="115">
        <v>0</v>
      </c>
      <c r="I78" s="116">
        <f>IFERROR(H78/H148, "NA")</f>
        <v>0</v>
      </c>
      <c r="J78" s="115">
        <v>0</v>
      </c>
      <c r="K78" s="116">
        <f>IFERROR(J78/J148, "NA")</f>
        <v>0</v>
      </c>
      <c r="L78" s="115">
        <v>0</v>
      </c>
      <c r="M78" s="116">
        <f>IFERROR(L78/L148, "NA")</f>
        <v>0</v>
      </c>
      <c r="N78" s="115">
        <v>0</v>
      </c>
      <c r="O78" s="116">
        <f>IFERROR(N78/N148, "NA")</f>
        <v>0</v>
      </c>
      <c r="P78" s="115">
        <v>0</v>
      </c>
      <c r="Q78" s="116">
        <f>IFERROR(P78/P148, "NA")</f>
        <v>0</v>
      </c>
      <c r="R78" s="115">
        <v>0</v>
      </c>
      <c r="S78" s="116">
        <f>IFERROR(R78/R148, "NA")</f>
        <v>0</v>
      </c>
      <c r="T78" s="115">
        <v>0</v>
      </c>
      <c r="U78" s="116">
        <f>IFERROR(T78/T148, "NA")</f>
        <v>0</v>
      </c>
      <c r="V78" s="115">
        <v>0</v>
      </c>
      <c r="W78" s="116">
        <f>IFERROR(V78/V148, "NA")</f>
        <v>0</v>
      </c>
      <c r="X78" s="115">
        <v>0</v>
      </c>
      <c r="Y78" s="116">
        <f>IFERROR(X78/X148, "NA")</f>
        <v>0</v>
      </c>
      <c r="Z78" s="115">
        <v>0</v>
      </c>
      <c r="AA78" s="116">
        <f>IFERROR(Z78/Z148, "NA")</f>
        <v>0</v>
      </c>
      <c r="AB78" s="117">
        <f t="shared" si="30"/>
        <v>0</v>
      </c>
      <c r="AC78" s="116">
        <f>IFERROR(AB78/AB148, "NA")</f>
        <v>0</v>
      </c>
      <c r="AD78" s="118">
        <f t="shared" si="31"/>
        <v>0</v>
      </c>
      <c r="AE78" s="119">
        <f>IFERROR(AD78/AD148, "NA")</f>
        <v>0</v>
      </c>
      <c r="AF78" s="118" t="str">
        <f t="shared" si="32"/>
        <v>NA</v>
      </c>
      <c r="AG78" s="117">
        <f t="shared" si="33"/>
        <v>0</v>
      </c>
      <c r="AH78" s="116">
        <f>IFERROR(AG78/AG148, "NA")</f>
        <v>0</v>
      </c>
      <c r="AI78" s="118">
        <f t="shared" si="34"/>
        <v>0</v>
      </c>
      <c r="AJ78" s="119">
        <f>IFERROR(AI78/AI148, "NA")</f>
        <v>0</v>
      </c>
      <c r="AK78" s="118" t="str">
        <f t="shared" si="35"/>
        <v>NA</v>
      </c>
      <c r="AL78" s="119" t="str">
        <f>IFERROR(AK78/AK148, "NA")</f>
        <v>NA</v>
      </c>
    </row>
    <row r="79" spans="1:38" ht="16.5" hidden="1" customHeight="1" x14ac:dyDescent="0.25">
      <c r="A79" s="7" t="s">
        <v>82</v>
      </c>
      <c r="B79" s="115">
        <v>0</v>
      </c>
      <c r="C79" s="116">
        <f>IFERROR(B79/B148, "NA")</f>
        <v>0</v>
      </c>
      <c r="D79" s="115">
        <v>0</v>
      </c>
      <c r="E79" s="116">
        <f>IFERROR(D79/D148, "NA")</f>
        <v>0</v>
      </c>
      <c r="F79" s="115">
        <v>0</v>
      </c>
      <c r="G79" s="116">
        <f>IFERROR(F79/F148, "NA")</f>
        <v>0</v>
      </c>
      <c r="H79" s="115">
        <v>0</v>
      </c>
      <c r="I79" s="116">
        <f>IFERROR(H79/H148, "NA")</f>
        <v>0</v>
      </c>
      <c r="J79" s="115">
        <v>0</v>
      </c>
      <c r="K79" s="116">
        <f>IFERROR(J79/J148, "NA")</f>
        <v>0</v>
      </c>
      <c r="L79" s="115">
        <v>0</v>
      </c>
      <c r="M79" s="116">
        <f>IFERROR(L79/L148, "NA")</f>
        <v>0</v>
      </c>
      <c r="N79" s="115">
        <v>0</v>
      </c>
      <c r="O79" s="116">
        <f>IFERROR(N79/N148, "NA")</f>
        <v>0</v>
      </c>
      <c r="P79" s="115">
        <v>0</v>
      </c>
      <c r="Q79" s="116">
        <f>IFERROR(P79/P148, "NA")</f>
        <v>0</v>
      </c>
      <c r="R79" s="115">
        <v>0</v>
      </c>
      <c r="S79" s="116">
        <f>IFERROR(R79/R148, "NA")</f>
        <v>0</v>
      </c>
      <c r="T79" s="115">
        <v>0</v>
      </c>
      <c r="U79" s="116">
        <f>IFERROR(T79/T148, "NA")</f>
        <v>0</v>
      </c>
      <c r="V79" s="115">
        <v>0</v>
      </c>
      <c r="W79" s="116">
        <f>IFERROR(V79/V148, "NA")</f>
        <v>0</v>
      </c>
      <c r="X79" s="115">
        <v>0</v>
      </c>
      <c r="Y79" s="116">
        <f>IFERROR(X79/X148, "NA")</f>
        <v>0</v>
      </c>
      <c r="Z79" s="115">
        <v>0</v>
      </c>
      <c r="AA79" s="116">
        <f>IFERROR(Z79/Z148, "NA")</f>
        <v>0</v>
      </c>
      <c r="AB79" s="117">
        <f t="shared" si="30"/>
        <v>0</v>
      </c>
      <c r="AC79" s="116">
        <f>IFERROR(AB79/AB148, "NA")</f>
        <v>0</v>
      </c>
      <c r="AD79" s="118">
        <f t="shared" si="31"/>
        <v>0</v>
      </c>
      <c r="AE79" s="119">
        <f>IFERROR(AD79/AD148, "NA")</f>
        <v>0</v>
      </c>
      <c r="AF79" s="118" t="str">
        <f t="shared" si="32"/>
        <v>NA</v>
      </c>
      <c r="AG79" s="117">
        <f t="shared" si="33"/>
        <v>0</v>
      </c>
      <c r="AH79" s="116">
        <f>IFERROR(AG79/AG148, "NA")</f>
        <v>0</v>
      </c>
      <c r="AI79" s="118">
        <f t="shared" si="34"/>
        <v>0</v>
      </c>
      <c r="AJ79" s="119">
        <f>IFERROR(AI79/AI148, "NA")</f>
        <v>0</v>
      </c>
      <c r="AK79" s="118" t="str">
        <f t="shared" si="35"/>
        <v>NA</v>
      </c>
      <c r="AL79" s="119" t="str">
        <f>IFERROR(AK79/AK148, "NA")</f>
        <v>NA</v>
      </c>
    </row>
    <row r="80" spans="1:38" ht="16.5" hidden="1" customHeight="1" x14ac:dyDescent="0.25">
      <c r="A80" s="7" t="s">
        <v>83</v>
      </c>
      <c r="B80" s="115">
        <v>0</v>
      </c>
      <c r="C80" s="116">
        <f>IFERROR(B80/B148, "NA")</f>
        <v>0</v>
      </c>
      <c r="D80" s="115">
        <v>0</v>
      </c>
      <c r="E80" s="116">
        <f>IFERROR(D80/D148, "NA")</f>
        <v>0</v>
      </c>
      <c r="F80" s="115">
        <v>0</v>
      </c>
      <c r="G80" s="116">
        <f>IFERROR(F80/F148, "NA")</f>
        <v>0</v>
      </c>
      <c r="H80" s="115">
        <v>0</v>
      </c>
      <c r="I80" s="116">
        <f>IFERROR(H80/H148, "NA")</f>
        <v>0</v>
      </c>
      <c r="J80" s="115">
        <v>0</v>
      </c>
      <c r="K80" s="116">
        <f>IFERROR(J80/J148, "NA")</f>
        <v>0</v>
      </c>
      <c r="L80" s="115">
        <v>0</v>
      </c>
      <c r="M80" s="116">
        <f>IFERROR(L80/L148, "NA")</f>
        <v>0</v>
      </c>
      <c r="N80" s="115">
        <v>0</v>
      </c>
      <c r="O80" s="116">
        <f>IFERROR(N80/N148, "NA")</f>
        <v>0</v>
      </c>
      <c r="P80" s="115">
        <v>0</v>
      </c>
      <c r="Q80" s="116">
        <f>IFERROR(P80/P148, "NA")</f>
        <v>0</v>
      </c>
      <c r="R80" s="115">
        <v>0</v>
      </c>
      <c r="S80" s="116">
        <f>IFERROR(R80/R148, "NA")</f>
        <v>0</v>
      </c>
      <c r="T80" s="115">
        <v>0</v>
      </c>
      <c r="U80" s="116">
        <f>IFERROR(T80/T148, "NA")</f>
        <v>0</v>
      </c>
      <c r="V80" s="115">
        <v>0</v>
      </c>
      <c r="W80" s="116">
        <f>IFERROR(V80/V148, "NA")</f>
        <v>0</v>
      </c>
      <c r="X80" s="115">
        <v>0</v>
      </c>
      <c r="Y80" s="116">
        <f>IFERROR(X80/X148, "NA")</f>
        <v>0</v>
      </c>
      <c r="Z80" s="115">
        <v>0</v>
      </c>
      <c r="AA80" s="116">
        <f>IFERROR(Z80/Z148, "NA")</f>
        <v>0</v>
      </c>
      <c r="AB80" s="117">
        <f t="shared" si="30"/>
        <v>0</v>
      </c>
      <c r="AC80" s="116">
        <f>IFERROR(AB80/AB148, "NA")</f>
        <v>0</v>
      </c>
      <c r="AD80" s="118">
        <f t="shared" si="31"/>
        <v>0</v>
      </c>
      <c r="AE80" s="119">
        <f>IFERROR(AD80/AD148, "NA")</f>
        <v>0</v>
      </c>
      <c r="AF80" s="118" t="str">
        <f t="shared" si="32"/>
        <v>NA</v>
      </c>
      <c r="AG80" s="117">
        <f t="shared" si="33"/>
        <v>0</v>
      </c>
      <c r="AH80" s="116">
        <f>IFERROR(AG80/AG148, "NA")</f>
        <v>0</v>
      </c>
      <c r="AI80" s="118">
        <f t="shared" si="34"/>
        <v>0</v>
      </c>
      <c r="AJ80" s="119">
        <f>IFERROR(AI80/AI148, "NA")</f>
        <v>0</v>
      </c>
      <c r="AK80" s="118" t="str">
        <f t="shared" si="35"/>
        <v>NA</v>
      </c>
      <c r="AL80" s="119" t="str">
        <f>IFERROR(AK80/AK148, "NA")</f>
        <v>NA</v>
      </c>
    </row>
    <row r="81" spans="1:38" ht="16.5" customHeight="1" x14ac:dyDescent="0.25">
      <c r="A81" s="129" t="s">
        <v>84</v>
      </c>
      <c r="B81" s="121">
        <f>IFERROR(B74+B75+B76+B77+B78+B79+B80, "NA")</f>
        <v>1016.17</v>
      </c>
      <c r="C81" s="122">
        <f>IFERROR(B81/B148, "NA")</f>
        <v>2.1152651632478377E-2</v>
      </c>
      <c r="D81" s="121">
        <f>IFERROR(D74+D75+D76+D77+D78+D79+D80, "NA")</f>
        <v>1020.27</v>
      </c>
      <c r="E81" s="122">
        <f>IFERROR(D81/D148, "NA")</f>
        <v>2.4596429977427895E-2</v>
      </c>
      <c r="F81" s="121">
        <f>IFERROR(F74+F75+F76+F77+F78+F79+F80, "NA")</f>
        <v>1146.8599999999999</v>
      </c>
      <c r="G81" s="122">
        <f>IFERROR(F81/F148, "NA")</f>
        <v>2.3001240052554318E-2</v>
      </c>
      <c r="H81" s="121">
        <f>IFERROR(H74+H75+H76+H77+H78+H79+H80, "NA")</f>
        <v>1081.04</v>
      </c>
      <c r="I81" s="122">
        <f>IFERROR(H81/H148, "NA")</f>
        <v>2.1127911185534892E-2</v>
      </c>
      <c r="J81" s="121">
        <f>IFERROR(J74+J75+J76+J77+J78+J79+J80, "NA")</f>
        <v>1003.55</v>
      </c>
      <c r="K81" s="122">
        <f>IFERROR(J81/J148, "NA")</f>
        <v>2.1182724454453287E-2</v>
      </c>
      <c r="L81" s="121">
        <f>IFERROR(L74+L75+L76+L77+L78+L79+L80, "NA")</f>
        <v>963.22</v>
      </c>
      <c r="M81" s="122">
        <f>IFERROR(L81/L148, "NA")</f>
        <v>2.1846409683347039E-2</v>
      </c>
      <c r="N81" s="121">
        <f>IFERROR(N74+N75+N76+N77+N78+N79+N80, "NA")</f>
        <v>1037.05</v>
      </c>
      <c r="O81" s="122">
        <f>IFERROR(N81/N148, "NA")</f>
        <v>2.0920480990513815E-2</v>
      </c>
      <c r="P81" s="121">
        <f>IFERROR(P74+P75+P76+P77+P78+P79+P80, "NA")</f>
        <v>954.23</v>
      </c>
      <c r="Q81" s="122">
        <f>IFERROR(P81/P148, "NA")</f>
        <v>2.3023163343991248E-2</v>
      </c>
      <c r="R81" s="121">
        <f>IFERROR(R74+R75+R76+R77+R78+R79+R80, "NA")</f>
        <v>941.37</v>
      </c>
      <c r="S81" s="122">
        <f>IFERROR(R81/R148, "NA")</f>
        <v>2.4203880611981227E-2</v>
      </c>
      <c r="T81" s="121">
        <f>IFERROR(T74+T75+T76+T77+T78+T79+T80, "NA")</f>
        <v>903.18</v>
      </c>
      <c r="U81" s="122">
        <f>IFERROR(T81/T148, "NA")</f>
        <v>2.0716487037229028E-2</v>
      </c>
      <c r="V81" s="121">
        <f>IFERROR(V74+V75+V76+V77+V78+V79+V80, "NA")</f>
        <v>912.03</v>
      </c>
      <c r="W81" s="122">
        <f>IFERROR(V81/V148, "NA")</f>
        <v>1.9052288455528577E-2</v>
      </c>
      <c r="X81" s="121">
        <f>IFERROR(X74+X75+X76+X77+X78+X79+X80, "NA")</f>
        <v>959.49</v>
      </c>
      <c r="Y81" s="122">
        <f>IFERROR(X81/X148, "NA")</f>
        <v>1.7434216264303658E-2</v>
      </c>
      <c r="Z81" s="121">
        <f>IFERROR(Z74+Z75+Z76+Z77+Z78+Z79+Z80, "NA")</f>
        <v>1871.52</v>
      </c>
      <c r="AA81" s="122">
        <f>IFERROR(Z81/Z148, "NA")</f>
        <v>1.8186920872045518E-2</v>
      </c>
      <c r="AB81" s="121">
        <f t="shared" si="30"/>
        <v>929.01749999999993</v>
      </c>
      <c r="AC81" s="122">
        <f>IFERROR(AB81/AB148, "NA")</f>
        <v>2.004404320434781E-2</v>
      </c>
      <c r="AD81" s="123">
        <f t="shared" si="31"/>
        <v>30.472500000000082</v>
      </c>
      <c r="AE81" s="124">
        <f>IFERROR(AD81/AD148, "NA")</f>
        <v>3.5082023549769014E-3</v>
      </c>
      <c r="AF81" s="123">
        <f t="shared" si="32"/>
        <v>3.2800781470747414E-2</v>
      </c>
      <c r="AG81" s="121">
        <f t="shared" si="33"/>
        <v>959.26499999999999</v>
      </c>
      <c r="AH81" s="122">
        <f>IFERROR(AG81/AG148, "NA")</f>
        <v>2.0860434620929916E-2</v>
      </c>
      <c r="AI81" s="123">
        <f t="shared" si="34"/>
        <v>0.22500000000002274</v>
      </c>
      <c r="AJ81" s="124">
        <f>IFERROR(AI81/AI148, "NA")</f>
        <v>2.4861933396540396E-5</v>
      </c>
      <c r="AK81" s="123">
        <f t="shared" si="35"/>
        <v>2.3455458085098771E-4</v>
      </c>
      <c r="AL81" s="124">
        <f>IFERROR(AK81/AK148, "NA")</f>
        <v>1.1918224067870404E-3</v>
      </c>
    </row>
    <row r="82" spans="1:38" ht="16.5" customHeight="1" x14ac:dyDescent="0.25">
      <c r="A82" s="5" t="s">
        <v>85</v>
      </c>
      <c r="B82" s="115">
        <v>0</v>
      </c>
      <c r="C82" s="116">
        <f>IFERROR(B82/B148, "NA")</f>
        <v>0</v>
      </c>
      <c r="D82" s="115">
        <v>275.60000000000002</v>
      </c>
      <c r="E82" s="116">
        <f>IFERROR(D82/D148, "NA")</f>
        <v>6.6441001909093959E-3</v>
      </c>
      <c r="F82" s="115">
        <v>0</v>
      </c>
      <c r="G82" s="116">
        <f>IFERROR(F82/F148, "NA")</f>
        <v>0</v>
      </c>
      <c r="H82" s="115">
        <v>0</v>
      </c>
      <c r="I82" s="116">
        <f>IFERROR(H82/H148, "NA")</f>
        <v>0</v>
      </c>
      <c r="J82" s="115">
        <v>0</v>
      </c>
      <c r="K82" s="116">
        <f>IFERROR(J82/J148, "NA")</f>
        <v>0</v>
      </c>
      <c r="L82" s="115">
        <v>0</v>
      </c>
      <c r="M82" s="116">
        <f>IFERROR(L82/L148, "NA")</f>
        <v>0</v>
      </c>
      <c r="N82" s="115">
        <v>262.88</v>
      </c>
      <c r="O82" s="116">
        <f>IFERROR(N82/N148, "NA")</f>
        <v>5.3030963239827124E-3</v>
      </c>
      <c r="P82" s="115">
        <v>0</v>
      </c>
      <c r="Q82" s="116">
        <f>IFERROR(P82/P148, "NA")</f>
        <v>0</v>
      </c>
      <c r="R82" s="115">
        <v>0</v>
      </c>
      <c r="S82" s="116">
        <f>IFERROR(R82/R148, "NA")</f>
        <v>0</v>
      </c>
      <c r="T82" s="115">
        <v>0</v>
      </c>
      <c r="U82" s="116">
        <f>IFERROR(T82/T148, "NA")</f>
        <v>0</v>
      </c>
      <c r="V82" s="115">
        <v>262.88</v>
      </c>
      <c r="W82" s="116">
        <f>IFERROR(V82/V148, "NA")</f>
        <v>5.491557941284116E-3</v>
      </c>
      <c r="X82" s="115">
        <v>0</v>
      </c>
      <c r="Y82" s="116">
        <f>IFERROR(X82/X148, "NA")</f>
        <v>0</v>
      </c>
      <c r="Z82" s="115">
        <v>262.88</v>
      </c>
      <c r="AA82" s="116">
        <f>IFERROR(Z82/Z148, "NA")</f>
        <v>2.5545961351432665E-3</v>
      </c>
      <c r="AB82" s="117">
        <f t="shared" si="30"/>
        <v>65.72</v>
      </c>
      <c r="AC82" s="116">
        <f>IFERROR(AB82/AB148, "NA")</f>
        <v>1.4179437086919656E-3</v>
      </c>
      <c r="AD82" s="118">
        <f t="shared" si="31"/>
        <v>-65.72</v>
      </c>
      <c r="AE82" s="119">
        <f>IFERROR(AD82/AD148, "NA")</f>
        <v>-7.5661353275603025E-3</v>
      </c>
      <c r="AF82" s="118">
        <f t="shared" si="32"/>
        <v>-1</v>
      </c>
      <c r="AG82" s="117">
        <f t="shared" si="33"/>
        <v>65.72</v>
      </c>
      <c r="AH82" s="116">
        <f>IFERROR(AG82/AG148, "NA")</f>
        <v>1.4291647910509755E-3</v>
      </c>
      <c r="AI82" s="118">
        <f t="shared" si="34"/>
        <v>-65.72</v>
      </c>
      <c r="AJ82" s="119">
        <f>IFERROR(AI82/AI148, "NA")</f>
        <v>-7.2618945014243097E-3</v>
      </c>
      <c r="AK82" s="118">
        <f t="shared" si="35"/>
        <v>-1</v>
      </c>
      <c r="AL82" s="119">
        <f>IFERROR(AK82/AK148, "NA")</f>
        <v>-5.0812156490953546</v>
      </c>
    </row>
    <row r="83" spans="1:38" ht="16.5" customHeight="1" x14ac:dyDescent="0.25">
      <c r="A83" s="5" t="s">
        <v>86</v>
      </c>
      <c r="B83" s="115">
        <v>0</v>
      </c>
      <c r="C83" s="116">
        <f>IFERROR(B83/B148, "NA")</f>
        <v>0</v>
      </c>
      <c r="D83" s="115">
        <v>-245</v>
      </c>
      <c r="E83" s="116">
        <f>IFERROR(D83/D148, "NA")</f>
        <v>-5.90640256448767E-3</v>
      </c>
      <c r="F83" s="115">
        <v>-61.25</v>
      </c>
      <c r="G83" s="116">
        <f>IFERROR(F83/F148, "NA")</f>
        <v>-1.228420167430159E-3</v>
      </c>
      <c r="H83" s="115">
        <v>423.12</v>
      </c>
      <c r="I83" s="116">
        <f>IFERROR(H83/H148, "NA")</f>
        <v>8.2694828876114894E-3</v>
      </c>
      <c r="J83" s="115">
        <v>-61.25</v>
      </c>
      <c r="K83" s="116">
        <f>IFERROR(J83/J148, "NA")</f>
        <v>-1.292852247357146E-3</v>
      </c>
      <c r="L83" s="115">
        <v>-61.25</v>
      </c>
      <c r="M83" s="116">
        <f>IFERROR(L83/L148, "NA")</f>
        <v>-1.3891868868015679E-3</v>
      </c>
      <c r="N83" s="115">
        <v>-61.25</v>
      </c>
      <c r="O83" s="116">
        <f>IFERROR(N83/N148, "NA")</f>
        <v>-1.2356004634964286E-3</v>
      </c>
      <c r="P83" s="115">
        <v>-61.25</v>
      </c>
      <c r="Q83" s="116">
        <f>IFERROR(P83/P148, "NA")</f>
        <v>-1.477808028273544E-3</v>
      </c>
      <c r="R83" s="115">
        <v>423.12</v>
      </c>
      <c r="S83" s="116">
        <f>IFERROR(R83/R148, "NA")</f>
        <v>1.0878980596940094E-2</v>
      </c>
      <c r="T83" s="115">
        <v>-61.25</v>
      </c>
      <c r="U83" s="116">
        <f>IFERROR(T83/T148, "NA")</f>
        <v>-1.4049080261191323E-3</v>
      </c>
      <c r="V83" s="115">
        <v>-61.25</v>
      </c>
      <c r="W83" s="116">
        <f>IFERROR(V83/V148, "NA")</f>
        <v>-1.2795112747400034E-3</v>
      </c>
      <c r="X83" s="115">
        <v>-61.25</v>
      </c>
      <c r="Y83" s="116">
        <f>IFERROR(X83/X148, "NA")</f>
        <v>-1.1129305633082148E-3</v>
      </c>
      <c r="Z83" s="115">
        <v>-122.5</v>
      </c>
      <c r="AA83" s="116">
        <f>IFERROR(Z83/Z148, "NA")</f>
        <v>-1.1904215861041165E-3</v>
      </c>
      <c r="AB83" s="117">
        <f t="shared" si="30"/>
        <v>59.842500000000001</v>
      </c>
      <c r="AC83" s="116">
        <f>IFERROR(AB83/AB148, "NA")</f>
        <v>1.2911335421089312E-3</v>
      </c>
      <c r="AD83" s="118">
        <f t="shared" si="31"/>
        <v>-121.0925</v>
      </c>
      <c r="AE83" s="119">
        <f>IFERROR(AD83/AD148, "NA")</f>
        <v>-1.3940995772254961E-2</v>
      </c>
      <c r="AF83" s="118">
        <f t="shared" si="32"/>
        <v>-2.0235200735263401</v>
      </c>
      <c r="AG83" s="117">
        <f t="shared" si="33"/>
        <v>-0.70374999999999943</v>
      </c>
      <c r="AH83" s="116">
        <f>IFERROR(AG83/AG148, "NA")</f>
        <v>-1.5303936727056046E-5</v>
      </c>
      <c r="AI83" s="118">
        <f t="shared" si="34"/>
        <v>-60.546250000000001</v>
      </c>
      <c r="AJ83" s="119">
        <f>IFERROR(AI83/AI148, "NA")</f>
        <v>-6.6902081551561418E-3</v>
      </c>
      <c r="AK83" s="118">
        <f t="shared" si="35"/>
        <v>86.033747779751408</v>
      </c>
      <c r="AL83" s="119">
        <f>IFERROR(AK83/AK148, "NA")</f>
        <v>437.15602556879554</v>
      </c>
    </row>
    <row r="84" spans="1:38" ht="16.5" customHeight="1" x14ac:dyDescent="0.25">
      <c r="A84" s="130" t="s">
        <v>87</v>
      </c>
      <c r="B84" s="121">
        <f>IFERROR(B63+B65+B66+B67+B68+B69+B71+B72+B74+B75+B76+B77+B78+B79+B80+B82+B83, "NA")</f>
        <v>9305.1299999999992</v>
      </c>
      <c r="C84" s="122">
        <f>IFERROR(B84/B148, "NA")</f>
        <v>0.19369610723099828</v>
      </c>
      <c r="D84" s="121">
        <f>IFERROR(D63+D65+D66+D67+D68+D69+D71+D72+D74+D75+D76+D77+D78+D79+D80+D82+D83, "NA")</f>
        <v>10410.230000000001</v>
      </c>
      <c r="E84" s="122">
        <f>IFERROR(D84/D148, "NA")</f>
        <v>0.25096738436288363</v>
      </c>
      <c r="F84" s="121">
        <f>IFERROR(F63+F65+F66+F67+F68+F69+F71+F72+F74+F75+F76+F77+F78+F79+F80+F82+F83, "NA")</f>
        <v>12070.47</v>
      </c>
      <c r="G84" s="122">
        <f>IFERROR(F84/F148, "NA")</f>
        <v>0.24208340862629732</v>
      </c>
      <c r="H84" s="121">
        <f>IFERROR(H63+H65+H66+H67+H68+H69+H71+H72+H74+H75+H76+H77+H78+H79+H80+H82+H83, "NA")</f>
        <v>11983.820000000002</v>
      </c>
      <c r="I84" s="122">
        <f>IFERROR(H84/H148, "NA")</f>
        <v>0.23421250335180641</v>
      </c>
      <c r="J84" s="121">
        <f>IFERROR(J63+J65+J66+J67+J68+J69+J71+J72+J74+J75+J76+J77+J78+J79+J80+J82+J83, "NA")</f>
        <v>11496.97</v>
      </c>
      <c r="K84" s="122">
        <f>IFERROR(J84/J148, "NA")</f>
        <v>0.24267564901710509</v>
      </c>
      <c r="L84" s="121">
        <f>IFERROR(L63+L65+L66+L67+L68+L69+L71+L72+L74+L75+L76+L77+L78+L79+L80+L82+L83, "NA")</f>
        <v>10548.759999999998</v>
      </c>
      <c r="M84" s="122">
        <f>IFERROR(L84/L148, "NA")</f>
        <v>0.23925222961660253</v>
      </c>
      <c r="N84" s="121">
        <f>IFERROR(N63+N65+N66+N67+N68+N69+N71+N72+N74+N75+N76+N77+N78+N79+N80+N82+N83, "NA")</f>
        <v>11643.71</v>
      </c>
      <c r="O84" s="122">
        <f>IFERROR(N84/N148, "NA")</f>
        <v>0.23488936282151834</v>
      </c>
      <c r="P84" s="121">
        <f>IFERROR(P63+P65+P66+P67+P68+P69+P71+P72+P74+P75+P76+P77+P78+P79+P80+P82+P83, "NA")</f>
        <v>10779.93</v>
      </c>
      <c r="Q84" s="122">
        <f>IFERROR(P84/P148, "NA")</f>
        <v>0.26009252405268285</v>
      </c>
      <c r="R84" s="121">
        <f>IFERROR(R63+R65+R66+R67+R68+R69+R71+R72+R74+R75+R76+R77+R78+R79+R80+R82+R83, "NA")</f>
        <v>11038.750000000002</v>
      </c>
      <c r="S84" s="122">
        <f>IFERROR(R84/R148, "NA")</f>
        <v>0.2838210131037826</v>
      </c>
      <c r="T84" s="121">
        <f>IFERROR(T63+T65+T66+T67+T68+T69+T71+T72+T74+T75+T76+T77+T78+T79+T80+T82+T83, "NA")</f>
        <v>10883.660000000002</v>
      </c>
      <c r="U84" s="122">
        <f>IFERROR(T84/T148, "NA")</f>
        <v>0.24964149040900832</v>
      </c>
      <c r="V84" s="121">
        <f>IFERROR(V63+V65+V66+V67+V68+V69+V71+V72+V74+V75+V76+V77+V78+V79+V80+V82+V83, "NA")</f>
        <v>10887.4</v>
      </c>
      <c r="W84" s="122">
        <f>IFERROR(V84/V148, "NA")</f>
        <v>0.2274375682057847</v>
      </c>
      <c r="X84" s="121">
        <f>IFERROR(X63+X65+X66+X67+X68+X69+X71+X72+X74+X75+X76+X77+X78+X79+X80+X82+X83, "NA")</f>
        <v>9800.31</v>
      </c>
      <c r="Y84" s="122">
        <f>IFERROR(X84/X148, "NA")</f>
        <v>0.17807452292073681</v>
      </c>
      <c r="Z84" s="121">
        <f>IFERROR(Z63+Z65+Z66+Z67+Z68+Z69+Z71+Z72+Z74+Z75+Z76+Z77+Z78+Z79+Z80+Z82+Z83, "NA")</f>
        <v>20687.710000000003</v>
      </c>
      <c r="AA84" s="122">
        <f>IFERROR(Z84/Z148, "NA")</f>
        <v>0.2010375228658122</v>
      </c>
      <c r="AB84" s="121">
        <f t="shared" si="30"/>
        <v>10652.53</v>
      </c>
      <c r="AC84" s="122">
        <f>IFERROR(AB84/AB148, "NA")</f>
        <v>0.22983396066878312</v>
      </c>
      <c r="AD84" s="123">
        <f t="shared" si="31"/>
        <v>-852.22000000000116</v>
      </c>
      <c r="AE84" s="124">
        <f>IFERROR(AD84/AD148, "NA")</f>
        <v>-9.8113387840131627E-2</v>
      </c>
      <c r="AF84" s="123">
        <f t="shared" si="32"/>
        <v>-8.0001652189667719E-2</v>
      </c>
      <c r="AG84" s="121">
        <f t="shared" si="33"/>
        <v>10884.936249999999</v>
      </c>
      <c r="AH84" s="122">
        <f>IFERROR(AG84/AG148, "NA")</f>
        <v>0.23670675047678694</v>
      </c>
      <c r="AI84" s="123">
        <f t="shared" si="34"/>
        <v>-1084.6262499999993</v>
      </c>
      <c r="AJ84" s="124">
        <f>IFERROR(AI84/AI148, "NA")</f>
        <v>-0.11984846927838504</v>
      </c>
      <c r="AK84" s="123">
        <f t="shared" si="35"/>
        <v>-9.9644703936598564E-2</v>
      </c>
      <c r="AL84" s="124">
        <f>IFERROR(AK84/AK148, "NA")</f>
        <v>-0.50631622899211814</v>
      </c>
    </row>
    <row r="85" spans="1:38" ht="16.5" customHeight="1" x14ac:dyDescent="0.25">
      <c r="A85" s="120" t="s">
        <v>87</v>
      </c>
      <c r="B85" s="131">
        <f>IFERROR(B63+B65+B66+B67+B68+B69+B71+B72+B74+B75+B76+B77+B78+B79+B80+B82+B83, "NA")</f>
        <v>9305.1299999999992</v>
      </c>
      <c r="C85" s="132">
        <f>IFERROR(B85/B148, "NA")</f>
        <v>0.19369610723099828</v>
      </c>
      <c r="D85" s="131">
        <f>IFERROR(D63+D65+D66+D67+D68+D69+D71+D72+D74+D75+D76+D77+D78+D79+D80+D82+D83, "NA")</f>
        <v>10410.230000000001</v>
      </c>
      <c r="E85" s="132">
        <f>IFERROR(D85/D148, "NA")</f>
        <v>0.25096738436288363</v>
      </c>
      <c r="F85" s="131">
        <f>IFERROR(F63+F65+F66+F67+F68+F69+F71+F72+F74+F75+F76+F77+F78+F79+F80+F82+F83, "NA")</f>
        <v>12070.47</v>
      </c>
      <c r="G85" s="132">
        <f>IFERROR(F85/F148, "NA")</f>
        <v>0.24208340862629732</v>
      </c>
      <c r="H85" s="131">
        <f>IFERROR(H63+H65+H66+H67+H68+H69+H71+H72+H74+H75+H76+H77+H78+H79+H80+H82+H83, "NA")</f>
        <v>11983.820000000002</v>
      </c>
      <c r="I85" s="132">
        <f>IFERROR(H85/H148, "NA")</f>
        <v>0.23421250335180641</v>
      </c>
      <c r="J85" s="131">
        <f>IFERROR(J63+J65+J66+J67+J68+J69+J71+J72+J74+J75+J76+J77+J78+J79+J80+J82+J83, "NA")</f>
        <v>11496.97</v>
      </c>
      <c r="K85" s="132">
        <f>IFERROR(J85/J148, "NA")</f>
        <v>0.24267564901710509</v>
      </c>
      <c r="L85" s="131">
        <f>IFERROR(L63+L65+L66+L67+L68+L69+L71+L72+L74+L75+L76+L77+L78+L79+L80+L82+L83, "NA")</f>
        <v>10548.759999999998</v>
      </c>
      <c r="M85" s="132">
        <f>IFERROR(L85/L148, "NA")</f>
        <v>0.23925222961660253</v>
      </c>
      <c r="N85" s="131">
        <f>IFERROR(N63+N65+N66+N67+N68+N69+N71+N72+N74+N75+N76+N77+N78+N79+N80+N82+N83, "NA")</f>
        <v>11643.71</v>
      </c>
      <c r="O85" s="132">
        <f>IFERROR(N85/N148, "NA")</f>
        <v>0.23488936282151834</v>
      </c>
      <c r="P85" s="131">
        <f>IFERROR(P63+P65+P66+P67+P68+P69+P71+P72+P74+P75+P76+P77+P78+P79+P80+P82+P83, "NA")</f>
        <v>10779.93</v>
      </c>
      <c r="Q85" s="132">
        <f>IFERROR(P85/P148, "NA")</f>
        <v>0.26009252405268285</v>
      </c>
      <c r="R85" s="131">
        <f>IFERROR(R63+R65+R66+R67+R68+R69+R71+R72+R74+R75+R76+R77+R78+R79+R80+R82+R83, "NA")</f>
        <v>11038.750000000002</v>
      </c>
      <c r="S85" s="132">
        <f>IFERROR(R85/R148, "NA")</f>
        <v>0.2838210131037826</v>
      </c>
      <c r="T85" s="131">
        <f>IFERROR(T63+T65+T66+T67+T68+T69+T71+T72+T74+T75+T76+T77+T78+T79+T80+T82+T83, "NA")</f>
        <v>10883.660000000002</v>
      </c>
      <c r="U85" s="132">
        <f>IFERROR(T85/T148, "NA")</f>
        <v>0.24964149040900832</v>
      </c>
      <c r="V85" s="131">
        <f>IFERROR(V63+V65+V66+V67+V68+V69+V71+V72+V74+V75+V76+V77+V78+V79+V80+V82+V83, "NA")</f>
        <v>10887.4</v>
      </c>
      <c r="W85" s="132">
        <f>IFERROR(V85/V148, "NA")</f>
        <v>0.2274375682057847</v>
      </c>
      <c r="X85" s="131">
        <f>IFERROR(X63+X65+X66+X67+X68+X69+X71+X72+X74+X75+X76+X77+X78+X79+X80+X82+X83, "NA")</f>
        <v>9800.31</v>
      </c>
      <c r="Y85" s="132">
        <f>IFERROR(X85/X148, "NA")</f>
        <v>0.17807452292073681</v>
      </c>
      <c r="Z85" s="131">
        <f>IFERROR(Z63+Z65+Z66+Z67+Z68+Z69+Z71+Z72+Z74+Z75+Z76+Z77+Z78+Z79+Z80+Z82+Z83, "NA")</f>
        <v>20687.710000000003</v>
      </c>
      <c r="AA85" s="132">
        <f>IFERROR(Z85/Z148, "NA")</f>
        <v>0.2010375228658122</v>
      </c>
      <c r="AB85" s="131">
        <f t="shared" si="30"/>
        <v>10652.53</v>
      </c>
      <c r="AC85" s="132">
        <f>IFERROR(AB85/AB148, "NA")</f>
        <v>0.22983396066878312</v>
      </c>
      <c r="AD85" s="133">
        <f t="shared" si="31"/>
        <v>-852.22000000000116</v>
      </c>
      <c r="AE85" s="134">
        <f>IFERROR(AD85/AD148, "NA")</f>
        <v>-9.8113387840131627E-2</v>
      </c>
      <c r="AF85" s="133">
        <f t="shared" si="32"/>
        <v>-8.0001652189667719E-2</v>
      </c>
      <c r="AG85" s="131">
        <f t="shared" si="33"/>
        <v>10884.936249999999</v>
      </c>
      <c r="AH85" s="132">
        <f>IFERROR(AG85/AG148, "NA")</f>
        <v>0.23670675047678694</v>
      </c>
      <c r="AI85" s="133">
        <f t="shared" si="34"/>
        <v>-1084.6262499999993</v>
      </c>
      <c r="AJ85" s="134">
        <f>IFERROR(AI85/AI148, "NA")</f>
        <v>-0.11984846927838504</v>
      </c>
      <c r="AK85" s="133">
        <f t="shared" si="35"/>
        <v>-9.9644703936598564E-2</v>
      </c>
      <c r="AL85" s="134">
        <f>IFERROR(AK85/AK148, "NA")</f>
        <v>-0.50631622899211814</v>
      </c>
    </row>
    <row r="86" spans="1:38" ht="3.75" customHeight="1" x14ac:dyDescent="0.25">
      <c r="A86" s="8" t="s">
        <v>2</v>
      </c>
      <c r="B86" s="138"/>
      <c r="C86" s="126"/>
      <c r="D86" s="138"/>
      <c r="E86" s="126"/>
      <c r="F86" s="138"/>
      <c r="G86" s="126"/>
      <c r="H86" s="138"/>
      <c r="I86" s="126"/>
      <c r="J86" s="138"/>
      <c r="K86" s="126"/>
      <c r="L86" s="138"/>
      <c r="M86" s="126"/>
      <c r="N86" s="138"/>
      <c r="O86" s="126"/>
      <c r="P86" s="138"/>
      <c r="Q86" s="126"/>
      <c r="R86" s="138"/>
      <c r="S86" s="126"/>
      <c r="T86" s="138"/>
      <c r="U86" s="126"/>
      <c r="V86" s="138"/>
      <c r="W86" s="126"/>
      <c r="X86" s="138"/>
      <c r="Y86" s="126"/>
      <c r="Z86" s="138"/>
      <c r="AA86" s="126"/>
      <c r="AB86" s="138"/>
      <c r="AC86" s="126"/>
      <c r="AD86" s="139"/>
      <c r="AE86" s="128"/>
      <c r="AF86" s="139"/>
      <c r="AG86" s="138"/>
      <c r="AH86" s="126"/>
      <c r="AI86" s="139"/>
      <c r="AJ86" s="128"/>
      <c r="AK86" s="139"/>
      <c r="AL86" s="128"/>
    </row>
    <row r="87" spans="1:38" ht="16.5" customHeight="1" x14ac:dyDescent="0.25">
      <c r="A87" s="135" t="s">
        <v>88</v>
      </c>
      <c r="B87" s="136">
        <f>IFERROR(B59-B85, "NA")</f>
        <v>27514.15</v>
      </c>
      <c r="C87" s="137">
        <f>IFERROR(B87/B148, "NA")</f>
        <v>0.57273608738080739</v>
      </c>
      <c r="D87" s="136">
        <f>IFERROR(D59-D85, "NA")</f>
        <v>20222.799999999996</v>
      </c>
      <c r="E87" s="137">
        <f>IFERROR(D87/D148, "NA")</f>
        <v>0.48752652155559684</v>
      </c>
      <c r="F87" s="136">
        <f>IFERROR(F59-F85, "NA")</f>
        <v>25469.969999999987</v>
      </c>
      <c r="G87" s="137">
        <f>IFERROR(F87/F148, "NA")</f>
        <v>0.51082162958107935</v>
      </c>
      <c r="H87" s="136">
        <f>IFERROR(H59-H85, "NA")</f>
        <v>27459.060000000012</v>
      </c>
      <c r="I87" s="137">
        <f>IFERROR(H87/H148, "NA")</f>
        <v>0.53666153048756193</v>
      </c>
      <c r="J87" s="136">
        <f>IFERROR(J59-J85, "NA")</f>
        <v>24791.170000000006</v>
      </c>
      <c r="K87" s="137">
        <f>IFERROR(J87/J148, "NA")</f>
        <v>0.52328685467939695</v>
      </c>
      <c r="L87" s="136">
        <f>IFERROR(L59-L85, "NA")</f>
        <v>22887.410000000007</v>
      </c>
      <c r="M87" s="137">
        <f>IFERROR(L87/L148, "NA")</f>
        <v>0.51910024236491559</v>
      </c>
      <c r="N87" s="136">
        <f>IFERROR(N59-N85, "NA")</f>
        <v>27670.590000000004</v>
      </c>
      <c r="O87" s="137">
        <f>IFERROR(N87/N148, "NA")</f>
        <v>0.55820071557909623</v>
      </c>
      <c r="P87" s="136">
        <f>IFERROR(P59-P85, "NA")</f>
        <v>20365.71</v>
      </c>
      <c r="Q87" s="137">
        <f>IFERROR(P87/P148, "NA")</f>
        <v>0.49137322023658442</v>
      </c>
      <c r="R87" s="136">
        <f>IFERROR(R59-R85, "NA")</f>
        <v>17543.079999999994</v>
      </c>
      <c r="S87" s="137">
        <f>IFERROR(R87/R148, "NA")</f>
        <v>0.45105602885840368</v>
      </c>
      <c r="T87" s="136">
        <f>IFERROR(T59-T85, "NA")</f>
        <v>22225.989999999998</v>
      </c>
      <c r="U87" s="137">
        <f>IFERROR(T87/T148, "NA")</f>
        <v>0.50980362023581349</v>
      </c>
      <c r="V87" s="136">
        <f>IFERROR(V59-V85, "NA")</f>
        <v>25168.890000000007</v>
      </c>
      <c r="W87" s="137">
        <f>IFERROR(V87/V148, "NA")</f>
        <v>0.52577760861536216</v>
      </c>
      <c r="X87" s="136">
        <f>IFERROR(X59-X85, "NA")</f>
        <v>32020.110000000008</v>
      </c>
      <c r="Y87" s="137">
        <f>IFERROR(X87/X148, "NA")</f>
        <v>0.58181484178760834</v>
      </c>
      <c r="Z87" s="136">
        <f>IFERROR(Z59-Z85, "NA")</f>
        <v>57189</v>
      </c>
      <c r="AA87" s="137">
        <f>IFERROR(Z87/Z148, "NA")</f>
        <v>0.55574710275680261</v>
      </c>
      <c r="AB87" s="136">
        <f>IFERROR((R87+T87+V87+X87)/4, "NA")</f>
        <v>24239.517500000002</v>
      </c>
      <c r="AC87" s="137">
        <f>IFERROR(AB87/AB148, "NA")</f>
        <v>0.52298039167458621</v>
      </c>
      <c r="AD87" s="123">
        <f>IFERROR(X87-AB87, "NA")</f>
        <v>7780.5925000000061</v>
      </c>
      <c r="AE87" s="124">
        <f>IFERROR(AD87/AD148, "NA")</f>
        <v>0.89575495714547748</v>
      </c>
      <c r="AF87" s="123">
        <f>IFERROR((X87-AB87)/AB87, "NA")</f>
        <v>0.3209879280806644</v>
      </c>
      <c r="AG87" s="136">
        <f>IFERROR((J87+L87+N87+P87+R87+T87+V87+X87)/8, "NA")</f>
        <v>24084.118750000001</v>
      </c>
      <c r="AH87" s="137">
        <f>IFERROR(AG87/AG148, "NA")</f>
        <v>0.5237397221696688</v>
      </c>
      <c r="AI87" s="123">
        <f>IFERROR(X87-AG87, "NA")</f>
        <v>7935.9912500000064</v>
      </c>
      <c r="AJ87" s="124">
        <f>IFERROR(AI87/AI148, "NA")</f>
        <v>0.87690704841336709</v>
      </c>
      <c r="AK87" s="123">
        <f>IFERROR((X87-AG87)/AG87, "NA")</f>
        <v>0.32951138185199347</v>
      </c>
      <c r="AL87" s="124">
        <f>IFERROR(AK87/AK148, "NA")</f>
        <v>1.6743183900213843</v>
      </c>
    </row>
    <row r="88" spans="1:38" ht="3.75" customHeight="1" x14ac:dyDescent="0.25">
      <c r="A88" s="8" t="s">
        <v>2</v>
      </c>
      <c r="B88" s="138"/>
      <c r="C88" s="126"/>
      <c r="D88" s="138"/>
      <c r="E88" s="126"/>
      <c r="F88" s="138"/>
      <c r="G88" s="126"/>
      <c r="H88" s="138"/>
      <c r="I88" s="126"/>
      <c r="J88" s="138"/>
      <c r="K88" s="126"/>
      <c r="L88" s="138"/>
      <c r="M88" s="126"/>
      <c r="N88" s="138"/>
      <c r="O88" s="126"/>
      <c r="P88" s="138"/>
      <c r="Q88" s="126"/>
      <c r="R88" s="138"/>
      <c r="S88" s="126"/>
      <c r="T88" s="138"/>
      <c r="U88" s="126"/>
      <c r="V88" s="138"/>
      <c r="W88" s="126"/>
      <c r="X88" s="138"/>
      <c r="Y88" s="126"/>
      <c r="Z88" s="138"/>
      <c r="AA88" s="126"/>
      <c r="AB88" s="138"/>
      <c r="AC88" s="126"/>
      <c r="AD88" s="139"/>
      <c r="AE88" s="128"/>
      <c r="AF88" s="139"/>
      <c r="AG88" s="138"/>
      <c r="AH88" s="126"/>
      <c r="AI88" s="139"/>
      <c r="AJ88" s="128"/>
      <c r="AK88" s="139"/>
      <c r="AL88" s="128"/>
    </row>
    <row r="89" spans="1:38" ht="16.5" hidden="1" customHeight="1" x14ac:dyDescent="0.25">
      <c r="A89" s="1" t="s">
        <v>89</v>
      </c>
      <c r="B89" s="111"/>
      <c r="C89" s="112"/>
      <c r="D89" s="111"/>
      <c r="E89" s="112"/>
      <c r="F89" s="111"/>
      <c r="G89" s="112"/>
      <c r="H89" s="111"/>
      <c r="I89" s="112"/>
      <c r="J89" s="111"/>
      <c r="K89" s="112"/>
      <c r="L89" s="111"/>
      <c r="M89" s="112"/>
      <c r="N89" s="111"/>
      <c r="O89" s="112"/>
      <c r="P89" s="111"/>
      <c r="Q89" s="112"/>
      <c r="R89" s="111"/>
      <c r="S89" s="112"/>
      <c r="T89" s="111"/>
      <c r="U89" s="112"/>
      <c r="V89" s="111"/>
      <c r="W89" s="112"/>
      <c r="X89" s="111"/>
      <c r="Y89" s="112"/>
      <c r="Z89" s="111"/>
      <c r="AA89" s="112"/>
      <c r="AB89" s="111"/>
      <c r="AC89" s="112"/>
      <c r="AD89" s="113"/>
      <c r="AE89" s="114"/>
      <c r="AF89" s="113"/>
      <c r="AG89" s="111"/>
      <c r="AH89" s="112"/>
      <c r="AI89" s="113"/>
      <c r="AJ89" s="114"/>
      <c r="AK89" s="113"/>
      <c r="AL89" s="114"/>
    </row>
    <row r="90" spans="1:38" ht="16.5" hidden="1" customHeight="1" x14ac:dyDescent="0.25">
      <c r="A90" s="2" t="s">
        <v>90</v>
      </c>
      <c r="B90" s="115">
        <v>1010.4799999999999</v>
      </c>
      <c r="C90" s="116">
        <f>IFERROR(B90/B148, "NA")</f>
        <v>2.1034208273799412E-2</v>
      </c>
      <c r="D90" s="115">
        <v>744.20999999999992</v>
      </c>
      <c r="E90" s="116">
        <f>IFERROR(D90/D148, "NA")</f>
        <v>1.7941240214356606E-2</v>
      </c>
      <c r="F90" s="115">
        <v>475.95</v>
      </c>
      <c r="G90" s="116">
        <f>IFERROR(F90/F148, "NA")</f>
        <v>9.5455767949123946E-3</v>
      </c>
      <c r="H90" s="115">
        <v>851.93</v>
      </c>
      <c r="I90" s="116">
        <f>IFERROR(H90/H148, "NA")</f>
        <v>1.6650171479587007E-2</v>
      </c>
      <c r="J90" s="115">
        <v>974.20999999999992</v>
      </c>
      <c r="K90" s="116">
        <f>IFERROR(J90/J148, "NA")</f>
        <v>2.0563421843229474E-2</v>
      </c>
      <c r="L90" s="115">
        <v>1108.3799999999999</v>
      </c>
      <c r="M90" s="116">
        <f>IFERROR(L90/L148, "NA")</f>
        <v>2.5138725903561168E-2</v>
      </c>
      <c r="N90" s="115">
        <v>864.41</v>
      </c>
      <c r="O90" s="116">
        <f>IFERROR(N90/N148, "NA")</f>
        <v>1.7437802394301188E-2</v>
      </c>
      <c r="P90" s="115">
        <v>741.14</v>
      </c>
      <c r="Q90" s="116">
        <f>IFERROR(P90/P148, "NA")</f>
        <v>1.788183905428007E-2</v>
      </c>
      <c r="R90" s="115">
        <v>1276.75</v>
      </c>
      <c r="S90" s="116">
        <f>IFERROR(R90/R148, "NA")</f>
        <v>3.2826948565757387E-2</v>
      </c>
      <c r="T90" s="115">
        <v>486.89</v>
      </c>
      <c r="U90" s="116">
        <f>IFERROR(T90/T148, "NA")</f>
        <v>1.116792928713705E-2</v>
      </c>
      <c r="V90" s="115">
        <v>680.84</v>
      </c>
      <c r="W90" s="116">
        <f>IFERROR(V90/V148, "NA")</f>
        <v>1.4222733980309942E-2</v>
      </c>
      <c r="X90" s="115">
        <v>760.82</v>
      </c>
      <c r="Y90" s="116">
        <f>IFERROR(X90/X148, "NA")</f>
        <v>1.3824323774304589E-2</v>
      </c>
      <c r="Z90" s="115">
        <v>1441.6599999999999</v>
      </c>
      <c r="AA90" s="116">
        <f>IFERROR(Z90/Z148, "NA")</f>
        <v>1.4009658643451921E-2</v>
      </c>
      <c r="AB90" s="117">
        <f t="shared" ref="AB90:AB99" si="36">IFERROR((R90+T90+V90+X90)/4, "NA")</f>
        <v>801.32500000000005</v>
      </c>
      <c r="AC90" s="116">
        <f>IFERROR(AB90/AB148, "NA")</f>
        <v>1.7289010078630394E-2</v>
      </c>
      <c r="AD90" s="118">
        <f t="shared" ref="AD90:AD99" si="37">IFERROR(X90-AB90, "NA")</f>
        <v>-40.504999999999995</v>
      </c>
      <c r="AE90" s="119">
        <f>IFERROR(AD90/AD148, "NA")</f>
        <v>-4.6632122861051438E-3</v>
      </c>
      <c r="AF90" s="118">
        <f t="shared" ref="AF90:AF99" si="38">IFERROR((X90-AB90)/AB90, "NA")</f>
        <v>-5.0547530652357023E-2</v>
      </c>
      <c r="AG90" s="117">
        <f t="shared" ref="AG90:AG99" si="39">IFERROR((J90+L90+N90+P90+R90+T90+V90+X90)/8, "NA")</f>
        <v>861.68</v>
      </c>
      <c r="AH90" s="116">
        <f>IFERROR(AG90/AG148, "NA")</f>
        <v>1.8738324971892949E-2</v>
      </c>
      <c r="AI90" s="118">
        <f t="shared" ref="AI90:AI99" si="40">IFERROR(X90-AG90, "NA")</f>
        <v>-100.8599999999999</v>
      </c>
      <c r="AJ90" s="119">
        <f>IFERROR(AI90/AI148, "NA")</f>
        <v>-1.1144776010554705E-2</v>
      </c>
      <c r="AK90" s="118">
        <f t="shared" ref="AK90:AK99" si="41">IFERROR((X90-AG90)/AG90, "NA")</f>
        <v>-0.11705041314641156</v>
      </c>
      <c r="AL90" s="119">
        <f>IFERROR(AK90/AK148, "NA")</f>
        <v>-0.59475839101262296</v>
      </c>
    </row>
    <row r="91" spans="1:38" ht="16.5" hidden="1" customHeight="1" x14ac:dyDescent="0.25">
      <c r="A91" s="2" t="s">
        <v>91</v>
      </c>
      <c r="B91" s="115">
        <v>1475.94</v>
      </c>
      <c r="C91" s="116">
        <f>IFERROR(B91/B148, "NA")</f>
        <v>3.0723249702746723E-2</v>
      </c>
      <c r="D91" s="115">
        <v>1308.29</v>
      </c>
      <c r="E91" s="116">
        <f>IFERROR(D91/D148, "NA")</f>
        <v>3.153994861670846E-2</v>
      </c>
      <c r="F91" s="115">
        <v>1076.97</v>
      </c>
      <c r="G91" s="116">
        <f>IFERROR(F91/F148, "NA")</f>
        <v>2.1599537432118506E-2</v>
      </c>
      <c r="H91" s="115">
        <v>2844.63</v>
      </c>
      <c r="I91" s="116">
        <f>IFERROR(H91/H148, "NA")</f>
        <v>5.5595620879623442E-2</v>
      </c>
      <c r="J91" s="115">
        <v>3014.6000000000004</v>
      </c>
      <c r="K91" s="116">
        <f>IFERROR(J91/J148, "NA")</f>
        <v>6.3631549140944543E-2</v>
      </c>
      <c r="L91" s="115">
        <v>2968.2499999999995</v>
      </c>
      <c r="M91" s="116">
        <f>IFERROR(L91/L148, "NA")</f>
        <v>6.7321697579571474E-2</v>
      </c>
      <c r="N91" s="115">
        <v>1791.91</v>
      </c>
      <c r="O91" s="116">
        <f>IFERROR(N91/N148, "NA")</f>
        <v>3.6148323698675683E-2</v>
      </c>
      <c r="P91" s="115">
        <v>602.26</v>
      </c>
      <c r="Q91" s="116">
        <f>IFERROR(P91/P148, "NA")</f>
        <v>1.4531014907886115E-2</v>
      </c>
      <c r="R91" s="115">
        <v>581.72</v>
      </c>
      <c r="S91" s="116">
        <f>IFERROR(R91/R148, "NA")</f>
        <v>1.495679852725466E-2</v>
      </c>
      <c r="T91" s="115">
        <v>575.16</v>
      </c>
      <c r="U91" s="116">
        <f>IFERROR(T91/T148, "NA")</f>
        <v>1.3192602453921308E-2</v>
      </c>
      <c r="V91" s="115">
        <v>724.08999999999992</v>
      </c>
      <c r="W91" s="116">
        <f>IFERROR(V91/V148, "NA")</f>
        <v>1.5126225615126351E-2</v>
      </c>
      <c r="X91" s="115">
        <v>1208.03</v>
      </c>
      <c r="Y91" s="116">
        <f>IFERROR(X91/X148, "NA")</f>
        <v>2.1950261361522002E-2</v>
      </c>
      <c r="Z91" s="115">
        <v>1932.12</v>
      </c>
      <c r="AA91" s="116">
        <f>IFERROR(Z91/Z148, "NA")</f>
        <v>1.8775815142395798E-2</v>
      </c>
      <c r="AB91" s="117">
        <f t="shared" si="36"/>
        <v>772.25</v>
      </c>
      <c r="AC91" s="116">
        <f>IFERROR(AB91/AB148, "NA")</f>
        <v>1.666170159825579E-2</v>
      </c>
      <c r="AD91" s="118">
        <f t="shared" si="37"/>
        <v>435.78</v>
      </c>
      <c r="AE91" s="119">
        <f>IFERROR(AD91/AD148, "NA")</f>
        <v>5.0169970374988264E-2</v>
      </c>
      <c r="AF91" s="118">
        <f t="shared" si="38"/>
        <v>0.56429912593072185</v>
      </c>
      <c r="AG91" s="117">
        <f t="shared" si="39"/>
        <v>1433.2525000000001</v>
      </c>
      <c r="AH91" s="116">
        <f>IFERROR(AG91/AG148, "NA")</f>
        <v>3.1167894243545168E-2</v>
      </c>
      <c r="AI91" s="118">
        <f t="shared" si="40"/>
        <v>-225.22250000000008</v>
      </c>
      <c r="AJ91" s="119">
        <f>IFERROR(AI91/AI148, "NA")</f>
        <v>-2.4886519086230026E-2</v>
      </c>
      <c r="AK91" s="118">
        <f t="shared" si="41"/>
        <v>-0.15714083875660434</v>
      </c>
      <c r="AL91" s="119">
        <f>IFERROR(AK91/AK148, "NA")</f>
        <v>-0.79846648900202777</v>
      </c>
    </row>
    <row r="92" spans="1:38" ht="16.5" hidden="1" customHeight="1" x14ac:dyDescent="0.25">
      <c r="A92" s="2" t="s">
        <v>92</v>
      </c>
      <c r="B92" s="115">
        <v>1316.9399999999998</v>
      </c>
      <c r="C92" s="116">
        <f>IFERROR(B92/B148, "NA")</f>
        <v>2.7413496797657942E-2</v>
      </c>
      <c r="D92" s="115">
        <v>1195.6499999999999</v>
      </c>
      <c r="E92" s="116">
        <f>IFERROR(D92/D148, "NA")</f>
        <v>2.8824449902978291E-2</v>
      </c>
      <c r="F92" s="115">
        <v>1150.6599999999999</v>
      </c>
      <c r="G92" s="116">
        <f>IFERROR(F92/F148, "NA")</f>
        <v>2.3077452242533658E-2</v>
      </c>
      <c r="H92" s="115">
        <v>1331.71</v>
      </c>
      <c r="I92" s="116">
        <f>IFERROR(H92/H148, "NA")</f>
        <v>2.6027020836313801E-2</v>
      </c>
      <c r="J92" s="115">
        <v>1110.3599999999999</v>
      </c>
      <c r="K92" s="116">
        <f>IFERROR(J92/J148, "NA")</f>
        <v>2.3437247695926214E-2</v>
      </c>
      <c r="L92" s="115">
        <v>1189.07</v>
      </c>
      <c r="M92" s="116">
        <f>IFERROR(L92/L148, "NA")</f>
        <v>2.696882369778188E-2</v>
      </c>
      <c r="N92" s="115">
        <v>890.76</v>
      </c>
      <c r="O92" s="116">
        <f>IFERROR(N92/N148, "NA")</f>
        <v>1.7969362756964549E-2</v>
      </c>
      <c r="P92" s="115">
        <v>991.83</v>
      </c>
      <c r="Q92" s="116">
        <f>IFERROR(P92/P148, "NA")</f>
        <v>2.3930356517266108E-2</v>
      </c>
      <c r="R92" s="115">
        <v>1191.96</v>
      </c>
      <c r="S92" s="116">
        <f>IFERROR(R92/R148, "NA")</f>
        <v>3.0646884364550753E-2</v>
      </c>
      <c r="T92" s="115">
        <v>1059.18</v>
      </c>
      <c r="U92" s="116">
        <f>IFERROR(T92/T148, "NA")</f>
        <v>2.4294701764977351E-2</v>
      </c>
      <c r="V92" s="115">
        <v>31.29</v>
      </c>
      <c r="W92" s="116">
        <f>IFERROR(V92/V148, "NA")</f>
        <v>6.5364747406717889E-4</v>
      </c>
      <c r="X92" s="115">
        <v>28.31</v>
      </c>
      <c r="Y92" s="116">
        <f>IFERROR(X92/X148, "NA")</f>
        <v>5.1440104893478466E-4</v>
      </c>
      <c r="Z92" s="115">
        <v>59.6</v>
      </c>
      <c r="AA92" s="116">
        <f>IFERROR(Z92/Z148, "NA")</f>
        <v>5.7917654311677837E-4</v>
      </c>
      <c r="AB92" s="117">
        <f t="shared" si="36"/>
        <v>577.68500000000006</v>
      </c>
      <c r="AC92" s="116">
        <f>IFERROR(AB92/AB148, "NA")</f>
        <v>1.2463858967676785E-2</v>
      </c>
      <c r="AD92" s="118">
        <f t="shared" si="37"/>
        <v>-549.37500000000011</v>
      </c>
      <c r="AE92" s="119">
        <f>IFERROR(AD92/AD148, "NA")</f>
        <v>-6.324780273247782E-2</v>
      </c>
      <c r="AF92" s="118">
        <f t="shared" si="38"/>
        <v>-0.95099405385287838</v>
      </c>
      <c r="AG92" s="117">
        <f t="shared" si="39"/>
        <v>811.59500000000003</v>
      </c>
      <c r="AH92" s="116">
        <f>IFERROR(AG92/AG148, "NA")</f>
        <v>1.7649163094842005E-2</v>
      </c>
      <c r="AI92" s="118">
        <f t="shared" si="40"/>
        <v>-783.28500000000008</v>
      </c>
      <c r="AJ92" s="119">
        <f>IFERROR(AI92/AI148, "NA")</f>
        <v>-8.6551020002254134E-2</v>
      </c>
      <c r="AK92" s="118">
        <f t="shared" si="41"/>
        <v>-0.96511806997332417</v>
      </c>
      <c r="AL92" s="119">
        <f>IFERROR(AK92/AK148, "NA")</f>
        <v>-4.9039730403731605</v>
      </c>
    </row>
    <row r="93" spans="1:38" ht="16.5" hidden="1" customHeight="1" x14ac:dyDescent="0.25">
      <c r="A93" s="2" t="s">
        <v>93</v>
      </c>
      <c r="B93" s="115">
        <v>5550.6900000000005</v>
      </c>
      <c r="C93" s="116">
        <f>IFERROR(B93/B148, "NA")</f>
        <v>0.11554347391664919</v>
      </c>
      <c r="D93" s="115">
        <v>3885.83</v>
      </c>
      <c r="E93" s="116">
        <f>IFERROR(D93/D148, "NA")</f>
        <v>9.3678678682298455E-2</v>
      </c>
      <c r="F93" s="115">
        <v>5255.29</v>
      </c>
      <c r="G93" s="116">
        <f>IFERROR(F93/F148, "NA")</f>
        <v>0.10539925259908638</v>
      </c>
      <c r="H93" s="115">
        <v>5160.62</v>
      </c>
      <c r="I93" s="116">
        <f>IFERROR(H93/H148, "NA")</f>
        <v>0.10085946960546795</v>
      </c>
      <c r="J93" s="115">
        <v>5327.74</v>
      </c>
      <c r="K93" s="116">
        <f>IFERROR(J93/J148, "NA")</f>
        <v>0.11245682665036018</v>
      </c>
      <c r="L93" s="115">
        <v>4097.17</v>
      </c>
      <c r="M93" s="116">
        <f>IFERROR(L93/L148, "NA")</f>
        <v>9.2926283053008651E-2</v>
      </c>
      <c r="N93" s="115">
        <v>5884.13</v>
      </c>
      <c r="O93" s="116">
        <f>IFERROR(N93/N148, "NA")</f>
        <v>0.11870095926976719</v>
      </c>
      <c r="P93" s="115">
        <v>3388.75</v>
      </c>
      <c r="Q93" s="116">
        <f>IFERROR(P93/P148, "NA")</f>
        <v>8.17619911152975E-2</v>
      </c>
      <c r="R93" s="115">
        <v>3190.41</v>
      </c>
      <c r="S93" s="116">
        <f>IFERROR(R93/R148, "NA")</f>
        <v>8.2029704306777376E-2</v>
      </c>
      <c r="T93" s="115">
        <v>4281.33</v>
      </c>
      <c r="U93" s="116">
        <f>IFERROR(T93/T148, "NA")</f>
        <v>9.8202038848402048E-2</v>
      </c>
      <c r="V93" s="115">
        <v>5936.579999999999</v>
      </c>
      <c r="W93" s="116">
        <f>IFERROR(V93/V148, "NA")</f>
        <v>0.12401503744320014</v>
      </c>
      <c r="X93" s="115">
        <v>5848.2199999999993</v>
      </c>
      <c r="Y93" s="116">
        <f>IFERROR(X93/X148, "NA")</f>
        <v>0.10626388210531211</v>
      </c>
      <c r="Z93" s="115">
        <v>11784.8</v>
      </c>
      <c r="AA93" s="116">
        <f>IFERROR(Z93/Z148, "NA")</f>
        <v>0.11452147190138605</v>
      </c>
      <c r="AB93" s="117">
        <f t="shared" si="36"/>
        <v>4814.1350000000002</v>
      </c>
      <c r="AC93" s="116">
        <f>IFERROR(AB93/AB148, "NA")</f>
        <v>0.10386750511326531</v>
      </c>
      <c r="AD93" s="118">
        <f t="shared" si="37"/>
        <v>1034.0849999999991</v>
      </c>
      <c r="AE93" s="119">
        <f>IFERROR(AD93/AD148, "NA")</f>
        <v>0.11905092894400775</v>
      </c>
      <c r="AF93" s="118">
        <f t="shared" si="38"/>
        <v>0.2148018283658433</v>
      </c>
      <c r="AG93" s="117">
        <f t="shared" si="39"/>
        <v>4744.2912499999993</v>
      </c>
      <c r="AH93" s="116">
        <f>IFERROR(AG93/AG148, "NA")</f>
        <v>0.1031706331861111</v>
      </c>
      <c r="AI93" s="118">
        <f t="shared" si="40"/>
        <v>1103.92875</v>
      </c>
      <c r="AJ93" s="119">
        <f>IFERROR(AI93/AI148, "NA")</f>
        <v>0.12198134692010365</v>
      </c>
      <c r="AK93" s="118">
        <f t="shared" si="41"/>
        <v>0.23268570410806888</v>
      </c>
      <c r="AL93" s="119">
        <f>IFERROR(AK93/AK148, "NA")</f>
        <v>1.1823262410346909</v>
      </c>
    </row>
    <row r="94" spans="1:38" ht="16.5" hidden="1" customHeight="1" x14ac:dyDescent="0.25">
      <c r="A94" s="2" t="s">
        <v>94</v>
      </c>
      <c r="B94" s="115">
        <v>1301.67</v>
      </c>
      <c r="C94" s="116">
        <f>IFERROR(B94/B148, "NA")</f>
        <v>2.7095635622433382E-2</v>
      </c>
      <c r="D94" s="115">
        <v>1115.01</v>
      </c>
      <c r="E94" s="116">
        <f>IFERROR(D94/D148, "NA")</f>
        <v>2.6880399687466926E-2</v>
      </c>
      <c r="F94" s="115">
        <v>1365.11</v>
      </c>
      <c r="G94" s="116">
        <f>IFERROR(F94/F148, "NA")</f>
        <v>2.7378427016499333E-2</v>
      </c>
      <c r="H94" s="115">
        <v>1415.97</v>
      </c>
      <c r="I94" s="116">
        <f>IFERROR(H94/H148, "NA")</f>
        <v>2.7673803375806483E-2</v>
      </c>
      <c r="J94" s="115">
        <v>1374.14</v>
      </c>
      <c r="K94" s="116">
        <f>IFERROR(J94/J148, "NA")</f>
        <v>2.9005061015238347E-2</v>
      </c>
      <c r="L94" s="115">
        <v>1135.6099999999999</v>
      </c>
      <c r="M94" s="116">
        <f>IFERROR(L94/L148, "NA")</f>
        <v>2.5756318702379238E-2</v>
      </c>
      <c r="N94" s="115">
        <v>1295.06</v>
      </c>
      <c r="O94" s="116">
        <f>IFERROR(N94/N148, "NA")</f>
        <v>2.6125334469480566E-2</v>
      </c>
      <c r="P94" s="115">
        <v>1025.01</v>
      </c>
      <c r="Q94" s="116">
        <f>IFERROR(P94/P148, "NA")</f>
        <v>2.4730906237725146E-2</v>
      </c>
      <c r="R94" s="115">
        <v>886.03</v>
      </c>
      <c r="S94" s="116">
        <f>IFERROR(R94/R148, "NA")</f>
        <v>2.2781015263534769E-2</v>
      </c>
      <c r="T94" s="115">
        <v>1220.76</v>
      </c>
      <c r="U94" s="116">
        <f>IFERROR(T94/T148, "NA")</f>
        <v>2.8000906481064361E-2</v>
      </c>
      <c r="V94" s="115">
        <v>1325.39</v>
      </c>
      <c r="W94" s="116">
        <f>IFERROR(V94/V148, "NA")</f>
        <v>2.7687370586573931E-2</v>
      </c>
      <c r="X94" s="115">
        <v>1493.71</v>
      </c>
      <c r="Y94" s="116">
        <f>IFERROR(X94/X148, "NA")</f>
        <v>2.7141151211740627E-2</v>
      </c>
      <c r="Z94" s="115">
        <v>2819.1</v>
      </c>
      <c r="AA94" s="116">
        <f>IFERROR(Z94/Z148, "NA")</f>
        <v>2.7395244843968283E-2</v>
      </c>
      <c r="AB94" s="117">
        <f t="shared" si="36"/>
        <v>1231.4725000000001</v>
      </c>
      <c r="AC94" s="116">
        <f>IFERROR(AB94/AB148, "NA")</f>
        <v>2.6569669564853422E-2</v>
      </c>
      <c r="AD94" s="118">
        <f t="shared" si="37"/>
        <v>262.23749999999995</v>
      </c>
      <c r="AE94" s="119">
        <f>IFERROR(AD94/AD148, "NA")</f>
        <v>3.0190572321380015E-2</v>
      </c>
      <c r="AF94" s="118">
        <f t="shared" si="38"/>
        <v>0.21294628990903161</v>
      </c>
      <c r="AG94" s="117">
        <f t="shared" si="39"/>
        <v>1219.4637499999999</v>
      </c>
      <c r="AH94" s="116">
        <f>IFERROR(AG94/AG148, "NA")</f>
        <v>2.6518786601688816E-2</v>
      </c>
      <c r="AI94" s="118">
        <f t="shared" si="40"/>
        <v>274.24625000000015</v>
      </c>
      <c r="AJ94" s="119">
        <f>IFERROR(AI94/AI148, "NA")</f>
        <v>3.0303520007779028E-2</v>
      </c>
      <c r="AK94" s="118">
        <f t="shared" si="41"/>
        <v>0.22489085878936554</v>
      </c>
      <c r="AL94" s="119">
        <f>IFERROR(AK94/AK148, "NA")</f>
        <v>1.1427189510190177</v>
      </c>
    </row>
    <row r="95" spans="1:38" ht="16.5" hidden="1" customHeight="1" x14ac:dyDescent="0.25">
      <c r="A95" s="2" t="s">
        <v>95</v>
      </c>
      <c r="B95" s="115">
        <v>1244.29</v>
      </c>
      <c r="C95" s="116">
        <f>IFERROR(B95/B148, "NA")</f>
        <v>2.5901210328760464E-2</v>
      </c>
      <c r="D95" s="115">
        <v>0</v>
      </c>
      <c r="E95" s="116">
        <f>IFERROR(D95/D148, "NA")</f>
        <v>0</v>
      </c>
      <c r="F95" s="115">
        <v>0</v>
      </c>
      <c r="G95" s="116">
        <f>IFERROR(F95/F148, "NA")</f>
        <v>0</v>
      </c>
      <c r="H95" s="115">
        <v>0</v>
      </c>
      <c r="I95" s="116">
        <f>IFERROR(H95/H148, "NA")</f>
        <v>0</v>
      </c>
      <c r="J95" s="115">
        <v>1244.29</v>
      </c>
      <c r="K95" s="116">
        <f>IFERROR(J95/J148, "NA")</f>
        <v>2.6264214250841196E-2</v>
      </c>
      <c r="L95" s="115">
        <v>0</v>
      </c>
      <c r="M95" s="116">
        <f>IFERROR(L95/L148, "NA")</f>
        <v>0</v>
      </c>
      <c r="N95" s="115">
        <v>0</v>
      </c>
      <c r="O95" s="116">
        <f>IFERROR(N95/N148, "NA")</f>
        <v>0</v>
      </c>
      <c r="P95" s="115">
        <v>0</v>
      </c>
      <c r="Q95" s="116">
        <f>IFERROR(P95/P148, "NA")</f>
        <v>0</v>
      </c>
      <c r="R95" s="115">
        <v>0</v>
      </c>
      <c r="S95" s="116">
        <f>IFERROR(R95/R148, "NA")</f>
        <v>0</v>
      </c>
      <c r="T95" s="115">
        <v>1244.29</v>
      </c>
      <c r="U95" s="116">
        <f>IFERROR(T95/T148, "NA")</f>
        <v>2.8540620535833065E-2</v>
      </c>
      <c r="V95" s="115">
        <v>0</v>
      </c>
      <c r="W95" s="116">
        <f>IFERROR(V95/V148, "NA")</f>
        <v>0</v>
      </c>
      <c r="X95" s="115">
        <v>0</v>
      </c>
      <c r="Y95" s="116">
        <f>IFERROR(X95/X148, "NA")</f>
        <v>0</v>
      </c>
      <c r="Z95" s="115">
        <v>0</v>
      </c>
      <c r="AA95" s="116">
        <f>IFERROR(Z95/Z148, "NA")</f>
        <v>0</v>
      </c>
      <c r="AB95" s="117">
        <f t="shared" si="36"/>
        <v>311.07249999999999</v>
      </c>
      <c r="AC95" s="116">
        <f>IFERROR(AB95/AB148, "NA")</f>
        <v>6.7115534741643565E-3</v>
      </c>
      <c r="AD95" s="118">
        <f t="shared" si="37"/>
        <v>-311.07249999999999</v>
      </c>
      <c r="AE95" s="119">
        <f>IFERROR(AD95/AD148, "NA")</f>
        <v>-3.5812791108985123E-2</v>
      </c>
      <c r="AF95" s="118">
        <f t="shared" si="38"/>
        <v>-1</v>
      </c>
      <c r="AG95" s="117">
        <f t="shared" si="39"/>
        <v>311.07249999999999</v>
      </c>
      <c r="AH95" s="116">
        <f>IFERROR(AG95/AG148, "NA")</f>
        <v>6.7646662273920357E-3</v>
      </c>
      <c r="AI95" s="118">
        <f t="shared" si="40"/>
        <v>-311.07249999999999</v>
      </c>
      <c r="AJ95" s="119">
        <f>IFERROR(AI95/AI148, "NA")</f>
        <v>-3.4372727895531245E-2</v>
      </c>
      <c r="AK95" s="118">
        <f t="shared" si="41"/>
        <v>-1</v>
      </c>
      <c r="AL95" s="119">
        <f>IFERROR(AK95/AK148, "NA")</f>
        <v>-5.0812156490953546</v>
      </c>
    </row>
    <row r="96" spans="1:38" ht="16.5" hidden="1" customHeight="1" x14ac:dyDescent="0.25">
      <c r="A96" s="2" t="s">
        <v>96</v>
      </c>
      <c r="B96" s="115">
        <v>0</v>
      </c>
      <c r="C96" s="116">
        <f>IFERROR(B96/B148, "NA")</f>
        <v>0</v>
      </c>
      <c r="D96" s="115">
        <v>0</v>
      </c>
      <c r="E96" s="116">
        <f>IFERROR(D96/D148, "NA")</f>
        <v>0</v>
      </c>
      <c r="F96" s="115">
        <v>0</v>
      </c>
      <c r="G96" s="116">
        <f>IFERROR(F96/F148, "NA")</f>
        <v>0</v>
      </c>
      <c r="H96" s="115">
        <v>0</v>
      </c>
      <c r="I96" s="116">
        <f>IFERROR(H96/H148, "NA")</f>
        <v>0</v>
      </c>
      <c r="J96" s="115">
        <v>0</v>
      </c>
      <c r="K96" s="116">
        <f>IFERROR(J96/J148, "NA")</f>
        <v>0</v>
      </c>
      <c r="L96" s="115">
        <v>0</v>
      </c>
      <c r="M96" s="116">
        <f>IFERROR(L96/L148, "NA")</f>
        <v>0</v>
      </c>
      <c r="N96" s="115">
        <v>0</v>
      </c>
      <c r="O96" s="116">
        <f>IFERROR(N96/N148, "NA")</f>
        <v>0</v>
      </c>
      <c r="P96" s="115">
        <v>0</v>
      </c>
      <c r="Q96" s="116">
        <f>IFERROR(P96/P148, "NA")</f>
        <v>0</v>
      </c>
      <c r="R96" s="115">
        <v>0</v>
      </c>
      <c r="S96" s="116">
        <f>IFERROR(R96/R148, "NA")</f>
        <v>0</v>
      </c>
      <c r="T96" s="115">
        <v>0</v>
      </c>
      <c r="U96" s="116">
        <f>IFERROR(T96/T148, "NA")</f>
        <v>0</v>
      </c>
      <c r="V96" s="115">
        <v>1750</v>
      </c>
      <c r="W96" s="116">
        <f>IFERROR(V96/V148, "NA")</f>
        <v>3.6557464992571523E-2</v>
      </c>
      <c r="X96" s="115">
        <v>0</v>
      </c>
      <c r="Y96" s="116">
        <f>IFERROR(X96/X148, "NA")</f>
        <v>0</v>
      </c>
      <c r="Z96" s="115">
        <v>1750</v>
      </c>
      <c r="AA96" s="116">
        <f>IFERROR(Z96/Z148, "NA")</f>
        <v>1.7006022658630236E-2</v>
      </c>
      <c r="AB96" s="117">
        <f t="shared" si="36"/>
        <v>437.5</v>
      </c>
      <c r="AC96" s="116">
        <f>IFERROR(AB96/AB148, "NA")</f>
        <v>9.4392935567975504E-3</v>
      </c>
      <c r="AD96" s="118">
        <f t="shared" si="37"/>
        <v>-437.5</v>
      </c>
      <c r="AE96" s="119">
        <f>IFERROR(AD96/AD148, "NA")</f>
        <v>-5.0367988524157525E-2</v>
      </c>
      <c r="AF96" s="118">
        <f t="shared" si="38"/>
        <v>-1</v>
      </c>
      <c r="AG96" s="117">
        <f t="shared" si="39"/>
        <v>218.75</v>
      </c>
      <c r="AH96" s="116">
        <f>IFERROR(AG96/AG148, "NA")</f>
        <v>4.7569963183566781E-3</v>
      </c>
      <c r="AI96" s="118">
        <f t="shared" si="40"/>
        <v>-218.75</v>
      </c>
      <c r="AJ96" s="119">
        <f>IFERROR(AI96/AI148, "NA")</f>
        <v>-2.4171324135522945E-2</v>
      </c>
      <c r="AK96" s="118">
        <f t="shared" si="41"/>
        <v>-1</v>
      </c>
      <c r="AL96" s="119">
        <f>IFERROR(AK96/AK148, "NA")</f>
        <v>-5.0812156490953546</v>
      </c>
    </row>
    <row r="97" spans="1:38" ht="16.5" hidden="1" customHeight="1" x14ac:dyDescent="0.25">
      <c r="A97" s="2" t="s">
        <v>97</v>
      </c>
      <c r="B97" s="115">
        <v>826.07999999999993</v>
      </c>
      <c r="C97" s="116">
        <f>IFERROR(B97/B148, "NA")</f>
        <v>1.7195727546136706E-2</v>
      </c>
      <c r="D97" s="115">
        <v>231.58</v>
      </c>
      <c r="E97" s="116">
        <f>IFERROR(D97/D148, "NA")</f>
        <v>5.5828763505471621E-3</v>
      </c>
      <c r="F97" s="115">
        <v>204.96</v>
      </c>
      <c r="G97" s="116">
        <f>IFERROR(F97/F148, "NA")</f>
        <v>4.1106448574120069E-3</v>
      </c>
      <c r="H97" s="115">
        <v>1360.37</v>
      </c>
      <c r="I97" s="116">
        <f>IFERROR(H97/H148, "NA")</f>
        <v>2.6587153610843354E-2</v>
      </c>
      <c r="J97" s="115">
        <v>1917.76</v>
      </c>
      <c r="K97" s="116">
        <f>IFERROR(J97/J148, "NA")</f>
        <v>4.04796787900676E-2</v>
      </c>
      <c r="L97" s="115">
        <v>0</v>
      </c>
      <c r="M97" s="116">
        <f>IFERROR(L97/L148, "NA")</f>
        <v>0</v>
      </c>
      <c r="N97" s="115">
        <v>626.28</v>
      </c>
      <c r="O97" s="116">
        <f>IFERROR(N97/N148, "NA")</f>
        <v>1.2633989522914991E-2</v>
      </c>
      <c r="P97" s="115">
        <v>0</v>
      </c>
      <c r="Q97" s="116">
        <f>IFERROR(P97/P148, "NA")</f>
        <v>0</v>
      </c>
      <c r="R97" s="115">
        <v>516.11</v>
      </c>
      <c r="S97" s="116">
        <f>IFERROR(R97/R148, "NA")</f>
        <v>1.3269877755451768E-2</v>
      </c>
      <c r="T97" s="115">
        <v>1826.5</v>
      </c>
      <c r="U97" s="116">
        <f>IFERROR(T97/T148, "NA")</f>
        <v>4.1894930770719922E-2</v>
      </c>
      <c r="V97" s="115">
        <v>668.45</v>
      </c>
      <c r="W97" s="116">
        <f>IFERROR(V97/V148, "NA")</f>
        <v>1.3963907128162536E-2</v>
      </c>
      <c r="X97" s="115">
        <v>0</v>
      </c>
      <c r="Y97" s="116">
        <f>IFERROR(X97/X148, "NA")</f>
        <v>0</v>
      </c>
      <c r="Z97" s="115">
        <v>668.45</v>
      </c>
      <c r="AA97" s="116">
        <f>IFERROR(Z97/Z148, "NA")</f>
        <v>6.4958147692350749E-3</v>
      </c>
      <c r="AB97" s="117">
        <f t="shared" si="36"/>
        <v>752.7650000000001</v>
      </c>
      <c r="AC97" s="116">
        <f>IFERROR(AB97/AB148, "NA")</f>
        <v>1.6241302432646192E-2</v>
      </c>
      <c r="AD97" s="118">
        <f t="shared" si="37"/>
        <v>-752.7650000000001</v>
      </c>
      <c r="AE97" s="119">
        <f>IFERROR(AD97/AD148, "NA")</f>
        <v>-8.6663448871742724E-2</v>
      </c>
      <c r="AF97" s="118">
        <f t="shared" si="38"/>
        <v>-1</v>
      </c>
      <c r="AG97" s="117">
        <f t="shared" si="39"/>
        <v>694.38749999999993</v>
      </c>
      <c r="AH97" s="116">
        <f>IFERROR(AG97/AG148, "NA")</f>
        <v>1.5100337284630391E-2</v>
      </c>
      <c r="AI97" s="118">
        <f t="shared" si="40"/>
        <v>-694.38749999999993</v>
      </c>
      <c r="AJ97" s="119">
        <f>IFERROR(AI97/AI148, "NA")</f>
        <v>-7.6728070117281999E-2</v>
      </c>
      <c r="AK97" s="118">
        <f t="shared" si="41"/>
        <v>-1</v>
      </c>
      <c r="AL97" s="119">
        <f>IFERROR(AK97/AK148, "NA")</f>
        <v>-5.0812156490953546</v>
      </c>
    </row>
    <row r="98" spans="1:38" ht="16.5" hidden="1" customHeight="1" x14ac:dyDescent="0.25">
      <c r="A98" s="2" t="s">
        <v>98</v>
      </c>
      <c r="B98" s="115">
        <v>557.79</v>
      </c>
      <c r="C98" s="116">
        <f>IFERROR(B98/B148, "NA")</f>
        <v>1.1610987880059551E-2</v>
      </c>
      <c r="D98" s="115">
        <v>601.20000000000005</v>
      </c>
      <c r="E98" s="116">
        <f>IFERROR(D98/D148, "NA")</f>
        <v>1.4493588660285663E-2</v>
      </c>
      <c r="F98" s="115">
        <v>2573.83</v>
      </c>
      <c r="G98" s="116">
        <f>IFERROR(F98/F148, "NA")</f>
        <v>5.1620321298559445E-2</v>
      </c>
      <c r="H98" s="115">
        <v>2484.8900000000003</v>
      </c>
      <c r="I98" s="116">
        <f>IFERROR(H98/H148, "NA")</f>
        <v>4.8564840547827837E-2</v>
      </c>
      <c r="J98" s="115">
        <v>1108.03</v>
      </c>
      <c r="K98" s="116">
        <f>IFERROR(J98/J148, "NA")</f>
        <v>2.3388066541047161E-2</v>
      </c>
      <c r="L98" s="115">
        <v>573.91</v>
      </c>
      <c r="M98" s="116">
        <f>IFERROR(L98/L148, "NA")</f>
        <v>1.3016624427825106E-2</v>
      </c>
      <c r="N98" s="115">
        <v>762.85</v>
      </c>
      <c r="O98" s="116">
        <f>IFERROR(N98/N148, "NA")</f>
        <v>1.5389025527808173E-2</v>
      </c>
      <c r="P98" s="115">
        <v>1795.5099999999998</v>
      </c>
      <c r="Q98" s="116">
        <f>IFERROR(P98/P148, "NA")</f>
        <v>4.3321128046456006E-2</v>
      </c>
      <c r="R98" s="115">
        <v>2246.8000000000002</v>
      </c>
      <c r="S98" s="116">
        <f>IFERROR(R98/R148, "NA")</f>
        <v>5.7768230301581125E-2</v>
      </c>
      <c r="T98" s="115">
        <v>794.17</v>
      </c>
      <c r="U98" s="116">
        <f>IFERROR(T98/T148, "NA")</f>
        <v>1.8216094809845408E-2</v>
      </c>
      <c r="V98" s="115">
        <v>636.26</v>
      </c>
      <c r="W98" s="116">
        <f>IFERROR(V98/V148, "NA")</f>
        <v>1.3291458672099176E-2</v>
      </c>
      <c r="X98" s="115">
        <v>0</v>
      </c>
      <c r="Y98" s="116">
        <f>IFERROR(X98/X148, "NA")</f>
        <v>0</v>
      </c>
      <c r="Z98" s="115">
        <v>636.26</v>
      </c>
      <c r="AA98" s="116">
        <f>IFERROR(Z98/Z148, "NA")</f>
        <v>6.1830011295886137E-3</v>
      </c>
      <c r="AB98" s="117">
        <f t="shared" si="36"/>
        <v>919.30750000000012</v>
      </c>
      <c r="AC98" s="116">
        <f>IFERROR(AB98/AB148, "NA")</f>
        <v>1.9834544826207234E-2</v>
      </c>
      <c r="AD98" s="118">
        <f t="shared" si="37"/>
        <v>-919.30750000000012</v>
      </c>
      <c r="AE98" s="119">
        <f>IFERROR(AD98/AD148, "NA")</f>
        <v>-0.10583695910896446</v>
      </c>
      <c r="AF98" s="118">
        <f t="shared" si="38"/>
        <v>-1</v>
      </c>
      <c r="AG98" s="117">
        <f t="shared" si="39"/>
        <v>989.69124999999997</v>
      </c>
      <c r="AH98" s="116">
        <f>IFERROR(AG98/AG148, "NA")</f>
        <v>2.1522092034559171E-2</v>
      </c>
      <c r="AI98" s="118">
        <f t="shared" si="40"/>
        <v>-989.69124999999997</v>
      </c>
      <c r="AJ98" s="119">
        <f>IFERROR(AI98/AI148, "NA")</f>
        <v>-0.10935839084727254</v>
      </c>
      <c r="AK98" s="118">
        <f t="shared" si="41"/>
        <v>-1</v>
      </c>
      <c r="AL98" s="119">
        <f>IFERROR(AK98/AK148, "NA")</f>
        <v>-5.0812156490953546</v>
      </c>
    </row>
    <row r="99" spans="1:38" ht="16.5" hidden="1" customHeight="1" x14ac:dyDescent="0.25">
      <c r="A99" s="120" t="s">
        <v>99</v>
      </c>
      <c r="B99" s="121">
        <f>IFERROR(B90+B91+B92+B93+B94+B95+B96+B97+B98, "NA")</f>
        <v>13283.879999999997</v>
      </c>
      <c r="C99" s="122">
        <f>IFERROR(B99/B148, "NA")</f>
        <v>0.27651799006824335</v>
      </c>
      <c r="D99" s="121">
        <f>IFERROR(D90+D91+D92+D93+D94+D95+D96+D97+D98, "NA")</f>
        <v>9081.77</v>
      </c>
      <c r="E99" s="122">
        <f>IFERROR(D99/D148, "NA")</f>
        <v>0.21894118211464159</v>
      </c>
      <c r="F99" s="121">
        <f>IFERROR(F90+F91+F92+F93+F94+F95+F96+F97+F98, "NA")</f>
        <v>12102.769999999999</v>
      </c>
      <c r="G99" s="122">
        <f>IFERROR(F99/F148, "NA")</f>
        <v>0.24273121224112171</v>
      </c>
      <c r="H99" s="121">
        <f>IFERROR(H90+H91+H92+H93+H94+H95+H96+H97+H98, "NA")</f>
        <v>15450.119999999999</v>
      </c>
      <c r="I99" s="122">
        <f>IFERROR(H99/H148, "NA")</f>
        <v>0.30195808033546984</v>
      </c>
      <c r="J99" s="121">
        <f>IFERROR(J90+J91+J92+J93+J94+J95+J96+J97+J98, "NA")</f>
        <v>16071.130000000001</v>
      </c>
      <c r="K99" s="122">
        <f>IFERROR(J99/J148, "NA")</f>
        <v>0.33922606592765475</v>
      </c>
      <c r="L99" s="121">
        <f>IFERROR(L90+L91+L92+L93+L94+L95+L96+L97+L98, "NA")</f>
        <v>11072.39</v>
      </c>
      <c r="M99" s="122">
        <f>IFERROR(L99/L148, "NA")</f>
        <v>0.25112847336412752</v>
      </c>
      <c r="N99" s="121">
        <f>IFERROR(N90+N91+N92+N93+N94+N95+N96+N97+N98, "NA")</f>
        <v>12115.4</v>
      </c>
      <c r="O99" s="122">
        <f>IFERROR(N99/N148, "NA")</f>
        <v>0.24440479763991232</v>
      </c>
      <c r="P99" s="121">
        <f>IFERROR(P90+P91+P92+P93+P94+P95+P96+P97+P98, "NA")</f>
        <v>8544.5</v>
      </c>
      <c r="Q99" s="122">
        <f>IFERROR(P99/P148, "NA")</f>
        <v>0.20615723587891097</v>
      </c>
      <c r="R99" s="121">
        <f>IFERROR(R90+R91+R92+R93+R94+R95+R96+R97+R98, "NA")</f>
        <v>9889.7799999999988</v>
      </c>
      <c r="S99" s="122">
        <f>IFERROR(R99/R148, "NA")</f>
        <v>0.25427945908490779</v>
      </c>
      <c r="T99" s="121">
        <f>IFERROR(T90+T91+T92+T93+T94+T95+T96+T97+T98, "NA")</f>
        <v>11488.28</v>
      </c>
      <c r="U99" s="122">
        <f>IFERROR(T99/T148, "NA")</f>
        <v>0.26350982495190051</v>
      </c>
      <c r="V99" s="121">
        <f>IFERROR(V90+V91+V92+V93+V94+V95+V96+V97+V98, "NA")</f>
        <v>11752.9</v>
      </c>
      <c r="W99" s="122">
        <f>IFERROR(V99/V148, "NA")</f>
        <v>0.24551784589211079</v>
      </c>
      <c r="X99" s="121">
        <f>IFERROR(X90+X91+X92+X93+X94+X95+X96+X97+X98, "NA")</f>
        <v>9339.09</v>
      </c>
      <c r="Y99" s="122">
        <f>IFERROR(X99/X148, "NA")</f>
        <v>0.16969401950181412</v>
      </c>
      <c r="Z99" s="121">
        <f>IFERROR(Z90+Z91+Z92+Z93+Z94+Z95+Z96+Z97+Z98, "NA")</f>
        <v>21091.989999999998</v>
      </c>
      <c r="AA99" s="122">
        <f>IFERROR(Z99/Z148, "NA")</f>
        <v>0.20496620563177276</v>
      </c>
      <c r="AB99" s="121">
        <f t="shared" si="36"/>
        <v>10617.512500000001</v>
      </c>
      <c r="AC99" s="122">
        <f>IFERROR(AB99/AB148, "NA")</f>
        <v>0.22907843961249705</v>
      </c>
      <c r="AD99" s="123">
        <f t="shared" si="37"/>
        <v>-1278.4225000000006</v>
      </c>
      <c r="AE99" s="124">
        <f>IFERROR(AD99/AD148, "NA")</f>
        <v>-0.1471807309920567</v>
      </c>
      <c r="AF99" s="123">
        <f t="shared" si="38"/>
        <v>-0.1204069691464927</v>
      </c>
      <c r="AG99" s="121">
        <f t="shared" si="39"/>
        <v>11284.183749999998</v>
      </c>
      <c r="AH99" s="122">
        <f>IFERROR(AG99/AG148, "NA")</f>
        <v>0.2453888939630183</v>
      </c>
      <c r="AI99" s="123">
        <f t="shared" si="40"/>
        <v>-1945.0937499999982</v>
      </c>
      <c r="AJ99" s="124">
        <f>IFERROR(AI99/AI148, "NA")</f>
        <v>-0.21492796116676474</v>
      </c>
      <c r="AK99" s="123">
        <f t="shared" si="41"/>
        <v>-0.17237345590016631</v>
      </c>
      <c r="AL99" s="124">
        <f>IFERROR(AK99/AK148, "NA")</f>
        <v>-0.87586670160857305</v>
      </c>
    </row>
    <row r="100" spans="1:38" ht="16.5" hidden="1" customHeight="1" x14ac:dyDescent="0.25">
      <c r="A100" s="8" t="s">
        <v>2</v>
      </c>
      <c r="B100" s="138"/>
      <c r="C100" s="126"/>
      <c r="D100" s="138"/>
      <c r="E100" s="126"/>
      <c r="F100" s="138"/>
      <c r="G100" s="126"/>
      <c r="H100" s="138"/>
      <c r="I100" s="126"/>
      <c r="J100" s="138"/>
      <c r="K100" s="126"/>
      <c r="L100" s="138"/>
      <c r="M100" s="126"/>
      <c r="N100" s="138"/>
      <c r="O100" s="126"/>
      <c r="P100" s="138"/>
      <c r="Q100" s="126"/>
      <c r="R100" s="138"/>
      <c r="S100" s="126"/>
      <c r="T100" s="138"/>
      <c r="U100" s="126"/>
      <c r="V100" s="138"/>
      <c r="W100" s="126"/>
      <c r="X100" s="138"/>
      <c r="Y100" s="126"/>
      <c r="Z100" s="138"/>
      <c r="AA100" s="126"/>
      <c r="AB100" s="138"/>
      <c r="AC100" s="126"/>
      <c r="AD100" s="139"/>
      <c r="AE100" s="128"/>
      <c r="AF100" s="139"/>
      <c r="AG100" s="138"/>
      <c r="AH100" s="126"/>
      <c r="AI100" s="139"/>
      <c r="AJ100" s="128"/>
      <c r="AK100" s="139"/>
      <c r="AL100" s="128"/>
    </row>
    <row r="101" spans="1:38" ht="16.5" hidden="1" customHeight="1" x14ac:dyDescent="0.25">
      <c r="A101" s="135" t="s">
        <v>100</v>
      </c>
      <c r="B101" s="136">
        <f>IFERROR(B87-B99, "NA")</f>
        <v>14230.270000000004</v>
      </c>
      <c r="C101" s="137">
        <f>IFERROR(B101/B148, "NA")</f>
        <v>0.29621809731256399</v>
      </c>
      <c r="D101" s="136">
        <f>IFERROR(D87-D99, "NA")</f>
        <v>11141.029999999995</v>
      </c>
      <c r="E101" s="137">
        <f>IFERROR(D101/D148, "NA")</f>
        <v>0.26858533944095525</v>
      </c>
      <c r="F101" s="136">
        <f>IFERROR(F87-F99, "NA")</f>
        <v>13367.199999999988</v>
      </c>
      <c r="G101" s="137">
        <f>IFERROR(F101/F148, "NA")</f>
        <v>0.26809041733995764</v>
      </c>
      <c r="H101" s="136">
        <f>IFERROR(H87-H99, "NA")</f>
        <v>12008.940000000013</v>
      </c>
      <c r="I101" s="137">
        <f>IFERROR(H101/H148, "NA")</f>
        <v>0.23470345015209212</v>
      </c>
      <c r="J101" s="136">
        <f>IFERROR(J87-J99, "NA")</f>
        <v>8720.0400000000045</v>
      </c>
      <c r="K101" s="137">
        <f>IFERROR(J101/J148, "NA")</f>
        <v>0.18406078875174228</v>
      </c>
      <c r="L101" s="136">
        <f>IFERROR(L87-L99, "NA")</f>
        <v>11815.020000000008</v>
      </c>
      <c r="M101" s="137">
        <f>IFERROR(L101/L148, "NA")</f>
        <v>0.26797176900078812</v>
      </c>
      <c r="N101" s="136">
        <f>IFERROR(N87-N99, "NA")</f>
        <v>15555.190000000004</v>
      </c>
      <c r="O101" s="137">
        <f>IFERROR(N101/N148, "NA")</f>
        <v>0.31379591793918393</v>
      </c>
      <c r="P101" s="136">
        <f>IFERROR(P87-P99, "NA")</f>
        <v>11821.21</v>
      </c>
      <c r="Q101" s="137">
        <f>IFERROR(P101/P148, "NA")</f>
        <v>0.28521598435767348</v>
      </c>
      <c r="R101" s="136">
        <f>IFERROR(R87-R99, "NA")</f>
        <v>7653.2999999999956</v>
      </c>
      <c r="S101" s="137">
        <f>IFERROR(R101/R148, "NA")</f>
        <v>0.19677656977349589</v>
      </c>
      <c r="T101" s="136">
        <f>IFERROR(T87-T99, "NA")</f>
        <v>10737.709999999997</v>
      </c>
      <c r="U101" s="137">
        <f>IFERROR(T101/T148, "NA")</f>
        <v>0.2462937952839129</v>
      </c>
      <c r="V101" s="136">
        <f>IFERROR(V87-V99, "NA")</f>
        <v>13415.990000000007</v>
      </c>
      <c r="W101" s="137">
        <f>IFERROR(V101/V148, "NA")</f>
        <v>0.28025976272325137</v>
      </c>
      <c r="X101" s="136">
        <f>IFERROR(X87-X99, "NA")</f>
        <v>22681.020000000008</v>
      </c>
      <c r="Y101" s="137">
        <f>IFERROR(X101/X148, "NA")</f>
        <v>0.41212082228579416</v>
      </c>
      <c r="Z101" s="136">
        <f>IFERROR(Z87-Z99, "NA")</f>
        <v>36097.01</v>
      </c>
      <c r="AA101" s="137">
        <f>IFERROR(Z101/Z148, "NA")</f>
        <v>0.35078089712502986</v>
      </c>
      <c r="AB101" s="136">
        <f>IFERROR((R101+T101+V101+X101)/4, "NA")</f>
        <v>13622.005000000001</v>
      </c>
      <c r="AC101" s="137">
        <f>IFERROR(AB101/AB148, "NA")</f>
        <v>0.29390195206208919</v>
      </c>
      <c r="AD101" s="123">
        <f>IFERROR(X101-AB101, "NA")</f>
        <v>9059.0150000000067</v>
      </c>
      <c r="AE101" s="124">
        <f>IFERROR(AD101/AD148, "NA")</f>
        <v>1.0429356881375342</v>
      </c>
      <c r="AF101" s="123">
        <f>IFERROR((X101-AB101)/AB101, "NA")</f>
        <v>0.66502801900307673</v>
      </c>
      <c r="AG101" s="136">
        <f>IFERROR((J101+L101+N101+P101+R101+T101+V101+X101)/8, "NA")</f>
        <v>12799.935000000001</v>
      </c>
      <c r="AH101" s="137">
        <f>IFERROR(AG101/AG148, "NA")</f>
        <v>0.27835082820665052</v>
      </c>
      <c r="AI101" s="123">
        <f>IFERROR(X101-AG101, "NA")</f>
        <v>9881.0850000000064</v>
      </c>
      <c r="AJ101" s="124">
        <f>IFERROR(AI101/AI148, "NA")</f>
        <v>1.0918350095801319</v>
      </c>
      <c r="AK101" s="123">
        <f>IFERROR((X101-AG101)/AG101, "NA")</f>
        <v>0.77196368575309215</v>
      </c>
      <c r="AL101" s="124">
        <f>IFERROR(AK101/AK148, "NA")</f>
        <v>3.9225139605819406</v>
      </c>
    </row>
    <row r="102" spans="1:38" ht="3.75" hidden="1" customHeight="1" x14ac:dyDescent="0.25">
      <c r="A102" s="8" t="s">
        <v>2</v>
      </c>
      <c r="B102" s="138"/>
      <c r="C102" s="126"/>
      <c r="D102" s="138"/>
      <c r="E102" s="126"/>
      <c r="F102" s="138"/>
      <c r="G102" s="126"/>
      <c r="H102" s="138"/>
      <c r="I102" s="126"/>
      <c r="J102" s="138"/>
      <c r="K102" s="126"/>
      <c r="L102" s="138"/>
      <c r="M102" s="126"/>
      <c r="N102" s="138"/>
      <c r="O102" s="126"/>
      <c r="P102" s="138"/>
      <c r="Q102" s="126"/>
      <c r="R102" s="138"/>
      <c r="S102" s="126"/>
      <c r="T102" s="138"/>
      <c r="U102" s="126"/>
      <c r="V102" s="138"/>
      <c r="W102" s="126"/>
      <c r="X102" s="138"/>
      <c r="Y102" s="126"/>
      <c r="Z102" s="138"/>
      <c r="AA102" s="126"/>
      <c r="AB102" s="138"/>
      <c r="AC102" s="126"/>
      <c r="AD102" s="139"/>
      <c r="AE102" s="128"/>
      <c r="AF102" s="139"/>
      <c r="AG102" s="138"/>
      <c r="AH102" s="126"/>
      <c r="AI102" s="139"/>
      <c r="AJ102" s="128"/>
      <c r="AK102" s="139"/>
      <c r="AL102" s="128"/>
    </row>
    <row r="103" spans="1:38" ht="16.5" hidden="1" customHeight="1" x14ac:dyDescent="0.25">
      <c r="A103" s="1" t="s">
        <v>101</v>
      </c>
      <c r="B103" s="111"/>
      <c r="C103" s="112"/>
      <c r="D103" s="111"/>
      <c r="E103" s="112"/>
      <c r="F103" s="111"/>
      <c r="G103" s="112"/>
      <c r="H103" s="111"/>
      <c r="I103" s="112"/>
      <c r="J103" s="111"/>
      <c r="K103" s="112"/>
      <c r="L103" s="111"/>
      <c r="M103" s="112"/>
      <c r="N103" s="111"/>
      <c r="O103" s="112"/>
      <c r="P103" s="111"/>
      <c r="Q103" s="112"/>
      <c r="R103" s="111"/>
      <c r="S103" s="112"/>
      <c r="T103" s="111"/>
      <c r="U103" s="112"/>
      <c r="V103" s="111"/>
      <c r="W103" s="112"/>
      <c r="X103" s="111"/>
      <c r="Y103" s="112"/>
      <c r="Z103" s="111"/>
      <c r="AA103" s="112"/>
      <c r="AB103" s="111"/>
      <c r="AC103" s="112"/>
      <c r="AD103" s="113"/>
      <c r="AE103" s="114"/>
      <c r="AF103" s="113"/>
      <c r="AG103" s="111"/>
      <c r="AH103" s="112"/>
      <c r="AI103" s="113"/>
      <c r="AJ103" s="114"/>
      <c r="AK103" s="113"/>
      <c r="AL103" s="114"/>
    </row>
    <row r="104" spans="1:38" ht="16.5" hidden="1" customHeight="1" x14ac:dyDescent="0.25">
      <c r="A104" s="9" t="s">
        <v>102</v>
      </c>
      <c r="B104" s="140">
        <v>16493.909999999996</v>
      </c>
      <c r="C104" s="137">
        <f>IFERROR(B104/B148, "NA")</f>
        <v>0.34333815433190445</v>
      </c>
      <c r="D104" s="140">
        <v>-2619</v>
      </c>
      <c r="E104" s="137">
        <f>IFERROR(D104/D148, "NA")</f>
        <v>-6.3138238026094723E-2</v>
      </c>
      <c r="F104" s="140">
        <v>0</v>
      </c>
      <c r="G104" s="137">
        <f>IFERROR(F104/F148, "NA")</f>
        <v>0</v>
      </c>
      <c r="H104" s="140">
        <v>7359.56</v>
      </c>
      <c r="I104" s="137">
        <f>IFERROR(H104/H148, "NA")</f>
        <v>0.14383568604733885</v>
      </c>
      <c r="J104" s="140">
        <v>17460.159999999996</v>
      </c>
      <c r="K104" s="137">
        <f>IFERROR(J104/J148, "NA")</f>
        <v>0.36854542196269946</v>
      </c>
      <c r="L104" s="140">
        <v>-3000</v>
      </c>
      <c r="M104" s="137">
        <f>IFERROR(L104/L148, "NA")</f>
        <v>-6.8041806700484958E-2</v>
      </c>
      <c r="N104" s="140">
        <v>0</v>
      </c>
      <c r="O104" s="137">
        <f>IFERROR(N104/N148, "NA")</f>
        <v>0</v>
      </c>
      <c r="P104" s="140">
        <v>0</v>
      </c>
      <c r="Q104" s="137">
        <f>IFERROR(P104/P148, "NA")</f>
        <v>0</v>
      </c>
      <c r="R104" s="140">
        <v>5987.6600000000008</v>
      </c>
      <c r="S104" s="137">
        <f>IFERROR(R104/R148, "NA")</f>
        <v>0.15395073965086578</v>
      </c>
      <c r="T104" s="140">
        <v>16344.519999999999</v>
      </c>
      <c r="U104" s="137">
        <f>IFERROR(T104/T148, "NA")</f>
        <v>0.37489873193574991</v>
      </c>
      <c r="V104" s="140">
        <v>-2500</v>
      </c>
      <c r="W104" s="137">
        <f>IFERROR(V104/V148, "NA")</f>
        <v>-5.2224949989387891E-2</v>
      </c>
      <c r="X104" s="140">
        <v>0</v>
      </c>
      <c r="Y104" s="137">
        <f>IFERROR(X104/X148, "NA")</f>
        <v>0</v>
      </c>
      <c r="Z104" s="140">
        <v>-2500</v>
      </c>
      <c r="AA104" s="137">
        <f>IFERROR(Z104/Z148, "NA")</f>
        <v>-2.4294318083757479E-2</v>
      </c>
      <c r="AB104" s="136">
        <f>IFERROR((R104+T104+V104+X104)/4, "NA")</f>
        <v>4958.0450000000001</v>
      </c>
      <c r="AC104" s="137">
        <f>IFERROR(AB104/AB148, "NA")</f>
        <v>0.10697243936642814</v>
      </c>
      <c r="AD104" s="123">
        <f>IFERROR(X104-AB104, "NA")</f>
        <v>-4958.0450000000001</v>
      </c>
      <c r="AE104" s="124">
        <f>IFERROR(AD104/AD148, "NA")</f>
        <v>-0.5708040083708722</v>
      </c>
      <c r="AF104" s="123">
        <f>IFERROR((X104-AB104)/AB104, "NA")</f>
        <v>-1</v>
      </c>
      <c r="AG104" s="136">
        <f>IFERROR((J104+L104+N104+P104+R104+T104+V104+X104)/8, "NA")</f>
        <v>4286.5424999999996</v>
      </c>
      <c r="AH104" s="137">
        <f>IFERROR(AG104/AG148, "NA")</f>
        <v>9.3216305787334544E-2</v>
      </c>
      <c r="AI104" s="123">
        <f>IFERROR(X104-AG104, "NA")</f>
        <v>-4286.5424999999996</v>
      </c>
      <c r="AJ104" s="124">
        <f>IFERROR(AI104/AI148, "NA")</f>
        <v>-0.47365215171746217</v>
      </c>
      <c r="AK104" s="123">
        <f>IFERROR((X104-AG104)/AG104, "NA")</f>
        <v>-1</v>
      </c>
      <c r="AL104" s="124">
        <f>IFERROR(AK104/AK148, "NA")</f>
        <v>-5.0812156490953546</v>
      </c>
    </row>
    <row r="105" spans="1:38" ht="16.5" hidden="1" customHeight="1" x14ac:dyDescent="0.25">
      <c r="A105" s="120" t="s">
        <v>103</v>
      </c>
      <c r="B105" s="121">
        <f>IFERROR(B104, "NA")</f>
        <v>16493.909999999996</v>
      </c>
      <c r="C105" s="122">
        <f>IFERROR(B105/B148, "NA")</f>
        <v>0.34333815433190445</v>
      </c>
      <c r="D105" s="121">
        <f>IFERROR(D104, "NA")</f>
        <v>-2619</v>
      </c>
      <c r="E105" s="122">
        <f>IFERROR(D105/D148, "NA")</f>
        <v>-6.3138238026094723E-2</v>
      </c>
      <c r="F105" s="121">
        <f>IFERROR(F104, "NA")</f>
        <v>0</v>
      </c>
      <c r="G105" s="122">
        <f>IFERROR(F105/F148, "NA")</f>
        <v>0</v>
      </c>
      <c r="H105" s="121">
        <f>IFERROR(H104, "NA")</f>
        <v>7359.56</v>
      </c>
      <c r="I105" s="122">
        <f>IFERROR(H105/H148, "NA")</f>
        <v>0.14383568604733885</v>
      </c>
      <c r="J105" s="121">
        <f>IFERROR(J104, "NA")</f>
        <v>17460.159999999996</v>
      </c>
      <c r="K105" s="122">
        <f>IFERROR(J105/J148, "NA")</f>
        <v>0.36854542196269946</v>
      </c>
      <c r="L105" s="121">
        <f>IFERROR(L104, "NA")</f>
        <v>-3000</v>
      </c>
      <c r="M105" s="122">
        <f>IFERROR(L105/L148, "NA")</f>
        <v>-6.8041806700484958E-2</v>
      </c>
      <c r="N105" s="121">
        <f>IFERROR(N104, "NA")</f>
        <v>0</v>
      </c>
      <c r="O105" s="122">
        <f>IFERROR(N105/N148, "NA")</f>
        <v>0</v>
      </c>
      <c r="P105" s="121">
        <f>IFERROR(P104, "NA")</f>
        <v>0</v>
      </c>
      <c r="Q105" s="122">
        <f>IFERROR(P105/P148, "NA")</f>
        <v>0</v>
      </c>
      <c r="R105" s="121">
        <f>IFERROR(R104, "NA")</f>
        <v>5987.6600000000008</v>
      </c>
      <c r="S105" s="122">
        <f>IFERROR(R105/R148, "NA")</f>
        <v>0.15395073965086578</v>
      </c>
      <c r="T105" s="121">
        <f>IFERROR(T104, "NA")</f>
        <v>16344.519999999999</v>
      </c>
      <c r="U105" s="122">
        <f>IFERROR(T105/T148, "NA")</f>
        <v>0.37489873193574991</v>
      </c>
      <c r="V105" s="121">
        <f>IFERROR(V104, "NA")</f>
        <v>-2500</v>
      </c>
      <c r="W105" s="122">
        <f>IFERROR(V105/V148, "NA")</f>
        <v>-5.2224949989387891E-2</v>
      </c>
      <c r="X105" s="121">
        <f>IFERROR(X104, "NA")</f>
        <v>0</v>
      </c>
      <c r="Y105" s="122">
        <f>IFERROR(X105/X148, "NA")</f>
        <v>0</v>
      </c>
      <c r="Z105" s="121">
        <f>IFERROR(Z104, "NA")</f>
        <v>-2500</v>
      </c>
      <c r="AA105" s="122">
        <f>IFERROR(Z105/Z148, "NA")</f>
        <v>-2.4294318083757479E-2</v>
      </c>
      <c r="AB105" s="121">
        <f>IFERROR((R105+T105+V105+X105)/4, "NA")</f>
        <v>4958.0450000000001</v>
      </c>
      <c r="AC105" s="122">
        <f>IFERROR(AB105/AB148, "NA")</f>
        <v>0.10697243936642814</v>
      </c>
      <c r="AD105" s="123">
        <f>IFERROR(X105-AB105, "NA")</f>
        <v>-4958.0450000000001</v>
      </c>
      <c r="AE105" s="124">
        <f>IFERROR(AD105/AD148, "NA")</f>
        <v>-0.5708040083708722</v>
      </c>
      <c r="AF105" s="123">
        <f>IFERROR((X105-AB105)/AB105, "NA")</f>
        <v>-1</v>
      </c>
      <c r="AG105" s="121">
        <f>IFERROR((J105+L105+N105+P105+R105+T105+V105+X105)/8, "NA")</f>
        <v>4286.5424999999996</v>
      </c>
      <c r="AH105" s="122">
        <f>IFERROR(AG105/AG148, "NA")</f>
        <v>9.3216305787334544E-2</v>
      </c>
      <c r="AI105" s="123">
        <f>IFERROR(X105-AG105, "NA")</f>
        <v>-4286.5424999999996</v>
      </c>
      <c r="AJ105" s="124">
        <f>IFERROR(AI105/AI148, "NA")</f>
        <v>-0.47365215171746217</v>
      </c>
      <c r="AK105" s="123">
        <f>IFERROR((X105-AG105)/AG105, "NA")</f>
        <v>-1</v>
      </c>
      <c r="AL105" s="124">
        <f>IFERROR(AK105/AK148, "NA")</f>
        <v>-5.0812156490953546</v>
      </c>
    </row>
    <row r="106" spans="1:38" ht="16.5" hidden="1" customHeight="1" x14ac:dyDescent="0.25">
      <c r="A106" s="8" t="s">
        <v>2</v>
      </c>
      <c r="B106" s="138"/>
      <c r="C106" s="126"/>
      <c r="D106" s="138"/>
      <c r="E106" s="126"/>
      <c r="F106" s="138"/>
      <c r="G106" s="126"/>
      <c r="H106" s="138"/>
      <c r="I106" s="126"/>
      <c r="J106" s="138"/>
      <c r="K106" s="126"/>
      <c r="L106" s="138"/>
      <c r="M106" s="126"/>
      <c r="N106" s="138"/>
      <c r="O106" s="126"/>
      <c r="P106" s="138"/>
      <c r="Q106" s="126"/>
      <c r="R106" s="138"/>
      <c r="S106" s="126"/>
      <c r="T106" s="138"/>
      <c r="U106" s="126"/>
      <c r="V106" s="138"/>
      <c r="W106" s="126"/>
      <c r="X106" s="138"/>
      <c r="Y106" s="126"/>
      <c r="Z106" s="138"/>
      <c r="AA106" s="126"/>
      <c r="AB106" s="138"/>
      <c r="AC106" s="126"/>
      <c r="AD106" s="139"/>
      <c r="AE106" s="128"/>
      <c r="AF106" s="139"/>
      <c r="AG106" s="138"/>
      <c r="AH106" s="126"/>
      <c r="AI106" s="139"/>
      <c r="AJ106" s="128"/>
      <c r="AK106" s="139"/>
      <c r="AL106" s="128"/>
    </row>
    <row r="107" spans="1:38" ht="16.5" hidden="1" customHeight="1" x14ac:dyDescent="0.25">
      <c r="A107" s="135" t="s">
        <v>104</v>
      </c>
      <c r="B107" s="136">
        <f>IFERROR(B87-B99-B105, "NA")</f>
        <v>-2263.6399999999921</v>
      </c>
      <c r="C107" s="137">
        <f>IFERROR(B107/B148, "NA")</f>
        <v>-4.7120057019340453E-2</v>
      </c>
      <c r="D107" s="136">
        <f>IFERROR(D87-D99-D105, "NA")</f>
        <v>13760.029999999995</v>
      </c>
      <c r="E107" s="137">
        <f>IFERROR(D107/D148, "NA")</f>
        <v>0.33172357746704995</v>
      </c>
      <c r="F107" s="136">
        <f>IFERROR(F87-F99-F105, "NA")</f>
        <v>13367.199999999988</v>
      </c>
      <c r="G107" s="137">
        <f>IFERROR(F107/F148, "NA")</f>
        <v>0.26809041733995764</v>
      </c>
      <c r="H107" s="136">
        <f>IFERROR(H87-H99-H105, "NA")</f>
        <v>4649.3800000000128</v>
      </c>
      <c r="I107" s="137">
        <f>IFERROR(H107/H148, "NA")</f>
        <v>9.0867764104753279E-2</v>
      </c>
      <c r="J107" s="136">
        <f>IFERROR(J87-J99-J105, "NA")</f>
        <v>-8740.1199999999917</v>
      </c>
      <c r="K107" s="137">
        <f>IFERROR(J107/J148, "NA")</f>
        <v>-0.18448463321095721</v>
      </c>
      <c r="L107" s="136">
        <f>IFERROR(L87-L99-L105, "NA")</f>
        <v>14815.020000000008</v>
      </c>
      <c r="M107" s="137">
        <f>IFERROR(L107/L148, "NA")</f>
        <v>0.33601357570127305</v>
      </c>
      <c r="N107" s="136">
        <f>IFERROR(N87-N99-N105, "NA")</f>
        <v>15555.190000000004</v>
      </c>
      <c r="O107" s="137">
        <f>IFERROR(N107/N148, "NA")</f>
        <v>0.31379591793918393</v>
      </c>
      <c r="P107" s="136">
        <f>IFERROR(P87-P99-P105, "NA")</f>
        <v>11821.21</v>
      </c>
      <c r="Q107" s="137">
        <f>IFERROR(P107/P148, "NA")</f>
        <v>0.28521598435767348</v>
      </c>
      <c r="R107" s="136">
        <f>IFERROR(R87-R99-R105, "NA")</f>
        <v>1665.6399999999949</v>
      </c>
      <c r="S107" s="137">
        <f>IFERROR(R107/R148, "NA")</f>
        <v>4.2825830122630089E-2</v>
      </c>
      <c r="T107" s="136">
        <f>IFERROR(T87-T99-T105, "NA")</f>
        <v>-5606.8100000000013</v>
      </c>
      <c r="U107" s="137">
        <f>IFERROR(T107/T148, "NA")</f>
        <v>-0.12860493665183698</v>
      </c>
      <c r="V107" s="136">
        <f>IFERROR(V87-V99-V105, "NA")</f>
        <v>15915.990000000007</v>
      </c>
      <c r="W107" s="137">
        <f>IFERROR(V107/V148, "NA")</f>
        <v>0.3324847127126393</v>
      </c>
      <c r="X107" s="136">
        <f>IFERROR(X87-X99-X105, "NA")</f>
        <v>22681.020000000008</v>
      </c>
      <c r="Y107" s="137">
        <f>IFERROR(X107/X148, "NA")</f>
        <v>0.41212082228579416</v>
      </c>
      <c r="Z107" s="136">
        <f>IFERROR(Z87-Z99-Z105, "NA")</f>
        <v>38597.01</v>
      </c>
      <c r="AA107" s="137">
        <f>IFERROR(Z107/Z148, "NA")</f>
        <v>0.37507521520878734</v>
      </c>
      <c r="AB107" s="136">
        <f>IFERROR((R107+T107+V107+X107)/4, "NA")</f>
        <v>8663.9600000000028</v>
      </c>
      <c r="AC107" s="137">
        <f>IFERROR(AB107/AB148, "NA")</f>
        <v>0.1869295126956611</v>
      </c>
      <c r="AD107" s="123">
        <f>IFERROR(X107-AB107, "NA")</f>
        <v>14017.060000000005</v>
      </c>
      <c r="AE107" s="124">
        <f>IFERROR(AD107/AD148, "NA")</f>
        <v>1.6137396965084063</v>
      </c>
      <c r="AF107" s="123">
        <f>IFERROR((X107-AB107)/AB107, "NA")</f>
        <v>1.6178583465297625</v>
      </c>
      <c r="AG107" s="136">
        <f>IFERROR((J107+L107+N107+P107+R107+T107+V107+X107)/8, "NA")</f>
        <v>8513.3925000000036</v>
      </c>
      <c r="AH107" s="137">
        <f>IFERROR(AG107/AG148, "NA")</f>
        <v>0.18513452241931599</v>
      </c>
      <c r="AI107" s="123">
        <f>IFERROR(X107-AG107, "NA")</f>
        <v>14167.627500000004</v>
      </c>
      <c r="AJ107" s="124">
        <f>IFERROR(AI107/AI148, "NA")</f>
        <v>1.565487161297594</v>
      </c>
      <c r="AK107" s="123">
        <f>IFERROR((X107-AG107)/AG107, "NA")</f>
        <v>1.6641576786222412</v>
      </c>
      <c r="AL107" s="124">
        <f>IFERROR(AK107/AK148, "NA")</f>
        <v>8.4559440391775293</v>
      </c>
    </row>
    <row r="108" spans="1:38" ht="3.75" hidden="1" customHeight="1" x14ac:dyDescent="0.25">
      <c r="A108" s="8" t="s">
        <v>2</v>
      </c>
      <c r="B108" s="138"/>
      <c r="C108" s="126"/>
      <c r="D108" s="138"/>
      <c r="E108" s="126"/>
      <c r="F108" s="138"/>
      <c r="G108" s="126"/>
      <c r="H108" s="138"/>
      <c r="I108" s="126"/>
      <c r="J108" s="138"/>
      <c r="K108" s="126"/>
      <c r="L108" s="138"/>
      <c r="M108" s="126"/>
      <c r="N108" s="138"/>
      <c r="O108" s="126"/>
      <c r="P108" s="138"/>
      <c r="Q108" s="126"/>
      <c r="R108" s="138"/>
      <c r="S108" s="126"/>
      <c r="T108" s="138"/>
      <c r="U108" s="126"/>
      <c r="V108" s="138"/>
      <c r="W108" s="126"/>
      <c r="X108" s="138"/>
      <c r="Y108" s="126"/>
      <c r="Z108" s="138"/>
      <c r="AA108" s="126"/>
      <c r="AB108" s="138"/>
      <c r="AC108" s="126"/>
      <c r="AD108" s="139"/>
      <c r="AE108" s="128"/>
      <c r="AF108" s="139"/>
      <c r="AG108" s="138"/>
      <c r="AH108" s="126"/>
      <c r="AI108" s="139"/>
      <c r="AJ108" s="128"/>
      <c r="AK108" s="139"/>
      <c r="AL108" s="128"/>
    </row>
    <row r="109" spans="1:38" ht="16.5" hidden="1" customHeight="1" x14ac:dyDescent="0.25">
      <c r="A109" s="1" t="s">
        <v>105</v>
      </c>
      <c r="B109" s="111"/>
      <c r="C109" s="112"/>
      <c r="D109" s="111"/>
      <c r="E109" s="112"/>
      <c r="F109" s="111"/>
      <c r="G109" s="112"/>
      <c r="H109" s="111"/>
      <c r="I109" s="112"/>
      <c r="J109" s="111"/>
      <c r="K109" s="112"/>
      <c r="L109" s="111"/>
      <c r="M109" s="112"/>
      <c r="N109" s="111"/>
      <c r="O109" s="112"/>
      <c r="P109" s="111"/>
      <c r="Q109" s="112"/>
      <c r="R109" s="111"/>
      <c r="S109" s="112"/>
      <c r="T109" s="111"/>
      <c r="U109" s="112"/>
      <c r="V109" s="111"/>
      <c r="W109" s="112"/>
      <c r="X109" s="111"/>
      <c r="Y109" s="112"/>
      <c r="Z109" s="111"/>
      <c r="AA109" s="112"/>
      <c r="AB109" s="111"/>
      <c r="AC109" s="112"/>
      <c r="AD109" s="113"/>
      <c r="AE109" s="114"/>
      <c r="AF109" s="113"/>
      <c r="AG109" s="111"/>
      <c r="AH109" s="112"/>
      <c r="AI109" s="113"/>
      <c r="AJ109" s="114"/>
      <c r="AK109" s="113"/>
      <c r="AL109" s="114"/>
    </row>
    <row r="110" spans="1:38" ht="16.5" hidden="1" customHeight="1" x14ac:dyDescent="0.25">
      <c r="A110" s="2" t="s">
        <v>106</v>
      </c>
      <c r="B110" s="115">
        <v>0</v>
      </c>
      <c r="C110" s="116">
        <f>IFERROR(B110/B148, "NA")</f>
        <v>0</v>
      </c>
      <c r="D110" s="115">
        <v>0</v>
      </c>
      <c r="E110" s="116">
        <f>IFERROR(D110/D148, "NA")</f>
        <v>0</v>
      </c>
      <c r="F110" s="115">
        <v>0</v>
      </c>
      <c r="G110" s="116">
        <f>IFERROR(F110/F148, "NA")</f>
        <v>0</v>
      </c>
      <c r="H110" s="115">
        <v>0</v>
      </c>
      <c r="I110" s="116">
        <f>IFERROR(H110/H148, "NA")</f>
        <v>0</v>
      </c>
      <c r="J110" s="115">
        <v>0</v>
      </c>
      <c r="K110" s="116">
        <f>IFERROR(J110/J148, "NA")</f>
        <v>0</v>
      </c>
      <c r="L110" s="115">
        <v>0</v>
      </c>
      <c r="M110" s="116">
        <f>IFERROR(L110/L148, "NA")</f>
        <v>0</v>
      </c>
      <c r="N110" s="115">
        <v>0</v>
      </c>
      <c r="O110" s="116">
        <f>IFERROR(N110/N148, "NA")</f>
        <v>0</v>
      </c>
      <c r="P110" s="115">
        <v>0</v>
      </c>
      <c r="Q110" s="116">
        <f>IFERROR(P110/P148, "NA")</f>
        <v>0</v>
      </c>
      <c r="R110" s="115">
        <v>0</v>
      </c>
      <c r="S110" s="116">
        <f>IFERROR(R110/R148, "NA")</f>
        <v>0</v>
      </c>
      <c r="T110" s="115">
        <v>0</v>
      </c>
      <c r="U110" s="116">
        <f>IFERROR(T110/T148, "NA")</f>
        <v>0</v>
      </c>
      <c r="V110" s="115">
        <v>0</v>
      </c>
      <c r="W110" s="116">
        <f>IFERROR(V110/V148, "NA")</f>
        <v>0</v>
      </c>
      <c r="X110" s="115">
        <v>0</v>
      </c>
      <c r="Y110" s="116">
        <f>IFERROR(X110/X148, "NA")</f>
        <v>0</v>
      </c>
      <c r="Z110" s="115">
        <v>0</v>
      </c>
      <c r="AA110" s="116">
        <f>IFERROR(Z110/Z148, "NA")</f>
        <v>0</v>
      </c>
      <c r="AB110" s="117">
        <f t="shared" ref="AB110:AB135" si="42">IFERROR((R110+T110+V110+X110)/4, "NA")</f>
        <v>0</v>
      </c>
      <c r="AC110" s="116">
        <f>IFERROR(AB110/AB148, "NA")</f>
        <v>0</v>
      </c>
      <c r="AD110" s="118">
        <f t="shared" ref="AD110:AD135" si="43">IFERROR(X110-AB110, "NA")</f>
        <v>0</v>
      </c>
      <c r="AE110" s="119">
        <f>IFERROR(AD110/AD148, "NA")</f>
        <v>0</v>
      </c>
      <c r="AF110" s="118" t="str">
        <f t="shared" ref="AF110:AF135" si="44">IFERROR((X110-AB110)/AB110, "NA")</f>
        <v>NA</v>
      </c>
      <c r="AG110" s="117">
        <f t="shared" ref="AG110:AG135" si="45">IFERROR((J110+L110+N110+P110+R110+T110+V110+X110)/8, "NA")</f>
        <v>0</v>
      </c>
      <c r="AH110" s="116">
        <f>IFERROR(AG110/AG148, "NA")</f>
        <v>0</v>
      </c>
      <c r="AI110" s="118">
        <f t="shared" ref="AI110:AI135" si="46">IFERROR(X110-AG110, "NA")</f>
        <v>0</v>
      </c>
      <c r="AJ110" s="119">
        <f>IFERROR(AI110/AI148, "NA")</f>
        <v>0</v>
      </c>
      <c r="AK110" s="118" t="str">
        <f t="shared" ref="AK110:AK135" si="47">IFERROR((X110-AG110)/AG110, "NA")</f>
        <v>NA</v>
      </c>
      <c r="AL110" s="119" t="str">
        <f>IFERROR(AK110/AK148, "NA")</f>
        <v>NA</v>
      </c>
    </row>
    <row r="111" spans="1:38" ht="16.5" hidden="1" customHeight="1" x14ac:dyDescent="0.25">
      <c r="A111" s="2" t="s">
        <v>107</v>
      </c>
      <c r="B111" s="115">
        <v>0</v>
      </c>
      <c r="C111" s="116">
        <f>IFERROR(B111/B148, "NA")</f>
        <v>0</v>
      </c>
      <c r="D111" s="115">
        <v>0</v>
      </c>
      <c r="E111" s="116">
        <f>IFERROR(D111/D148, "NA")</f>
        <v>0</v>
      </c>
      <c r="F111" s="115">
        <v>0</v>
      </c>
      <c r="G111" s="116">
        <f>IFERROR(F111/F148, "NA")</f>
        <v>0</v>
      </c>
      <c r="H111" s="115">
        <v>0</v>
      </c>
      <c r="I111" s="116">
        <f>IFERROR(H111/H148, "NA")</f>
        <v>0</v>
      </c>
      <c r="J111" s="115">
        <v>0</v>
      </c>
      <c r="K111" s="116">
        <f>IFERROR(J111/J148, "NA")</f>
        <v>0</v>
      </c>
      <c r="L111" s="115">
        <v>0</v>
      </c>
      <c r="M111" s="116">
        <f>IFERROR(L111/L148, "NA")</f>
        <v>0</v>
      </c>
      <c r="N111" s="115">
        <v>0</v>
      </c>
      <c r="O111" s="116">
        <f>IFERROR(N111/N148, "NA")</f>
        <v>0</v>
      </c>
      <c r="P111" s="115">
        <v>0</v>
      </c>
      <c r="Q111" s="116">
        <f>IFERROR(P111/P148, "NA")</f>
        <v>0</v>
      </c>
      <c r="R111" s="115">
        <v>0</v>
      </c>
      <c r="S111" s="116">
        <f>IFERROR(R111/R148, "NA")</f>
        <v>0</v>
      </c>
      <c r="T111" s="115">
        <v>0</v>
      </c>
      <c r="U111" s="116">
        <f>IFERROR(T111/T148, "NA")</f>
        <v>0</v>
      </c>
      <c r="V111" s="115">
        <v>0</v>
      </c>
      <c r="W111" s="116">
        <f>IFERROR(V111/V148, "NA")</f>
        <v>0</v>
      </c>
      <c r="X111" s="115">
        <v>0</v>
      </c>
      <c r="Y111" s="116">
        <f>IFERROR(X111/X148, "NA")</f>
        <v>0</v>
      </c>
      <c r="Z111" s="115">
        <v>0</v>
      </c>
      <c r="AA111" s="116">
        <f>IFERROR(Z111/Z148, "NA")</f>
        <v>0</v>
      </c>
      <c r="AB111" s="117">
        <f t="shared" si="42"/>
        <v>0</v>
      </c>
      <c r="AC111" s="116">
        <f>IFERROR(AB111/AB148, "NA")</f>
        <v>0</v>
      </c>
      <c r="AD111" s="118">
        <f t="shared" si="43"/>
        <v>0</v>
      </c>
      <c r="AE111" s="119">
        <f>IFERROR(AD111/AD148, "NA")</f>
        <v>0</v>
      </c>
      <c r="AF111" s="118" t="str">
        <f t="shared" si="44"/>
        <v>NA</v>
      </c>
      <c r="AG111" s="117">
        <f t="shared" si="45"/>
        <v>0</v>
      </c>
      <c r="AH111" s="116">
        <f>IFERROR(AG111/AG148, "NA")</f>
        <v>0</v>
      </c>
      <c r="AI111" s="118">
        <f t="shared" si="46"/>
        <v>0</v>
      </c>
      <c r="AJ111" s="119">
        <f>IFERROR(AI111/AI148, "NA")</f>
        <v>0</v>
      </c>
      <c r="AK111" s="118" t="str">
        <f t="shared" si="47"/>
        <v>NA</v>
      </c>
      <c r="AL111" s="119" t="str">
        <f>IFERROR(AK111/AK148, "NA")</f>
        <v>NA</v>
      </c>
    </row>
    <row r="112" spans="1:38" ht="16.5" hidden="1" customHeight="1" x14ac:dyDescent="0.25">
      <c r="A112" s="2" t="s">
        <v>108</v>
      </c>
      <c r="B112" s="115">
        <v>0</v>
      </c>
      <c r="C112" s="116">
        <f>IFERROR(B112/B148, "NA")</f>
        <v>0</v>
      </c>
      <c r="D112" s="115">
        <v>0</v>
      </c>
      <c r="E112" s="116">
        <f>IFERROR(D112/D148, "NA")</f>
        <v>0</v>
      </c>
      <c r="F112" s="115">
        <v>0</v>
      </c>
      <c r="G112" s="116">
        <f>IFERROR(F112/F148, "NA")</f>
        <v>0</v>
      </c>
      <c r="H112" s="115">
        <v>0</v>
      </c>
      <c r="I112" s="116">
        <f>IFERROR(H112/H148, "NA")</f>
        <v>0</v>
      </c>
      <c r="J112" s="115">
        <v>0</v>
      </c>
      <c r="K112" s="116">
        <f>IFERROR(J112/J148, "NA")</f>
        <v>0</v>
      </c>
      <c r="L112" s="115">
        <v>0</v>
      </c>
      <c r="M112" s="116">
        <f>IFERROR(L112/L148, "NA")</f>
        <v>0</v>
      </c>
      <c r="N112" s="115">
        <v>0</v>
      </c>
      <c r="O112" s="116">
        <f>IFERROR(N112/N148, "NA")</f>
        <v>0</v>
      </c>
      <c r="P112" s="115">
        <v>0</v>
      </c>
      <c r="Q112" s="116">
        <f>IFERROR(P112/P148, "NA")</f>
        <v>0</v>
      </c>
      <c r="R112" s="115">
        <v>0</v>
      </c>
      <c r="S112" s="116">
        <f>IFERROR(R112/R148, "NA")</f>
        <v>0</v>
      </c>
      <c r="T112" s="115">
        <v>0</v>
      </c>
      <c r="U112" s="116">
        <f>IFERROR(T112/T148, "NA")</f>
        <v>0</v>
      </c>
      <c r="V112" s="115">
        <v>0</v>
      </c>
      <c r="W112" s="116">
        <f>IFERROR(V112/V148, "NA")</f>
        <v>0</v>
      </c>
      <c r="X112" s="115">
        <v>0</v>
      </c>
      <c r="Y112" s="116">
        <f>IFERROR(X112/X148, "NA")</f>
        <v>0</v>
      </c>
      <c r="Z112" s="115">
        <v>0</v>
      </c>
      <c r="AA112" s="116">
        <f>IFERROR(Z112/Z148, "NA")</f>
        <v>0</v>
      </c>
      <c r="AB112" s="117">
        <f t="shared" si="42"/>
        <v>0</v>
      </c>
      <c r="AC112" s="116">
        <f>IFERROR(AB112/AB148, "NA")</f>
        <v>0</v>
      </c>
      <c r="AD112" s="118">
        <f t="shared" si="43"/>
        <v>0</v>
      </c>
      <c r="AE112" s="119">
        <f>IFERROR(AD112/AD148, "NA")</f>
        <v>0</v>
      </c>
      <c r="AF112" s="118" t="str">
        <f t="shared" si="44"/>
        <v>NA</v>
      </c>
      <c r="AG112" s="117">
        <f t="shared" si="45"/>
        <v>0</v>
      </c>
      <c r="AH112" s="116">
        <f>IFERROR(AG112/AG148, "NA")</f>
        <v>0</v>
      </c>
      <c r="AI112" s="118">
        <f t="shared" si="46"/>
        <v>0</v>
      </c>
      <c r="AJ112" s="119">
        <f>IFERROR(AI112/AI148, "NA")</f>
        <v>0</v>
      </c>
      <c r="AK112" s="118" t="str">
        <f t="shared" si="47"/>
        <v>NA</v>
      </c>
      <c r="AL112" s="119" t="str">
        <f>IFERROR(AK112/AK148, "NA")</f>
        <v>NA</v>
      </c>
    </row>
    <row r="113" spans="1:38" ht="16.5" hidden="1" customHeight="1" x14ac:dyDescent="0.25">
      <c r="A113" s="2" t="s">
        <v>109</v>
      </c>
      <c r="B113" s="115">
        <v>0</v>
      </c>
      <c r="C113" s="116">
        <f>IFERROR(B113/B148, "NA")</f>
        <v>0</v>
      </c>
      <c r="D113" s="115">
        <v>0</v>
      </c>
      <c r="E113" s="116">
        <f>IFERROR(D113/D148, "NA")</f>
        <v>0</v>
      </c>
      <c r="F113" s="115">
        <v>0</v>
      </c>
      <c r="G113" s="116">
        <f>IFERROR(F113/F148, "NA")</f>
        <v>0</v>
      </c>
      <c r="H113" s="115">
        <v>0</v>
      </c>
      <c r="I113" s="116">
        <f>IFERROR(H113/H148, "NA")</f>
        <v>0</v>
      </c>
      <c r="J113" s="115">
        <v>0</v>
      </c>
      <c r="K113" s="116">
        <f>IFERROR(J113/J148, "NA")</f>
        <v>0</v>
      </c>
      <c r="L113" s="115">
        <v>0</v>
      </c>
      <c r="M113" s="116">
        <f>IFERROR(L113/L148, "NA")</f>
        <v>0</v>
      </c>
      <c r="N113" s="115">
        <v>0</v>
      </c>
      <c r="O113" s="116">
        <f>IFERROR(N113/N148, "NA")</f>
        <v>0</v>
      </c>
      <c r="P113" s="115">
        <v>0</v>
      </c>
      <c r="Q113" s="116">
        <f>IFERROR(P113/P148, "NA")</f>
        <v>0</v>
      </c>
      <c r="R113" s="115">
        <v>0</v>
      </c>
      <c r="S113" s="116">
        <f>IFERROR(R113/R148, "NA")</f>
        <v>0</v>
      </c>
      <c r="T113" s="115">
        <v>0</v>
      </c>
      <c r="U113" s="116">
        <f>IFERROR(T113/T148, "NA")</f>
        <v>0</v>
      </c>
      <c r="V113" s="115">
        <v>0</v>
      </c>
      <c r="W113" s="116">
        <f>IFERROR(V113/V148, "NA")</f>
        <v>0</v>
      </c>
      <c r="X113" s="115">
        <v>0</v>
      </c>
      <c r="Y113" s="116">
        <f>IFERROR(X113/X148, "NA")</f>
        <v>0</v>
      </c>
      <c r="Z113" s="115">
        <v>0</v>
      </c>
      <c r="AA113" s="116">
        <f>IFERROR(Z113/Z148, "NA")</f>
        <v>0</v>
      </c>
      <c r="AB113" s="117">
        <f t="shared" si="42"/>
        <v>0</v>
      </c>
      <c r="AC113" s="116">
        <f>IFERROR(AB113/AB148, "NA")</f>
        <v>0</v>
      </c>
      <c r="AD113" s="118">
        <f t="shared" si="43"/>
        <v>0</v>
      </c>
      <c r="AE113" s="119">
        <f>IFERROR(AD113/AD148, "NA")</f>
        <v>0</v>
      </c>
      <c r="AF113" s="118" t="str">
        <f t="shared" si="44"/>
        <v>NA</v>
      </c>
      <c r="AG113" s="117">
        <f t="shared" si="45"/>
        <v>0</v>
      </c>
      <c r="AH113" s="116">
        <f>IFERROR(AG113/AG148, "NA")</f>
        <v>0</v>
      </c>
      <c r="AI113" s="118">
        <f t="shared" si="46"/>
        <v>0</v>
      </c>
      <c r="AJ113" s="119">
        <f>IFERROR(AI113/AI148, "NA")</f>
        <v>0</v>
      </c>
      <c r="AK113" s="118" t="str">
        <f t="shared" si="47"/>
        <v>NA</v>
      </c>
      <c r="AL113" s="119" t="str">
        <f>IFERROR(AK113/AK148, "NA")</f>
        <v>NA</v>
      </c>
    </row>
    <row r="114" spans="1:38" ht="16.5" hidden="1" customHeight="1" x14ac:dyDescent="0.25">
      <c r="A114" s="2" t="s">
        <v>110</v>
      </c>
      <c r="B114" s="115">
        <v>0</v>
      </c>
      <c r="C114" s="116">
        <f>IFERROR(B114/B148, "NA")</f>
        <v>0</v>
      </c>
      <c r="D114" s="115">
        <v>0</v>
      </c>
      <c r="E114" s="116">
        <f>IFERROR(D114/D148, "NA")</f>
        <v>0</v>
      </c>
      <c r="F114" s="115">
        <v>0</v>
      </c>
      <c r="G114" s="116">
        <f>IFERROR(F114/F148, "NA")</f>
        <v>0</v>
      </c>
      <c r="H114" s="115">
        <v>0</v>
      </c>
      <c r="I114" s="116">
        <f>IFERROR(H114/H148, "NA")</f>
        <v>0</v>
      </c>
      <c r="J114" s="115">
        <v>0</v>
      </c>
      <c r="K114" s="116">
        <f>IFERROR(J114/J148, "NA")</f>
        <v>0</v>
      </c>
      <c r="L114" s="115">
        <v>0</v>
      </c>
      <c r="M114" s="116">
        <f>IFERROR(L114/L148, "NA")</f>
        <v>0</v>
      </c>
      <c r="N114" s="115">
        <v>0</v>
      </c>
      <c r="O114" s="116">
        <f>IFERROR(N114/N148, "NA")</f>
        <v>0</v>
      </c>
      <c r="P114" s="115">
        <v>0</v>
      </c>
      <c r="Q114" s="116">
        <f>IFERROR(P114/P148, "NA")</f>
        <v>0</v>
      </c>
      <c r="R114" s="115">
        <v>0</v>
      </c>
      <c r="S114" s="116">
        <f>IFERROR(R114/R148, "NA")</f>
        <v>0</v>
      </c>
      <c r="T114" s="115">
        <v>0</v>
      </c>
      <c r="U114" s="116">
        <f>IFERROR(T114/T148, "NA")</f>
        <v>0</v>
      </c>
      <c r="V114" s="115">
        <v>0</v>
      </c>
      <c r="W114" s="116">
        <f>IFERROR(V114/V148, "NA")</f>
        <v>0</v>
      </c>
      <c r="X114" s="115">
        <v>0</v>
      </c>
      <c r="Y114" s="116">
        <f>IFERROR(X114/X148, "NA")</f>
        <v>0</v>
      </c>
      <c r="Z114" s="115">
        <v>0</v>
      </c>
      <c r="AA114" s="116">
        <f>IFERROR(Z114/Z148, "NA")</f>
        <v>0</v>
      </c>
      <c r="AB114" s="117">
        <f t="shared" si="42"/>
        <v>0</v>
      </c>
      <c r="AC114" s="116">
        <f>IFERROR(AB114/AB148, "NA")</f>
        <v>0</v>
      </c>
      <c r="AD114" s="118">
        <f t="shared" si="43"/>
        <v>0</v>
      </c>
      <c r="AE114" s="119">
        <f>IFERROR(AD114/AD148, "NA")</f>
        <v>0</v>
      </c>
      <c r="AF114" s="118" t="str">
        <f t="shared" si="44"/>
        <v>NA</v>
      </c>
      <c r="AG114" s="117">
        <f t="shared" si="45"/>
        <v>0</v>
      </c>
      <c r="AH114" s="116">
        <f>IFERROR(AG114/AG148, "NA")</f>
        <v>0</v>
      </c>
      <c r="AI114" s="118">
        <f t="shared" si="46"/>
        <v>0</v>
      </c>
      <c r="AJ114" s="119">
        <f>IFERROR(AI114/AI148, "NA")</f>
        <v>0</v>
      </c>
      <c r="AK114" s="118" t="str">
        <f t="shared" si="47"/>
        <v>NA</v>
      </c>
      <c r="AL114" s="119" t="str">
        <f>IFERROR(AK114/AK148, "NA")</f>
        <v>NA</v>
      </c>
    </row>
    <row r="115" spans="1:38" ht="16.5" hidden="1" customHeight="1" x14ac:dyDescent="0.25">
      <c r="A115" s="2" t="s">
        <v>111</v>
      </c>
      <c r="B115" s="115">
        <v>0</v>
      </c>
      <c r="C115" s="116">
        <f>IFERROR(B115/B148, "NA")</f>
        <v>0</v>
      </c>
      <c r="D115" s="115">
        <v>0</v>
      </c>
      <c r="E115" s="116">
        <f>IFERROR(D115/D148, "NA")</f>
        <v>0</v>
      </c>
      <c r="F115" s="115">
        <v>0</v>
      </c>
      <c r="G115" s="116">
        <f>IFERROR(F115/F148, "NA")</f>
        <v>0</v>
      </c>
      <c r="H115" s="115">
        <v>0</v>
      </c>
      <c r="I115" s="116">
        <f>IFERROR(H115/H148, "NA")</f>
        <v>0</v>
      </c>
      <c r="J115" s="115">
        <v>0</v>
      </c>
      <c r="K115" s="116">
        <f>IFERROR(J115/J148, "NA")</f>
        <v>0</v>
      </c>
      <c r="L115" s="115">
        <v>0</v>
      </c>
      <c r="M115" s="116">
        <f>IFERROR(L115/L148, "NA")</f>
        <v>0</v>
      </c>
      <c r="N115" s="115">
        <v>0</v>
      </c>
      <c r="O115" s="116">
        <f>IFERROR(N115/N148, "NA")</f>
        <v>0</v>
      </c>
      <c r="P115" s="115">
        <v>0</v>
      </c>
      <c r="Q115" s="116">
        <f>IFERROR(P115/P148, "NA")</f>
        <v>0</v>
      </c>
      <c r="R115" s="115">
        <v>0</v>
      </c>
      <c r="S115" s="116">
        <f>IFERROR(R115/R148, "NA")</f>
        <v>0</v>
      </c>
      <c r="T115" s="115">
        <v>0</v>
      </c>
      <c r="U115" s="116">
        <f>IFERROR(T115/T148, "NA")</f>
        <v>0</v>
      </c>
      <c r="V115" s="115">
        <v>0</v>
      </c>
      <c r="W115" s="116">
        <f>IFERROR(V115/V148, "NA")</f>
        <v>0</v>
      </c>
      <c r="X115" s="115">
        <v>0</v>
      </c>
      <c r="Y115" s="116">
        <f>IFERROR(X115/X148, "NA")</f>
        <v>0</v>
      </c>
      <c r="Z115" s="115">
        <v>0</v>
      </c>
      <c r="AA115" s="116">
        <f>IFERROR(Z115/Z148, "NA")</f>
        <v>0</v>
      </c>
      <c r="AB115" s="117">
        <f t="shared" si="42"/>
        <v>0</v>
      </c>
      <c r="AC115" s="116">
        <f>IFERROR(AB115/AB148, "NA")</f>
        <v>0</v>
      </c>
      <c r="AD115" s="118">
        <f t="shared" si="43"/>
        <v>0</v>
      </c>
      <c r="AE115" s="119">
        <f>IFERROR(AD115/AD148, "NA")</f>
        <v>0</v>
      </c>
      <c r="AF115" s="118" t="str">
        <f t="shared" si="44"/>
        <v>NA</v>
      </c>
      <c r="AG115" s="117">
        <f t="shared" si="45"/>
        <v>0</v>
      </c>
      <c r="AH115" s="116">
        <f>IFERROR(AG115/AG148, "NA")</f>
        <v>0</v>
      </c>
      <c r="AI115" s="118">
        <f t="shared" si="46"/>
        <v>0</v>
      </c>
      <c r="AJ115" s="119">
        <f>IFERROR(AI115/AI148, "NA")</f>
        <v>0</v>
      </c>
      <c r="AK115" s="118" t="str">
        <f t="shared" si="47"/>
        <v>NA</v>
      </c>
      <c r="AL115" s="119" t="str">
        <f>IFERROR(AK115/AK148, "NA")</f>
        <v>NA</v>
      </c>
    </row>
    <row r="116" spans="1:38" ht="16.5" hidden="1" customHeight="1" x14ac:dyDescent="0.25">
      <c r="A116" s="2" t="s">
        <v>112</v>
      </c>
      <c r="B116" s="115">
        <v>0</v>
      </c>
      <c r="C116" s="116">
        <f>IFERROR(B116/B148, "NA")</f>
        <v>0</v>
      </c>
      <c r="D116" s="115">
        <v>0</v>
      </c>
      <c r="E116" s="116">
        <f>IFERROR(D116/D148, "NA")</f>
        <v>0</v>
      </c>
      <c r="F116" s="115">
        <v>0</v>
      </c>
      <c r="G116" s="116">
        <f>IFERROR(F116/F148, "NA")</f>
        <v>0</v>
      </c>
      <c r="H116" s="115">
        <v>0</v>
      </c>
      <c r="I116" s="116">
        <f>IFERROR(H116/H148, "NA")</f>
        <v>0</v>
      </c>
      <c r="J116" s="115">
        <v>0</v>
      </c>
      <c r="K116" s="116">
        <f>IFERROR(J116/J148, "NA")</f>
        <v>0</v>
      </c>
      <c r="L116" s="115">
        <v>0</v>
      </c>
      <c r="M116" s="116">
        <f>IFERROR(L116/L148, "NA")</f>
        <v>0</v>
      </c>
      <c r="N116" s="115">
        <v>0</v>
      </c>
      <c r="O116" s="116">
        <f>IFERROR(N116/N148, "NA")</f>
        <v>0</v>
      </c>
      <c r="P116" s="115">
        <v>0</v>
      </c>
      <c r="Q116" s="116">
        <f>IFERROR(P116/P148, "NA")</f>
        <v>0</v>
      </c>
      <c r="R116" s="115">
        <v>0</v>
      </c>
      <c r="S116" s="116">
        <f>IFERROR(R116/R148, "NA")</f>
        <v>0</v>
      </c>
      <c r="T116" s="115">
        <v>0</v>
      </c>
      <c r="U116" s="116">
        <f>IFERROR(T116/T148, "NA")</f>
        <v>0</v>
      </c>
      <c r="V116" s="115">
        <v>0</v>
      </c>
      <c r="W116" s="116">
        <f>IFERROR(V116/V148, "NA")</f>
        <v>0</v>
      </c>
      <c r="X116" s="115">
        <v>0</v>
      </c>
      <c r="Y116" s="116">
        <f>IFERROR(X116/X148, "NA")</f>
        <v>0</v>
      </c>
      <c r="Z116" s="115">
        <v>0</v>
      </c>
      <c r="AA116" s="116">
        <f>IFERROR(Z116/Z148, "NA")</f>
        <v>0</v>
      </c>
      <c r="AB116" s="117">
        <f t="shared" si="42"/>
        <v>0</v>
      </c>
      <c r="AC116" s="116">
        <f>IFERROR(AB116/AB148, "NA")</f>
        <v>0</v>
      </c>
      <c r="AD116" s="118">
        <f t="shared" si="43"/>
        <v>0</v>
      </c>
      <c r="AE116" s="119">
        <f>IFERROR(AD116/AD148, "NA")</f>
        <v>0</v>
      </c>
      <c r="AF116" s="118" t="str">
        <f t="shared" si="44"/>
        <v>NA</v>
      </c>
      <c r="AG116" s="117">
        <f t="shared" si="45"/>
        <v>0</v>
      </c>
      <c r="AH116" s="116">
        <f>IFERROR(AG116/AG148, "NA")</f>
        <v>0</v>
      </c>
      <c r="AI116" s="118">
        <f t="shared" si="46"/>
        <v>0</v>
      </c>
      <c r="AJ116" s="119">
        <f>IFERROR(AI116/AI148, "NA")</f>
        <v>0</v>
      </c>
      <c r="AK116" s="118" t="str">
        <f t="shared" si="47"/>
        <v>NA</v>
      </c>
      <c r="AL116" s="119" t="str">
        <f>IFERROR(AK116/AK148, "NA")</f>
        <v>NA</v>
      </c>
    </row>
    <row r="117" spans="1:38" ht="16.5" hidden="1" customHeight="1" x14ac:dyDescent="0.25">
      <c r="A117" s="2" t="s">
        <v>113</v>
      </c>
      <c r="B117" s="115">
        <v>0</v>
      </c>
      <c r="C117" s="116">
        <f>IFERROR(B117/B148, "NA")</f>
        <v>0</v>
      </c>
      <c r="D117" s="115">
        <v>0</v>
      </c>
      <c r="E117" s="116">
        <f>IFERROR(D117/D148, "NA")</f>
        <v>0</v>
      </c>
      <c r="F117" s="115">
        <v>0</v>
      </c>
      <c r="G117" s="116">
        <f>IFERROR(F117/F148, "NA")</f>
        <v>0</v>
      </c>
      <c r="H117" s="115">
        <v>0</v>
      </c>
      <c r="I117" s="116">
        <f>IFERROR(H117/H148, "NA")</f>
        <v>0</v>
      </c>
      <c r="J117" s="115">
        <v>0</v>
      </c>
      <c r="K117" s="116">
        <f>IFERROR(J117/J148, "NA")</f>
        <v>0</v>
      </c>
      <c r="L117" s="115">
        <v>0</v>
      </c>
      <c r="M117" s="116">
        <f>IFERROR(L117/L148, "NA")</f>
        <v>0</v>
      </c>
      <c r="N117" s="115">
        <v>0</v>
      </c>
      <c r="O117" s="116">
        <f>IFERROR(N117/N148, "NA")</f>
        <v>0</v>
      </c>
      <c r="P117" s="115">
        <v>0</v>
      </c>
      <c r="Q117" s="116">
        <f>IFERROR(P117/P148, "NA")</f>
        <v>0</v>
      </c>
      <c r="R117" s="115">
        <v>0</v>
      </c>
      <c r="S117" s="116">
        <f>IFERROR(R117/R148, "NA")</f>
        <v>0</v>
      </c>
      <c r="T117" s="115">
        <v>0</v>
      </c>
      <c r="U117" s="116">
        <f>IFERROR(T117/T148, "NA")</f>
        <v>0</v>
      </c>
      <c r="V117" s="115">
        <v>0</v>
      </c>
      <c r="W117" s="116">
        <f>IFERROR(V117/V148, "NA")</f>
        <v>0</v>
      </c>
      <c r="X117" s="115">
        <v>0</v>
      </c>
      <c r="Y117" s="116">
        <f>IFERROR(X117/X148, "NA")</f>
        <v>0</v>
      </c>
      <c r="Z117" s="115">
        <v>0</v>
      </c>
      <c r="AA117" s="116">
        <f>IFERROR(Z117/Z148, "NA")</f>
        <v>0</v>
      </c>
      <c r="AB117" s="117">
        <f t="shared" si="42"/>
        <v>0</v>
      </c>
      <c r="AC117" s="116">
        <f>IFERROR(AB117/AB148, "NA")</f>
        <v>0</v>
      </c>
      <c r="AD117" s="118">
        <f t="shared" si="43"/>
        <v>0</v>
      </c>
      <c r="AE117" s="119">
        <f>IFERROR(AD117/AD148, "NA")</f>
        <v>0</v>
      </c>
      <c r="AF117" s="118" t="str">
        <f t="shared" si="44"/>
        <v>NA</v>
      </c>
      <c r="AG117" s="117">
        <f t="shared" si="45"/>
        <v>0</v>
      </c>
      <c r="AH117" s="116">
        <f>IFERROR(AG117/AG148, "NA")</f>
        <v>0</v>
      </c>
      <c r="AI117" s="118">
        <f t="shared" si="46"/>
        <v>0</v>
      </c>
      <c r="AJ117" s="119">
        <f>IFERROR(AI117/AI148, "NA")</f>
        <v>0</v>
      </c>
      <c r="AK117" s="118" t="str">
        <f t="shared" si="47"/>
        <v>NA</v>
      </c>
      <c r="AL117" s="119" t="str">
        <f>IFERROR(AK117/AK148, "NA")</f>
        <v>NA</v>
      </c>
    </row>
    <row r="118" spans="1:38" ht="16.5" hidden="1" customHeight="1" x14ac:dyDescent="0.25">
      <c r="A118" s="2" t="s">
        <v>114</v>
      </c>
      <c r="B118" s="115">
        <v>0</v>
      </c>
      <c r="C118" s="116">
        <f>IFERROR(B118/B148, "NA")</f>
        <v>0</v>
      </c>
      <c r="D118" s="115">
        <v>0</v>
      </c>
      <c r="E118" s="116">
        <f>IFERROR(D118/D148, "NA")</f>
        <v>0</v>
      </c>
      <c r="F118" s="115">
        <v>0</v>
      </c>
      <c r="G118" s="116">
        <f>IFERROR(F118/F148, "NA")</f>
        <v>0</v>
      </c>
      <c r="H118" s="115">
        <v>0</v>
      </c>
      <c r="I118" s="116">
        <f>IFERROR(H118/H148, "NA")</f>
        <v>0</v>
      </c>
      <c r="J118" s="115">
        <v>0</v>
      </c>
      <c r="K118" s="116">
        <f>IFERROR(J118/J148, "NA")</f>
        <v>0</v>
      </c>
      <c r="L118" s="115">
        <v>0</v>
      </c>
      <c r="M118" s="116">
        <f>IFERROR(L118/L148, "NA")</f>
        <v>0</v>
      </c>
      <c r="N118" s="115">
        <v>0</v>
      </c>
      <c r="O118" s="116">
        <f>IFERROR(N118/N148, "NA")</f>
        <v>0</v>
      </c>
      <c r="P118" s="115">
        <v>0</v>
      </c>
      <c r="Q118" s="116">
        <f>IFERROR(P118/P148, "NA")</f>
        <v>0</v>
      </c>
      <c r="R118" s="115">
        <v>0</v>
      </c>
      <c r="S118" s="116">
        <f>IFERROR(R118/R148, "NA")</f>
        <v>0</v>
      </c>
      <c r="T118" s="115">
        <v>0</v>
      </c>
      <c r="U118" s="116">
        <f>IFERROR(T118/T148, "NA")</f>
        <v>0</v>
      </c>
      <c r="V118" s="115">
        <v>0</v>
      </c>
      <c r="W118" s="116">
        <f>IFERROR(V118/V148, "NA")</f>
        <v>0</v>
      </c>
      <c r="X118" s="115">
        <v>0</v>
      </c>
      <c r="Y118" s="116">
        <f>IFERROR(X118/X148, "NA")</f>
        <v>0</v>
      </c>
      <c r="Z118" s="115">
        <v>0</v>
      </c>
      <c r="AA118" s="116">
        <f>IFERROR(Z118/Z148, "NA")</f>
        <v>0</v>
      </c>
      <c r="AB118" s="117">
        <f t="shared" si="42"/>
        <v>0</v>
      </c>
      <c r="AC118" s="116">
        <f>IFERROR(AB118/AB148, "NA")</f>
        <v>0</v>
      </c>
      <c r="AD118" s="118">
        <f t="shared" si="43"/>
        <v>0</v>
      </c>
      <c r="AE118" s="119">
        <f>IFERROR(AD118/AD148, "NA")</f>
        <v>0</v>
      </c>
      <c r="AF118" s="118" t="str">
        <f t="shared" si="44"/>
        <v>NA</v>
      </c>
      <c r="AG118" s="117">
        <f t="shared" si="45"/>
        <v>0</v>
      </c>
      <c r="AH118" s="116">
        <f>IFERROR(AG118/AG148, "NA")</f>
        <v>0</v>
      </c>
      <c r="AI118" s="118">
        <f t="shared" si="46"/>
        <v>0</v>
      </c>
      <c r="AJ118" s="119">
        <f>IFERROR(AI118/AI148, "NA")</f>
        <v>0</v>
      </c>
      <c r="AK118" s="118" t="str">
        <f t="shared" si="47"/>
        <v>NA</v>
      </c>
      <c r="AL118" s="119" t="str">
        <f>IFERROR(AK118/AK148, "NA")</f>
        <v>NA</v>
      </c>
    </row>
    <row r="119" spans="1:38" ht="16.5" hidden="1" customHeight="1" x14ac:dyDescent="0.25">
      <c r="A119" s="2" t="s">
        <v>115</v>
      </c>
      <c r="B119" s="115">
        <v>0</v>
      </c>
      <c r="C119" s="116">
        <f>IFERROR(B119/B148, "NA")</f>
        <v>0</v>
      </c>
      <c r="D119" s="115">
        <v>0</v>
      </c>
      <c r="E119" s="116">
        <f>IFERROR(D119/D148, "NA")</f>
        <v>0</v>
      </c>
      <c r="F119" s="115">
        <v>0</v>
      </c>
      <c r="G119" s="116">
        <f>IFERROR(F119/F148, "NA")</f>
        <v>0</v>
      </c>
      <c r="H119" s="115">
        <v>0</v>
      </c>
      <c r="I119" s="116">
        <f>IFERROR(H119/H148, "NA")</f>
        <v>0</v>
      </c>
      <c r="J119" s="115">
        <v>0</v>
      </c>
      <c r="K119" s="116">
        <f>IFERROR(J119/J148, "NA")</f>
        <v>0</v>
      </c>
      <c r="L119" s="115">
        <v>0</v>
      </c>
      <c r="M119" s="116">
        <f>IFERROR(L119/L148, "NA")</f>
        <v>0</v>
      </c>
      <c r="N119" s="115">
        <v>0</v>
      </c>
      <c r="O119" s="116">
        <f>IFERROR(N119/N148, "NA")</f>
        <v>0</v>
      </c>
      <c r="P119" s="115">
        <v>0</v>
      </c>
      <c r="Q119" s="116">
        <f>IFERROR(P119/P148, "NA")</f>
        <v>0</v>
      </c>
      <c r="R119" s="115">
        <v>0</v>
      </c>
      <c r="S119" s="116">
        <f>IFERROR(R119/R148, "NA")</f>
        <v>0</v>
      </c>
      <c r="T119" s="115">
        <v>0</v>
      </c>
      <c r="U119" s="116">
        <f>IFERROR(T119/T148, "NA")</f>
        <v>0</v>
      </c>
      <c r="V119" s="115">
        <v>0</v>
      </c>
      <c r="W119" s="116">
        <f>IFERROR(V119/V148, "NA")</f>
        <v>0</v>
      </c>
      <c r="X119" s="115">
        <v>0</v>
      </c>
      <c r="Y119" s="116">
        <f>IFERROR(X119/X148, "NA")</f>
        <v>0</v>
      </c>
      <c r="Z119" s="115">
        <v>0</v>
      </c>
      <c r="AA119" s="116">
        <f>IFERROR(Z119/Z148, "NA")</f>
        <v>0</v>
      </c>
      <c r="AB119" s="117">
        <f t="shared" si="42"/>
        <v>0</v>
      </c>
      <c r="AC119" s="116">
        <f>IFERROR(AB119/AB148, "NA")</f>
        <v>0</v>
      </c>
      <c r="AD119" s="118">
        <f t="shared" si="43"/>
        <v>0</v>
      </c>
      <c r="AE119" s="119">
        <f>IFERROR(AD119/AD148, "NA")</f>
        <v>0</v>
      </c>
      <c r="AF119" s="118" t="str">
        <f t="shared" si="44"/>
        <v>NA</v>
      </c>
      <c r="AG119" s="117">
        <f t="shared" si="45"/>
        <v>0</v>
      </c>
      <c r="AH119" s="116">
        <f>IFERROR(AG119/AG148, "NA")</f>
        <v>0</v>
      </c>
      <c r="AI119" s="118">
        <f t="shared" si="46"/>
        <v>0</v>
      </c>
      <c r="AJ119" s="119">
        <f>IFERROR(AI119/AI148, "NA")</f>
        <v>0</v>
      </c>
      <c r="AK119" s="118" t="str">
        <f t="shared" si="47"/>
        <v>NA</v>
      </c>
      <c r="AL119" s="119" t="str">
        <f>IFERROR(AK119/AK148, "NA")</f>
        <v>NA</v>
      </c>
    </row>
    <row r="120" spans="1:38" ht="16.5" hidden="1" customHeight="1" x14ac:dyDescent="0.25">
      <c r="A120" s="2" t="s">
        <v>116</v>
      </c>
      <c r="B120" s="115">
        <v>0</v>
      </c>
      <c r="C120" s="116">
        <f>IFERROR(B120/B148, "NA")</f>
        <v>0</v>
      </c>
      <c r="D120" s="115">
        <v>0</v>
      </c>
      <c r="E120" s="116">
        <f>IFERROR(D120/D148, "NA")</f>
        <v>0</v>
      </c>
      <c r="F120" s="115">
        <v>0</v>
      </c>
      <c r="G120" s="116">
        <f>IFERROR(F120/F148, "NA")</f>
        <v>0</v>
      </c>
      <c r="H120" s="115">
        <v>0</v>
      </c>
      <c r="I120" s="116">
        <f>IFERROR(H120/H148, "NA")</f>
        <v>0</v>
      </c>
      <c r="J120" s="115">
        <v>0</v>
      </c>
      <c r="K120" s="116">
        <f>IFERROR(J120/J148, "NA")</f>
        <v>0</v>
      </c>
      <c r="L120" s="115">
        <v>0</v>
      </c>
      <c r="M120" s="116">
        <f>IFERROR(L120/L148, "NA")</f>
        <v>0</v>
      </c>
      <c r="N120" s="115">
        <v>0</v>
      </c>
      <c r="O120" s="116">
        <f>IFERROR(N120/N148, "NA")</f>
        <v>0</v>
      </c>
      <c r="P120" s="115">
        <v>0</v>
      </c>
      <c r="Q120" s="116">
        <f>IFERROR(P120/P148, "NA")</f>
        <v>0</v>
      </c>
      <c r="R120" s="115">
        <v>0</v>
      </c>
      <c r="S120" s="116">
        <f>IFERROR(R120/R148, "NA")</f>
        <v>0</v>
      </c>
      <c r="T120" s="115">
        <v>0</v>
      </c>
      <c r="U120" s="116">
        <f>IFERROR(T120/T148, "NA")</f>
        <v>0</v>
      </c>
      <c r="V120" s="115">
        <v>0</v>
      </c>
      <c r="W120" s="116">
        <f>IFERROR(V120/V148, "NA")</f>
        <v>0</v>
      </c>
      <c r="X120" s="115">
        <v>0</v>
      </c>
      <c r="Y120" s="116">
        <f>IFERROR(X120/X148, "NA")</f>
        <v>0</v>
      </c>
      <c r="Z120" s="115">
        <v>0</v>
      </c>
      <c r="AA120" s="116">
        <f>IFERROR(Z120/Z148, "NA")</f>
        <v>0</v>
      </c>
      <c r="AB120" s="117">
        <f t="shared" si="42"/>
        <v>0</v>
      </c>
      <c r="AC120" s="116">
        <f>IFERROR(AB120/AB148, "NA")</f>
        <v>0</v>
      </c>
      <c r="AD120" s="118">
        <f t="shared" si="43"/>
        <v>0</v>
      </c>
      <c r="AE120" s="119">
        <f>IFERROR(AD120/AD148, "NA")</f>
        <v>0</v>
      </c>
      <c r="AF120" s="118" t="str">
        <f t="shared" si="44"/>
        <v>NA</v>
      </c>
      <c r="AG120" s="117">
        <f t="shared" si="45"/>
        <v>0</v>
      </c>
      <c r="AH120" s="116">
        <f>IFERROR(AG120/AG148, "NA")</f>
        <v>0</v>
      </c>
      <c r="AI120" s="118">
        <f t="shared" si="46"/>
        <v>0</v>
      </c>
      <c r="AJ120" s="119">
        <f>IFERROR(AI120/AI148, "NA")</f>
        <v>0</v>
      </c>
      <c r="AK120" s="118" t="str">
        <f t="shared" si="47"/>
        <v>NA</v>
      </c>
      <c r="AL120" s="119" t="str">
        <f>IFERROR(AK120/AK148, "NA")</f>
        <v>NA</v>
      </c>
    </row>
    <row r="121" spans="1:38" ht="16.5" hidden="1" customHeight="1" x14ac:dyDescent="0.25">
      <c r="A121" s="2" t="s">
        <v>117</v>
      </c>
      <c r="B121" s="115">
        <v>0</v>
      </c>
      <c r="C121" s="116">
        <f>IFERROR(B121/B148, "NA")</f>
        <v>0</v>
      </c>
      <c r="D121" s="115">
        <v>0</v>
      </c>
      <c r="E121" s="116">
        <f>IFERROR(D121/D148, "NA")</f>
        <v>0</v>
      </c>
      <c r="F121" s="115">
        <v>0</v>
      </c>
      <c r="G121" s="116">
        <f>IFERROR(F121/F148, "NA")</f>
        <v>0</v>
      </c>
      <c r="H121" s="115">
        <v>0</v>
      </c>
      <c r="I121" s="116">
        <f>IFERROR(H121/H148, "NA")</f>
        <v>0</v>
      </c>
      <c r="J121" s="115">
        <v>0</v>
      </c>
      <c r="K121" s="116">
        <f>IFERROR(J121/J148, "NA")</f>
        <v>0</v>
      </c>
      <c r="L121" s="115">
        <v>0</v>
      </c>
      <c r="M121" s="116">
        <f>IFERROR(L121/L148, "NA")</f>
        <v>0</v>
      </c>
      <c r="N121" s="115">
        <v>0</v>
      </c>
      <c r="O121" s="116">
        <f>IFERROR(N121/N148, "NA")</f>
        <v>0</v>
      </c>
      <c r="P121" s="115">
        <v>0</v>
      </c>
      <c r="Q121" s="116">
        <f>IFERROR(P121/P148, "NA")</f>
        <v>0</v>
      </c>
      <c r="R121" s="115">
        <v>0</v>
      </c>
      <c r="S121" s="116">
        <f>IFERROR(R121/R148, "NA")</f>
        <v>0</v>
      </c>
      <c r="T121" s="115">
        <v>0</v>
      </c>
      <c r="U121" s="116">
        <f>IFERROR(T121/T148, "NA")</f>
        <v>0</v>
      </c>
      <c r="V121" s="115">
        <v>0</v>
      </c>
      <c r="W121" s="116">
        <f>IFERROR(V121/V148, "NA")</f>
        <v>0</v>
      </c>
      <c r="X121" s="115">
        <v>0</v>
      </c>
      <c r="Y121" s="116">
        <f>IFERROR(X121/X148, "NA")</f>
        <v>0</v>
      </c>
      <c r="Z121" s="115">
        <v>0</v>
      </c>
      <c r="AA121" s="116">
        <f>IFERROR(Z121/Z148, "NA")</f>
        <v>0</v>
      </c>
      <c r="AB121" s="117">
        <f t="shared" si="42"/>
        <v>0</v>
      </c>
      <c r="AC121" s="116">
        <f>IFERROR(AB121/AB148, "NA")</f>
        <v>0</v>
      </c>
      <c r="AD121" s="118">
        <f t="shared" si="43"/>
        <v>0</v>
      </c>
      <c r="AE121" s="119">
        <f>IFERROR(AD121/AD148, "NA")</f>
        <v>0</v>
      </c>
      <c r="AF121" s="118" t="str">
        <f t="shared" si="44"/>
        <v>NA</v>
      </c>
      <c r="AG121" s="117">
        <f t="shared" si="45"/>
        <v>0</v>
      </c>
      <c r="AH121" s="116">
        <f>IFERROR(AG121/AG148, "NA")</f>
        <v>0</v>
      </c>
      <c r="AI121" s="118">
        <f t="shared" si="46"/>
        <v>0</v>
      </c>
      <c r="AJ121" s="119">
        <f>IFERROR(AI121/AI148, "NA")</f>
        <v>0</v>
      </c>
      <c r="AK121" s="118" t="str">
        <f t="shared" si="47"/>
        <v>NA</v>
      </c>
      <c r="AL121" s="119" t="str">
        <f>IFERROR(AK121/AK148, "NA")</f>
        <v>NA</v>
      </c>
    </row>
    <row r="122" spans="1:38" ht="16.5" hidden="1" customHeight="1" x14ac:dyDescent="0.25">
      <c r="A122" s="2" t="s">
        <v>118</v>
      </c>
      <c r="B122" s="115">
        <v>0</v>
      </c>
      <c r="C122" s="116">
        <f>IFERROR(B122/B148, "NA")</f>
        <v>0</v>
      </c>
      <c r="D122" s="115">
        <v>0</v>
      </c>
      <c r="E122" s="116">
        <f>IFERROR(D122/D148, "NA")</f>
        <v>0</v>
      </c>
      <c r="F122" s="115">
        <v>0</v>
      </c>
      <c r="G122" s="116">
        <f>IFERROR(F122/F148, "NA")</f>
        <v>0</v>
      </c>
      <c r="H122" s="115">
        <v>0</v>
      </c>
      <c r="I122" s="116">
        <f>IFERROR(H122/H148, "NA")</f>
        <v>0</v>
      </c>
      <c r="J122" s="115">
        <v>0</v>
      </c>
      <c r="K122" s="116">
        <f>IFERROR(J122/J148, "NA")</f>
        <v>0</v>
      </c>
      <c r="L122" s="115">
        <v>0</v>
      </c>
      <c r="M122" s="116">
        <f>IFERROR(L122/L148, "NA")</f>
        <v>0</v>
      </c>
      <c r="N122" s="115">
        <v>0</v>
      </c>
      <c r="O122" s="116">
        <f>IFERROR(N122/N148, "NA")</f>
        <v>0</v>
      </c>
      <c r="P122" s="115">
        <v>0</v>
      </c>
      <c r="Q122" s="116">
        <f>IFERROR(P122/P148, "NA")</f>
        <v>0</v>
      </c>
      <c r="R122" s="115">
        <v>0</v>
      </c>
      <c r="S122" s="116">
        <f>IFERROR(R122/R148, "NA")</f>
        <v>0</v>
      </c>
      <c r="T122" s="115">
        <v>0</v>
      </c>
      <c r="U122" s="116">
        <f>IFERROR(T122/T148, "NA")</f>
        <v>0</v>
      </c>
      <c r="V122" s="115">
        <v>0</v>
      </c>
      <c r="W122" s="116">
        <f>IFERROR(V122/V148, "NA")</f>
        <v>0</v>
      </c>
      <c r="X122" s="115">
        <v>0</v>
      </c>
      <c r="Y122" s="116">
        <f>IFERROR(X122/X148, "NA")</f>
        <v>0</v>
      </c>
      <c r="Z122" s="115">
        <v>0</v>
      </c>
      <c r="AA122" s="116">
        <f>IFERROR(Z122/Z148, "NA")</f>
        <v>0</v>
      </c>
      <c r="AB122" s="117">
        <f t="shared" si="42"/>
        <v>0</v>
      </c>
      <c r="AC122" s="116">
        <f>IFERROR(AB122/AB148, "NA")</f>
        <v>0</v>
      </c>
      <c r="AD122" s="118">
        <f t="shared" si="43"/>
        <v>0</v>
      </c>
      <c r="AE122" s="119">
        <f>IFERROR(AD122/AD148, "NA")</f>
        <v>0</v>
      </c>
      <c r="AF122" s="118" t="str">
        <f t="shared" si="44"/>
        <v>NA</v>
      </c>
      <c r="AG122" s="117">
        <f t="shared" si="45"/>
        <v>0</v>
      </c>
      <c r="AH122" s="116">
        <f>IFERROR(AG122/AG148, "NA")</f>
        <v>0</v>
      </c>
      <c r="AI122" s="118">
        <f t="shared" si="46"/>
        <v>0</v>
      </c>
      <c r="AJ122" s="119">
        <f>IFERROR(AI122/AI148, "NA")</f>
        <v>0</v>
      </c>
      <c r="AK122" s="118" t="str">
        <f t="shared" si="47"/>
        <v>NA</v>
      </c>
      <c r="AL122" s="119" t="str">
        <f>IFERROR(AK122/AK148, "NA")</f>
        <v>NA</v>
      </c>
    </row>
    <row r="123" spans="1:38" ht="16.5" hidden="1" customHeight="1" x14ac:dyDescent="0.25">
      <c r="A123" s="2" t="s">
        <v>119</v>
      </c>
      <c r="B123" s="115">
        <v>0</v>
      </c>
      <c r="C123" s="116">
        <f>IFERROR(B123/B148, "NA")</f>
        <v>0</v>
      </c>
      <c r="D123" s="115">
        <v>0</v>
      </c>
      <c r="E123" s="116">
        <f>IFERROR(D123/D148, "NA")</f>
        <v>0</v>
      </c>
      <c r="F123" s="115">
        <v>0</v>
      </c>
      <c r="G123" s="116">
        <f>IFERROR(F123/F148, "NA")</f>
        <v>0</v>
      </c>
      <c r="H123" s="115">
        <v>0</v>
      </c>
      <c r="I123" s="116">
        <f>IFERROR(H123/H148, "NA")</f>
        <v>0</v>
      </c>
      <c r="J123" s="115">
        <v>0</v>
      </c>
      <c r="K123" s="116">
        <f>IFERROR(J123/J148, "NA")</f>
        <v>0</v>
      </c>
      <c r="L123" s="115">
        <v>0</v>
      </c>
      <c r="M123" s="116">
        <f>IFERROR(L123/L148, "NA")</f>
        <v>0</v>
      </c>
      <c r="N123" s="115">
        <v>0</v>
      </c>
      <c r="O123" s="116">
        <f>IFERROR(N123/N148, "NA")</f>
        <v>0</v>
      </c>
      <c r="P123" s="115">
        <v>0</v>
      </c>
      <c r="Q123" s="116">
        <f>IFERROR(P123/P148, "NA")</f>
        <v>0</v>
      </c>
      <c r="R123" s="115">
        <v>0</v>
      </c>
      <c r="S123" s="116">
        <f>IFERROR(R123/R148, "NA")</f>
        <v>0</v>
      </c>
      <c r="T123" s="115">
        <v>0</v>
      </c>
      <c r="U123" s="116">
        <f>IFERROR(T123/T148, "NA")</f>
        <v>0</v>
      </c>
      <c r="V123" s="115">
        <v>0</v>
      </c>
      <c r="W123" s="116">
        <f>IFERROR(V123/V148, "NA")</f>
        <v>0</v>
      </c>
      <c r="X123" s="115">
        <v>0</v>
      </c>
      <c r="Y123" s="116">
        <f>IFERROR(X123/X148, "NA")</f>
        <v>0</v>
      </c>
      <c r="Z123" s="115">
        <v>0</v>
      </c>
      <c r="AA123" s="116">
        <f>IFERROR(Z123/Z148, "NA")</f>
        <v>0</v>
      </c>
      <c r="AB123" s="117">
        <f t="shared" si="42"/>
        <v>0</v>
      </c>
      <c r="AC123" s="116">
        <f>IFERROR(AB123/AB148, "NA")</f>
        <v>0</v>
      </c>
      <c r="AD123" s="118">
        <f t="shared" si="43"/>
        <v>0</v>
      </c>
      <c r="AE123" s="119">
        <f>IFERROR(AD123/AD148, "NA")</f>
        <v>0</v>
      </c>
      <c r="AF123" s="118" t="str">
        <f t="shared" si="44"/>
        <v>NA</v>
      </c>
      <c r="AG123" s="117">
        <f t="shared" si="45"/>
        <v>0</v>
      </c>
      <c r="AH123" s="116">
        <f>IFERROR(AG123/AG148, "NA")</f>
        <v>0</v>
      </c>
      <c r="AI123" s="118">
        <f t="shared" si="46"/>
        <v>0</v>
      </c>
      <c r="AJ123" s="119">
        <f>IFERROR(AI123/AI148, "NA")</f>
        <v>0</v>
      </c>
      <c r="AK123" s="118" t="str">
        <f t="shared" si="47"/>
        <v>NA</v>
      </c>
      <c r="AL123" s="119" t="str">
        <f>IFERROR(AK123/AK148, "NA")</f>
        <v>NA</v>
      </c>
    </row>
    <row r="124" spans="1:38" ht="16.5" hidden="1" customHeight="1" x14ac:dyDescent="0.25">
      <c r="A124" s="2" t="s">
        <v>120</v>
      </c>
      <c r="B124" s="115">
        <v>0</v>
      </c>
      <c r="C124" s="116">
        <f>IFERROR(B124/B148, "NA")</f>
        <v>0</v>
      </c>
      <c r="D124" s="115">
        <v>0</v>
      </c>
      <c r="E124" s="116">
        <f>IFERROR(D124/D148, "NA")</f>
        <v>0</v>
      </c>
      <c r="F124" s="115">
        <v>0</v>
      </c>
      <c r="G124" s="116">
        <f>IFERROR(F124/F148, "NA")</f>
        <v>0</v>
      </c>
      <c r="H124" s="115">
        <v>0</v>
      </c>
      <c r="I124" s="116">
        <f>IFERROR(H124/H148, "NA")</f>
        <v>0</v>
      </c>
      <c r="J124" s="115">
        <v>0</v>
      </c>
      <c r="K124" s="116">
        <f>IFERROR(J124/J148, "NA")</f>
        <v>0</v>
      </c>
      <c r="L124" s="115">
        <v>0</v>
      </c>
      <c r="M124" s="116">
        <f>IFERROR(L124/L148, "NA")</f>
        <v>0</v>
      </c>
      <c r="N124" s="115">
        <v>0</v>
      </c>
      <c r="O124" s="116">
        <f>IFERROR(N124/N148, "NA")</f>
        <v>0</v>
      </c>
      <c r="P124" s="115">
        <v>0</v>
      </c>
      <c r="Q124" s="116">
        <f>IFERROR(P124/P148, "NA")</f>
        <v>0</v>
      </c>
      <c r="R124" s="115">
        <v>0</v>
      </c>
      <c r="S124" s="116">
        <f>IFERROR(R124/R148, "NA")</f>
        <v>0</v>
      </c>
      <c r="T124" s="115">
        <v>0</v>
      </c>
      <c r="U124" s="116">
        <f>IFERROR(T124/T148, "NA")</f>
        <v>0</v>
      </c>
      <c r="V124" s="115">
        <v>0</v>
      </c>
      <c r="W124" s="116">
        <f>IFERROR(V124/V148, "NA")</f>
        <v>0</v>
      </c>
      <c r="X124" s="115">
        <v>0</v>
      </c>
      <c r="Y124" s="116">
        <f>IFERROR(X124/X148, "NA")</f>
        <v>0</v>
      </c>
      <c r="Z124" s="115">
        <v>0</v>
      </c>
      <c r="AA124" s="116">
        <f>IFERROR(Z124/Z148, "NA")</f>
        <v>0</v>
      </c>
      <c r="AB124" s="117">
        <f t="shared" si="42"/>
        <v>0</v>
      </c>
      <c r="AC124" s="116">
        <f>IFERROR(AB124/AB148, "NA")</f>
        <v>0</v>
      </c>
      <c r="AD124" s="118">
        <f t="shared" si="43"/>
        <v>0</v>
      </c>
      <c r="AE124" s="119">
        <f>IFERROR(AD124/AD148, "NA")</f>
        <v>0</v>
      </c>
      <c r="AF124" s="118" t="str">
        <f t="shared" si="44"/>
        <v>NA</v>
      </c>
      <c r="AG124" s="117">
        <f t="shared" si="45"/>
        <v>0</v>
      </c>
      <c r="AH124" s="116">
        <f>IFERROR(AG124/AG148, "NA")</f>
        <v>0</v>
      </c>
      <c r="AI124" s="118">
        <f t="shared" si="46"/>
        <v>0</v>
      </c>
      <c r="AJ124" s="119">
        <f>IFERROR(AI124/AI148, "NA")</f>
        <v>0</v>
      </c>
      <c r="AK124" s="118" t="str">
        <f t="shared" si="47"/>
        <v>NA</v>
      </c>
      <c r="AL124" s="119" t="str">
        <f>IFERROR(AK124/AK148, "NA")</f>
        <v>NA</v>
      </c>
    </row>
    <row r="125" spans="1:38" ht="16.5" hidden="1" customHeight="1" x14ac:dyDescent="0.25">
      <c r="A125" s="2" t="s">
        <v>121</v>
      </c>
      <c r="B125" s="115">
        <v>0</v>
      </c>
      <c r="C125" s="116">
        <f>IFERROR(B125/B148, "NA")</f>
        <v>0</v>
      </c>
      <c r="D125" s="115">
        <v>0</v>
      </c>
      <c r="E125" s="116">
        <f>IFERROR(D125/D148, "NA")</f>
        <v>0</v>
      </c>
      <c r="F125" s="115">
        <v>0</v>
      </c>
      <c r="G125" s="116">
        <f>IFERROR(F125/F148, "NA")</f>
        <v>0</v>
      </c>
      <c r="H125" s="115">
        <v>0</v>
      </c>
      <c r="I125" s="116">
        <f>IFERROR(H125/H148, "NA")</f>
        <v>0</v>
      </c>
      <c r="J125" s="115">
        <v>0</v>
      </c>
      <c r="K125" s="116">
        <f>IFERROR(J125/J148, "NA")</f>
        <v>0</v>
      </c>
      <c r="L125" s="115">
        <v>0</v>
      </c>
      <c r="M125" s="116">
        <f>IFERROR(L125/L148, "NA")</f>
        <v>0</v>
      </c>
      <c r="N125" s="115">
        <v>0</v>
      </c>
      <c r="O125" s="116">
        <f>IFERROR(N125/N148, "NA")</f>
        <v>0</v>
      </c>
      <c r="P125" s="115">
        <v>0</v>
      </c>
      <c r="Q125" s="116">
        <f>IFERROR(P125/P148, "NA")</f>
        <v>0</v>
      </c>
      <c r="R125" s="115">
        <v>0</v>
      </c>
      <c r="S125" s="116">
        <f>IFERROR(R125/R148, "NA")</f>
        <v>0</v>
      </c>
      <c r="T125" s="115">
        <v>0</v>
      </c>
      <c r="U125" s="116">
        <f>IFERROR(T125/T148, "NA")</f>
        <v>0</v>
      </c>
      <c r="V125" s="115">
        <v>0</v>
      </c>
      <c r="W125" s="116">
        <f>IFERROR(V125/V148, "NA")</f>
        <v>0</v>
      </c>
      <c r="X125" s="115">
        <v>0</v>
      </c>
      <c r="Y125" s="116">
        <f>IFERROR(X125/X148, "NA")</f>
        <v>0</v>
      </c>
      <c r="Z125" s="115">
        <v>0</v>
      </c>
      <c r="AA125" s="116">
        <f>IFERROR(Z125/Z148, "NA")</f>
        <v>0</v>
      </c>
      <c r="AB125" s="117">
        <f t="shared" si="42"/>
        <v>0</v>
      </c>
      <c r="AC125" s="116">
        <f>IFERROR(AB125/AB148, "NA")</f>
        <v>0</v>
      </c>
      <c r="AD125" s="118">
        <f t="shared" si="43"/>
        <v>0</v>
      </c>
      <c r="AE125" s="119">
        <f>IFERROR(AD125/AD148, "NA")</f>
        <v>0</v>
      </c>
      <c r="AF125" s="118" t="str">
        <f t="shared" si="44"/>
        <v>NA</v>
      </c>
      <c r="AG125" s="117">
        <f t="shared" si="45"/>
        <v>0</v>
      </c>
      <c r="AH125" s="116">
        <f>IFERROR(AG125/AG148, "NA")</f>
        <v>0</v>
      </c>
      <c r="AI125" s="118">
        <f t="shared" si="46"/>
        <v>0</v>
      </c>
      <c r="AJ125" s="119">
        <f>IFERROR(AI125/AI148, "NA")</f>
        <v>0</v>
      </c>
      <c r="AK125" s="118" t="str">
        <f t="shared" si="47"/>
        <v>NA</v>
      </c>
      <c r="AL125" s="119" t="str">
        <f>IFERROR(AK125/AK148, "NA")</f>
        <v>NA</v>
      </c>
    </row>
    <row r="126" spans="1:38" ht="16.5" hidden="1" customHeight="1" x14ac:dyDescent="0.25">
      <c r="A126" s="2" t="s">
        <v>122</v>
      </c>
      <c r="B126" s="115">
        <v>0</v>
      </c>
      <c r="C126" s="116">
        <f>IFERROR(B126/B148, "NA")</f>
        <v>0</v>
      </c>
      <c r="D126" s="115">
        <v>0</v>
      </c>
      <c r="E126" s="116">
        <f>IFERROR(D126/D148, "NA")</f>
        <v>0</v>
      </c>
      <c r="F126" s="115">
        <v>0</v>
      </c>
      <c r="G126" s="116">
        <f>IFERROR(F126/F148, "NA")</f>
        <v>0</v>
      </c>
      <c r="H126" s="115">
        <v>0</v>
      </c>
      <c r="I126" s="116">
        <f>IFERROR(H126/H148, "NA")</f>
        <v>0</v>
      </c>
      <c r="J126" s="115">
        <v>0</v>
      </c>
      <c r="K126" s="116">
        <f>IFERROR(J126/J148, "NA")</f>
        <v>0</v>
      </c>
      <c r="L126" s="115">
        <v>0</v>
      </c>
      <c r="M126" s="116">
        <f>IFERROR(L126/L148, "NA")</f>
        <v>0</v>
      </c>
      <c r="N126" s="115">
        <v>0</v>
      </c>
      <c r="O126" s="116">
        <f>IFERROR(N126/N148, "NA")</f>
        <v>0</v>
      </c>
      <c r="P126" s="115">
        <v>0</v>
      </c>
      <c r="Q126" s="116">
        <f>IFERROR(P126/P148, "NA")</f>
        <v>0</v>
      </c>
      <c r="R126" s="115">
        <v>0</v>
      </c>
      <c r="S126" s="116">
        <f>IFERROR(R126/R148, "NA")</f>
        <v>0</v>
      </c>
      <c r="T126" s="115">
        <v>0</v>
      </c>
      <c r="U126" s="116">
        <f>IFERROR(T126/T148, "NA")</f>
        <v>0</v>
      </c>
      <c r="V126" s="115">
        <v>0</v>
      </c>
      <c r="W126" s="116">
        <f>IFERROR(V126/V148, "NA")</f>
        <v>0</v>
      </c>
      <c r="X126" s="115">
        <v>0</v>
      </c>
      <c r="Y126" s="116">
        <f>IFERROR(X126/X148, "NA")</f>
        <v>0</v>
      </c>
      <c r="Z126" s="115">
        <v>0</v>
      </c>
      <c r="AA126" s="116">
        <f>IFERROR(Z126/Z148, "NA")</f>
        <v>0</v>
      </c>
      <c r="AB126" s="117">
        <f t="shared" si="42"/>
        <v>0</v>
      </c>
      <c r="AC126" s="116">
        <f>IFERROR(AB126/AB148, "NA")</f>
        <v>0</v>
      </c>
      <c r="AD126" s="118">
        <f t="shared" si="43"/>
        <v>0</v>
      </c>
      <c r="AE126" s="119">
        <f>IFERROR(AD126/AD148, "NA")</f>
        <v>0</v>
      </c>
      <c r="AF126" s="118" t="str">
        <f t="shared" si="44"/>
        <v>NA</v>
      </c>
      <c r="AG126" s="117">
        <f t="shared" si="45"/>
        <v>0</v>
      </c>
      <c r="AH126" s="116">
        <f>IFERROR(AG126/AG148, "NA")</f>
        <v>0</v>
      </c>
      <c r="AI126" s="118">
        <f t="shared" si="46"/>
        <v>0</v>
      </c>
      <c r="AJ126" s="119">
        <f>IFERROR(AI126/AI148, "NA")</f>
        <v>0</v>
      </c>
      <c r="AK126" s="118" t="str">
        <f t="shared" si="47"/>
        <v>NA</v>
      </c>
      <c r="AL126" s="119" t="str">
        <f>IFERROR(AK126/AK148, "NA")</f>
        <v>NA</v>
      </c>
    </row>
    <row r="127" spans="1:38" ht="16.5" hidden="1" customHeight="1" x14ac:dyDescent="0.25">
      <c r="A127" s="2" t="s">
        <v>123</v>
      </c>
      <c r="B127" s="115">
        <v>0</v>
      </c>
      <c r="C127" s="116">
        <f>IFERROR(B127/B148, "NA")</f>
        <v>0</v>
      </c>
      <c r="D127" s="115">
        <v>0</v>
      </c>
      <c r="E127" s="116">
        <f>IFERROR(D127/D148, "NA")</f>
        <v>0</v>
      </c>
      <c r="F127" s="115">
        <v>0</v>
      </c>
      <c r="G127" s="116">
        <f>IFERROR(F127/F148, "NA")</f>
        <v>0</v>
      </c>
      <c r="H127" s="115">
        <v>0</v>
      </c>
      <c r="I127" s="116">
        <f>IFERROR(H127/H148, "NA")</f>
        <v>0</v>
      </c>
      <c r="J127" s="115">
        <v>0</v>
      </c>
      <c r="K127" s="116">
        <f>IFERROR(J127/J148, "NA")</f>
        <v>0</v>
      </c>
      <c r="L127" s="115">
        <v>0</v>
      </c>
      <c r="M127" s="116">
        <f>IFERROR(L127/L148, "NA")</f>
        <v>0</v>
      </c>
      <c r="N127" s="115">
        <v>0</v>
      </c>
      <c r="O127" s="116">
        <f>IFERROR(N127/N148, "NA")</f>
        <v>0</v>
      </c>
      <c r="P127" s="115">
        <v>0</v>
      </c>
      <c r="Q127" s="116">
        <f>IFERROR(P127/P148, "NA")</f>
        <v>0</v>
      </c>
      <c r="R127" s="115">
        <v>0</v>
      </c>
      <c r="S127" s="116">
        <f>IFERROR(R127/R148, "NA")</f>
        <v>0</v>
      </c>
      <c r="T127" s="115">
        <v>0</v>
      </c>
      <c r="U127" s="116">
        <f>IFERROR(T127/T148, "NA")</f>
        <v>0</v>
      </c>
      <c r="V127" s="115">
        <v>0</v>
      </c>
      <c r="W127" s="116">
        <f>IFERROR(V127/V148, "NA")</f>
        <v>0</v>
      </c>
      <c r="X127" s="115">
        <v>0</v>
      </c>
      <c r="Y127" s="116">
        <f>IFERROR(X127/X148, "NA")</f>
        <v>0</v>
      </c>
      <c r="Z127" s="115">
        <v>0</v>
      </c>
      <c r="AA127" s="116">
        <f>IFERROR(Z127/Z148, "NA")</f>
        <v>0</v>
      </c>
      <c r="AB127" s="117">
        <f t="shared" si="42"/>
        <v>0</v>
      </c>
      <c r="AC127" s="116">
        <f>IFERROR(AB127/AB148, "NA")</f>
        <v>0</v>
      </c>
      <c r="AD127" s="118">
        <f t="shared" si="43"/>
        <v>0</v>
      </c>
      <c r="AE127" s="119">
        <f>IFERROR(AD127/AD148, "NA")</f>
        <v>0</v>
      </c>
      <c r="AF127" s="118" t="str">
        <f t="shared" si="44"/>
        <v>NA</v>
      </c>
      <c r="AG127" s="117">
        <f t="shared" si="45"/>
        <v>0</v>
      </c>
      <c r="AH127" s="116">
        <f>IFERROR(AG127/AG148, "NA")</f>
        <v>0</v>
      </c>
      <c r="AI127" s="118">
        <f t="shared" si="46"/>
        <v>0</v>
      </c>
      <c r="AJ127" s="119">
        <f>IFERROR(AI127/AI148, "NA")</f>
        <v>0</v>
      </c>
      <c r="AK127" s="118" t="str">
        <f t="shared" si="47"/>
        <v>NA</v>
      </c>
      <c r="AL127" s="119" t="str">
        <f>IFERROR(AK127/AK148, "NA")</f>
        <v>NA</v>
      </c>
    </row>
    <row r="128" spans="1:38" ht="16.5" hidden="1" customHeight="1" x14ac:dyDescent="0.25">
      <c r="A128" s="2" t="s">
        <v>124</v>
      </c>
      <c r="B128" s="115">
        <v>-2220.35</v>
      </c>
      <c r="C128" s="116">
        <f>IFERROR(B128/B148, "NA")</f>
        <v>-4.6218929954804179E-2</v>
      </c>
      <c r="D128" s="115">
        <v>674.71</v>
      </c>
      <c r="E128" s="116">
        <f>IFERROR(D128/D148, "NA")</f>
        <v>1.6265750507287655E-2</v>
      </c>
      <c r="F128" s="115">
        <v>466.58999999999992</v>
      </c>
      <c r="G128" s="116">
        <f>IFERROR(F128/F148, "NA")</f>
        <v>9.3578541374895966E-3</v>
      </c>
      <c r="H128" s="115">
        <v>716.08999999999992</v>
      </c>
      <c r="I128" s="116">
        <f>IFERROR(H128/H148, "NA")</f>
        <v>1.3995306298425294E-2</v>
      </c>
      <c r="J128" s="115">
        <v>-1857.39</v>
      </c>
      <c r="K128" s="116">
        <f>IFERROR(J128/J148, "NA")</f>
        <v>-3.9205401399488811E-2</v>
      </c>
      <c r="L128" s="115">
        <v>787.88000000000011</v>
      </c>
      <c r="M128" s="116">
        <f>IFERROR(L128/L148, "NA")</f>
        <v>1.7869592887726032E-2</v>
      </c>
      <c r="N128" s="115">
        <v>906.13</v>
      </c>
      <c r="O128" s="116">
        <f>IFERROR(N128/N148, "NA")</f>
        <v>1.8279422824294185E-2</v>
      </c>
      <c r="P128" s="115">
        <v>1114.6500000000001</v>
      </c>
      <c r="Q128" s="116">
        <f>IFERROR(P128/P148, "NA")</f>
        <v>2.689369336677724E-2</v>
      </c>
      <c r="R128" s="115">
        <v>950.91</v>
      </c>
      <c r="S128" s="116">
        <f>IFERROR(R128/R148, "NA")</f>
        <v>2.4449166759870262E-2</v>
      </c>
      <c r="T128" s="115">
        <v>-3759.57</v>
      </c>
      <c r="U128" s="116">
        <f>IFERROR(T128/T148, "NA")</f>
        <v>-8.6234286820517661E-2</v>
      </c>
      <c r="V128" s="115">
        <v>1038.1699999999998</v>
      </c>
      <c r="W128" s="116">
        <f>IFERROR(V128/V148, "NA")</f>
        <v>2.1687350532193127E-2</v>
      </c>
      <c r="X128" s="115">
        <v>1114.6299999999999</v>
      </c>
      <c r="Y128" s="116">
        <f>IFERROR(X128/X148, "NA")</f>
        <v>2.0253155816820169E-2</v>
      </c>
      <c r="Z128" s="115">
        <v>2152.8000000000002</v>
      </c>
      <c r="AA128" s="116">
        <f>IFERROR(Z128/Z148, "NA")</f>
        <v>2.0920323188285243E-2</v>
      </c>
      <c r="AB128" s="117">
        <f t="shared" si="42"/>
        <v>-163.96500000000015</v>
      </c>
      <c r="AC128" s="116">
        <f>IFERROR(AB128/AB148, "NA")</f>
        <v>-3.5376314698064267E-3</v>
      </c>
      <c r="AD128" s="118">
        <f t="shared" si="43"/>
        <v>1278.595</v>
      </c>
      <c r="AE128" s="119">
        <f>IFERROR(AD128/AD148, "NA")</f>
        <v>0.14720059037038902</v>
      </c>
      <c r="AF128" s="118">
        <f t="shared" si="44"/>
        <v>-7.7979751776293655</v>
      </c>
      <c r="AG128" s="117">
        <f t="shared" si="45"/>
        <v>36.926249999999953</v>
      </c>
      <c r="AH128" s="116">
        <f>IFERROR(AG128/AG148, "NA")</f>
        <v>8.0300816137471125E-4</v>
      </c>
      <c r="AI128" s="118">
        <f t="shared" si="46"/>
        <v>1077.7037499999999</v>
      </c>
      <c r="AJ128" s="119">
        <f>IFERROR(AI128/AI148, "NA")</f>
        <v>0.11908355046088494</v>
      </c>
      <c r="AK128" s="118">
        <f t="shared" si="47"/>
        <v>29.185301783961307</v>
      </c>
      <c r="AL128" s="119">
        <f>IFERROR(AK128/AK148, "NA")</f>
        <v>148.29681214823475</v>
      </c>
    </row>
    <row r="129" spans="1:38" ht="16.5" hidden="1" customHeight="1" x14ac:dyDescent="0.25">
      <c r="A129" s="2" t="s">
        <v>125</v>
      </c>
      <c r="B129" s="115">
        <v>0</v>
      </c>
      <c r="C129" s="116">
        <f>IFERROR(B129/B148, "NA")</f>
        <v>0</v>
      </c>
      <c r="D129" s="115">
        <v>0</v>
      </c>
      <c r="E129" s="116">
        <f>IFERROR(D129/D148, "NA")</f>
        <v>0</v>
      </c>
      <c r="F129" s="115">
        <v>0</v>
      </c>
      <c r="G129" s="116">
        <f>IFERROR(F129/F148, "NA")</f>
        <v>0</v>
      </c>
      <c r="H129" s="115">
        <v>0</v>
      </c>
      <c r="I129" s="116">
        <f>IFERROR(H129/H148, "NA")</f>
        <v>0</v>
      </c>
      <c r="J129" s="115">
        <v>0</v>
      </c>
      <c r="K129" s="116">
        <f>IFERROR(J129/J148, "NA")</f>
        <v>0</v>
      </c>
      <c r="L129" s="115">
        <v>0</v>
      </c>
      <c r="M129" s="116">
        <f>IFERROR(L129/L148, "NA")</f>
        <v>0</v>
      </c>
      <c r="N129" s="115">
        <v>0</v>
      </c>
      <c r="O129" s="116">
        <f>IFERROR(N129/N148, "NA")</f>
        <v>0</v>
      </c>
      <c r="P129" s="115">
        <v>0</v>
      </c>
      <c r="Q129" s="116">
        <f>IFERROR(P129/P148, "NA")</f>
        <v>0</v>
      </c>
      <c r="R129" s="115">
        <v>0</v>
      </c>
      <c r="S129" s="116">
        <f>IFERROR(R129/R148, "NA")</f>
        <v>0</v>
      </c>
      <c r="T129" s="115">
        <v>0</v>
      </c>
      <c r="U129" s="116">
        <f>IFERROR(T129/T148, "NA")</f>
        <v>0</v>
      </c>
      <c r="V129" s="115">
        <v>0</v>
      </c>
      <c r="W129" s="116">
        <f>IFERROR(V129/V148, "NA")</f>
        <v>0</v>
      </c>
      <c r="X129" s="115">
        <v>0</v>
      </c>
      <c r="Y129" s="116">
        <f>IFERROR(X129/X148, "NA")</f>
        <v>0</v>
      </c>
      <c r="Z129" s="115">
        <v>0</v>
      </c>
      <c r="AA129" s="116">
        <f>IFERROR(Z129/Z148, "NA")</f>
        <v>0</v>
      </c>
      <c r="AB129" s="117">
        <f t="shared" si="42"/>
        <v>0</v>
      </c>
      <c r="AC129" s="116">
        <f>IFERROR(AB129/AB148, "NA")</f>
        <v>0</v>
      </c>
      <c r="AD129" s="118">
        <f t="shared" si="43"/>
        <v>0</v>
      </c>
      <c r="AE129" s="119">
        <f>IFERROR(AD129/AD148, "NA")</f>
        <v>0</v>
      </c>
      <c r="AF129" s="118" t="str">
        <f t="shared" si="44"/>
        <v>NA</v>
      </c>
      <c r="AG129" s="117">
        <f t="shared" si="45"/>
        <v>0</v>
      </c>
      <c r="AH129" s="116">
        <f>IFERROR(AG129/AG148, "NA")</f>
        <v>0</v>
      </c>
      <c r="AI129" s="118">
        <f t="shared" si="46"/>
        <v>0</v>
      </c>
      <c r="AJ129" s="119">
        <f>IFERROR(AI129/AI148, "NA")</f>
        <v>0</v>
      </c>
      <c r="AK129" s="118" t="str">
        <f t="shared" si="47"/>
        <v>NA</v>
      </c>
      <c r="AL129" s="119" t="str">
        <f>IFERROR(AK129/AK148, "NA")</f>
        <v>NA</v>
      </c>
    </row>
    <row r="130" spans="1:38" ht="16.5" hidden="1" customHeight="1" x14ac:dyDescent="0.25">
      <c r="A130" s="2" t="s">
        <v>126</v>
      </c>
      <c r="B130" s="115">
        <v>0</v>
      </c>
      <c r="C130" s="116">
        <f>IFERROR(B130/B148, "NA")</f>
        <v>0</v>
      </c>
      <c r="D130" s="115">
        <v>0</v>
      </c>
      <c r="E130" s="116">
        <f>IFERROR(D130/D148, "NA")</f>
        <v>0</v>
      </c>
      <c r="F130" s="115">
        <v>0</v>
      </c>
      <c r="G130" s="116">
        <f>IFERROR(F130/F148, "NA")</f>
        <v>0</v>
      </c>
      <c r="H130" s="115">
        <v>0</v>
      </c>
      <c r="I130" s="116">
        <f>IFERROR(H130/H148, "NA")</f>
        <v>0</v>
      </c>
      <c r="J130" s="115">
        <v>0</v>
      </c>
      <c r="K130" s="116">
        <f>IFERROR(J130/J148, "NA")</f>
        <v>0</v>
      </c>
      <c r="L130" s="115">
        <v>0</v>
      </c>
      <c r="M130" s="116">
        <f>IFERROR(L130/L148, "NA")</f>
        <v>0</v>
      </c>
      <c r="N130" s="115">
        <v>0</v>
      </c>
      <c r="O130" s="116">
        <f>IFERROR(N130/N148, "NA")</f>
        <v>0</v>
      </c>
      <c r="P130" s="115">
        <v>0</v>
      </c>
      <c r="Q130" s="116">
        <f>IFERROR(P130/P148, "NA")</f>
        <v>0</v>
      </c>
      <c r="R130" s="115">
        <v>0</v>
      </c>
      <c r="S130" s="116">
        <f>IFERROR(R130/R148, "NA")</f>
        <v>0</v>
      </c>
      <c r="T130" s="115">
        <v>0</v>
      </c>
      <c r="U130" s="116">
        <f>IFERROR(T130/T148, "NA")</f>
        <v>0</v>
      </c>
      <c r="V130" s="115">
        <v>0</v>
      </c>
      <c r="W130" s="116">
        <f>IFERROR(V130/V148, "NA")</f>
        <v>0</v>
      </c>
      <c r="X130" s="115">
        <v>0</v>
      </c>
      <c r="Y130" s="116">
        <f>IFERROR(X130/X148, "NA")</f>
        <v>0</v>
      </c>
      <c r="Z130" s="115">
        <v>0</v>
      </c>
      <c r="AA130" s="116">
        <f>IFERROR(Z130/Z148, "NA")</f>
        <v>0</v>
      </c>
      <c r="AB130" s="117">
        <f t="shared" si="42"/>
        <v>0</v>
      </c>
      <c r="AC130" s="116">
        <f>IFERROR(AB130/AB148, "NA")</f>
        <v>0</v>
      </c>
      <c r="AD130" s="118">
        <f t="shared" si="43"/>
        <v>0</v>
      </c>
      <c r="AE130" s="119">
        <f>IFERROR(AD130/AD148, "NA")</f>
        <v>0</v>
      </c>
      <c r="AF130" s="118" t="str">
        <f t="shared" si="44"/>
        <v>NA</v>
      </c>
      <c r="AG130" s="117">
        <f t="shared" si="45"/>
        <v>0</v>
      </c>
      <c r="AH130" s="116">
        <f>IFERROR(AG130/AG148, "NA")</f>
        <v>0</v>
      </c>
      <c r="AI130" s="118">
        <f t="shared" si="46"/>
        <v>0</v>
      </c>
      <c r="AJ130" s="119">
        <f>IFERROR(AI130/AI148, "NA")</f>
        <v>0</v>
      </c>
      <c r="AK130" s="118" t="str">
        <f t="shared" si="47"/>
        <v>NA</v>
      </c>
      <c r="AL130" s="119" t="str">
        <f>IFERROR(AK130/AK148, "NA")</f>
        <v>NA</v>
      </c>
    </row>
    <row r="131" spans="1:38" ht="16.5" hidden="1" customHeight="1" x14ac:dyDescent="0.25">
      <c r="A131" s="2" t="s">
        <v>127</v>
      </c>
      <c r="B131" s="115">
        <v>0</v>
      </c>
      <c r="C131" s="116">
        <f>IFERROR(B131/B148, "NA")</f>
        <v>0</v>
      </c>
      <c r="D131" s="115">
        <v>0</v>
      </c>
      <c r="E131" s="116">
        <f>IFERROR(D131/D148, "NA")</f>
        <v>0</v>
      </c>
      <c r="F131" s="115">
        <v>0</v>
      </c>
      <c r="G131" s="116">
        <f>IFERROR(F131/F148, "NA")</f>
        <v>0</v>
      </c>
      <c r="H131" s="115">
        <v>0</v>
      </c>
      <c r="I131" s="116">
        <f>IFERROR(H131/H148, "NA")</f>
        <v>0</v>
      </c>
      <c r="J131" s="115">
        <v>0</v>
      </c>
      <c r="K131" s="116">
        <f>IFERROR(J131/J148, "NA")</f>
        <v>0</v>
      </c>
      <c r="L131" s="115">
        <v>0</v>
      </c>
      <c r="M131" s="116">
        <f>IFERROR(L131/L148, "NA")</f>
        <v>0</v>
      </c>
      <c r="N131" s="115">
        <v>0</v>
      </c>
      <c r="O131" s="116">
        <f>IFERROR(N131/N148, "NA")</f>
        <v>0</v>
      </c>
      <c r="P131" s="115">
        <v>0</v>
      </c>
      <c r="Q131" s="116">
        <f>IFERROR(P131/P148, "NA")</f>
        <v>0</v>
      </c>
      <c r="R131" s="115">
        <v>0</v>
      </c>
      <c r="S131" s="116">
        <f>IFERROR(R131/R148, "NA")</f>
        <v>0</v>
      </c>
      <c r="T131" s="115">
        <v>0</v>
      </c>
      <c r="U131" s="116">
        <f>IFERROR(T131/T148, "NA")</f>
        <v>0</v>
      </c>
      <c r="V131" s="115">
        <v>0</v>
      </c>
      <c r="W131" s="116">
        <f>IFERROR(V131/V148, "NA")</f>
        <v>0</v>
      </c>
      <c r="X131" s="115">
        <v>0</v>
      </c>
      <c r="Y131" s="116">
        <f>IFERROR(X131/X148, "NA")</f>
        <v>0</v>
      </c>
      <c r="Z131" s="115">
        <v>0</v>
      </c>
      <c r="AA131" s="116">
        <f>IFERROR(Z131/Z148, "NA")</f>
        <v>0</v>
      </c>
      <c r="AB131" s="117">
        <f t="shared" si="42"/>
        <v>0</v>
      </c>
      <c r="AC131" s="116">
        <f>IFERROR(AB131/AB148, "NA")</f>
        <v>0</v>
      </c>
      <c r="AD131" s="118">
        <f t="shared" si="43"/>
        <v>0</v>
      </c>
      <c r="AE131" s="119">
        <f>IFERROR(AD131/AD148, "NA")</f>
        <v>0</v>
      </c>
      <c r="AF131" s="118" t="str">
        <f t="shared" si="44"/>
        <v>NA</v>
      </c>
      <c r="AG131" s="117">
        <f t="shared" si="45"/>
        <v>0</v>
      </c>
      <c r="AH131" s="116">
        <f>IFERROR(AG131/AG148, "NA")</f>
        <v>0</v>
      </c>
      <c r="AI131" s="118">
        <f t="shared" si="46"/>
        <v>0</v>
      </c>
      <c r="AJ131" s="119">
        <f>IFERROR(AI131/AI148, "NA")</f>
        <v>0</v>
      </c>
      <c r="AK131" s="118" t="str">
        <f t="shared" si="47"/>
        <v>NA</v>
      </c>
      <c r="AL131" s="119" t="str">
        <f>IFERROR(AK131/AK148, "NA")</f>
        <v>NA</v>
      </c>
    </row>
    <row r="132" spans="1:38" ht="16.5" hidden="1" customHeight="1" x14ac:dyDescent="0.25">
      <c r="A132" s="2" t="s">
        <v>128</v>
      </c>
      <c r="B132" s="115">
        <v>0</v>
      </c>
      <c r="C132" s="116">
        <f>IFERROR(B132/B148, "NA")</f>
        <v>0</v>
      </c>
      <c r="D132" s="115">
        <v>0</v>
      </c>
      <c r="E132" s="116">
        <f>IFERROR(D132/D148, "NA")</f>
        <v>0</v>
      </c>
      <c r="F132" s="115">
        <v>0</v>
      </c>
      <c r="G132" s="116">
        <f>IFERROR(F132/F148, "NA")</f>
        <v>0</v>
      </c>
      <c r="H132" s="115">
        <v>0</v>
      </c>
      <c r="I132" s="116">
        <f>IFERROR(H132/H148, "NA")</f>
        <v>0</v>
      </c>
      <c r="J132" s="115">
        <v>0</v>
      </c>
      <c r="K132" s="116">
        <f>IFERROR(J132/J148, "NA")</f>
        <v>0</v>
      </c>
      <c r="L132" s="115">
        <v>0</v>
      </c>
      <c r="M132" s="116">
        <f>IFERROR(L132/L148, "NA")</f>
        <v>0</v>
      </c>
      <c r="N132" s="115">
        <v>0</v>
      </c>
      <c r="O132" s="116">
        <f>IFERROR(N132/N148, "NA")</f>
        <v>0</v>
      </c>
      <c r="P132" s="115">
        <v>0</v>
      </c>
      <c r="Q132" s="116">
        <f>IFERROR(P132/P148, "NA")</f>
        <v>0</v>
      </c>
      <c r="R132" s="115">
        <v>0</v>
      </c>
      <c r="S132" s="116">
        <f>IFERROR(R132/R148, "NA")</f>
        <v>0</v>
      </c>
      <c r="T132" s="115">
        <v>0</v>
      </c>
      <c r="U132" s="116">
        <f>IFERROR(T132/T148, "NA")</f>
        <v>0</v>
      </c>
      <c r="V132" s="115">
        <v>0</v>
      </c>
      <c r="W132" s="116">
        <f>IFERROR(V132/V148, "NA")</f>
        <v>0</v>
      </c>
      <c r="X132" s="115">
        <v>0</v>
      </c>
      <c r="Y132" s="116">
        <f>IFERROR(X132/X148, "NA")</f>
        <v>0</v>
      </c>
      <c r="Z132" s="115">
        <v>0</v>
      </c>
      <c r="AA132" s="116">
        <f>IFERROR(Z132/Z148, "NA")</f>
        <v>0</v>
      </c>
      <c r="AB132" s="117">
        <f t="shared" si="42"/>
        <v>0</v>
      </c>
      <c r="AC132" s="116">
        <f>IFERROR(AB132/AB148, "NA")</f>
        <v>0</v>
      </c>
      <c r="AD132" s="118">
        <f t="shared" si="43"/>
        <v>0</v>
      </c>
      <c r="AE132" s="119">
        <f>IFERROR(AD132/AD148, "NA")</f>
        <v>0</v>
      </c>
      <c r="AF132" s="118" t="str">
        <f t="shared" si="44"/>
        <v>NA</v>
      </c>
      <c r="AG132" s="117">
        <f t="shared" si="45"/>
        <v>0</v>
      </c>
      <c r="AH132" s="116">
        <f>IFERROR(AG132/AG148, "NA")</f>
        <v>0</v>
      </c>
      <c r="AI132" s="118">
        <f t="shared" si="46"/>
        <v>0</v>
      </c>
      <c r="AJ132" s="119">
        <f>IFERROR(AI132/AI148, "NA")</f>
        <v>0</v>
      </c>
      <c r="AK132" s="118" t="str">
        <f t="shared" si="47"/>
        <v>NA</v>
      </c>
      <c r="AL132" s="119" t="str">
        <f>IFERROR(AK132/AK148, "NA")</f>
        <v>NA</v>
      </c>
    </row>
    <row r="133" spans="1:38" ht="16.5" hidden="1" customHeight="1" x14ac:dyDescent="0.25">
      <c r="A133" s="2" t="s">
        <v>129</v>
      </c>
      <c r="B133" s="115">
        <v>0</v>
      </c>
      <c r="C133" s="116">
        <f>IFERROR(B133/B148, "NA")</f>
        <v>0</v>
      </c>
      <c r="D133" s="115">
        <v>0</v>
      </c>
      <c r="E133" s="116">
        <f>IFERROR(D133/D148, "NA")</f>
        <v>0</v>
      </c>
      <c r="F133" s="115">
        <v>0</v>
      </c>
      <c r="G133" s="116">
        <f>IFERROR(F133/F148, "NA")</f>
        <v>0</v>
      </c>
      <c r="H133" s="115">
        <v>0</v>
      </c>
      <c r="I133" s="116">
        <f>IFERROR(H133/H148, "NA")</f>
        <v>0</v>
      </c>
      <c r="J133" s="115">
        <v>0</v>
      </c>
      <c r="K133" s="116">
        <f>IFERROR(J133/J148, "NA")</f>
        <v>0</v>
      </c>
      <c r="L133" s="115">
        <v>0</v>
      </c>
      <c r="M133" s="116">
        <f>IFERROR(L133/L148, "NA")</f>
        <v>0</v>
      </c>
      <c r="N133" s="115">
        <v>0</v>
      </c>
      <c r="O133" s="116">
        <f>IFERROR(N133/N148, "NA")</f>
        <v>0</v>
      </c>
      <c r="P133" s="115">
        <v>0</v>
      </c>
      <c r="Q133" s="116">
        <f>IFERROR(P133/P148, "NA")</f>
        <v>0</v>
      </c>
      <c r="R133" s="115">
        <v>0</v>
      </c>
      <c r="S133" s="116">
        <f>IFERROR(R133/R148, "NA")</f>
        <v>0</v>
      </c>
      <c r="T133" s="115">
        <v>0</v>
      </c>
      <c r="U133" s="116">
        <f>IFERROR(T133/T148, "NA")</f>
        <v>0</v>
      </c>
      <c r="V133" s="115">
        <v>0</v>
      </c>
      <c r="W133" s="116">
        <f>IFERROR(V133/V148, "NA")</f>
        <v>0</v>
      </c>
      <c r="X133" s="115">
        <v>0</v>
      </c>
      <c r="Y133" s="116">
        <f>IFERROR(X133/X148, "NA")</f>
        <v>0</v>
      </c>
      <c r="Z133" s="115">
        <v>0</v>
      </c>
      <c r="AA133" s="116">
        <f>IFERROR(Z133/Z148, "NA")</f>
        <v>0</v>
      </c>
      <c r="AB133" s="117">
        <f t="shared" si="42"/>
        <v>0</v>
      </c>
      <c r="AC133" s="116">
        <f>IFERROR(AB133/AB148, "NA")</f>
        <v>0</v>
      </c>
      <c r="AD133" s="118">
        <f t="shared" si="43"/>
        <v>0</v>
      </c>
      <c r="AE133" s="119">
        <f>IFERROR(AD133/AD148, "NA")</f>
        <v>0</v>
      </c>
      <c r="AF133" s="118" t="str">
        <f t="shared" si="44"/>
        <v>NA</v>
      </c>
      <c r="AG133" s="117">
        <f t="shared" si="45"/>
        <v>0</v>
      </c>
      <c r="AH133" s="116">
        <f>IFERROR(AG133/AG148, "NA")</f>
        <v>0</v>
      </c>
      <c r="AI133" s="118">
        <f t="shared" si="46"/>
        <v>0</v>
      </c>
      <c r="AJ133" s="119">
        <f>IFERROR(AI133/AI148, "NA")</f>
        <v>0</v>
      </c>
      <c r="AK133" s="118" t="str">
        <f t="shared" si="47"/>
        <v>NA</v>
      </c>
      <c r="AL133" s="119" t="str">
        <f>IFERROR(AK133/AK148, "NA")</f>
        <v>NA</v>
      </c>
    </row>
    <row r="134" spans="1:38" ht="16.5" hidden="1" customHeight="1" x14ac:dyDescent="0.25">
      <c r="A134" s="2" t="s">
        <v>130</v>
      </c>
      <c r="B134" s="115">
        <v>0</v>
      </c>
      <c r="C134" s="116">
        <f>IFERROR(B134/B148, "NA")</f>
        <v>0</v>
      </c>
      <c r="D134" s="115">
        <v>0</v>
      </c>
      <c r="E134" s="116">
        <f>IFERROR(D134/D148, "NA")</f>
        <v>0</v>
      </c>
      <c r="F134" s="115">
        <v>0</v>
      </c>
      <c r="G134" s="116">
        <f>IFERROR(F134/F148, "NA")</f>
        <v>0</v>
      </c>
      <c r="H134" s="115">
        <v>0</v>
      </c>
      <c r="I134" s="116">
        <f>IFERROR(H134/H148, "NA")</f>
        <v>0</v>
      </c>
      <c r="J134" s="115">
        <v>0</v>
      </c>
      <c r="K134" s="116">
        <f>IFERROR(J134/J148, "NA")</f>
        <v>0</v>
      </c>
      <c r="L134" s="115">
        <v>0</v>
      </c>
      <c r="M134" s="116">
        <f>IFERROR(L134/L148, "NA")</f>
        <v>0</v>
      </c>
      <c r="N134" s="115">
        <v>0</v>
      </c>
      <c r="O134" s="116">
        <f>IFERROR(N134/N148, "NA")</f>
        <v>0</v>
      </c>
      <c r="P134" s="115">
        <v>0</v>
      </c>
      <c r="Q134" s="116">
        <f>IFERROR(P134/P148, "NA")</f>
        <v>0</v>
      </c>
      <c r="R134" s="115">
        <v>0</v>
      </c>
      <c r="S134" s="116">
        <f>IFERROR(R134/R148, "NA")</f>
        <v>0</v>
      </c>
      <c r="T134" s="115">
        <v>0</v>
      </c>
      <c r="U134" s="116">
        <f>IFERROR(T134/T148, "NA")</f>
        <v>0</v>
      </c>
      <c r="V134" s="115">
        <v>0</v>
      </c>
      <c r="W134" s="116">
        <f>IFERROR(V134/V148, "NA")</f>
        <v>0</v>
      </c>
      <c r="X134" s="115">
        <v>0</v>
      </c>
      <c r="Y134" s="116">
        <f>IFERROR(X134/X148, "NA")</f>
        <v>0</v>
      </c>
      <c r="Z134" s="115">
        <v>0</v>
      </c>
      <c r="AA134" s="116">
        <f>IFERROR(Z134/Z148, "NA")</f>
        <v>0</v>
      </c>
      <c r="AB134" s="117">
        <f t="shared" si="42"/>
        <v>0</v>
      </c>
      <c r="AC134" s="116">
        <f>IFERROR(AB134/AB148, "NA")</f>
        <v>0</v>
      </c>
      <c r="AD134" s="118">
        <f t="shared" si="43"/>
        <v>0</v>
      </c>
      <c r="AE134" s="119">
        <f>IFERROR(AD134/AD148, "NA")</f>
        <v>0</v>
      </c>
      <c r="AF134" s="118" t="str">
        <f t="shared" si="44"/>
        <v>NA</v>
      </c>
      <c r="AG134" s="117">
        <f t="shared" si="45"/>
        <v>0</v>
      </c>
      <c r="AH134" s="116">
        <f>IFERROR(AG134/AG148, "NA")</f>
        <v>0</v>
      </c>
      <c r="AI134" s="118">
        <f t="shared" si="46"/>
        <v>0</v>
      </c>
      <c r="AJ134" s="119">
        <f>IFERROR(AI134/AI148, "NA")</f>
        <v>0</v>
      </c>
      <c r="AK134" s="118" t="str">
        <f t="shared" si="47"/>
        <v>NA</v>
      </c>
      <c r="AL134" s="119" t="str">
        <f>IFERROR(AK134/AK148, "NA")</f>
        <v>NA</v>
      </c>
    </row>
    <row r="135" spans="1:38" ht="16.5" hidden="1" customHeight="1" x14ac:dyDescent="0.25">
      <c r="A135" s="120" t="s">
        <v>131</v>
      </c>
      <c r="B135" s="121">
        <f>IFERROR(B110+B111+B112+B113+B114+B115+B116+B117+B118+B119+B120+B121+B122+B123+B124+B125+B126+B127+B128+B129+B130+B131+B132+B133+B134, "NA")</f>
        <v>-2220.35</v>
      </c>
      <c r="C135" s="122">
        <f>IFERROR(B135/B148, "NA")</f>
        <v>-4.6218929954804179E-2</v>
      </c>
      <c r="D135" s="121">
        <f>IFERROR(D110+D111+D112+D113+D114+D115+D116+D117+D118+D119+D120+D121+D122+D123+D124+D125+D126+D127+D128+D129+D130+D131+D132+D133+D134, "NA")</f>
        <v>674.71</v>
      </c>
      <c r="E135" s="122">
        <f>IFERROR(D135/D148, "NA")</f>
        <v>1.6265750507287655E-2</v>
      </c>
      <c r="F135" s="121">
        <f>IFERROR(F110+F111+F112+F113+F114+F115+F116+F117+F118+F119+F120+F121+F122+F123+F124+F125+F126+F127+F128+F129+F130+F131+F132+F133+F134, "NA")</f>
        <v>466.58999999999992</v>
      </c>
      <c r="G135" s="122">
        <f>IFERROR(F135/F148, "NA")</f>
        <v>9.3578541374895966E-3</v>
      </c>
      <c r="H135" s="121">
        <f>IFERROR(H110+H111+H112+H113+H114+H115+H116+H117+H118+H119+H120+H121+H122+H123+H124+H125+H126+H127+H128+H129+H130+H131+H132+H133+H134, "NA")</f>
        <v>716.08999999999992</v>
      </c>
      <c r="I135" s="122">
        <f>IFERROR(H135/H148, "NA")</f>
        <v>1.3995306298425294E-2</v>
      </c>
      <c r="J135" s="121">
        <f>IFERROR(J110+J111+J112+J113+J114+J115+J116+J117+J118+J119+J120+J121+J122+J123+J124+J125+J126+J127+J128+J129+J130+J131+J132+J133+J134, "NA")</f>
        <v>-1857.39</v>
      </c>
      <c r="K135" s="122">
        <f>IFERROR(J135/J148, "NA")</f>
        <v>-3.9205401399488811E-2</v>
      </c>
      <c r="L135" s="121">
        <f>IFERROR(L110+L111+L112+L113+L114+L115+L116+L117+L118+L119+L120+L121+L122+L123+L124+L125+L126+L127+L128+L129+L130+L131+L132+L133+L134, "NA")</f>
        <v>787.88000000000011</v>
      </c>
      <c r="M135" s="122">
        <f>IFERROR(L135/L148, "NA")</f>
        <v>1.7869592887726032E-2</v>
      </c>
      <c r="N135" s="121">
        <f>IFERROR(N110+N111+N112+N113+N114+N115+N116+N117+N118+N119+N120+N121+N122+N123+N124+N125+N126+N127+N128+N129+N130+N131+N132+N133+N134, "NA")</f>
        <v>906.13</v>
      </c>
      <c r="O135" s="122">
        <f>IFERROR(N135/N148, "NA")</f>
        <v>1.8279422824294185E-2</v>
      </c>
      <c r="P135" s="121">
        <f>IFERROR(P110+P111+P112+P113+P114+P115+P116+P117+P118+P119+P120+P121+P122+P123+P124+P125+P126+P127+P128+P129+P130+P131+P132+P133+P134, "NA")</f>
        <v>1114.6500000000001</v>
      </c>
      <c r="Q135" s="122">
        <f>IFERROR(P135/P148, "NA")</f>
        <v>2.689369336677724E-2</v>
      </c>
      <c r="R135" s="121">
        <f>IFERROR(R110+R111+R112+R113+R114+R115+R116+R117+R118+R119+R120+R121+R122+R123+R124+R125+R126+R127+R128+R129+R130+R131+R132+R133+R134, "NA")</f>
        <v>950.91</v>
      </c>
      <c r="S135" s="122">
        <f>IFERROR(R135/R148, "NA")</f>
        <v>2.4449166759870262E-2</v>
      </c>
      <c r="T135" s="121">
        <f>IFERROR(T110+T111+T112+T113+T114+T115+T116+T117+T118+T119+T120+T121+T122+T123+T124+T125+T126+T127+T128+T129+T130+T131+T132+T133+T134, "NA")</f>
        <v>-3759.57</v>
      </c>
      <c r="U135" s="122">
        <f>IFERROR(T135/T148, "NA")</f>
        <v>-8.6234286820517661E-2</v>
      </c>
      <c r="V135" s="121">
        <f>IFERROR(V110+V111+V112+V113+V114+V115+V116+V117+V118+V119+V120+V121+V122+V123+V124+V125+V126+V127+V128+V129+V130+V131+V132+V133+V134, "NA")</f>
        <v>1038.1699999999998</v>
      </c>
      <c r="W135" s="122">
        <f>IFERROR(V135/V148, "NA")</f>
        <v>2.1687350532193127E-2</v>
      </c>
      <c r="X135" s="121">
        <f>IFERROR(X110+X111+X112+X113+X114+X115+X116+X117+X118+X119+X120+X121+X122+X123+X124+X125+X126+X127+X128+X129+X130+X131+X132+X133+X134, "NA")</f>
        <v>1114.6299999999999</v>
      </c>
      <c r="Y135" s="122">
        <f>IFERROR(X135/X148, "NA")</f>
        <v>2.0253155816820169E-2</v>
      </c>
      <c r="Z135" s="121">
        <f>IFERROR(Z110+Z111+Z112+Z113+Z114+Z115+Z116+Z117+Z118+Z119+Z120+Z121+Z122+Z123+Z124+Z125+Z126+Z127+Z128+Z129+Z130+Z131+Z132+Z133+Z134, "NA")</f>
        <v>2152.8000000000002</v>
      </c>
      <c r="AA135" s="122">
        <f>IFERROR(Z135/Z148, "NA")</f>
        <v>2.0920323188285243E-2</v>
      </c>
      <c r="AB135" s="121">
        <f t="shared" si="42"/>
        <v>-163.96500000000015</v>
      </c>
      <c r="AC135" s="122">
        <f>IFERROR(AB135/AB148, "NA")</f>
        <v>-3.5376314698064267E-3</v>
      </c>
      <c r="AD135" s="123">
        <f t="shared" si="43"/>
        <v>1278.595</v>
      </c>
      <c r="AE135" s="124">
        <f>IFERROR(AD135/AD148, "NA")</f>
        <v>0.14720059037038902</v>
      </c>
      <c r="AF135" s="123">
        <f t="shared" si="44"/>
        <v>-7.7979751776293655</v>
      </c>
      <c r="AG135" s="121">
        <f t="shared" si="45"/>
        <v>36.926249999999953</v>
      </c>
      <c r="AH135" s="122">
        <f>IFERROR(AG135/AG148, "NA")</f>
        <v>8.0300816137471125E-4</v>
      </c>
      <c r="AI135" s="123">
        <f t="shared" si="46"/>
        <v>1077.7037499999999</v>
      </c>
      <c r="AJ135" s="124">
        <f>IFERROR(AI135/AI148, "NA")</f>
        <v>0.11908355046088494</v>
      </c>
      <c r="AK135" s="123">
        <f t="shared" si="47"/>
        <v>29.185301783961307</v>
      </c>
      <c r="AL135" s="124">
        <f>IFERROR(AK135/AK148, "NA")</f>
        <v>148.29681214823475</v>
      </c>
    </row>
    <row r="136" spans="1:38" ht="16.5" hidden="1" customHeight="1" x14ac:dyDescent="0.25">
      <c r="A136" s="8" t="s">
        <v>2</v>
      </c>
      <c r="B136" s="138"/>
      <c r="C136" s="126"/>
      <c r="D136" s="138"/>
      <c r="E136" s="126"/>
      <c r="F136" s="138"/>
      <c r="G136" s="126"/>
      <c r="H136" s="138"/>
      <c r="I136" s="126"/>
      <c r="J136" s="138"/>
      <c r="K136" s="126"/>
      <c r="L136" s="138"/>
      <c r="M136" s="126"/>
      <c r="N136" s="138"/>
      <c r="O136" s="126"/>
      <c r="P136" s="138"/>
      <c r="Q136" s="126"/>
      <c r="R136" s="138"/>
      <c r="S136" s="126"/>
      <c r="T136" s="138"/>
      <c r="U136" s="126"/>
      <c r="V136" s="138"/>
      <c r="W136" s="126"/>
      <c r="X136" s="138"/>
      <c r="Y136" s="126"/>
      <c r="Z136" s="138"/>
      <c r="AA136" s="126"/>
      <c r="AB136" s="138"/>
      <c r="AC136" s="126"/>
      <c r="AD136" s="139"/>
      <c r="AE136" s="128"/>
      <c r="AF136" s="139"/>
      <c r="AG136" s="138"/>
      <c r="AH136" s="126"/>
      <c r="AI136" s="139"/>
      <c r="AJ136" s="128"/>
      <c r="AK136" s="139"/>
      <c r="AL136" s="128"/>
    </row>
    <row r="137" spans="1:38" ht="16.5" hidden="1" customHeight="1" x14ac:dyDescent="0.25">
      <c r="A137" s="135" t="s">
        <v>132</v>
      </c>
      <c r="B137" s="136">
        <f>IFERROR(B107-B135, "NA")</f>
        <v>-43.289999999992233</v>
      </c>
      <c r="C137" s="137">
        <f>IFERROR(B137/B148, "NA")</f>
        <v>-9.0112706453627318E-4</v>
      </c>
      <c r="D137" s="136">
        <f>IFERROR(D107-D135, "NA")</f>
        <v>13085.319999999996</v>
      </c>
      <c r="E137" s="137">
        <f>IFERROR(D137/D148, "NA")</f>
        <v>0.31545782695976232</v>
      </c>
      <c r="F137" s="136">
        <f>IFERROR(F107-F135, "NA")</f>
        <v>12900.609999999988</v>
      </c>
      <c r="G137" s="137">
        <f>IFERROR(F137/F148, "NA")</f>
        <v>0.25873256320246807</v>
      </c>
      <c r="H137" s="136">
        <f>IFERROR(H107-H135, "NA")</f>
        <v>3933.2900000000127</v>
      </c>
      <c r="I137" s="137">
        <f>IFERROR(H137/H148, "NA")</f>
        <v>7.6872457806327982E-2</v>
      </c>
      <c r="J137" s="136">
        <f>IFERROR(J107-J135, "NA")</f>
        <v>-6882.7299999999914</v>
      </c>
      <c r="K137" s="137">
        <f>IFERROR(J137/J148, "NA")</f>
        <v>-0.1452792318114684</v>
      </c>
      <c r="L137" s="136">
        <f>IFERROR(L107-L135, "NA")</f>
        <v>14027.140000000007</v>
      </c>
      <c r="M137" s="137">
        <f>IFERROR(L137/L148, "NA")</f>
        <v>0.318143982813547</v>
      </c>
      <c r="N137" s="136">
        <f>IFERROR(N107-N135, "NA")</f>
        <v>14649.060000000005</v>
      </c>
      <c r="O137" s="137">
        <f>IFERROR(N137/N148, "NA")</f>
        <v>0.29551649511488975</v>
      </c>
      <c r="P137" s="136">
        <f>IFERROR(P107-P135, "NA")</f>
        <v>10706.56</v>
      </c>
      <c r="Q137" s="137">
        <f>IFERROR(P137/P148, "NA")</f>
        <v>0.25832229099089621</v>
      </c>
      <c r="R137" s="136">
        <f>IFERROR(R107-R135, "NA")</f>
        <v>714.7299999999949</v>
      </c>
      <c r="S137" s="137">
        <f>IFERROR(R137/R148, "NA")</f>
        <v>1.8376663362759827E-2</v>
      </c>
      <c r="T137" s="136">
        <f>IFERROR(T107-T135, "NA")</f>
        <v>-1847.2400000000011</v>
      </c>
      <c r="U137" s="137">
        <f>IFERROR(T137/T148, "NA")</f>
        <v>-4.2370649831319308E-2</v>
      </c>
      <c r="V137" s="136">
        <f>IFERROR(V107-V135, "NA")</f>
        <v>14877.820000000007</v>
      </c>
      <c r="W137" s="137">
        <f>IFERROR(V137/V148, "NA")</f>
        <v>0.31079736218044612</v>
      </c>
      <c r="X137" s="136">
        <f>IFERROR(X107-X135, "NA")</f>
        <v>21566.390000000007</v>
      </c>
      <c r="Y137" s="137">
        <f>IFERROR(X137/X148, "NA")</f>
        <v>0.39186766646897397</v>
      </c>
      <c r="Z137" s="136">
        <f>IFERROR(Z107-Z135, "NA")</f>
        <v>36444.21</v>
      </c>
      <c r="AA137" s="137">
        <f>IFERROR(Z137/Z148, "NA")</f>
        <v>0.35415489202050204</v>
      </c>
      <c r="AB137" s="136">
        <f>IFERROR((R137+T137+V137+X137)/4, "NA")</f>
        <v>8827.9250000000029</v>
      </c>
      <c r="AC137" s="137">
        <f>IFERROR(AB137/AB148, "NA")</f>
        <v>0.19046714416546753</v>
      </c>
      <c r="AD137" s="123">
        <f>IFERROR(X137-AB137, "NA")</f>
        <v>12738.465000000004</v>
      </c>
      <c r="AE137" s="124">
        <f>IFERROR(AD137/AD148, "NA")</f>
        <v>1.4665391061380171</v>
      </c>
      <c r="AF137" s="123">
        <f>IFERROR((X137-AB137)/AB137, "NA")</f>
        <v>1.4429738585228125</v>
      </c>
      <c r="AG137" s="136">
        <f>IFERROR((J137+L137+N137+P137+R137+T137+V137+X137)/8, "NA")</f>
        <v>8476.4662500000049</v>
      </c>
      <c r="AH137" s="137">
        <f>IFERROR(AG137/AG148, "NA")</f>
        <v>0.18433151425794134</v>
      </c>
      <c r="AI137" s="123">
        <f>IFERROR(X137-AG137, "NA")</f>
        <v>13089.923750000002</v>
      </c>
      <c r="AJ137" s="124">
        <f>IFERROR(AI137/AI148, "NA")</f>
        <v>1.4464036108367087</v>
      </c>
      <c r="AK137" s="123">
        <f>IFERROR((X137-AG137)/AG137, "NA")</f>
        <v>1.5442666040226367</v>
      </c>
      <c r="AL137" s="124">
        <f>IFERROR(AK137/AK148, "NA")</f>
        <v>7.8467516347351607</v>
      </c>
    </row>
    <row r="138" spans="1:38" ht="3.75" hidden="1" customHeight="1" x14ac:dyDescent="0.25">
      <c r="A138" s="8" t="s">
        <v>2</v>
      </c>
      <c r="B138" s="138"/>
      <c r="C138" s="126"/>
      <c r="D138" s="138"/>
      <c r="E138" s="126"/>
      <c r="F138" s="138"/>
      <c r="G138" s="126"/>
      <c r="H138" s="138"/>
      <c r="I138" s="126"/>
      <c r="J138" s="138"/>
      <c r="K138" s="126"/>
      <c r="L138" s="138"/>
      <c r="M138" s="126"/>
      <c r="N138" s="138"/>
      <c r="O138" s="126"/>
      <c r="P138" s="138"/>
      <c r="Q138" s="126"/>
      <c r="R138" s="138"/>
      <c r="S138" s="126"/>
      <c r="T138" s="138"/>
      <c r="U138" s="126"/>
      <c r="V138" s="138"/>
      <c r="W138" s="126"/>
      <c r="X138" s="138"/>
      <c r="Y138" s="126"/>
      <c r="Z138" s="138"/>
      <c r="AA138" s="126"/>
      <c r="AB138" s="138"/>
      <c r="AC138" s="126"/>
      <c r="AD138" s="139"/>
      <c r="AE138" s="128"/>
      <c r="AF138" s="139"/>
      <c r="AG138" s="138"/>
      <c r="AH138" s="126"/>
      <c r="AI138" s="139"/>
      <c r="AJ138" s="128"/>
      <c r="AK138" s="139"/>
      <c r="AL138" s="128"/>
    </row>
    <row r="139" spans="1:38" ht="16.5" hidden="1" customHeight="1" x14ac:dyDescent="0.25">
      <c r="A139" s="1" t="s">
        <v>133</v>
      </c>
      <c r="B139" s="111"/>
      <c r="C139" s="112"/>
      <c r="D139" s="111"/>
      <c r="E139" s="112"/>
      <c r="F139" s="111"/>
      <c r="G139" s="112"/>
      <c r="H139" s="111"/>
      <c r="I139" s="112"/>
      <c r="J139" s="111"/>
      <c r="K139" s="112"/>
      <c r="L139" s="111"/>
      <c r="M139" s="112"/>
      <c r="N139" s="111"/>
      <c r="O139" s="112"/>
      <c r="P139" s="111"/>
      <c r="Q139" s="112"/>
      <c r="R139" s="111"/>
      <c r="S139" s="112"/>
      <c r="T139" s="111"/>
      <c r="U139" s="112"/>
      <c r="V139" s="111"/>
      <c r="W139" s="112"/>
      <c r="X139" s="111"/>
      <c r="Y139" s="112"/>
      <c r="Z139" s="111"/>
      <c r="AA139" s="112"/>
      <c r="AB139" s="111"/>
      <c r="AC139" s="112"/>
      <c r="AD139" s="113"/>
      <c r="AE139" s="114"/>
      <c r="AF139" s="113"/>
      <c r="AG139" s="111"/>
      <c r="AH139" s="112"/>
      <c r="AI139" s="113"/>
      <c r="AJ139" s="114"/>
      <c r="AK139" s="113"/>
      <c r="AL139" s="114"/>
    </row>
    <row r="140" spans="1:38" ht="16.5" hidden="1" customHeight="1" x14ac:dyDescent="0.25">
      <c r="A140" s="2" t="s">
        <v>134</v>
      </c>
      <c r="B140" s="115">
        <v>5418.4000000000005</v>
      </c>
      <c r="C140" s="116">
        <f>IFERROR(B140/B148, "NA")</f>
        <v>0.11278971786750333</v>
      </c>
      <c r="D140" s="115">
        <v>0</v>
      </c>
      <c r="E140" s="116">
        <f>IFERROR(D140/D148, "NA")</f>
        <v>0</v>
      </c>
      <c r="F140" s="115">
        <v>0</v>
      </c>
      <c r="G140" s="116">
        <f>IFERROR(F140/F148, "NA")</f>
        <v>0</v>
      </c>
      <c r="H140" s="115">
        <v>-10</v>
      </c>
      <c r="I140" s="116">
        <f>IFERROR(H140/H148, "NA")</f>
        <v>-1.9544060520919571E-4</v>
      </c>
      <c r="J140" s="115">
        <v>5856.3499999999995</v>
      </c>
      <c r="K140" s="116">
        <f>IFERROR(J140/J148, "NA")</f>
        <v>0.1236146164703677</v>
      </c>
      <c r="L140" s="115">
        <v>0</v>
      </c>
      <c r="M140" s="116">
        <f>IFERROR(L140/L148, "NA")</f>
        <v>0</v>
      </c>
      <c r="N140" s="115">
        <v>0</v>
      </c>
      <c r="O140" s="116">
        <f>IFERROR(N140/N148, "NA")</f>
        <v>0</v>
      </c>
      <c r="P140" s="115">
        <v>0</v>
      </c>
      <c r="Q140" s="116">
        <f>IFERROR(P140/P148, "NA")</f>
        <v>0</v>
      </c>
      <c r="R140" s="115">
        <v>-118.18</v>
      </c>
      <c r="S140" s="116">
        <f>IFERROR(R140/R148, "NA")</f>
        <v>-3.0385657188182558E-3</v>
      </c>
      <c r="T140" s="115">
        <v>5851.28</v>
      </c>
      <c r="U140" s="116">
        <f>IFERROR(T140/T148, "NA")</f>
        <v>0.1342124120011487</v>
      </c>
      <c r="V140" s="115">
        <v>0</v>
      </c>
      <c r="W140" s="116">
        <f>IFERROR(V140/V148, "NA")</f>
        <v>0</v>
      </c>
      <c r="X140" s="115">
        <v>0</v>
      </c>
      <c r="Y140" s="116">
        <f>IFERROR(X140/X148, "NA")</f>
        <v>0</v>
      </c>
      <c r="Z140" s="115">
        <v>0</v>
      </c>
      <c r="AA140" s="116">
        <f>IFERROR(Z140/Z148, "NA")</f>
        <v>0</v>
      </c>
      <c r="AB140" s="117">
        <f>IFERROR((R140+T140+V140+X140)/4, "NA")</f>
        <v>1433.2749999999999</v>
      </c>
      <c r="AC140" s="116">
        <f>IFERROR(AB140/AB148, "NA")</f>
        <v>3.0923665080272018E-2</v>
      </c>
      <c r="AD140" s="118">
        <f>IFERROR(X140-AB140, "NA")</f>
        <v>-1433.2749999999999</v>
      </c>
      <c r="AE140" s="119">
        <f>IFERROR(AD140/AD148, "NA")</f>
        <v>-0.16500840857591284</v>
      </c>
      <c r="AF140" s="118">
        <f>IFERROR((X140-AB140)/AB140, "NA")</f>
        <v>-1</v>
      </c>
      <c r="AG140" s="117">
        <f>IFERROR((J140+L140+N140+P140+R140+T140+V140+X140)/8, "NA")</f>
        <v>1448.6812499999999</v>
      </c>
      <c r="AH140" s="116">
        <f>IFERROR(AG140/AG148, "NA")</f>
        <v>3.1503411989587886E-2</v>
      </c>
      <c r="AI140" s="118">
        <f>IFERROR(X140-AG140, "NA")</f>
        <v>-1448.6812499999999</v>
      </c>
      <c r="AJ140" s="119">
        <f>IFERROR(AI140/AI148, "NA")</f>
        <v>-0.16007563000139219</v>
      </c>
      <c r="AK140" s="118">
        <f>IFERROR((X140-AG140)/AG140, "NA")</f>
        <v>-1</v>
      </c>
      <c r="AL140" s="119">
        <f>IFERROR(AK140/AK148, "NA")</f>
        <v>-5.0812156490953546</v>
      </c>
    </row>
    <row r="141" spans="1:38" ht="16.5" hidden="1" customHeight="1" x14ac:dyDescent="0.25">
      <c r="A141" s="120" t="s">
        <v>135</v>
      </c>
      <c r="B141" s="121">
        <f>IFERROR(B140, "NA")</f>
        <v>5418.4000000000005</v>
      </c>
      <c r="C141" s="122">
        <f>IFERROR(B141/B148, "NA")</f>
        <v>0.11278971786750333</v>
      </c>
      <c r="D141" s="121">
        <f>IFERROR(D140, "NA")</f>
        <v>0</v>
      </c>
      <c r="E141" s="122">
        <f>IFERROR(D141/D148, "NA")</f>
        <v>0</v>
      </c>
      <c r="F141" s="121">
        <f>IFERROR(F140, "NA")</f>
        <v>0</v>
      </c>
      <c r="G141" s="122">
        <f>IFERROR(F141/F148, "NA")</f>
        <v>0</v>
      </c>
      <c r="H141" s="121">
        <f>IFERROR(H140, "NA")</f>
        <v>-10</v>
      </c>
      <c r="I141" s="122">
        <f>IFERROR(H141/H148, "NA")</f>
        <v>-1.9544060520919571E-4</v>
      </c>
      <c r="J141" s="121">
        <f>IFERROR(J140, "NA")</f>
        <v>5856.3499999999995</v>
      </c>
      <c r="K141" s="122">
        <f>IFERROR(J141/J148, "NA")</f>
        <v>0.1236146164703677</v>
      </c>
      <c r="L141" s="121">
        <f>IFERROR(L140, "NA")</f>
        <v>0</v>
      </c>
      <c r="M141" s="122">
        <f>IFERROR(L141/L148, "NA")</f>
        <v>0</v>
      </c>
      <c r="N141" s="121">
        <f>IFERROR(N140, "NA")</f>
        <v>0</v>
      </c>
      <c r="O141" s="122">
        <f>IFERROR(N141/N148, "NA")</f>
        <v>0</v>
      </c>
      <c r="P141" s="121">
        <f>IFERROR(P140, "NA")</f>
        <v>0</v>
      </c>
      <c r="Q141" s="122">
        <f>IFERROR(P141/P148, "NA")</f>
        <v>0</v>
      </c>
      <c r="R141" s="121">
        <f>IFERROR(R140, "NA")</f>
        <v>-118.18</v>
      </c>
      <c r="S141" s="122">
        <f>IFERROR(R141/R148, "NA")</f>
        <v>-3.0385657188182558E-3</v>
      </c>
      <c r="T141" s="121">
        <f>IFERROR(T140, "NA")</f>
        <v>5851.28</v>
      </c>
      <c r="U141" s="122">
        <f>IFERROR(T141/T148, "NA")</f>
        <v>0.1342124120011487</v>
      </c>
      <c r="V141" s="121">
        <f>IFERROR(V140, "NA")</f>
        <v>0</v>
      </c>
      <c r="W141" s="122">
        <f>IFERROR(V141/V148, "NA")</f>
        <v>0</v>
      </c>
      <c r="X141" s="121">
        <f>IFERROR(X140, "NA")</f>
        <v>0</v>
      </c>
      <c r="Y141" s="122">
        <f>IFERROR(X141/X148, "NA")</f>
        <v>0</v>
      </c>
      <c r="Z141" s="121">
        <f>IFERROR(Z140, "NA")</f>
        <v>0</v>
      </c>
      <c r="AA141" s="122">
        <f>IFERROR(Z141/Z148, "NA")</f>
        <v>0</v>
      </c>
      <c r="AB141" s="121">
        <f>IFERROR((R141+T141+V141+X141)/4, "NA")</f>
        <v>1433.2749999999999</v>
      </c>
      <c r="AC141" s="122">
        <f>IFERROR(AB141/AB148, "NA")</f>
        <v>3.0923665080272018E-2</v>
      </c>
      <c r="AD141" s="123">
        <f>IFERROR(X141-AB141, "NA")</f>
        <v>-1433.2749999999999</v>
      </c>
      <c r="AE141" s="124">
        <f>IFERROR(AD141/AD148, "NA")</f>
        <v>-0.16500840857591284</v>
      </c>
      <c r="AF141" s="123">
        <f>IFERROR((X141-AB141)/AB141, "NA")</f>
        <v>-1</v>
      </c>
      <c r="AG141" s="121">
        <f>IFERROR((J141+L141+N141+P141+R141+T141+V141+X141)/8, "NA")</f>
        <v>1448.6812499999999</v>
      </c>
      <c r="AH141" s="122">
        <f>IFERROR(AG141/AG148, "NA")</f>
        <v>3.1503411989587886E-2</v>
      </c>
      <c r="AI141" s="123">
        <f>IFERROR(X141-AG141, "NA")</f>
        <v>-1448.6812499999999</v>
      </c>
      <c r="AJ141" s="124">
        <f>IFERROR(AI141/AI148, "NA")</f>
        <v>-0.16007563000139219</v>
      </c>
      <c r="AK141" s="123">
        <f>IFERROR((X141-AG141)/AG141, "NA")</f>
        <v>-1</v>
      </c>
      <c r="AL141" s="124">
        <f>IFERROR(AK141/AK148, "NA")</f>
        <v>-5.0812156490953546</v>
      </c>
    </row>
    <row r="142" spans="1:38" ht="3.75" hidden="1" customHeight="1" x14ac:dyDescent="0.25">
      <c r="A142" s="8" t="s">
        <v>2</v>
      </c>
      <c r="B142" s="138"/>
      <c r="C142" s="126"/>
      <c r="D142" s="138"/>
      <c r="E142" s="126"/>
      <c r="F142" s="138"/>
      <c r="G142" s="126"/>
      <c r="H142" s="138"/>
      <c r="I142" s="126"/>
      <c r="J142" s="138"/>
      <c r="K142" s="126"/>
      <c r="L142" s="138"/>
      <c r="M142" s="126"/>
      <c r="N142" s="138"/>
      <c r="O142" s="126"/>
      <c r="P142" s="138"/>
      <c r="Q142" s="126"/>
      <c r="R142" s="138"/>
      <c r="S142" s="126"/>
      <c r="T142" s="138"/>
      <c r="U142" s="126"/>
      <c r="V142" s="138"/>
      <c r="W142" s="126"/>
      <c r="X142" s="138"/>
      <c r="Y142" s="126"/>
      <c r="Z142" s="138"/>
      <c r="AA142" s="126"/>
      <c r="AB142" s="138"/>
      <c r="AC142" s="126"/>
      <c r="AD142" s="139"/>
      <c r="AE142" s="128"/>
      <c r="AF142" s="139"/>
      <c r="AG142" s="138"/>
      <c r="AH142" s="126"/>
      <c r="AI142" s="139"/>
      <c r="AJ142" s="128"/>
      <c r="AK142" s="139"/>
      <c r="AL142" s="128"/>
    </row>
    <row r="143" spans="1:38" ht="16.5" hidden="1" customHeight="1" x14ac:dyDescent="0.25">
      <c r="A143" s="1" t="s">
        <v>136</v>
      </c>
      <c r="B143" s="111"/>
      <c r="C143" s="112"/>
      <c r="D143" s="111"/>
      <c r="E143" s="112"/>
      <c r="F143" s="111"/>
      <c r="G143" s="112"/>
      <c r="H143" s="111"/>
      <c r="I143" s="112"/>
      <c r="J143" s="111"/>
      <c r="K143" s="112"/>
      <c r="L143" s="111"/>
      <c r="M143" s="112"/>
      <c r="N143" s="111"/>
      <c r="O143" s="112"/>
      <c r="P143" s="111"/>
      <c r="Q143" s="112"/>
      <c r="R143" s="111"/>
      <c r="S143" s="112"/>
      <c r="T143" s="111"/>
      <c r="U143" s="112"/>
      <c r="V143" s="111"/>
      <c r="W143" s="112"/>
      <c r="X143" s="111"/>
      <c r="Y143" s="112"/>
      <c r="Z143" s="111"/>
      <c r="AA143" s="112"/>
      <c r="AB143" s="111"/>
      <c r="AC143" s="112"/>
      <c r="AD143" s="113"/>
      <c r="AE143" s="114"/>
      <c r="AF143" s="113"/>
      <c r="AG143" s="111"/>
      <c r="AH143" s="112"/>
      <c r="AI143" s="113"/>
      <c r="AJ143" s="114"/>
      <c r="AK143" s="113"/>
      <c r="AL143" s="114"/>
    </row>
    <row r="144" spans="1:38" ht="16.5" hidden="1" customHeight="1" x14ac:dyDescent="0.25">
      <c r="A144" s="2" t="s">
        <v>137</v>
      </c>
      <c r="B144" s="115">
        <v>0</v>
      </c>
      <c r="C144" s="116">
        <f>IFERROR(B144/B148, "NA")</f>
        <v>0</v>
      </c>
      <c r="D144" s="115">
        <v>0</v>
      </c>
      <c r="E144" s="116">
        <f>IFERROR(D144/D148, "NA")</f>
        <v>0</v>
      </c>
      <c r="F144" s="115">
        <v>0</v>
      </c>
      <c r="G144" s="116">
        <f>IFERROR(F144/F148, "NA")</f>
        <v>0</v>
      </c>
      <c r="H144" s="115">
        <v>0</v>
      </c>
      <c r="I144" s="116">
        <f>IFERROR(H144/H148, "NA")</f>
        <v>0</v>
      </c>
      <c r="J144" s="115">
        <v>0</v>
      </c>
      <c r="K144" s="116">
        <f>IFERROR(J144/J148, "NA")</f>
        <v>0</v>
      </c>
      <c r="L144" s="115">
        <v>0</v>
      </c>
      <c r="M144" s="116">
        <f>IFERROR(L144/L148, "NA")</f>
        <v>0</v>
      </c>
      <c r="N144" s="115">
        <v>0</v>
      </c>
      <c r="O144" s="116">
        <f>IFERROR(N144/N148, "NA")</f>
        <v>0</v>
      </c>
      <c r="P144" s="115">
        <v>0</v>
      </c>
      <c r="Q144" s="116">
        <f>IFERROR(P144/P148, "NA")</f>
        <v>0</v>
      </c>
      <c r="R144" s="115">
        <v>0</v>
      </c>
      <c r="S144" s="116">
        <f>IFERROR(R144/R148, "NA")</f>
        <v>0</v>
      </c>
      <c r="T144" s="115">
        <v>0</v>
      </c>
      <c r="U144" s="116">
        <f>IFERROR(T144/T148, "NA")</f>
        <v>0</v>
      </c>
      <c r="V144" s="115">
        <v>0</v>
      </c>
      <c r="W144" s="116">
        <f>IFERROR(V144/V148, "NA")</f>
        <v>0</v>
      </c>
      <c r="X144" s="115">
        <v>0</v>
      </c>
      <c r="Y144" s="116">
        <f>IFERROR(X144/X148, "NA")</f>
        <v>0</v>
      </c>
      <c r="Z144" s="115">
        <v>0</v>
      </c>
      <c r="AA144" s="116">
        <f>IFERROR(Z144/Z148, "NA")</f>
        <v>0</v>
      </c>
      <c r="AB144" s="117">
        <f>IFERROR((R144+T144+V144+X144)/4, "NA")</f>
        <v>0</v>
      </c>
      <c r="AC144" s="116">
        <f>IFERROR(AB144/AB148, "NA")</f>
        <v>0</v>
      </c>
      <c r="AD144" s="118">
        <f>IFERROR(X144-AB144, "NA")</f>
        <v>0</v>
      </c>
      <c r="AE144" s="119">
        <f>IFERROR(AD144/AD148, "NA")</f>
        <v>0</v>
      </c>
      <c r="AF144" s="118" t="str">
        <f>IFERROR((X144-AB144)/AB144, "NA")</f>
        <v>NA</v>
      </c>
      <c r="AG144" s="117">
        <f>IFERROR((J144+L144+N144+P144+R144+T144+V144+X144)/8, "NA")</f>
        <v>0</v>
      </c>
      <c r="AH144" s="116">
        <f>IFERROR(AG144/AG148, "NA")</f>
        <v>0</v>
      </c>
      <c r="AI144" s="118">
        <f>IFERROR(X144-AG144, "NA")</f>
        <v>0</v>
      </c>
      <c r="AJ144" s="119">
        <f>IFERROR(AI144/AI148, "NA")</f>
        <v>0</v>
      </c>
      <c r="AK144" s="118" t="str">
        <f>IFERROR((X144-AG144)/AG144, "NA")</f>
        <v>NA</v>
      </c>
      <c r="AL144" s="119" t="str">
        <f>IFERROR(AK144/AK148, "NA")</f>
        <v>NA</v>
      </c>
    </row>
    <row r="145" spans="1:38" ht="16.5" hidden="1" customHeight="1" x14ac:dyDescent="0.25">
      <c r="A145" s="120" t="s">
        <v>138</v>
      </c>
      <c r="B145" s="121">
        <f>IFERROR(B144, "NA")</f>
        <v>0</v>
      </c>
      <c r="C145" s="122">
        <f>IFERROR(B145/B148, "NA")</f>
        <v>0</v>
      </c>
      <c r="D145" s="121">
        <f>IFERROR(D144, "NA")</f>
        <v>0</v>
      </c>
      <c r="E145" s="122">
        <f>IFERROR(D145/D148, "NA")</f>
        <v>0</v>
      </c>
      <c r="F145" s="121">
        <f>IFERROR(F144, "NA")</f>
        <v>0</v>
      </c>
      <c r="G145" s="122">
        <f>IFERROR(F145/F148, "NA")</f>
        <v>0</v>
      </c>
      <c r="H145" s="121">
        <f>IFERROR(H144, "NA")</f>
        <v>0</v>
      </c>
      <c r="I145" s="122">
        <f>IFERROR(H145/H148, "NA")</f>
        <v>0</v>
      </c>
      <c r="J145" s="121">
        <f>IFERROR(J144, "NA")</f>
        <v>0</v>
      </c>
      <c r="K145" s="122">
        <f>IFERROR(J145/J148, "NA")</f>
        <v>0</v>
      </c>
      <c r="L145" s="121">
        <f>IFERROR(L144, "NA")</f>
        <v>0</v>
      </c>
      <c r="M145" s="122">
        <f>IFERROR(L145/L148, "NA")</f>
        <v>0</v>
      </c>
      <c r="N145" s="121">
        <f>IFERROR(N144, "NA")</f>
        <v>0</v>
      </c>
      <c r="O145" s="122">
        <f>IFERROR(N145/N148, "NA")</f>
        <v>0</v>
      </c>
      <c r="P145" s="121">
        <f>IFERROR(P144, "NA")</f>
        <v>0</v>
      </c>
      <c r="Q145" s="122">
        <f>IFERROR(P145/P148, "NA")</f>
        <v>0</v>
      </c>
      <c r="R145" s="121">
        <f>IFERROR(R144, "NA")</f>
        <v>0</v>
      </c>
      <c r="S145" s="122">
        <f>IFERROR(R145/R148, "NA")</f>
        <v>0</v>
      </c>
      <c r="T145" s="121">
        <f>IFERROR(T144, "NA")</f>
        <v>0</v>
      </c>
      <c r="U145" s="122">
        <f>IFERROR(T145/T148, "NA")</f>
        <v>0</v>
      </c>
      <c r="V145" s="121">
        <f>IFERROR(V144, "NA")</f>
        <v>0</v>
      </c>
      <c r="W145" s="122">
        <f>IFERROR(V145/V148, "NA")</f>
        <v>0</v>
      </c>
      <c r="X145" s="121">
        <f>IFERROR(X144, "NA")</f>
        <v>0</v>
      </c>
      <c r="Y145" s="122">
        <f>IFERROR(X145/X148, "NA")</f>
        <v>0</v>
      </c>
      <c r="Z145" s="121">
        <f>IFERROR(Z144, "NA")</f>
        <v>0</v>
      </c>
      <c r="AA145" s="122">
        <f>IFERROR(Z145/Z148, "NA")</f>
        <v>0</v>
      </c>
      <c r="AB145" s="121">
        <f>IFERROR((R145+T145+V145+X145)/4, "NA")</f>
        <v>0</v>
      </c>
      <c r="AC145" s="122">
        <f>IFERROR(AB145/AB148, "NA")</f>
        <v>0</v>
      </c>
      <c r="AD145" s="123">
        <f>IFERROR(X145-AB145, "NA")</f>
        <v>0</v>
      </c>
      <c r="AE145" s="124">
        <f>IFERROR(AD145/AD148, "NA")</f>
        <v>0</v>
      </c>
      <c r="AF145" s="123" t="str">
        <f>IFERROR((X145-AB145)/AB145, "NA")</f>
        <v>NA</v>
      </c>
      <c r="AG145" s="121">
        <f>IFERROR((J145+L145+N145+P145+R145+T145+V145+X145)/8, "NA")</f>
        <v>0</v>
      </c>
      <c r="AH145" s="122">
        <f>IFERROR(AG145/AG148, "NA")</f>
        <v>0</v>
      </c>
      <c r="AI145" s="123">
        <f>IFERROR(X145-AG145, "NA")</f>
        <v>0</v>
      </c>
      <c r="AJ145" s="124">
        <f>IFERROR(AI145/AI148, "NA")</f>
        <v>0</v>
      </c>
      <c r="AK145" s="123" t="str">
        <f>IFERROR((X145-AG145)/AG145, "NA")</f>
        <v>NA</v>
      </c>
      <c r="AL145" s="124" t="str">
        <f>IFERROR(AK145/AK148, "NA")</f>
        <v>NA</v>
      </c>
    </row>
    <row r="146" spans="1:38" ht="3.75" hidden="1" customHeight="1" x14ac:dyDescent="0.25">
      <c r="A146" s="8" t="s">
        <v>2</v>
      </c>
      <c r="B146" s="138"/>
      <c r="C146" s="126"/>
      <c r="D146" s="138"/>
      <c r="E146" s="126"/>
      <c r="F146" s="138"/>
      <c r="G146" s="126"/>
      <c r="H146" s="138"/>
      <c r="I146" s="126"/>
      <c r="J146" s="138"/>
      <c r="K146" s="126"/>
      <c r="L146" s="138"/>
      <c r="M146" s="126"/>
      <c r="N146" s="138"/>
      <c r="O146" s="126"/>
      <c r="P146" s="138"/>
      <c r="Q146" s="126"/>
      <c r="R146" s="138"/>
      <c r="S146" s="126"/>
      <c r="T146" s="138"/>
      <c r="U146" s="126"/>
      <c r="V146" s="138"/>
      <c r="W146" s="126"/>
      <c r="X146" s="138"/>
      <c r="Y146" s="126"/>
      <c r="Z146" s="138"/>
      <c r="AA146" s="126"/>
      <c r="AB146" s="138"/>
      <c r="AC146" s="126"/>
      <c r="AD146" s="139"/>
      <c r="AE146" s="128"/>
      <c r="AF146" s="139"/>
      <c r="AG146" s="138"/>
      <c r="AH146" s="126"/>
      <c r="AI146" s="139"/>
      <c r="AJ146" s="128"/>
      <c r="AK146" s="139"/>
      <c r="AL146" s="128"/>
    </row>
    <row r="147" spans="1:38" ht="16.5" hidden="1" customHeight="1" x14ac:dyDescent="0.25">
      <c r="A147" s="135" t="s">
        <v>139</v>
      </c>
      <c r="B147" s="136">
        <f>IFERROR(B137-B141-B145, "NA")</f>
        <v>-5461.6899999999932</v>
      </c>
      <c r="C147" s="137">
        <f>IFERROR(B147/B148, "NA")</f>
        <v>-0.11369084493203961</v>
      </c>
      <c r="D147" s="136">
        <f>IFERROR(D137-D141-D145, "NA")</f>
        <v>13085.319999999996</v>
      </c>
      <c r="E147" s="137">
        <f>IFERROR(D147/D148, "NA")</f>
        <v>0.31545782695976232</v>
      </c>
      <c r="F147" s="136">
        <f>IFERROR(F137-F141-F145, "NA")</f>
        <v>12900.609999999988</v>
      </c>
      <c r="G147" s="137">
        <f>IFERROR(F147/F148, "NA")</f>
        <v>0.25873256320246807</v>
      </c>
      <c r="H147" s="136">
        <f>IFERROR(H137-H141-H145, "NA")</f>
        <v>3943.2900000000127</v>
      </c>
      <c r="I147" s="137">
        <f>IFERROR(H147/H148, "NA")</f>
        <v>7.7067898411537175E-2</v>
      </c>
      <c r="J147" s="136">
        <f>IFERROR(J137-J141-J145, "NA")</f>
        <v>-12739.079999999991</v>
      </c>
      <c r="K147" s="137">
        <f>IFERROR(J147/J148, "NA")</f>
        <v>-0.2688938482818361</v>
      </c>
      <c r="L147" s="136">
        <f>IFERROR(L137-L141-L145, "NA")</f>
        <v>14027.140000000007</v>
      </c>
      <c r="M147" s="137">
        <f>IFERROR(L147/L148, "NA")</f>
        <v>0.318143982813547</v>
      </c>
      <c r="N147" s="136">
        <f>IFERROR(N137-N141-N145, "NA")</f>
        <v>14649.060000000005</v>
      </c>
      <c r="O147" s="137">
        <f>IFERROR(N147/N148, "NA")</f>
        <v>0.29551649511488975</v>
      </c>
      <c r="P147" s="136">
        <f>IFERROR(P137-P141-P145, "NA")</f>
        <v>10706.56</v>
      </c>
      <c r="Q147" s="137">
        <f>IFERROR(P147/P148, "NA")</f>
        <v>0.25832229099089621</v>
      </c>
      <c r="R147" s="136">
        <f>IFERROR(R137-R141-R145, "NA")</f>
        <v>832.90999999999485</v>
      </c>
      <c r="S147" s="137">
        <f>IFERROR(R147/R148, "NA")</f>
        <v>2.1415229081578082E-2</v>
      </c>
      <c r="T147" s="136">
        <f>IFERROR(T137-T141-T145, "NA")</f>
        <v>-7698.52</v>
      </c>
      <c r="U147" s="137">
        <f>IFERROR(T147/T148, "NA")</f>
        <v>-0.17658306183246797</v>
      </c>
      <c r="V147" s="136">
        <f>IFERROR(V137-V141-V145, "NA")</f>
        <v>14877.820000000007</v>
      </c>
      <c r="W147" s="137">
        <f>IFERROR(V147/V148, "NA")</f>
        <v>0.31079736218044612</v>
      </c>
      <c r="X147" s="136">
        <f>IFERROR(X137-X141-X145, "NA")</f>
        <v>21566.390000000007</v>
      </c>
      <c r="Y147" s="137">
        <f>IFERROR(X147/X148, "NA")</f>
        <v>0.39186766646897397</v>
      </c>
      <c r="Z147" s="136">
        <f>IFERROR(Z137-Z141-Z145, "NA")</f>
        <v>36444.21</v>
      </c>
      <c r="AA147" s="137">
        <f>IFERROR(Z147/Z148, "NA")</f>
        <v>0.35415489202050204</v>
      </c>
      <c r="AB147" s="136">
        <f>IFERROR((R147+T147+V147+X147)/4, "NA")</f>
        <v>7394.6500000000015</v>
      </c>
      <c r="AC147" s="137">
        <f>IFERROR(AB147/AB148, "NA")</f>
        <v>0.15954347908519548</v>
      </c>
      <c r="AD147" s="123">
        <f>IFERROR(X147-AB147, "NA")</f>
        <v>14171.740000000005</v>
      </c>
      <c r="AE147" s="124">
        <f>IFERROR(AD147/AD148, "NA")</f>
        <v>1.6315475147139302</v>
      </c>
      <c r="AF147" s="123">
        <f>IFERROR((X147-AB147)/AB147, "NA")</f>
        <v>1.9164855672682279</v>
      </c>
      <c r="AG147" s="136">
        <f>IFERROR((J147+L147+N147+P147+R147+T147+V147+X147)/8, "NA")</f>
        <v>7027.7850000000044</v>
      </c>
      <c r="AH147" s="137">
        <f>IFERROR(AG147/AG148, "NA")</f>
        <v>0.15282810226835342</v>
      </c>
      <c r="AI147" s="123">
        <f>IFERROR(X147-AG147, "NA")</f>
        <v>14538.605000000003</v>
      </c>
      <c r="AJ147" s="124">
        <f>IFERROR(AI147/AI148, "NA")</f>
        <v>1.606479240838101</v>
      </c>
      <c r="AK147" s="123">
        <f>IFERROR((X147-AG147)/AG147, "NA")</f>
        <v>2.0687321823305629</v>
      </c>
      <c r="AL147" s="124">
        <f>IFERROR(AK147/AK148, "NA")</f>
        <v>10.511674338645241</v>
      </c>
    </row>
    <row r="148" spans="1:38" ht="15.75" hidden="1" x14ac:dyDescent="0.25">
      <c r="A148" s="10" t="s">
        <v>16</v>
      </c>
      <c r="B148" s="115">
        <v>48039.839999999997</v>
      </c>
      <c r="C148" s="141"/>
      <c r="D148" s="115">
        <v>41480.410000000003</v>
      </c>
      <c r="E148" s="141"/>
      <c r="F148" s="115">
        <v>49860.79</v>
      </c>
      <c r="G148" s="141"/>
      <c r="H148" s="115">
        <v>51166.44</v>
      </c>
      <c r="I148" s="141"/>
      <c r="J148" s="115">
        <v>47375.87</v>
      </c>
      <c r="K148" s="141"/>
      <c r="L148" s="115">
        <v>44090.54</v>
      </c>
      <c r="M148" s="141"/>
      <c r="N148" s="115">
        <v>49571.040000000001</v>
      </c>
      <c r="O148" s="141"/>
      <c r="P148" s="115">
        <v>41446.519999999997</v>
      </c>
      <c r="Q148" s="141"/>
      <c r="R148" s="115">
        <v>38893.35</v>
      </c>
      <c r="S148" s="141"/>
      <c r="T148" s="115">
        <v>43597.16</v>
      </c>
      <c r="U148" s="141"/>
      <c r="V148" s="115">
        <v>47869.84</v>
      </c>
      <c r="W148" s="141"/>
      <c r="X148" s="115">
        <v>55034.879999999997</v>
      </c>
      <c r="Y148" s="141"/>
      <c r="Z148" s="115">
        <v>102904.72</v>
      </c>
      <c r="AA148" s="141"/>
      <c r="AB148" s="117">
        <f>IFERROR((R148+T148+V148+X148)/4, "NA")</f>
        <v>46348.807500000003</v>
      </c>
      <c r="AC148" s="141"/>
      <c r="AD148" s="118">
        <f>IFERROR(X148-AB148, "NA")</f>
        <v>8686.0724999999948</v>
      </c>
      <c r="AE148" s="142"/>
      <c r="AF148" s="118">
        <f>IFERROR((X148-AB148)/AB148, "NA")</f>
        <v>0.18740660156143163</v>
      </c>
      <c r="AG148" s="117">
        <f>IFERROR((J148+L148+N148+P148+R148+T148+V148+X148)/8, "NA")</f>
        <v>45984.899999999994</v>
      </c>
      <c r="AH148" s="141"/>
      <c r="AI148" s="118">
        <f>IFERROR(X148-AG148, "NA")</f>
        <v>9049.9800000000032</v>
      </c>
      <c r="AJ148" s="142"/>
      <c r="AK148" s="118">
        <f>IFERROR((X148-AG148)/AG148, "NA")</f>
        <v>0.19680329847406441</v>
      </c>
      <c r="AL148" s="142"/>
    </row>
    <row r="151" spans="1:38" ht="15.75" x14ac:dyDescent="0.25">
      <c r="A151" s="11" t="s">
        <v>140</v>
      </c>
    </row>
    <row r="152" spans="1:38" ht="15.75" x14ac:dyDescent="0.25">
      <c r="A152" s="11" t="s">
        <v>141</v>
      </c>
    </row>
    <row r="153" spans="1:38" ht="15.75" x14ac:dyDescent="0.25">
      <c r="A153" s="11" t="s">
        <v>247</v>
      </c>
    </row>
  </sheetData>
  <mergeCells count="21">
    <mergeCell ref="AK5:AL5"/>
    <mergeCell ref="Z5:AA5"/>
    <mergeCell ref="AB5:AC5"/>
    <mergeCell ref="AD5:AE5"/>
    <mergeCell ref="AG5:AH5"/>
    <mergeCell ref="A1:AL1"/>
    <mergeCell ref="A2:AL2"/>
    <mergeCell ref="A3:AL3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AI5:AJ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L153"/>
  <sheetViews>
    <sheetView showGridLines="0" workbookViewId="0">
      <pane xSplit="1" ySplit="5" topLeftCell="T64" activePane="bottomRight" state="frozen"/>
      <selection activeCell="D11" sqref="D11"/>
      <selection pane="topRight" activeCell="D11" sqref="D11"/>
      <selection pane="bottomLeft" activeCell="D11" sqref="D11"/>
      <selection pane="bottomRight" sqref="A1:XFD1048576"/>
    </sheetView>
  </sheetViews>
  <sheetFormatPr defaultRowHeight="15" x14ac:dyDescent="0.25"/>
  <cols>
    <col min="1" max="1" width="42.85546875" customWidth="1"/>
    <col min="2" max="2" width="17.140625" customWidth="1"/>
    <col min="3" max="3" width="9.42578125" customWidth="1"/>
    <col min="4" max="4" width="17.140625" customWidth="1"/>
    <col min="5" max="5" width="9.42578125" customWidth="1"/>
    <col min="6" max="6" width="17.140625" customWidth="1"/>
    <col min="7" max="7" width="9.42578125" customWidth="1"/>
    <col min="8" max="8" width="17.140625" customWidth="1"/>
    <col min="9" max="9" width="9.42578125" customWidth="1"/>
    <col min="10" max="10" width="17.140625" customWidth="1"/>
    <col min="11" max="11" width="9.42578125" customWidth="1"/>
    <col min="12" max="12" width="17.140625" customWidth="1"/>
    <col min="13" max="13" width="9.42578125" customWidth="1"/>
    <col min="14" max="14" width="17.140625" customWidth="1"/>
    <col min="15" max="15" width="9.42578125" customWidth="1"/>
    <col min="16" max="16" width="17.140625" customWidth="1"/>
    <col min="17" max="17" width="9.42578125" customWidth="1"/>
    <col min="18" max="18" width="17.140625" customWidth="1"/>
    <col min="19" max="19" width="9.42578125" customWidth="1"/>
    <col min="20" max="20" width="17.140625" customWidth="1"/>
    <col min="21" max="21" width="9.42578125" customWidth="1"/>
    <col min="22" max="22" width="17.140625" customWidth="1"/>
    <col min="23" max="23" width="9.42578125" customWidth="1"/>
    <col min="24" max="24" width="17.140625" customWidth="1"/>
    <col min="25" max="25" width="9.42578125" customWidth="1"/>
    <col min="26" max="26" width="17.140625" customWidth="1"/>
    <col min="27" max="27" width="9.42578125" customWidth="1"/>
    <col min="28" max="28" width="17.140625" customWidth="1"/>
    <col min="29" max="29" width="9.42578125" customWidth="1"/>
    <col min="30" max="30" width="16.7109375" customWidth="1"/>
    <col min="31" max="31" width="0" hidden="1" customWidth="1"/>
    <col min="32" max="32" width="16.7109375" customWidth="1"/>
    <col min="33" max="33" width="17.140625" customWidth="1"/>
    <col min="34" max="34" width="9.42578125" customWidth="1"/>
    <col min="35" max="35" width="16.7109375" customWidth="1"/>
    <col min="36" max="36" width="0" hidden="1" customWidth="1"/>
    <col min="37" max="37" width="16.7109375" customWidth="1"/>
    <col min="38" max="38" width="0" hidden="1" customWidth="1"/>
  </cols>
  <sheetData>
    <row r="1" spans="1:38" ht="33.75" x14ac:dyDescent="0.25">
      <c r="A1" s="151" t="s">
        <v>243</v>
      </c>
      <c r="B1" s="151" t="s">
        <v>243</v>
      </c>
      <c r="C1" s="151" t="s">
        <v>243</v>
      </c>
      <c r="D1" s="151" t="s">
        <v>243</v>
      </c>
      <c r="E1" s="151" t="s">
        <v>243</v>
      </c>
      <c r="F1" s="151" t="s">
        <v>243</v>
      </c>
      <c r="G1" s="151" t="s">
        <v>243</v>
      </c>
      <c r="H1" s="151" t="s">
        <v>243</v>
      </c>
      <c r="I1" s="151" t="s">
        <v>243</v>
      </c>
      <c r="J1" s="151" t="s">
        <v>243</v>
      </c>
      <c r="K1" s="151" t="s">
        <v>243</v>
      </c>
      <c r="L1" s="151" t="s">
        <v>243</v>
      </c>
      <c r="M1" s="151" t="s">
        <v>243</v>
      </c>
      <c r="N1" s="151" t="s">
        <v>243</v>
      </c>
      <c r="O1" s="151" t="s">
        <v>243</v>
      </c>
      <c r="P1" s="151" t="s">
        <v>243</v>
      </c>
      <c r="Q1" s="151" t="s">
        <v>243</v>
      </c>
      <c r="R1" s="151" t="s">
        <v>243</v>
      </c>
      <c r="S1" s="151" t="s">
        <v>243</v>
      </c>
      <c r="T1" s="151" t="s">
        <v>243</v>
      </c>
      <c r="U1" s="151" t="s">
        <v>243</v>
      </c>
      <c r="V1" s="151" t="s">
        <v>243</v>
      </c>
      <c r="W1" s="151" t="s">
        <v>243</v>
      </c>
      <c r="X1" s="151" t="s">
        <v>243</v>
      </c>
      <c r="Y1" s="151" t="s">
        <v>243</v>
      </c>
      <c r="Z1" s="151" t="s">
        <v>243</v>
      </c>
      <c r="AA1" s="151" t="s">
        <v>243</v>
      </c>
      <c r="AB1" s="151" t="s">
        <v>243</v>
      </c>
      <c r="AC1" s="151" t="s">
        <v>243</v>
      </c>
      <c r="AD1" s="151" t="s">
        <v>243</v>
      </c>
      <c r="AE1" s="151" t="s">
        <v>243</v>
      </c>
      <c r="AF1" s="151" t="s">
        <v>243</v>
      </c>
      <c r="AG1" s="151" t="s">
        <v>243</v>
      </c>
      <c r="AH1" s="151" t="s">
        <v>243</v>
      </c>
      <c r="AI1" s="151" t="s">
        <v>243</v>
      </c>
      <c r="AJ1" s="151" t="s">
        <v>243</v>
      </c>
      <c r="AK1" s="151" t="s">
        <v>243</v>
      </c>
      <c r="AL1" s="151" t="s">
        <v>243</v>
      </c>
    </row>
    <row r="2" spans="1:38" ht="23.25" x14ac:dyDescent="0.25">
      <c r="A2" s="152" t="s">
        <v>246</v>
      </c>
      <c r="B2" s="152" t="s">
        <v>246</v>
      </c>
      <c r="C2" s="152" t="s">
        <v>246</v>
      </c>
      <c r="D2" s="152" t="s">
        <v>246</v>
      </c>
      <c r="E2" s="152" t="s">
        <v>246</v>
      </c>
      <c r="F2" s="152" t="s">
        <v>246</v>
      </c>
      <c r="G2" s="152" t="s">
        <v>246</v>
      </c>
      <c r="H2" s="152" t="s">
        <v>246</v>
      </c>
      <c r="I2" s="152" t="s">
        <v>246</v>
      </c>
      <c r="J2" s="152" t="s">
        <v>246</v>
      </c>
      <c r="K2" s="152" t="s">
        <v>246</v>
      </c>
      <c r="L2" s="152" t="s">
        <v>246</v>
      </c>
      <c r="M2" s="152" t="s">
        <v>246</v>
      </c>
      <c r="N2" s="152" t="s">
        <v>246</v>
      </c>
      <c r="O2" s="152" t="s">
        <v>246</v>
      </c>
      <c r="P2" s="152" t="s">
        <v>246</v>
      </c>
      <c r="Q2" s="152" t="s">
        <v>246</v>
      </c>
      <c r="R2" s="152" t="s">
        <v>246</v>
      </c>
      <c r="S2" s="152" t="s">
        <v>246</v>
      </c>
      <c r="T2" s="152" t="s">
        <v>246</v>
      </c>
      <c r="U2" s="152" t="s">
        <v>246</v>
      </c>
      <c r="V2" s="152" t="s">
        <v>246</v>
      </c>
      <c r="W2" s="152" t="s">
        <v>246</v>
      </c>
      <c r="X2" s="152" t="s">
        <v>246</v>
      </c>
      <c r="Y2" s="152" t="s">
        <v>246</v>
      </c>
      <c r="Z2" s="152" t="s">
        <v>246</v>
      </c>
      <c r="AA2" s="152" t="s">
        <v>246</v>
      </c>
      <c r="AB2" s="152" t="s">
        <v>246</v>
      </c>
      <c r="AC2" s="152" t="s">
        <v>246</v>
      </c>
      <c r="AD2" s="152" t="s">
        <v>246</v>
      </c>
      <c r="AE2" s="152" t="s">
        <v>246</v>
      </c>
      <c r="AF2" s="152" t="s">
        <v>246</v>
      </c>
      <c r="AG2" s="152" t="s">
        <v>246</v>
      </c>
      <c r="AH2" s="152" t="s">
        <v>246</v>
      </c>
      <c r="AI2" s="152" t="s">
        <v>246</v>
      </c>
      <c r="AJ2" s="152" t="s">
        <v>246</v>
      </c>
      <c r="AK2" s="152" t="s">
        <v>246</v>
      </c>
      <c r="AL2" s="152" t="s">
        <v>246</v>
      </c>
    </row>
    <row r="3" spans="1:38" ht="15.75" x14ac:dyDescent="0.25">
      <c r="A3" s="153" t="s">
        <v>143</v>
      </c>
      <c r="B3" s="153" t="s">
        <v>143</v>
      </c>
      <c r="C3" s="153" t="s">
        <v>143</v>
      </c>
      <c r="D3" s="153" t="s">
        <v>143</v>
      </c>
      <c r="E3" s="153" t="s">
        <v>143</v>
      </c>
      <c r="F3" s="153" t="s">
        <v>143</v>
      </c>
      <c r="G3" s="153" t="s">
        <v>143</v>
      </c>
      <c r="H3" s="153" t="s">
        <v>143</v>
      </c>
      <c r="I3" s="153" t="s">
        <v>143</v>
      </c>
      <c r="J3" s="153" t="s">
        <v>143</v>
      </c>
      <c r="K3" s="153" t="s">
        <v>143</v>
      </c>
      <c r="L3" s="153" t="s">
        <v>143</v>
      </c>
      <c r="M3" s="153" t="s">
        <v>143</v>
      </c>
      <c r="N3" s="153" t="s">
        <v>143</v>
      </c>
      <c r="O3" s="153" t="s">
        <v>143</v>
      </c>
      <c r="P3" s="153" t="s">
        <v>143</v>
      </c>
      <c r="Q3" s="153" t="s">
        <v>143</v>
      </c>
      <c r="R3" s="153" t="s">
        <v>143</v>
      </c>
      <c r="S3" s="153" t="s">
        <v>143</v>
      </c>
      <c r="T3" s="153" t="s">
        <v>143</v>
      </c>
      <c r="U3" s="153" t="s">
        <v>143</v>
      </c>
      <c r="V3" s="153" t="s">
        <v>143</v>
      </c>
      <c r="W3" s="153" t="s">
        <v>143</v>
      </c>
      <c r="X3" s="153" t="s">
        <v>143</v>
      </c>
      <c r="Y3" s="153" t="s">
        <v>143</v>
      </c>
      <c r="Z3" s="153" t="s">
        <v>143</v>
      </c>
      <c r="AA3" s="153" t="s">
        <v>143</v>
      </c>
      <c r="AB3" s="153" t="s">
        <v>143</v>
      </c>
      <c r="AC3" s="153" t="s">
        <v>143</v>
      </c>
      <c r="AD3" s="153" t="s">
        <v>143</v>
      </c>
      <c r="AE3" s="153" t="s">
        <v>143</v>
      </c>
      <c r="AF3" s="153" t="s">
        <v>143</v>
      </c>
      <c r="AG3" s="153" t="s">
        <v>143</v>
      </c>
      <c r="AH3" s="153" t="s">
        <v>143</v>
      </c>
      <c r="AI3" s="153" t="s">
        <v>143</v>
      </c>
      <c r="AJ3" s="153" t="s">
        <v>143</v>
      </c>
      <c r="AK3" s="153" t="s">
        <v>143</v>
      </c>
      <c r="AL3" s="153" t="s">
        <v>143</v>
      </c>
    </row>
    <row r="5" spans="1:38" ht="13.5" customHeight="1" x14ac:dyDescent="0.25">
      <c r="A5" s="110" t="s">
        <v>2</v>
      </c>
      <c r="B5" s="154" t="s">
        <v>3</v>
      </c>
      <c r="C5" s="155" t="s">
        <v>2</v>
      </c>
      <c r="D5" s="154" t="s">
        <v>4</v>
      </c>
      <c r="E5" s="155" t="s">
        <v>2</v>
      </c>
      <c r="F5" s="154" t="s">
        <v>5</v>
      </c>
      <c r="G5" s="155" t="s">
        <v>2</v>
      </c>
      <c r="H5" s="154" t="s">
        <v>6</v>
      </c>
      <c r="I5" s="155" t="s">
        <v>2</v>
      </c>
      <c r="J5" s="154" t="s">
        <v>237</v>
      </c>
      <c r="K5" s="155" t="s">
        <v>2</v>
      </c>
      <c r="L5" s="154" t="s">
        <v>238</v>
      </c>
      <c r="M5" s="155" t="s">
        <v>2</v>
      </c>
      <c r="N5" s="154" t="s">
        <v>239</v>
      </c>
      <c r="O5" s="155" t="s">
        <v>2</v>
      </c>
      <c r="P5" s="154" t="s">
        <v>240</v>
      </c>
      <c r="Q5" s="155" t="s">
        <v>2</v>
      </c>
      <c r="R5" s="154" t="s">
        <v>241</v>
      </c>
      <c r="S5" s="155" t="s">
        <v>2</v>
      </c>
      <c r="T5" s="154" t="s">
        <v>242</v>
      </c>
      <c r="U5" s="155" t="s">
        <v>2</v>
      </c>
      <c r="V5" s="154" t="s">
        <v>244</v>
      </c>
      <c r="W5" s="155" t="s">
        <v>2</v>
      </c>
      <c r="X5" s="154" t="s">
        <v>245</v>
      </c>
      <c r="Y5" s="155" t="s">
        <v>2</v>
      </c>
      <c r="Z5" s="154" t="s">
        <v>7</v>
      </c>
      <c r="AA5" s="155" t="s">
        <v>2</v>
      </c>
      <c r="AB5" s="154" t="s">
        <v>8</v>
      </c>
      <c r="AC5" s="155" t="s">
        <v>2</v>
      </c>
      <c r="AD5" s="156" t="s">
        <v>9</v>
      </c>
      <c r="AE5" s="157" t="s">
        <v>2</v>
      </c>
      <c r="AF5" s="143" t="s">
        <v>10</v>
      </c>
      <c r="AG5" s="154" t="s">
        <v>11</v>
      </c>
      <c r="AH5" s="155" t="s">
        <v>2</v>
      </c>
      <c r="AI5" s="156" t="s">
        <v>12</v>
      </c>
      <c r="AJ5" s="157" t="s">
        <v>2</v>
      </c>
      <c r="AK5" s="156" t="s">
        <v>13</v>
      </c>
      <c r="AL5" s="157" t="s">
        <v>2</v>
      </c>
    </row>
    <row r="6" spans="1:38" ht="16.5" customHeight="1" x14ac:dyDescent="0.25">
      <c r="A6" s="1" t="s">
        <v>14</v>
      </c>
      <c r="B6" s="111"/>
      <c r="C6" s="112"/>
      <c r="D6" s="111"/>
      <c r="E6" s="112"/>
      <c r="F6" s="111"/>
      <c r="G6" s="112"/>
      <c r="H6" s="111"/>
      <c r="I6" s="112"/>
      <c r="J6" s="111"/>
      <c r="K6" s="112"/>
      <c r="L6" s="111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  <c r="X6" s="111"/>
      <c r="Y6" s="112"/>
      <c r="Z6" s="111"/>
      <c r="AA6" s="112"/>
      <c r="AB6" s="111"/>
      <c r="AC6" s="112"/>
      <c r="AD6" s="113"/>
      <c r="AE6" s="114"/>
      <c r="AF6" s="113"/>
      <c r="AG6" s="111"/>
      <c r="AH6" s="112"/>
      <c r="AI6" s="113"/>
      <c r="AJ6" s="114"/>
      <c r="AK6" s="113"/>
      <c r="AL6" s="114"/>
    </row>
    <row r="7" spans="1:38" ht="16.5" customHeight="1" x14ac:dyDescent="0.25">
      <c r="A7" s="2" t="s">
        <v>14</v>
      </c>
      <c r="B7" s="115">
        <v>40494.579999999994</v>
      </c>
      <c r="C7" s="116">
        <f>IFERROR(B7/B148, "NA")</f>
        <v>0.99999999999999978</v>
      </c>
      <c r="D7" s="115">
        <v>23146.28</v>
      </c>
      <c r="E7" s="116">
        <f>IFERROR(D7/D148, "NA")</f>
        <v>1</v>
      </c>
      <c r="F7" s="115">
        <v>25422.050000000007</v>
      </c>
      <c r="G7" s="116">
        <f>IFERROR(F7/F148, "NA")</f>
        <v>1.0000000000000002</v>
      </c>
      <c r="H7" s="115">
        <v>24506.450000000004</v>
      </c>
      <c r="I7" s="116">
        <f>IFERROR(H7/H148, "NA")</f>
        <v>1.0000000000000002</v>
      </c>
      <c r="J7" s="115">
        <v>25844.799999999996</v>
      </c>
      <c r="K7" s="116">
        <f>IFERROR(J7/J148, "NA")</f>
        <v>0.99999999999999989</v>
      </c>
      <c r="L7" s="115">
        <v>28469.190000000002</v>
      </c>
      <c r="M7" s="116">
        <f>IFERROR(L7/L148, "NA")</f>
        <v>1.0000000000000002</v>
      </c>
      <c r="N7" s="115">
        <v>24574.080000000002</v>
      </c>
      <c r="O7" s="116">
        <f>IFERROR(N7/N148, "NA")</f>
        <v>1</v>
      </c>
      <c r="P7" s="115">
        <v>21459.17</v>
      </c>
      <c r="Q7" s="116">
        <f>IFERROR(P7/P148, "NA")</f>
        <v>1</v>
      </c>
      <c r="R7" s="115">
        <v>48009.27</v>
      </c>
      <c r="S7" s="116">
        <f>IFERROR(R7/R148, "NA")</f>
        <v>1</v>
      </c>
      <c r="T7" s="115">
        <v>27279.870000000003</v>
      </c>
      <c r="U7" s="116">
        <f>IFERROR(T7/T148, "NA")</f>
        <v>1.0000000000000002</v>
      </c>
      <c r="V7" s="115">
        <v>30751.78</v>
      </c>
      <c r="W7" s="116">
        <f>IFERROR(V7/V148, "NA")</f>
        <v>1</v>
      </c>
      <c r="X7" s="115">
        <v>27116.439999999995</v>
      </c>
      <c r="Y7" s="116">
        <f>IFERROR(X7/X148, "NA")</f>
        <v>0.99999999999999989</v>
      </c>
      <c r="Z7" s="115">
        <v>57868.220000000008</v>
      </c>
      <c r="AA7" s="116">
        <f>IFERROR(Z7/Z148, "NA")</f>
        <v>1.0000000000000002</v>
      </c>
      <c r="AB7" s="117">
        <f>IFERROR((R7+T7+V7+X7)/4, "NA")</f>
        <v>33289.339999999997</v>
      </c>
      <c r="AC7" s="116">
        <f>IFERROR(AB7/AB148, "NA")</f>
        <v>1</v>
      </c>
      <c r="AD7" s="118">
        <f>IFERROR(X7-AB7, "NA")</f>
        <v>-6172.9000000000015</v>
      </c>
      <c r="AE7" s="119">
        <f>IFERROR(AD7/AD148, "NA")</f>
        <v>1.0000000000000007</v>
      </c>
      <c r="AF7" s="118">
        <f>IFERROR((X7-AB7)/AB7, "NA")</f>
        <v>-0.18543173280095077</v>
      </c>
      <c r="AG7" s="117">
        <f>IFERROR((J7+L7+N7+P7+R7+T7+V7+X7)/8, "NA")</f>
        <v>29188.075000000001</v>
      </c>
      <c r="AH7" s="116">
        <f>IFERROR(AG7/AG148, "NA")</f>
        <v>1</v>
      </c>
      <c r="AI7" s="118">
        <f>IFERROR(X7-AG7, "NA")</f>
        <v>-2071.6350000000057</v>
      </c>
      <c r="AJ7" s="119">
        <f>IFERROR(AI7/AI148, "NA")</f>
        <v>1.0000000000000018</v>
      </c>
      <c r="AK7" s="118">
        <f>IFERROR((X7-AG7)/AG7, "NA")</f>
        <v>-7.0975389778188722E-2</v>
      </c>
      <c r="AL7" s="119">
        <f>IFERROR(AK7/AK148, "NA")</f>
        <v>1.0000000000000018</v>
      </c>
    </row>
    <row r="8" spans="1:38" ht="30.75" hidden="1" customHeight="1" x14ac:dyDescent="0.25">
      <c r="A8" s="2" t="s">
        <v>15</v>
      </c>
      <c r="B8" s="115">
        <v>0</v>
      </c>
      <c r="C8" s="116">
        <f>IFERROR(B8/B148, "NA")</f>
        <v>0</v>
      </c>
      <c r="D8" s="115">
        <v>0</v>
      </c>
      <c r="E8" s="116">
        <f>IFERROR(D8/D148, "NA")</f>
        <v>0</v>
      </c>
      <c r="F8" s="115">
        <v>0</v>
      </c>
      <c r="G8" s="116">
        <f>IFERROR(F8/F148, "NA")</f>
        <v>0</v>
      </c>
      <c r="H8" s="115">
        <v>0</v>
      </c>
      <c r="I8" s="116">
        <f>IFERROR(H8/H148, "NA")</f>
        <v>0</v>
      </c>
      <c r="J8" s="115">
        <v>0</v>
      </c>
      <c r="K8" s="116">
        <f>IFERROR(J8/J148, "NA")</f>
        <v>0</v>
      </c>
      <c r="L8" s="115">
        <v>0</v>
      </c>
      <c r="M8" s="116">
        <f>IFERROR(L8/L148, "NA")</f>
        <v>0</v>
      </c>
      <c r="N8" s="115">
        <v>0</v>
      </c>
      <c r="O8" s="116">
        <f>IFERROR(N8/N148, "NA")</f>
        <v>0</v>
      </c>
      <c r="P8" s="115">
        <v>0</v>
      </c>
      <c r="Q8" s="116">
        <f>IFERROR(P8/P148, "NA")</f>
        <v>0</v>
      </c>
      <c r="R8" s="115">
        <v>0</v>
      </c>
      <c r="S8" s="116">
        <f>IFERROR(R8/R148, "NA")</f>
        <v>0</v>
      </c>
      <c r="T8" s="115">
        <v>0</v>
      </c>
      <c r="U8" s="116">
        <f>IFERROR(T8/T148, "NA")</f>
        <v>0</v>
      </c>
      <c r="V8" s="115">
        <v>0</v>
      </c>
      <c r="W8" s="116">
        <f>IFERROR(V8/V148, "NA")</f>
        <v>0</v>
      </c>
      <c r="X8" s="115">
        <v>0</v>
      </c>
      <c r="Y8" s="116">
        <f>IFERROR(X8/X148, "NA")</f>
        <v>0</v>
      </c>
      <c r="Z8" s="115">
        <v>0</v>
      </c>
      <c r="AA8" s="116">
        <f>IFERROR(Z8/Z148, "NA")</f>
        <v>0</v>
      </c>
      <c r="AB8" s="117">
        <f>IFERROR((R8+T8+V8+X8)/4, "NA")</f>
        <v>0</v>
      </c>
      <c r="AC8" s="116">
        <f>IFERROR(AB8/AB148, "NA")</f>
        <v>0</v>
      </c>
      <c r="AD8" s="118">
        <f>IFERROR(X8-AB8, "NA")</f>
        <v>0</v>
      </c>
      <c r="AE8" s="119">
        <f>IFERROR(AD8/AD148, "NA")</f>
        <v>0</v>
      </c>
      <c r="AF8" s="118" t="str">
        <f>IFERROR((X8-AB8)/AB8, "NA")</f>
        <v>NA</v>
      </c>
      <c r="AG8" s="117">
        <f>IFERROR((J8+L8+N8+P8+R8+T8+V8+X8)/8, "NA")</f>
        <v>0</v>
      </c>
      <c r="AH8" s="116">
        <f>IFERROR(AG8/AG148, "NA")</f>
        <v>0</v>
      </c>
      <c r="AI8" s="118">
        <f>IFERROR(X8-AG8, "NA")</f>
        <v>0</v>
      </c>
      <c r="AJ8" s="119">
        <f>IFERROR(AI8/AI148, "NA")</f>
        <v>0</v>
      </c>
      <c r="AK8" s="118" t="str">
        <f>IFERROR((X8-AG8)/AG8, "NA")</f>
        <v>NA</v>
      </c>
      <c r="AL8" s="119" t="str">
        <f>IFERROR(AK8/AK148, "NA")</f>
        <v>NA</v>
      </c>
    </row>
    <row r="9" spans="1:38" ht="16.5" customHeight="1" x14ac:dyDescent="0.25">
      <c r="A9" s="120" t="s">
        <v>16</v>
      </c>
      <c r="B9" s="121">
        <f>IFERROR(B7+B8, "NA")</f>
        <v>40494.579999999994</v>
      </c>
      <c r="C9" s="122">
        <f>IFERROR(B9/B148, "NA")</f>
        <v>0.99999999999999978</v>
      </c>
      <c r="D9" s="121">
        <f>IFERROR(D7+D8, "NA")</f>
        <v>23146.28</v>
      </c>
      <c r="E9" s="122">
        <f>IFERROR(D9/D148, "NA")</f>
        <v>1</v>
      </c>
      <c r="F9" s="121">
        <f>IFERROR(F7+F8, "NA")</f>
        <v>25422.050000000007</v>
      </c>
      <c r="G9" s="122">
        <f>IFERROR(F9/F148, "NA")</f>
        <v>1.0000000000000002</v>
      </c>
      <c r="H9" s="121">
        <f>IFERROR(H7+H8, "NA")</f>
        <v>24506.450000000004</v>
      </c>
      <c r="I9" s="122">
        <f>IFERROR(H9/H148, "NA")</f>
        <v>1.0000000000000002</v>
      </c>
      <c r="J9" s="121">
        <f>IFERROR(J7+J8, "NA")</f>
        <v>25844.799999999996</v>
      </c>
      <c r="K9" s="122">
        <f>IFERROR(J9/J148, "NA")</f>
        <v>0.99999999999999989</v>
      </c>
      <c r="L9" s="121">
        <f>IFERROR(L7+L8, "NA")</f>
        <v>28469.190000000002</v>
      </c>
      <c r="M9" s="122">
        <f>IFERROR(L9/L148, "NA")</f>
        <v>1.0000000000000002</v>
      </c>
      <c r="N9" s="121">
        <f>IFERROR(N7+N8, "NA")</f>
        <v>24574.080000000002</v>
      </c>
      <c r="O9" s="122">
        <f>IFERROR(N9/N148, "NA")</f>
        <v>1</v>
      </c>
      <c r="P9" s="121">
        <f>IFERROR(P7+P8, "NA")</f>
        <v>21459.17</v>
      </c>
      <c r="Q9" s="122">
        <f>IFERROR(P9/P148, "NA")</f>
        <v>1</v>
      </c>
      <c r="R9" s="121">
        <f>IFERROR(R7+R8, "NA")</f>
        <v>48009.27</v>
      </c>
      <c r="S9" s="122">
        <f>IFERROR(R9/R148, "NA")</f>
        <v>1</v>
      </c>
      <c r="T9" s="121">
        <f>IFERROR(T7+T8, "NA")</f>
        <v>27279.870000000003</v>
      </c>
      <c r="U9" s="122">
        <f>IFERROR(T9/T148, "NA")</f>
        <v>1.0000000000000002</v>
      </c>
      <c r="V9" s="121">
        <f>IFERROR(V7+V8, "NA")</f>
        <v>30751.78</v>
      </c>
      <c r="W9" s="122">
        <f>IFERROR(V9/V148, "NA")</f>
        <v>1</v>
      </c>
      <c r="X9" s="121">
        <f>IFERROR(X7+X8, "NA")</f>
        <v>27116.439999999995</v>
      </c>
      <c r="Y9" s="122">
        <f>IFERROR(X9/X148, "NA")</f>
        <v>0.99999999999999989</v>
      </c>
      <c r="Z9" s="121">
        <f>IFERROR(Z7+Z8, "NA")</f>
        <v>57868.220000000008</v>
      </c>
      <c r="AA9" s="122">
        <f>IFERROR(Z9/Z148, "NA")</f>
        <v>1.0000000000000002</v>
      </c>
      <c r="AB9" s="121">
        <f>IFERROR((R9+T9+V9+X9)/4, "NA")</f>
        <v>33289.339999999997</v>
      </c>
      <c r="AC9" s="122">
        <f>IFERROR(AB9/AB148, "NA")</f>
        <v>1</v>
      </c>
      <c r="AD9" s="123">
        <f>IFERROR(X9-AB9, "NA")</f>
        <v>-6172.9000000000015</v>
      </c>
      <c r="AE9" s="124">
        <f>IFERROR(AD9/AD148, "NA")</f>
        <v>1.0000000000000007</v>
      </c>
      <c r="AF9" s="123">
        <f>IFERROR((X9-AB9)/AB9, "NA")</f>
        <v>-0.18543173280095077</v>
      </c>
      <c r="AG9" s="121">
        <f>IFERROR((J9+L9+N9+P9+R9+T9+V9+X9)/8, "NA")</f>
        <v>29188.075000000001</v>
      </c>
      <c r="AH9" s="122">
        <f>IFERROR(AG9/AG148, "NA")</f>
        <v>1</v>
      </c>
      <c r="AI9" s="123">
        <f>IFERROR(X9-AG9, "NA")</f>
        <v>-2071.6350000000057</v>
      </c>
      <c r="AJ9" s="124">
        <f>IFERROR(AI9/AI148, "NA")</f>
        <v>1.0000000000000018</v>
      </c>
      <c r="AK9" s="123">
        <f>IFERROR((X9-AG9)/AG9, "NA")</f>
        <v>-7.0975389778188722E-2</v>
      </c>
      <c r="AL9" s="124">
        <f>IFERROR(AK9/AK148, "NA")</f>
        <v>1.0000000000000018</v>
      </c>
    </row>
    <row r="10" spans="1:38" ht="3.75" customHeight="1" x14ac:dyDescent="0.25">
      <c r="A10" s="3" t="s">
        <v>2</v>
      </c>
      <c r="B10" s="125"/>
      <c r="C10" s="126"/>
      <c r="D10" s="125"/>
      <c r="E10" s="126"/>
      <c r="F10" s="125"/>
      <c r="G10" s="126"/>
      <c r="H10" s="125"/>
      <c r="I10" s="126"/>
      <c r="J10" s="125"/>
      <c r="K10" s="126"/>
      <c r="L10" s="125"/>
      <c r="M10" s="126"/>
      <c r="N10" s="125"/>
      <c r="O10" s="126"/>
      <c r="P10" s="125"/>
      <c r="Q10" s="126"/>
      <c r="R10" s="125"/>
      <c r="S10" s="126"/>
      <c r="T10" s="125"/>
      <c r="U10" s="126"/>
      <c r="V10" s="125"/>
      <c r="W10" s="126"/>
      <c r="X10" s="125"/>
      <c r="Y10" s="126"/>
      <c r="Z10" s="125"/>
      <c r="AA10" s="126"/>
      <c r="AB10" s="125"/>
      <c r="AC10" s="126"/>
      <c r="AD10" s="127"/>
      <c r="AE10" s="128"/>
      <c r="AF10" s="127"/>
      <c r="AG10" s="125"/>
      <c r="AH10" s="126"/>
      <c r="AI10" s="127"/>
      <c r="AJ10" s="128"/>
      <c r="AK10" s="127"/>
      <c r="AL10" s="128"/>
    </row>
    <row r="11" spans="1:38" ht="16.5" customHeight="1" x14ac:dyDescent="0.25">
      <c r="A11" s="1" t="s">
        <v>17</v>
      </c>
      <c r="B11" s="111"/>
      <c r="C11" s="112"/>
      <c r="D11" s="111"/>
      <c r="E11" s="112"/>
      <c r="F11" s="111"/>
      <c r="G11" s="112"/>
      <c r="H11" s="111"/>
      <c r="I11" s="112"/>
      <c r="J11" s="111"/>
      <c r="K11" s="112"/>
      <c r="L11" s="111"/>
      <c r="M11" s="112"/>
      <c r="N11" s="111"/>
      <c r="O11" s="112"/>
      <c r="P11" s="111"/>
      <c r="Q11" s="112"/>
      <c r="R11" s="111"/>
      <c r="S11" s="112"/>
      <c r="T11" s="111"/>
      <c r="U11" s="112"/>
      <c r="V11" s="111"/>
      <c r="W11" s="112"/>
      <c r="X11" s="111"/>
      <c r="Y11" s="112"/>
      <c r="Z11" s="111"/>
      <c r="AA11" s="112"/>
      <c r="AB11" s="111"/>
      <c r="AC11" s="112"/>
      <c r="AD11" s="113"/>
      <c r="AE11" s="114"/>
      <c r="AF11" s="113"/>
      <c r="AG11" s="111"/>
      <c r="AH11" s="112"/>
      <c r="AI11" s="113"/>
      <c r="AJ11" s="114"/>
      <c r="AK11" s="113"/>
      <c r="AL11" s="114"/>
    </row>
    <row r="12" spans="1:38" ht="16.5" customHeight="1" x14ac:dyDescent="0.25">
      <c r="A12" s="4" t="s">
        <v>18</v>
      </c>
      <c r="B12" s="111"/>
      <c r="C12" s="112"/>
      <c r="D12" s="111"/>
      <c r="E12" s="112"/>
      <c r="F12" s="111"/>
      <c r="G12" s="112"/>
      <c r="H12" s="111"/>
      <c r="I12" s="112"/>
      <c r="J12" s="111"/>
      <c r="K12" s="112"/>
      <c r="L12" s="111"/>
      <c r="M12" s="112"/>
      <c r="N12" s="111"/>
      <c r="O12" s="112"/>
      <c r="P12" s="111"/>
      <c r="Q12" s="112"/>
      <c r="R12" s="111"/>
      <c r="S12" s="112"/>
      <c r="T12" s="111"/>
      <c r="U12" s="112"/>
      <c r="V12" s="111"/>
      <c r="W12" s="112"/>
      <c r="X12" s="111"/>
      <c r="Y12" s="112"/>
      <c r="Z12" s="111"/>
      <c r="AA12" s="112"/>
      <c r="AB12" s="111"/>
      <c r="AC12" s="112"/>
      <c r="AD12" s="113"/>
      <c r="AE12" s="114"/>
      <c r="AF12" s="113"/>
      <c r="AG12" s="111"/>
      <c r="AH12" s="112"/>
      <c r="AI12" s="113"/>
      <c r="AJ12" s="114"/>
      <c r="AK12" s="113"/>
      <c r="AL12" s="114"/>
    </row>
    <row r="13" spans="1:38" ht="16.5" hidden="1" customHeight="1" x14ac:dyDescent="0.25">
      <c r="A13" s="5" t="s">
        <v>19</v>
      </c>
      <c r="B13" s="115">
        <v>0</v>
      </c>
      <c r="C13" s="116">
        <f>IFERROR(B13/B148, "NA")</f>
        <v>0</v>
      </c>
      <c r="D13" s="115">
        <v>0</v>
      </c>
      <c r="E13" s="116">
        <f>IFERROR(D13/D148, "NA")</f>
        <v>0</v>
      </c>
      <c r="F13" s="115">
        <v>0</v>
      </c>
      <c r="G13" s="116">
        <f>IFERROR(F13/F148, "NA")</f>
        <v>0</v>
      </c>
      <c r="H13" s="115">
        <v>0</v>
      </c>
      <c r="I13" s="116">
        <f>IFERROR(H13/H148, "NA")</f>
        <v>0</v>
      </c>
      <c r="J13" s="115">
        <v>0</v>
      </c>
      <c r="K13" s="116">
        <f>IFERROR(J13/J148, "NA")</f>
        <v>0</v>
      </c>
      <c r="L13" s="115">
        <v>0</v>
      </c>
      <c r="M13" s="116">
        <f>IFERROR(L13/L148, "NA")</f>
        <v>0</v>
      </c>
      <c r="N13" s="115">
        <v>0</v>
      </c>
      <c r="O13" s="116">
        <f>IFERROR(N13/N148, "NA")</f>
        <v>0</v>
      </c>
      <c r="P13" s="115">
        <v>0</v>
      </c>
      <c r="Q13" s="116">
        <f>IFERROR(P13/P148, "NA")</f>
        <v>0</v>
      </c>
      <c r="R13" s="115">
        <v>0</v>
      </c>
      <c r="S13" s="116">
        <f>IFERROR(R13/R148, "NA")</f>
        <v>0</v>
      </c>
      <c r="T13" s="115">
        <v>0</v>
      </c>
      <c r="U13" s="116">
        <f>IFERROR(T13/T148, "NA")</f>
        <v>0</v>
      </c>
      <c r="V13" s="115">
        <v>0</v>
      </c>
      <c r="W13" s="116">
        <f>IFERROR(V13/V148, "NA")</f>
        <v>0</v>
      </c>
      <c r="X13" s="115">
        <v>0</v>
      </c>
      <c r="Y13" s="116">
        <f>IFERROR(X13/X148, "NA")</f>
        <v>0</v>
      </c>
      <c r="Z13" s="115">
        <v>0</v>
      </c>
      <c r="AA13" s="116">
        <f>IFERROR(Z13/Z148, "NA")</f>
        <v>0</v>
      </c>
      <c r="AB13" s="117">
        <f>IFERROR((R13+T13+V13+X13)/4, "NA")</f>
        <v>0</v>
      </c>
      <c r="AC13" s="116">
        <f>IFERROR(AB13/AB148, "NA")</f>
        <v>0</v>
      </c>
      <c r="AD13" s="118">
        <f>IFERROR(X13-AB13, "NA")</f>
        <v>0</v>
      </c>
      <c r="AE13" s="119">
        <f>IFERROR(AD13/AD148, "NA")</f>
        <v>0</v>
      </c>
      <c r="AF13" s="118" t="str">
        <f>IFERROR((X13-AB13)/AB13, "NA")</f>
        <v>NA</v>
      </c>
      <c r="AG13" s="117">
        <f>IFERROR((J13+L13+N13+P13+R13+T13+V13+X13)/8, "NA")</f>
        <v>0</v>
      </c>
      <c r="AH13" s="116">
        <f>IFERROR(AG13/AG148, "NA")</f>
        <v>0</v>
      </c>
      <c r="AI13" s="118">
        <f>IFERROR(X13-AG13, "NA")</f>
        <v>0</v>
      </c>
      <c r="AJ13" s="119">
        <f>IFERROR(AI13/AI148, "NA")</f>
        <v>0</v>
      </c>
      <c r="AK13" s="118" t="str">
        <f>IFERROR((X13-AG13)/AG13, "NA")</f>
        <v>NA</v>
      </c>
      <c r="AL13" s="119" t="str">
        <f>IFERROR(AK13/AK148, "NA")</f>
        <v>NA</v>
      </c>
    </row>
    <row r="14" spans="1:38" ht="16.5" customHeight="1" x14ac:dyDescent="0.25">
      <c r="A14" s="6" t="s">
        <v>20</v>
      </c>
      <c r="B14" s="111"/>
      <c r="C14" s="112"/>
      <c r="D14" s="111"/>
      <c r="E14" s="112"/>
      <c r="F14" s="111"/>
      <c r="G14" s="112"/>
      <c r="H14" s="111"/>
      <c r="I14" s="112"/>
      <c r="J14" s="111"/>
      <c r="K14" s="112"/>
      <c r="L14" s="111"/>
      <c r="M14" s="112"/>
      <c r="N14" s="111"/>
      <c r="O14" s="112"/>
      <c r="P14" s="111"/>
      <c r="Q14" s="112"/>
      <c r="R14" s="111"/>
      <c r="S14" s="112"/>
      <c r="T14" s="111"/>
      <c r="U14" s="112"/>
      <c r="V14" s="111"/>
      <c r="W14" s="112"/>
      <c r="X14" s="111"/>
      <c r="Y14" s="112"/>
      <c r="Z14" s="111"/>
      <c r="AA14" s="112"/>
      <c r="AB14" s="111"/>
      <c r="AC14" s="112"/>
      <c r="AD14" s="113"/>
      <c r="AE14" s="114"/>
      <c r="AF14" s="113"/>
      <c r="AG14" s="111"/>
      <c r="AH14" s="112"/>
      <c r="AI14" s="113"/>
      <c r="AJ14" s="114"/>
      <c r="AK14" s="113"/>
      <c r="AL14" s="114"/>
    </row>
    <row r="15" spans="1:38" ht="16.5" hidden="1" customHeight="1" x14ac:dyDescent="0.25">
      <c r="A15" s="7" t="s">
        <v>21</v>
      </c>
      <c r="B15" s="115">
        <v>0</v>
      </c>
      <c r="C15" s="116">
        <f>IFERROR(B15/B148, "NA")</f>
        <v>0</v>
      </c>
      <c r="D15" s="115">
        <v>0</v>
      </c>
      <c r="E15" s="116">
        <f>IFERROR(D15/D148, "NA")</f>
        <v>0</v>
      </c>
      <c r="F15" s="115">
        <v>0</v>
      </c>
      <c r="G15" s="116">
        <f>IFERROR(F15/F148, "NA")</f>
        <v>0</v>
      </c>
      <c r="H15" s="115">
        <v>0</v>
      </c>
      <c r="I15" s="116">
        <f>IFERROR(H15/H148, "NA")</f>
        <v>0</v>
      </c>
      <c r="J15" s="115">
        <v>0</v>
      </c>
      <c r="K15" s="116">
        <f>IFERROR(J15/J148, "NA")</f>
        <v>0</v>
      </c>
      <c r="L15" s="115">
        <v>0</v>
      </c>
      <c r="M15" s="116">
        <f>IFERROR(L15/L148, "NA")</f>
        <v>0</v>
      </c>
      <c r="N15" s="115">
        <v>0</v>
      </c>
      <c r="O15" s="116">
        <f>IFERROR(N15/N148, "NA")</f>
        <v>0</v>
      </c>
      <c r="P15" s="115">
        <v>0</v>
      </c>
      <c r="Q15" s="116">
        <f>IFERROR(P15/P148, "NA")</f>
        <v>0</v>
      </c>
      <c r="R15" s="115">
        <v>0</v>
      </c>
      <c r="S15" s="116">
        <f>IFERROR(R15/R148, "NA")</f>
        <v>0</v>
      </c>
      <c r="T15" s="115">
        <v>0</v>
      </c>
      <c r="U15" s="116">
        <f>IFERROR(T15/T148, "NA")</f>
        <v>0</v>
      </c>
      <c r="V15" s="115">
        <v>0</v>
      </c>
      <c r="W15" s="116">
        <f>IFERROR(V15/V148, "NA")</f>
        <v>0</v>
      </c>
      <c r="X15" s="115">
        <v>0</v>
      </c>
      <c r="Y15" s="116">
        <f>IFERROR(X15/X148, "NA")</f>
        <v>0</v>
      </c>
      <c r="Z15" s="115">
        <v>0</v>
      </c>
      <c r="AA15" s="116">
        <f>IFERROR(Z15/Z148, "NA")</f>
        <v>0</v>
      </c>
      <c r="AB15" s="117">
        <f t="shared" ref="AB15:AB27" si="0">IFERROR((R15+T15+V15+X15)/4, "NA")</f>
        <v>0</v>
      </c>
      <c r="AC15" s="116">
        <f>IFERROR(AB15/AB148, "NA")</f>
        <v>0</v>
      </c>
      <c r="AD15" s="118">
        <f t="shared" ref="AD15:AD27" si="1">IFERROR(X15-AB15, "NA")</f>
        <v>0</v>
      </c>
      <c r="AE15" s="119">
        <f>IFERROR(AD15/AD148, "NA")</f>
        <v>0</v>
      </c>
      <c r="AF15" s="118" t="str">
        <f t="shared" ref="AF15:AF27" si="2">IFERROR((X15-AB15)/AB15, "NA")</f>
        <v>NA</v>
      </c>
      <c r="AG15" s="117">
        <f t="shared" ref="AG15:AG27" si="3">IFERROR((J15+L15+N15+P15+R15+T15+V15+X15)/8, "NA")</f>
        <v>0</v>
      </c>
      <c r="AH15" s="116">
        <f>IFERROR(AG15/AG148, "NA")</f>
        <v>0</v>
      </c>
      <c r="AI15" s="118">
        <f t="shared" ref="AI15:AI27" si="4">IFERROR(X15-AG15, "NA")</f>
        <v>0</v>
      </c>
      <c r="AJ15" s="119">
        <f>IFERROR(AI15/AI148, "NA")</f>
        <v>0</v>
      </c>
      <c r="AK15" s="118" t="str">
        <f t="shared" ref="AK15:AK27" si="5">IFERROR((X15-AG15)/AG15, "NA")</f>
        <v>NA</v>
      </c>
      <c r="AL15" s="119" t="str">
        <f>IFERROR(AK15/AK148, "NA")</f>
        <v>NA</v>
      </c>
    </row>
    <row r="16" spans="1:38" ht="16.5" customHeight="1" x14ac:dyDescent="0.25">
      <c r="A16" s="7" t="s">
        <v>22</v>
      </c>
      <c r="B16" s="115">
        <v>1586.33</v>
      </c>
      <c r="C16" s="116">
        <f>IFERROR(B16/B148, "NA")</f>
        <v>3.9173884505037462E-2</v>
      </c>
      <c r="D16" s="115">
        <v>843.49</v>
      </c>
      <c r="E16" s="116">
        <f>IFERROR(D16/D148, "NA")</f>
        <v>3.6441708991682469E-2</v>
      </c>
      <c r="F16" s="115">
        <v>1074.76</v>
      </c>
      <c r="G16" s="116">
        <f>IFERROR(F16/F148, "NA")</f>
        <v>4.2276685003766419E-2</v>
      </c>
      <c r="H16" s="115">
        <v>1065.3399999999999</v>
      </c>
      <c r="I16" s="116">
        <f>IFERROR(H16/H148, "NA")</f>
        <v>4.3471820683942383E-2</v>
      </c>
      <c r="J16" s="115">
        <v>931.84</v>
      </c>
      <c r="K16" s="116">
        <f>IFERROR(J16/J148, "NA")</f>
        <v>3.605522194019687E-2</v>
      </c>
      <c r="L16" s="115">
        <v>923.91</v>
      </c>
      <c r="M16" s="116">
        <f>IFERROR(L16/L148, "NA")</f>
        <v>3.2452978114235073E-2</v>
      </c>
      <c r="N16" s="115">
        <v>883.45</v>
      </c>
      <c r="O16" s="116">
        <f>IFERROR(N16/N148, "NA")</f>
        <v>3.5950481157382086E-2</v>
      </c>
      <c r="P16" s="115">
        <v>1021.44</v>
      </c>
      <c r="Q16" s="116">
        <f>IFERROR(P16/P148, "NA")</f>
        <v>4.7599231470741882E-2</v>
      </c>
      <c r="R16" s="115">
        <v>1429.32</v>
      </c>
      <c r="S16" s="116">
        <f>IFERROR(R16/R148, "NA")</f>
        <v>2.977175033071738E-2</v>
      </c>
      <c r="T16" s="115">
        <v>848.55</v>
      </c>
      <c r="U16" s="116">
        <f>IFERROR(T16/T148, "NA")</f>
        <v>3.1105353507916277E-2</v>
      </c>
      <c r="V16" s="115">
        <v>1404.75</v>
      </c>
      <c r="W16" s="116">
        <f>IFERROR(V16/V148, "NA")</f>
        <v>4.5680282572260859E-2</v>
      </c>
      <c r="X16" s="115">
        <v>955.73</v>
      </c>
      <c r="Y16" s="116">
        <f>IFERROR(X16/X148, "NA")</f>
        <v>3.5245408320561257E-2</v>
      </c>
      <c r="Z16" s="115">
        <v>2360.48</v>
      </c>
      <c r="AA16" s="116">
        <f>IFERROR(Z16/Z148, "NA")</f>
        <v>4.0790610113806851E-2</v>
      </c>
      <c r="AB16" s="117">
        <f t="shared" si="0"/>
        <v>1159.5875000000001</v>
      </c>
      <c r="AC16" s="116">
        <f>IFERROR(AB16/AB148, "NA")</f>
        <v>3.4833598383146085E-2</v>
      </c>
      <c r="AD16" s="118">
        <f t="shared" si="1"/>
        <v>-203.85750000000007</v>
      </c>
      <c r="AE16" s="119">
        <f>IFERROR(AD16/AD148, "NA")</f>
        <v>3.3024591359004707E-2</v>
      </c>
      <c r="AF16" s="118">
        <f t="shared" si="2"/>
        <v>-0.17580173984283209</v>
      </c>
      <c r="AG16" s="117">
        <f t="shared" si="3"/>
        <v>1049.87375</v>
      </c>
      <c r="AH16" s="116">
        <f>IFERROR(AG16/AG148, "NA")</f>
        <v>3.5969269984402877E-2</v>
      </c>
      <c r="AI16" s="118">
        <f t="shared" si="4"/>
        <v>-94.143749999999955</v>
      </c>
      <c r="AJ16" s="119">
        <f>IFERROR(AI16/AI148, "NA")</f>
        <v>4.5444178149142998E-2</v>
      </c>
      <c r="AK16" s="118">
        <f t="shared" si="5"/>
        <v>-8.9671496215616361E-2</v>
      </c>
      <c r="AL16" s="119">
        <f>IFERROR(AK16/AK148, "NA")</f>
        <v>1.2634167490429655</v>
      </c>
    </row>
    <row r="17" spans="1:38" ht="16.5" customHeight="1" x14ac:dyDescent="0.25">
      <c r="A17" s="7" t="s">
        <v>23</v>
      </c>
      <c r="B17" s="115">
        <v>783.84</v>
      </c>
      <c r="C17" s="116">
        <f>IFERROR(B17/B148, "NA")</f>
        <v>1.9356664521523622E-2</v>
      </c>
      <c r="D17" s="115">
        <v>392.89</v>
      </c>
      <c r="E17" s="116">
        <f>IFERROR(D17/D148, "NA")</f>
        <v>1.6974217887280374E-2</v>
      </c>
      <c r="F17" s="115">
        <v>605.05999999999995</v>
      </c>
      <c r="G17" s="116">
        <f>IFERROR(F17/F148, "NA")</f>
        <v>2.3800598299507709E-2</v>
      </c>
      <c r="H17" s="115">
        <v>741.04</v>
      </c>
      <c r="I17" s="116">
        <f>IFERROR(H17/H148, "NA")</f>
        <v>3.0238569845897709E-2</v>
      </c>
      <c r="J17" s="115">
        <v>553.62</v>
      </c>
      <c r="K17" s="116">
        <f>IFERROR(J17/J148, "NA")</f>
        <v>2.1420943477991707E-2</v>
      </c>
      <c r="L17" s="115">
        <v>715.58</v>
      </c>
      <c r="M17" s="116">
        <f>IFERROR(L17/L148, "NA")</f>
        <v>2.5135242695700163E-2</v>
      </c>
      <c r="N17" s="115">
        <v>564.22</v>
      </c>
      <c r="O17" s="116">
        <f>IFERROR(N17/N148, "NA")</f>
        <v>2.2959964320129176E-2</v>
      </c>
      <c r="P17" s="115">
        <v>677.4</v>
      </c>
      <c r="Q17" s="116">
        <f>IFERROR(P17/P148, "NA")</f>
        <v>3.1566924536223909E-2</v>
      </c>
      <c r="R17" s="115">
        <v>1162.08</v>
      </c>
      <c r="S17" s="116">
        <f>IFERROR(R17/R148, "NA")</f>
        <v>2.4205325346542451E-2</v>
      </c>
      <c r="T17" s="115">
        <v>817.37</v>
      </c>
      <c r="U17" s="116">
        <f>IFERROR(T17/T148, "NA")</f>
        <v>2.9962386184391641E-2</v>
      </c>
      <c r="V17" s="115">
        <v>850.03</v>
      </c>
      <c r="W17" s="116">
        <f>IFERROR(V17/V148, "NA")</f>
        <v>2.7641651962910765E-2</v>
      </c>
      <c r="X17" s="115">
        <v>610.26</v>
      </c>
      <c r="Y17" s="116">
        <f>IFERROR(X17/X148, "NA")</f>
        <v>2.2505166607416017E-2</v>
      </c>
      <c r="Z17" s="115">
        <v>1460.29</v>
      </c>
      <c r="AA17" s="116">
        <f>IFERROR(Z17/Z148, "NA")</f>
        <v>2.5234748882892889E-2</v>
      </c>
      <c r="AB17" s="117">
        <f t="shared" si="0"/>
        <v>859.93499999999995</v>
      </c>
      <c r="AC17" s="116">
        <f>IFERROR(AB17/AB148, "NA")</f>
        <v>2.5832143262678083E-2</v>
      </c>
      <c r="AD17" s="118">
        <f t="shared" si="1"/>
        <v>-249.67499999999995</v>
      </c>
      <c r="AE17" s="119">
        <f>IFERROR(AD17/AD148, "NA")</f>
        <v>4.044695361985453E-2</v>
      </c>
      <c r="AF17" s="118">
        <f t="shared" si="2"/>
        <v>-0.29034171187357183</v>
      </c>
      <c r="AG17" s="117">
        <f t="shared" si="3"/>
        <v>743.82</v>
      </c>
      <c r="AH17" s="116">
        <f>IFERROR(AG17/AG148, "NA")</f>
        <v>2.5483694967893569E-2</v>
      </c>
      <c r="AI17" s="118">
        <f t="shared" si="4"/>
        <v>-133.56000000000006</v>
      </c>
      <c r="AJ17" s="119">
        <f>IFERROR(AI17/AI148, "NA")</f>
        <v>6.4470816528973462E-2</v>
      </c>
      <c r="AK17" s="118">
        <f t="shared" si="5"/>
        <v>-0.17955957086391874</v>
      </c>
      <c r="AL17" s="119">
        <f>IFERROR(AK17/AK148, "NA")</f>
        <v>2.5298849562514003</v>
      </c>
    </row>
    <row r="18" spans="1:38" ht="16.5" customHeight="1" x14ac:dyDescent="0.25">
      <c r="A18" s="7" t="s">
        <v>24</v>
      </c>
      <c r="B18" s="115">
        <v>1968.65</v>
      </c>
      <c r="C18" s="116">
        <f>IFERROR(B18/B148, "NA")</f>
        <v>4.8615148002522805E-2</v>
      </c>
      <c r="D18" s="115">
        <v>756.24</v>
      </c>
      <c r="E18" s="116">
        <f>IFERROR(D18/D148, "NA")</f>
        <v>3.2672204777614372E-2</v>
      </c>
      <c r="F18" s="115">
        <v>711.53</v>
      </c>
      <c r="G18" s="116">
        <f>IFERROR(F18/F148, "NA")</f>
        <v>2.798869485348349E-2</v>
      </c>
      <c r="H18" s="115">
        <v>884.66</v>
      </c>
      <c r="I18" s="116">
        <f>IFERROR(H18/H148, "NA")</f>
        <v>3.6099067796437262E-2</v>
      </c>
      <c r="J18" s="115">
        <v>680.62</v>
      </c>
      <c r="K18" s="116">
        <f>IFERROR(J18/J148, "NA")</f>
        <v>2.6334891351451745E-2</v>
      </c>
      <c r="L18" s="115">
        <v>834.53</v>
      </c>
      <c r="M18" s="116">
        <f>IFERROR(L18/L148, "NA")</f>
        <v>2.9313443761483905E-2</v>
      </c>
      <c r="N18" s="115">
        <v>875.36</v>
      </c>
      <c r="O18" s="116">
        <f>IFERROR(N18/N148, "NA")</f>
        <v>3.5621272495247019E-2</v>
      </c>
      <c r="P18" s="115">
        <v>687.61</v>
      </c>
      <c r="Q18" s="116">
        <f>IFERROR(P18/P148, "NA")</f>
        <v>3.2042711810382228E-2</v>
      </c>
      <c r="R18" s="115">
        <v>1193.1500000000001</v>
      </c>
      <c r="S18" s="116">
        <f>IFERROR(R18/R148, "NA")</f>
        <v>2.4852492029143542E-2</v>
      </c>
      <c r="T18" s="115">
        <v>857.98</v>
      </c>
      <c r="U18" s="116">
        <f>IFERROR(T18/T148, "NA")</f>
        <v>3.1451029642003428E-2</v>
      </c>
      <c r="V18" s="115">
        <v>1059.1600000000001</v>
      </c>
      <c r="W18" s="116">
        <f>IFERROR(V18/V148, "NA")</f>
        <v>3.4442233912963742E-2</v>
      </c>
      <c r="X18" s="115">
        <v>997.35</v>
      </c>
      <c r="Y18" s="116">
        <f>IFERROR(X18/X148, "NA")</f>
        <v>3.6780270566490296E-2</v>
      </c>
      <c r="Z18" s="115">
        <v>2056.5100000000002</v>
      </c>
      <c r="AA18" s="116">
        <f>IFERROR(Z18/Z148, "NA")</f>
        <v>3.5537813328282777E-2</v>
      </c>
      <c r="AB18" s="117">
        <f t="shared" si="0"/>
        <v>1026.9100000000001</v>
      </c>
      <c r="AC18" s="116">
        <f>IFERROR(AB18/AB148, "NA")</f>
        <v>3.08480132078317E-2</v>
      </c>
      <c r="AD18" s="118">
        <f t="shared" si="1"/>
        <v>-29.560000000000059</v>
      </c>
      <c r="AE18" s="119">
        <f>IFERROR(AD18/AD148, "NA")</f>
        <v>4.7886730710039157E-3</v>
      </c>
      <c r="AF18" s="118">
        <f t="shared" si="2"/>
        <v>-2.8785385282059827E-2</v>
      </c>
      <c r="AG18" s="117">
        <f t="shared" si="3"/>
        <v>898.22</v>
      </c>
      <c r="AH18" s="116">
        <f>IFERROR(AG18/AG148, "NA")</f>
        <v>3.0773526517250623E-2</v>
      </c>
      <c r="AI18" s="118">
        <f t="shared" si="4"/>
        <v>99.13</v>
      </c>
      <c r="AJ18" s="119">
        <f>IFERROR(AI18/AI148, "NA")</f>
        <v>-4.7851093459996524E-2</v>
      </c>
      <c r="AK18" s="118">
        <f t="shared" si="5"/>
        <v>0.11036271737436262</v>
      </c>
      <c r="AL18" s="119">
        <f>IFERROR(AK18/AK148, "NA")</f>
        <v>-1.554943448979524</v>
      </c>
    </row>
    <row r="19" spans="1:38" ht="16.5" customHeight="1" x14ac:dyDescent="0.25">
      <c r="A19" s="7" t="s">
        <v>25</v>
      </c>
      <c r="B19" s="115">
        <v>752.33</v>
      </c>
      <c r="C19" s="116">
        <f>IFERROR(B19/B148, "NA")</f>
        <v>1.8578535695394298E-2</v>
      </c>
      <c r="D19" s="115">
        <v>423.57</v>
      </c>
      <c r="E19" s="116">
        <f>IFERROR(D19/D148, "NA")</f>
        <v>1.8299700859058129E-2</v>
      </c>
      <c r="F19" s="115">
        <v>417</v>
      </c>
      <c r="G19" s="116">
        <f>IFERROR(F19/F148, "NA")</f>
        <v>1.6403083150257357E-2</v>
      </c>
      <c r="H19" s="115">
        <v>469.09</v>
      </c>
      <c r="I19" s="116">
        <f>IFERROR(H19/H148, "NA")</f>
        <v>1.9141491321672456E-2</v>
      </c>
      <c r="J19" s="115">
        <v>454</v>
      </c>
      <c r="K19" s="116">
        <f>IFERROR(J19/J148, "NA")</f>
        <v>1.7566396335046121E-2</v>
      </c>
      <c r="L19" s="115">
        <v>604.47</v>
      </c>
      <c r="M19" s="116">
        <f>IFERROR(L19/L148, "NA")</f>
        <v>2.1232427055353525E-2</v>
      </c>
      <c r="N19" s="115">
        <v>471.45</v>
      </c>
      <c r="O19" s="116">
        <f>IFERROR(N19/N148, "NA")</f>
        <v>1.9184848425658253E-2</v>
      </c>
      <c r="P19" s="115">
        <v>427.59</v>
      </c>
      <c r="Q19" s="116">
        <f>IFERROR(P19/P148, "NA")</f>
        <v>1.9925747361151432E-2</v>
      </c>
      <c r="R19" s="115">
        <v>997.42</v>
      </c>
      <c r="S19" s="116">
        <f>IFERROR(R19/R148, "NA")</f>
        <v>2.0775571051174075E-2</v>
      </c>
      <c r="T19" s="115">
        <v>599.05999999999995</v>
      </c>
      <c r="U19" s="116">
        <f>IFERROR(T19/T148, "NA")</f>
        <v>2.1959782066410138E-2</v>
      </c>
      <c r="V19" s="115">
        <v>618.95000000000005</v>
      </c>
      <c r="W19" s="116">
        <f>IFERROR(V19/V148, "NA")</f>
        <v>2.0127290192632753E-2</v>
      </c>
      <c r="X19" s="115">
        <v>601.52</v>
      </c>
      <c r="Y19" s="116">
        <f>IFERROR(X19/X148, "NA")</f>
        <v>2.2182852911370371E-2</v>
      </c>
      <c r="Z19" s="115">
        <v>1220.47</v>
      </c>
      <c r="AA19" s="116">
        <f>IFERROR(Z19/Z148, "NA")</f>
        <v>2.1090505289431748E-2</v>
      </c>
      <c r="AB19" s="117">
        <f t="shared" si="0"/>
        <v>704.23750000000007</v>
      </c>
      <c r="AC19" s="116">
        <f>IFERROR(AB19/AB148, "NA")</f>
        <v>2.1155045428957141E-2</v>
      </c>
      <c r="AD19" s="118">
        <f t="shared" si="1"/>
        <v>-102.71750000000009</v>
      </c>
      <c r="AE19" s="119">
        <f>IFERROR(AD19/AD148, "NA")</f>
        <v>1.6640071927295132E-2</v>
      </c>
      <c r="AF19" s="118">
        <f t="shared" si="2"/>
        <v>-0.14585633397823899</v>
      </c>
      <c r="AG19" s="117">
        <f t="shared" si="3"/>
        <v>596.80749999999989</v>
      </c>
      <c r="AH19" s="116">
        <f>IFERROR(AG19/AG148, "NA")</f>
        <v>2.0446963357467044E-2</v>
      </c>
      <c r="AI19" s="118">
        <f t="shared" si="4"/>
        <v>4.7125000000000909</v>
      </c>
      <c r="AJ19" s="119">
        <f>IFERROR(AI19/AI148, "NA")</f>
        <v>-2.274773307073923E-3</v>
      </c>
      <c r="AK19" s="118">
        <f t="shared" si="5"/>
        <v>7.8961809293617985E-3</v>
      </c>
      <c r="AL19" s="119">
        <f>IFERROR(AK19/AK148, "NA")</f>
        <v>-0.11125237852217289</v>
      </c>
    </row>
    <row r="20" spans="1:38" ht="16.5" customHeight="1" x14ac:dyDescent="0.25">
      <c r="A20" s="7" t="s">
        <v>26</v>
      </c>
      <c r="B20" s="115">
        <v>437.72</v>
      </c>
      <c r="C20" s="116">
        <f>IFERROR(B20/B148, "NA")</f>
        <v>1.0809347818893294E-2</v>
      </c>
      <c r="D20" s="115">
        <v>323.17</v>
      </c>
      <c r="E20" s="116">
        <f>IFERROR(D20/D148, "NA")</f>
        <v>1.3962070794961439E-2</v>
      </c>
      <c r="F20" s="115">
        <v>279.8</v>
      </c>
      <c r="G20" s="116">
        <f>IFERROR(F20/F148, "NA")</f>
        <v>1.1006193442306975E-2</v>
      </c>
      <c r="H20" s="115">
        <v>286.86</v>
      </c>
      <c r="I20" s="116">
        <f>IFERROR(H20/H148, "NA")</f>
        <v>1.1705489779221388E-2</v>
      </c>
      <c r="J20" s="115">
        <v>337.28</v>
      </c>
      <c r="K20" s="116">
        <f>IFERROR(J20/J148, "NA")</f>
        <v>1.3050207391815762E-2</v>
      </c>
      <c r="L20" s="115">
        <v>336.91</v>
      </c>
      <c r="M20" s="116">
        <f>IFERROR(L20/L148, "NA")</f>
        <v>1.1834196898471648E-2</v>
      </c>
      <c r="N20" s="115">
        <v>252.24</v>
      </c>
      <c r="O20" s="116">
        <f>IFERROR(N20/N148, "NA")</f>
        <v>1.0264473787014609E-2</v>
      </c>
      <c r="P20" s="115">
        <v>291.58999999999997</v>
      </c>
      <c r="Q20" s="116">
        <f>IFERROR(P20/P148, "NA")</f>
        <v>1.3588130389013181E-2</v>
      </c>
      <c r="R20" s="115">
        <v>411.28</v>
      </c>
      <c r="S20" s="116">
        <f>IFERROR(R20/R148, "NA")</f>
        <v>8.5666788934720319E-3</v>
      </c>
      <c r="T20" s="115">
        <v>268.52</v>
      </c>
      <c r="U20" s="116">
        <f>IFERROR(T20/T148, "NA")</f>
        <v>9.8431554109312102E-3</v>
      </c>
      <c r="V20" s="115">
        <v>421.84</v>
      </c>
      <c r="W20" s="116">
        <f>IFERROR(V20/V148, "NA")</f>
        <v>1.3717579925454722E-2</v>
      </c>
      <c r="X20" s="115">
        <v>295.64999999999998</v>
      </c>
      <c r="Y20" s="116">
        <f>IFERROR(X20/X148, "NA")</f>
        <v>1.0902979889690535E-2</v>
      </c>
      <c r="Z20" s="115">
        <v>717.49</v>
      </c>
      <c r="AA20" s="116">
        <f>IFERROR(Z20/Z148, "NA")</f>
        <v>1.2398687915405035E-2</v>
      </c>
      <c r="AB20" s="117">
        <f t="shared" si="0"/>
        <v>349.32249999999999</v>
      </c>
      <c r="AC20" s="116">
        <f>IFERROR(AB20/AB148, "NA")</f>
        <v>1.0493524353441672E-2</v>
      </c>
      <c r="AD20" s="118">
        <f t="shared" si="1"/>
        <v>-53.672500000000014</v>
      </c>
      <c r="AE20" s="119">
        <f>IFERROR(AD20/AD148, "NA")</f>
        <v>8.6948597903740588E-3</v>
      </c>
      <c r="AF20" s="118">
        <f t="shared" si="2"/>
        <v>-0.15364741750101987</v>
      </c>
      <c r="AG20" s="117">
        <f t="shared" si="3"/>
        <v>326.91374999999999</v>
      </c>
      <c r="AH20" s="116">
        <f>IFERROR(AG20/AG148, "NA")</f>
        <v>1.1200250444744986E-2</v>
      </c>
      <c r="AI20" s="118">
        <f t="shared" si="4"/>
        <v>-31.263750000000016</v>
      </c>
      <c r="AJ20" s="119">
        <f>IFERROR(AI20/AI148, "NA")</f>
        <v>1.5091340897407114E-2</v>
      </c>
      <c r="AK20" s="118">
        <f t="shared" si="5"/>
        <v>-9.5633022471523499E-2</v>
      </c>
      <c r="AL20" s="119">
        <f>IFERROR(AK20/AK148, "NA")</f>
        <v>1.3474110219104767</v>
      </c>
    </row>
    <row r="21" spans="1:38" ht="16.5" customHeight="1" x14ac:dyDescent="0.25">
      <c r="A21" s="7" t="s">
        <v>27</v>
      </c>
      <c r="B21" s="115">
        <v>385.34</v>
      </c>
      <c r="C21" s="116">
        <f>IFERROR(B21/B148, "NA")</f>
        <v>9.5158413792660636E-3</v>
      </c>
      <c r="D21" s="115">
        <v>126.38</v>
      </c>
      <c r="E21" s="116">
        <f>IFERROR(D21/D148, "NA")</f>
        <v>5.4600566484117536E-3</v>
      </c>
      <c r="F21" s="115">
        <v>211.05</v>
      </c>
      <c r="G21" s="116">
        <f>IFERROR(F21/F148, "NA")</f>
        <v>8.301848198709388E-3</v>
      </c>
      <c r="H21" s="115">
        <v>149.55000000000001</v>
      </c>
      <c r="I21" s="116">
        <f>IFERROR(H21/H148, "NA")</f>
        <v>6.1024750626875787E-3</v>
      </c>
      <c r="J21" s="115">
        <v>112.44</v>
      </c>
      <c r="K21" s="116">
        <f>IFERROR(J21/J148, "NA")</f>
        <v>4.3505850306444624E-3</v>
      </c>
      <c r="L21" s="115">
        <v>158.71</v>
      </c>
      <c r="M21" s="116">
        <f>IFERROR(L21/L148, "NA")</f>
        <v>5.5747985805005345E-3</v>
      </c>
      <c r="N21" s="115">
        <v>101.46</v>
      </c>
      <c r="O21" s="116">
        <f>IFERROR(N21/N148, "NA")</f>
        <v>4.1287405266036406E-3</v>
      </c>
      <c r="P21" s="115">
        <v>304.02</v>
      </c>
      <c r="Q21" s="116">
        <f>IFERROR(P21/P148, "NA")</f>
        <v>1.41673699402167E-2</v>
      </c>
      <c r="R21" s="115">
        <v>694.01</v>
      </c>
      <c r="S21" s="116">
        <f>IFERROR(R21/R148, "NA")</f>
        <v>1.4455749899967237E-2</v>
      </c>
      <c r="T21" s="115">
        <v>155.43</v>
      </c>
      <c r="U21" s="116">
        <f>IFERROR(T21/T148, "NA")</f>
        <v>5.6976077965180923E-3</v>
      </c>
      <c r="V21" s="115">
        <v>305.67</v>
      </c>
      <c r="W21" s="116">
        <f>IFERROR(V21/V148, "NA")</f>
        <v>9.9399124213297579E-3</v>
      </c>
      <c r="X21" s="115">
        <v>58.37</v>
      </c>
      <c r="Y21" s="116">
        <f>IFERROR(X21/X148, "NA")</f>
        <v>2.1525687000210941E-3</v>
      </c>
      <c r="Z21" s="115">
        <v>364.04</v>
      </c>
      <c r="AA21" s="116">
        <f>IFERROR(Z21/Z148, "NA")</f>
        <v>6.2908449577332775E-3</v>
      </c>
      <c r="AB21" s="117">
        <f t="shared" si="0"/>
        <v>303.37</v>
      </c>
      <c r="AC21" s="116">
        <f>IFERROR(AB21/AB148, "NA")</f>
        <v>9.1131275056820001E-3</v>
      </c>
      <c r="AD21" s="118">
        <f t="shared" si="1"/>
        <v>-245</v>
      </c>
      <c r="AE21" s="119">
        <f>IFERROR(AD21/AD148, "NA")</f>
        <v>3.9689611041811804E-2</v>
      </c>
      <c r="AF21" s="118">
        <f t="shared" si="2"/>
        <v>-0.80759468635659426</v>
      </c>
      <c r="AG21" s="117">
        <f t="shared" si="3"/>
        <v>236.26374999999999</v>
      </c>
      <c r="AH21" s="116">
        <f>IFERROR(AG21/AG148, "NA")</f>
        <v>8.094530043519484E-3</v>
      </c>
      <c r="AI21" s="118">
        <f t="shared" si="4"/>
        <v>-177.89374999999998</v>
      </c>
      <c r="AJ21" s="119">
        <f>IFERROR(AI21/AI148, "NA")</f>
        <v>8.5871183871676138E-2</v>
      </c>
      <c r="AK21" s="118">
        <f t="shared" si="5"/>
        <v>-0.7529455957589769</v>
      </c>
      <c r="AL21" s="119">
        <f>IFERROR(AK21/AK148, "NA")</f>
        <v>10.608544709822279</v>
      </c>
    </row>
    <row r="22" spans="1:38" ht="16.5" customHeight="1" x14ac:dyDescent="0.25">
      <c r="A22" s="7" t="s">
        <v>28</v>
      </c>
      <c r="B22" s="115">
        <v>0</v>
      </c>
      <c r="C22" s="116">
        <f>IFERROR(B22/B148, "NA")</f>
        <v>0</v>
      </c>
      <c r="D22" s="115">
        <v>0</v>
      </c>
      <c r="E22" s="116">
        <f>IFERROR(D22/D148, "NA")</f>
        <v>0</v>
      </c>
      <c r="F22" s="115">
        <v>0</v>
      </c>
      <c r="G22" s="116">
        <f>IFERROR(F22/F148, "NA")</f>
        <v>0</v>
      </c>
      <c r="H22" s="115">
        <v>0</v>
      </c>
      <c r="I22" s="116">
        <f>IFERROR(H22/H148, "NA")</f>
        <v>0</v>
      </c>
      <c r="J22" s="115">
        <v>0</v>
      </c>
      <c r="K22" s="116">
        <f>IFERROR(J22/J148, "NA")</f>
        <v>0</v>
      </c>
      <c r="L22" s="115">
        <v>0</v>
      </c>
      <c r="M22" s="116">
        <f>IFERROR(L22/L148, "NA")</f>
        <v>0</v>
      </c>
      <c r="N22" s="115">
        <v>0</v>
      </c>
      <c r="O22" s="116">
        <f>IFERROR(N22/N148, "NA")</f>
        <v>0</v>
      </c>
      <c r="P22" s="115">
        <v>0</v>
      </c>
      <c r="Q22" s="116">
        <f>IFERROR(P22/P148, "NA")</f>
        <v>0</v>
      </c>
      <c r="R22" s="115">
        <v>0</v>
      </c>
      <c r="S22" s="116">
        <f>IFERROR(R22/R148, "NA")</f>
        <v>0</v>
      </c>
      <c r="T22" s="115">
        <v>0</v>
      </c>
      <c r="U22" s="116">
        <f>IFERROR(T22/T148, "NA")</f>
        <v>0</v>
      </c>
      <c r="V22" s="115">
        <v>0</v>
      </c>
      <c r="W22" s="116">
        <f>IFERROR(V22/V148, "NA")</f>
        <v>0</v>
      </c>
      <c r="X22" s="115">
        <v>326.41000000000003</v>
      </c>
      <c r="Y22" s="116">
        <f>IFERROR(X22/X148, "NA")</f>
        <v>1.2037347085384367E-2</v>
      </c>
      <c r="Z22" s="115">
        <v>326.41000000000003</v>
      </c>
      <c r="AA22" s="116">
        <f>IFERROR(Z22/Z148, "NA")</f>
        <v>5.6405743947195892E-3</v>
      </c>
      <c r="AB22" s="117">
        <f t="shared" si="0"/>
        <v>81.602500000000006</v>
      </c>
      <c r="AC22" s="116">
        <f>IFERROR(AB22/AB148, "NA")</f>
        <v>2.4513102392537674E-3</v>
      </c>
      <c r="AD22" s="118">
        <f t="shared" si="1"/>
        <v>244.8075</v>
      </c>
      <c r="AE22" s="119">
        <f>IFERROR(AD22/AD148, "NA")</f>
        <v>-3.965842634742181E-2</v>
      </c>
      <c r="AF22" s="118">
        <f t="shared" si="2"/>
        <v>3</v>
      </c>
      <c r="AG22" s="117">
        <f t="shared" si="3"/>
        <v>40.801250000000003</v>
      </c>
      <c r="AH22" s="116">
        <f>IFERROR(AG22/AG148, "NA")</f>
        <v>1.3978739605129836E-3</v>
      </c>
      <c r="AI22" s="118">
        <f t="shared" si="4"/>
        <v>285.60875000000004</v>
      </c>
      <c r="AJ22" s="119">
        <f>IFERROR(AI22/AI148, "NA")</f>
        <v>-0.13786634711230489</v>
      </c>
      <c r="AK22" s="118">
        <f t="shared" si="5"/>
        <v>7.0000000000000009</v>
      </c>
      <c r="AL22" s="119">
        <f>IFERROR(AK22/AK148, "NA")</f>
        <v>-98.62573522845473</v>
      </c>
    </row>
    <row r="23" spans="1:38" ht="16.5" customHeight="1" x14ac:dyDescent="0.25">
      <c r="A23" s="7" t="s">
        <v>29</v>
      </c>
      <c r="B23" s="115">
        <v>161.16</v>
      </c>
      <c r="C23" s="116">
        <f>IFERROR(B23/B148, "NA")</f>
        <v>3.9797918635037085E-3</v>
      </c>
      <c r="D23" s="115">
        <v>210.88</v>
      </c>
      <c r="E23" s="116">
        <f>IFERROR(D23/D148, "NA")</f>
        <v>9.1107512740708236E-3</v>
      </c>
      <c r="F23" s="115">
        <v>131.51</v>
      </c>
      <c r="G23" s="116">
        <f>IFERROR(F23/F148, "NA")</f>
        <v>5.1730682616075415E-3</v>
      </c>
      <c r="H23" s="115">
        <v>273.24</v>
      </c>
      <c r="I23" s="116">
        <f>IFERROR(H23/H148, "NA")</f>
        <v>1.1149717727373814E-2</v>
      </c>
      <c r="J23" s="115">
        <v>79.84</v>
      </c>
      <c r="K23" s="116">
        <f>IFERROR(J23/J148, "NA")</f>
        <v>3.0892094347799172E-3</v>
      </c>
      <c r="L23" s="115">
        <v>-619.03</v>
      </c>
      <c r="M23" s="116">
        <f>IFERROR(L23/L148, "NA")</f>
        <v>-2.1743857131165306E-2</v>
      </c>
      <c r="N23" s="115">
        <v>960.83</v>
      </c>
      <c r="O23" s="116">
        <f>IFERROR(N23/N148, "NA")</f>
        <v>3.909932742141313E-2</v>
      </c>
      <c r="P23" s="115">
        <v>163.1</v>
      </c>
      <c r="Q23" s="116">
        <f>IFERROR(P23/P148, "NA")</f>
        <v>7.6004803540863884E-3</v>
      </c>
      <c r="R23" s="115">
        <v>183.46</v>
      </c>
      <c r="S23" s="116">
        <f>IFERROR(R23/R148, "NA")</f>
        <v>3.8213453360153157E-3</v>
      </c>
      <c r="T23" s="115">
        <v>202.85</v>
      </c>
      <c r="U23" s="116">
        <f>IFERROR(T23/T148, "NA")</f>
        <v>7.4358858748227175E-3</v>
      </c>
      <c r="V23" s="115">
        <v>284.17</v>
      </c>
      <c r="W23" s="116">
        <f>IFERROR(V23/V148, "NA")</f>
        <v>9.2407659003804019E-3</v>
      </c>
      <c r="X23" s="115">
        <v>150.35</v>
      </c>
      <c r="Y23" s="116">
        <f>IFERROR(X23/X148, "NA")</f>
        <v>5.5446068879248158E-3</v>
      </c>
      <c r="Z23" s="115">
        <v>434.52</v>
      </c>
      <c r="AA23" s="116">
        <f>IFERROR(Z23/Z148, "NA")</f>
        <v>7.5087846144222163E-3</v>
      </c>
      <c r="AB23" s="117">
        <f t="shared" si="0"/>
        <v>205.20750000000001</v>
      </c>
      <c r="AC23" s="116">
        <f>IFERROR(AB23/AB148, "NA")</f>
        <v>6.164360723282589E-3</v>
      </c>
      <c r="AD23" s="118">
        <f t="shared" si="1"/>
        <v>-54.857500000000016</v>
      </c>
      <c r="AE23" s="119">
        <f>IFERROR(AD23/AD148, "NA")</f>
        <v>8.886827909086497E-3</v>
      </c>
      <c r="AF23" s="118">
        <f t="shared" si="2"/>
        <v>-0.26732697391664539</v>
      </c>
      <c r="AG23" s="117">
        <f t="shared" si="3"/>
        <v>175.69625000000002</v>
      </c>
      <c r="AH23" s="116">
        <f>IFERROR(AG23/AG148, "NA")</f>
        <v>6.0194531499593593E-3</v>
      </c>
      <c r="AI23" s="118">
        <f t="shared" si="4"/>
        <v>-25.346250000000026</v>
      </c>
      <c r="AJ23" s="119">
        <f>IFERROR(AI23/AI148, "NA")</f>
        <v>1.2234901418444853E-2</v>
      </c>
      <c r="AK23" s="118">
        <f t="shared" si="5"/>
        <v>-0.14426175857481319</v>
      </c>
      <c r="AL23" s="119">
        <f>IFERROR(AK23/AK148, "NA")</f>
        <v>2.0325602863986831</v>
      </c>
    </row>
    <row r="24" spans="1:38" ht="16.5" customHeight="1" x14ac:dyDescent="0.25">
      <c r="A24" s="7" t="s">
        <v>30</v>
      </c>
      <c r="B24" s="115">
        <v>2122.83</v>
      </c>
      <c r="C24" s="116">
        <f>IFERROR(B24/B148, "NA")</f>
        <v>5.2422571119394246E-2</v>
      </c>
      <c r="D24" s="115">
        <v>1182.8399999999999</v>
      </c>
      <c r="E24" s="116">
        <f>IFERROR(D24/D148, "NA")</f>
        <v>5.1102812201355895E-2</v>
      </c>
      <c r="F24" s="115">
        <v>2097.35</v>
      </c>
      <c r="G24" s="116">
        <f>IFERROR(F24/F148, "NA")</f>
        <v>8.2501214496863942E-2</v>
      </c>
      <c r="H24" s="115">
        <v>1372.72</v>
      </c>
      <c r="I24" s="116">
        <f>IFERROR(H24/H148, "NA")</f>
        <v>5.601464104348039E-2</v>
      </c>
      <c r="J24" s="115">
        <v>1390.86</v>
      </c>
      <c r="K24" s="116">
        <f>IFERROR(J24/J148, "NA")</f>
        <v>5.3815854640004948E-2</v>
      </c>
      <c r="L24" s="115">
        <v>1680.19</v>
      </c>
      <c r="M24" s="116">
        <f>IFERROR(L24/L148, "NA")</f>
        <v>5.901783647515086E-2</v>
      </c>
      <c r="N24" s="115">
        <v>1205.08</v>
      </c>
      <c r="O24" s="116">
        <f>IFERROR(N24/N148, "NA")</f>
        <v>4.9038661874625612E-2</v>
      </c>
      <c r="P24" s="115">
        <v>891.25</v>
      </c>
      <c r="Q24" s="116">
        <f>IFERROR(P24/P148, "NA")</f>
        <v>4.1532361223663362E-2</v>
      </c>
      <c r="R24" s="115">
        <v>2749.89</v>
      </c>
      <c r="S24" s="116">
        <f>IFERROR(R24/R148, "NA")</f>
        <v>5.7278313125777587E-2</v>
      </c>
      <c r="T24" s="115">
        <v>1630</v>
      </c>
      <c r="U24" s="116">
        <f>IFERROR(T24/T148, "NA")</f>
        <v>5.9751017875085181E-2</v>
      </c>
      <c r="V24" s="115">
        <v>1778.71</v>
      </c>
      <c r="W24" s="116">
        <f>IFERROR(V24/V148, "NA")</f>
        <v>5.7840879454782786E-2</v>
      </c>
      <c r="X24" s="115">
        <v>1166.07</v>
      </c>
      <c r="Y24" s="116">
        <f>IFERROR(X24/X148, "NA")</f>
        <v>4.3002326264067109E-2</v>
      </c>
      <c r="Z24" s="115">
        <v>2944.78</v>
      </c>
      <c r="AA24" s="116">
        <f>IFERROR(Z24/Z148, "NA")</f>
        <v>5.0887689305114281E-2</v>
      </c>
      <c r="AB24" s="117">
        <f t="shared" si="0"/>
        <v>1831.1674999999998</v>
      </c>
      <c r="AC24" s="116">
        <f>IFERROR(AB24/AB148, "NA")</f>
        <v>5.5007624062237338E-2</v>
      </c>
      <c r="AD24" s="118">
        <f t="shared" si="1"/>
        <v>-665.09749999999985</v>
      </c>
      <c r="AE24" s="119">
        <f>IFERROR(AD24/AD148, "NA")</f>
        <v>0.10774473910155682</v>
      </c>
      <c r="AF24" s="118">
        <f t="shared" si="2"/>
        <v>-0.36320953708494713</v>
      </c>
      <c r="AG24" s="117">
        <f t="shared" si="3"/>
        <v>1561.5062499999999</v>
      </c>
      <c r="AH24" s="116">
        <f>IFERROR(AG24/AG148, "NA")</f>
        <v>5.3498089545131015E-2</v>
      </c>
      <c r="AI24" s="118">
        <f t="shared" si="4"/>
        <v>-395.43624999999997</v>
      </c>
      <c r="AJ24" s="119">
        <f>IFERROR(AI24/AI148, "NA")</f>
        <v>0.19088123631817361</v>
      </c>
      <c r="AK24" s="118">
        <f t="shared" si="5"/>
        <v>-0.25324026080587253</v>
      </c>
      <c r="AL24" s="119">
        <f>IFERROR(AK24/AK148, "NA")</f>
        <v>3.5680009873464003</v>
      </c>
    </row>
    <row r="25" spans="1:38" ht="16.5" hidden="1" customHeight="1" x14ac:dyDescent="0.25">
      <c r="A25" s="7" t="s">
        <v>31</v>
      </c>
      <c r="B25" s="115">
        <v>0</v>
      </c>
      <c r="C25" s="116">
        <f>IFERROR(B25/B148, "NA")</f>
        <v>0</v>
      </c>
      <c r="D25" s="115">
        <v>0</v>
      </c>
      <c r="E25" s="116">
        <f>IFERROR(D25/D148, "NA")</f>
        <v>0</v>
      </c>
      <c r="F25" s="115">
        <v>0</v>
      </c>
      <c r="G25" s="116">
        <f>IFERROR(F25/F148, "NA")</f>
        <v>0</v>
      </c>
      <c r="H25" s="115">
        <v>0</v>
      </c>
      <c r="I25" s="116">
        <f>IFERROR(H25/H148, "NA")</f>
        <v>0</v>
      </c>
      <c r="J25" s="115">
        <v>0</v>
      </c>
      <c r="K25" s="116">
        <f>IFERROR(J25/J148, "NA")</f>
        <v>0</v>
      </c>
      <c r="L25" s="115">
        <v>0</v>
      </c>
      <c r="M25" s="116">
        <f>IFERROR(L25/L148, "NA")</f>
        <v>0</v>
      </c>
      <c r="N25" s="115">
        <v>0</v>
      </c>
      <c r="O25" s="116">
        <f>IFERROR(N25/N148, "NA")</f>
        <v>0</v>
      </c>
      <c r="P25" s="115">
        <v>0</v>
      </c>
      <c r="Q25" s="116">
        <f>IFERROR(P25/P148, "NA")</f>
        <v>0</v>
      </c>
      <c r="R25" s="115">
        <v>0</v>
      </c>
      <c r="S25" s="116">
        <f>IFERROR(R25/R148, "NA")</f>
        <v>0</v>
      </c>
      <c r="T25" s="115">
        <v>0</v>
      </c>
      <c r="U25" s="116">
        <f>IFERROR(T25/T148, "NA")</f>
        <v>0</v>
      </c>
      <c r="V25" s="115">
        <v>0</v>
      </c>
      <c r="W25" s="116">
        <f>IFERROR(V25/V148, "NA")</f>
        <v>0</v>
      </c>
      <c r="X25" s="115">
        <v>0</v>
      </c>
      <c r="Y25" s="116">
        <f>IFERROR(X25/X148, "NA")</f>
        <v>0</v>
      </c>
      <c r="Z25" s="115">
        <v>0</v>
      </c>
      <c r="AA25" s="116">
        <f>IFERROR(Z25/Z148, "NA")</f>
        <v>0</v>
      </c>
      <c r="AB25" s="117">
        <f t="shared" si="0"/>
        <v>0</v>
      </c>
      <c r="AC25" s="116">
        <f>IFERROR(AB25/AB148, "NA")</f>
        <v>0</v>
      </c>
      <c r="AD25" s="118">
        <f t="shared" si="1"/>
        <v>0</v>
      </c>
      <c r="AE25" s="119">
        <f>IFERROR(AD25/AD148, "NA")</f>
        <v>0</v>
      </c>
      <c r="AF25" s="118" t="str">
        <f t="shared" si="2"/>
        <v>NA</v>
      </c>
      <c r="AG25" s="117">
        <f t="shared" si="3"/>
        <v>0</v>
      </c>
      <c r="AH25" s="116">
        <f>IFERROR(AG25/AG148, "NA")</f>
        <v>0</v>
      </c>
      <c r="AI25" s="118">
        <f t="shared" si="4"/>
        <v>0</v>
      </c>
      <c r="AJ25" s="119">
        <f>IFERROR(AI25/AI148, "NA")</f>
        <v>0</v>
      </c>
      <c r="AK25" s="118" t="str">
        <f t="shared" si="5"/>
        <v>NA</v>
      </c>
      <c r="AL25" s="119" t="str">
        <f>IFERROR(AK25/AK148, "NA")</f>
        <v>NA</v>
      </c>
    </row>
    <row r="26" spans="1:38" ht="16.5" hidden="1" customHeight="1" x14ac:dyDescent="0.25">
      <c r="A26" s="7" t="s">
        <v>32</v>
      </c>
      <c r="B26" s="115">
        <v>0</v>
      </c>
      <c r="C26" s="116">
        <f>IFERROR(B26/B148, "NA")</f>
        <v>0</v>
      </c>
      <c r="D26" s="115">
        <v>0</v>
      </c>
      <c r="E26" s="116">
        <f>IFERROR(D26/D148, "NA")</f>
        <v>0</v>
      </c>
      <c r="F26" s="115">
        <v>0</v>
      </c>
      <c r="G26" s="116">
        <f>IFERROR(F26/F148, "NA")</f>
        <v>0</v>
      </c>
      <c r="H26" s="115">
        <v>0</v>
      </c>
      <c r="I26" s="116">
        <f>IFERROR(H26/H148, "NA")</f>
        <v>0</v>
      </c>
      <c r="J26" s="115">
        <v>0</v>
      </c>
      <c r="K26" s="116">
        <f>IFERROR(J26/J148, "NA")</f>
        <v>0</v>
      </c>
      <c r="L26" s="115">
        <v>0</v>
      </c>
      <c r="M26" s="116">
        <f>IFERROR(L26/L148, "NA")</f>
        <v>0</v>
      </c>
      <c r="N26" s="115">
        <v>0</v>
      </c>
      <c r="O26" s="116">
        <f>IFERROR(N26/N148, "NA")</f>
        <v>0</v>
      </c>
      <c r="P26" s="115">
        <v>0</v>
      </c>
      <c r="Q26" s="116">
        <f>IFERROR(P26/P148, "NA")</f>
        <v>0</v>
      </c>
      <c r="R26" s="115">
        <v>0</v>
      </c>
      <c r="S26" s="116">
        <f>IFERROR(R26/R148, "NA")</f>
        <v>0</v>
      </c>
      <c r="T26" s="115">
        <v>0</v>
      </c>
      <c r="U26" s="116">
        <f>IFERROR(T26/T148, "NA")</f>
        <v>0</v>
      </c>
      <c r="V26" s="115">
        <v>0</v>
      </c>
      <c r="W26" s="116">
        <f>IFERROR(V26/V148, "NA")</f>
        <v>0</v>
      </c>
      <c r="X26" s="115">
        <v>0</v>
      </c>
      <c r="Y26" s="116">
        <f>IFERROR(X26/X148, "NA")</f>
        <v>0</v>
      </c>
      <c r="Z26" s="115">
        <v>0</v>
      </c>
      <c r="AA26" s="116">
        <f>IFERROR(Z26/Z148, "NA")</f>
        <v>0</v>
      </c>
      <c r="AB26" s="117">
        <f t="shared" si="0"/>
        <v>0</v>
      </c>
      <c r="AC26" s="116">
        <f>IFERROR(AB26/AB148, "NA")</f>
        <v>0</v>
      </c>
      <c r="AD26" s="118">
        <f t="shared" si="1"/>
        <v>0</v>
      </c>
      <c r="AE26" s="119">
        <f>IFERROR(AD26/AD148, "NA")</f>
        <v>0</v>
      </c>
      <c r="AF26" s="118" t="str">
        <f t="shared" si="2"/>
        <v>NA</v>
      </c>
      <c r="AG26" s="117">
        <f t="shared" si="3"/>
        <v>0</v>
      </c>
      <c r="AH26" s="116">
        <f>IFERROR(AG26/AG148, "NA")</f>
        <v>0</v>
      </c>
      <c r="AI26" s="118">
        <f t="shared" si="4"/>
        <v>0</v>
      </c>
      <c r="AJ26" s="119">
        <f>IFERROR(AI26/AI148, "NA")</f>
        <v>0</v>
      </c>
      <c r="AK26" s="118" t="str">
        <f t="shared" si="5"/>
        <v>NA</v>
      </c>
      <c r="AL26" s="119" t="str">
        <f>IFERROR(AK26/AK148, "NA")</f>
        <v>NA</v>
      </c>
    </row>
    <row r="27" spans="1:38" ht="16.5" customHeight="1" x14ac:dyDescent="0.25">
      <c r="A27" s="129" t="s">
        <v>33</v>
      </c>
      <c r="B27" s="121">
        <f>IFERROR(B15+B16+B17+B18+B19+B20+B21+B22+B23+B24+B25+B26, "NA")</f>
        <v>8198.2000000000007</v>
      </c>
      <c r="C27" s="122">
        <f>IFERROR(B27/B148, "NA")</f>
        <v>0.2024517849055355</v>
      </c>
      <c r="D27" s="121">
        <f>IFERROR(D15+D16+D17+D18+D19+D20+D21+D22+D23+D24+D25+D26, "NA")</f>
        <v>4259.46</v>
      </c>
      <c r="E27" s="122">
        <f>IFERROR(D27/D148, "NA")</f>
        <v>0.18402352343443526</v>
      </c>
      <c r="F27" s="121">
        <f>IFERROR(F15+F16+F17+F18+F19+F20+F21+F22+F23+F24+F25+F26, "NA")</f>
        <v>5528.0599999999995</v>
      </c>
      <c r="G27" s="122">
        <f>IFERROR(F27/F148, "NA")</f>
        <v>0.2174513857065028</v>
      </c>
      <c r="H27" s="121">
        <f>IFERROR(H15+H16+H17+H18+H19+H20+H21+H22+H23+H24+H25+H26, "NA")</f>
        <v>5242.5000000000009</v>
      </c>
      <c r="I27" s="122">
        <f>IFERROR(H27/H148, "NA")</f>
        <v>0.21392327326071303</v>
      </c>
      <c r="J27" s="121">
        <f>IFERROR(J15+J16+J17+J18+J19+J20+J21+J22+J23+J24+J25+J26, "NA")</f>
        <v>4540.5</v>
      </c>
      <c r="K27" s="122">
        <f>IFERROR(J27/J148, "NA")</f>
        <v>0.17568330960193154</v>
      </c>
      <c r="L27" s="121">
        <f>IFERROR(L15+L16+L17+L18+L19+L20+L21+L22+L23+L24+L25+L26, "NA")</f>
        <v>4635.2700000000004</v>
      </c>
      <c r="M27" s="122">
        <f>IFERROR(L27/L148, "NA")</f>
        <v>0.1628170664497304</v>
      </c>
      <c r="N27" s="121">
        <f>IFERROR(N15+N16+N17+N18+N19+N20+N21+N22+N23+N24+N25+N26, "NA")</f>
        <v>5314.09</v>
      </c>
      <c r="O27" s="122">
        <f>IFERROR(N27/N148, "NA")</f>
        <v>0.21624777000807355</v>
      </c>
      <c r="P27" s="121">
        <f>IFERROR(P15+P16+P17+P18+P19+P20+P21+P22+P23+P24+P25+P26, "NA")</f>
        <v>4464</v>
      </c>
      <c r="Q27" s="122">
        <f>IFERROR(P27/P148, "NA")</f>
        <v>0.2080229570854791</v>
      </c>
      <c r="R27" s="121">
        <f>IFERROR(R15+R16+R17+R18+R19+R20+R21+R22+R23+R24+R25+R26, "NA")</f>
        <v>8820.6099999999988</v>
      </c>
      <c r="S27" s="122">
        <f>IFERROR(R27/R148, "NA")</f>
        <v>0.18372722601280961</v>
      </c>
      <c r="T27" s="121">
        <f>IFERROR(T15+T16+T17+T18+T19+T20+T21+T22+T23+T24+T25+T26, "NA")</f>
        <v>5379.76</v>
      </c>
      <c r="U27" s="122">
        <f>IFERROR(T27/T148, "NA")</f>
        <v>0.19720621835807869</v>
      </c>
      <c r="V27" s="121">
        <f>IFERROR(V15+V16+V17+V18+V19+V20+V21+V22+V23+V24+V25+V26, "NA")</f>
        <v>6723.28</v>
      </c>
      <c r="W27" s="122">
        <f>IFERROR(V27/V148, "NA")</f>
        <v>0.21863059634271578</v>
      </c>
      <c r="X27" s="121">
        <f>IFERROR(X15+X16+X17+X18+X19+X20+X21+X22+X23+X24+X25+X26, "NA")</f>
        <v>5161.71</v>
      </c>
      <c r="Y27" s="122">
        <f>IFERROR(X27/X148, "NA")</f>
        <v>0.19035352723292587</v>
      </c>
      <c r="Z27" s="121">
        <f>IFERROR(Z15+Z16+Z17+Z18+Z19+Z20+Z21+Z22+Z23+Z24+Z25+Z26, "NA")</f>
        <v>11884.990000000002</v>
      </c>
      <c r="AA27" s="122">
        <f>IFERROR(Z27/Z148, "NA")</f>
        <v>0.20538025880180868</v>
      </c>
      <c r="AB27" s="121">
        <f t="shared" si="0"/>
        <v>6521.3399999999992</v>
      </c>
      <c r="AC27" s="122">
        <f>IFERROR(AB27/AB148, "NA")</f>
        <v>0.19589874716651035</v>
      </c>
      <c r="AD27" s="123">
        <f t="shared" si="1"/>
        <v>-1359.6299999999992</v>
      </c>
      <c r="AE27" s="124">
        <f>IFERROR(AD27/AD148, "NA")</f>
        <v>0.22025790147256552</v>
      </c>
      <c r="AF27" s="123">
        <f t="shared" si="2"/>
        <v>-0.20848935954880429</v>
      </c>
      <c r="AG27" s="121">
        <f t="shared" si="3"/>
        <v>5629.9025000000001</v>
      </c>
      <c r="AH27" s="122">
        <f>IFERROR(AG27/AG148, "NA")</f>
        <v>0.19288365197088195</v>
      </c>
      <c r="AI27" s="123">
        <f t="shared" si="4"/>
        <v>-468.19250000000011</v>
      </c>
      <c r="AJ27" s="124">
        <f>IFERROR(AI27/AI148, "NA")</f>
        <v>0.22600144330444294</v>
      </c>
      <c r="AK27" s="123">
        <f t="shared" si="5"/>
        <v>-8.3161742143847098E-2</v>
      </c>
      <c r="AL27" s="124">
        <f>IFERROR(AK27/AK148, "NA")</f>
        <v>1.1716982802594411</v>
      </c>
    </row>
    <row r="28" spans="1:38" ht="16.5" customHeight="1" x14ac:dyDescent="0.25">
      <c r="A28" s="6" t="s">
        <v>34</v>
      </c>
      <c r="B28" s="111"/>
      <c r="C28" s="112"/>
      <c r="D28" s="111"/>
      <c r="E28" s="112"/>
      <c r="F28" s="111"/>
      <c r="G28" s="112"/>
      <c r="H28" s="111"/>
      <c r="I28" s="112"/>
      <c r="J28" s="111"/>
      <c r="K28" s="112"/>
      <c r="L28" s="111"/>
      <c r="M28" s="112"/>
      <c r="N28" s="111"/>
      <c r="O28" s="112"/>
      <c r="P28" s="111"/>
      <c r="Q28" s="112"/>
      <c r="R28" s="111"/>
      <c r="S28" s="112"/>
      <c r="T28" s="111"/>
      <c r="U28" s="112"/>
      <c r="V28" s="111"/>
      <c r="W28" s="112"/>
      <c r="X28" s="111"/>
      <c r="Y28" s="112"/>
      <c r="Z28" s="111"/>
      <c r="AA28" s="112"/>
      <c r="AB28" s="111"/>
      <c r="AC28" s="112"/>
      <c r="AD28" s="113"/>
      <c r="AE28" s="114"/>
      <c r="AF28" s="113"/>
      <c r="AG28" s="111"/>
      <c r="AH28" s="112"/>
      <c r="AI28" s="113"/>
      <c r="AJ28" s="114"/>
      <c r="AK28" s="113"/>
      <c r="AL28" s="114"/>
    </row>
    <row r="29" spans="1:38" ht="16.5" hidden="1" customHeight="1" x14ac:dyDescent="0.25">
      <c r="A29" s="7" t="s">
        <v>35</v>
      </c>
      <c r="B29" s="115">
        <v>0</v>
      </c>
      <c r="C29" s="116">
        <f>IFERROR(B29/B148, "NA")</f>
        <v>0</v>
      </c>
      <c r="D29" s="115">
        <v>0</v>
      </c>
      <c r="E29" s="116">
        <f>IFERROR(D29/D148, "NA")</f>
        <v>0</v>
      </c>
      <c r="F29" s="115">
        <v>0</v>
      </c>
      <c r="G29" s="116">
        <f>IFERROR(F29/F148, "NA")</f>
        <v>0</v>
      </c>
      <c r="H29" s="115">
        <v>0</v>
      </c>
      <c r="I29" s="116">
        <f>IFERROR(H29/H148, "NA")</f>
        <v>0</v>
      </c>
      <c r="J29" s="115">
        <v>0</v>
      </c>
      <c r="K29" s="116">
        <f>IFERROR(J29/J148, "NA")</f>
        <v>0</v>
      </c>
      <c r="L29" s="115">
        <v>0</v>
      </c>
      <c r="M29" s="116">
        <f>IFERROR(L29/L148, "NA")</f>
        <v>0</v>
      </c>
      <c r="N29" s="115">
        <v>0</v>
      </c>
      <c r="O29" s="116">
        <f>IFERROR(N29/N148, "NA")</f>
        <v>0</v>
      </c>
      <c r="P29" s="115">
        <v>0</v>
      </c>
      <c r="Q29" s="116">
        <f>IFERROR(P29/P148, "NA")</f>
        <v>0</v>
      </c>
      <c r="R29" s="115">
        <v>0</v>
      </c>
      <c r="S29" s="116">
        <f>IFERROR(R29/R148, "NA")</f>
        <v>0</v>
      </c>
      <c r="T29" s="115">
        <v>0</v>
      </c>
      <c r="U29" s="116">
        <f>IFERROR(T29/T148, "NA")</f>
        <v>0</v>
      </c>
      <c r="V29" s="115">
        <v>0</v>
      </c>
      <c r="W29" s="116">
        <f>IFERROR(V29/V148, "NA")</f>
        <v>0</v>
      </c>
      <c r="X29" s="115">
        <v>0</v>
      </c>
      <c r="Y29" s="116">
        <f>IFERROR(X29/X148, "NA")</f>
        <v>0</v>
      </c>
      <c r="Z29" s="115">
        <v>0</v>
      </c>
      <c r="AA29" s="116">
        <f>IFERROR(Z29/Z148, "NA")</f>
        <v>0</v>
      </c>
      <c r="AB29" s="117">
        <f t="shared" ref="AB29:AB35" si="6">IFERROR((R29+T29+V29+X29)/4, "NA")</f>
        <v>0</v>
      </c>
      <c r="AC29" s="116">
        <f>IFERROR(AB29/AB148, "NA")</f>
        <v>0</v>
      </c>
      <c r="AD29" s="118">
        <f t="shared" ref="AD29:AD35" si="7">IFERROR(X29-AB29, "NA")</f>
        <v>0</v>
      </c>
      <c r="AE29" s="119">
        <f>IFERROR(AD29/AD148, "NA")</f>
        <v>0</v>
      </c>
      <c r="AF29" s="118" t="str">
        <f t="shared" ref="AF29:AF35" si="8">IFERROR((X29-AB29)/AB29, "NA")</f>
        <v>NA</v>
      </c>
      <c r="AG29" s="117">
        <f t="shared" ref="AG29:AG35" si="9">IFERROR((J29+L29+N29+P29+R29+T29+V29+X29)/8, "NA")</f>
        <v>0</v>
      </c>
      <c r="AH29" s="116">
        <f>IFERROR(AG29/AG148, "NA")</f>
        <v>0</v>
      </c>
      <c r="AI29" s="118">
        <f t="shared" ref="AI29:AI35" si="10">IFERROR(X29-AG29, "NA")</f>
        <v>0</v>
      </c>
      <c r="AJ29" s="119">
        <f>IFERROR(AI29/AI148, "NA")</f>
        <v>0</v>
      </c>
      <c r="AK29" s="118" t="str">
        <f t="shared" ref="AK29:AK35" si="11">IFERROR((X29-AG29)/AG29, "NA")</f>
        <v>NA</v>
      </c>
      <c r="AL29" s="119" t="str">
        <f>IFERROR(AK29/AK148, "NA")</f>
        <v>NA</v>
      </c>
    </row>
    <row r="30" spans="1:38" ht="16.5" customHeight="1" x14ac:dyDescent="0.25">
      <c r="A30" s="7" t="s">
        <v>36</v>
      </c>
      <c r="B30" s="115">
        <v>-367.22</v>
      </c>
      <c r="C30" s="116">
        <f>IFERROR(B30/B148, "NA")</f>
        <v>-9.0683740885817311E-3</v>
      </c>
      <c r="D30" s="115">
        <v>180.23</v>
      </c>
      <c r="E30" s="116">
        <f>IFERROR(D30/D148, "NA")</f>
        <v>7.7865644068938937E-3</v>
      </c>
      <c r="F30" s="115">
        <v>229.29</v>
      </c>
      <c r="G30" s="116">
        <f>IFERROR(F30/F148, "NA")</f>
        <v>9.0193355767925875E-3</v>
      </c>
      <c r="H30" s="115">
        <v>250.72</v>
      </c>
      <c r="I30" s="116">
        <f>IFERROR(H30/H148, "NA")</f>
        <v>1.0230775979385019E-2</v>
      </c>
      <c r="J30" s="115">
        <v>436.78</v>
      </c>
      <c r="K30" s="116">
        <f>IFERROR(J30/J148, "NA")</f>
        <v>1.690011143440847E-2</v>
      </c>
      <c r="L30" s="115">
        <v>322.70999999999998</v>
      </c>
      <c r="M30" s="116">
        <f>IFERROR(L30/L148, "NA")</f>
        <v>1.1335412071787079E-2</v>
      </c>
      <c r="N30" s="115">
        <v>-68.47</v>
      </c>
      <c r="O30" s="116">
        <f>IFERROR(N30/N148, "NA")</f>
        <v>-2.7862691095658513E-3</v>
      </c>
      <c r="P30" s="115">
        <v>218.86</v>
      </c>
      <c r="Q30" s="116">
        <f>IFERROR(P30/P148, "NA")</f>
        <v>1.0198903312663073E-2</v>
      </c>
      <c r="R30" s="115">
        <v>331.45</v>
      </c>
      <c r="S30" s="116">
        <f>IFERROR(R30/R148, "NA")</f>
        <v>6.9038750224696193E-3</v>
      </c>
      <c r="T30" s="115">
        <v>243.36</v>
      </c>
      <c r="U30" s="116">
        <f>IFERROR(T30/T148, "NA")</f>
        <v>8.9208636258163998E-3</v>
      </c>
      <c r="V30" s="115">
        <v>-19.3</v>
      </c>
      <c r="W30" s="116">
        <f>IFERROR(V30/V148, "NA")</f>
        <v>-6.2760594671267813E-4</v>
      </c>
      <c r="X30" s="115">
        <v>177.08</v>
      </c>
      <c r="Y30" s="116">
        <f>IFERROR(X30/X148, "NA")</f>
        <v>6.5303557546639614E-3</v>
      </c>
      <c r="Z30" s="115">
        <v>157.78</v>
      </c>
      <c r="AA30" s="116">
        <f>IFERROR(Z30/Z148, "NA")</f>
        <v>2.7265397138533033E-3</v>
      </c>
      <c r="AB30" s="117">
        <f t="shared" si="6"/>
        <v>183.14750000000001</v>
      </c>
      <c r="AC30" s="116">
        <f>IFERROR(AB30/AB148, "NA")</f>
        <v>5.5016861253482357E-3</v>
      </c>
      <c r="AD30" s="118">
        <f t="shared" si="7"/>
        <v>-6.0674999999999955</v>
      </c>
      <c r="AE30" s="119">
        <f>IFERROR(AD30/AD148, "NA")</f>
        <v>9.8292536733139983E-4</v>
      </c>
      <c r="AF30" s="118">
        <f t="shared" si="8"/>
        <v>-3.3129035340367707E-2</v>
      </c>
      <c r="AG30" s="117">
        <f t="shared" si="9"/>
        <v>205.30875</v>
      </c>
      <c r="AH30" s="116">
        <f>IFERROR(AG30/AG148, "NA")</f>
        <v>7.0339941911208605E-3</v>
      </c>
      <c r="AI30" s="118">
        <f t="shared" si="10"/>
        <v>-28.228749999999991</v>
      </c>
      <c r="AJ30" s="119">
        <f>IFERROR(AI30/AI148, "NA")</f>
        <v>1.362631448107411E-2</v>
      </c>
      <c r="AK30" s="118">
        <f t="shared" si="11"/>
        <v>-0.137494139923408</v>
      </c>
      <c r="AL30" s="119">
        <f>IFERROR(AK30/AK148, "NA")</f>
        <v>1.9372086627928775</v>
      </c>
    </row>
    <row r="31" spans="1:38" ht="16.5" customHeight="1" x14ac:dyDescent="0.25">
      <c r="A31" s="7" t="s">
        <v>37</v>
      </c>
      <c r="B31" s="115">
        <v>26.79</v>
      </c>
      <c r="C31" s="116">
        <f>IFERROR(B31/B148, "NA")</f>
        <v>6.6157001751839374E-4</v>
      </c>
      <c r="D31" s="115">
        <v>30.18</v>
      </c>
      <c r="E31" s="116">
        <f>IFERROR(D31/D148, "NA")</f>
        <v>1.3038812284306594E-3</v>
      </c>
      <c r="F31" s="115">
        <v>7.66</v>
      </c>
      <c r="G31" s="116">
        <f>IFERROR(F31/F148, "NA")</f>
        <v>3.0131323005029098E-4</v>
      </c>
      <c r="H31" s="115">
        <v>16.420000000000002</v>
      </c>
      <c r="I31" s="116">
        <f>IFERROR(H31/H148, "NA")</f>
        <v>6.7002768658863286E-4</v>
      </c>
      <c r="J31" s="115">
        <v>12.38</v>
      </c>
      <c r="K31" s="116">
        <f>IFERROR(J31/J148, "NA")</f>
        <v>4.790131864050022E-4</v>
      </c>
      <c r="L31" s="115">
        <v>27.36</v>
      </c>
      <c r="M31" s="116">
        <f>IFERROR(L31/L148, "NA")</f>
        <v>9.6103893366829198E-4</v>
      </c>
      <c r="N31" s="115">
        <v>7.3</v>
      </c>
      <c r="O31" s="116">
        <f>IFERROR(N31/N148, "NA")</f>
        <v>2.9706096830481543E-4</v>
      </c>
      <c r="P31" s="115">
        <v>2.44</v>
      </c>
      <c r="Q31" s="116">
        <f>IFERROR(P31/P148, "NA")</f>
        <v>1.1370430450012746E-4</v>
      </c>
      <c r="R31" s="115">
        <v>2.4300000000000002</v>
      </c>
      <c r="S31" s="116">
        <f>IFERROR(R31/R148, "NA")</f>
        <v>5.0615224934684494E-5</v>
      </c>
      <c r="T31" s="115">
        <v>2.44</v>
      </c>
      <c r="U31" s="116">
        <f>IFERROR(T31/T148, "NA")</f>
        <v>8.9443241481722602E-5</v>
      </c>
      <c r="V31" s="115">
        <v>-8.23</v>
      </c>
      <c r="W31" s="116">
        <f>IFERROR(V31/V148, "NA")</f>
        <v>-2.6762678453084667E-4</v>
      </c>
      <c r="X31" s="115">
        <v>21.16</v>
      </c>
      <c r="Y31" s="116">
        <f>IFERROR(X31/X148, "NA")</f>
        <v>7.8033842200524856E-4</v>
      </c>
      <c r="Z31" s="115">
        <v>12.93</v>
      </c>
      <c r="AA31" s="116">
        <f>IFERROR(Z31/Z148, "NA")</f>
        <v>2.2343870262468761E-4</v>
      </c>
      <c r="AB31" s="117">
        <f t="shared" si="6"/>
        <v>4.45</v>
      </c>
      <c r="AC31" s="116">
        <f>IFERROR(AB31/AB148, "NA")</f>
        <v>1.3367642614722913E-4</v>
      </c>
      <c r="AD31" s="118">
        <f t="shared" si="7"/>
        <v>16.71</v>
      </c>
      <c r="AE31" s="119">
        <f>IFERROR(AD31/AD148, "NA")</f>
        <v>-2.7069934714639807E-3</v>
      </c>
      <c r="AF31" s="118">
        <f t="shared" si="8"/>
        <v>3.7550561797752811</v>
      </c>
      <c r="AG31" s="117">
        <f t="shared" si="9"/>
        <v>8.4099999999999984</v>
      </c>
      <c r="AH31" s="116">
        <f>IFERROR(AG31/AG148, "NA")</f>
        <v>2.8813136871821791E-4</v>
      </c>
      <c r="AI31" s="118">
        <f t="shared" si="10"/>
        <v>12.750000000000002</v>
      </c>
      <c r="AJ31" s="119">
        <f>IFERROR(AI31/AI148, "NA")</f>
        <v>-6.1545590801468358E-3</v>
      </c>
      <c r="AK31" s="118">
        <f t="shared" si="11"/>
        <v>1.5160523186682526</v>
      </c>
      <c r="AL31" s="119">
        <f>IFERROR(AK31/AK148, "NA")</f>
        <v>-21.360253510494278</v>
      </c>
    </row>
    <row r="32" spans="1:38" ht="16.5" hidden="1" customHeight="1" x14ac:dyDescent="0.25">
      <c r="A32" s="7" t="s">
        <v>38</v>
      </c>
      <c r="B32" s="115">
        <v>0</v>
      </c>
      <c r="C32" s="116">
        <f>IFERROR(B32/B148, "NA")</f>
        <v>0</v>
      </c>
      <c r="D32" s="115">
        <v>0</v>
      </c>
      <c r="E32" s="116">
        <f>IFERROR(D32/D148, "NA")</f>
        <v>0</v>
      </c>
      <c r="F32" s="115">
        <v>0</v>
      </c>
      <c r="G32" s="116">
        <f>IFERROR(F32/F148, "NA")</f>
        <v>0</v>
      </c>
      <c r="H32" s="115">
        <v>0</v>
      </c>
      <c r="I32" s="116">
        <f>IFERROR(H32/H148, "NA")</f>
        <v>0</v>
      </c>
      <c r="J32" s="115">
        <v>0</v>
      </c>
      <c r="K32" s="116">
        <f>IFERROR(J32/J148, "NA")</f>
        <v>0</v>
      </c>
      <c r="L32" s="115">
        <v>0</v>
      </c>
      <c r="M32" s="116">
        <f>IFERROR(L32/L148, "NA")</f>
        <v>0</v>
      </c>
      <c r="N32" s="115">
        <v>0</v>
      </c>
      <c r="O32" s="116">
        <f>IFERROR(N32/N148, "NA")</f>
        <v>0</v>
      </c>
      <c r="P32" s="115">
        <v>0</v>
      </c>
      <c r="Q32" s="116">
        <f>IFERROR(P32/P148, "NA")</f>
        <v>0</v>
      </c>
      <c r="R32" s="115">
        <v>0</v>
      </c>
      <c r="S32" s="116">
        <f>IFERROR(R32/R148, "NA")</f>
        <v>0</v>
      </c>
      <c r="T32" s="115">
        <v>0</v>
      </c>
      <c r="U32" s="116">
        <f>IFERROR(T32/T148, "NA")</f>
        <v>0</v>
      </c>
      <c r="V32" s="115">
        <v>0</v>
      </c>
      <c r="W32" s="116">
        <f>IFERROR(V32/V148, "NA")</f>
        <v>0</v>
      </c>
      <c r="X32" s="115">
        <v>0</v>
      </c>
      <c r="Y32" s="116">
        <f>IFERROR(X32/X148, "NA")</f>
        <v>0</v>
      </c>
      <c r="Z32" s="115">
        <v>0</v>
      </c>
      <c r="AA32" s="116">
        <f>IFERROR(Z32/Z148, "NA")</f>
        <v>0</v>
      </c>
      <c r="AB32" s="117">
        <f t="shared" si="6"/>
        <v>0</v>
      </c>
      <c r="AC32" s="116">
        <f>IFERROR(AB32/AB148, "NA")</f>
        <v>0</v>
      </c>
      <c r="AD32" s="118">
        <f t="shared" si="7"/>
        <v>0</v>
      </c>
      <c r="AE32" s="119">
        <f>IFERROR(AD32/AD148, "NA")</f>
        <v>0</v>
      </c>
      <c r="AF32" s="118" t="str">
        <f t="shared" si="8"/>
        <v>NA</v>
      </c>
      <c r="AG32" s="117">
        <f t="shared" si="9"/>
        <v>0</v>
      </c>
      <c r="AH32" s="116">
        <f>IFERROR(AG32/AG148, "NA")</f>
        <v>0</v>
      </c>
      <c r="AI32" s="118">
        <f t="shared" si="10"/>
        <v>0</v>
      </c>
      <c r="AJ32" s="119">
        <f>IFERROR(AI32/AI148, "NA")</f>
        <v>0</v>
      </c>
      <c r="AK32" s="118" t="str">
        <f t="shared" si="11"/>
        <v>NA</v>
      </c>
      <c r="AL32" s="119" t="str">
        <f>IFERROR(AK32/AK148, "NA")</f>
        <v>NA</v>
      </c>
    </row>
    <row r="33" spans="1:38" ht="16.5" hidden="1" customHeight="1" x14ac:dyDescent="0.25">
      <c r="A33" s="7" t="s">
        <v>39</v>
      </c>
      <c r="B33" s="115">
        <v>0</v>
      </c>
      <c r="C33" s="116">
        <f>IFERROR(B33/B148, "NA")</f>
        <v>0</v>
      </c>
      <c r="D33" s="115">
        <v>0</v>
      </c>
      <c r="E33" s="116">
        <f>IFERROR(D33/D148, "NA")</f>
        <v>0</v>
      </c>
      <c r="F33" s="115">
        <v>0</v>
      </c>
      <c r="G33" s="116">
        <f>IFERROR(F33/F148, "NA")</f>
        <v>0</v>
      </c>
      <c r="H33" s="115">
        <v>0</v>
      </c>
      <c r="I33" s="116">
        <f>IFERROR(H33/H148, "NA")</f>
        <v>0</v>
      </c>
      <c r="J33" s="115">
        <v>0</v>
      </c>
      <c r="K33" s="116">
        <f>IFERROR(J33/J148, "NA")</f>
        <v>0</v>
      </c>
      <c r="L33" s="115">
        <v>0</v>
      </c>
      <c r="M33" s="116">
        <f>IFERROR(L33/L148, "NA")</f>
        <v>0</v>
      </c>
      <c r="N33" s="115">
        <v>0</v>
      </c>
      <c r="O33" s="116">
        <f>IFERROR(N33/N148, "NA")</f>
        <v>0</v>
      </c>
      <c r="P33" s="115">
        <v>0</v>
      </c>
      <c r="Q33" s="116">
        <f>IFERROR(P33/P148, "NA")</f>
        <v>0</v>
      </c>
      <c r="R33" s="115">
        <v>0</v>
      </c>
      <c r="S33" s="116">
        <f>IFERROR(R33/R148, "NA")</f>
        <v>0</v>
      </c>
      <c r="T33" s="115">
        <v>0</v>
      </c>
      <c r="U33" s="116">
        <f>IFERROR(T33/T148, "NA")</f>
        <v>0</v>
      </c>
      <c r="V33" s="115">
        <v>0</v>
      </c>
      <c r="W33" s="116">
        <f>IFERROR(V33/V148, "NA")</f>
        <v>0</v>
      </c>
      <c r="X33" s="115">
        <v>0</v>
      </c>
      <c r="Y33" s="116">
        <f>IFERROR(X33/X148, "NA")</f>
        <v>0</v>
      </c>
      <c r="Z33" s="115">
        <v>0</v>
      </c>
      <c r="AA33" s="116">
        <f>IFERROR(Z33/Z148, "NA")</f>
        <v>0</v>
      </c>
      <c r="AB33" s="117">
        <f t="shared" si="6"/>
        <v>0</v>
      </c>
      <c r="AC33" s="116">
        <f>IFERROR(AB33/AB148, "NA")</f>
        <v>0</v>
      </c>
      <c r="AD33" s="118">
        <f t="shared" si="7"/>
        <v>0</v>
      </c>
      <c r="AE33" s="119">
        <f>IFERROR(AD33/AD148, "NA")</f>
        <v>0</v>
      </c>
      <c r="AF33" s="118" t="str">
        <f t="shared" si="8"/>
        <v>NA</v>
      </c>
      <c r="AG33" s="117">
        <f t="shared" si="9"/>
        <v>0</v>
      </c>
      <c r="AH33" s="116">
        <f>IFERROR(AG33/AG148, "NA")</f>
        <v>0</v>
      </c>
      <c r="AI33" s="118">
        <f t="shared" si="10"/>
        <v>0</v>
      </c>
      <c r="AJ33" s="119">
        <f>IFERROR(AI33/AI148, "NA")</f>
        <v>0</v>
      </c>
      <c r="AK33" s="118" t="str">
        <f t="shared" si="11"/>
        <v>NA</v>
      </c>
      <c r="AL33" s="119" t="str">
        <f>IFERROR(AK33/AK148, "NA")</f>
        <v>NA</v>
      </c>
    </row>
    <row r="34" spans="1:38" ht="16.5" customHeight="1" x14ac:dyDescent="0.25">
      <c r="A34" s="129" t="s">
        <v>40</v>
      </c>
      <c r="B34" s="121">
        <f>IFERROR(B29+B30+B31+B32+B33, "NA")</f>
        <v>-340.43</v>
      </c>
      <c r="C34" s="122">
        <f>IFERROR(B34/B148, "NA")</f>
        <v>-8.4068040710633379E-3</v>
      </c>
      <c r="D34" s="121">
        <f>IFERROR(D29+D30+D31+D32+D33, "NA")</f>
        <v>210.41</v>
      </c>
      <c r="E34" s="122">
        <f>IFERROR(D34/D148, "NA")</f>
        <v>9.0904456353245542E-3</v>
      </c>
      <c r="F34" s="121">
        <f>IFERROR(F29+F30+F31+F32+F33, "NA")</f>
        <v>236.95</v>
      </c>
      <c r="G34" s="122">
        <f>IFERROR(F34/F148, "NA")</f>
        <v>9.3206488068428781E-3</v>
      </c>
      <c r="H34" s="121">
        <f>IFERROR(H29+H30+H31+H32+H33, "NA")</f>
        <v>267.14</v>
      </c>
      <c r="I34" s="122">
        <f>IFERROR(H34/H148, "NA")</f>
        <v>1.0900803665973652E-2</v>
      </c>
      <c r="J34" s="121">
        <f>IFERROR(J29+J30+J31+J32+J33, "NA")</f>
        <v>449.15999999999997</v>
      </c>
      <c r="K34" s="122">
        <f>IFERROR(J34/J148, "NA")</f>
        <v>1.7379124620813469E-2</v>
      </c>
      <c r="L34" s="121">
        <f>IFERROR(L29+L30+L31+L32+L33, "NA")</f>
        <v>350.07</v>
      </c>
      <c r="M34" s="122">
        <f>IFERROR(L34/L148, "NA")</f>
        <v>1.2296451005455372E-2</v>
      </c>
      <c r="N34" s="121">
        <f>IFERROR(N29+N30+N31+N32+N33, "NA")</f>
        <v>-61.17</v>
      </c>
      <c r="O34" s="122">
        <f>IFERROR(N34/N148, "NA")</f>
        <v>-2.489208141261036E-3</v>
      </c>
      <c r="P34" s="121">
        <f>IFERROR(P29+P30+P31+P32+P33, "NA")</f>
        <v>221.3</v>
      </c>
      <c r="Q34" s="122">
        <f>IFERROR(P34/P148, "NA")</f>
        <v>1.03126076171632E-2</v>
      </c>
      <c r="R34" s="121">
        <f>IFERROR(R29+R30+R31+R32+R33, "NA")</f>
        <v>333.88</v>
      </c>
      <c r="S34" s="122">
        <f>IFERROR(R34/R148, "NA")</f>
        <v>6.9544902474043034E-3</v>
      </c>
      <c r="T34" s="121">
        <f>IFERROR(T29+T30+T31+T32+T33, "NA")</f>
        <v>245.8</v>
      </c>
      <c r="U34" s="122">
        <f>IFERROR(T34/T148, "NA")</f>
        <v>9.0103068672981214E-3</v>
      </c>
      <c r="V34" s="121">
        <f>IFERROR(V29+V30+V31+V32+V33, "NA")</f>
        <v>-27.53</v>
      </c>
      <c r="W34" s="122">
        <f>IFERROR(V34/V148, "NA")</f>
        <v>-8.9523273124352486E-4</v>
      </c>
      <c r="X34" s="121">
        <f>IFERROR(X29+X30+X31+X32+X33, "NA")</f>
        <v>198.24</v>
      </c>
      <c r="Y34" s="122">
        <f>IFERROR(X34/X148, "NA")</f>
        <v>7.3106941766692092E-3</v>
      </c>
      <c r="Z34" s="121">
        <f>IFERROR(Z29+Z30+Z31+Z32+Z33, "NA")</f>
        <v>170.71</v>
      </c>
      <c r="AA34" s="122">
        <f>IFERROR(Z34/Z148, "NA")</f>
        <v>2.9499784164779908E-3</v>
      </c>
      <c r="AB34" s="121">
        <f t="shared" si="6"/>
        <v>187.59750000000003</v>
      </c>
      <c r="AC34" s="122">
        <f>IFERROR(AB34/AB148, "NA")</f>
        <v>5.6353625514954653E-3</v>
      </c>
      <c r="AD34" s="123">
        <f t="shared" si="7"/>
        <v>10.642499999999984</v>
      </c>
      <c r="AE34" s="124">
        <f>IFERROR(AD34/AD148, "NA")</f>
        <v>-1.7240681041325776E-3</v>
      </c>
      <c r="AF34" s="123">
        <f t="shared" si="8"/>
        <v>5.6730500139927142E-2</v>
      </c>
      <c r="AG34" s="121">
        <f t="shared" si="9"/>
        <v>213.71875000000003</v>
      </c>
      <c r="AH34" s="122">
        <f>IFERROR(AG34/AG148, "NA")</f>
        <v>7.3221255598390792E-3</v>
      </c>
      <c r="AI34" s="123">
        <f t="shared" si="10"/>
        <v>-15.478750000000019</v>
      </c>
      <c r="AJ34" s="124">
        <f>IFERROR(AI34/AI148, "NA")</f>
        <v>7.4717554009272888E-3</v>
      </c>
      <c r="AK34" s="123">
        <f t="shared" si="11"/>
        <v>-7.2425793244626488E-2</v>
      </c>
      <c r="AL34" s="124">
        <f>IFERROR(AK34/AK148, "NA")</f>
        <v>1.0204353011793337</v>
      </c>
    </row>
    <row r="35" spans="1:38" ht="16.5" customHeight="1" x14ac:dyDescent="0.25">
      <c r="A35" s="130" t="s">
        <v>41</v>
      </c>
      <c r="B35" s="121">
        <f>IFERROR(B13+B15+B16+B17+B18+B19+B20+B21+B22+B23+B24+B25+B26+B29+B30+B31+B32+B33, "NA")</f>
        <v>7857.77</v>
      </c>
      <c r="C35" s="122">
        <f>IFERROR(B35/B148, "NA")</f>
        <v>0.19404498083447216</v>
      </c>
      <c r="D35" s="121">
        <f>IFERROR(D13+D15+D16+D17+D18+D19+D20+D21+D22+D23+D24+D25+D26+D29+D30+D31+D32+D33, "NA")</f>
        <v>4469.87</v>
      </c>
      <c r="E35" s="122">
        <f>IFERROR(D35/D148, "NA")</f>
        <v>0.19311396906975981</v>
      </c>
      <c r="F35" s="121">
        <f>IFERROR(F13+F15+F16+F17+F18+F19+F20+F21+F22+F23+F24+F25+F26+F29+F30+F31+F32+F33, "NA")</f>
        <v>5765.0099999999993</v>
      </c>
      <c r="G35" s="122">
        <f>IFERROR(F35/F148, "NA")</f>
        <v>0.22677203451334568</v>
      </c>
      <c r="H35" s="121">
        <f>IFERROR(H13+H15+H16+H17+H18+H19+H20+H21+H22+H23+H24+H25+H26+H29+H30+H31+H32+H33, "NA")</f>
        <v>5509.6400000000012</v>
      </c>
      <c r="I35" s="122">
        <f>IFERROR(H35/H148, "NA")</f>
        <v>0.22482407692668668</v>
      </c>
      <c r="J35" s="121">
        <f>IFERROR(J13+J15+J16+J17+J18+J19+J20+J21+J22+J23+J24+J25+J26+J29+J30+J31+J32+J33, "NA")</f>
        <v>4989.66</v>
      </c>
      <c r="K35" s="122">
        <f>IFERROR(J35/J148, "NA")</f>
        <v>0.19306243422274499</v>
      </c>
      <c r="L35" s="121">
        <f>IFERROR(L13+L15+L16+L17+L18+L19+L20+L21+L22+L23+L24+L25+L26+L29+L30+L31+L32+L33, "NA")</f>
        <v>4985.34</v>
      </c>
      <c r="M35" s="122">
        <f>IFERROR(L35/L148, "NA")</f>
        <v>0.17511351745518577</v>
      </c>
      <c r="N35" s="121">
        <f>IFERROR(N13+N15+N16+N17+N18+N19+N20+N21+N22+N23+N24+N25+N26+N29+N30+N31+N32+N33, "NA")</f>
        <v>5252.92</v>
      </c>
      <c r="O35" s="122">
        <f>IFERROR(N35/N148, "NA")</f>
        <v>0.2137585618668125</v>
      </c>
      <c r="P35" s="121">
        <f>IFERROR(P13+P15+P16+P17+P18+P19+P20+P21+P22+P23+P24+P25+P26+P29+P30+P31+P32+P33, "NA")</f>
        <v>4685.2999999999993</v>
      </c>
      <c r="Q35" s="122">
        <f>IFERROR(P35/P148, "NA")</f>
        <v>0.21833556470264226</v>
      </c>
      <c r="R35" s="121">
        <f>IFERROR(R13+R15+R16+R17+R18+R19+R20+R21+R22+R23+R24+R25+R26+R29+R30+R31+R32+R33, "NA")</f>
        <v>9154.49</v>
      </c>
      <c r="S35" s="122">
        <f>IFERROR(R35/R148, "NA")</f>
        <v>0.19068171626021393</v>
      </c>
      <c r="T35" s="121">
        <f>IFERROR(T13+T15+T16+T17+T18+T19+T20+T21+T22+T23+T24+T25+T26+T29+T30+T31+T32+T33, "NA")</f>
        <v>5625.5599999999995</v>
      </c>
      <c r="U35" s="122">
        <f>IFERROR(T35/T148, "NA")</f>
        <v>0.20621652522537678</v>
      </c>
      <c r="V35" s="121">
        <f>IFERROR(V13+V15+V16+V17+V18+V19+V20+V21+V22+V23+V24+V25+V26+V29+V30+V31+V32+V33, "NA")</f>
        <v>6695.75</v>
      </c>
      <c r="W35" s="122">
        <f>IFERROR(V35/V148, "NA")</f>
        <v>0.21773536361147225</v>
      </c>
      <c r="X35" s="121">
        <f>IFERROR(X13+X15+X16+X17+X18+X19+X20+X21+X22+X23+X24+X25+X26+X29+X30+X31+X32+X33, "NA")</f>
        <v>5359.95</v>
      </c>
      <c r="Y35" s="122">
        <f>IFERROR(X35/X148, "NA")</f>
        <v>0.19766422140959508</v>
      </c>
      <c r="Z35" s="121">
        <f>IFERROR(Z13+Z15+Z16+Z17+Z18+Z19+Z20+Z21+Z22+Z23+Z24+Z25+Z26+Z29+Z30+Z31+Z32+Z33, "NA")</f>
        <v>12055.700000000003</v>
      </c>
      <c r="AA35" s="122">
        <f>IFERROR(Z35/Z148, "NA")</f>
        <v>0.2083302372182867</v>
      </c>
      <c r="AB35" s="121">
        <f t="shared" si="6"/>
        <v>6708.9375</v>
      </c>
      <c r="AC35" s="122">
        <f>IFERROR(AB35/AB148, "NA")</f>
        <v>0.20153410971800584</v>
      </c>
      <c r="AD35" s="123">
        <f t="shared" si="7"/>
        <v>-1348.9875000000002</v>
      </c>
      <c r="AE35" s="124">
        <f>IFERROR(AD35/AD148, "NA")</f>
        <v>0.2185338333684331</v>
      </c>
      <c r="AF35" s="123">
        <f t="shared" si="8"/>
        <v>-0.20107319527123335</v>
      </c>
      <c r="AG35" s="121">
        <f t="shared" si="9"/>
        <v>5843.6212499999992</v>
      </c>
      <c r="AH35" s="122">
        <f>IFERROR(AG35/AG148, "NA")</f>
        <v>0.200205777530721</v>
      </c>
      <c r="AI35" s="123">
        <f t="shared" si="10"/>
        <v>-483.67124999999942</v>
      </c>
      <c r="AJ35" s="124">
        <f>IFERROR(AI35/AI148, "NA")</f>
        <v>0.23347319870536989</v>
      </c>
      <c r="AK35" s="123">
        <f t="shared" si="11"/>
        <v>-8.2769096303084239E-2</v>
      </c>
      <c r="AL35" s="124">
        <f>IFERROR(AK35/AK148, "NA")</f>
        <v>1.1661661395837795</v>
      </c>
    </row>
    <row r="36" spans="1:38" ht="16.5" customHeight="1" x14ac:dyDescent="0.25">
      <c r="A36" s="4" t="s">
        <v>42</v>
      </c>
      <c r="B36" s="111"/>
      <c r="C36" s="112"/>
      <c r="D36" s="111"/>
      <c r="E36" s="112"/>
      <c r="F36" s="111"/>
      <c r="G36" s="112"/>
      <c r="H36" s="111"/>
      <c r="I36" s="112"/>
      <c r="J36" s="111"/>
      <c r="K36" s="112"/>
      <c r="L36" s="111"/>
      <c r="M36" s="112"/>
      <c r="N36" s="111"/>
      <c r="O36" s="112"/>
      <c r="P36" s="111"/>
      <c r="Q36" s="112"/>
      <c r="R36" s="111"/>
      <c r="S36" s="112"/>
      <c r="T36" s="111"/>
      <c r="U36" s="112"/>
      <c r="V36" s="111"/>
      <c r="W36" s="112"/>
      <c r="X36" s="111"/>
      <c r="Y36" s="112"/>
      <c r="Z36" s="111"/>
      <c r="AA36" s="112"/>
      <c r="AB36" s="111"/>
      <c r="AC36" s="112"/>
      <c r="AD36" s="113"/>
      <c r="AE36" s="114"/>
      <c r="AF36" s="113"/>
      <c r="AG36" s="111"/>
      <c r="AH36" s="112"/>
      <c r="AI36" s="113"/>
      <c r="AJ36" s="114"/>
      <c r="AK36" s="113"/>
      <c r="AL36" s="114"/>
    </row>
    <row r="37" spans="1:38" ht="16.5" hidden="1" customHeight="1" x14ac:dyDescent="0.25">
      <c r="A37" s="5" t="s">
        <v>43</v>
      </c>
      <c r="B37" s="115">
        <v>0</v>
      </c>
      <c r="C37" s="116">
        <f>IFERROR(B37/B148, "NA")</f>
        <v>0</v>
      </c>
      <c r="D37" s="115">
        <v>0</v>
      </c>
      <c r="E37" s="116">
        <f>IFERROR(D37/D148, "NA")</f>
        <v>0</v>
      </c>
      <c r="F37" s="115">
        <v>0</v>
      </c>
      <c r="G37" s="116">
        <f>IFERROR(F37/F148, "NA")</f>
        <v>0</v>
      </c>
      <c r="H37" s="115">
        <v>0</v>
      </c>
      <c r="I37" s="116">
        <f>IFERROR(H37/H148, "NA")</f>
        <v>0</v>
      </c>
      <c r="J37" s="115">
        <v>0</v>
      </c>
      <c r="K37" s="116">
        <f>IFERROR(J37/J148, "NA")</f>
        <v>0</v>
      </c>
      <c r="L37" s="115">
        <v>0</v>
      </c>
      <c r="M37" s="116">
        <f>IFERROR(L37/L148, "NA")</f>
        <v>0</v>
      </c>
      <c r="N37" s="115">
        <v>0</v>
      </c>
      <c r="O37" s="116">
        <f>IFERROR(N37/N148, "NA")</f>
        <v>0</v>
      </c>
      <c r="P37" s="115">
        <v>0</v>
      </c>
      <c r="Q37" s="116">
        <f>IFERROR(P37/P148, "NA")</f>
        <v>0</v>
      </c>
      <c r="R37" s="115">
        <v>0</v>
      </c>
      <c r="S37" s="116">
        <f>IFERROR(R37/R148, "NA")</f>
        <v>0</v>
      </c>
      <c r="T37" s="115">
        <v>0</v>
      </c>
      <c r="U37" s="116">
        <f>IFERROR(T37/T148, "NA")</f>
        <v>0</v>
      </c>
      <c r="V37" s="115">
        <v>0</v>
      </c>
      <c r="W37" s="116">
        <f>IFERROR(V37/V148, "NA")</f>
        <v>0</v>
      </c>
      <c r="X37" s="115">
        <v>0</v>
      </c>
      <c r="Y37" s="116">
        <f>IFERROR(X37/X148, "NA")</f>
        <v>0</v>
      </c>
      <c r="Z37" s="115">
        <v>0</v>
      </c>
      <c r="AA37" s="116">
        <f>IFERROR(Z37/Z148, "NA")</f>
        <v>0</v>
      </c>
      <c r="AB37" s="117">
        <f>IFERROR((R37+T37+V37+X37)/4, "NA")</f>
        <v>0</v>
      </c>
      <c r="AC37" s="116">
        <f>IFERROR(AB37/AB148, "NA")</f>
        <v>0</v>
      </c>
      <c r="AD37" s="118">
        <f>IFERROR(X37-AB37, "NA")</f>
        <v>0</v>
      </c>
      <c r="AE37" s="119">
        <f>IFERROR(AD37/AD148, "NA")</f>
        <v>0</v>
      </c>
      <c r="AF37" s="118" t="str">
        <f>IFERROR((X37-AB37)/AB37, "NA")</f>
        <v>NA</v>
      </c>
      <c r="AG37" s="117">
        <f>IFERROR((J37+L37+N37+P37+R37+T37+V37+X37)/8, "NA")</f>
        <v>0</v>
      </c>
      <c r="AH37" s="116">
        <f>IFERROR(AG37/AG148, "NA")</f>
        <v>0</v>
      </c>
      <c r="AI37" s="118">
        <f>IFERROR(X37-AG37, "NA")</f>
        <v>0</v>
      </c>
      <c r="AJ37" s="119">
        <f>IFERROR(AI37/AI148, "NA")</f>
        <v>0</v>
      </c>
      <c r="AK37" s="118" t="str">
        <f>IFERROR((X37-AG37)/AG37, "NA")</f>
        <v>NA</v>
      </c>
      <c r="AL37" s="119" t="str">
        <f>IFERROR(AK37/AK148, "NA")</f>
        <v>NA</v>
      </c>
    </row>
    <row r="38" spans="1:38" ht="16.5" customHeight="1" x14ac:dyDescent="0.25">
      <c r="A38" s="6" t="s">
        <v>44</v>
      </c>
      <c r="B38" s="111"/>
      <c r="C38" s="112"/>
      <c r="D38" s="111"/>
      <c r="E38" s="112"/>
      <c r="F38" s="111"/>
      <c r="G38" s="112"/>
      <c r="H38" s="111"/>
      <c r="I38" s="112"/>
      <c r="J38" s="111"/>
      <c r="K38" s="112"/>
      <c r="L38" s="111"/>
      <c r="M38" s="112"/>
      <c r="N38" s="111"/>
      <c r="O38" s="112"/>
      <c r="P38" s="111"/>
      <c r="Q38" s="112"/>
      <c r="R38" s="111"/>
      <c r="S38" s="112"/>
      <c r="T38" s="111"/>
      <c r="U38" s="112"/>
      <c r="V38" s="111"/>
      <c r="W38" s="112"/>
      <c r="X38" s="111"/>
      <c r="Y38" s="112"/>
      <c r="Z38" s="111"/>
      <c r="AA38" s="112"/>
      <c r="AB38" s="111"/>
      <c r="AC38" s="112"/>
      <c r="AD38" s="113"/>
      <c r="AE38" s="114"/>
      <c r="AF38" s="113"/>
      <c r="AG38" s="111"/>
      <c r="AH38" s="112"/>
      <c r="AI38" s="113"/>
      <c r="AJ38" s="114"/>
      <c r="AK38" s="113"/>
      <c r="AL38" s="114"/>
    </row>
    <row r="39" spans="1:38" ht="16.5" hidden="1" customHeight="1" x14ac:dyDescent="0.25">
      <c r="A39" s="7" t="s">
        <v>45</v>
      </c>
      <c r="B39" s="115">
        <v>0</v>
      </c>
      <c r="C39" s="116">
        <f>IFERROR(B39/B148, "NA")</f>
        <v>0</v>
      </c>
      <c r="D39" s="115">
        <v>0</v>
      </c>
      <c r="E39" s="116">
        <f>IFERROR(D39/D148, "NA")</f>
        <v>0</v>
      </c>
      <c r="F39" s="115">
        <v>0</v>
      </c>
      <c r="G39" s="116">
        <f>IFERROR(F39/F148, "NA")</f>
        <v>0</v>
      </c>
      <c r="H39" s="115">
        <v>0</v>
      </c>
      <c r="I39" s="116">
        <f>IFERROR(H39/H148, "NA")</f>
        <v>0</v>
      </c>
      <c r="J39" s="115">
        <v>0</v>
      </c>
      <c r="K39" s="116">
        <f>IFERROR(J39/J148, "NA")</f>
        <v>0</v>
      </c>
      <c r="L39" s="115">
        <v>0</v>
      </c>
      <c r="M39" s="116">
        <f>IFERROR(L39/L148, "NA")</f>
        <v>0</v>
      </c>
      <c r="N39" s="115">
        <v>0</v>
      </c>
      <c r="O39" s="116">
        <f>IFERROR(N39/N148, "NA")</f>
        <v>0</v>
      </c>
      <c r="P39" s="115">
        <v>0</v>
      </c>
      <c r="Q39" s="116">
        <f>IFERROR(P39/P148, "NA")</f>
        <v>0</v>
      </c>
      <c r="R39" s="115">
        <v>0</v>
      </c>
      <c r="S39" s="116">
        <f>IFERROR(R39/R148, "NA")</f>
        <v>0</v>
      </c>
      <c r="T39" s="115">
        <v>0</v>
      </c>
      <c r="U39" s="116">
        <f>IFERROR(T39/T148, "NA")</f>
        <v>0</v>
      </c>
      <c r="V39" s="115">
        <v>0</v>
      </c>
      <c r="W39" s="116">
        <f>IFERROR(V39/V148, "NA")</f>
        <v>0</v>
      </c>
      <c r="X39" s="115">
        <v>0</v>
      </c>
      <c r="Y39" s="116">
        <f>IFERROR(X39/X148, "NA")</f>
        <v>0</v>
      </c>
      <c r="Z39" s="115">
        <v>0</v>
      </c>
      <c r="AA39" s="116">
        <f>IFERROR(Z39/Z148, "NA")</f>
        <v>0</v>
      </c>
      <c r="AB39" s="117">
        <f t="shared" ref="AB39:AB44" si="12">IFERROR((R39+T39+V39+X39)/4, "NA")</f>
        <v>0</v>
      </c>
      <c r="AC39" s="116">
        <f>IFERROR(AB39/AB148, "NA")</f>
        <v>0</v>
      </c>
      <c r="AD39" s="118">
        <f t="shared" ref="AD39:AD44" si="13">IFERROR(X39-AB39, "NA")</f>
        <v>0</v>
      </c>
      <c r="AE39" s="119">
        <f>IFERROR(AD39/AD148, "NA")</f>
        <v>0</v>
      </c>
      <c r="AF39" s="118" t="str">
        <f t="shared" ref="AF39:AF44" si="14">IFERROR((X39-AB39)/AB39, "NA")</f>
        <v>NA</v>
      </c>
      <c r="AG39" s="117">
        <f t="shared" ref="AG39:AG44" si="15">IFERROR((J39+L39+N39+P39+R39+T39+V39+X39)/8, "NA")</f>
        <v>0</v>
      </c>
      <c r="AH39" s="116">
        <f>IFERROR(AG39/AG148, "NA")</f>
        <v>0</v>
      </c>
      <c r="AI39" s="118">
        <f t="shared" ref="AI39:AI44" si="16">IFERROR(X39-AG39, "NA")</f>
        <v>0</v>
      </c>
      <c r="AJ39" s="119">
        <f>IFERROR(AI39/AI148, "NA")</f>
        <v>0</v>
      </c>
      <c r="AK39" s="118" t="str">
        <f t="shared" ref="AK39:AK44" si="17">IFERROR((X39-AG39)/AG39, "NA")</f>
        <v>NA</v>
      </c>
      <c r="AL39" s="119" t="str">
        <f>IFERROR(AK39/AK148, "NA")</f>
        <v>NA</v>
      </c>
    </row>
    <row r="40" spans="1:38" ht="16.5" customHeight="1" x14ac:dyDescent="0.25">
      <c r="A40" s="7" t="s">
        <v>46</v>
      </c>
      <c r="B40" s="115">
        <v>969.56</v>
      </c>
      <c r="C40" s="116">
        <f>IFERROR(B40/B148, "NA")</f>
        <v>2.3942957304409623E-2</v>
      </c>
      <c r="D40" s="115">
        <v>734.82</v>
      </c>
      <c r="E40" s="116">
        <f>IFERROR(D40/D148, "NA")</f>
        <v>3.1746786092624824E-2</v>
      </c>
      <c r="F40" s="115">
        <v>881.41</v>
      </c>
      <c r="G40" s="116">
        <f>IFERROR(F40/F148, "NA")</f>
        <v>3.4671082780499608E-2</v>
      </c>
      <c r="H40" s="115">
        <v>571.04999999999995</v>
      </c>
      <c r="I40" s="116">
        <f>IFERROR(H40/H148, "NA")</f>
        <v>2.3302028649600407E-2</v>
      </c>
      <c r="J40" s="115">
        <v>677.31</v>
      </c>
      <c r="K40" s="116">
        <f>IFERROR(J40/J148, "NA")</f>
        <v>2.6206819166718257E-2</v>
      </c>
      <c r="L40" s="115">
        <v>782.3</v>
      </c>
      <c r="M40" s="116">
        <f>IFERROR(L40/L148, "NA")</f>
        <v>2.7478828867277223E-2</v>
      </c>
      <c r="N40" s="115">
        <v>734.01</v>
      </c>
      <c r="O40" s="116">
        <f>IFERROR(N40/N148, "NA")</f>
        <v>2.9869276896632546E-2</v>
      </c>
      <c r="P40" s="115">
        <v>764.65</v>
      </c>
      <c r="Q40" s="116">
        <f>IFERROR(P40/P148, "NA")</f>
        <v>3.563278542459937E-2</v>
      </c>
      <c r="R40" s="115">
        <v>757.66</v>
      </c>
      <c r="S40" s="116">
        <f>IFERROR(R40/R148, "NA")</f>
        <v>1.5781535524285205E-2</v>
      </c>
      <c r="T40" s="115">
        <v>568.55999999999995</v>
      </c>
      <c r="U40" s="116">
        <f>IFERROR(T40/T148, "NA")</f>
        <v>2.0841741547888606E-2</v>
      </c>
      <c r="V40" s="115">
        <v>643.66</v>
      </c>
      <c r="W40" s="116">
        <f>IFERROR(V40/V148, "NA")</f>
        <v>2.0930820915081989E-2</v>
      </c>
      <c r="X40" s="115">
        <v>748.64</v>
      </c>
      <c r="Y40" s="116">
        <f>IFERROR(X40/X148, "NA")</f>
        <v>2.7608343868147884E-2</v>
      </c>
      <c r="Z40" s="115">
        <v>1392.3</v>
      </c>
      <c r="AA40" s="116">
        <f>IFERROR(Z40/Z148, "NA")</f>
        <v>2.4059838025085271E-2</v>
      </c>
      <c r="AB40" s="117">
        <f t="shared" si="12"/>
        <v>679.62999999999988</v>
      </c>
      <c r="AC40" s="116">
        <f>IFERROR(AB40/AB148, "NA")</f>
        <v>2.0415844832009283E-2</v>
      </c>
      <c r="AD40" s="118">
        <f t="shared" si="13"/>
        <v>69.010000000000105</v>
      </c>
      <c r="AE40" s="119">
        <f>IFERROR(AD40/AD148, "NA")</f>
        <v>-1.1179510440797701E-2</v>
      </c>
      <c r="AF40" s="118">
        <f t="shared" si="14"/>
        <v>0.10154054411959465</v>
      </c>
      <c r="AG40" s="117">
        <f t="shared" si="15"/>
        <v>709.59875</v>
      </c>
      <c r="AH40" s="116">
        <f>IFERROR(AG40/AG148, "NA")</f>
        <v>2.4311255538434787E-2</v>
      </c>
      <c r="AI40" s="118">
        <f t="shared" si="16"/>
        <v>39.041249999999991</v>
      </c>
      <c r="AJ40" s="119">
        <f>IFERROR(AI40/AI148, "NA")</f>
        <v>-1.8845621936296669E-2</v>
      </c>
      <c r="AK40" s="118">
        <f t="shared" si="17"/>
        <v>5.5018769410177221E-2</v>
      </c>
      <c r="AL40" s="119">
        <f>IFERROR(AK40/AK148, "NA")</f>
        <v>-0.77518094063479182</v>
      </c>
    </row>
    <row r="41" spans="1:38" ht="16.5" customHeight="1" x14ac:dyDescent="0.25">
      <c r="A41" s="7" t="s">
        <v>47</v>
      </c>
      <c r="B41" s="115">
        <v>1134.42</v>
      </c>
      <c r="C41" s="116">
        <f>IFERROR(B41/B148, "NA")</f>
        <v>2.8014119420426142E-2</v>
      </c>
      <c r="D41" s="115">
        <v>253.91</v>
      </c>
      <c r="E41" s="116">
        <f>IFERROR(D41/D148, "NA")</f>
        <v>1.0969797306521825E-2</v>
      </c>
      <c r="F41" s="115">
        <v>13.55</v>
      </c>
      <c r="G41" s="116">
        <f>IFERROR(F41/F148, "NA")</f>
        <v>5.3300186255632418E-4</v>
      </c>
      <c r="H41" s="115">
        <v>369.73</v>
      </c>
      <c r="I41" s="116">
        <f>IFERROR(H41/H148, "NA")</f>
        <v>1.5087048511718344E-2</v>
      </c>
      <c r="J41" s="115">
        <v>358.32</v>
      </c>
      <c r="K41" s="116">
        <f>IFERROR(J41/J148, "NA")</f>
        <v>1.3864297653686622E-2</v>
      </c>
      <c r="L41" s="115">
        <v>432.75</v>
      </c>
      <c r="M41" s="116">
        <f>IFERROR(L41/L148, "NA")</f>
        <v>1.5200643221672272E-2</v>
      </c>
      <c r="N41" s="115">
        <v>-26.63</v>
      </c>
      <c r="O41" s="116">
        <f>IFERROR(N41/N148, "NA")</f>
        <v>-1.0836621350626349E-3</v>
      </c>
      <c r="P41" s="115">
        <v>445.11</v>
      </c>
      <c r="Q41" s="116">
        <f>IFERROR(P41/P148, "NA")</f>
        <v>2.0742181547562185E-2</v>
      </c>
      <c r="R41" s="115">
        <v>839.31</v>
      </c>
      <c r="S41" s="116">
        <f>IFERROR(R41/R148, "NA")</f>
        <v>1.7482248740711949E-2</v>
      </c>
      <c r="T41" s="115">
        <v>235.28</v>
      </c>
      <c r="U41" s="116">
        <f>IFERROR(T41/T148, "NA")</f>
        <v>8.6246745310736457E-3</v>
      </c>
      <c r="V41" s="115">
        <v>579.44000000000005</v>
      </c>
      <c r="W41" s="116">
        <f>IFERROR(V41/V148, "NA")</f>
        <v>1.8842486516227681E-2</v>
      </c>
      <c r="X41" s="115">
        <v>454.29</v>
      </c>
      <c r="Y41" s="116">
        <f>IFERROR(X41/X148, "NA")</f>
        <v>1.6753305374894348E-2</v>
      </c>
      <c r="Z41" s="115">
        <v>1033.73</v>
      </c>
      <c r="AA41" s="116">
        <f>IFERROR(Z41/Z148, "NA")</f>
        <v>1.7863518179753929E-2</v>
      </c>
      <c r="AB41" s="117">
        <f t="shared" si="12"/>
        <v>527.08000000000004</v>
      </c>
      <c r="AC41" s="116">
        <f>IFERROR(AB41/AB148, "NA")</f>
        <v>1.5833296785096974E-2</v>
      </c>
      <c r="AD41" s="118">
        <f t="shared" si="13"/>
        <v>-72.79000000000002</v>
      </c>
      <c r="AE41" s="119">
        <f>IFERROR(AD41/AD148, "NA")</f>
        <v>1.1791864439728498E-2</v>
      </c>
      <c r="AF41" s="118">
        <f t="shared" si="14"/>
        <v>-0.13810047810579043</v>
      </c>
      <c r="AG41" s="117">
        <f t="shared" si="15"/>
        <v>414.73374999999999</v>
      </c>
      <c r="AH41" s="116">
        <f>IFERROR(AG41/AG148, "NA")</f>
        <v>1.4209013441276959E-2</v>
      </c>
      <c r="AI41" s="118">
        <f t="shared" si="16"/>
        <v>39.556250000000034</v>
      </c>
      <c r="AJ41" s="119">
        <f>IFERROR(AI41/AI148, "NA")</f>
        <v>-1.9094217852083015E-2</v>
      </c>
      <c r="AK41" s="118">
        <f t="shared" si="17"/>
        <v>9.5377456018469767E-2</v>
      </c>
      <c r="AL41" s="119">
        <f>IFERROR(AK41/AK148, "NA")</f>
        <v>-1.3438102462915977</v>
      </c>
    </row>
    <row r="42" spans="1:38" ht="16.5" customHeight="1" x14ac:dyDescent="0.25">
      <c r="A42" s="7" t="s">
        <v>48</v>
      </c>
      <c r="B42" s="115">
        <v>0</v>
      </c>
      <c r="C42" s="116">
        <f>IFERROR(B42/B148, "NA")</f>
        <v>0</v>
      </c>
      <c r="D42" s="115">
        <v>0</v>
      </c>
      <c r="E42" s="116">
        <f>IFERROR(D42/D148, "NA")</f>
        <v>0</v>
      </c>
      <c r="F42" s="115">
        <v>0</v>
      </c>
      <c r="G42" s="116">
        <f>IFERROR(F42/F148, "NA")</f>
        <v>0</v>
      </c>
      <c r="H42" s="115">
        <v>0</v>
      </c>
      <c r="I42" s="116">
        <f>IFERROR(H42/H148, "NA")</f>
        <v>0</v>
      </c>
      <c r="J42" s="115">
        <v>0</v>
      </c>
      <c r="K42" s="116">
        <f>IFERROR(J42/J148, "NA")</f>
        <v>0</v>
      </c>
      <c r="L42" s="115">
        <v>0</v>
      </c>
      <c r="M42" s="116">
        <f>IFERROR(L42/L148, "NA")</f>
        <v>0</v>
      </c>
      <c r="N42" s="115">
        <v>0</v>
      </c>
      <c r="O42" s="116">
        <f>IFERROR(N42/N148, "NA")</f>
        <v>0</v>
      </c>
      <c r="P42" s="115">
        <v>0</v>
      </c>
      <c r="Q42" s="116">
        <f>IFERROR(P42/P148, "NA")</f>
        <v>0</v>
      </c>
      <c r="R42" s="115">
        <v>0</v>
      </c>
      <c r="S42" s="116">
        <f>IFERROR(R42/R148, "NA")</f>
        <v>0</v>
      </c>
      <c r="T42" s="115">
        <v>77.14</v>
      </c>
      <c r="U42" s="116">
        <f>IFERROR(T42/T148, "NA")</f>
        <v>2.8277260852049516E-3</v>
      </c>
      <c r="V42" s="115">
        <v>0</v>
      </c>
      <c r="W42" s="116">
        <f>IFERROR(V42/V148, "NA")</f>
        <v>0</v>
      </c>
      <c r="X42" s="115">
        <v>0</v>
      </c>
      <c r="Y42" s="116">
        <f>IFERROR(X42/X148, "NA")</f>
        <v>0</v>
      </c>
      <c r="Z42" s="115">
        <v>0</v>
      </c>
      <c r="AA42" s="116">
        <f>IFERROR(Z42/Z148, "NA")</f>
        <v>0</v>
      </c>
      <c r="AB42" s="117">
        <f t="shared" si="12"/>
        <v>19.285</v>
      </c>
      <c r="AC42" s="116">
        <f>IFERROR(AB42/AB148, "NA")</f>
        <v>5.7931457938186826E-4</v>
      </c>
      <c r="AD42" s="118">
        <f t="shared" si="13"/>
        <v>-19.285</v>
      </c>
      <c r="AE42" s="119">
        <f>IFERROR(AD42/AD148, "NA")</f>
        <v>3.1241393834340434E-3</v>
      </c>
      <c r="AF42" s="118">
        <f t="shared" si="14"/>
        <v>-1</v>
      </c>
      <c r="AG42" s="117">
        <f t="shared" si="15"/>
        <v>9.6425000000000001</v>
      </c>
      <c r="AH42" s="116">
        <f>IFERROR(AG42/AG148, "NA")</f>
        <v>3.3035751758209473E-4</v>
      </c>
      <c r="AI42" s="118">
        <f t="shared" si="16"/>
        <v>-9.6425000000000001</v>
      </c>
      <c r="AJ42" s="119">
        <f>IFERROR(AI42/AI148, "NA")</f>
        <v>4.6545361513973217E-3</v>
      </c>
      <c r="AK42" s="118">
        <f t="shared" si="17"/>
        <v>-1</v>
      </c>
      <c r="AL42" s="119">
        <f>IFERROR(AK42/AK148, "NA")</f>
        <v>14.089390746922103</v>
      </c>
    </row>
    <row r="43" spans="1:38" ht="16.5" hidden="1" customHeight="1" x14ac:dyDescent="0.25">
      <c r="A43" s="7" t="s">
        <v>49</v>
      </c>
      <c r="B43" s="115">
        <v>0</v>
      </c>
      <c r="C43" s="116">
        <f>IFERROR(B43/B148, "NA")</f>
        <v>0</v>
      </c>
      <c r="D43" s="115">
        <v>0</v>
      </c>
      <c r="E43" s="116">
        <f>IFERROR(D43/D148, "NA")</f>
        <v>0</v>
      </c>
      <c r="F43" s="115">
        <v>0</v>
      </c>
      <c r="G43" s="116">
        <f>IFERROR(F43/F148, "NA")</f>
        <v>0</v>
      </c>
      <c r="H43" s="115">
        <v>0</v>
      </c>
      <c r="I43" s="116">
        <f>IFERROR(H43/H148, "NA")</f>
        <v>0</v>
      </c>
      <c r="J43" s="115">
        <v>0</v>
      </c>
      <c r="K43" s="116">
        <f>IFERROR(J43/J148, "NA")</f>
        <v>0</v>
      </c>
      <c r="L43" s="115">
        <v>0</v>
      </c>
      <c r="M43" s="116">
        <f>IFERROR(L43/L148, "NA")</f>
        <v>0</v>
      </c>
      <c r="N43" s="115">
        <v>0</v>
      </c>
      <c r="O43" s="116">
        <f>IFERROR(N43/N148, "NA")</f>
        <v>0</v>
      </c>
      <c r="P43" s="115">
        <v>0</v>
      </c>
      <c r="Q43" s="116">
        <f>IFERROR(P43/P148, "NA")</f>
        <v>0</v>
      </c>
      <c r="R43" s="115">
        <v>0</v>
      </c>
      <c r="S43" s="116">
        <f>IFERROR(R43/R148, "NA")</f>
        <v>0</v>
      </c>
      <c r="T43" s="115">
        <v>0</v>
      </c>
      <c r="U43" s="116">
        <f>IFERROR(T43/T148, "NA")</f>
        <v>0</v>
      </c>
      <c r="V43" s="115">
        <v>0</v>
      </c>
      <c r="W43" s="116">
        <f>IFERROR(V43/V148, "NA")</f>
        <v>0</v>
      </c>
      <c r="X43" s="115">
        <v>0</v>
      </c>
      <c r="Y43" s="116">
        <f>IFERROR(X43/X148, "NA")</f>
        <v>0</v>
      </c>
      <c r="Z43" s="115">
        <v>0</v>
      </c>
      <c r="AA43" s="116">
        <f>IFERROR(Z43/Z148, "NA")</f>
        <v>0</v>
      </c>
      <c r="AB43" s="117">
        <f t="shared" si="12"/>
        <v>0</v>
      </c>
      <c r="AC43" s="116">
        <f>IFERROR(AB43/AB148, "NA")</f>
        <v>0</v>
      </c>
      <c r="AD43" s="118">
        <f t="shared" si="13"/>
        <v>0</v>
      </c>
      <c r="AE43" s="119">
        <f>IFERROR(AD43/AD148, "NA")</f>
        <v>0</v>
      </c>
      <c r="AF43" s="118" t="str">
        <f t="shared" si="14"/>
        <v>NA</v>
      </c>
      <c r="AG43" s="117">
        <f t="shared" si="15"/>
        <v>0</v>
      </c>
      <c r="AH43" s="116">
        <f>IFERROR(AG43/AG148, "NA")</f>
        <v>0</v>
      </c>
      <c r="AI43" s="118">
        <f t="shared" si="16"/>
        <v>0</v>
      </c>
      <c r="AJ43" s="119">
        <f>IFERROR(AI43/AI148, "NA")</f>
        <v>0</v>
      </c>
      <c r="AK43" s="118" t="str">
        <f t="shared" si="17"/>
        <v>NA</v>
      </c>
      <c r="AL43" s="119" t="str">
        <f>IFERROR(AK43/AK148, "NA")</f>
        <v>NA</v>
      </c>
    </row>
    <row r="44" spans="1:38" ht="16.5" customHeight="1" x14ac:dyDescent="0.25">
      <c r="A44" s="129" t="s">
        <v>50</v>
      </c>
      <c r="B44" s="121">
        <f>IFERROR(B39+B40+B41+B42+B43, "NA")</f>
        <v>2103.98</v>
      </c>
      <c r="C44" s="122">
        <f>IFERROR(B44/B148, "NA")</f>
        <v>5.1957076724835766E-2</v>
      </c>
      <c r="D44" s="121">
        <f>IFERROR(D39+D40+D41+D42+D43, "NA")</f>
        <v>988.73</v>
      </c>
      <c r="E44" s="122">
        <f>IFERROR(D44/D148, "NA")</f>
        <v>4.2716583399146649E-2</v>
      </c>
      <c r="F44" s="121">
        <f>IFERROR(F39+F40+F41+F42+F43, "NA")</f>
        <v>894.95999999999992</v>
      </c>
      <c r="G44" s="122">
        <f>IFERROR(F44/F148, "NA")</f>
        <v>3.5204084643055925E-2</v>
      </c>
      <c r="H44" s="121">
        <f>IFERROR(H39+H40+H41+H42+H43, "NA")</f>
        <v>940.78</v>
      </c>
      <c r="I44" s="122">
        <f>IFERROR(H44/H148, "NA")</f>
        <v>3.8389077161318751E-2</v>
      </c>
      <c r="J44" s="121">
        <f>IFERROR(J39+J40+J41+J42+J43, "NA")</f>
        <v>1035.6299999999999</v>
      </c>
      <c r="K44" s="122">
        <f>IFERROR(J44/J148, "NA")</f>
        <v>4.0071116820404873E-2</v>
      </c>
      <c r="L44" s="121">
        <f>IFERROR(L39+L40+L41+L42+L43, "NA")</f>
        <v>1215.05</v>
      </c>
      <c r="M44" s="122">
        <f>IFERROR(L44/L148, "NA")</f>
        <v>4.267947208894949E-2</v>
      </c>
      <c r="N44" s="121">
        <f>IFERROR(N39+N40+N41+N42+N43, "NA")</f>
        <v>707.38</v>
      </c>
      <c r="O44" s="122">
        <f>IFERROR(N44/N148, "NA")</f>
        <v>2.8785614761569912E-2</v>
      </c>
      <c r="P44" s="121">
        <f>IFERROR(P39+P40+P41+P42+P43, "NA")</f>
        <v>1209.76</v>
      </c>
      <c r="Q44" s="122">
        <f>IFERROR(P44/P148, "NA")</f>
        <v>5.6374966972161558E-2</v>
      </c>
      <c r="R44" s="121">
        <f>IFERROR(R39+R40+R41+R42+R43, "NA")</f>
        <v>1596.9699999999998</v>
      </c>
      <c r="S44" s="122">
        <f>IFERROR(R44/R148, "NA")</f>
        <v>3.3263784264997154E-2</v>
      </c>
      <c r="T44" s="121">
        <f>IFERROR(T39+T40+T41+T42+T43, "NA")</f>
        <v>880.9799999999999</v>
      </c>
      <c r="U44" s="122">
        <f>IFERROR(T44/T148, "NA")</f>
        <v>3.2294142164167206E-2</v>
      </c>
      <c r="V44" s="121">
        <f>IFERROR(V39+V40+V41+V42+V43, "NA")</f>
        <v>1223.0999999999999</v>
      </c>
      <c r="W44" s="122">
        <f>IFERROR(V44/V148, "NA")</f>
        <v>3.9773307431309662E-2</v>
      </c>
      <c r="X44" s="121">
        <f>IFERROR(X39+X40+X41+X42+X43, "NA")</f>
        <v>1202.93</v>
      </c>
      <c r="Y44" s="122">
        <f>IFERROR(X44/X148, "NA")</f>
        <v>4.4361649243042235E-2</v>
      </c>
      <c r="Z44" s="121">
        <f>IFERROR(Z39+Z40+Z41+Z42+Z43, "NA")</f>
        <v>2426.0299999999997</v>
      </c>
      <c r="AA44" s="122">
        <f>IFERROR(Z44/Z148, "NA")</f>
        <v>4.1923356204839196E-2</v>
      </c>
      <c r="AB44" s="121">
        <f t="shared" si="12"/>
        <v>1225.9949999999999</v>
      </c>
      <c r="AC44" s="122">
        <f>IFERROR(AB44/AB148, "NA")</f>
        <v>3.6828456196488127E-2</v>
      </c>
      <c r="AD44" s="123">
        <f t="shared" si="13"/>
        <v>-23.064999999999827</v>
      </c>
      <c r="AE44" s="124">
        <f>IFERROR(AD44/AD148, "NA")</f>
        <v>3.736493382364826E-3</v>
      </c>
      <c r="AF44" s="123">
        <f t="shared" si="14"/>
        <v>-1.8813290429406181E-2</v>
      </c>
      <c r="AG44" s="121">
        <f t="shared" si="15"/>
        <v>1133.9749999999999</v>
      </c>
      <c r="AH44" s="122">
        <f>IFERROR(AG44/AG148, "NA")</f>
        <v>3.8850626497293837E-2</v>
      </c>
      <c r="AI44" s="123">
        <f t="shared" si="16"/>
        <v>68.955000000000155</v>
      </c>
      <c r="AJ44" s="124">
        <f>IFERROR(AI44/AI148, "NA")</f>
        <v>-3.3285303636982427E-2</v>
      </c>
      <c r="AK44" s="123">
        <f t="shared" si="17"/>
        <v>6.0808218876077659E-2</v>
      </c>
      <c r="AL44" s="124">
        <f>IFERROR(AK44/AK148, "NA")</f>
        <v>-0.85675075636942255</v>
      </c>
    </row>
    <row r="45" spans="1:38" ht="16.5" customHeight="1" x14ac:dyDescent="0.25">
      <c r="A45" s="6" t="s">
        <v>51</v>
      </c>
      <c r="B45" s="111"/>
      <c r="C45" s="112"/>
      <c r="D45" s="111"/>
      <c r="E45" s="112"/>
      <c r="F45" s="111"/>
      <c r="G45" s="112"/>
      <c r="H45" s="111"/>
      <c r="I45" s="112"/>
      <c r="J45" s="111"/>
      <c r="K45" s="112"/>
      <c r="L45" s="111"/>
      <c r="M45" s="112"/>
      <c r="N45" s="111"/>
      <c r="O45" s="112"/>
      <c r="P45" s="111"/>
      <c r="Q45" s="112"/>
      <c r="R45" s="111"/>
      <c r="S45" s="112"/>
      <c r="T45" s="111"/>
      <c r="U45" s="112"/>
      <c r="V45" s="111"/>
      <c r="W45" s="112"/>
      <c r="X45" s="111"/>
      <c r="Y45" s="112"/>
      <c r="Z45" s="111"/>
      <c r="AA45" s="112"/>
      <c r="AB45" s="111"/>
      <c r="AC45" s="112"/>
      <c r="AD45" s="113"/>
      <c r="AE45" s="114"/>
      <c r="AF45" s="113"/>
      <c r="AG45" s="111"/>
      <c r="AH45" s="112"/>
      <c r="AI45" s="113"/>
      <c r="AJ45" s="114"/>
      <c r="AK45" s="113"/>
      <c r="AL45" s="114"/>
    </row>
    <row r="46" spans="1:38" ht="16.5" hidden="1" customHeight="1" x14ac:dyDescent="0.25">
      <c r="A46" s="7" t="s">
        <v>52</v>
      </c>
      <c r="B46" s="115">
        <v>0</v>
      </c>
      <c r="C46" s="116">
        <f>IFERROR(B46/B148, "NA")</f>
        <v>0</v>
      </c>
      <c r="D46" s="115">
        <v>0</v>
      </c>
      <c r="E46" s="116">
        <f>IFERROR(D46/D148, "NA")</f>
        <v>0</v>
      </c>
      <c r="F46" s="115">
        <v>0</v>
      </c>
      <c r="G46" s="116">
        <f>IFERROR(F46/F148, "NA")</f>
        <v>0</v>
      </c>
      <c r="H46" s="115">
        <v>0</v>
      </c>
      <c r="I46" s="116">
        <f>IFERROR(H46/H148, "NA")</f>
        <v>0</v>
      </c>
      <c r="J46" s="115">
        <v>0</v>
      </c>
      <c r="K46" s="116">
        <f>IFERROR(J46/J148, "NA")</f>
        <v>0</v>
      </c>
      <c r="L46" s="115">
        <v>0</v>
      </c>
      <c r="M46" s="116">
        <f>IFERROR(L46/L148, "NA")</f>
        <v>0</v>
      </c>
      <c r="N46" s="115">
        <v>0</v>
      </c>
      <c r="O46" s="116">
        <f>IFERROR(N46/N148, "NA")</f>
        <v>0</v>
      </c>
      <c r="P46" s="115">
        <v>0</v>
      </c>
      <c r="Q46" s="116">
        <f>IFERROR(P46/P148, "NA")</f>
        <v>0</v>
      </c>
      <c r="R46" s="115">
        <v>0</v>
      </c>
      <c r="S46" s="116">
        <f>IFERROR(R46/R148, "NA")</f>
        <v>0</v>
      </c>
      <c r="T46" s="115">
        <v>0</v>
      </c>
      <c r="U46" s="116">
        <f>IFERROR(T46/T148, "NA")</f>
        <v>0</v>
      </c>
      <c r="V46" s="115">
        <v>0</v>
      </c>
      <c r="W46" s="116">
        <f>IFERROR(V46/V148, "NA")</f>
        <v>0</v>
      </c>
      <c r="X46" s="115">
        <v>0</v>
      </c>
      <c r="Y46" s="116">
        <f>IFERROR(X46/X148, "NA")</f>
        <v>0</v>
      </c>
      <c r="Z46" s="115">
        <v>0</v>
      </c>
      <c r="AA46" s="116">
        <f>IFERROR(Z46/Z148, "NA")</f>
        <v>0</v>
      </c>
      <c r="AB46" s="117">
        <f t="shared" ref="AB46:AB57" si="18">IFERROR((R46+T46+V46+X46)/4, "NA")</f>
        <v>0</v>
      </c>
      <c r="AC46" s="116">
        <f>IFERROR(AB46/AB148, "NA")</f>
        <v>0</v>
      </c>
      <c r="AD46" s="118">
        <f t="shared" ref="AD46:AD57" si="19">IFERROR(X46-AB46, "NA")</f>
        <v>0</v>
      </c>
      <c r="AE46" s="119">
        <f>IFERROR(AD46/AD148, "NA")</f>
        <v>0</v>
      </c>
      <c r="AF46" s="118" t="str">
        <f t="shared" ref="AF46:AF57" si="20">IFERROR((X46-AB46)/AB46, "NA")</f>
        <v>NA</v>
      </c>
      <c r="AG46" s="117">
        <f t="shared" ref="AG46:AG57" si="21">IFERROR((J46+L46+N46+P46+R46+T46+V46+X46)/8, "NA")</f>
        <v>0</v>
      </c>
      <c r="AH46" s="116">
        <f>IFERROR(AG46/AG148, "NA")</f>
        <v>0</v>
      </c>
      <c r="AI46" s="118">
        <f t="shared" ref="AI46:AI57" si="22">IFERROR(X46-AG46, "NA")</f>
        <v>0</v>
      </c>
      <c r="AJ46" s="119">
        <f>IFERROR(AI46/AI148, "NA")</f>
        <v>0</v>
      </c>
      <c r="AK46" s="118" t="str">
        <f t="shared" ref="AK46:AK57" si="23">IFERROR((X46-AG46)/AG46, "NA")</f>
        <v>NA</v>
      </c>
      <c r="AL46" s="119" t="str">
        <f>IFERROR(AK46/AK148, "NA")</f>
        <v>NA</v>
      </c>
    </row>
    <row r="47" spans="1:38" ht="16.5" customHeight="1" x14ac:dyDescent="0.25">
      <c r="A47" s="7" t="s">
        <v>53</v>
      </c>
      <c r="B47" s="115">
        <v>56.35</v>
      </c>
      <c r="C47" s="116">
        <f>IFERROR(B47/B148, "NA")</f>
        <v>1.3915442511071852E-3</v>
      </c>
      <c r="D47" s="115">
        <v>86.97</v>
      </c>
      <c r="E47" s="116">
        <f>IFERROR(D47/D148, "NA")</f>
        <v>3.7574072377937191E-3</v>
      </c>
      <c r="F47" s="115">
        <v>81.34</v>
      </c>
      <c r="G47" s="116">
        <f>IFERROR(F47/F148, "NA")</f>
        <v>3.1995846125705838E-3</v>
      </c>
      <c r="H47" s="115">
        <v>62.41</v>
      </c>
      <c r="I47" s="116">
        <f>IFERROR(H47/H148, "NA")</f>
        <v>2.5466764872105097E-3</v>
      </c>
      <c r="J47" s="115">
        <v>50.71</v>
      </c>
      <c r="K47" s="116">
        <f>IFERROR(J47/J148, "NA")</f>
        <v>1.9620968241193587E-3</v>
      </c>
      <c r="L47" s="115">
        <v>46.74</v>
      </c>
      <c r="M47" s="116">
        <f>IFERROR(L47/L148, "NA")</f>
        <v>1.6417748450166655E-3</v>
      </c>
      <c r="N47" s="115">
        <v>55.01</v>
      </c>
      <c r="O47" s="116">
        <f>IFERROR(N47/N148, "NA")</f>
        <v>2.2385375159517666E-3</v>
      </c>
      <c r="P47" s="115">
        <v>56.3</v>
      </c>
      <c r="Q47" s="116">
        <f>IFERROR(P47/P148, "NA")</f>
        <v>2.6235870259660554E-3</v>
      </c>
      <c r="R47" s="115">
        <v>60.39</v>
      </c>
      <c r="S47" s="116">
        <f>IFERROR(R47/R148, "NA")</f>
        <v>1.2578820715249369E-3</v>
      </c>
      <c r="T47" s="115">
        <v>55.43</v>
      </c>
      <c r="U47" s="116">
        <f>IFERROR(T47/T148, "NA")</f>
        <v>2.0319011784147066E-3</v>
      </c>
      <c r="V47" s="115">
        <v>42.37</v>
      </c>
      <c r="W47" s="116">
        <f>IFERROR(V47/V148, "NA")</f>
        <v>1.377806422912755E-3</v>
      </c>
      <c r="X47" s="115">
        <v>165.79</v>
      </c>
      <c r="Y47" s="116">
        <f>IFERROR(X47/X148, "NA")</f>
        <v>6.1140031656072846E-3</v>
      </c>
      <c r="Z47" s="115">
        <v>208.16</v>
      </c>
      <c r="AA47" s="116">
        <f>IFERROR(Z47/Z148, "NA")</f>
        <v>3.5971384639098972E-3</v>
      </c>
      <c r="AB47" s="117">
        <f t="shared" si="18"/>
        <v>80.995000000000005</v>
      </c>
      <c r="AC47" s="116">
        <f>IFERROR(AB47/AB148, "NA")</f>
        <v>2.4330611541111963E-3</v>
      </c>
      <c r="AD47" s="118">
        <f t="shared" si="19"/>
        <v>84.794999999999987</v>
      </c>
      <c r="AE47" s="119">
        <f>IFERROR(AD47/AD148, "NA")</f>
        <v>-1.3736655380777271E-2</v>
      </c>
      <c r="AF47" s="118">
        <f t="shared" si="20"/>
        <v>1.0469164763256988</v>
      </c>
      <c r="AG47" s="117">
        <f t="shared" si="21"/>
        <v>66.592500000000001</v>
      </c>
      <c r="AH47" s="116">
        <f>IFERROR(AG47/AG148, "NA")</f>
        <v>2.2814968099129523E-3</v>
      </c>
      <c r="AI47" s="118">
        <f t="shared" si="22"/>
        <v>99.197499999999991</v>
      </c>
      <c r="AJ47" s="119">
        <f>IFERROR(AI47/AI148, "NA")</f>
        <v>-4.7883676419832592E-2</v>
      </c>
      <c r="AK47" s="118">
        <f t="shared" si="23"/>
        <v>1.4896197019183841</v>
      </c>
      <c r="AL47" s="119">
        <f>IFERROR(AK47/AK148, "NA")</f>
        <v>-20.98783404464174</v>
      </c>
    </row>
    <row r="48" spans="1:38" ht="16.5" hidden="1" customHeight="1" x14ac:dyDescent="0.25">
      <c r="A48" s="7" t="s">
        <v>54</v>
      </c>
      <c r="B48" s="115">
        <v>0</v>
      </c>
      <c r="C48" s="116">
        <f>IFERROR(B48/B148, "NA")</f>
        <v>0</v>
      </c>
      <c r="D48" s="115">
        <v>0</v>
      </c>
      <c r="E48" s="116">
        <f>IFERROR(D48/D148, "NA")</f>
        <v>0</v>
      </c>
      <c r="F48" s="115">
        <v>0</v>
      </c>
      <c r="G48" s="116">
        <f>IFERROR(F48/F148, "NA")</f>
        <v>0</v>
      </c>
      <c r="H48" s="115">
        <v>0</v>
      </c>
      <c r="I48" s="116">
        <f>IFERROR(H48/H148, "NA")</f>
        <v>0</v>
      </c>
      <c r="J48" s="115">
        <v>0</v>
      </c>
      <c r="K48" s="116">
        <f>IFERROR(J48/J148, "NA")</f>
        <v>0</v>
      </c>
      <c r="L48" s="115">
        <v>0</v>
      </c>
      <c r="M48" s="116">
        <f>IFERROR(L48/L148, "NA")</f>
        <v>0</v>
      </c>
      <c r="N48" s="115">
        <v>0</v>
      </c>
      <c r="O48" s="116">
        <f>IFERROR(N48/N148, "NA")</f>
        <v>0</v>
      </c>
      <c r="P48" s="115">
        <v>0</v>
      </c>
      <c r="Q48" s="116">
        <f>IFERROR(P48/P148, "NA")</f>
        <v>0</v>
      </c>
      <c r="R48" s="115">
        <v>0</v>
      </c>
      <c r="S48" s="116">
        <f>IFERROR(R48/R148, "NA")</f>
        <v>0</v>
      </c>
      <c r="T48" s="115">
        <v>0</v>
      </c>
      <c r="U48" s="116">
        <f>IFERROR(T48/T148, "NA")</f>
        <v>0</v>
      </c>
      <c r="V48" s="115">
        <v>0</v>
      </c>
      <c r="W48" s="116">
        <f>IFERROR(V48/V148, "NA")</f>
        <v>0</v>
      </c>
      <c r="X48" s="115">
        <v>0</v>
      </c>
      <c r="Y48" s="116">
        <f>IFERROR(X48/X148, "NA")</f>
        <v>0</v>
      </c>
      <c r="Z48" s="115">
        <v>0</v>
      </c>
      <c r="AA48" s="116">
        <f>IFERROR(Z48/Z148, "NA")</f>
        <v>0</v>
      </c>
      <c r="AB48" s="117">
        <f t="shared" si="18"/>
        <v>0</v>
      </c>
      <c r="AC48" s="116">
        <f>IFERROR(AB48/AB148, "NA")</f>
        <v>0</v>
      </c>
      <c r="AD48" s="118">
        <f t="shared" si="19"/>
        <v>0</v>
      </c>
      <c r="AE48" s="119">
        <f>IFERROR(AD48/AD148, "NA")</f>
        <v>0</v>
      </c>
      <c r="AF48" s="118" t="str">
        <f t="shared" si="20"/>
        <v>NA</v>
      </c>
      <c r="AG48" s="117">
        <f t="shared" si="21"/>
        <v>0</v>
      </c>
      <c r="AH48" s="116">
        <f>IFERROR(AG48/AG148, "NA")</f>
        <v>0</v>
      </c>
      <c r="AI48" s="118">
        <f t="shared" si="22"/>
        <v>0</v>
      </c>
      <c r="AJ48" s="119">
        <f>IFERROR(AI48/AI148, "NA")</f>
        <v>0</v>
      </c>
      <c r="AK48" s="118" t="str">
        <f t="shared" si="23"/>
        <v>NA</v>
      </c>
      <c r="AL48" s="119" t="str">
        <f>IFERROR(AK48/AK148, "NA")</f>
        <v>NA</v>
      </c>
    </row>
    <row r="49" spans="1:38" ht="16.5" hidden="1" customHeight="1" x14ac:dyDescent="0.25">
      <c r="A49" s="7" t="s">
        <v>55</v>
      </c>
      <c r="B49" s="115">
        <v>0</v>
      </c>
      <c r="C49" s="116">
        <f>IFERROR(B49/B148, "NA")</f>
        <v>0</v>
      </c>
      <c r="D49" s="115">
        <v>0</v>
      </c>
      <c r="E49" s="116">
        <f>IFERROR(D49/D148, "NA")</f>
        <v>0</v>
      </c>
      <c r="F49" s="115">
        <v>0</v>
      </c>
      <c r="G49" s="116">
        <f>IFERROR(F49/F148, "NA")</f>
        <v>0</v>
      </c>
      <c r="H49" s="115">
        <v>0</v>
      </c>
      <c r="I49" s="116">
        <f>IFERROR(H49/H148, "NA")</f>
        <v>0</v>
      </c>
      <c r="J49" s="115">
        <v>0</v>
      </c>
      <c r="K49" s="116">
        <f>IFERROR(J49/J148, "NA")</f>
        <v>0</v>
      </c>
      <c r="L49" s="115">
        <v>0</v>
      </c>
      <c r="M49" s="116">
        <f>IFERROR(L49/L148, "NA")</f>
        <v>0</v>
      </c>
      <c r="N49" s="115">
        <v>0</v>
      </c>
      <c r="O49" s="116">
        <f>IFERROR(N49/N148, "NA")</f>
        <v>0</v>
      </c>
      <c r="P49" s="115">
        <v>0</v>
      </c>
      <c r="Q49" s="116">
        <f>IFERROR(P49/P148, "NA")</f>
        <v>0</v>
      </c>
      <c r="R49" s="115">
        <v>0</v>
      </c>
      <c r="S49" s="116">
        <f>IFERROR(R49/R148, "NA")</f>
        <v>0</v>
      </c>
      <c r="T49" s="115">
        <v>0</v>
      </c>
      <c r="U49" s="116">
        <f>IFERROR(T49/T148, "NA")</f>
        <v>0</v>
      </c>
      <c r="V49" s="115">
        <v>0</v>
      </c>
      <c r="W49" s="116">
        <f>IFERROR(V49/V148, "NA")</f>
        <v>0</v>
      </c>
      <c r="X49" s="115">
        <v>0</v>
      </c>
      <c r="Y49" s="116">
        <f>IFERROR(X49/X148, "NA")</f>
        <v>0</v>
      </c>
      <c r="Z49" s="115">
        <v>0</v>
      </c>
      <c r="AA49" s="116">
        <f>IFERROR(Z49/Z148, "NA")</f>
        <v>0</v>
      </c>
      <c r="AB49" s="117">
        <f t="shared" si="18"/>
        <v>0</v>
      </c>
      <c r="AC49" s="116">
        <f>IFERROR(AB49/AB148, "NA")</f>
        <v>0</v>
      </c>
      <c r="AD49" s="118">
        <f t="shared" si="19"/>
        <v>0</v>
      </c>
      <c r="AE49" s="119">
        <f>IFERROR(AD49/AD148, "NA")</f>
        <v>0</v>
      </c>
      <c r="AF49" s="118" t="str">
        <f t="shared" si="20"/>
        <v>NA</v>
      </c>
      <c r="AG49" s="117">
        <f t="shared" si="21"/>
        <v>0</v>
      </c>
      <c r="AH49" s="116">
        <f>IFERROR(AG49/AG148, "NA")</f>
        <v>0</v>
      </c>
      <c r="AI49" s="118">
        <f t="shared" si="22"/>
        <v>0</v>
      </c>
      <c r="AJ49" s="119">
        <f>IFERROR(AI49/AI148, "NA")</f>
        <v>0</v>
      </c>
      <c r="AK49" s="118" t="str">
        <f t="shared" si="23"/>
        <v>NA</v>
      </c>
      <c r="AL49" s="119" t="str">
        <f>IFERROR(AK49/AK148, "NA")</f>
        <v>NA</v>
      </c>
    </row>
    <row r="50" spans="1:38" ht="16.5" hidden="1" customHeight="1" x14ac:dyDescent="0.25">
      <c r="A50" s="7" t="s">
        <v>56</v>
      </c>
      <c r="B50" s="115">
        <v>0</v>
      </c>
      <c r="C50" s="116">
        <f>IFERROR(B50/B148, "NA")</f>
        <v>0</v>
      </c>
      <c r="D50" s="115">
        <v>0</v>
      </c>
      <c r="E50" s="116">
        <f>IFERROR(D50/D148, "NA")</f>
        <v>0</v>
      </c>
      <c r="F50" s="115">
        <v>0</v>
      </c>
      <c r="G50" s="116">
        <f>IFERROR(F50/F148, "NA")</f>
        <v>0</v>
      </c>
      <c r="H50" s="115">
        <v>0</v>
      </c>
      <c r="I50" s="116">
        <f>IFERROR(H50/H148, "NA")</f>
        <v>0</v>
      </c>
      <c r="J50" s="115">
        <v>0</v>
      </c>
      <c r="K50" s="116">
        <f>IFERROR(J50/J148, "NA")</f>
        <v>0</v>
      </c>
      <c r="L50" s="115">
        <v>0</v>
      </c>
      <c r="M50" s="116">
        <f>IFERROR(L50/L148, "NA")</f>
        <v>0</v>
      </c>
      <c r="N50" s="115">
        <v>0</v>
      </c>
      <c r="O50" s="116">
        <f>IFERROR(N50/N148, "NA")</f>
        <v>0</v>
      </c>
      <c r="P50" s="115">
        <v>0</v>
      </c>
      <c r="Q50" s="116">
        <f>IFERROR(P50/P148, "NA")</f>
        <v>0</v>
      </c>
      <c r="R50" s="115">
        <v>0</v>
      </c>
      <c r="S50" s="116">
        <f>IFERROR(R50/R148, "NA")</f>
        <v>0</v>
      </c>
      <c r="T50" s="115">
        <v>0</v>
      </c>
      <c r="U50" s="116">
        <f>IFERROR(T50/T148, "NA")</f>
        <v>0</v>
      </c>
      <c r="V50" s="115">
        <v>0</v>
      </c>
      <c r="W50" s="116">
        <f>IFERROR(V50/V148, "NA")</f>
        <v>0</v>
      </c>
      <c r="X50" s="115">
        <v>0</v>
      </c>
      <c r="Y50" s="116">
        <f>IFERROR(X50/X148, "NA")</f>
        <v>0</v>
      </c>
      <c r="Z50" s="115">
        <v>0</v>
      </c>
      <c r="AA50" s="116">
        <f>IFERROR(Z50/Z148, "NA")</f>
        <v>0</v>
      </c>
      <c r="AB50" s="117">
        <f t="shared" si="18"/>
        <v>0</v>
      </c>
      <c r="AC50" s="116">
        <f>IFERROR(AB50/AB148, "NA")</f>
        <v>0</v>
      </c>
      <c r="AD50" s="118">
        <f t="shared" si="19"/>
        <v>0</v>
      </c>
      <c r="AE50" s="119">
        <f>IFERROR(AD50/AD148, "NA")</f>
        <v>0</v>
      </c>
      <c r="AF50" s="118" t="str">
        <f t="shared" si="20"/>
        <v>NA</v>
      </c>
      <c r="AG50" s="117">
        <f t="shared" si="21"/>
        <v>0</v>
      </c>
      <c r="AH50" s="116">
        <f>IFERROR(AG50/AG148, "NA")</f>
        <v>0</v>
      </c>
      <c r="AI50" s="118">
        <f t="shared" si="22"/>
        <v>0</v>
      </c>
      <c r="AJ50" s="119">
        <f>IFERROR(AI50/AI148, "NA")</f>
        <v>0</v>
      </c>
      <c r="AK50" s="118" t="str">
        <f t="shared" si="23"/>
        <v>NA</v>
      </c>
      <c r="AL50" s="119" t="str">
        <f>IFERROR(AK50/AK148, "NA")</f>
        <v>NA</v>
      </c>
    </row>
    <row r="51" spans="1:38" ht="16.5" hidden="1" customHeight="1" x14ac:dyDescent="0.25">
      <c r="A51" s="7" t="s">
        <v>57</v>
      </c>
      <c r="B51" s="115">
        <v>0</v>
      </c>
      <c r="C51" s="116">
        <f>IFERROR(B51/B148, "NA")</f>
        <v>0</v>
      </c>
      <c r="D51" s="115">
        <v>0</v>
      </c>
      <c r="E51" s="116">
        <f>IFERROR(D51/D148, "NA")</f>
        <v>0</v>
      </c>
      <c r="F51" s="115">
        <v>0</v>
      </c>
      <c r="G51" s="116">
        <f>IFERROR(F51/F148, "NA")</f>
        <v>0</v>
      </c>
      <c r="H51" s="115">
        <v>0</v>
      </c>
      <c r="I51" s="116">
        <f>IFERROR(H51/H148, "NA")</f>
        <v>0</v>
      </c>
      <c r="J51" s="115">
        <v>0</v>
      </c>
      <c r="K51" s="116">
        <f>IFERROR(J51/J148, "NA")</f>
        <v>0</v>
      </c>
      <c r="L51" s="115">
        <v>0</v>
      </c>
      <c r="M51" s="116">
        <f>IFERROR(L51/L148, "NA")</f>
        <v>0</v>
      </c>
      <c r="N51" s="115">
        <v>0</v>
      </c>
      <c r="O51" s="116">
        <f>IFERROR(N51/N148, "NA")</f>
        <v>0</v>
      </c>
      <c r="P51" s="115">
        <v>0</v>
      </c>
      <c r="Q51" s="116">
        <f>IFERROR(P51/P148, "NA")</f>
        <v>0</v>
      </c>
      <c r="R51" s="115">
        <v>0</v>
      </c>
      <c r="S51" s="116">
        <f>IFERROR(R51/R148, "NA")</f>
        <v>0</v>
      </c>
      <c r="T51" s="115">
        <v>0</v>
      </c>
      <c r="U51" s="116">
        <f>IFERROR(T51/T148, "NA")</f>
        <v>0</v>
      </c>
      <c r="V51" s="115">
        <v>0</v>
      </c>
      <c r="W51" s="116">
        <f>IFERROR(V51/V148, "NA")</f>
        <v>0</v>
      </c>
      <c r="X51" s="115">
        <v>0</v>
      </c>
      <c r="Y51" s="116">
        <f>IFERROR(X51/X148, "NA")</f>
        <v>0</v>
      </c>
      <c r="Z51" s="115">
        <v>0</v>
      </c>
      <c r="AA51" s="116">
        <f>IFERROR(Z51/Z148, "NA")</f>
        <v>0</v>
      </c>
      <c r="AB51" s="117">
        <f t="shared" si="18"/>
        <v>0</v>
      </c>
      <c r="AC51" s="116">
        <f>IFERROR(AB51/AB148, "NA")</f>
        <v>0</v>
      </c>
      <c r="AD51" s="118">
        <f t="shared" si="19"/>
        <v>0</v>
      </c>
      <c r="AE51" s="119">
        <f>IFERROR(AD51/AD148, "NA")</f>
        <v>0</v>
      </c>
      <c r="AF51" s="118" t="str">
        <f t="shared" si="20"/>
        <v>NA</v>
      </c>
      <c r="AG51" s="117">
        <f t="shared" si="21"/>
        <v>0</v>
      </c>
      <c r="AH51" s="116">
        <f>IFERROR(AG51/AG148, "NA")</f>
        <v>0</v>
      </c>
      <c r="AI51" s="118">
        <f t="shared" si="22"/>
        <v>0</v>
      </c>
      <c r="AJ51" s="119">
        <f>IFERROR(AI51/AI148, "NA")</f>
        <v>0</v>
      </c>
      <c r="AK51" s="118" t="str">
        <f t="shared" si="23"/>
        <v>NA</v>
      </c>
      <c r="AL51" s="119" t="str">
        <f>IFERROR(AK51/AK148, "NA")</f>
        <v>NA</v>
      </c>
    </row>
    <row r="52" spans="1:38" ht="16.5" customHeight="1" x14ac:dyDescent="0.25">
      <c r="A52" s="129" t="s">
        <v>58</v>
      </c>
      <c r="B52" s="121">
        <f>IFERROR(B46+B47+B48+B49+B50+B51, "NA")</f>
        <v>56.35</v>
      </c>
      <c r="C52" s="122">
        <f>IFERROR(B52/B148, "NA")</f>
        <v>1.3915442511071852E-3</v>
      </c>
      <c r="D52" s="121">
        <f>IFERROR(D46+D47+D48+D49+D50+D51, "NA")</f>
        <v>86.97</v>
      </c>
      <c r="E52" s="122">
        <f>IFERROR(D52/D148, "NA")</f>
        <v>3.7574072377937191E-3</v>
      </c>
      <c r="F52" s="121">
        <f>IFERROR(F46+F47+F48+F49+F50+F51, "NA")</f>
        <v>81.34</v>
      </c>
      <c r="G52" s="122">
        <f>IFERROR(F52/F148, "NA")</f>
        <v>3.1995846125705838E-3</v>
      </c>
      <c r="H52" s="121">
        <f>IFERROR(H46+H47+H48+H49+H50+H51, "NA")</f>
        <v>62.41</v>
      </c>
      <c r="I52" s="122">
        <f>IFERROR(H52/H148, "NA")</f>
        <v>2.5466764872105097E-3</v>
      </c>
      <c r="J52" s="121">
        <f>IFERROR(J46+J47+J48+J49+J50+J51, "NA")</f>
        <v>50.71</v>
      </c>
      <c r="K52" s="122">
        <f>IFERROR(J52/J148, "NA")</f>
        <v>1.9620968241193587E-3</v>
      </c>
      <c r="L52" s="121">
        <f>IFERROR(L46+L47+L48+L49+L50+L51, "NA")</f>
        <v>46.74</v>
      </c>
      <c r="M52" s="122">
        <f>IFERROR(L52/L148, "NA")</f>
        <v>1.6417748450166655E-3</v>
      </c>
      <c r="N52" s="121">
        <f>IFERROR(N46+N47+N48+N49+N50+N51, "NA")</f>
        <v>55.01</v>
      </c>
      <c r="O52" s="122">
        <f>IFERROR(N52/N148, "NA")</f>
        <v>2.2385375159517666E-3</v>
      </c>
      <c r="P52" s="121">
        <f>IFERROR(P46+P47+P48+P49+P50+P51, "NA")</f>
        <v>56.3</v>
      </c>
      <c r="Q52" s="122">
        <f>IFERROR(P52/P148, "NA")</f>
        <v>2.6235870259660554E-3</v>
      </c>
      <c r="R52" s="121">
        <f>IFERROR(R46+R47+R48+R49+R50+R51, "NA")</f>
        <v>60.39</v>
      </c>
      <c r="S52" s="122">
        <f>IFERROR(R52/R148, "NA")</f>
        <v>1.2578820715249369E-3</v>
      </c>
      <c r="T52" s="121">
        <f>IFERROR(T46+T47+T48+T49+T50+T51, "NA")</f>
        <v>55.43</v>
      </c>
      <c r="U52" s="122">
        <f>IFERROR(T52/T148, "NA")</f>
        <v>2.0319011784147066E-3</v>
      </c>
      <c r="V52" s="121">
        <f>IFERROR(V46+V47+V48+V49+V50+V51, "NA")</f>
        <v>42.37</v>
      </c>
      <c r="W52" s="122">
        <f>IFERROR(V52/V148, "NA")</f>
        <v>1.377806422912755E-3</v>
      </c>
      <c r="X52" s="121">
        <f>IFERROR(X46+X47+X48+X49+X50+X51, "NA")</f>
        <v>165.79</v>
      </c>
      <c r="Y52" s="122">
        <f>IFERROR(X52/X148, "NA")</f>
        <v>6.1140031656072846E-3</v>
      </c>
      <c r="Z52" s="121">
        <f>IFERROR(Z46+Z47+Z48+Z49+Z50+Z51, "NA")</f>
        <v>208.16</v>
      </c>
      <c r="AA52" s="122">
        <f>IFERROR(Z52/Z148, "NA")</f>
        <v>3.5971384639098972E-3</v>
      </c>
      <c r="AB52" s="121">
        <f t="shared" si="18"/>
        <v>80.995000000000005</v>
      </c>
      <c r="AC52" s="122">
        <f>IFERROR(AB52/AB148, "NA")</f>
        <v>2.4330611541111963E-3</v>
      </c>
      <c r="AD52" s="123">
        <f t="shared" si="19"/>
        <v>84.794999999999987</v>
      </c>
      <c r="AE52" s="124">
        <f>IFERROR(AD52/AD148, "NA")</f>
        <v>-1.3736655380777271E-2</v>
      </c>
      <c r="AF52" s="123">
        <f t="shared" si="20"/>
        <v>1.0469164763256988</v>
      </c>
      <c r="AG52" s="121">
        <f t="shared" si="21"/>
        <v>66.592500000000001</v>
      </c>
      <c r="AH52" s="122">
        <f>IFERROR(AG52/AG148, "NA")</f>
        <v>2.2814968099129523E-3</v>
      </c>
      <c r="AI52" s="123">
        <f t="shared" si="22"/>
        <v>99.197499999999991</v>
      </c>
      <c r="AJ52" s="124">
        <f>IFERROR(AI52/AI148, "NA")</f>
        <v>-4.7883676419832592E-2</v>
      </c>
      <c r="AK52" s="123">
        <f t="shared" si="23"/>
        <v>1.4896197019183841</v>
      </c>
      <c r="AL52" s="124">
        <f>IFERROR(AK52/AK148, "NA")</f>
        <v>-20.98783404464174</v>
      </c>
    </row>
    <row r="53" spans="1:38" ht="16.5" customHeight="1" x14ac:dyDescent="0.25">
      <c r="A53" s="5" t="s">
        <v>59</v>
      </c>
      <c r="B53" s="115">
        <v>152.5</v>
      </c>
      <c r="C53" s="116">
        <f>IFERROR(B53/B148, "NA")</f>
        <v>3.7659360832980608E-3</v>
      </c>
      <c r="D53" s="115">
        <v>77.37</v>
      </c>
      <c r="E53" s="116">
        <f>IFERROR(D53/D148, "NA")</f>
        <v>3.3426537655294936E-3</v>
      </c>
      <c r="F53" s="115">
        <v>126.33</v>
      </c>
      <c r="G53" s="116">
        <f>IFERROR(F53/F148, "NA")</f>
        <v>4.9693081399808433E-3</v>
      </c>
      <c r="H53" s="115">
        <v>69.64</v>
      </c>
      <c r="I53" s="116">
        <f>IFERROR(H53/H148, "NA")</f>
        <v>2.8417008583454559E-3</v>
      </c>
      <c r="J53" s="115">
        <v>58.31</v>
      </c>
      <c r="K53" s="116">
        <f>IFERROR(J53/J148, "NA")</f>
        <v>2.2561598464681484E-3</v>
      </c>
      <c r="L53" s="115">
        <v>134.18</v>
      </c>
      <c r="M53" s="116">
        <f>IFERROR(L53/L148, "NA")</f>
        <v>4.7131653552489553E-3</v>
      </c>
      <c r="N53" s="115">
        <v>67.97</v>
      </c>
      <c r="O53" s="116">
        <f>IFERROR(N53/N148, "NA")</f>
        <v>2.7659224679011381E-3</v>
      </c>
      <c r="P53" s="115">
        <v>84.04</v>
      </c>
      <c r="Q53" s="116">
        <f>IFERROR(P53/P148, "NA")</f>
        <v>3.9162744877830787E-3</v>
      </c>
      <c r="R53" s="115">
        <v>93.85</v>
      </c>
      <c r="S53" s="116">
        <f>IFERROR(R53/R148, "NA")</f>
        <v>1.9548308066338021E-3</v>
      </c>
      <c r="T53" s="115">
        <v>86.77</v>
      </c>
      <c r="U53" s="116">
        <f>IFERROR(T53/T148, "NA")</f>
        <v>3.1807336325283073E-3</v>
      </c>
      <c r="V53" s="115">
        <v>144.27000000000001</v>
      </c>
      <c r="W53" s="116">
        <f>IFERROR(V53/V148, "NA")</f>
        <v>4.691435747784356E-3</v>
      </c>
      <c r="X53" s="115">
        <v>74.010000000000005</v>
      </c>
      <c r="Y53" s="116">
        <f>IFERROR(X53/X148, "NA")</f>
        <v>2.7293405771554088E-3</v>
      </c>
      <c r="Z53" s="115">
        <v>218.28</v>
      </c>
      <c r="AA53" s="116">
        <f>IFERROR(Z53/Z148, "NA")</f>
        <v>3.7720185621745407E-3</v>
      </c>
      <c r="AB53" s="117">
        <f t="shared" si="18"/>
        <v>99.724999999999994</v>
      </c>
      <c r="AC53" s="116">
        <f>IFERROR(AB53/AB148, "NA")</f>
        <v>2.995703729782567E-3</v>
      </c>
      <c r="AD53" s="118">
        <f t="shared" si="19"/>
        <v>-25.714999999999989</v>
      </c>
      <c r="AE53" s="119">
        <f>IFERROR(AD53/AD148, "NA")</f>
        <v>4.1657891752660825E-3</v>
      </c>
      <c r="AF53" s="118">
        <f t="shared" si="20"/>
        <v>-0.25785911255953864</v>
      </c>
      <c r="AG53" s="117">
        <f t="shared" si="21"/>
        <v>92.924999999999997</v>
      </c>
      <c r="AH53" s="116">
        <f>IFERROR(AG53/AG148, "NA")</f>
        <v>3.1836631912176461E-3</v>
      </c>
      <c r="AI53" s="118">
        <f t="shared" si="22"/>
        <v>-18.914999999999992</v>
      </c>
      <c r="AJ53" s="119">
        <f>IFERROR(AI53/AI148, "NA")</f>
        <v>9.1304694118413583E-3</v>
      </c>
      <c r="AK53" s="118">
        <f t="shared" si="23"/>
        <v>-0.20355125100887805</v>
      </c>
      <c r="AL53" s="119">
        <f>IFERROR(AK53/AK148, "NA")</f>
        <v>2.8679131124889046</v>
      </c>
    </row>
    <row r="54" spans="1:38" ht="16.5" customHeight="1" x14ac:dyDescent="0.25">
      <c r="A54" s="5" t="s">
        <v>60</v>
      </c>
      <c r="B54" s="115">
        <v>26.25</v>
      </c>
      <c r="C54" s="116">
        <f>IFERROR(B54/B148, "NA")</f>
        <v>6.4823489958409247E-4</v>
      </c>
      <c r="D54" s="115">
        <v>25</v>
      </c>
      <c r="E54" s="116">
        <f>IFERROR(D54/D148, "NA")</f>
        <v>1.0800871673547542E-3</v>
      </c>
      <c r="F54" s="115">
        <v>27</v>
      </c>
      <c r="G54" s="116">
        <f>IFERROR(F54/F148, "NA")</f>
        <v>1.0620701320310519E-3</v>
      </c>
      <c r="H54" s="115">
        <v>21</v>
      </c>
      <c r="I54" s="116">
        <f>IFERROR(H54/H148, "NA")</f>
        <v>8.5691726055793472E-4</v>
      </c>
      <c r="J54" s="115">
        <v>37</v>
      </c>
      <c r="K54" s="116">
        <f>IFERROR(J54/J148, "NA")</f>
        <v>1.4316226088033183E-3</v>
      </c>
      <c r="L54" s="115">
        <v>24</v>
      </c>
      <c r="M54" s="116">
        <f>IFERROR(L54/L148, "NA")</f>
        <v>8.4301660848095782E-4</v>
      </c>
      <c r="N54" s="115">
        <v>24.75</v>
      </c>
      <c r="O54" s="116">
        <f>IFERROR(N54/N148, "NA")</f>
        <v>1.0071587624033128E-3</v>
      </c>
      <c r="P54" s="115">
        <v>31</v>
      </c>
      <c r="Q54" s="116">
        <f>IFERROR(P54/P148, "NA")</f>
        <v>1.4446038686491604E-3</v>
      </c>
      <c r="R54" s="115">
        <v>30.5</v>
      </c>
      <c r="S54" s="116">
        <f>IFERROR(R54/R148, "NA")</f>
        <v>6.3529397551764484E-4</v>
      </c>
      <c r="T54" s="115">
        <v>36.25</v>
      </c>
      <c r="U54" s="116">
        <f>IFERROR(T54/T148, "NA")</f>
        <v>1.3288186490624772E-3</v>
      </c>
      <c r="V54" s="115">
        <v>49</v>
      </c>
      <c r="W54" s="116">
        <f>IFERROR(V54/V148, "NA")</f>
        <v>1.5934036989078356E-3</v>
      </c>
      <c r="X54" s="115">
        <v>32</v>
      </c>
      <c r="Y54" s="116">
        <f>IFERROR(X54/X148, "NA")</f>
        <v>1.1800959122952718E-3</v>
      </c>
      <c r="Z54" s="115">
        <v>81</v>
      </c>
      <c r="AA54" s="116">
        <f>IFERROR(Z54/Z148, "NA")</f>
        <v>1.3997320118019872E-3</v>
      </c>
      <c r="AB54" s="117">
        <f t="shared" si="18"/>
        <v>36.9375</v>
      </c>
      <c r="AC54" s="116">
        <f>IFERROR(AB54/AB148, "NA")</f>
        <v>1.1095894361378149E-3</v>
      </c>
      <c r="AD54" s="118">
        <f t="shared" si="19"/>
        <v>-4.9375</v>
      </c>
      <c r="AE54" s="119">
        <f>IFERROR(AD54/AD148, "NA")</f>
        <v>7.9986716130181956E-4</v>
      </c>
      <c r="AF54" s="118">
        <f t="shared" si="20"/>
        <v>-0.13367174280879865</v>
      </c>
      <c r="AG54" s="117">
        <f t="shared" si="21"/>
        <v>33.0625</v>
      </c>
      <c r="AH54" s="116">
        <f>IFERROR(AG54/AG148, "NA")</f>
        <v>1.1327399974133271E-3</v>
      </c>
      <c r="AI54" s="118">
        <f t="shared" si="22"/>
        <v>-1.0625</v>
      </c>
      <c r="AJ54" s="119">
        <f>IFERROR(AI54/AI148, "NA")</f>
        <v>5.1287992334556954E-4</v>
      </c>
      <c r="AK54" s="118">
        <f t="shared" si="23"/>
        <v>-3.2136105860113423E-2</v>
      </c>
      <c r="AL54" s="119">
        <f>IFERROR(AK54/AK148, "NA")</f>
        <v>0.45277815254759124</v>
      </c>
    </row>
    <row r="55" spans="1:38" ht="16.5" customHeight="1" x14ac:dyDescent="0.25">
      <c r="A55" s="5" t="s">
        <v>61</v>
      </c>
      <c r="B55" s="115">
        <v>-307.77999999999997</v>
      </c>
      <c r="C55" s="116">
        <f>IFERROR(B55/B148, "NA")</f>
        <v>-7.6005233292949321E-3</v>
      </c>
      <c r="D55" s="115">
        <v>-226.58</v>
      </c>
      <c r="E55" s="116">
        <f>IFERROR(D55/D148, "NA")</f>
        <v>-9.7890460151696095E-3</v>
      </c>
      <c r="F55" s="115">
        <v>-276.54000000000002</v>
      </c>
      <c r="G55" s="116">
        <f>IFERROR(F55/F148, "NA")</f>
        <v>-1.0877958307846929E-2</v>
      </c>
      <c r="H55" s="115">
        <v>-465.05</v>
      </c>
      <c r="I55" s="116">
        <f>IFERROR(H55/H148, "NA")</f>
        <v>-1.8976636762974647E-2</v>
      </c>
      <c r="J55" s="115">
        <v>-310.23</v>
      </c>
      <c r="K55" s="116">
        <f>IFERROR(J55/J148, "NA")</f>
        <v>-1.2003575187271714E-2</v>
      </c>
      <c r="L55" s="115">
        <v>-342.19</v>
      </c>
      <c r="M55" s="116">
        <f>IFERROR(L55/L148, "NA")</f>
        <v>-1.2019660552337457E-2</v>
      </c>
      <c r="N55" s="115">
        <v>-374.35</v>
      </c>
      <c r="O55" s="116">
        <f>IFERROR(N55/N148, "NA")</f>
        <v>-1.5233530614370914E-2</v>
      </c>
      <c r="P55" s="115">
        <v>-355.21</v>
      </c>
      <c r="Q55" s="116">
        <f>IFERROR(P55/P148, "NA")</f>
        <v>-1.655283032847962E-2</v>
      </c>
      <c r="R55" s="115">
        <v>-321.97000000000003</v>
      </c>
      <c r="S55" s="116">
        <f>IFERROR(R55/R148, "NA")</f>
        <v>-6.7064131572923324E-3</v>
      </c>
      <c r="T55" s="115">
        <v>-334.82</v>
      </c>
      <c r="U55" s="116">
        <f>IFERROR(T55/T148, "NA")</f>
        <v>-1.2273518898733755E-2</v>
      </c>
      <c r="V55" s="115">
        <v>0</v>
      </c>
      <c r="W55" s="116">
        <f>IFERROR(V55/V148, "NA")</f>
        <v>0</v>
      </c>
      <c r="X55" s="115">
        <v>0</v>
      </c>
      <c r="Y55" s="116">
        <f>IFERROR(X55/X148, "NA")</f>
        <v>0</v>
      </c>
      <c r="Z55" s="115">
        <v>0</v>
      </c>
      <c r="AA55" s="116">
        <f>IFERROR(Z55/Z148, "NA")</f>
        <v>0</v>
      </c>
      <c r="AB55" s="117">
        <f t="shared" si="18"/>
        <v>-164.19749999999999</v>
      </c>
      <c r="AC55" s="116">
        <f>IFERROR(AB55/AB148, "NA")</f>
        <v>-4.9324348274853149E-3</v>
      </c>
      <c r="AD55" s="118">
        <f t="shared" si="19"/>
        <v>164.19749999999999</v>
      </c>
      <c r="AE55" s="119">
        <f>IFERROR(AD55/AD148, "NA")</f>
        <v>-2.6599734322603645E-2</v>
      </c>
      <c r="AF55" s="118">
        <f t="shared" si="20"/>
        <v>-1</v>
      </c>
      <c r="AG55" s="117">
        <f t="shared" si="21"/>
        <v>-254.84625</v>
      </c>
      <c r="AH55" s="116">
        <f>IFERROR(AG55/AG148, "NA")</f>
        <v>-8.7311770303454411E-3</v>
      </c>
      <c r="AI55" s="118">
        <f t="shared" si="22"/>
        <v>254.84625</v>
      </c>
      <c r="AJ55" s="119">
        <f>IFERROR(AI55/AI148, "NA")</f>
        <v>-0.12301696486108786</v>
      </c>
      <c r="AK55" s="118">
        <f t="shared" si="23"/>
        <v>-1</v>
      </c>
      <c r="AL55" s="119">
        <f>IFERROR(AK55/AK148, "NA")</f>
        <v>14.089390746922103</v>
      </c>
    </row>
    <row r="56" spans="1:38" ht="16.5" customHeight="1" x14ac:dyDescent="0.25">
      <c r="A56" s="130" t="s">
        <v>62</v>
      </c>
      <c r="B56" s="121">
        <f>IFERROR(B37+B39+B40+B41+B42+B43+B46+B47+B48+B49+B50+B51+B53+B54+B55, "NA")</f>
        <v>2031.3</v>
      </c>
      <c r="C56" s="122">
        <f>IFERROR(B56/B148, "NA")</f>
        <v>5.0162268629530174E-2</v>
      </c>
      <c r="D56" s="121">
        <f>IFERROR(D37+D39+D40+D41+D42+D43+D46+D47+D48+D49+D50+D51+D53+D54+D55, "NA")</f>
        <v>951.49000000000012</v>
      </c>
      <c r="E56" s="122">
        <f>IFERROR(D56/D148, "NA")</f>
        <v>4.1107685554655007E-2</v>
      </c>
      <c r="F56" s="121">
        <f>IFERROR(F37+F39+F40+F41+F42+F43+F46+F47+F48+F49+F50+F51+F53+F54+F55, "NA")</f>
        <v>853.08999999999992</v>
      </c>
      <c r="G56" s="122">
        <f>IFERROR(F56/F148, "NA")</f>
        <v>3.3557089219791475E-2</v>
      </c>
      <c r="H56" s="121">
        <f>IFERROR(H37+H39+H40+H41+H42+H43+H46+H47+H48+H49+H50+H51+H53+H54+H55, "NA")</f>
        <v>628.78</v>
      </c>
      <c r="I56" s="122">
        <f>IFERROR(H56/H148, "NA")</f>
        <v>2.5657735004458008E-2</v>
      </c>
      <c r="J56" s="121">
        <f>IFERROR(J37+J39+J40+J41+J42+J43+J46+J47+J48+J49+J50+J51+J53+J54+J55, "NA")</f>
        <v>871.41999999999985</v>
      </c>
      <c r="K56" s="122">
        <f>IFERROR(J56/J148, "NA")</f>
        <v>3.3717420912523985E-2</v>
      </c>
      <c r="L56" s="121">
        <f>IFERROR(L37+L39+L40+L41+L42+L43+L46+L47+L48+L49+L50+L51+L53+L54+L55, "NA")</f>
        <v>1077.78</v>
      </c>
      <c r="M56" s="122">
        <f>IFERROR(L56/L148, "NA")</f>
        <v>3.7857768345358617E-2</v>
      </c>
      <c r="N56" s="121">
        <f>IFERROR(N37+N39+N40+N41+N42+N43+N46+N47+N48+N49+N50+N51+N53+N54+N55, "NA")</f>
        <v>480.76</v>
      </c>
      <c r="O56" s="122">
        <f>IFERROR(N56/N148, "NA")</f>
        <v>1.9563702893455215E-2</v>
      </c>
      <c r="P56" s="121">
        <f>IFERROR(P37+P39+P40+P41+P42+P43+P46+P47+P48+P49+P50+P51+P53+P54+P55, "NA")</f>
        <v>1025.8899999999999</v>
      </c>
      <c r="Q56" s="122">
        <f>IFERROR(P56/P148, "NA")</f>
        <v>4.7806602026080225E-2</v>
      </c>
      <c r="R56" s="121">
        <f>IFERROR(R37+R39+R40+R41+R42+R43+R46+R47+R48+R49+R50+R51+R53+R54+R55, "NA")</f>
        <v>1459.7399999999998</v>
      </c>
      <c r="S56" s="122">
        <f>IFERROR(R56/R148, "NA")</f>
        <v>3.0405377961381205E-2</v>
      </c>
      <c r="T56" s="121">
        <f>IFERROR(T37+T39+T40+T41+T42+T43+T46+T47+T48+T49+T50+T51+T53+T54+T55, "NA")</f>
        <v>724.6099999999999</v>
      </c>
      <c r="U56" s="122">
        <f>IFERROR(T56/T148, "NA")</f>
        <v>2.6562076725438939E-2</v>
      </c>
      <c r="V56" s="121">
        <f>IFERROR(V37+V39+V40+V41+V42+V43+V46+V47+V48+V49+V50+V51+V53+V54+V55, "NA")</f>
        <v>1458.7399999999998</v>
      </c>
      <c r="W56" s="122">
        <f>IFERROR(V56/V148, "NA")</f>
        <v>4.7435953300914609E-2</v>
      </c>
      <c r="X56" s="121">
        <f>IFERROR(X37+X39+X40+X41+X42+X43+X46+X47+X48+X49+X50+X51+X53+X54+X55, "NA")</f>
        <v>1474.73</v>
      </c>
      <c r="Y56" s="122">
        <f>IFERROR(X56/X148, "NA")</f>
        <v>5.4385088898100196E-2</v>
      </c>
      <c r="Z56" s="121">
        <f>IFERROR(Z37+Z39+Z40+Z41+Z42+Z43+Z46+Z47+Z48+Z49+Z50+Z51+Z53+Z54+Z55, "NA")</f>
        <v>2933.47</v>
      </c>
      <c r="AA56" s="122">
        <f>IFERROR(Z56/Z148, "NA")</f>
        <v>5.0692245242725621E-2</v>
      </c>
      <c r="AB56" s="121">
        <f t="shared" si="18"/>
        <v>1279.4549999999999</v>
      </c>
      <c r="AC56" s="122">
        <f>IFERROR(AB56/AB148, "NA")</f>
        <v>3.8434375689034392E-2</v>
      </c>
      <c r="AD56" s="123">
        <f t="shared" si="19"/>
        <v>195.27500000000009</v>
      </c>
      <c r="AE56" s="124">
        <f>IFERROR(AD56/AD148, "NA")</f>
        <v>-3.1634239984448177E-2</v>
      </c>
      <c r="AF56" s="123">
        <f t="shared" si="20"/>
        <v>0.15262357800782372</v>
      </c>
      <c r="AG56" s="121">
        <f t="shared" si="21"/>
        <v>1071.70875</v>
      </c>
      <c r="AH56" s="122">
        <f>IFERROR(AG56/AG148, "NA")</f>
        <v>3.6717349465492329E-2</v>
      </c>
      <c r="AI56" s="123">
        <f t="shared" si="22"/>
        <v>403.02125000000001</v>
      </c>
      <c r="AJ56" s="124">
        <f>IFERROR(AI56/AI148, "NA")</f>
        <v>-0.19454259558271589</v>
      </c>
      <c r="AK56" s="123">
        <f t="shared" si="23"/>
        <v>0.37605482832905862</v>
      </c>
      <c r="AL56" s="124">
        <f>IFERROR(AK56/AK148, "NA")</f>
        <v>-5.2983834185948187</v>
      </c>
    </row>
    <row r="57" spans="1:38" ht="16.5" customHeight="1" x14ac:dyDescent="0.25">
      <c r="A57" s="120" t="s">
        <v>63</v>
      </c>
      <c r="B57" s="131">
        <f>IFERROR(B13+B15+B16+B17+B18+B19+B20+B21+B22+B23+B24+B25+B26+B29+B30+B31+B32+B33+B37+B39+B40+B41+B42+B43+B46+B47+B48+B49+B50+B51+B53+B54+B55, "NA")</f>
        <v>9889.07</v>
      </c>
      <c r="C57" s="132">
        <f>IFERROR(B57/B148, "NA")</f>
        <v>0.24420724946400232</v>
      </c>
      <c r="D57" s="131">
        <f>IFERROR(D13+D15+D16+D17+D18+D19+D20+D21+D22+D23+D24+D25+D26+D29+D30+D31+D32+D33+D37+D39+D40+D41+D42+D43+D46+D47+D48+D49+D50+D51+D53+D54+D55, "NA")</f>
        <v>5421.36</v>
      </c>
      <c r="E57" s="132">
        <f>IFERROR(D57/D148, "NA")</f>
        <v>0.2342216546244148</v>
      </c>
      <c r="F57" s="131">
        <f>IFERROR(F13+F15+F16+F17+F18+F19+F20+F21+F22+F23+F24+F25+F26+F29+F30+F31+F32+F33+F37+F39+F40+F41+F42+F43+F46+F47+F48+F49+F50+F51+F53+F54+F55, "NA")</f>
        <v>6618.0999999999995</v>
      </c>
      <c r="G57" s="132">
        <f>IFERROR(F57/F148, "NA")</f>
        <v>0.26032912373313716</v>
      </c>
      <c r="H57" s="131">
        <f>IFERROR(H13+H15+H16+H17+H18+H19+H20+H21+H22+H23+H24+H25+H26+H29+H30+H31+H32+H33+H37+H39+H40+H41+H42+H43+H46+H47+H48+H49+H50+H51+H53+H54+H55, "NA")</f>
        <v>6138.4200000000019</v>
      </c>
      <c r="I57" s="132">
        <f>IFERROR(H57/H148, "NA")</f>
        <v>0.25048181193114472</v>
      </c>
      <c r="J57" s="131">
        <f>IFERROR(J13+J15+J16+J17+J18+J19+J20+J21+J22+J23+J24+J25+J26+J29+J30+J31+J32+J33+J37+J39+J40+J41+J42+J43+J46+J47+J48+J49+J50+J51+J53+J54+J55, "NA")</f>
        <v>5861.08</v>
      </c>
      <c r="K57" s="132">
        <f>IFERROR(J57/J148, "NA")</f>
        <v>0.22677985513526899</v>
      </c>
      <c r="L57" s="131">
        <f>IFERROR(L13+L15+L16+L17+L18+L19+L20+L21+L22+L23+L24+L25+L26+L29+L30+L31+L32+L33+L37+L39+L40+L41+L42+L43+L46+L47+L48+L49+L50+L51+L53+L54+L55, "NA")</f>
        <v>6063.1200000000008</v>
      </c>
      <c r="M57" s="132">
        <f>IFERROR(L57/L148, "NA")</f>
        <v>0.21297128580054442</v>
      </c>
      <c r="N57" s="131">
        <f>IFERROR(N13+N15+N16+N17+N18+N19+N20+N21+N22+N23+N24+N25+N26+N29+N30+N31+N32+N33+N37+N39+N40+N41+N42+N43+N46+N47+N48+N49+N50+N51+N53+N54+N55, "NA")</f>
        <v>5733.68</v>
      </c>
      <c r="O57" s="132">
        <f>IFERROR(N57/N148, "NA")</f>
        <v>0.23332226476026771</v>
      </c>
      <c r="P57" s="131">
        <f>IFERROR(P13+P15+P16+P17+P18+P19+P20+P21+P22+P23+P24+P25+P26+P29+P30+P31+P32+P33+P37+P39+P40+P41+P42+P43+P46+P47+P48+P49+P50+P51+P53+P54+P55, "NA")</f>
        <v>5711.1899999999987</v>
      </c>
      <c r="Q57" s="132">
        <f>IFERROR(P57/P148, "NA")</f>
        <v>0.26614216672872248</v>
      </c>
      <c r="R57" s="131">
        <f>IFERROR(R13+R15+R16+R17+R18+R19+R20+R21+R22+R23+R24+R25+R26+R29+R30+R31+R32+R33+R37+R39+R40+R41+R42+R43+R46+R47+R48+R49+R50+R51+R53+R54+R55, "NA")</f>
        <v>10614.23</v>
      </c>
      <c r="S57" s="132">
        <f>IFERROR(R57/R148, "NA")</f>
        <v>0.22108709422159512</v>
      </c>
      <c r="T57" s="131">
        <f>IFERROR(T13+T15+T16+T17+T18+T19+T20+T21+T22+T23+T24+T25+T26+T29+T30+T31+T32+T33+T37+T39+T40+T41+T42+T43+T46+T47+T48+T49+T50+T51+T53+T54+T55, "NA")</f>
        <v>6350.17</v>
      </c>
      <c r="U57" s="132">
        <f>IFERROR(T57/T148, "NA")</f>
        <v>0.23277860195081576</v>
      </c>
      <c r="V57" s="131">
        <f>IFERROR(V13+V15+V16+V17+V18+V19+V20+V21+V22+V23+V24+V25+V26+V29+V30+V31+V32+V33+V37+V39+V40+V41+V42+V43+V46+V47+V48+V49+V50+V51+V53+V54+V55, "NA")</f>
        <v>8154.4900000000007</v>
      </c>
      <c r="W57" s="132">
        <f>IFERROR(V57/V148, "NA")</f>
        <v>0.26517131691238688</v>
      </c>
      <c r="X57" s="131">
        <f>IFERROR(X13+X15+X16+X17+X18+X19+X20+X21+X22+X23+X24+X25+X26+X29+X30+X31+X32+X33+X37+X39+X40+X41+X42+X43+X46+X47+X48+X49+X50+X51+X53+X54+X55, "NA")</f>
        <v>6834.68</v>
      </c>
      <c r="Y57" s="132">
        <f>IFERROR(X57/X148, "NA")</f>
        <v>0.25204931030769528</v>
      </c>
      <c r="Z57" s="131">
        <f>IFERROR(Z13+Z15+Z16+Z17+Z18+Z19+Z20+Z21+Z22+Z23+Z24+Z25+Z26+Z29+Z30+Z31+Z32+Z33+Z37+Z39+Z40+Z41+Z42+Z43+Z46+Z47+Z48+Z49+Z50+Z51+Z53+Z54+Z55, "NA")</f>
        <v>14989.170000000002</v>
      </c>
      <c r="AA57" s="132">
        <f>IFERROR(Z57/Z148, "NA")</f>
        <v>0.25902248246101228</v>
      </c>
      <c r="AB57" s="131">
        <f t="shared" si="18"/>
        <v>7988.3925000000008</v>
      </c>
      <c r="AC57" s="132">
        <f>IFERROR(AB57/AB148, "NA")</f>
        <v>0.23996848540704027</v>
      </c>
      <c r="AD57" s="133">
        <f t="shared" si="19"/>
        <v>-1153.7125000000005</v>
      </c>
      <c r="AE57" s="134">
        <f>IFERROR(AD57/AD148, "NA")</f>
        <v>0.18689959338398499</v>
      </c>
      <c r="AF57" s="133">
        <f t="shared" si="20"/>
        <v>-0.14442361213473179</v>
      </c>
      <c r="AG57" s="131">
        <f t="shared" si="21"/>
        <v>6915.33</v>
      </c>
      <c r="AH57" s="132">
        <f>IFERROR(AG57/AG148, "NA")</f>
        <v>0.23692312699621335</v>
      </c>
      <c r="AI57" s="133">
        <f t="shared" si="22"/>
        <v>-80.649999999999636</v>
      </c>
      <c r="AJ57" s="134">
        <f>IFERROR(AI57/AI148, "NA")</f>
        <v>3.8930603122654117E-2</v>
      </c>
      <c r="AK57" s="133">
        <f t="shared" si="23"/>
        <v>-1.1662494776098847E-2</v>
      </c>
      <c r="AL57" s="134">
        <f>IFERROR(AK57/AK148, "NA")</f>
        <v>0.16431744598439446</v>
      </c>
    </row>
    <row r="58" spans="1:38" ht="3.75" customHeight="1" x14ac:dyDescent="0.25">
      <c r="A58" s="3" t="s">
        <v>2</v>
      </c>
      <c r="B58" s="125"/>
      <c r="C58" s="126"/>
      <c r="D58" s="125"/>
      <c r="E58" s="126"/>
      <c r="F58" s="125"/>
      <c r="G58" s="126"/>
      <c r="H58" s="125"/>
      <c r="I58" s="126"/>
      <c r="J58" s="125"/>
      <c r="K58" s="126"/>
      <c r="L58" s="125"/>
      <c r="M58" s="126"/>
      <c r="N58" s="125"/>
      <c r="O58" s="126"/>
      <c r="P58" s="125"/>
      <c r="Q58" s="126"/>
      <c r="R58" s="125"/>
      <c r="S58" s="126"/>
      <c r="T58" s="125"/>
      <c r="U58" s="126"/>
      <c r="V58" s="125"/>
      <c r="W58" s="126"/>
      <c r="X58" s="125"/>
      <c r="Y58" s="126"/>
      <c r="Z58" s="125"/>
      <c r="AA58" s="126"/>
      <c r="AB58" s="125"/>
      <c r="AC58" s="126"/>
      <c r="AD58" s="127"/>
      <c r="AE58" s="128"/>
      <c r="AF58" s="127"/>
      <c r="AG58" s="125"/>
      <c r="AH58" s="126"/>
      <c r="AI58" s="127"/>
      <c r="AJ58" s="128"/>
      <c r="AK58" s="127"/>
      <c r="AL58" s="128"/>
    </row>
    <row r="59" spans="1:38" ht="16.5" customHeight="1" x14ac:dyDescent="0.25">
      <c r="A59" s="135" t="s">
        <v>64</v>
      </c>
      <c r="B59" s="136">
        <f>IFERROR(B9-B57, "NA")</f>
        <v>30605.509999999995</v>
      </c>
      <c r="C59" s="137">
        <f>IFERROR(B59/B148, "NA")</f>
        <v>0.75579275053599748</v>
      </c>
      <c r="D59" s="136">
        <f>IFERROR(D9-D57, "NA")</f>
        <v>17724.919999999998</v>
      </c>
      <c r="E59" s="137">
        <f>IFERROR(D59/D148, "NA")</f>
        <v>0.7657783453755852</v>
      </c>
      <c r="F59" s="136">
        <f>IFERROR(F9-F57, "NA")</f>
        <v>18803.950000000008</v>
      </c>
      <c r="G59" s="137">
        <f>IFERROR(F59/F148, "NA")</f>
        <v>0.73967087626686312</v>
      </c>
      <c r="H59" s="136">
        <f>IFERROR(H9-H57, "NA")</f>
        <v>18368.030000000002</v>
      </c>
      <c r="I59" s="137">
        <f>IFERROR(H59/H148, "NA")</f>
        <v>0.7495181880688554</v>
      </c>
      <c r="J59" s="136">
        <f>IFERROR(J9-J57, "NA")</f>
        <v>19983.719999999994</v>
      </c>
      <c r="K59" s="137">
        <f>IFERROR(J59/J148, "NA")</f>
        <v>0.77322014486473079</v>
      </c>
      <c r="L59" s="136">
        <f>IFERROR(L9-L57, "NA")</f>
        <v>22406.07</v>
      </c>
      <c r="M59" s="137">
        <f>IFERROR(L59/L148, "NA")</f>
        <v>0.78702871419945564</v>
      </c>
      <c r="N59" s="136">
        <f>IFERROR(N9-N57, "NA")</f>
        <v>18840.400000000001</v>
      </c>
      <c r="O59" s="137">
        <f>IFERROR(N59/N148, "NA")</f>
        <v>0.76667773523973226</v>
      </c>
      <c r="P59" s="136">
        <f>IFERROR(P9-P57, "NA")</f>
        <v>15747.98</v>
      </c>
      <c r="Q59" s="137">
        <f>IFERROR(P59/P148, "NA")</f>
        <v>0.73385783327127752</v>
      </c>
      <c r="R59" s="136">
        <f>IFERROR(R9-R57, "NA")</f>
        <v>37395.039999999994</v>
      </c>
      <c r="S59" s="137">
        <f>IFERROR(R59/R148, "NA")</f>
        <v>0.77891290577840477</v>
      </c>
      <c r="T59" s="136">
        <f>IFERROR(T9-T57, "NA")</f>
        <v>20929.700000000004</v>
      </c>
      <c r="U59" s="137">
        <f>IFERROR(T59/T148, "NA")</f>
        <v>0.76722139804918443</v>
      </c>
      <c r="V59" s="136">
        <f>IFERROR(V9-V57, "NA")</f>
        <v>22597.289999999997</v>
      </c>
      <c r="W59" s="137">
        <f>IFERROR(V59/V148, "NA")</f>
        <v>0.73482868308761307</v>
      </c>
      <c r="X59" s="136">
        <f>IFERROR(X9-X57, "NA")</f>
        <v>20281.759999999995</v>
      </c>
      <c r="Y59" s="137">
        <f>IFERROR(X59/X148, "NA")</f>
        <v>0.7479506896923046</v>
      </c>
      <c r="Z59" s="136">
        <f>IFERROR(Z9-Z57, "NA")</f>
        <v>42879.05</v>
      </c>
      <c r="AA59" s="137">
        <f>IFERROR(Z59/Z148, "NA")</f>
        <v>0.74097751753898777</v>
      </c>
      <c r="AB59" s="136">
        <f>IFERROR((R59+T59+V59+X59)/4, "NA")</f>
        <v>25300.947499999998</v>
      </c>
      <c r="AC59" s="137">
        <f>IFERROR(AB59/AB148, "NA")</f>
        <v>0.76003151459295981</v>
      </c>
      <c r="AD59" s="123">
        <f>IFERROR(X59-AB59, "NA")</f>
        <v>-5019.1875000000036</v>
      </c>
      <c r="AE59" s="124">
        <f>IFERROR(AD59/AD148, "NA")</f>
        <v>0.81310040661601601</v>
      </c>
      <c r="AF59" s="123">
        <f>IFERROR((X59-AB59)/AB59, "NA")</f>
        <v>-0.19837942828030466</v>
      </c>
      <c r="AG59" s="136">
        <f>IFERROR((J59+L59+N59+P59+R59+T59+V59+X59)/8, "NA")</f>
        <v>22272.745000000003</v>
      </c>
      <c r="AH59" s="137">
        <f>IFERROR(AG59/AG148, "NA")</f>
        <v>0.76307687300378668</v>
      </c>
      <c r="AI59" s="123">
        <f>IFERROR(X59-AG59, "NA")</f>
        <v>-1990.9850000000079</v>
      </c>
      <c r="AJ59" s="124">
        <f>IFERROR(AI59/AI148, "NA")</f>
        <v>0.96106939687734849</v>
      </c>
      <c r="AK59" s="123">
        <f>IFERROR((X59-AG59)/AG59, "NA")</f>
        <v>-8.9391092117294374E-2</v>
      </c>
      <c r="AL59" s="124">
        <f>IFERROR(AK59/AK148, "NA")</f>
        <v>1.2594660261346686</v>
      </c>
    </row>
    <row r="60" spans="1:38" ht="3.75" customHeight="1" x14ac:dyDescent="0.25">
      <c r="A60" s="8" t="s">
        <v>2</v>
      </c>
      <c r="B60" s="138"/>
      <c r="C60" s="126"/>
      <c r="D60" s="138"/>
      <c r="E60" s="126"/>
      <c r="F60" s="138"/>
      <c r="G60" s="126"/>
      <c r="H60" s="138"/>
      <c r="I60" s="126"/>
      <c r="J60" s="138"/>
      <c r="K60" s="126"/>
      <c r="L60" s="138"/>
      <c r="M60" s="126"/>
      <c r="N60" s="138"/>
      <c r="O60" s="126"/>
      <c r="P60" s="138"/>
      <c r="Q60" s="126"/>
      <c r="R60" s="138"/>
      <c r="S60" s="126"/>
      <c r="T60" s="138"/>
      <c r="U60" s="126"/>
      <c r="V60" s="138"/>
      <c r="W60" s="126"/>
      <c r="X60" s="138"/>
      <c r="Y60" s="126"/>
      <c r="Z60" s="138"/>
      <c r="AA60" s="126"/>
      <c r="AB60" s="138"/>
      <c r="AC60" s="126"/>
      <c r="AD60" s="139"/>
      <c r="AE60" s="128"/>
      <c r="AF60" s="139"/>
      <c r="AG60" s="138"/>
      <c r="AH60" s="126"/>
      <c r="AI60" s="139"/>
      <c r="AJ60" s="128"/>
      <c r="AK60" s="139"/>
      <c r="AL60" s="128"/>
    </row>
    <row r="61" spans="1:38" ht="16.5" customHeight="1" x14ac:dyDescent="0.25">
      <c r="A61" s="1" t="s">
        <v>65</v>
      </c>
      <c r="B61" s="111"/>
      <c r="C61" s="112"/>
      <c r="D61" s="111"/>
      <c r="E61" s="112"/>
      <c r="F61" s="111"/>
      <c r="G61" s="112"/>
      <c r="H61" s="111"/>
      <c r="I61" s="112"/>
      <c r="J61" s="111"/>
      <c r="K61" s="112"/>
      <c r="L61" s="111"/>
      <c r="M61" s="112"/>
      <c r="N61" s="111"/>
      <c r="O61" s="112"/>
      <c r="P61" s="111"/>
      <c r="Q61" s="112"/>
      <c r="R61" s="111"/>
      <c r="S61" s="112"/>
      <c r="T61" s="111"/>
      <c r="U61" s="112"/>
      <c r="V61" s="111"/>
      <c r="W61" s="112"/>
      <c r="X61" s="111"/>
      <c r="Y61" s="112"/>
      <c r="Z61" s="111"/>
      <c r="AA61" s="112"/>
      <c r="AB61" s="111"/>
      <c r="AC61" s="112"/>
      <c r="AD61" s="113"/>
      <c r="AE61" s="114"/>
      <c r="AF61" s="113"/>
      <c r="AG61" s="111"/>
      <c r="AH61" s="112"/>
      <c r="AI61" s="113"/>
      <c r="AJ61" s="114"/>
      <c r="AK61" s="113"/>
      <c r="AL61" s="114"/>
    </row>
    <row r="62" spans="1:38" ht="16.5" customHeight="1" x14ac:dyDescent="0.25">
      <c r="A62" s="4" t="s">
        <v>65</v>
      </c>
      <c r="B62" s="111"/>
      <c r="C62" s="112"/>
      <c r="D62" s="111"/>
      <c r="E62" s="112"/>
      <c r="F62" s="111"/>
      <c r="G62" s="112"/>
      <c r="H62" s="111"/>
      <c r="I62" s="112"/>
      <c r="J62" s="111"/>
      <c r="K62" s="112"/>
      <c r="L62" s="111"/>
      <c r="M62" s="112"/>
      <c r="N62" s="111"/>
      <c r="O62" s="112"/>
      <c r="P62" s="111"/>
      <c r="Q62" s="112"/>
      <c r="R62" s="111"/>
      <c r="S62" s="112"/>
      <c r="T62" s="111"/>
      <c r="U62" s="112"/>
      <c r="V62" s="111"/>
      <c r="W62" s="112"/>
      <c r="X62" s="111"/>
      <c r="Y62" s="112"/>
      <c r="Z62" s="111"/>
      <c r="AA62" s="112"/>
      <c r="AB62" s="111"/>
      <c r="AC62" s="112"/>
      <c r="AD62" s="113"/>
      <c r="AE62" s="114"/>
      <c r="AF62" s="113"/>
      <c r="AG62" s="111"/>
      <c r="AH62" s="112"/>
      <c r="AI62" s="113"/>
      <c r="AJ62" s="114"/>
      <c r="AK62" s="113"/>
      <c r="AL62" s="114"/>
    </row>
    <row r="63" spans="1:38" ht="16.5" hidden="1" customHeight="1" x14ac:dyDescent="0.25">
      <c r="A63" s="5" t="s">
        <v>66</v>
      </c>
      <c r="B63" s="115">
        <v>0</v>
      </c>
      <c r="C63" s="116">
        <f>IFERROR(B63/B148, "NA")</f>
        <v>0</v>
      </c>
      <c r="D63" s="115">
        <v>0</v>
      </c>
      <c r="E63" s="116">
        <f>IFERROR(D63/D148, "NA")</f>
        <v>0</v>
      </c>
      <c r="F63" s="115">
        <v>0</v>
      </c>
      <c r="G63" s="116">
        <f>IFERROR(F63/F148, "NA")</f>
        <v>0</v>
      </c>
      <c r="H63" s="115">
        <v>0</v>
      </c>
      <c r="I63" s="116">
        <f>IFERROR(H63/H148, "NA")</f>
        <v>0</v>
      </c>
      <c r="J63" s="115">
        <v>0</v>
      </c>
      <c r="K63" s="116">
        <f>IFERROR(J63/J148, "NA")</f>
        <v>0</v>
      </c>
      <c r="L63" s="115">
        <v>0</v>
      </c>
      <c r="M63" s="116">
        <f>IFERROR(L63/L148, "NA")</f>
        <v>0</v>
      </c>
      <c r="N63" s="115">
        <v>0</v>
      </c>
      <c r="O63" s="116">
        <f>IFERROR(N63/N148, "NA")</f>
        <v>0</v>
      </c>
      <c r="P63" s="115">
        <v>0</v>
      </c>
      <c r="Q63" s="116">
        <f>IFERROR(P63/P148, "NA")</f>
        <v>0</v>
      </c>
      <c r="R63" s="115">
        <v>0</v>
      </c>
      <c r="S63" s="116">
        <f>IFERROR(R63/R148, "NA")</f>
        <v>0</v>
      </c>
      <c r="T63" s="115">
        <v>0</v>
      </c>
      <c r="U63" s="116">
        <f>IFERROR(T63/T148, "NA")</f>
        <v>0</v>
      </c>
      <c r="V63" s="115">
        <v>0</v>
      </c>
      <c r="W63" s="116">
        <f>IFERROR(V63/V148, "NA")</f>
        <v>0</v>
      </c>
      <c r="X63" s="115">
        <v>0</v>
      </c>
      <c r="Y63" s="116">
        <f>IFERROR(X63/X148, "NA")</f>
        <v>0</v>
      </c>
      <c r="Z63" s="115">
        <v>0</v>
      </c>
      <c r="AA63" s="116">
        <f>IFERROR(Z63/Z148, "NA")</f>
        <v>0</v>
      </c>
      <c r="AB63" s="117">
        <f>IFERROR((R63+T63+V63+X63)/4, "NA")</f>
        <v>0</v>
      </c>
      <c r="AC63" s="116">
        <f>IFERROR(AB63/AB148, "NA")</f>
        <v>0</v>
      </c>
      <c r="AD63" s="118">
        <f>IFERROR(X63-AB63, "NA")</f>
        <v>0</v>
      </c>
      <c r="AE63" s="119">
        <f>IFERROR(AD63/AD148, "NA")</f>
        <v>0</v>
      </c>
      <c r="AF63" s="118" t="str">
        <f>IFERROR((X63-AB63)/AB63, "NA")</f>
        <v>NA</v>
      </c>
      <c r="AG63" s="117">
        <f>IFERROR((J63+L63+N63+P63+R63+T63+V63+X63)/8, "NA")</f>
        <v>0</v>
      </c>
      <c r="AH63" s="116">
        <f>IFERROR(AG63/AG148, "NA")</f>
        <v>0</v>
      </c>
      <c r="AI63" s="118">
        <f>IFERROR(X63-AG63, "NA")</f>
        <v>0</v>
      </c>
      <c r="AJ63" s="119">
        <f>IFERROR(AI63/AI148, "NA")</f>
        <v>0</v>
      </c>
      <c r="AK63" s="118" t="str">
        <f>IFERROR((X63-AG63)/AG63, "NA")</f>
        <v>NA</v>
      </c>
      <c r="AL63" s="119" t="str">
        <f>IFERROR(AK63/AK148, "NA")</f>
        <v>NA</v>
      </c>
    </row>
    <row r="64" spans="1:38" ht="16.5" customHeight="1" x14ac:dyDescent="0.25">
      <c r="A64" s="6" t="s">
        <v>67</v>
      </c>
      <c r="B64" s="111"/>
      <c r="C64" s="112"/>
      <c r="D64" s="111"/>
      <c r="E64" s="112"/>
      <c r="F64" s="111"/>
      <c r="G64" s="112"/>
      <c r="H64" s="111"/>
      <c r="I64" s="112"/>
      <c r="J64" s="111"/>
      <c r="K64" s="112"/>
      <c r="L64" s="111"/>
      <c r="M64" s="112"/>
      <c r="N64" s="111"/>
      <c r="O64" s="112"/>
      <c r="P64" s="111"/>
      <c r="Q64" s="112"/>
      <c r="R64" s="111"/>
      <c r="S64" s="112"/>
      <c r="T64" s="111"/>
      <c r="U64" s="112"/>
      <c r="V64" s="111"/>
      <c r="W64" s="112"/>
      <c r="X64" s="111"/>
      <c r="Y64" s="112"/>
      <c r="Z64" s="111"/>
      <c r="AA64" s="112"/>
      <c r="AB64" s="111"/>
      <c r="AC64" s="112"/>
      <c r="AD64" s="113"/>
      <c r="AE64" s="114"/>
      <c r="AF64" s="113"/>
      <c r="AG64" s="111"/>
      <c r="AH64" s="112"/>
      <c r="AI64" s="113"/>
      <c r="AJ64" s="114"/>
      <c r="AK64" s="113"/>
      <c r="AL64" s="114"/>
    </row>
    <row r="65" spans="1:38" ht="16.5" hidden="1" customHeight="1" x14ac:dyDescent="0.25">
      <c r="A65" s="7" t="s">
        <v>68</v>
      </c>
      <c r="B65" s="115">
        <v>0</v>
      </c>
      <c r="C65" s="116">
        <f>IFERROR(B65/B148, "NA")</f>
        <v>0</v>
      </c>
      <c r="D65" s="115">
        <v>0</v>
      </c>
      <c r="E65" s="116">
        <f>IFERROR(D65/D148, "NA")</f>
        <v>0</v>
      </c>
      <c r="F65" s="115">
        <v>0</v>
      </c>
      <c r="G65" s="116">
        <f>IFERROR(F65/F148, "NA")</f>
        <v>0</v>
      </c>
      <c r="H65" s="115">
        <v>0</v>
      </c>
      <c r="I65" s="116">
        <f>IFERROR(H65/H148, "NA")</f>
        <v>0</v>
      </c>
      <c r="J65" s="115">
        <v>0</v>
      </c>
      <c r="K65" s="116">
        <f>IFERROR(J65/J148, "NA")</f>
        <v>0</v>
      </c>
      <c r="L65" s="115">
        <v>0</v>
      </c>
      <c r="M65" s="116">
        <f>IFERROR(L65/L148, "NA")</f>
        <v>0</v>
      </c>
      <c r="N65" s="115">
        <v>0</v>
      </c>
      <c r="O65" s="116">
        <f>IFERROR(N65/N148, "NA")</f>
        <v>0</v>
      </c>
      <c r="P65" s="115">
        <v>0</v>
      </c>
      <c r="Q65" s="116">
        <f>IFERROR(P65/P148, "NA")</f>
        <v>0</v>
      </c>
      <c r="R65" s="115">
        <v>0</v>
      </c>
      <c r="S65" s="116">
        <f>IFERROR(R65/R148, "NA")</f>
        <v>0</v>
      </c>
      <c r="T65" s="115">
        <v>0</v>
      </c>
      <c r="U65" s="116">
        <f>IFERROR(T65/T148, "NA")</f>
        <v>0</v>
      </c>
      <c r="V65" s="115">
        <v>0</v>
      </c>
      <c r="W65" s="116">
        <f>IFERROR(V65/V148, "NA")</f>
        <v>0</v>
      </c>
      <c r="X65" s="115">
        <v>0</v>
      </c>
      <c r="Y65" s="116">
        <f>IFERROR(X65/X148, "NA")</f>
        <v>0</v>
      </c>
      <c r="Z65" s="115">
        <v>0</v>
      </c>
      <c r="AA65" s="116">
        <f>IFERROR(Z65/Z148, "NA")</f>
        <v>0</v>
      </c>
      <c r="AB65" s="117">
        <f t="shared" ref="AB65:AB72" si="24">IFERROR((R65+T65+V65+X65)/4, "NA")</f>
        <v>0</v>
      </c>
      <c r="AC65" s="116">
        <f>IFERROR(AB65/AB148, "NA")</f>
        <v>0</v>
      </c>
      <c r="AD65" s="118">
        <f t="shared" ref="AD65:AD72" si="25">IFERROR(X65-AB65, "NA")</f>
        <v>0</v>
      </c>
      <c r="AE65" s="119">
        <f>IFERROR(AD65/AD148, "NA")</f>
        <v>0</v>
      </c>
      <c r="AF65" s="118" t="str">
        <f t="shared" ref="AF65:AF72" si="26">IFERROR((X65-AB65)/AB65, "NA")</f>
        <v>NA</v>
      </c>
      <c r="AG65" s="117">
        <f t="shared" ref="AG65:AG72" si="27">IFERROR((J65+L65+N65+P65+R65+T65+V65+X65)/8, "NA")</f>
        <v>0</v>
      </c>
      <c r="AH65" s="116">
        <f>IFERROR(AG65/AG148, "NA")</f>
        <v>0</v>
      </c>
      <c r="AI65" s="118">
        <f t="shared" ref="AI65:AI72" si="28">IFERROR(X65-AG65, "NA")</f>
        <v>0</v>
      </c>
      <c r="AJ65" s="119">
        <f>IFERROR(AI65/AI148, "NA")</f>
        <v>0</v>
      </c>
      <c r="AK65" s="118" t="str">
        <f t="shared" ref="AK65:AK72" si="29">IFERROR((X65-AG65)/AG65, "NA")</f>
        <v>NA</v>
      </c>
      <c r="AL65" s="119" t="str">
        <f>IFERROR(AK65/AK148, "NA")</f>
        <v>NA</v>
      </c>
    </row>
    <row r="66" spans="1:38" ht="16.5" customHeight="1" x14ac:dyDescent="0.25">
      <c r="A66" s="7" t="s">
        <v>69</v>
      </c>
      <c r="B66" s="115">
        <v>1410</v>
      </c>
      <c r="C66" s="116">
        <f>IFERROR(B66/B148, "NA")</f>
        <v>3.4819474606231249E-2</v>
      </c>
      <c r="D66" s="115">
        <v>1410</v>
      </c>
      <c r="E66" s="116">
        <f>IFERROR(D66/D148, "NA")</f>
        <v>6.0916916238808141E-2</v>
      </c>
      <c r="F66" s="115">
        <v>1410</v>
      </c>
      <c r="G66" s="116">
        <f>IFERROR(F66/F148, "NA")</f>
        <v>5.5463662450510487E-2</v>
      </c>
      <c r="H66" s="115">
        <v>1410</v>
      </c>
      <c r="I66" s="116">
        <f>IFERROR(H66/H148, "NA")</f>
        <v>5.75358732088899E-2</v>
      </c>
      <c r="J66" s="115">
        <v>1410</v>
      </c>
      <c r="K66" s="116">
        <f>IFERROR(J66/J148, "NA")</f>
        <v>5.4556429146288617E-2</v>
      </c>
      <c r="L66" s="115">
        <v>1410</v>
      </c>
      <c r="M66" s="116">
        <f>IFERROR(L66/L148, "NA")</f>
        <v>4.9527225748256277E-2</v>
      </c>
      <c r="N66" s="115">
        <v>1410</v>
      </c>
      <c r="O66" s="116">
        <f>IFERROR(N66/N148, "NA")</f>
        <v>5.737752949449175E-2</v>
      </c>
      <c r="P66" s="115">
        <v>1410</v>
      </c>
      <c r="Q66" s="116">
        <f>IFERROR(P66/P148, "NA")</f>
        <v>6.5706175961139229E-2</v>
      </c>
      <c r="R66" s="115">
        <v>1410</v>
      </c>
      <c r="S66" s="116">
        <f>IFERROR(R66/R148, "NA")</f>
        <v>2.9369328048520632E-2</v>
      </c>
      <c r="T66" s="115">
        <v>1410</v>
      </c>
      <c r="U66" s="116">
        <f>IFERROR(T66/T148, "NA")</f>
        <v>5.1686463315257739E-2</v>
      </c>
      <c r="V66" s="115">
        <v>1410</v>
      </c>
      <c r="W66" s="116">
        <f>IFERROR(V66/V148, "NA")</f>
        <v>4.5851004397143839E-2</v>
      </c>
      <c r="X66" s="115">
        <v>1410</v>
      </c>
      <c r="Y66" s="116">
        <f>IFERROR(X66/X148, "NA")</f>
        <v>5.1997976135510417E-2</v>
      </c>
      <c r="Z66" s="115">
        <v>2820</v>
      </c>
      <c r="AA66" s="116">
        <f>IFERROR(Z66/Z148, "NA")</f>
        <v>4.8731410781254376E-2</v>
      </c>
      <c r="AB66" s="117">
        <f t="shared" si="24"/>
        <v>1410</v>
      </c>
      <c r="AC66" s="116">
        <f>IFERROR(AB66/AB148, "NA")</f>
        <v>4.2355901318560242E-2</v>
      </c>
      <c r="AD66" s="118">
        <f t="shared" si="25"/>
        <v>0</v>
      </c>
      <c r="AE66" s="119">
        <f>IFERROR(AD66/AD148, "NA")</f>
        <v>0</v>
      </c>
      <c r="AF66" s="118">
        <f t="shared" si="26"/>
        <v>0</v>
      </c>
      <c r="AG66" s="117">
        <f t="shared" si="27"/>
        <v>1410</v>
      </c>
      <c r="AH66" s="116">
        <f>IFERROR(AG66/AG148, "NA")</f>
        <v>4.8307399511615619E-2</v>
      </c>
      <c r="AI66" s="118">
        <f t="shared" si="28"/>
        <v>0</v>
      </c>
      <c r="AJ66" s="119">
        <f>IFERROR(AI66/AI148, "NA")</f>
        <v>0</v>
      </c>
      <c r="AK66" s="118">
        <f t="shared" si="29"/>
        <v>0</v>
      </c>
      <c r="AL66" s="119">
        <f>IFERROR(AK66/AK148, "NA")</f>
        <v>0</v>
      </c>
    </row>
    <row r="67" spans="1:38" ht="16.5" hidden="1" customHeight="1" x14ac:dyDescent="0.25">
      <c r="A67" s="7" t="s">
        <v>70</v>
      </c>
      <c r="B67" s="115">
        <v>0</v>
      </c>
      <c r="C67" s="116">
        <f>IFERROR(B67/B148, "NA")</f>
        <v>0</v>
      </c>
      <c r="D67" s="115">
        <v>0</v>
      </c>
      <c r="E67" s="116">
        <f>IFERROR(D67/D148, "NA")</f>
        <v>0</v>
      </c>
      <c r="F67" s="115">
        <v>0</v>
      </c>
      <c r="G67" s="116">
        <f>IFERROR(F67/F148, "NA")</f>
        <v>0</v>
      </c>
      <c r="H67" s="115">
        <v>0</v>
      </c>
      <c r="I67" s="116">
        <f>IFERROR(H67/H148, "NA")</f>
        <v>0</v>
      </c>
      <c r="J67" s="115">
        <v>0</v>
      </c>
      <c r="K67" s="116">
        <f>IFERROR(J67/J148, "NA")</f>
        <v>0</v>
      </c>
      <c r="L67" s="115">
        <v>0</v>
      </c>
      <c r="M67" s="116">
        <f>IFERROR(L67/L148, "NA")</f>
        <v>0</v>
      </c>
      <c r="N67" s="115">
        <v>0</v>
      </c>
      <c r="O67" s="116">
        <f>IFERROR(N67/N148, "NA")</f>
        <v>0</v>
      </c>
      <c r="P67" s="115">
        <v>0</v>
      </c>
      <c r="Q67" s="116">
        <f>IFERROR(P67/P148, "NA")</f>
        <v>0</v>
      </c>
      <c r="R67" s="115">
        <v>0</v>
      </c>
      <c r="S67" s="116">
        <f>IFERROR(R67/R148, "NA")</f>
        <v>0</v>
      </c>
      <c r="T67" s="115">
        <v>0</v>
      </c>
      <c r="U67" s="116">
        <f>IFERROR(T67/T148, "NA")</f>
        <v>0</v>
      </c>
      <c r="V67" s="115">
        <v>0</v>
      </c>
      <c r="W67" s="116">
        <f>IFERROR(V67/V148, "NA")</f>
        <v>0</v>
      </c>
      <c r="X67" s="115">
        <v>0</v>
      </c>
      <c r="Y67" s="116">
        <f>IFERROR(X67/X148, "NA")</f>
        <v>0</v>
      </c>
      <c r="Z67" s="115">
        <v>0</v>
      </c>
      <c r="AA67" s="116">
        <f>IFERROR(Z67/Z148, "NA")</f>
        <v>0</v>
      </c>
      <c r="AB67" s="117">
        <f t="shared" si="24"/>
        <v>0</v>
      </c>
      <c r="AC67" s="116">
        <f>IFERROR(AB67/AB148, "NA")</f>
        <v>0</v>
      </c>
      <c r="AD67" s="118">
        <f t="shared" si="25"/>
        <v>0</v>
      </c>
      <c r="AE67" s="119">
        <f>IFERROR(AD67/AD148, "NA")</f>
        <v>0</v>
      </c>
      <c r="AF67" s="118" t="str">
        <f t="shared" si="26"/>
        <v>NA</v>
      </c>
      <c r="AG67" s="117">
        <f t="shared" si="27"/>
        <v>0</v>
      </c>
      <c r="AH67" s="116">
        <f>IFERROR(AG67/AG148, "NA")</f>
        <v>0</v>
      </c>
      <c r="AI67" s="118">
        <f t="shared" si="28"/>
        <v>0</v>
      </c>
      <c r="AJ67" s="119">
        <f>IFERROR(AI67/AI148, "NA")</f>
        <v>0</v>
      </c>
      <c r="AK67" s="118" t="str">
        <f t="shared" si="29"/>
        <v>NA</v>
      </c>
      <c r="AL67" s="119" t="str">
        <f>IFERROR(AK67/AK148, "NA")</f>
        <v>NA</v>
      </c>
    </row>
    <row r="68" spans="1:38" ht="16.5" customHeight="1" x14ac:dyDescent="0.25">
      <c r="A68" s="7" t="s">
        <v>71</v>
      </c>
      <c r="B68" s="115">
        <v>7870.29</v>
      </c>
      <c r="C68" s="116">
        <f>IFERROR(B68/B148, "NA")</f>
        <v>0.19435415801324521</v>
      </c>
      <c r="D68" s="115">
        <v>4972.3999999999996</v>
      </c>
      <c r="E68" s="116">
        <f>IFERROR(D68/D148, "NA")</f>
        <v>0.2148250172381912</v>
      </c>
      <c r="F68" s="115">
        <v>5985.88</v>
      </c>
      <c r="G68" s="116">
        <f>IFERROR(F68/F148, "NA")</f>
        <v>0.23546016155266788</v>
      </c>
      <c r="H68" s="115">
        <v>5854.73</v>
      </c>
      <c r="I68" s="116">
        <f>IFERROR(H68/H148, "NA")</f>
        <v>0.23890567585268366</v>
      </c>
      <c r="J68" s="115">
        <v>5414.05</v>
      </c>
      <c r="K68" s="116">
        <f>IFERROR(J68/J148, "NA")</f>
        <v>0.20948314554571906</v>
      </c>
      <c r="L68" s="115">
        <v>5049.22</v>
      </c>
      <c r="M68" s="116">
        <f>IFERROR(L68/L148, "NA")</f>
        <v>0.17735734666142594</v>
      </c>
      <c r="N68" s="115">
        <v>5517.43</v>
      </c>
      <c r="O68" s="116">
        <f>IFERROR(N68/N148, "NA")</f>
        <v>0.22452234224027917</v>
      </c>
      <c r="P68" s="115">
        <v>4474.8599999999997</v>
      </c>
      <c r="Q68" s="116">
        <f>IFERROR(P68/P148, "NA")</f>
        <v>0.20852903444075424</v>
      </c>
      <c r="R68" s="115">
        <v>6865.76</v>
      </c>
      <c r="S68" s="116">
        <f>IFERROR(R68/R148, "NA")</f>
        <v>0.14300904804426312</v>
      </c>
      <c r="T68" s="115">
        <v>5823.84</v>
      </c>
      <c r="U68" s="116">
        <f>IFERROR(T68/T148, "NA")</f>
        <v>0.21348488830775222</v>
      </c>
      <c r="V68" s="115">
        <v>6072.27</v>
      </c>
      <c r="W68" s="116">
        <f>IFERROR(V68/V148, "NA")</f>
        <v>0.19746076487279762</v>
      </c>
      <c r="X68" s="115">
        <v>6060.67</v>
      </c>
      <c r="Y68" s="116">
        <f>IFERROR(X68/X148, "NA")</f>
        <v>0.2235053716490808</v>
      </c>
      <c r="Z68" s="115">
        <v>12132.94</v>
      </c>
      <c r="AA68" s="116">
        <f>IFERROR(Z68/Z148, "NA")</f>
        <v>0.20966499401571365</v>
      </c>
      <c r="AB68" s="117">
        <f t="shared" si="24"/>
        <v>6205.6350000000002</v>
      </c>
      <c r="AC68" s="116">
        <f>IFERROR(AB68/AB148, "NA")</f>
        <v>0.18641508062340681</v>
      </c>
      <c r="AD68" s="118">
        <f t="shared" si="25"/>
        <v>-144.96500000000015</v>
      </c>
      <c r="AE68" s="119">
        <f>IFERROR(AD68/AD148, "NA")</f>
        <v>2.3484099855821446E-2</v>
      </c>
      <c r="AF68" s="118">
        <f t="shared" si="26"/>
        <v>-2.3360220186975249E-2</v>
      </c>
      <c r="AG68" s="117">
        <f t="shared" si="27"/>
        <v>5659.7625000000007</v>
      </c>
      <c r="AH68" s="116">
        <f>IFERROR(AG68/AG148, "NA")</f>
        <v>0.19390667250238328</v>
      </c>
      <c r="AI68" s="118">
        <f t="shared" si="28"/>
        <v>400.90749999999935</v>
      </c>
      <c r="AJ68" s="119">
        <f>IFERROR(AI68/AI148, "NA")</f>
        <v>-0.19352226622933044</v>
      </c>
      <c r="AK68" s="118">
        <f t="shared" si="29"/>
        <v>7.0834686084442461E-2</v>
      </c>
      <c r="AL68" s="119">
        <f>IFERROR(AK68/AK148, "NA")</f>
        <v>-0.99801757067927543</v>
      </c>
    </row>
    <row r="69" spans="1:38" ht="16.5" customHeight="1" x14ac:dyDescent="0.25">
      <c r="A69" s="7" t="s">
        <v>72</v>
      </c>
      <c r="B69" s="115">
        <v>154.74</v>
      </c>
      <c r="C69" s="116">
        <f>IFERROR(B69/B148, "NA")</f>
        <v>3.8212521280625703E-3</v>
      </c>
      <c r="D69" s="115">
        <v>0</v>
      </c>
      <c r="E69" s="116">
        <f>IFERROR(D69/D148, "NA")</f>
        <v>0</v>
      </c>
      <c r="F69" s="115">
        <v>0</v>
      </c>
      <c r="G69" s="116">
        <f>IFERROR(F69/F148, "NA")</f>
        <v>0</v>
      </c>
      <c r="H69" s="115">
        <v>0</v>
      </c>
      <c r="I69" s="116">
        <f>IFERROR(H69/H148, "NA")</f>
        <v>0</v>
      </c>
      <c r="J69" s="115">
        <v>0</v>
      </c>
      <c r="K69" s="116">
        <f>IFERROR(J69/J148, "NA")</f>
        <v>0</v>
      </c>
      <c r="L69" s="115">
        <v>0</v>
      </c>
      <c r="M69" s="116">
        <f>IFERROR(L69/L148, "NA")</f>
        <v>0</v>
      </c>
      <c r="N69" s="115">
        <v>0</v>
      </c>
      <c r="O69" s="116">
        <f>IFERROR(N69/N148, "NA")</f>
        <v>0</v>
      </c>
      <c r="P69" s="115">
        <v>0</v>
      </c>
      <c r="Q69" s="116">
        <f>IFERROR(P69/P148, "NA")</f>
        <v>0</v>
      </c>
      <c r="R69" s="115">
        <v>189.97</v>
      </c>
      <c r="S69" s="116">
        <f>IFERROR(R69/R148, "NA")</f>
        <v>3.9569441484946554E-3</v>
      </c>
      <c r="T69" s="115">
        <v>0</v>
      </c>
      <c r="U69" s="116">
        <f>IFERROR(T69/T148, "NA")</f>
        <v>0</v>
      </c>
      <c r="V69" s="115">
        <v>0</v>
      </c>
      <c r="W69" s="116">
        <f>IFERROR(V69/V148, "NA")</f>
        <v>0</v>
      </c>
      <c r="X69" s="115">
        <v>0</v>
      </c>
      <c r="Y69" s="116">
        <f>IFERROR(X69/X148, "NA")</f>
        <v>0</v>
      </c>
      <c r="Z69" s="115">
        <v>0</v>
      </c>
      <c r="AA69" s="116">
        <f>IFERROR(Z69/Z148, "NA")</f>
        <v>0</v>
      </c>
      <c r="AB69" s="117">
        <f t="shared" si="24"/>
        <v>47.4925</v>
      </c>
      <c r="AC69" s="116">
        <f>IFERROR(AB69/AB148, "NA")</f>
        <v>1.4266579031005121E-3</v>
      </c>
      <c r="AD69" s="118">
        <f t="shared" si="25"/>
        <v>-47.4925</v>
      </c>
      <c r="AE69" s="119">
        <f>IFERROR(AD69/AD148, "NA")</f>
        <v>7.6937096016459067E-3</v>
      </c>
      <c r="AF69" s="118">
        <f t="shared" si="26"/>
        <v>-1</v>
      </c>
      <c r="AG69" s="117">
        <f t="shared" si="27"/>
        <v>23.74625</v>
      </c>
      <c r="AH69" s="116">
        <f>IFERROR(AG69/AG148, "NA")</f>
        <v>8.1355998982461154E-4</v>
      </c>
      <c r="AI69" s="118">
        <f t="shared" si="28"/>
        <v>-23.74625</v>
      </c>
      <c r="AJ69" s="119">
        <f>IFERROR(AI69/AI148, "NA")</f>
        <v>1.1462564592700923E-2</v>
      </c>
      <c r="AK69" s="118">
        <f t="shared" si="29"/>
        <v>-1</v>
      </c>
      <c r="AL69" s="119">
        <f>IFERROR(AK69/AK148, "NA")</f>
        <v>14.089390746922103</v>
      </c>
    </row>
    <row r="70" spans="1:38" ht="16.5" customHeight="1" x14ac:dyDescent="0.25">
      <c r="A70" s="129" t="s">
        <v>73</v>
      </c>
      <c r="B70" s="121">
        <f>IFERROR(B65+B66+B67+B68+B69, "NA")</f>
        <v>9435.0300000000007</v>
      </c>
      <c r="C70" s="122">
        <f>IFERROR(B70/B148, "NA")</f>
        <v>0.23299488474753907</v>
      </c>
      <c r="D70" s="121">
        <f>IFERROR(D65+D66+D67+D68+D69, "NA")</f>
        <v>6382.4</v>
      </c>
      <c r="E70" s="122">
        <f>IFERROR(D70/D148, "NA")</f>
        <v>0.27574193347699932</v>
      </c>
      <c r="F70" s="121">
        <f>IFERROR(F65+F66+F67+F68+F69, "NA")</f>
        <v>7395.88</v>
      </c>
      <c r="G70" s="122">
        <f>IFERROR(F70/F148, "NA")</f>
        <v>0.29092382400317834</v>
      </c>
      <c r="H70" s="121">
        <f>IFERROR(H65+H66+H67+H68+H69, "NA")</f>
        <v>7264.73</v>
      </c>
      <c r="I70" s="122">
        <f>IFERROR(H70/H148, "NA")</f>
        <v>0.29644154906157355</v>
      </c>
      <c r="J70" s="121">
        <f>IFERROR(J65+J66+J67+J68+J69, "NA")</f>
        <v>6824.05</v>
      </c>
      <c r="K70" s="122">
        <f>IFERROR(J70/J148, "NA")</f>
        <v>0.26403957469200767</v>
      </c>
      <c r="L70" s="121">
        <f>IFERROR(L65+L66+L67+L68+L69, "NA")</f>
        <v>6459.22</v>
      </c>
      <c r="M70" s="122">
        <f>IFERROR(L70/L148, "NA")</f>
        <v>0.22688457240968221</v>
      </c>
      <c r="N70" s="121">
        <f>IFERROR(N65+N66+N67+N68+N69, "NA")</f>
        <v>6927.43</v>
      </c>
      <c r="O70" s="122">
        <f>IFERROR(N70/N148, "NA")</f>
        <v>0.28189987173477093</v>
      </c>
      <c r="P70" s="121">
        <f>IFERROR(P65+P66+P67+P68+P69, "NA")</f>
        <v>5884.86</v>
      </c>
      <c r="Q70" s="122">
        <f>IFERROR(P70/P148, "NA")</f>
        <v>0.27423521040189347</v>
      </c>
      <c r="R70" s="121">
        <f>IFERROR(R65+R66+R67+R68+R69, "NA")</f>
        <v>8465.73</v>
      </c>
      <c r="S70" s="122">
        <f>IFERROR(R70/R148, "NA")</f>
        <v>0.1763353202412784</v>
      </c>
      <c r="T70" s="121">
        <f>IFERROR(T65+T66+T67+T68+T69, "NA")</f>
        <v>7233.84</v>
      </c>
      <c r="U70" s="122">
        <f>IFERROR(T70/T148, "NA")</f>
        <v>0.26517135162300998</v>
      </c>
      <c r="V70" s="121">
        <f>IFERROR(V65+V66+V67+V68+V69, "NA")</f>
        <v>7482.27</v>
      </c>
      <c r="W70" s="122">
        <f>IFERROR(V70/V148, "NA")</f>
        <v>0.24331176926994147</v>
      </c>
      <c r="X70" s="121">
        <f>IFERROR(X65+X66+X67+X68+X69, "NA")</f>
        <v>7470.67</v>
      </c>
      <c r="Y70" s="122">
        <f>IFERROR(X70/X148, "NA")</f>
        <v>0.27550334778459123</v>
      </c>
      <c r="Z70" s="121">
        <f>IFERROR(Z65+Z66+Z67+Z68+Z69, "NA")</f>
        <v>14952.94</v>
      </c>
      <c r="AA70" s="122">
        <f>IFERROR(Z70/Z148, "NA")</f>
        <v>0.25839640479696802</v>
      </c>
      <c r="AB70" s="121">
        <f t="shared" si="24"/>
        <v>7663.1275000000005</v>
      </c>
      <c r="AC70" s="122">
        <f>IFERROR(AB70/AB148, "NA")</f>
        <v>0.23019763984506755</v>
      </c>
      <c r="AD70" s="123">
        <f t="shared" si="25"/>
        <v>-192.45750000000044</v>
      </c>
      <c r="AE70" s="124">
        <f>IFERROR(AD70/AD148, "NA")</f>
        <v>3.1177809457467398E-2</v>
      </c>
      <c r="AF70" s="123">
        <f t="shared" si="26"/>
        <v>-2.5114745904984671E-2</v>
      </c>
      <c r="AG70" s="121">
        <f t="shared" si="27"/>
        <v>7093.5087500000009</v>
      </c>
      <c r="AH70" s="122">
        <f>IFERROR(AG70/AG148, "NA")</f>
        <v>0.24302763200382349</v>
      </c>
      <c r="AI70" s="123">
        <f t="shared" si="28"/>
        <v>377.1612499999992</v>
      </c>
      <c r="AJ70" s="124">
        <f>IFERROR(AI70/AI148, "NA")</f>
        <v>-0.18205970163662943</v>
      </c>
      <c r="AK70" s="123">
        <f t="shared" si="29"/>
        <v>5.316991397240458E-2</v>
      </c>
      <c r="AL70" s="124">
        <f>IFERROR(AK70/AK148, "NA")</f>
        <v>-0.74913169393744128</v>
      </c>
    </row>
    <row r="71" spans="1:38" ht="16.5" hidden="1" customHeight="1" x14ac:dyDescent="0.25">
      <c r="A71" s="5" t="s">
        <v>74</v>
      </c>
      <c r="B71" s="115">
        <v>0</v>
      </c>
      <c r="C71" s="116">
        <f>IFERROR(B71/B148, "NA")</f>
        <v>0</v>
      </c>
      <c r="D71" s="115">
        <v>0</v>
      </c>
      <c r="E71" s="116">
        <f>IFERROR(D71/D148, "NA")</f>
        <v>0</v>
      </c>
      <c r="F71" s="115">
        <v>0</v>
      </c>
      <c r="G71" s="116">
        <f>IFERROR(F71/F148, "NA")</f>
        <v>0</v>
      </c>
      <c r="H71" s="115">
        <v>0</v>
      </c>
      <c r="I71" s="116">
        <f>IFERROR(H71/H148, "NA")</f>
        <v>0</v>
      </c>
      <c r="J71" s="115">
        <v>0</v>
      </c>
      <c r="K71" s="116">
        <f>IFERROR(J71/J148, "NA")</f>
        <v>0</v>
      </c>
      <c r="L71" s="115">
        <v>0</v>
      </c>
      <c r="M71" s="116">
        <f>IFERROR(L71/L148, "NA")</f>
        <v>0</v>
      </c>
      <c r="N71" s="115">
        <v>0</v>
      </c>
      <c r="O71" s="116">
        <f>IFERROR(N71/N148, "NA")</f>
        <v>0</v>
      </c>
      <c r="P71" s="115">
        <v>0</v>
      </c>
      <c r="Q71" s="116">
        <f>IFERROR(P71/P148, "NA")</f>
        <v>0</v>
      </c>
      <c r="R71" s="115">
        <v>0</v>
      </c>
      <c r="S71" s="116">
        <f>IFERROR(R71/R148, "NA")</f>
        <v>0</v>
      </c>
      <c r="T71" s="115">
        <v>0</v>
      </c>
      <c r="U71" s="116">
        <f>IFERROR(T71/T148, "NA")</f>
        <v>0</v>
      </c>
      <c r="V71" s="115">
        <v>0</v>
      </c>
      <c r="W71" s="116">
        <f>IFERROR(V71/V148, "NA")</f>
        <v>0</v>
      </c>
      <c r="X71" s="115">
        <v>0</v>
      </c>
      <c r="Y71" s="116">
        <f>IFERROR(X71/X148, "NA")</f>
        <v>0</v>
      </c>
      <c r="Z71" s="115">
        <v>0</v>
      </c>
      <c r="AA71" s="116">
        <f>IFERROR(Z71/Z148, "NA")</f>
        <v>0</v>
      </c>
      <c r="AB71" s="117">
        <f t="shared" si="24"/>
        <v>0</v>
      </c>
      <c r="AC71" s="116">
        <f>IFERROR(AB71/AB148, "NA")</f>
        <v>0</v>
      </c>
      <c r="AD71" s="118">
        <f t="shared" si="25"/>
        <v>0</v>
      </c>
      <c r="AE71" s="119">
        <f>IFERROR(AD71/AD148, "NA")</f>
        <v>0</v>
      </c>
      <c r="AF71" s="118" t="str">
        <f t="shared" si="26"/>
        <v>NA</v>
      </c>
      <c r="AG71" s="117">
        <f t="shared" si="27"/>
        <v>0</v>
      </c>
      <c r="AH71" s="116">
        <f>IFERROR(AG71/AG148, "NA")</f>
        <v>0</v>
      </c>
      <c r="AI71" s="118">
        <f t="shared" si="28"/>
        <v>0</v>
      </c>
      <c r="AJ71" s="119">
        <f>IFERROR(AI71/AI148, "NA")</f>
        <v>0</v>
      </c>
      <c r="AK71" s="118" t="str">
        <f t="shared" si="29"/>
        <v>NA</v>
      </c>
      <c r="AL71" s="119" t="str">
        <f>IFERROR(AK71/AK148, "NA")</f>
        <v>NA</v>
      </c>
    </row>
    <row r="72" spans="1:38" ht="16.5" customHeight="1" x14ac:dyDescent="0.25">
      <c r="A72" s="5" t="s">
        <v>75</v>
      </c>
      <c r="B72" s="115">
        <v>1159</v>
      </c>
      <c r="C72" s="116">
        <f>IFERROR(B72/B148, "NA")</f>
        <v>2.8621114233065265E-2</v>
      </c>
      <c r="D72" s="115">
        <v>0</v>
      </c>
      <c r="E72" s="116">
        <f>IFERROR(D72/D148, "NA")</f>
        <v>0</v>
      </c>
      <c r="F72" s="115">
        <v>0</v>
      </c>
      <c r="G72" s="116">
        <f>IFERROR(F72/F148, "NA")</f>
        <v>0</v>
      </c>
      <c r="H72" s="115">
        <v>0</v>
      </c>
      <c r="I72" s="116">
        <f>IFERROR(H72/H148, "NA")</f>
        <v>0</v>
      </c>
      <c r="J72" s="115">
        <v>293</v>
      </c>
      <c r="K72" s="116">
        <f>IFERROR(J72/J148, "NA")</f>
        <v>1.1336903361604657E-2</v>
      </c>
      <c r="L72" s="115">
        <v>0</v>
      </c>
      <c r="M72" s="116">
        <f>IFERROR(L72/L148, "NA")</f>
        <v>0</v>
      </c>
      <c r="N72" s="115">
        <v>0</v>
      </c>
      <c r="O72" s="116">
        <f>IFERROR(N72/N148, "NA")</f>
        <v>0</v>
      </c>
      <c r="P72" s="115">
        <v>0</v>
      </c>
      <c r="Q72" s="116">
        <f>IFERROR(P72/P148, "NA")</f>
        <v>0</v>
      </c>
      <c r="R72" s="115">
        <v>0</v>
      </c>
      <c r="S72" s="116">
        <f>IFERROR(R72/R148, "NA")</f>
        <v>0</v>
      </c>
      <c r="T72" s="115">
        <v>423</v>
      </c>
      <c r="U72" s="116">
        <f>IFERROR(T72/T148, "NA")</f>
        <v>1.550593899457732E-2</v>
      </c>
      <c r="V72" s="115">
        <v>0</v>
      </c>
      <c r="W72" s="116">
        <f>IFERROR(V72/V148, "NA")</f>
        <v>0</v>
      </c>
      <c r="X72" s="115">
        <v>0</v>
      </c>
      <c r="Y72" s="116">
        <f>IFERROR(X72/X148, "NA")</f>
        <v>0</v>
      </c>
      <c r="Z72" s="115">
        <v>0</v>
      </c>
      <c r="AA72" s="116">
        <f>IFERROR(Z72/Z148, "NA")</f>
        <v>0</v>
      </c>
      <c r="AB72" s="117">
        <f t="shared" si="24"/>
        <v>105.75</v>
      </c>
      <c r="AC72" s="116">
        <f>IFERROR(AB72/AB148, "NA")</f>
        <v>3.1766925988920181E-3</v>
      </c>
      <c r="AD72" s="118">
        <f t="shared" si="25"/>
        <v>-105.75</v>
      </c>
      <c r="AE72" s="119">
        <f>IFERROR(AD72/AD148, "NA")</f>
        <v>1.7131332112945298E-2</v>
      </c>
      <c r="AF72" s="118">
        <f t="shared" si="26"/>
        <v>-1</v>
      </c>
      <c r="AG72" s="117">
        <f t="shared" si="27"/>
        <v>89.5</v>
      </c>
      <c r="AH72" s="116">
        <f>IFERROR(AG72/AG148, "NA")</f>
        <v>3.0663207491415587E-3</v>
      </c>
      <c r="AI72" s="118">
        <f t="shared" si="28"/>
        <v>-89.5</v>
      </c>
      <c r="AJ72" s="119">
        <f>IFERROR(AI72/AI148, "NA")</f>
        <v>4.3202591190050328E-2</v>
      </c>
      <c r="AK72" s="118">
        <f t="shared" si="29"/>
        <v>-1</v>
      </c>
      <c r="AL72" s="119">
        <f>IFERROR(AK72/AK148, "NA")</f>
        <v>14.089390746922103</v>
      </c>
    </row>
    <row r="73" spans="1:38" ht="16.5" customHeight="1" x14ac:dyDescent="0.25">
      <c r="A73" s="6" t="s">
        <v>76</v>
      </c>
      <c r="B73" s="111"/>
      <c r="C73" s="112"/>
      <c r="D73" s="111"/>
      <c r="E73" s="112"/>
      <c r="F73" s="111"/>
      <c r="G73" s="112"/>
      <c r="H73" s="111"/>
      <c r="I73" s="112"/>
      <c r="J73" s="111"/>
      <c r="K73" s="112"/>
      <c r="L73" s="111"/>
      <c r="M73" s="112"/>
      <c r="N73" s="111"/>
      <c r="O73" s="112"/>
      <c r="P73" s="111"/>
      <c r="Q73" s="112"/>
      <c r="R73" s="111"/>
      <c r="S73" s="112"/>
      <c r="T73" s="111"/>
      <c r="U73" s="112"/>
      <c r="V73" s="111"/>
      <c r="W73" s="112"/>
      <c r="X73" s="111"/>
      <c r="Y73" s="112"/>
      <c r="Z73" s="111"/>
      <c r="AA73" s="112"/>
      <c r="AB73" s="111"/>
      <c r="AC73" s="112"/>
      <c r="AD73" s="113"/>
      <c r="AE73" s="114"/>
      <c r="AF73" s="113"/>
      <c r="AG73" s="111"/>
      <c r="AH73" s="112"/>
      <c r="AI73" s="113"/>
      <c r="AJ73" s="114"/>
      <c r="AK73" s="113"/>
      <c r="AL73" s="114"/>
    </row>
    <row r="74" spans="1:38" ht="16.5" customHeight="1" x14ac:dyDescent="0.25">
      <c r="A74" s="7" t="s">
        <v>77</v>
      </c>
      <c r="B74" s="115">
        <v>960.79</v>
      </c>
      <c r="C74" s="116">
        <f>IFERROR(B74/B148, "NA")</f>
        <v>2.3726385111291434E-2</v>
      </c>
      <c r="D74" s="115">
        <v>558.29</v>
      </c>
      <c r="E74" s="116">
        <f>IFERROR(D74/D148, "NA")</f>
        <v>2.4120074586499427E-2</v>
      </c>
      <c r="F74" s="115">
        <v>656.84</v>
      </c>
      <c r="G74" s="116">
        <f>IFERROR(F74/F148, "NA")</f>
        <v>2.5837412797158375E-2</v>
      </c>
      <c r="H74" s="115">
        <v>625.05999999999995</v>
      </c>
      <c r="I74" s="116">
        <f>IFERROR(H74/H148, "NA")</f>
        <v>2.5505938232587743E-2</v>
      </c>
      <c r="J74" s="115">
        <v>599.94000000000005</v>
      </c>
      <c r="K74" s="116">
        <f>IFERROR(J74/J148, "NA")</f>
        <v>2.3213180214201698E-2</v>
      </c>
      <c r="L74" s="115">
        <v>539.61</v>
      </c>
      <c r="M74" s="116">
        <f>IFERROR(L74/L148, "NA")</f>
        <v>1.8954174670933736E-2</v>
      </c>
      <c r="N74" s="115">
        <v>589.16</v>
      </c>
      <c r="O74" s="116">
        <f>IFERROR(N74/N148, "NA")</f>
        <v>2.3974854806365079E-2</v>
      </c>
      <c r="P74" s="115">
        <v>482.91</v>
      </c>
      <c r="Q74" s="116">
        <f>IFERROR(P74/P148, "NA")</f>
        <v>2.250366626481826E-2</v>
      </c>
      <c r="R74" s="115">
        <v>780.24</v>
      </c>
      <c r="S74" s="116">
        <f>IFERROR(R74/R148, "NA")</f>
        <v>1.6251861359274991E-2</v>
      </c>
      <c r="T74" s="115">
        <v>645.54</v>
      </c>
      <c r="U74" s="116">
        <f>IFERROR(T74/T148, "NA")</f>
        <v>2.3663602502504592E-2</v>
      </c>
      <c r="V74" s="115">
        <v>625.76</v>
      </c>
      <c r="W74" s="116">
        <f>IFERROR(V74/V148, "NA")</f>
        <v>2.0348740788338107E-2</v>
      </c>
      <c r="X74" s="115">
        <v>671.28</v>
      </c>
      <c r="Y74" s="116">
        <f>IFERROR(X74/X148, "NA")</f>
        <v>2.4755462000174065E-2</v>
      </c>
      <c r="Z74" s="115">
        <v>1297.04</v>
      </c>
      <c r="AA74" s="116">
        <f>IFERROR(Z74/Z148, "NA")</f>
        <v>2.2413684056637649E-2</v>
      </c>
      <c r="AB74" s="117">
        <f t="shared" ref="AB74:AB85" si="30">IFERROR((R74+T74+V74+X74)/4, "NA")</f>
        <v>680.70499999999993</v>
      </c>
      <c r="AC74" s="116">
        <f>IFERROR(AB74/AB148, "NA")</f>
        <v>2.0448137451808897E-2</v>
      </c>
      <c r="AD74" s="118">
        <f t="shared" ref="AD74:AD85" si="31">IFERROR(X74-AB74, "NA")</f>
        <v>-9.4249999999999545</v>
      </c>
      <c r="AE74" s="119">
        <f>IFERROR(AD74/AD148, "NA")</f>
        <v>1.5268350370166305E-3</v>
      </c>
      <c r="AF74" s="118">
        <f t="shared" ref="AF74:AF85" si="32">IFERROR((X74-AB74)/AB74, "NA")</f>
        <v>-1.3845939136630341E-2</v>
      </c>
      <c r="AG74" s="117">
        <f t="shared" ref="AG74:AG85" si="33">IFERROR((J74+L74+N74+P74+R74+T74+V74+X74)/8, "NA")</f>
        <v>616.80499999999995</v>
      </c>
      <c r="AH74" s="116">
        <f>IFERROR(AG74/AG148, "NA")</f>
        <v>2.1132089046639765E-2</v>
      </c>
      <c r="AI74" s="118">
        <f t="shared" ref="AI74:AI85" si="34">IFERROR(X74-AG74, "NA")</f>
        <v>54.475000000000023</v>
      </c>
      <c r="AJ74" s="119">
        <f>IFERROR(AI74/AI148, "NA")</f>
        <v>-2.6295655363999918E-2</v>
      </c>
      <c r="AK74" s="118">
        <f t="shared" ref="AK74:AK85" si="35">IFERROR((X74-AG74)/AG74, "NA")</f>
        <v>8.8318025956339571E-2</v>
      </c>
      <c r="AL74" s="119">
        <f>IFERROR(AK74/AK148, "NA")</f>
        <v>-1.2443471776956769</v>
      </c>
    </row>
    <row r="75" spans="1:38" ht="16.5" hidden="1" customHeight="1" x14ac:dyDescent="0.25">
      <c r="A75" s="7" t="s">
        <v>78</v>
      </c>
      <c r="B75" s="115">
        <v>0</v>
      </c>
      <c r="C75" s="116">
        <f>IFERROR(B75/B148, "NA")</f>
        <v>0</v>
      </c>
      <c r="D75" s="115">
        <v>0</v>
      </c>
      <c r="E75" s="116">
        <f>IFERROR(D75/D148, "NA")</f>
        <v>0</v>
      </c>
      <c r="F75" s="115">
        <v>0</v>
      </c>
      <c r="G75" s="116">
        <f>IFERROR(F75/F148, "NA")</f>
        <v>0</v>
      </c>
      <c r="H75" s="115">
        <v>0</v>
      </c>
      <c r="I75" s="116">
        <f>IFERROR(H75/H148, "NA")</f>
        <v>0</v>
      </c>
      <c r="J75" s="115">
        <v>0</v>
      </c>
      <c r="K75" s="116">
        <f>IFERROR(J75/J148, "NA")</f>
        <v>0</v>
      </c>
      <c r="L75" s="115">
        <v>0</v>
      </c>
      <c r="M75" s="116">
        <f>IFERROR(L75/L148, "NA")</f>
        <v>0</v>
      </c>
      <c r="N75" s="115">
        <v>0</v>
      </c>
      <c r="O75" s="116">
        <f>IFERROR(N75/N148, "NA")</f>
        <v>0</v>
      </c>
      <c r="P75" s="115">
        <v>0</v>
      </c>
      <c r="Q75" s="116">
        <f>IFERROR(P75/P148, "NA")</f>
        <v>0</v>
      </c>
      <c r="R75" s="115">
        <v>0</v>
      </c>
      <c r="S75" s="116">
        <f>IFERROR(R75/R148, "NA")</f>
        <v>0</v>
      </c>
      <c r="T75" s="115">
        <v>0</v>
      </c>
      <c r="U75" s="116">
        <f>IFERROR(T75/T148, "NA")</f>
        <v>0</v>
      </c>
      <c r="V75" s="115">
        <v>0</v>
      </c>
      <c r="W75" s="116">
        <f>IFERROR(V75/V148, "NA")</f>
        <v>0</v>
      </c>
      <c r="X75" s="115">
        <v>0</v>
      </c>
      <c r="Y75" s="116">
        <f>IFERROR(X75/X148, "NA")</f>
        <v>0</v>
      </c>
      <c r="Z75" s="115">
        <v>0</v>
      </c>
      <c r="AA75" s="116">
        <f>IFERROR(Z75/Z148, "NA")</f>
        <v>0</v>
      </c>
      <c r="AB75" s="117">
        <f t="shared" si="30"/>
        <v>0</v>
      </c>
      <c r="AC75" s="116">
        <f>IFERROR(AB75/AB148, "NA")</f>
        <v>0</v>
      </c>
      <c r="AD75" s="118">
        <f t="shared" si="31"/>
        <v>0</v>
      </c>
      <c r="AE75" s="119">
        <f>IFERROR(AD75/AD148, "NA")</f>
        <v>0</v>
      </c>
      <c r="AF75" s="118" t="str">
        <f t="shared" si="32"/>
        <v>NA</v>
      </c>
      <c r="AG75" s="117">
        <f t="shared" si="33"/>
        <v>0</v>
      </c>
      <c r="AH75" s="116">
        <f>IFERROR(AG75/AG148, "NA")</f>
        <v>0</v>
      </c>
      <c r="AI75" s="118">
        <f t="shared" si="34"/>
        <v>0</v>
      </c>
      <c r="AJ75" s="119">
        <f>IFERROR(AI75/AI148, "NA")</f>
        <v>0</v>
      </c>
      <c r="AK75" s="118" t="str">
        <f t="shared" si="35"/>
        <v>NA</v>
      </c>
      <c r="AL75" s="119" t="str">
        <f>IFERROR(AK75/AK148, "NA")</f>
        <v>NA</v>
      </c>
    </row>
    <row r="76" spans="1:38" ht="16.5" hidden="1" customHeight="1" x14ac:dyDescent="0.25">
      <c r="A76" s="7" t="s">
        <v>79</v>
      </c>
      <c r="B76" s="115">
        <v>0</v>
      </c>
      <c r="C76" s="116">
        <f>IFERROR(B76/B148, "NA")</f>
        <v>0</v>
      </c>
      <c r="D76" s="115">
        <v>0</v>
      </c>
      <c r="E76" s="116">
        <f>IFERROR(D76/D148, "NA")</f>
        <v>0</v>
      </c>
      <c r="F76" s="115">
        <v>0</v>
      </c>
      <c r="G76" s="116">
        <f>IFERROR(F76/F148, "NA")</f>
        <v>0</v>
      </c>
      <c r="H76" s="115">
        <v>0</v>
      </c>
      <c r="I76" s="116">
        <f>IFERROR(H76/H148, "NA")</f>
        <v>0</v>
      </c>
      <c r="J76" s="115">
        <v>0</v>
      </c>
      <c r="K76" s="116">
        <f>IFERROR(J76/J148, "NA")</f>
        <v>0</v>
      </c>
      <c r="L76" s="115">
        <v>0</v>
      </c>
      <c r="M76" s="116">
        <f>IFERROR(L76/L148, "NA")</f>
        <v>0</v>
      </c>
      <c r="N76" s="115">
        <v>0</v>
      </c>
      <c r="O76" s="116">
        <f>IFERROR(N76/N148, "NA")</f>
        <v>0</v>
      </c>
      <c r="P76" s="115">
        <v>0</v>
      </c>
      <c r="Q76" s="116">
        <f>IFERROR(P76/P148, "NA")</f>
        <v>0</v>
      </c>
      <c r="R76" s="115">
        <v>0</v>
      </c>
      <c r="S76" s="116">
        <f>IFERROR(R76/R148, "NA")</f>
        <v>0</v>
      </c>
      <c r="T76" s="115">
        <v>0</v>
      </c>
      <c r="U76" s="116">
        <f>IFERROR(T76/T148, "NA")</f>
        <v>0</v>
      </c>
      <c r="V76" s="115">
        <v>0</v>
      </c>
      <c r="W76" s="116">
        <f>IFERROR(V76/V148, "NA")</f>
        <v>0</v>
      </c>
      <c r="X76" s="115">
        <v>0</v>
      </c>
      <c r="Y76" s="116">
        <f>IFERROR(X76/X148, "NA")</f>
        <v>0</v>
      </c>
      <c r="Z76" s="115">
        <v>0</v>
      </c>
      <c r="AA76" s="116">
        <f>IFERROR(Z76/Z148, "NA")</f>
        <v>0</v>
      </c>
      <c r="AB76" s="117">
        <f t="shared" si="30"/>
        <v>0</v>
      </c>
      <c r="AC76" s="116">
        <f>IFERROR(AB76/AB148, "NA")</f>
        <v>0</v>
      </c>
      <c r="AD76" s="118">
        <f t="shared" si="31"/>
        <v>0</v>
      </c>
      <c r="AE76" s="119">
        <f>IFERROR(AD76/AD148, "NA")</f>
        <v>0</v>
      </c>
      <c r="AF76" s="118" t="str">
        <f t="shared" si="32"/>
        <v>NA</v>
      </c>
      <c r="AG76" s="117">
        <f t="shared" si="33"/>
        <v>0</v>
      </c>
      <c r="AH76" s="116">
        <f>IFERROR(AG76/AG148, "NA")</f>
        <v>0</v>
      </c>
      <c r="AI76" s="118">
        <f t="shared" si="34"/>
        <v>0</v>
      </c>
      <c r="AJ76" s="119">
        <f>IFERROR(AI76/AI148, "NA")</f>
        <v>0</v>
      </c>
      <c r="AK76" s="118" t="str">
        <f t="shared" si="35"/>
        <v>NA</v>
      </c>
      <c r="AL76" s="119" t="str">
        <f>IFERROR(AK76/AK148, "NA")</f>
        <v>NA</v>
      </c>
    </row>
    <row r="77" spans="1:38" ht="16.5" hidden="1" customHeight="1" x14ac:dyDescent="0.25">
      <c r="A77" s="7" t="s">
        <v>80</v>
      </c>
      <c r="B77" s="115">
        <v>0</v>
      </c>
      <c r="C77" s="116">
        <f>IFERROR(B77/B148, "NA")</f>
        <v>0</v>
      </c>
      <c r="D77" s="115">
        <v>0</v>
      </c>
      <c r="E77" s="116">
        <f>IFERROR(D77/D148, "NA")</f>
        <v>0</v>
      </c>
      <c r="F77" s="115">
        <v>0</v>
      </c>
      <c r="G77" s="116">
        <f>IFERROR(F77/F148, "NA")</f>
        <v>0</v>
      </c>
      <c r="H77" s="115">
        <v>0</v>
      </c>
      <c r="I77" s="116">
        <f>IFERROR(H77/H148, "NA")</f>
        <v>0</v>
      </c>
      <c r="J77" s="115">
        <v>0</v>
      </c>
      <c r="K77" s="116">
        <f>IFERROR(J77/J148, "NA")</f>
        <v>0</v>
      </c>
      <c r="L77" s="115">
        <v>0</v>
      </c>
      <c r="M77" s="116">
        <f>IFERROR(L77/L148, "NA")</f>
        <v>0</v>
      </c>
      <c r="N77" s="115">
        <v>0</v>
      </c>
      <c r="O77" s="116">
        <f>IFERROR(N77/N148, "NA")</f>
        <v>0</v>
      </c>
      <c r="P77" s="115">
        <v>0</v>
      </c>
      <c r="Q77" s="116">
        <f>IFERROR(P77/P148, "NA")</f>
        <v>0</v>
      </c>
      <c r="R77" s="115">
        <v>0</v>
      </c>
      <c r="S77" s="116">
        <f>IFERROR(R77/R148, "NA")</f>
        <v>0</v>
      </c>
      <c r="T77" s="115">
        <v>0</v>
      </c>
      <c r="U77" s="116">
        <f>IFERROR(T77/T148, "NA")</f>
        <v>0</v>
      </c>
      <c r="V77" s="115">
        <v>0</v>
      </c>
      <c r="W77" s="116">
        <f>IFERROR(V77/V148, "NA")</f>
        <v>0</v>
      </c>
      <c r="X77" s="115">
        <v>0</v>
      </c>
      <c r="Y77" s="116">
        <f>IFERROR(X77/X148, "NA")</f>
        <v>0</v>
      </c>
      <c r="Z77" s="115">
        <v>0</v>
      </c>
      <c r="AA77" s="116">
        <f>IFERROR(Z77/Z148, "NA")</f>
        <v>0</v>
      </c>
      <c r="AB77" s="117">
        <f t="shared" si="30"/>
        <v>0</v>
      </c>
      <c r="AC77" s="116">
        <f>IFERROR(AB77/AB148, "NA")</f>
        <v>0</v>
      </c>
      <c r="AD77" s="118">
        <f t="shared" si="31"/>
        <v>0</v>
      </c>
      <c r="AE77" s="119">
        <f>IFERROR(AD77/AD148, "NA")</f>
        <v>0</v>
      </c>
      <c r="AF77" s="118" t="str">
        <f t="shared" si="32"/>
        <v>NA</v>
      </c>
      <c r="AG77" s="117">
        <f t="shared" si="33"/>
        <v>0</v>
      </c>
      <c r="AH77" s="116">
        <f>IFERROR(AG77/AG148, "NA")</f>
        <v>0</v>
      </c>
      <c r="AI77" s="118">
        <f t="shared" si="34"/>
        <v>0</v>
      </c>
      <c r="AJ77" s="119">
        <f>IFERROR(AI77/AI148, "NA")</f>
        <v>0</v>
      </c>
      <c r="AK77" s="118" t="str">
        <f t="shared" si="35"/>
        <v>NA</v>
      </c>
      <c r="AL77" s="119" t="str">
        <f>IFERROR(AK77/AK148, "NA")</f>
        <v>NA</v>
      </c>
    </row>
    <row r="78" spans="1:38" ht="16.5" hidden="1" customHeight="1" x14ac:dyDescent="0.25">
      <c r="A78" s="7" t="s">
        <v>81</v>
      </c>
      <c r="B78" s="115">
        <v>0</v>
      </c>
      <c r="C78" s="116">
        <f>IFERROR(B78/B148, "NA")</f>
        <v>0</v>
      </c>
      <c r="D78" s="115">
        <v>0</v>
      </c>
      <c r="E78" s="116">
        <f>IFERROR(D78/D148, "NA")</f>
        <v>0</v>
      </c>
      <c r="F78" s="115">
        <v>0</v>
      </c>
      <c r="G78" s="116">
        <f>IFERROR(F78/F148, "NA")</f>
        <v>0</v>
      </c>
      <c r="H78" s="115">
        <v>0</v>
      </c>
      <c r="I78" s="116">
        <f>IFERROR(H78/H148, "NA")</f>
        <v>0</v>
      </c>
      <c r="J78" s="115">
        <v>0</v>
      </c>
      <c r="K78" s="116">
        <f>IFERROR(J78/J148, "NA")</f>
        <v>0</v>
      </c>
      <c r="L78" s="115">
        <v>0</v>
      </c>
      <c r="M78" s="116">
        <f>IFERROR(L78/L148, "NA")</f>
        <v>0</v>
      </c>
      <c r="N78" s="115">
        <v>0</v>
      </c>
      <c r="O78" s="116">
        <f>IFERROR(N78/N148, "NA")</f>
        <v>0</v>
      </c>
      <c r="P78" s="115">
        <v>0</v>
      </c>
      <c r="Q78" s="116">
        <f>IFERROR(P78/P148, "NA")</f>
        <v>0</v>
      </c>
      <c r="R78" s="115">
        <v>0</v>
      </c>
      <c r="S78" s="116">
        <f>IFERROR(R78/R148, "NA")</f>
        <v>0</v>
      </c>
      <c r="T78" s="115">
        <v>0</v>
      </c>
      <c r="U78" s="116">
        <f>IFERROR(T78/T148, "NA")</f>
        <v>0</v>
      </c>
      <c r="V78" s="115">
        <v>0</v>
      </c>
      <c r="W78" s="116">
        <f>IFERROR(V78/V148, "NA")</f>
        <v>0</v>
      </c>
      <c r="X78" s="115">
        <v>0</v>
      </c>
      <c r="Y78" s="116">
        <f>IFERROR(X78/X148, "NA")</f>
        <v>0</v>
      </c>
      <c r="Z78" s="115">
        <v>0</v>
      </c>
      <c r="AA78" s="116">
        <f>IFERROR(Z78/Z148, "NA")</f>
        <v>0</v>
      </c>
      <c r="AB78" s="117">
        <f t="shared" si="30"/>
        <v>0</v>
      </c>
      <c r="AC78" s="116">
        <f>IFERROR(AB78/AB148, "NA")</f>
        <v>0</v>
      </c>
      <c r="AD78" s="118">
        <f t="shared" si="31"/>
        <v>0</v>
      </c>
      <c r="AE78" s="119">
        <f>IFERROR(AD78/AD148, "NA")</f>
        <v>0</v>
      </c>
      <c r="AF78" s="118" t="str">
        <f t="shared" si="32"/>
        <v>NA</v>
      </c>
      <c r="AG78" s="117">
        <f t="shared" si="33"/>
        <v>0</v>
      </c>
      <c r="AH78" s="116">
        <f>IFERROR(AG78/AG148, "NA")</f>
        <v>0</v>
      </c>
      <c r="AI78" s="118">
        <f t="shared" si="34"/>
        <v>0</v>
      </c>
      <c r="AJ78" s="119">
        <f>IFERROR(AI78/AI148, "NA")</f>
        <v>0</v>
      </c>
      <c r="AK78" s="118" t="str">
        <f t="shared" si="35"/>
        <v>NA</v>
      </c>
      <c r="AL78" s="119" t="str">
        <f>IFERROR(AK78/AK148, "NA")</f>
        <v>NA</v>
      </c>
    </row>
    <row r="79" spans="1:38" ht="16.5" hidden="1" customHeight="1" x14ac:dyDescent="0.25">
      <c r="A79" s="7" t="s">
        <v>82</v>
      </c>
      <c r="B79" s="115">
        <v>0</v>
      </c>
      <c r="C79" s="116">
        <f>IFERROR(B79/B148, "NA")</f>
        <v>0</v>
      </c>
      <c r="D79" s="115">
        <v>0</v>
      </c>
      <c r="E79" s="116">
        <f>IFERROR(D79/D148, "NA")</f>
        <v>0</v>
      </c>
      <c r="F79" s="115">
        <v>0</v>
      </c>
      <c r="G79" s="116">
        <f>IFERROR(F79/F148, "NA")</f>
        <v>0</v>
      </c>
      <c r="H79" s="115">
        <v>0</v>
      </c>
      <c r="I79" s="116">
        <f>IFERROR(H79/H148, "NA")</f>
        <v>0</v>
      </c>
      <c r="J79" s="115">
        <v>0</v>
      </c>
      <c r="K79" s="116">
        <f>IFERROR(J79/J148, "NA")</f>
        <v>0</v>
      </c>
      <c r="L79" s="115">
        <v>0</v>
      </c>
      <c r="M79" s="116">
        <f>IFERROR(L79/L148, "NA")</f>
        <v>0</v>
      </c>
      <c r="N79" s="115">
        <v>0</v>
      </c>
      <c r="O79" s="116">
        <f>IFERROR(N79/N148, "NA")</f>
        <v>0</v>
      </c>
      <c r="P79" s="115">
        <v>0</v>
      </c>
      <c r="Q79" s="116">
        <f>IFERROR(P79/P148, "NA")</f>
        <v>0</v>
      </c>
      <c r="R79" s="115">
        <v>0</v>
      </c>
      <c r="S79" s="116">
        <f>IFERROR(R79/R148, "NA")</f>
        <v>0</v>
      </c>
      <c r="T79" s="115">
        <v>0</v>
      </c>
      <c r="U79" s="116">
        <f>IFERROR(T79/T148, "NA")</f>
        <v>0</v>
      </c>
      <c r="V79" s="115">
        <v>0</v>
      </c>
      <c r="W79" s="116">
        <f>IFERROR(V79/V148, "NA")</f>
        <v>0</v>
      </c>
      <c r="X79" s="115">
        <v>0</v>
      </c>
      <c r="Y79" s="116">
        <f>IFERROR(X79/X148, "NA")</f>
        <v>0</v>
      </c>
      <c r="Z79" s="115">
        <v>0</v>
      </c>
      <c r="AA79" s="116">
        <f>IFERROR(Z79/Z148, "NA")</f>
        <v>0</v>
      </c>
      <c r="AB79" s="117">
        <f t="shared" si="30"/>
        <v>0</v>
      </c>
      <c r="AC79" s="116">
        <f>IFERROR(AB79/AB148, "NA")</f>
        <v>0</v>
      </c>
      <c r="AD79" s="118">
        <f t="shared" si="31"/>
        <v>0</v>
      </c>
      <c r="AE79" s="119">
        <f>IFERROR(AD79/AD148, "NA")</f>
        <v>0</v>
      </c>
      <c r="AF79" s="118" t="str">
        <f t="shared" si="32"/>
        <v>NA</v>
      </c>
      <c r="AG79" s="117">
        <f t="shared" si="33"/>
        <v>0</v>
      </c>
      <c r="AH79" s="116">
        <f>IFERROR(AG79/AG148, "NA")</f>
        <v>0</v>
      </c>
      <c r="AI79" s="118">
        <f t="shared" si="34"/>
        <v>0</v>
      </c>
      <c r="AJ79" s="119">
        <f>IFERROR(AI79/AI148, "NA")</f>
        <v>0</v>
      </c>
      <c r="AK79" s="118" t="str">
        <f t="shared" si="35"/>
        <v>NA</v>
      </c>
      <c r="AL79" s="119" t="str">
        <f>IFERROR(AK79/AK148, "NA")</f>
        <v>NA</v>
      </c>
    </row>
    <row r="80" spans="1:38" ht="16.5" hidden="1" customHeight="1" x14ac:dyDescent="0.25">
      <c r="A80" s="7" t="s">
        <v>83</v>
      </c>
      <c r="B80" s="115">
        <v>0</v>
      </c>
      <c r="C80" s="116">
        <f>IFERROR(B80/B148, "NA")</f>
        <v>0</v>
      </c>
      <c r="D80" s="115">
        <v>0</v>
      </c>
      <c r="E80" s="116">
        <f>IFERROR(D80/D148, "NA")</f>
        <v>0</v>
      </c>
      <c r="F80" s="115">
        <v>0</v>
      </c>
      <c r="G80" s="116">
        <f>IFERROR(F80/F148, "NA")</f>
        <v>0</v>
      </c>
      <c r="H80" s="115">
        <v>0</v>
      </c>
      <c r="I80" s="116">
        <f>IFERROR(H80/H148, "NA")</f>
        <v>0</v>
      </c>
      <c r="J80" s="115">
        <v>0</v>
      </c>
      <c r="K80" s="116">
        <f>IFERROR(J80/J148, "NA")</f>
        <v>0</v>
      </c>
      <c r="L80" s="115">
        <v>0</v>
      </c>
      <c r="M80" s="116">
        <f>IFERROR(L80/L148, "NA")</f>
        <v>0</v>
      </c>
      <c r="N80" s="115">
        <v>0</v>
      </c>
      <c r="O80" s="116">
        <f>IFERROR(N80/N148, "NA")</f>
        <v>0</v>
      </c>
      <c r="P80" s="115">
        <v>0</v>
      </c>
      <c r="Q80" s="116">
        <f>IFERROR(P80/P148, "NA")</f>
        <v>0</v>
      </c>
      <c r="R80" s="115">
        <v>0</v>
      </c>
      <c r="S80" s="116">
        <f>IFERROR(R80/R148, "NA")</f>
        <v>0</v>
      </c>
      <c r="T80" s="115">
        <v>0</v>
      </c>
      <c r="U80" s="116">
        <f>IFERROR(T80/T148, "NA")</f>
        <v>0</v>
      </c>
      <c r="V80" s="115">
        <v>0</v>
      </c>
      <c r="W80" s="116">
        <f>IFERROR(V80/V148, "NA")</f>
        <v>0</v>
      </c>
      <c r="X80" s="115">
        <v>0</v>
      </c>
      <c r="Y80" s="116">
        <f>IFERROR(X80/X148, "NA")</f>
        <v>0</v>
      </c>
      <c r="Z80" s="115">
        <v>0</v>
      </c>
      <c r="AA80" s="116">
        <f>IFERROR(Z80/Z148, "NA")</f>
        <v>0</v>
      </c>
      <c r="AB80" s="117">
        <f t="shared" si="30"/>
        <v>0</v>
      </c>
      <c r="AC80" s="116">
        <f>IFERROR(AB80/AB148, "NA")</f>
        <v>0</v>
      </c>
      <c r="AD80" s="118">
        <f t="shared" si="31"/>
        <v>0</v>
      </c>
      <c r="AE80" s="119">
        <f>IFERROR(AD80/AD148, "NA")</f>
        <v>0</v>
      </c>
      <c r="AF80" s="118" t="str">
        <f t="shared" si="32"/>
        <v>NA</v>
      </c>
      <c r="AG80" s="117">
        <f t="shared" si="33"/>
        <v>0</v>
      </c>
      <c r="AH80" s="116">
        <f>IFERROR(AG80/AG148, "NA")</f>
        <v>0</v>
      </c>
      <c r="AI80" s="118">
        <f t="shared" si="34"/>
        <v>0</v>
      </c>
      <c r="AJ80" s="119">
        <f>IFERROR(AI80/AI148, "NA")</f>
        <v>0</v>
      </c>
      <c r="AK80" s="118" t="str">
        <f t="shared" si="35"/>
        <v>NA</v>
      </c>
      <c r="AL80" s="119" t="str">
        <f>IFERROR(AK80/AK148, "NA")</f>
        <v>NA</v>
      </c>
    </row>
    <row r="81" spans="1:38" ht="16.5" customHeight="1" x14ac:dyDescent="0.25">
      <c r="A81" s="129" t="s">
        <v>84</v>
      </c>
      <c r="B81" s="121">
        <f>IFERROR(B74+B75+B76+B77+B78+B79+B80, "NA")</f>
        <v>960.79</v>
      </c>
      <c r="C81" s="122">
        <f>IFERROR(B81/B148, "NA")</f>
        <v>2.3726385111291434E-2</v>
      </c>
      <c r="D81" s="121">
        <f>IFERROR(D74+D75+D76+D77+D78+D79+D80, "NA")</f>
        <v>558.29</v>
      </c>
      <c r="E81" s="122">
        <f>IFERROR(D81/D148, "NA")</f>
        <v>2.4120074586499427E-2</v>
      </c>
      <c r="F81" s="121">
        <f>IFERROR(F74+F75+F76+F77+F78+F79+F80, "NA")</f>
        <v>656.84</v>
      </c>
      <c r="G81" s="122">
        <f>IFERROR(F81/F148, "NA")</f>
        <v>2.5837412797158375E-2</v>
      </c>
      <c r="H81" s="121">
        <f>IFERROR(H74+H75+H76+H77+H78+H79+H80, "NA")</f>
        <v>625.05999999999995</v>
      </c>
      <c r="I81" s="122">
        <f>IFERROR(H81/H148, "NA")</f>
        <v>2.5505938232587743E-2</v>
      </c>
      <c r="J81" s="121">
        <f>IFERROR(J74+J75+J76+J77+J78+J79+J80, "NA")</f>
        <v>599.94000000000005</v>
      </c>
      <c r="K81" s="122">
        <f>IFERROR(J81/J148, "NA")</f>
        <v>2.3213180214201698E-2</v>
      </c>
      <c r="L81" s="121">
        <f>IFERROR(L74+L75+L76+L77+L78+L79+L80, "NA")</f>
        <v>539.61</v>
      </c>
      <c r="M81" s="122">
        <f>IFERROR(L81/L148, "NA")</f>
        <v>1.8954174670933736E-2</v>
      </c>
      <c r="N81" s="121">
        <f>IFERROR(N74+N75+N76+N77+N78+N79+N80, "NA")</f>
        <v>589.16</v>
      </c>
      <c r="O81" s="122">
        <f>IFERROR(N81/N148, "NA")</f>
        <v>2.3974854806365079E-2</v>
      </c>
      <c r="P81" s="121">
        <f>IFERROR(P74+P75+P76+P77+P78+P79+P80, "NA")</f>
        <v>482.91</v>
      </c>
      <c r="Q81" s="122">
        <f>IFERROR(P81/P148, "NA")</f>
        <v>2.250366626481826E-2</v>
      </c>
      <c r="R81" s="121">
        <f>IFERROR(R74+R75+R76+R77+R78+R79+R80, "NA")</f>
        <v>780.24</v>
      </c>
      <c r="S81" s="122">
        <f>IFERROR(R81/R148, "NA")</f>
        <v>1.6251861359274991E-2</v>
      </c>
      <c r="T81" s="121">
        <f>IFERROR(T74+T75+T76+T77+T78+T79+T80, "NA")</f>
        <v>645.54</v>
      </c>
      <c r="U81" s="122">
        <f>IFERROR(T81/T148, "NA")</f>
        <v>2.3663602502504592E-2</v>
      </c>
      <c r="V81" s="121">
        <f>IFERROR(V74+V75+V76+V77+V78+V79+V80, "NA")</f>
        <v>625.76</v>
      </c>
      <c r="W81" s="122">
        <f>IFERROR(V81/V148, "NA")</f>
        <v>2.0348740788338107E-2</v>
      </c>
      <c r="X81" s="121">
        <f>IFERROR(X74+X75+X76+X77+X78+X79+X80, "NA")</f>
        <v>671.28</v>
      </c>
      <c r="Y81" s="122">
        <f>IFERROR(X81/X148, "NA")</f>
        <v>2.4755462000174065E-2</v>
      </c>
      <c r="Z81" s="121">
        <f>IFERROR(Z74+Z75+Z76+Z77+Z78+Z79+Z80, "NA")</f>
        <v>1297.04</v>
      </c>
      <c r="AA81" s="122">
        <f>IFERROR(Z81/Z148, "NA")</f>
        <v>2.2413684056637649E-2</v>
      </c>
      <c r="AB81" s="121">
        <f t="shared" si="30"/>
        <v>680.70499999999993</v>
      </c>
      <c r="AC81" s="122">
        <f>IFERROR(AB81/AB148, "NA")</f>
        <v>2.0448137451808897E-2</v>
      </c>
      <c r="AD81" s="123">
        <f t="shared" si="31"/>
        <v>-9.4249999999999545</v>
      </c>
      <c r="AE81" s="124">
        <f>IFERROR(AD81/AD148, "NA")</f>
        <v>1.5268350370166305E-3</v>
      </c>
      <c r="AF81" s="123">
        <f t="shared" si="32"/>
        <v>-1.3845939136630341E-2</v>
      </c>
      <c r="AG81" s="121">
        <f t="shared" si="33"/>
        <v>616.80499999999995</v>
      </c>
      <c r="AH81" s="122">
        <f>IFERROR(AG81/AG148, "NA")</f>
        <v>2.1132089046639765E-2</v>
      </c>
      <c r="AI81" s="123">
        <f t="shared" si="34"/>
        <v>54.475000000000023</v>
      </c>
      <c r="AJ81" s="124">
        <f>IFERROR(AI81/AI148, "NA")</f>
        <v>-2.6295655363999918E-2</v>
      </c>
      <c r="AK81" s="123">
        <f t="shared" si="35"/>
        <v>8.8318025956339571E-2</v>
      </c>
      <c r="AL81" s="124">
        <f>IFERROR(AK81/AK148, "NA")</f>
        <v>-1.2443471776956769</v>
      </c>
    </row>
    <row r="82" spans="1:38" ht="16.5" customHeight="1" x14ac:dyDescent="0.25">
      <c r="A82" s="5" t="s">
        <v>85</v>
      </c>
      <c r="B82" s="115">
        <v>0</v>
      </c>
      <c r="C82" s="116">
        <f>IFERROR(B82/B148, "NA")</f>
        <v>0</v>
      </c>
      <c r="D82" s="115">
        <v>308</v>
      </c>
      <c r="E82" s="116">
        <f>IFERROR(D82/D148, "NA")</f>
        <v>1.3306673901810572E-2</v>
      </c>
      <c r="F82" s="115">
        <v>0</v>
      </c>
      <c r="G82" s="116">
        <f>IFERROR(F82/F148, "NA")</f>
        <v>0</v>
      </c>
      <c r="H82" s="115">
        <v>0</v>
      </c>
      <c r="I82" s="116">
        <f>IFERROR(H82/H148, "NA")</f>
        <v>0</v>
      </c>
      <c r="J82" s="115">
        <v>0</v>
      </c>
      <c r="K82" s="116">
        <f>IFERROR(J82/J148, "NA")</f>
        <v>0</v>
      </c>
      <c r="L82" s="115">
        <v>0</v>
      </c>
      <c r="M82" s="116">
        <f>IFERROR(L82/L148, "NA")</f>
        <v>0</v>
      </c>
      <c r="N82" s="115">
        <v>308</v>
      </c>
      <c r="O82" s="116">
        <f>IFERROR(N82/N148, "NA")</f>
        <v>1.2533531265463447E-2</v>
      </c>
      <c r="P82" s="115">
        <v>0</v>
      </c>
      <c r="Q82" s="116">
        <f>IFERROR(P82/P148, "NA")</f>
        <v>0</v>
      </c>
      <c r="R82" s="115">
        <v>0</v>
      </c>
      <c r="S82" s="116">
        <f>IFERROR(R82/R148, "NA")</f>
        <v>0</v>
      </c>
      <c r="T82" s="115">
        <v>0</v>
      </c>
      <c r="U82" s="116">
        <f>IFERROR(T82/T148, "NA")</f>
        <v>0</v>
      </c>
      <c r="V82" s="115">
        <v>296</v>
      </c>
      <c r="W82" s="116">
        <f>IFERROR(V82/V148, "NA")</f>
        <v>9.6254590791167213E-3</v>
      </c>
      <c r="X82" s="115">
        <v>0</v>
      </c>
      <c r="Y82" s="116">
        <f>IFERROR(X82/X148, "NA")</f>
        <v>0</v>
      </c>
      <c r="Z82" s="115">
        <v>296</v>
      </c>
      <c r="AA82" s="116">
        <f>IFERROR(Z82/Z148, "NA")</f>
        <v>5.1150700678196078E-3</v>
      </c>
      <c r="AB82" s="117">
        <f t="shared" si="30"/>
        <v>74</v>
      </c>
      <c r="AC82" s="116">
        <f>IFERROR(AB82/AB148, "NA")</f>
        <v>2.2229338280662821E-3</v>
      </c>
      <c r="AD82" s="118">
        <f t="shared" si="31"/>
        <v>-74</v>
      </c>
      <c r="AE82" s="119">
        <f>IFERROR(AD82/AD148, "NA")</f>
        <v>1.198788251875132E-2</v>
      </c>
      <c r="AF82" s="118">
        <f t="shared" si="32"/>
        <v>-1</v>
      </c>
      <c r="AG82" s="117">
        <f t="shared" si="33"/>
        <v>75.5</v>
      </c>
      <c r="AH82" s="116">
        <f>IFERROR(AG82/AG148, "NA")</f>
        <v>2.5866728107283537E-3</v>
      </c>
      <c r="AI82" s="118">
        <f t="shared" si="34"/>
        <v>-75.5</v>
      </c>
      <c r="AJ82" s="119">
        <f>IFERROR(AI82/AI148, "NA")</f>
        <v>3.6444643964791058E-2</v>
      </c>
      <c r="AK82" s="118">
        <f t="shared" si="35"/>
        <v>-1</v>
      </c>
      <c r="AL82" s="119">
        <f>IFERROR(AK82/AK148, "NA")</f>
        <v>14.089390746922103</v>
      </c>
    </row>
    <row r="83" spans="1:38" ht="16.5" customHeight="1" x14ac:dyDescent="0.25">
      <c r="A83" s="5" t="s">
        <v>86</v>
      </c>
      <c r="B83" s="115">
        <v>0</v>
      </c>
      <c r="C83" s="116">
        <f>IFERROR(B83/B148, "NA")</f>
        <v>0</v>
      </c>
      <c r="D83" s="115">
        <v>-6.64</v>
      </c>
      <c r="E83" s="116">
        <f>IFERROR(D83/D148, "NA")</f>
        <v>-2.8687115164942274E-4</v>
      </c>
      <c r="F83" s="115">
        <v>-1.66</v>
      </c>
      <c r="G83" s="116">
        <f>IFERROR(F83/F148, "NA")</f>
        <v>-6.5297645154501703E-5</v>
      </c>
      <c r="H83" s="115">
        <v>5.54</v>
      </c>
      <c r="I83" s="116">
        <f>IFERROR(H83/H148, "NA")</f>
        <v>2.2606293445195041E-4</v>
      </c>
      <c r="J83" s="115">
        <v>-1.66</v>
      </c>
      <c r="K83" s="116">
        <f>IFERROR(J83/J148, "NA")</f>
        <v>-6.4229554881446168E-5</v>
      </c>
      <c r="L83" s="115">
        <v>-1.66</v>
      </c>
      <c r="M83" s="116">
        <f>IFERROR(L83/L148, "NA")</f>
        <v>-5.8308648753266248E-5</v>
      </c>
      <c r="N83" s="115">
        <v>-1.66</v>
      </c>
      <c r="O83" s="116">
        <f>IFERROR(N83/N148, "NA")</f>
        <v>-6.7550850326848446E-5</v>
      </c>
      <c r="P83" s="115">
        <v>-1.66</v>
      </c>
      <c r="Q83" s="116">
        <f>IFERROR(P83/P148, "NA")</f>
        <v>-7.735620715992277E-5</v>
      </c>
      <c r="R83" s="115">
        <v>5.54</v>
      </c>
      <c r="S83" s="116">
        <f>IFERROR(R83/R148, "NA")</f>
        <v>1.1539438112681156E-4</v>
      </c>
      <c r="T83" s="115">
        <v>-1.66</v>
      </c>
      <c r="U83" s="116">
        <f>IFERROR(T83/T148, "NA")</f>
        <v>-6.0850729860516197E-5</v>
      </c>
      <c r="V83" s="115">
        <v>-1.66</v>
      </c>
      <c r="W83" s="116">
        <f>IFERROR(V83/V148, "NA")</f>
        <v>-5.3980615105857289E-5</v>
      </c>
      <c r="X83" s="115">
        <v>-1.66</v>
      </c>
      <c r="Y83" s="116">
        <f>IFERROR(X83/X148, "NA")</f>
        <v>-6.1217475450317226E-5</v>
      </c>
      <c r="Z83" s="115">
        <v>-3.32</v>
      </c>
      <c r="AA83" s="116">
        <f>IFERROR(Z83/Z148, "NA")</f>
        <v>-5.7371731841760462E-5</v>
      </c>
      <c r="AB83" s="117">
        <f t="shared" si="30"/>
        <v>0.13999999999999996</v>
      </c>
      <c r="AC83" s="116">
        <f>IFERROR(AB83/AB148, "NA")</f>
        <v>4.2055504855308024E-6</v>
      </c>
      <c r="AD83" s="118">
        <f t="shared" si="31"/>
        <v>-1.7999999999999998</v>
      </c>
      <c r="AE83" s="119">
        <f>IFERROR(AD83/AD148, "NA")</f>
        <v>2.9159714234800507E-4</v>
      </c>
      <c r="AF83" s="118">
        <f t="shared" si="32"/>
        <v>-12.857142857142859</v>
      </c>
      <c r="AG83" s="117">
        <f t="shared" si="33"/>
        <v>-0.76</v>
      </c>
      <c r="AH83" s="116">
        <f>IFERROR(AG83/AG148, "NA")</f>
        <v>-2.6038030942431113E-5</v>
      </c>
      <c r="AI83" s="118">
        <f t="shared" si="34"/>
        <v>-0.89999999999999991</v>
      </c>
      <c r="AJ83" s="119">
        <f>IFERROR(AI83/AI148, "NA")</f>
        <v>4.34439464480953E-4</v>
      </c>
      <c r="AK83" s="118">
        <f t="shared" si="35"/>
        <v>1.1842105263157894</v>
      </c>
      <c r="AL83" s="119">
        <f>IFERROR(AK83/AK148, "NA")</f>
        <v>-16.684804831881436</v>
      </c>
    </row>
    <row r="84" spans="1:38" ht="16.5" customHeight="1" x14ac:dyDescent="0.25">
      <c r="A84" s="130" t="s">
        <v>87</v>
      </c>
      <c r="B84" s="121">
        <f>IFERROR(B63+B65+B66+B67+B68+B69+B71+B72+B74+B75+B76+B77+B78+B79+B80+B82+B83, "NA")</f>
        <v>11554.82</v>
      </c>
      <c r="C84" s="122">
        <f>IFERROR(B84/B148, "NA")</f>
        <v>0.28534238409189572</v>
      </c>
      <c r="D84" s="121">
        <f>IFERROR(D63+D65+D66+D67+D68+D69+D71+D72+D74+D75+D76+D77+D78+D79+D80+D82+D83, "NA")</f>
        <v>7242.0499999999993</v>
      </c>
      <c r="E84" s="122">
        <f>IFERROR(D84/D148, "NA")</f>
        <v>0.3128818108136599</v>
      </c>
      <c r="F84" s="121">
        <f>IFERROR(F63+F65+F66+F67+F68+F69+F71+F72+F74+F75+F76+F77+F78+F79+F80+F82+F83, "NA")</f>
        <v>8051.06</v>
      </c>
      <c r="G84" s="122">
        <f>IFERROR(F84/F148, "NA")</f>
        <v>0.31669593915518224</v>
      </c>
      <c r="H84" s="121">
        <f>IFERROR(H63+H65+H66+H67+H68+H69+H71+H72+H74+H75+H76+H77+H78+H79+H80+H82+H83, "NA")</f>
        <v>7895.329999999999</v>
      </c>
      <c r="I84" s="122">
        <f>IFERROR(H84/H148, "NA")</f>
        <v>0.32217355022861321</v>
      </c>
      <c r="J84" s="121">
        <f>IFERROR(J63+J65+J66+J67+J68+J69+J71+J72+J74+J75+J76+J77+J78+J79+J80+J82+J83, "NA")</f>
        <v>7715.33</v>
      </c>
      <c r="K84" s="122">
        <f>IFERROR(J84/J148, "NA")</f>
        <v>0.29852542871293258</v>
      </c>
      <c r="L84" s="121">
        <f>IFERROR(L63+L65+L66+L67+L68+L69+L71+L72+L74+L75+L76+L77+L78+L79+L80+L82+L83, "NA")</f>
        <v>6997.17</v>
      </c>
      <c r="M84" s="122">
        <f>IFERROR(L84/L148, "NA")</f>
        <v>0.24578043843186267</v>
      </c>
      <c r="N84" s="121">
        <f>IFERROR(N63+N65+N66+N67+N68+N69+N71+N72+N74+N75+N76+N77+N78+N79+N80+N82+N83, "NA")</f>
        <v>7822.93</v>
      </c>
      <c r="O84" s="122">
        <f>IFERROR(N84/N148, "NA")</f>
        <v>0.31834070695627259</v>
      </c>
      <c r="P84" s="121">
        <f>IFERROR(P63+P65+P66+P67+P68+P69+P71+P72+P74+P75+P76+P77+P78+P79+P80+P82+P83, "NA")</f>
        <v>6366.11</v>
      </c>
      <c r="Q84" s="122">
        <f>IFERROR(P84/P148, "NA")</f>
        <v>0.2966615204595518</v>
      </c>
      <c r="R84" s="121">
        <f>IFERROR(R63+R65+R66+R67+R68+R69+R71+R72+R74+R75+R76+R77+R78+R79+R80+R82+R83, "NA")</f>
        <v>9251.51</v>
      </c>
      <c r="S84" s="122">
        <f>IFERROR(R84/R148, "NA")</f>
        <v>0.19270257598168022</v>
      </c>
      <c r="T84" s="121">
        <f>IFERROR(T63+T65+T66+T67+T68+T69+T71+T72+T74+T75+T76+T77+T78+T79+T80+T82+T83, "NA")</f>
        <v>8300.7200000000012</v>
      </c>
      <c r="U84" s="122">
        <f>IFERROR(T84/T148, "NA")</f>
        <v>0.30428004239023138</v>
      </c>
      <c r="V84" s="121">
        <f>IFERROR(V63+V65+V66+V67+V68+V69+V71+V72+V74+V75+V76+V77+V78+V79+V80+V82+V83, "NA")</f>
        <v>8402.3700000000008</v>
      </c>
      <c r="W84" s="122">
        <f>IFERROR(V84/V148, "NA")</f>
        <v>0.27323198852229047</v>
      </c>
      <c r="X84" s="121">
        <f>IFERROR(X63+X65+X66+X67+X68+X69+X71+X72+X74+X75+X76+X77+X78+X79+X80+X82+X83, "NA")</f>
        <v>8140.29</v>
      </c>
      <c r="Y84" s="122">
        <f>IFERROR(X84/X148, "NA")</f>
        <v>0.30019759230931498</v>
      </c>
      <c r="Z84" s="121">
        <f>IFERROR(Z63+Z65+Z66+Z67+Z68+Z69+Z71+Z72+Z74+Z75+Z76+Z77+Z78+Z79+Z80+Z82+Z83, "NA")</f>
        <v>16542.66</v>
      </c>
      <c r="AA84" s="122">
        <f>IFERROR(Z84/Z148, "NA")</f>
        <v>0.2858677871895835</v>
      </c>
      <c r="AB84" s="121">
        <f t="shared" si="30"/>
        <v>8523.7225000000017</v>
      </c>
      <c r="AC84" s="122">
        <f>IFERROR(AB84/AB148, "NA")</f>
        <v>0.2560496092743203</v>
      </c>
      <c r="AD84" s="123">
        <f t="shared" si="31"/>
        <v>-383.43250000000171</v>
      </c>
      <c r="AE84" s="124">
        <f>IFERROR(AD84/AD148, "NA")</f>
        <v>6.2115456268528865E-2</v>
      </c>
      <c r="AF84" s="123">
        <f t="shared" si="32"/>
        <v>-4.4984160382978401E-2</v>
      </c>
      <c r="AG84" s="121">
        <f t="shared" si="33"/>
        <v>7874.5537500000009</v>
      </c>
      <c r="AH84" s="122">
        <f>IFERROR(AG84/AG148, "NA")</f>
        <v>0.26978667657939076</v>
      </c>
      <c r="AI84" s="123">
        <f t="shared" si="34"/>
        <v>265.73624999999902</v>
      </c>
      <c r="AJ84" s="124">
        <f>IFERROR(AI84/AI148, "NA")</f>
        <v>-0.12827368238130693</v>
      </c>
      <c r="AK84" s="123">
        <f t="shared" si="35"/>
        <v>3.3746197998838851E-2</v>
      </c>
      <c r="AL84" s="124">
        <f>IFERROR(AK84/AK148, "NA")</f>
        <v>-0.47546336982864129</v>
      </c>
    </row>
    <row r="85" spans="1:38" ht="16.5" customHeight="1" x14ac:dyDescent="0.25">
      <c r="A85" s="120" t="s">
        <v>87</v>
      </c>
      <c r="B85" s="131">
        <f>IFERROR(B63+B65+B66+B67+B68+B69+B71+B72+B74+B75+B76+B77+B78+B79+B80+B82+B83, "NA")</f>
        <v>11554.82</v>
      </c>
      <c r="C85" s="132">
        <f>IFERROR(B85/B148, "NA")</f>
        <v>0.28534238409189572</v>
      </c>
      <c r="D85" s="131">
        <f>IFERROR(D63+D65+D66+D67+D68+D69+D71+D72+D74+D75+D76+D77+D78+D79+D80+D82+D83, "NA")</f>
        <v>7242.0499999999993</v>
      </c>
      <c r="E85" s="132">
        <f>IFERROR(D85/D148, "NA")</f>
        <v>0.3128818108136599</v>
      </c>
      <c r="F85" s="131">
        <f>IFERROR(F63+F65+F66+F67+F68+F69+F71+F72+F74+F75+F76+F77+F78+F79+F80+F82+F83, "NA")</f>
        <v>8051.06</v>
      </c>
      <c r="G85" s="132">
        <f>IFERROR(F85/F148, "NA")</f>
        <v>0.31669593915518224</v>
      </c>
      <c r="H85" s="131">
        <f>IFERROR(H63+H65+H66+H67+H68+H69+H71+H72+H74+H75+H76+H77+H78+H79+H80+H82+H83, "NA")</f>
        <v>7895.329999999999</v>
      </c>
      <c r="I85" s="132">
        <f>IFERROR(H85/H148, "NA")</f>
        <v>0.32217355022861321</v>
      </c>
      <c r="J85" s="131">
        <f>IFERROR(J63+J65+J66+J67+J68+J69+J71+J72+J74+J75+J76+J77+J78+J79+J80+J82+J83, "NA")</f>
        <v>7715.33</v>
      </c>
      <c r="K85" s="132">
        <f>IFERROR(J85/J148, "NA")</f>
        <v>0.29852542871293258</v>
      </c>
      <c r="L85" s="131">
        <f>IFERROR(L63+L65+L66+L67+L68+L69+L71+L72+L74+L75+L76+L77+L78+L79+L80+L82+L83, "NA")</f>
        <v>6997.17</v>
      </c>
      <c r="M85" s="132">
        <f>IFERROR(L85/L148, "NA")</f>
        <v>0.24578043843186267</v>
      </c>
      <c r="N85" s="131">
        <f>IFERROR(N63+N65+N66+N67+N68+N69+N71+N72+N74+N75+N76+N77+N78+N79+N80+N82+N83, "NA")</f>
        <v>7822.93</v>
      </c>
      <c r="O85" s="132">
        <f>IFERROR(N85/N148, "NA")</f>
        <v>0.31834070695627259</v>
      </c>
      <c r="P85" s="131">
        <f>IFERROR(P63+P65+P66+P67+P68+P69+P71+P72+P74+P75+P76+P77+P78+P79+P80+P82+P83, "NA")</f>
        <v>6366.11</v>
      </c>
      <c r="Q85" s="132">
        <f>IFERROR(P85/P148, "NA")</f>
        <v>0.2966615204595518</v>
      </c>
      <c r="R85" s="131">
        <f>IFERROR(R63+R65+R66+R67+R68+R69+R71+R72+R74+R75+R76+R77+R78+R79+R80+R82+R83, "NA")</f>
        <v>9251.51</v>
      </c>
      <c r="S85" s="132">
        <f>IFERROR(R85/R148, "NA")</f>
        <v>0.19270257598168022</v>
      </c>
      <c r="T85" s="131">
        <f>IFERROR(T63+T65+T66+T67+T68+T69+T71+T72+T74+T75+T76+T77+T78+T79+T80+T82+T83, "NA")</f>
        <v>8300.7200000000012</v>
      </c>
      <c r="U85" s="132">
        <f>IFERROR(T85/T148, "NA")</f>
        <v>0.30428004239023138</v>
      </c>
      <c r="V85" s="131">
        <f>IFERROR(V63+V65+V66+V67+V68+V69+V71+V72+V74+V75+V76+V77+V78+V79+V80+V82+V83, "NA")</f>
        <v>8402.3700000000008</v>
      </c>
      <c r="W85" s="132">
        <f>IFERROR(V85/V148, "NA")</f>
        <v>0.27323198852229047</v>
      </c>
      <c r="X85" s="131">
        <f>IFERROR(X63+X65+X66+X67+X68+X69+X71+X72+X74+X75+X76+X77+X78+X79+X80+X82+X83, "NA")</f>
        <v>8140.29</v>
      </c>
      <c r="Y85" s="132">
        <f>IFERROR(X85/X148, "NA")</f>
        <v>0.30019759230931498</v>
      </c>
      <c r="Z85" s="131">
        <f>IFERROR(Z63+Z65+Z66+Z67+Z68+Z69+Z71+Z72+Z74+Z75+Z76+Z77+Z78+Z79+Z80+Z82+Z83, "NA")</f>
        <v>16542.66</v>
      </c>
      <c r="AA85" s="132">
        <f>IFERROR(Z85/Z148, "NA")</f>
        <v>0.2858677871895835</v>
      </c>
      <c r="AB85" s="131">
        <f t="shared" si="30"/>
        <v>8523.7225000000017</v>
      </c>
      <c r="AC85" s="132">
        <f>IFERROR(AB85/AB148, "NA")</f>
        <v>0.2560496092743203</v>
      </c>
      <c r="AD85" s="133">
        <f t="shared" si="31"/>
        <v>-383.43250000000171</v>
      </c>
      <c r="AE85" s="134">
        <f>IFERROR(AD85/AD148, "NA")</f>
        <v>6.2115456268528865E-2</v>
      </c>
      <c r="AF85" s="133">
        <f t="shared" si="32"/>
        <v>-4.4984160382978401E-2</v>
      </c>
      <c r="AG85" s="131">
        <f t="shared" si="33"/>
        <v>7874.5537500000009</v>
      </c>
      <c r="AH85" s="132">
        <f>IFERROR(AG85/AG148, "NA")</f>
        <v>0.26978667657939076</v>
      </c>
      <c r="AI85" s="133">
        <f t="shared" si="34"/>
        <v>265.73624999999902</v>
      </c>
      <c r="AJ85" s="134">
        <f>IFERROR(AI85/AI148, "NA")</f>
        <v>-0.12827368238130693</v>
      </c>
      <c r="AK85" s="133">
        <f t="shared" si="35"/>
        <v>3.3746197998838851E-2</v>
      </c>
      <c r="AL85" s="134">
        <f>IFERROR(AK85/AK148, "NA")</f>
        <v>-0.47546336982864129</v>
      </c>
    </row>
    <row r="86" spans="1:38" ht="3.75" customHeight="1" x14ac:dyDescent="0.25">
      <c r="A86" s="8" t="s">
        <v>2</v>
      </c>
      <c r="B86" s="138"/>
      <c r="C86" s="126"/>
      <c r="D86" s="138"/>
      <c r="E86" s="126"/>
      <c r="F86" s="138"/>
      <c r="G86" s="126"/>
      <c r="H86" s="138"/>
      <c r="I86" s="126"/>
      <c r="J86" s="138"/>
      <c r="K86" s="126"/>
      <c r="L86" s="138"/>
      <c r="M86" s="126"/>
      <c r="N86" s="138"/>
      <c r="O86" s="126"/>
      <c r="P86" s="138"/>
      <c r="Q86" s="126"/>
      <c r="R86" s="138"/>
      <c r="S86" s="126"/>
      <c r="T86" s="138"/>
      <c r="U86" s="126"/>
      <c r="V86" s="138"/>
      <c r="W86" s="126"/>
      <c r="X86" s="138"/>
      <c r="Y86" s="126"/>
      <c r="Z86" s="138"/>
      <c r="AA86" s="126"/>
      <c r="AB86" s="138"/>
      <c r="AC86" s="126"/>
      <c r="AD86" s="139"/>
      <c r="AE86" s="128"/>
      <c r="AF86" s="139"/>
      <c r="AG86" s="138"/>
      <c r="AH86" s="126"/>
      <c r="AI86" s="139"/>
      <c r="AJ86" s="128"/>
      <c r="AK86" s="139"/>
      <c r="AL86" s="128"/>
    </row>
    <row r="87" spans="1:38" ht="16.5" customHeight="1" x14ac:dyDescent="0.25">
      <c r="A87" s="135" t="s">
        <v>88</v>
      </c>
      <c r="B87" s="136">
        <f>IFERROR(B59-B85, "NA")</f>
        <v>19050.689999999995</v>
      </c>
      <c r="C87" s="137">
        <f>IFERROR(B87/B148, "NA")</f>
        <v>0.47045036644410176</v>
      </c>
      <c r="D87" s="136">
        <f>IFERROR(D59-D85, "NA")</f>
        <v>10482.869999999999</v>
      </c>
      <c r="E87" s="137">
        <f>IFERROR(D87/D148, "NA")</f>
        <v>0.45289653456192525</v>
      </c>
      <c r="F87" s="136">
        <f>IFERROR(F59-F85, "NA")</f>
        <v>10752.890000000007</v>
      </c>
      <c r="G87" s="137">
        <f>IFERROR(F87/F148, "NA")</f>
        <v>0.42297493711168088</v>
      </c>
      <c r="H87" s="136">
        <f>IFERROR(H59-H85, "NA")</f>
        <v>10472.700000000004</v>
      </c>
      <c r="I87" s="137">
        <f>IFERROR(H87/H148, "NA")</f>
        <v>0.42734463784024224</v>
      </c>
      <c r="J87" s="136">
        <f>IFERROR(J59-J85, "NA")</f>
        <v>12268.389999999994</v>
      </c>
      <c r="K87" s="137">
        <f>IFERROR(J87/J148, "NA")</f>
        <v>0.4746947161517982</v>
      </c>
      <c r="L87" s="136">
        <f>IFERROR(L59-L85, "NA")</f>
        <v>15408.9</v>
      </c>
      <c r="M87" s="137">
        <f>IFERROR(L87/L148, "NA")</f>
        <v>0.54124827576759293</v>
      </c>
      <c r="N87" s="136">
        <f>IFERROR(N59-N85, "NA")</f>
        <v>11017.470000000001</v>
      </c>
      <c r="O87" s="137">
        <f>IFERROR(N87/N148, "NA")</f>
        <v>0.44833702828345967</v>
      </c>
      <c r="P87" s="136">
        <f>IFERROR(P59-P85, "NA")</f>
        <v>9381.869999999999</v>
      </c>
      <c r="Q87" s="137">
        <f>IFERROR(P87/P148, "NA")</f>
        <v>0.43719631281172572</v>
      </c>
      <c r="R87" s="136">
        <f>IFERROR(R59-R85, "NA")</f>
        <v>28143.529999999992</v>
      </c>
      <c r="S87" s="137">
        <f>IFERROR(R87/R148, "NA")</f>
        <v>0.58621032979672449</v>
      </c>
      <c r="T87" s="136">
        <f>IFERROR(T59-T85, "NA")</f>
        <v>12628.980000000003</v>
      </c>
      <c r="U87" s="137">
        <f>IFERROR(T87/T148, "NA")</f>
        <v>0.46294135565895306</v>
      </c>
      <c r="V87" s="136">
        <f>IFERROR(V59-V85, "NA")</f>
        <v>14194.919999999996</v>
      </c>
      <c r="W87" s="137">
        <f>IFERROR(V87/V148, "NA")</f>
        <v>0.46159669456532265</v>
      </c>
      <c r="X87" s="136">
        <f>IFERROR(X59-X85, "NA")</f>
        <v>12141.469999999994</v>
      </c>
      <c r="Y87" s="137">
        <f>IFERROR(X87/X148, "NA")</f>
        <v>0.44775309738298957</v>
      </c>
      <c r="Z87" s="136">
        <f>IFERROR(Z59-Z85, "NA")</f>
        <v>26336.390000000003</v>
      </c>
      <c r="AA87" s="137">
        <f>IFERROR(Z87/Z148, "NA")</f>
        <v>0.45510973034940427</v>
      </c>
      <c r="AB87" s="136">
        <f>IFERROR((R87+T87+V87+X87)/4, "NA")</f>
        <v>16777.224999999999</v>
      </c>
      <c r="AC87" s="137">
        <f>IFERROR(AB87/AB148, "NA")</f>
        <v>0.50398190531863951</v>
      </c>
      <c r="AD87" s="123">
        <f>IFERROR(X87-AB87, "NA")</f>
        <v>-4635.7550000000047</v>
      </c>
      <c r="AE87" s="124">
        <f>IFERROR(AD87/AD148, "NA")</f>
        <v>0.75098495034748758</v>
      </c>
      <c r="AF87" s="123">
        <f>IFERROR((X87-AB87)/AB87, "NA")</f>
        <v>-0.27631238181522899</v>
      </c>
      <c r="AG87" s="136">
        <f>IFERROR((J87+L87+N87+P87+R87+T87+V87+X87)/8, "NA")</f>
        <v>14398.191249999996</v>
      </c>
      <c r="AH87" s="137">
        <f>IFERROR(AG87/AG148, "NA")</f>
        <v>0.49329019642439575</v>
      </c>
      <c r="AI87" s="123">
        <f>IFERROR(X87-AG87, "NA")</f>
        <v>-2256.7212500000023</v>
      </c>
      <c r="AJ87" s="124">
        <f>IFERROR(AI87/AI148, "NA")</f>
        <v>1.0893430792586531</v>
      </c>
      <c r="AK87" s="123">
        <f>IFERROR((X87-AG87)/AG87, "NA")</f>
        <v>-0.15673644076647494</v>
      </c>
      <c r="AL87" s="124">
        <f>IFERROR(AK87/AK148, "NA")</f>
        <v>2.2083209582406762</v>
      </c>
    </row>
    <row r="88" spans="1:38" ht="3.75" customHeight="1" x14ac:dyDescent="0.25">
      <c r="A88" s="8" t="s">
        <v>2</v>
      </c>
      <c r="B88" s="138"/>
      <c r="C88" s="126"/>
      <c r="D88" s="138"/>
      <c r="E88" s="126"/>
      <c r="F88" s="138"/>
      <c r="G88" s="126"/>
      <c r="H88" s="138"/>
      <c r="I88" s="126"/>
      <c r="J88" s="138"/>
      <c r="K88" s="126"/>
      <c r="L88" s="138"/>
      <c r="M88" s="126"/>
      <c r="N88" s="138"/>
      <c r="O88" s="126"/>
      <c r="P88" s="138"/>
      <c r="Q88" s="126"/>
      <c r="R88" s="138"/>
      <c r="S88" s="126"/>
      <c r="T88" s="138"/>
      <c r="U88" s="126"/>
      <c r="V88" s="138"/>
      <c r="W88" s="126"/>
      <c r="X88" s="138"/>
      <c r="Y88" s="126"/>
      <c r="Z88" s="138"/>
      <c r="AA88" s="126"/>
      <c r="AB88" s="138"/>
      <c r="AC88" s="126"/>
      <c r="AD88" s="139"/>
      <c r="AE88" s="128"/>
      <c r="AF88" s="139"/>
      <c r="AG88" s="138"/>
      <c r="AH88" s="126"/>
      <c r="AI88" s="139"/>
      <c r="AJ88" s="128"/>
      <c r="AK88" s="139"/>
      <c r="AL88" s="128"/>
    </row>
    <row r="89" spans="1:38" ht="16.5" hidden="1" customHeight="1" x14ac:dyDescent="0.25">
      <c r="A89" s="1" t="s">
        <v>89</v>
      </c>
      <c r="B89" s="111"/>
      <c r="C89" s="112"/>
      <c r="D89" s="111"/>
      <c r="E89" s="112"/>
      <c r="F89" s="111"/>
      <c r="G89" s="112"/>
      <c r="H89" s="111"/>
      <c r="I89" s="112"/>
      <c r="J89" s="111"/>
      <c r="K89" s="112"/>
      <c r="L89" s="111"/>
      <c r="M89" s="112"/>
      <c r="N89" s="111"/>
      <c r="O89" s="112"/>
      <c r="P89" s="111"/>
      <c r="Q89" s="112"/>
      <c r="R89" s="111"/>
      <c r="S89" s="112"/>
      <c r="T89" s="111"/>
      <c r="U89" s="112"/>
      <c r="V89" s="111"/>
      <c r="W89" s="112"/>
      <c r="X89" s="111"/>
      <c r="Y89" s="112"/>
      <c r="Z89" s="111"/>
      <c r="AA89" s="112"/>
      <c r="AB89" s="111"/>
      <c r="AC89" s="112"/>
      <c r="AD89" s="113"/>
      <c r="AE89" s="114"/>
      <c r="AF89" s="113"/>
      <c r="AG89" s="111"/>
      <c r="AH89" s="112"/>
      <c r="AI89" s="113"/>
      <c r="AJ89" s="114"/>
      <c r="AK89" s="113"/>
      <c r="AL89" s="114"/>
    </row>
    <row r="90" spans="1:38" ht="16.5" hidden="1" customHeight="1" x14ac:dyDescent="0.25">
      <c r="A90" s="2" t="s">
        <v>90</v>
      </c>
      <c r="B90" s="115">
        <v>885.85</v>
      </c>
      <c r="C90" s="116">
        <f>IFERROR(B90/B148, "NA")</f>
        <v>2.1875767077964507E-2</v>
      </c>
      <c r="D90" s="115">
        <v>544.99</v>
      </c>
      <c r="E90" s="116">
        <f>IFERROR(D90/D148, "NA")</f>
        <v>2.3545468213466703E-2</v>
      </c>
      <c r="F90" s="115">
        <v>797.51</v>
      </c>
      <c r="G90" s="116">
        <f>IFERROR(F90/F148, "NA")</f>
        <v>3.1370798185040155E-2</v>
      </c>
      <c r="H90" s="115">
        <v>548.75</v>
      </c>
      <c r="I90" s="116">
        <f>IFERROR(H90/H148, "NA")</f>
        <v>2.2392064130055556E-2</v>
      </c>
      <c r="J90" s="115">
        <v>396.12</v>
      </c>
      <c r="K90" s="116">
        <f>IFERROR(J90/J148, "NA")</f>
        <v>1.5326874264842446E-2</v>
      </c>
      <c r="L90" s="115">
        <v>559.89</v>
      </c>
      <c r="M90" s="116">
        <f>IFERROR(L90/L148, "NA")</f>
        <v>1.9666523705100147E-2</v>
      </c>
      <c r="N90" s="115">
        <v>622.83000000000004</v>
      </c>
      <c r="O90" s="116">
        <f>IFERROR(N90/N148, "NA")</f>
        <v>2.5344997656066879E-2</v>
      </c>
      <c r="P90" s="115">
        <v>619.07000000000005</v>
      </c>
      <c r="Q90" s="116">
        <f>IFERROR(P90/P148, "NA")</f>
        <v>2.8848739256923734E-2</v>
      </c>
      <c r="R90" s="115">
        <v>563.7399999999999</v>
      </c>
      <c r="S90" s="116">
        <f>IFERROR(R90/R148, "NA")</f>
        <v>1.1742315598633346E-2</v>
      </c>
      <c r="T90" s="115">
        <v>704.67</v>
      </c>
      <c r="U90" s="116">
        <f>IFERROR(T90/T148, "NA")</f>
        <v>2.5831134825789127E-2</v>
      </c>
      <c r="V90" s="115">
        <v>338.72999999999996</v>
      </c>
      <c r="W90" s="116">
        <f>IFERROR(V90/V148, "NA")</f>
        <v>1.1014972141450023E-2</v>
      </c>
      <c r="X90" s="115">
        <v>581.08000000000004</v>
      </c>
      <c r="Y90" s="116">
        <f>IFERROR(X90/X148, "NA")</f>
        <v>2.1429066647391769E-2</v>
      </c>
      <c r="Z90" s="115">
        <v>919.81000000000006</v>
      </c>
      <c r="AA90" s="116">
        <f>IFERROR(Z90/Z148, "NA")</f>
        <v>1.5894907429328222E-2</v>
      </c>
      <c r="AB90" s="117">
        <f t="shared" ref="AB90:AB99" si="36">IFERROR((R90+T90+V90+X90)/4, "NA")</f>
        <v>547.05499999999995</v>
      </c>
      <c r="AC90" s="116">
        <f>IFERROR(AB90/AB148, "NA")</f>
        <v>1.6433338720443242E-2</v>
      </c>
      <c r="AD90" s="118">
        <f t="shared" ref="AD90:AD99" si="37">IFERROR(X90-AB90, "NA")</f>
        <v>34.025000000000091</v>
      </c>
      <c r="AE90" s="119">
        <f>IFERROR(AD90/AD148, "NA")</f>
        <v>-5.511995982439389E-3</v>
      </c>
      <c r="AF90" s="118">
        <f t="shared" ref="AF90:AF99" si="38">IFERROR((X90-AB90)/AB90, "NA")</f>
        <v>6.2196671267057413E-2</v>
      </c>
      <c r="AG90" s="117">
        <f t="shared" ref="AG90:AG99" si="39">IFERROR((J90+L90+N90+P90+R90+T90+V90+X90)/8, "NA")</f>
        <v>548.26625000000001</v>
      </c>
      <c r="AH90" s="116">
        <f>IFERROR(AG90/AG148, "NA")</f>
        <v>1.878391260814562E-2</v>
      </c>
      <c r="AI90" s="118">
        <f t="shared" ref="AI90:AI99" si="40">IFERROR(X90-AG90, "NA")</f>
        <v>32.813750000000027</v>
      </c>
      <c r="AJ90" s="119">
        <f>IFERROR(AI90/AI148, "NA")</f>
        <v>-1.5839542197346537E-2</v>
      </c>
      <c r="AK90" s="118">
        <f t="shared" ref="AK90:AK99" si="41">IFERROR((X90-AG90)/AG90, "NA")</f>
        <v>5.9850027244974548E-2</v>
      </c>
      <c r="AL90" s="119">
        <f>IFERROR(AK90/AK148, "NA")</f>
        <v>-0.84325042006838014</v>
      </c>
    </row>
    <row r="91" spans="1:38" ht="16.5" hidden="1" customHeight="1" x14ac:dyDescent="0.25">
      <c r="A91" s="2" t="s">
        <v>91</v>
      </c>
      <c r="B91" s="115">
        <v>770.46</v>
      </c>
      <c r="C91" s="116">
        <f>IFERROR(B91/B148, "NA")</f>
        <v>1.9026249932707046E-2</v>
      </c>
      <c r="D91" s="115">
        <v>725.99</v>
      </c>
      <c r="E91" s="116">
        <f>IFERROR(D91/D148, "NA")</f>
        <v>3.136529930511512E-2</v>
      </c>
      <c r="F91" s="115">
        <v>330.69</v>
      </c>
      <c r="G91" s="116">
        <f>IFERROR(F91/F148, "NA")</f>
        <v>1.3007998961531427E-2</v>
      </c>
      <c r="H91" s="115">
        <v>1771.0700000000002</v>
      </c>
      <c r="I91" s="116">
        <f>IFERROR(H91/H148, "NA")</f>
        <v>7.2269545364587698E-2</v>
      </c>
      <c r="J91" s="115">
        <v>1499.21</v>
      </c>
      <c r="K91" s="116">
        <f>IFERROR(J91/J148, "NA")</f>
        <v>5.8008187333622244E-2</v>
      </c>
      <c r="L91" s="115">
        <v>1259.99</v>
      </c>
      <c r="M91" s="116">
        <f>IFERROR(L91/L148, "NA")</f>
        <v>4.4258020688330089E-2</v>
      </c>
      <c r="N91" s="115">
        <v>615.48</v>
      </c>
      <c r="O91" s="116">
        <f>IFERROR(N91/N148, "NA")</f>
        <v>2.5045902023595593E-2</v>
      </c>
      <c r="P91" s="115">
        <v>315.45999999999998</v>
      </c>
      <c r="Q91" s="116">
        <f>IFERROR(P91/P148, "NA")</f>
        <v>1.4700475367873035E-2</v>
      </c>
      <c r="R91" s="115">
        <v>272.12</v>
      </c>
      <c r="S91" s="116">
        <f>IFERROR(R91/R148, "NA")</f>
        <v>5.6680720202577552E-3</v>
      </c>
      <c r="T91" s="115">
        <v>357.81</v>
      </c>
      <c r="U91" s="116">
        <f>IFERROR(T91/T148, "NA")</f>
        <v>1.3116264850235725E-2</v>
      </c>
      <c r="V91" s="115">
        <v>420.1</v>
      </c>
      <c r="W91" s="116">
        <f>IFERROR(V91/V148, "NA")</f>
        <v>1.3660997834922077E-2</v>
      </c>
      <c r="X91" s="115">
        <v>284.74</v>
      </c>
      <c r="Y91" s="116">
        <f>IFERROR(X91/X148, "NA")</f>
        <v>1.0500640939592366E-2</v>
      </c>
      <c r="Z91" s="115">
        <v>704.84</v>
      </c>
      <c r="AA91" s="116">
        <f>IFERROR(Z91/Z148, "NA")</f>
        <v>1.2180087792574231E-2</v>
      </c>
      <c r="AB91" s="117">
        <f t="shared" si="36"/>
        <v>333.69250000000005</v>
      </c>
      <c r="AC91" s="116">
        <f>IFERROR(AB91/AB148, "NA")</f>
        <v>1.0024004681378486E-2</v>
      </c>
      <c r="AD91" s="118">
        <f t="shared" si="37"/>
        <v>-48.952500000000043</v>
      </c>
      <c r="AE91" s="119">
        <f>IFERROR(AD91/AD148, "NA")</f>
        <v>7.9302272837726284E-3</v>
      </c>
      <c r="AF91" s="118">
        <f t="shared" si="38"/>
        <v>-0.1466994313627068</v>
      </c>
      <c r="AG91" s="117">
        <f t="shared" si="39"/>
        <v>628.11374999999998</v>
      </c>
      <c r="AH91" s="116">
        <f>IFERROR(AG91/AG148, "NA")</f>
        <v>2.1519533234034788E-2</v>
      </c>
      <c r="AI91" s="118">
        <f t="shared" si="40"/>
        <v>-343.37374999999997</v>
      </c>
      <c r="AJ91" s="119">
        <f>IFERROR(AI91/AI148, "NA")</f>
        <v>0.1657501200742407</v>
      </c>
      <c r="AK91" s="118">
        <f t="shared" si="41"/>
        <v>-0.54667446780141338</v>
      </c>
      <c r="AL91" s="119">
        <f>IFERROR(AK91/AK148, "NA")</f>
        <v>7.7023101882197986</v>
      </c>
    </row>
    <row r="92" spans="1:38" ht="16.5" hidden="1" customHeight="1" x14ac:dyDescent="0.25">
      <c r="A92" s="2" t="s">
        <v>92</v>
      </c>
      <c r="B92" s="115">
        <v>513.18999999999994</v>
      </c>
      <c r="C92" s="116">
        <f>IFERROR(B92/B148, "NA")</f>
        <v>1.2673054023526109E-2</v>
      </c>
      <c r="D92" s="115">
        <v>401.33</v>
      </c>
      <c r="E92" s="116">
        <f>IFERROR(D92/D148, "NA")</f>
        <v>1.7338855314979341E-2</v>
      </c>
      <c r="F92" s="115">
        <v>380.75</v>
      </c>
      <c r="G92" s="116">
        <f>IFERROR(F92/F148, "NA")</f>
        <v>1.4977155658178629E-2</v>
      </c>
      <c r="H92" s="115">
        <v>341.36</v>
      </c>
      <c r="I92" s="116">
        <f>IFERROR(H92/H148, "NA")</f>
        <v>1.392939409828841E-2</v>
      </c>
      <c r="J92" s="115">
        <v>276.73</v>
      </c>
      <c r="K92" s="116">
        <f>IFERROR(J92/J148, "NA")</f>
        <v>1.0707376338760602E-2</v>
      </c>
      <c r="L92" s="115">
        <v>498.69</v>
      </c>
      <c r="M92" s="116">
        <f>IFERROR(L92/L148, "NA")</f>
        <v>1.7516831353473702E-2</v>
      </c>
      <c r="N92" s="115">
        <v>140.03</v>
      </c>
      <c r="O92" s="116">
        <f>IFERROR(N92/N148, "NA")</f>
        <v>5.698280464619631E-3</v>
      </c>
      <c r="P92" s="115">
        <v>215.72</v>
      </c>
      <c r="Q92" s="116">
        <f>IFERROR(P92/P148, "NA")</f>
        <v>1.0052578920806351E-2</v>
      </c>
      <c r="R92" s="115">
        <v>514.02</v>
      </c>
      <c r="S92" s="116">
        <f>IFERROR(R92/R148, "NA")</f>
        <v>1.0706682271986224E-2</v>
      </c>
      <c r="T92" s="115">
        <v>404.4</v>
      </c>
      <c r="U92" s="116">
        <f>IFERROR(T92/T148, "NA")</f>
        <v>1.482411756361009E-2</v>
      </c>
      <c r="V92" s="115">
        <v>5.96</v>
      </c>
      <c r="W92" s="116">
        <f>IFERROR(V92/V148, "NA")</f>
        <v>1.9380991929572857E-4</v>
      </c>
      <c r="X92" s="115">
        <v>10.43</v>
      </c>
      <c r="Y92" s="116">
        <f>IFERROR(X92/X148, "NA")</f>
        <v>3.8463751141374014E-4</v>
      </c>
      <c r="Z92" s="115">
        <v>16.39</v>
      </c>
      <c r="AA92" s="116">
        <f>IFERROR(Z92/Z148, "NA")</f>
        <v>2.8322972436338977E-4</v>
      </c>
      <c r="AB92" s="117">
        <f t="shared" si="36"/>
        <v>233.70249999999999</v>
      </c>
      <c r="AC92" s="116">
        <f>IFERROR(AB92/AB148, "NA")</f>
        <v>7.0203404453197333E-3</v>
      </c>
      <c r="AD92" s="118">
        <f t="shared" si="37"/>
        <v>-223.27249999999998</v>
      </c>
      <c r="AE92" s="119">
        <f>IFERROR(AD92/AD148, "NA")</f>
        <v>3.6169790536052758E-2</v>
      </c>
      <c r="AF92" s="118">
        <f t="shared" si="38"/>
        <v>-0.95537061007049562</v>
      </c>
      <c r="AG92" s="117">
        <f t="shared" si="39"/>
        <v>258.2475</v>
      </c>
      <c r="AH92" s="116">
        <f>IFERROR(AG92/AG148, "NA")</f>
        <v>8.8477057839545774E-3</v>
      </c>
      <c r="AI92" s="118">
        <f t="shared" si="40"/>
        <v>-247.8175</v>
      </c>
      <c r="AJ92" s="119">
        <f>IFERROR(AI92/AI148, "NA")</f>
        <v>0.11962411332112063</v>
      </c>
      <c r="AK92" s="118">
        <f t="shared" si="41"/>
        <v>-0.95961238734160059</v>
      </c>
      <c r="AL92" s="119">
        <f>IFERROR(AK92/AK148, "NA")</f>
        <v>13.520353890842577</v>
      </c>
    </row>
    <row r="93" spans="1:38" ht="16.5" hidden="1" customHeight="1" x14ac:dyDescent="0.25">
      <c r="A93" s="2" t="s">
        <v>93</v>
      </c>
      <c r="B93" s="115">
        <v>3413.8999999999996</v>
      </c>
      <c r="C93" s="116">
        <f>IFERROR(B93/B148, "NA")</f>
        <v>8.4305109473909831E-2</v>
      </c>
      <c r="D93" s="115">
        <v>2166.89</v>
      </c>
      <c r="E93" s="116">
        <f>IFERROR(D93/D148, "NA")</f>
        <v>9.3617203282773731E-2</v>
      </c>
      <c r="F93" s="115">
        <v>1797.3700000000003</v>
      </c>
      <c r="G93" s="116">
        <f>IFERROR(F93/F148, "NA")</f>
        <v>7.0701221970690814E-2</v>
      </c>
      <c r="H93" s="115">
        <v>3280.2299999999996</v>
      </c>
      <c r="I93" s="116">
        <f>IFERROR(H93/H148, "NA")</f>
        <v>0.13385170026666446</v>
      </c>
      <c r="J93" s="115">
        <v>2470.8999999999996</v>
      </c>
      <c r="K93" s="116">
        <f>IFERROR(J93/J148, "NA")</f>
        <v>9.5605305516003214E-2</v>
      </c>
      <c r="L93" s="115">
        <v>3291.93</v>
      </c>
      <c r="M93" s="116">
        <f>IFERROR(L93/L148, "NA")</f>
        <v>0.11563131933152998</v>
      </c>
      <c r="N93" s="115">
        <v>3366.4300000000003</v>
      </c>
      <c r="O93" s="116">
        <f>IFERROR(N93/N148, "NA")</f>
        <v>0.13699108979868219</v>
      </c>
      <c r="P93" s="115">
        <v>2021.12</v>
      </c>
      <c r="Q93" s="116">
        <f>IFERROR(P93/P148, "NA")</f>
        <v>9.4184444225941646E-2</v>
      </c>
      <c r="R93" s="115">
        <v>3826.1</v>
      </c>
      <c r="S93" s="116">
        <f>IFERROR(R93/R148, "NA")</f>
        <v>7.9695025564854458E-2</v>
      </c>
      <c r="T93" s="115">
        <v>3238.0299999999997</v>
      </c>
      <c r="U93" s="116">
        <f>IFERROR(T93/T148, "NA")</f>
        <v>0.11869668000617305</v>
      </c>
      <c r="V93" s="115">
        <v>2113.59</v>
      </c>
      <c r="W93" s="116">
        <f>IFERROR(V93/V148, "NA")</f>
        <v>6.8730655591318621E-2</v>
      </c>
      <c r="X93" s="115">
        <v>1336.83</v>
      </c>
      <c r="Y93" s="116">
        <f>IFERROR(X93/X148, "NA")</f>
        <v>4.9299613076052753E-2</v>
      </c>
      <c r="Z93" s="115">
        <v>3450.42</v>
      </c>
      <c r="AA93" s="116">
        <f>IFERROR(Z93/Z148, "NA")</f>
        <v>5.9625473187182879E-2</v>
      </c>
      <c r="AB93" s="117">
        <f t="shared" si="36"/>
        <v>2628.6374999999998</v>
      </c>
      <c r="AC93" s="116">
        <f>IFERROR(AB93/AB148, "NA")</f>
        <v>7.8963340817210556E-2</v>
      </c>
      <c r="AD93" s="118">
        <f t="shared" si="37"/>
        <v>-1291.8074999999999</v>
      </c>
      <c r="AE93" s="119">
        <f>IFERROR(AD93/AD148, "NA")</f>
        <v>0.20927076414651141</v>
      </c>
      <c r="AF93" s="118">
        <f t="shared" si="38"/>
        <v>-0.49143615275974722</v>
      </c>
      <c r="AG93" s="117">
        <f t="shared" si="39"/>
        <v>2708.11625</v>
      </c>
      <c r="AH93" s="116">
        <f>IFERROR(AG93/AG148, "NA")</f>
        <v>9.278159830684278E-2</v>
      </c>
      <c r="AI93" s="118">
        <f t="shared" si="40"/>
        <v>-1371.2862500000001</v>
      </c>
      <c r="AJ93" s="119">
        <f>IFERROR(AI93/AI148, "NA")</f>
        <v>0.66193429344454924</v>
      </c>
      <c r="AK93" s="118">
        <f t="shared" si="41"/>
        <v>-0.50636166375797198</v>
      </c>
      <c r="AL93" s="119">
        <f>IFERROR(AK93/AK148, "NA")</f>
        <v>7.1343273399476512</v>
      </c>
    </row>
    <row r="94" spans="1:38" ht="16.5" hidden="1" customHeight="1" x14ac:dyDescent="0.25">
      <c r="A94" s="2" t="s">
        <v>94</v>
      </c>
      <c r="B94" s="115">
        <v>919.74</v>
      </c>
      <c r="C94" s="116">
        <f>IFERROR(B94/B148, "NA")</f>
        <v>2.2712669201656124E-2</v>
      </c>
      <c r="D94" s="115">
        <v>687</v>
      </c>
      <c r="E94" s="116">
        <f>IFERROR(D94/D148, "NA")</f>
        <v>2.9680795358908645E-2</v>
      </c>
      <c r="F94" s="115">
        <v>611.67999999999995</v>
      </c>
      <c r="G94" s="116">
        <f>IFERROR(F94/F148, "NA")</f>
        <v>2.4061002161509398E-2</v>
      </c>
      <c r="H94" s="115">
        <v>674.1</v>
      </c>
      <c r="I94" s="116">
        <f>IFERROR(H94/H148, "NA")</f>
        <v>2.7507044063909705E-2</v>
      </c>
      <c r="J94" s="115">
        <v>713.69</v>
      </c>
      <c r="K94" s="116">
        <f>IFERROR(J94/J148, "NA")</f>
        <v>2.7614452423698387E-2</v>
      </c>
      <c r="L94" s="115">
        <v>754.3</v>
      </c>
      <c r="M94" s="116">
        <f>IFERROR(L94/L148, "NA")</f>
        <v>2.6495309490716105E-2</v>
      </c>
      <c r="N94" s="115">
        <v>586.76</v>
      </c>
      <c r="O94" s="116">
        <f>IFERROR(N94/N148, "NA")</f>
        <v>2.3877190926374456E-2</v>
      </c>
      <c r="P94" s="115">
        <v>606.69000000000005</v>
      </c>
      <c r="Q94" s="116">
        <f>IFERROR(P94/P148, "NA")</f>
        <v>2.8271829711959972E-2</v>
      </c>
      <c r="R94" s="115">
        <v>868.92</v>
      </c>
      <c r="S94" s="116">
        <f>IFERROR(R94/R148, "NA")</f>
        <v>1.8099004629730884E-2</v>
      </c>
      <c r="T94" s="115">
        <v>650.03</v>
      </c>
      <c r="U94" s="116">
        <f>IFERROR(T94/T148, "NA")</f>
        <v>2.3828192729657437E-2</v>
      </c>
      <c r="V94" s="115">
        <v>666.83</v>
      </c>
      <c r="W94" s="116">
        <f>IFERROR(V94/V148, "NA")</f>
        <v>2.1684273235565554E-2</v>
      </c>
      <c r="X94" s="115">
        <v>479.53</v>
      </c>
      <c r="Y94" s="116">
        <f>IFERROR(X94/X148, "NA")</f>
        <v>1.7684106025717239E-2</v>
      </c>
      <c r="Z94" s="115">
        <v>1146.3599999999999</v>
      </c>
      <c r="AA94" s="116">
        <f>IFERROR(Z94/Z148, "NA")</f>
        <v>1.9809836901843531E-2</v>
      </c>
      <c r="AB94" s="117">
        <f t="shared" si="36"/>
        <v>666.32749999999987</v>
      </c>
      <c r="AC94" s="116">
        <f>IFERROR(AB94/AB148, "NA")</f>
        <v>2.0016242436768045E-2</v>
      </c>
      <c r="AD94" s="118">
        <f t="shared" si="37"/>
        <v>-186.7974999999999</v>
      </c>
      <c r="AE94" s="119">
        <f>IFERROR(AD94/AD148, "NA")</f>
        <v>3.0260898443195253E-2</v>
      </c>
      <c r="AF94" s="118">
        <f t="shared" si="38"/>
        <v>-0.28033887240133409</v>
      </c>
      <c r="AG94" s="117">
        <f t="shared" si="39"/>
        <v>665.84375</v>
      </c>
      <c r="AH94" s="116">
        <f>IFERROR(AG94/AG148, "NA")</f>
        <v>2.2812184428058376E-2</v>
      </c>
      <c r="AI94" s="118">
        <f t="shared" si="40"/>
        <v>-186.31375000000003</v>
      </c>
      <c r="AJ94" s="119">
        <f>IFERROR(AI94/AI148, "NA")</f>
        <v>8.9935606417153521E-2</v>
      </c>
      <c r="AK94" s="118">
        <f t="shared" si="41"/>
        <v>-0.27981602290327129</v>
      </c>
      <c r="AL94" s="119">
        <f>IFERROR(AK94/AK148, "NA")</f>
        <v>3.9424372839338937</v>
      </c>
    </row>
    <row r="95" spans="1:38" ht="16.5" hidden="1" customHeight="1" x14ac:dyDescent="0.25">
      <c r="A95" s="2" t="s">
        <v>95</v>
      </c>
      <c r="B95" s="115">
        <v>1377.92</v>
      </c>
      <c r="C95" s="116">
        <f>IFERROR(B95/B148, "NA")</f>
        <v>3.4027269822282387E-2</v>
      </c>
      <c r="D95" s="115">
        <v>0</v>
      </c>
      <c r="E95" s="116">
        <f>IFERROR(D95/D148, "NA")</f>
        <v>0</v>
      </c>
      <c r="F95" s="115">
        <v>0</v>
      </c>
      <c r="G95" s="116">
        <f>IFERROR(F95/F148, "NA")</f>
        <v>0</v>
      </c>
      <c r="H95" s="115">
        <v>0</v>
      </c>
      <c r="I95" s="116">
        <f>IFERROR(H95/H148, "NA")</f>
        <v>0</v>
      </c>
      <c r="J95" s="115">
        <v>1524.04</v>
      </c>
      <c r="K95" s="116">
        <f>IFERROR(J95/J148, "NA")</f>
        <v>5.8968922181638087E-2</v>
      </c>
      <c r="L95" s="115">
        <v>0</v>
      </c>
      <c r="M95" s="116">
        <f>IFERROR(L95/L148, "NA")</f>
        <v>0</v>
      </c>
      <c r="N95" s="115">
        <v>0</v>
      </c>
      <c r="O95" s="116">
        <f>IFERROR(N95/N148, "NA")</f>
        <v>0</v>
      </c>
      <c r="P95" s="115">
        <v>0</v>
      </c>
      <c r="Q95" s="116">
        <f>IFERROR(P95/P148, "NA")</f>
        <v>0</v>
      </c>
      <c r="R95" s="115">
        <v>-41</v>
      </c>
      <c r="S95" s="116">
        <f>IFERROR(R95/R148, "NA")</f>
        <v>-8.5400173758109642E-4</v>
      </c>
      <c r="T95" s="115">
        <v>1524.04</v>
      </c>
      <c r="U95" s="116">
        <f>IFERROR(T95/T148, "NA")</f>
        <v>5.5866835142542835E-2</v>
      </c>
      <c r="V95" s="115">
        <v>0</v>
      </c>
      <c r="W95" s="116">
        <f>IFERROR(V95/V148, "NA")</f>
        <v>0</v>
      </c>
      <c r="X95" s="115">
        <v>0</v>
      </c>
      <c r="Y95" s="116">
        <f>IFERROR(X95/X148, "NA")</f>
        <v>0</v>
      </c>
      <c r="Z95" s="115">
        <v>0</v>
      </c>
      <c r="AA95" s="116">
        <f>IFERROR(Z95/Z148, "NA")</f>
        <v>0</v>
      </c>
      <c r="AB95" s="117">
        <f t="shared" si="36"/>
        <v>370.76</v>
      </c>
      <c r="AC95" s="116">
        <f>IFERROR(AB95/AB148, "NA")</f>
        <v>1.1137499271538577E-2</v>
      </c>
      <c r="AD95" s="118">
        <f t="shared" si="37"/>
        <v>-370.76</v>
      </c>
      <c r="AE95" s="119">
        <f>IFERROR(AD95/AD148, "NA")</f>
        <v>6.0062531387192426E-2</v>
      </c>
      <c r="AF95" s="118">
        <f t="shared" si="38"/>
        <v>-1</v>
      </c>
      <c r="AG95" s="117">
        <f t="shared" si="39"/>
        <v>375.88499999999999</v>
      </c>
      <c r="AH95" s="116">
        <f>IFERROR(AG95/AG148, "NA")</f>
        <v>1.2878033237889103E-2</v>
      </c>
      <c r="AI95" s="118">
        <f t="shared" si="40"/>
        <v>-375.88499999999999</v>
      </c>
      <c r="AJ95" s="119">
        <f>IFERROR(AI95/AI148, "NA")</f>
        <v>0.18144364234047003</v>
      </c>
      <c r="AK95" s="118">
        <f t="shared" si="41"/>
        <v>-1</v>
      </c>
      <c r="AL95" s="119">
        <f>IFERROR(AK95/AK148, "NA")</f>
        <v>14.089390746922103</v>
      </c>
    </row>
    <row r="96" spans="1:38" ht="16.5" hidden="1" customHeight="1" x14ac:dyDescent="0.25">
      <c r="A96" s="2" t="s">
        <v>96</v>
      </c>
      <c r="B96" s="115">
        <v>0</v>
      </c>
      <c r="C96" s="116">
        <f>IFERROR(B96/B148, "NA")</f>
        <v>0</v>
      </c>
      <c r="D96" s="115">
        <v>0</v>
      </c>
      <c r="E96" s="116">
        <f>IFERROR(D96/D148, "NA")</f>
        <v>0</v>
      </c>
      <c r="F96" s="115">
        <v>0</v>
      </c>
      <c r="G96" s="116">
        <f>IFERROR(F96/F148, "NA")</f>
        <v>0</v>
      </c>
      <c r="H96" s="115">
        <v>0</v>
      </c>
      <c r="I96" s="116">
        <f>IFERROR(H96/H148, "NA")</f>
        <v>0</v>
      </c>
      <c r="J96" s="115">
        <v>0</v>
      </c>
      <c r="K96" s="116">
        <f>IFERROR(J96/J148, "NA")</f>
        <v>0</v>
      </c>
      <c r="L96" s="115">
        <v>0</v>
      </c>
      <c r="M96" s="116">
        <f>IFERROR(L96/L148, "NA")</f>
        <v>0</v>
      </c>
      <c r="N96" s="115">
        <v>0</v>
      </c>
      <c r="O96" s="116">
        <f>IFERROR(N96/N148, "NA")</f>
        <v>0</v>
      </c>
      <c r="P96" s="115">
        <v>0</v>
      </c>
      <c r="Q96" s="116">
        <f>IFERROR(P96/P148, "NA")</f>
        <v>0</v>
      </c>
      <c r="R96" s="115">
        <v>0</v>
      </c>
      <c r="S96" s="116">
        <f>IFERROR(R96/R148, "NA")</f>
        <v>0</v>
      </c>
      <c r="T96" s="115">
        <v>0</v>
      </c>
      <c r="U96" s="116">
        <f>IFERROR(T96/T148, "NA")</f>
        <v>0</v>
      </c>
      <c r="V96" s="115">
        <v>1750</v>
      </c>
      <c r="W96" s="116">
        <f>IFERROR(V96/V148, "NA")</f>
        <v>5.6907274960994132E-2</v>
      </c>
      <c r="X96" s="115">
        <v>0</v>
      </c>
      <c r="Y96" s="116">
        <f>IFERROR(X96/X148, "NA")</f>
        <v>0</v>
      </c>
      <c r="Z96" s="115">
        <v>1750</v>
      </c>
      <c r="AA96" s="116">
        <f>IFERROR(Z96/Z148, "NA")</f>
        <v>3.0241123711771331E-2</v>
      </c>
      <c r="AB96" s="117">
        <f t="shared" si="36"/>
        <v>437.5</v>
      </c>
      <c r="AC96" s="116">
        <f>IFERROR(AB96/AB148, "NA")</f>
        <v>1.3142345267283763E-2</v>
      </c>
      <c r="AD96" s="118">
        <f t="shared" si="37"/>
        <v>-437.5</v>
      </c>
      <c r="AE96" s="119">
        <f>IFERROR(AD96/AD148, "NA")</f>
        <v>7.0874305431806797E-2</v>
      </c>
      <c r="AF96" s="118">
        <f t="shared" si="38"/>
        <v>-1</v>
      </c>
      <c r="AG96" s="117">
        <f t="shared" si="39"/>
        <v>218.75</v>
      </c>
      <c r="AH96" s="116">
        <f>IFERROR(AG96/AG148, "NA")</f>
        <v>7.4944990377063233E-3</v>
      </c>
      <c r="AI96" s="118">
        <f t="shared" si="40"/>
        <v>-218.75</v>
      </c>
      <c r="AJ96" s="119">
        <f>IFERROR(AI96/AI148, "NA")</f>
        <v>0.10559292539467609</v>
      </c>
      <c r="AK96" s="118">
        <f t="shared" si="41"/>
        <v>-1</v>
      </c>
      <c r="AL96" s="119">
        <f>IFERROR(AK96/AK148, "NA")</f>
        <v>14.089390746922103</v>
      </c>
    </row>
    <row r="97" spans="1:38" ht="16.5" hidden="1" customHeight="1" x14ac:dyDescent="0.25">
      <c r="A97" s="2" t="s">
        <v>97</v>
      </c>
      <c r="B97" s="115">
        <v>584.99</v>
      </c>
      <c r="C97" s="116">
        <f>IFERROR(B97/B148, "NA")</f>
        <v>1.4446130815531363E-2</v>
      </c>
      <c r="D97" s="115">
        <v>31.62</v>
      </c>
      <c r="E97" s="116">
        <f>IFERROR(D97/D148, "NA")</f>
        <v>1.3660942492702932E-3</v>
      </c>
      <c r="F97" s="115">
        <v>0</v>
      </c>
      <c r="G97" s="116">
        <f>IFERROR(F97/F148, "NA")</f>
        <v>0</v>
      </c>
      <c r="H97" s="115">
        <v>661.26</v>
      </c>
      <c r="I97" s="116">
        <f>IFERROR(H97/H148, "NA")</f>
        <v>2.6983100367454282E-2</v>
      </c>
      <c r="J97" s="115">
        <v>700.49</v>
      </c>
      <c r="K97" s="116">
        <f>IFERROR(J97/J148, "NA")</f>
        <v>2.7103711384882066E-2</v>
      </c>
      <c r="L97" s="115">
        <v>200</v>
      </c>
      <c r="M97" s="116">
        <f>IFERROR(L97/L148, "NA")</f>
        <v>7.0251384040079827E-3</v>
      </c>
      <c r="N97" s="115">
        <v>2343.3599999999997</v>
      </c>
      <c r="O97" s="116">
        <f>IFERROR(N97/N148, "NA")</f>
        <v>9.5359012422845515E-2</v>
      </c>
      <c r="P97" s="115">
        <v>177.07</v>
      </c>
      <c r="Q97" s="116">
        <f>IFERROR(P97/P148, "NA")</f>
        <v>8.2514840974744139E-3</v>
      </c>
      <c r="R97" s="115">
        <v>251.81</v>
      </c>
      <c r="S97" s="116">
        <f>IFERROR(R97/R148, "NA")</f>
        <v>5.2450287204950218E-3</v>
      </c>
      <c r="T97" s="115">
        <v>632.67000000000007</v>
      </c>
      <c r="U97" s="116">
        <f>IFERROR(T97/T148, "NA")</f>
        <v>2.3191826060754692E-2</v>
      </c>
      <c r="V97" s="115">
        <v>0</v>
      </c>
      <c r="W97" s="116">
        <f>IFERROR(V97/V148, "NA")</f>
        <v>0</v>
      </c>
      <c r="X97" s="115">
        <v>0</v>
      </c>
      <c r="Y97" s="116">
        <f>IFERROR(X97/X148, "NA")</f>
        <v>0</v>
      </c>
      <c r="Z97" s="115">
        <v>0</v>
      </c>
      <c r="AA97" s="116">
        <f>IFERROR(Z97/Z148, "NA")</f>
        <v>0</v>
      </c>
      <c r="AB97" s="117">
        <f t="shared" si="36"/>
        <v>221.12</v>
      </c>
      <c r="AC97" s="116">
        <f>IFERROR(AB97/AB148, "NA")</f>
        <v>6.6423665954326531E-3</v>
      </c>
      <c r="AD97" s="118">
        <f t="shared" si="37"/>
        <v>-221.12</v>
      </c>
      <c r="AE97" s="119">
        <f>IFERROR(AD97/AD148, "NA")</f>
        <v>3.5821088953328271E-2</v>
      </c>
      <c r="AF97" s="118">
        <f t="shared" si="38"/>
        <v>-1</v>
      </c>
      <c r="AG97" s="117">
        <f t="shared" si="39"/>
        <v>538.17499999999995</v>
      </c>
      <c r="AH97" s="116">
        <f>IFERROR(AG97/AG148, "NA")</f>
        <v>1.8438180661109031E-2</v>
      </c>
      <c r="AI97" s="118">
        <f t="shared" si="40"/>
        <v>-538.17499999999995</v>
      </c>
      <c r="AJ97" s="119">
        <f>IFERROR(AI97/AI148, "NA")</f>
        <v>0.25978273199670765</v>
      </c>
      <c r="AK97" s="118">
        <f t="shared" si="41"/>
        <v>-1</v>
      </c>
      <c r="AL97" s="119">
        <f>IFERROR(AK97/AK148, "NA")</f>
        <v>14.089390746922103</v>
      </c>
    </row>
    <row r="98" spans="1:38" ht="16.5" hidden="1" customHeight="1" x14ac:dyDescent="0.25">
      <c r="A98" s="2" t="s">
        <v>98</v>
      </c>
      <c r="B98" s="115">
        <v>1270.0700000000002</v>
      </c>
      <c r="C98" s="116">
        <f>IFERROR(B98/B148, "NA")</f>
        <v>3.1363950434848319E-2</v>
      </c>
      <c r="D98" s="115">
        <v>226.58</v>
      </c>
      <c r="E98" s="116">
        <f>IFERROR(D98/D148, "NA")</f>
        <v>9.7890460151696095E-3</v>
      </c>
      <c r="F98" s="115">
        <v>369.12</v>
      </c>
      <c r="G98" s="116">
        <f>IFERROR(F98/F148, "NA")</f>
        <v>1.4519678782788958E-2</v>
      </c>
      <c r="H98" s="115">
        <v>2109.83</v>
      </c>
      <c r="I98" s="116">
        <f>IFERROR(H98/H148, "NA")</f>
        <v>8.6092844944902255E-2</v>
      </c>
      <c r="J98" s="115">
        <v>1068.45</v>
      </c>
      <c r="K98" s="116">
        <f>IFERROR(J98/J148, "NA")</f>
        <v>4.1341004766916364E-2</v>
      </c>
      <c r="L98" s="115">
        <v>417.2</v>
      </c>
      <c r="M98" s="116">
        <f>IFERROR(L98/L148, "NA")</f>
        <v>1.4654438710760651E-2</v>
      </c>
      <c r="N98" s="115">
        <v>788.34000000000015</v>
      </c>
      <c r="O98" s="116">
        <f>IFERROR(N98/N148, "NA")</f>
        <v>3.2080142979920311E-2</v>
      </c>
      <c r="P98" s="115">
        <v>518.96</v>
      </c>
      <c r="Q98" s="116">
        <f>IFERROR(P98/P148, "NA")</f>
        <v>2.4183600763682849E-2</v>
      </c>
      <c r="R98" s="115">
        <v>2006.97</v>
      </c>
      <c r="S98" s="116">
        <f>IFERROR(R98/R148, "NA")</f>
        <v>4.1803801640808123E-2</v>
      </c>
      <c r="T98" s="115">
        <v>1089.45</v>
      </c>
      <c r="U98" s="116">
        <f>IFERROR(T98/T148, "NA")</f>
        <v>3.9936040750927333E-2</v>
      </c>
      <c r="V98" s="115">
        <v>628.4</v>
      </c>
      <c r="W98" s="116">
        <f>IFERROR(V98/V148, "NA")</f>
        <v>2.0434589477422119E-2</v>
      </c>
      <c r="X98" s="115">
        <v>0</v>
      </c>
      <c r="Y98" s="116">
        <f>IFERROR(X98/X148, "NA")</f>
        <v>0</v>
      </c>
      <c r="Z98" s="115">
        <v>628.4</v>
      </c>
      <c r="AA98" s="116">
        <f>IFERROR(Z98/Z148, "NA")</f>
        <v>1.0859155508844059E-2</v>
      </c>
      <c r="AB98" s="117">
        <f t="shared" si="36"/>
        <v>931.20500000000004</v>
      </c>
      <c r="AC98" s="116">
        <f>IFERROR(AB98/AB148, "NA")</f>
        <v>2.7973068856276519E-2</v>
      </c>
      <c r="AD98" s="118">
        <f t="shared" si="37"/>
        <v>-931.20500000000004</v>
      </c>
      <c r="AE98" s="119">
        <f>IFERROR(AD98/AD148, "NA")</f>
        <v>0.15085373163343005</v>
      </c>
      <c r="AF98" s="118">
        <f t="shared" si="38"/>
        <v>-1</v>
      </c>
      <c r="AG98" s="117">
        <f t="shared" si="39"/>
        <v>814.72124999999994</v>
      </c>
      <c r="AH98" s="116">
        <f>IFERROR(AG98/AG148, "NA")</f>
        <v>2.7912811995994938E-2</v>
      </c>
      <c r="AI98" s="118">
        <f t="shared" si="40"/>
        <v>-814.72124999999994</v>
      </c>
      <c r="AJ98" s="119">
        <f>IFERROR(AI98/AI148, "NA")</f>
        <v>0.39327451505694738</v>
      </c>
      <c r="AK98" s="118">
        <f t="shared" si="41"/>
        <v>-1</v>
      </c>
      <c r="AL98" s="119">
        <f>IFERROR(AK98/AK148, "NA")</f>
        <v>14.089390746922103</v>
      </c>
    </row>
    <row r="99" spans="1:38" ht="16.5" hidden="1" customHeight="1" x14ac:dyDescent="0.25">
      <c r="A99" s="120" t="s">
        <v>99</v>
      </c>
      <c r="B99" s="121">
        <f>IFERROR(B90+B91+B92+B93+B94+B95+B96+B97+B98, "NA")</f>
        <v>9736.119999999999</v>
      </c>
      <c r="C99" s="122">
        <f>IFERROR(B99/B148, "NA")</f>
        <v>0.24043020078242566</v>
      </c>
      <c r="D99" s="121">
        <f>IFERROR(D90+D91+D92+D93+D94+D95+D96+D97+D98, "NA")</f>
        <v>4784.3999999999996</v>
      </c>
      <c r="E99" s="122">
        <f>IFERROR(D99/D148, "NA")</f>
        <v>0.20670276173968344</v>
      </c>
      <c r="F99" s="121">
        <f>IFERROR(F90+F91+F92+F93+F94+F95+F96+F97+F98, "NA")</f>
        <v>4287.1200000000008</v>
      </c>
      <c r="G99" s="122">
        <f>IFERROR(F99/F148, "NA")</f>
        <v>0.16863785571973941</v>
      </c>
      <c r="H99" s="121">
        <f>IFERROR(H90+H91+H92+H93+H94+H95+H96+H97+H98, "NA")</f>
        <v>9386.6</v>
      </c>
      <c r="I99" s="122">
        <f>IFERROR(H99/H148, "NA")</f>
        <v>0.38302569323586239</v>
      </c>
      <c r="J99" s="121">
        <f>IFERROR(J90+J91+J92+J93+J94+J95+J96+J97+J98, "NA")</f>
        <v>8649.6299999999992</v>
      </c>
      <c r="K99" s="122">
        <f>IFERROR(J99/J148, "NA")</f>
        <v>0.3346758342103634</v>
      </c>
      <c r="L99" s="121">
        <f>IFERROR(L90+L91+L92+L93+L94+L95+L96+L97+L98, "NA")</f>
        <v>6982</v>
      </c>
      <c r="M99" s="122">
        <f>IFERROR(L99/L148, "NA")</f>
        <v>0.24524758168391866</v>
      </c>
      <c r="N99" s="121">
        <f>IFERROR(N90+N91+N92+N93+N94+N95+N96+N97+N98, "NA")</f>
        <v>8463.23</v>
      </c>
      <c r="O99" s="122">
        <f>IFERROR(N99/N148, "NA")</f>
        <v>0.34439661627210455</v>
      </c>
      <c r="P99" s="121">
        <f>IFERROR(P90+P91+P92+P93+P94+P95+P96+P97+P98, "NA")</f>
        <v>4474.09</v>
      </c>
      <c r="Q99" s="122">
        <f>IFERROR(P99/P148, "NA")</f>
        <v>0.20849315234466201</v>
      </c>
      <c r="R99" s="121">
        <f>IFERROR(R90+R91+R92+R93+R94+R95+R96+R97+R98, "NA")</f>
        <v>8262.68</v>
      </c>
      <c r="S99" s="122">
        <f>IFERROR(R99/R148, "NA")</f>
        <v>0.17210592870918473</v>
      </c>
      <c r="T99" s="121">
        <f>IFERROR(T90+T91+T92+T93+T94+T95+T96+T97+T98, "NA")</f>
        <v>8601.1</v>
      </c>
      <c r="U99" s="122">
        <f>IFERROR(T99/T148, "NA")</f>
        <v>0.31529109192969029</v>
      </c>
      <c r="V99" s="121">
        <f>IFERROR(V90+V91+V92+V93+V94+V95+V96+V97+V98, "NA")</f>
        <v>5923.61</v>
      </c>
      <c r="W99" s="122">
        <f>IFERROR(V99/V148, "NA")</f>
        <v>0.19262657316096823</v>
      </c>
      <c r="X99" s="121">
        <f>IFERROR(X90+X91+X92+X93+X94+X95+X96+X97+X98, "NA")</f>
        <v>2692.6099999999997</v>
      </c>
      <c r="Y99" s="122">
        <f>IFERROR(X99/X148, "NA")</f>
        <v>9.929806420016786E-2</v>
      </c>
      <c r="Z99" s="121">
        <f>IFERROR(Z90+Z91+Z92+Z93+Z94+Z95+Z96+Z97+Z98, "NA")</f>
        <v>8616.2199999999993</v>
      </c>
      <c r="AA99" s="122">
        <f>IFERROR(Z99/Z148, "NA")</f>
        <v>0.14889381425590764</v>
      </c>
      <c r="AB99" s="121">
        <f t="shared" si="36"/>
        <v>6370</v>
      </c>
      <c r="AC99" s="122">
        <f>IFERROR(AB99/AB148, "NA")</f>
        <v>0.19135254709165159</v>
      </c>
      <c r="AD99" s="123">
        <f t="shared" si="37"/>
        <v>-3677.3900000000003</v>
      </c>
      <c r="AE99" s="124">
        <f>IFERROR(AD99/AD148, "NA")</f>
        <v>0.59573134183285026</v>
      </c>
      <c r="AF99" s="123">
        <f t="shared" si="38"/>
        <v>-0.57729827315541604</v>
      </c>
      <c r="AG99" s="121">
        <f t="shared" si="39"/>
        <v>6756.1187500000005</v>
      </c>
      <c r="AH99" s="122">
        <f>IFERROR(AG99/AG148, "NA")</f>
        <v>0.23146845929373555</v>
      </c>
      <c r="AI99" s="123">
        <f t="shared" si="40"/>
        <v>-4063.5087500000009</v>
      </c>
      <c r="AJ99" s="124">
        <f>IFERROR(AI99/AI148, "NA")</f>
        <v>1.9614984058485192</v>
      </c>
      <c r="AK99" s="123">
        <f t="shared" si="41"/>
        <v>-0.60145608749106139</v>
      </c>
      <c r="AL99" s="124">
        <f>IFERROR(AK99/AK148, "NA")</f>
        <v>8.4741498337765311</v>
      </c>
    </row>
    <row r="100" spans="1:38" ht="16.5" hidden="1" customHeight="1" x14ac:dyDescent="0.25">
      <c r="A100" s="8" t="s">
        <v>2</v>
      </c>
      <c r="B100" s="138"/>
      <c r="C100" s="126"/>
      <c r="D100" s="138"/>
      <c r="E100" s="126"/>
      <c r="F100" s="138"/>
      <c r="G100" s="126"/>
      <c r="H100" s="138"/>
      <c r="I100" s="126"/>
      <c r="J100" s="138"/>
      <c r="K100" s="126"/>
      <c r="L100" s="138"/>
      <c r="M100" s="126"/>
      <c r="N100" s="138"/>
      <c r="O100" s="126"/>
      <c r="P100" s="138"/>
      <c r="Q100" s="126"/>
      <c r="R100" s="138"/>
      <c r="S100" s="126"/>
      <c r="T100" s="138"/>
      <c r="U100" s="126"/>
      <c r="V100" s="138"/>
      <c r="W100" s="126"/>
      <c r="X100" s="138"/>
      <c r="Y100" s="126"/>
      <c r="Z100" s="138"/>
      <c r="AA100" s="126"/>
      <c r="AB100" s="138"/>
      <c r="AC100" s="126"/>
      <c r="AD100" s="139"/>
      <c r="AE100" s="128"/>
      <c r="AF100" s="139"/>
      <c r="AG100" s="138"/>
      <c r="AH100" s="126"/>
      <c r="AI100" s="139"/>
      <c r="AJ100" s="128"/>
      <c r="AK100" s="139"/>
      <c r="AL100" s="128"/>
    </row>
    <row r="101" spans="1:38" ht="16.5" hidden="1" customHeight="1" x14ac:dyDescent="0.25">
      <c r="A101" s="135" t="s">
        <v>100</v>
      </c>
      <c r="B101" s="136">
        <f>IFERROR(B87-B99, "NA")</f>
        <v>9314.5699999999961</v>
      </c>
      <c r="C101" s="137">
        <f>IFERROR(B101/B148, "NA")</f>
        <v>0.2300201656616761</v>
      </c>
      <c r="D101" s="136">
        <f>IFERROR(D87-D99, "NA")</f>
        <v>5698.4699999999993</v>
      </c>
      <c r="E101" s="137">
        <f>IFERROR(D101/D148, "NA")</f>
        <v>0.24619377282224184</v>
      </c>
      <c r="F101" s="136">
        <f>IFERROR(F87-F99, "NA")</f>
        <v>6465.7700000000059</v>
      </c>
      <c r="G101" s="137">
        <f>IFERROR(F101/F148, "NA")</f>
        <v>0.2543370813919415</v>
      </c>
      <c r="H101" s="136">
        <f>IFERROR(H87-H99, "NA")</f>
        <v>1086.100000000004</v>
      </c>
      <c r="I101" s="137">
        <f>IFERROR(H101/H148, "NA")</f>
        <v>4.4318944604379823E-2</v>
      </c>
      <c r="J101" s="136">
        <f>IFERROR(J87-J99, "NA")</f>
        <v>3618.7599999999948</v>
      </c>
      <c r="K101" s="137">
        <f>IFERROR(J101/J148, "NA")</f>
        <v>0.14001888194143483</v>
      </c>
      <c r="L101" s="136">
        <f>IFERROR(L87-L99, "NA")</f>
        <v>8426.9</v>
      </c>
      <c r="M101" s="137">
        <f>IFERROR(L101/L148, "NA")</f>
        <v>0.2960006940836743</v>
      </c>
      <c r="N101" s="136">
        <f>IFERROR(N87-N99, "NA")</f>
        <v>2554.2400000000016</v>
      </c>
      <c r="O101" s="137">
        <f>IFERROR(N101/N148, "NA")</f>
        <v>0.10394041201135511</v>
      </c>
      <c r="P101" s="136">
        <f>IFERROR(P87-P99, "NA")</f>
        <v>4907.7799999999988</v>
      </c>
      <c r="Q101" s="137">
        <f>IFERROR(P101/P148, "NA")</f>
        <v>0.22870316046706368</v>
      </c>
      <c r="R101" s="136">
        <f>IFERROR(R87-R99, "NA")</f>
        <v>19880.849999999991</v>
      </c>
      <c r="S101" s="137">
        <f>IFERROR(R101/R148, "NA")</f>
        <v>0.41410440108753982</v>
      </c>
      <c r="T101" s="136">
        <f>IFERROR(T87-T99, "NA")</f>
        <v>4027.8800000000028</v>
      </c>
      <c r="U101" s="137">
        <f>IFERROR(T101/T148, "NA")</f>
        <v>0.14765026372926274</v>
      </c>
      <c r="V101" s="136">
        <f>IFERROR(V87-V99, "NA")</f>
        <v>8271.3099999999977</v>
      </c>
      <c r="W101" s="137">
        <f>IFERROR(V101/V148, "NA")</f>
        <v>0.26897012140435439</v>
      </c>
      <c r="X101" s="136">
        <f>IFERROR(X87-X99, "NA")</f>
        <v>9448.8599999999933</v>
      </c>
      <c r="Y101" s="137">
        <f>IFERROR(X101/X148, "NA")</f>
        <v>0.34845503318282173</v>
      </c>
      <c r="Z101" s="136">
        <f>IFERROR(Z87-Z99, "NA")</f>
        <v>17720.170000000006</v>
      </c>
      <c r="AA101" s="137">
        <f>IFERROR(Z101/Z148, "NA")</f>
        <v>0.30621591609349663</v>
      </c>
      <c r="AB101" s="136">
        <f>IFERROR((R101+T101+V101+X101)/4, "NA")</f>
        <v>10407.224999999997</v>
      </c>
      <c r="AC101" s="137">
        <f>IFERROR(AB101/AB148, "NA")</f>
        <v>0.3126293582269879</v>
      </c>
      <c r="AD101" s="123">
        <f>IFERROR(X101-AB101, "NA")</f>
        <v>-958.36500000000342</v>
      </c>
      <c r="AE101" s="124">
        <f>IFERROR(AD101/AD148, "NA")</f>
        <v>0.15525360851463715</v>
      </c>
      <c r="AF101" s="123">
        <f>IFERROR((X101-AB101)/AB101, "NA")</f>
        <v>-9.2086507210135629E-2</v>
      </c>
      <c r="AG101" s="136">
        <f>IFERROR((J101+L101+N101+P101+R101+T101+V101+X101)/8, "NA")</f>
        <v>7642.0724999999975</v>
      </c>
      <c r="AH101" s="137">
        <f>IFERROR(AG101/AG148, "NA")</f>
        <v>0.26182173713066031</v>
      </c>
      <c r="AI101" s="123">
        <f>IFERROR(X101-AG101, "NA")</f>
        <v>1806.7874999999958</v>
      </c>
      <c r="AJ101" s="124">
        <f>IFERROR(AI101/AI148, "NA")</f>
        <v>-0.8721553265898645</v>
      </c>
      <c r="AK101" s="123">
        <f>IFERROR((X101-AG101)/AG101, "NA")</f>
        <v>0.23642637517505838</v>
      </c>
      <c r="AL101" s="124">
        <f>IFERROR(AK101/AK148, "NA")</f>
        <v>-3.331103582719801</v>
      </c>
    </row>
    <row r="102" spans="1:38" ht="3.75" hidden="1" customHeight="1" x14ac:dyDescent="0.25">
      <c r="A102" s="8" t="s">
        <v>2</v>
      </c>
      <c r="B102" s="138"/>
      <c r="C102" s="126"/>
      <c r="D102" s="138"/>
      <c r="E102" s="126"/>
      <c r="F102" s="138"/>
      <c r="G102" s="126"/>
      <c r="H102" s="138"/>
      <c r="I102" s="126"/>
      <c r="J102" s="138"/>
      <c r="K102" s="126"/>
      <c r="L102" s="138"/>
      <c r="M102" s="126"/>
      <c r="N102" s="138"/>
      <c r="O102" s="126"/>
      <c r="P102" s="138"/>
      <c r="Q102" s="126"/>
      <c r="R102" s="138"/>
      <c r="S102" s="126"/>
      <c r="T102" s="138"/>
      <c r="U102" s="126"/>
      <c r="V102" s="138"/>
      <c r="W102" s="126"/>
      <c r="X102" s="138"/>
      <c r="Y102" s="126"/>
      <c r="Z102" s="138"/>
      <c r="AA102" s="126"/>
      <c r="AB102" s="138"/>
      <c r="AC102" s="126"/>
      <c r="AD102" s="139"/>
      <c r="AE102" s="128"/>
      <c r="AF102" s="139"/>
      <c r="AG102" s="138"/>
      <c r="AH102" s="126"/>
      <c r="AI102" s="139"/>
      <c r="AJ102" s="128"/>
      <c r="AK102" s="139"/>
      <c r="AL102" s="128"/>
    </row>
    <row r="103" spans="1:38" ht="16.5" hidden="1" customHeight="1" x14ac:dyDescent="0.25">
      <c r="A103" s="1" t="s">
        <v>101</v>
      </c>
      <c r="B103" s="111"/>
      <c r="C103" s="112"/>
      <c r="D103" s="111"/>
      <c r="E103" s="112"/>
      <c r="F103" s="111"/>
      <c r="G103" s="112"/>
      <c r="H103" s="111"/>
      <c r="I103" s="112"/>
      <c r="J103" s="111"/>
      <c r="K103" s="112"/>
      <c r="L103" s="111"/>
      <c r="M103" s="112"/>
      <c r="N103" s="111"/>
      <c r="O103" s="112"/>
      <c r="P103" s="111"/>
      <c r="Q103" s="112"/>
      <c r="R103" s="111"/>
      <c r="S103" s="112"/>
      <c r="T103" s="111"/>
      <c r="U103" s="112"/>
      <c r="V103" s="111"/>
      <c r="W103" s="112"/>
      <c r="X103" s="111"/>
      <c r="Y103" s="112"/>
      <c r="Z103" s="111"/>
      <c r="AA103" s="112"/>
      <c r="AB103" s="111"/>
      <c r="AC103" s="112"/>
      <c r="AD103" s="113"/>
      <c r="AE103" s="114"/>
      <c r="AF103" s="113"/>
      <c r="AG103" s="111"/>
      <c r="AH103" s="112"/>
      <c r="AI103" s="113"/>
      <c r="AJ103" s="114"/>
      <c r="AK103" s="113"/>
      <c r="AL103" s="114"/>
    </row>
    <row r="104" spans="1:38" ht="16.5" hidden="1" customHeight="1" x14ac:dyDescent="0.25">
      <c r="A104" s="9" t="s">
        <v>102</v>
      </c>
      <c r="B104" s="140">
        <v>12842.849999999999</v>
      </c>
      <c r="C104" s="137">
        <f>IFERROR(B104/B148, "NA")</f>
        <v>0.31714985067137375</v>
      </c>
      <c r="D104" s="140">
        <v>0</v>
      </c>
      <c r="E104" s="137">
        <f>IFERROR(D104/D148, "NA")</f>
        <v>0</v>
      </c>
      <c r="F104" s="140">
        <v>0</v>
      </c>
      <c r="G104" s="137">
        <f>IFERROR(F104/F148, "NA")</f>
        <v>0</v>
      </c>
      <c r="H104" s="140">
        <v>2799.69</v>
      </c>
      <c r="I104" s="137">
        <f>IFERROR(H104/H148, "NA")</f>
        <v>0.11424298501006877</v>
      </c>
      <c r="J104" s="140">
        <v>12842.849999999999</v>
      </c>
      <c r="K104" s="137">
        <f>IFERROR(J104/J148, "NA")</f>
        <v>0.49692201139107284</v>
      </c>
      <c r="L104" s="140">
        <v>0</v>
      </c>
      <c r="M104" s="137">
        <f>IFERROR(L104/L148, "NA")</f>
        <v>0</v>
      </c>
      <c r="N104" s="140">
        <v>0</v>
      </c>
      <c r="O104" s="137">
        <f>IFERROR(N104/N148, "NA")</f>
        <v>0</v>
      </c>
      <c r="P104" s="140">
        <v>0</v>
      </c>
      <c r="Q104" s="137">
        <f>IFERROR(P104/P148, "NA")</f>
        <v>0</v>
      </c>
      <c r="R104" s="140">
        <v>2328.81</v>
      </c>
      <c r="S104" s="137">
        <f>IFERROR(R104/R148, "NA")</f>
        <v>4.8507506987713001E-2</v>
      </c>
      <c r="T104" s="140">
        <v>13235.319999999998</v>
      </c>
      <c r="U104" s="137">
        <f>IFERROR(T104/T148, "NA")</f>
        <v>0.48516800116716091</v>
      </c>
      <c r="V104" s="140">
        <v>0</v>
      </c>
      <c r="W104" s="137">
        <f>IFERROR(V104/V148, "NA")</f>
        <v>0</v>
      </c>
      <c r="X104" s="140">
        <v>0</v>
      </c>
      <c r="Y104" s="137">
        <f>IFERROR(X104/X148, "NA")</f>
        <v>0</v>
      </c>
      <c r="Z104" s="140">
        <v>0</v>
      </c>
      <c r="AA104" s="137">
        <f>IFERROR(Z104/Z148, "NA")</f>
        <v>0</v>
      </c>
      <c r="AB104" s="136">
        <f>IFERROR((R104+T104+V104+X104)/4, "NA")</f>
        <v>3891.0324999999993</v>
      </c>
      <c r="AC104" s="137">
        <f>IFERROR(AB104/AB148, "NA")</f>
        <v>0.11688524013993667</v>
      </c>
      <c r="AD104" s="123">
        <f>IFERROR(X104-AB104, "NA")</f>
        <v>-3891.0324999999993</v>
      </c>
      <c r="AE104" s="124">
        <f>IFERROR(AD104/AD148, "NA")</f>
        <v>0.63034108765734109</v>
      </c>
      <c r="AF104" s="123">
        <f>IFERROR((X104-AB104)/AB104, "NA")</f>
        <v>-1</v>
      </c>
      <c r="AG104" s="136">
        <f>IFERROR((J104+L104+N104+P104+R104+T104+V104+X104)/8, "NA")</f>
        <v>3550.8724999999995</v>
      </c>
      <c r="AH104" s="137">
        <f>IFERROR(AG104/AG148, "NA")</f>
        <v>0.12165490529951013</v>
      </c>
      <c r="AI104" s="123">
        <f>IFERROR(X104-AG104, "NA")</f>
        <v>-3550.8724999999995</v>
      </c>
      <c r="AJ104" s="124">
        <f>IFERROR(AI104/AI148, "NA")</f>
        <v>1.714043497044603</v>
      </c>
      <c r="AK104" s="123">
        <f>IFERROR((X104-AG104)/AG104, "NA")</f>
        <v>-1</v>
      </c>
      <c r="AL104" s="124">
        <f>IFERROR(AK104/AK148, "NA")</f>
        <v>14.089390746922103</v>
      </c>
    </row>
    <row r="105" spans="1:38" ht="16.5" hidden="1" customHeight="1" x14ac:dyDescent="0.25">
      <c r="A105" s="120" t="s">
        <v>103</v>
      </c>
      <c r="B105" s="121">
        <f>IFERROR(B104, "NA")</f>
        <v>12842.849999999999</v>
      </c>
      <c r="C105" s="122">
        <f>IFERROR(B105/B148, "NA")</f>
        <v>0.31714985067137375</v>
      </c>
      <c r="D105" s="121">
        <f>IFERROR(D104, "NA")</f>
        <v>0</v>
      </c>
      <c r="E105" s="122">
        <f>IFERROR(D105/D148, "NA")</f>
        <v>0</v>
      </c>
      <c r="F105" s="121">
        <f>IFERROR(F104, "NA")</f>
        <v>0</v>
      </c>
      <c r="G105" s="122">
        <f>IFERROR(F105/F148, "NA")</f>
        <v>0</v>
      </c>
      <c r="H105" s="121">
        <f>IFERROR(H104, "NA")</f>
        <v>2799.69</v>
      </c>
      <c r="I105" s="122">
        <f>IFERROR(H105/H148, "NA")</f>
        <v>0.11424298501006877</v>
      </c>
      <c r="J105" s="121">
        <f>IFERROR(J104, "NA")</f>
        <v>12842.849999999999</v>
      </c>
      <c r="K105" s="122">
        <f>IFERROR(J105/J148, "NA")</f>
        <v>0.49692201139107284</v>
      </c>
      <c r="L105" s="121">
        <f>IFERROR(L104, "NA")</f>
        <v>0</v>
      </c>
      <c r="M105" s="122">
        <f>IFERROR(L105/L148, "NA")</f>
        <v>0</v>
      </c>
      <c r="N105" s="121">
        <f>IFERROR(N104, "NA")</f>
        <v>0</v>
      </c>
      <c r="O105" s="122">
        <f>IFERROR(N105/N148, "NA")</f>
        <v>0</v>
      </c>
      <c r="P105" s="121">
        <f>IFERROR(P104, "NA")</f>
        <v>0</v>
      </c>
      <c r="Q105" s="122">
        <f>IFERROR(P105/P148, "NA")</f>
        <v>0</v>
      </c>
      <c r="R105" s="121">
        <f>IFERROR(R104, "NA")</f>
        <v>2328.81</v>
      </c>
      <c r="S105" s="122">
        <f>IFERROR(R105/R148, "NA")</f>
        <v>4.8507506987713001E-2</v>
      </c>
      <c r="T105" s="121">
        <f>IFERROR(T104, "NA")</f>
        <v>13235.319999999998</v>
      </c>
      <c r="U105" s="122">
        <f>IFERROR(T105/T148, "NA")</f>
        <v>0.48516800116716091</v>
      </c>
      <c r="V105" s="121">
        <f>IFERROR(V104, "NA")</f>
        <v>0</v>
      </c>
      <c r="W105" s="122">
        <f>IFERROR(V105/V148, "NA")</f>
        <v>0</v>
      </c>
      <c r="X105" s="121">
        <f>IFERROR(X104, "NA")</f>
        <v>0</v>
      </c>
      <c r="Y105" s="122">
        <f>IFERROR(X105/X148, "NA")</f>
        <v>0</v>
      </c>
      <c r="Z105" s="121">
        <f>IFERROR(Z104, "NA")</f>
        <v>0</v>
      </c>
      <c r="AA105" s="122">
        <f>IFERROR(Z105/Z148, "NA")</f>
        <v>0</v>
      </c>
      <c r="AB105" s="121">
        <f>IFERROR((R105+T105+V105+X105)/4, "NA")</f>
        <v>3891.0324999999993</v>
      </c>
      <c r="AC105" s="122">
        <f>IFERROR(AB105/AB148, "NA")</f>
        <v>0.11688524013993667</v>
      </c>
      <c r="AD105" s="123">
        <f>IFERROR(X105-AB105, "NA")</f>
        <v>-3891.0324999999993</v>
      </c>
      <c r="AE105" s="124">
        <f>IFERROR(AD105/AD148, "NA")</f>
        <v>0.63034108765734109</v>
      </c>
      <c r="AF105" s="123">
        <f>IFERROR((X105-AB105)/AB105, "NA")</f>
        <v>-1</v>
      </c>
      <c r="AG105" s="121">
        <f>IFERROR((J105+L105+N105+P105+R105+T105+V105+X105)/8, "NA")</f>
        <v>3550.8724999999995</v>
      </c>
      <c r="AH105" s="122">
        <f>IFERROR(AG105/AG148, "NA")</f>
        <v>0.12165490529951013</v>
      </c>
      <c r="AI105" s="123">
        <f>IFERROR(X105-AG105, "NA")</f>
        <v>-3550.8724999999995</v>
      </c>
      <c r="AJ105" s="124">
        <f>IFERROR(AI105/AI148, "NA")</f>
        <v>1.714043497044603</v>
      </c>
      <c r="AK105" s="123">
        <f>IFERROR((X105-AG105)/AG105, "NA")</f>
        <v>-1</v>
      </c>
      <c r="AL105" s="124">
        <f>IFERROR(AK105/AK148, "NA")</f>
        <v>14.089390746922103</v>
      </c>
    </row>
    <row r="106" spans="1:38" ht="16.5" hidden="1" customHeight="1" x14ac:dyDescent="0.25">
      <c r="A106" s="8" t="s">
        <v>2</v>
      </c>
      <c r="B106" s="138"/>
      <c r="C106" s="126"/>
      <c r="D106" s="138"/>
      <c r="E106" s="126"/>
      <c r="F106" s="138"/>
      <c r="G106" s="126"/>
      <c r="H106" s="138"/>
      <c r="I106" s="126"/>
      <c r="J106" s="138"/>
      <c r="K106" s="126"/>
      <c r="L106" s="138"/>
      <c r="M106" s="126"/>
      <c r="N106" s="138"/>
      <c r="O106" s="126"/>
      <c r="P106" s="138"/>
      <c r="Q106" s="126"/>
      <c r="R106" s="138"/>
      <c r="S106" s="126"/>
      <c r="T106" s="138"/>
      <c r="U106" s="126"/>
      <c r="V106" s="138"/>
      <c r="W106" s="126"/>
      <c r="X106" s="138"/>
      <c r="Y106" s="126"/>
      <c r="Z106" s="138"/>
      <c r="AA106" s="126"/>
      <c r="AB106" s="138"/>
      <c r="AC106" s="126"/>
      <c r="AD106" s="139"/>
      <c r="AE106" s="128"/>
      <c r="AF106" s="139"/>
      <c r="AG106" s="138"/>
      <c r="AH106" s="126"/>
      <c r="AI106" s="139"/>
      <c r="AJ106" s="128"/>
      <c r="AK106" s="139"/>
      <c r="AL106" s="128"/>
    </row>
    <row r="107" spans="1:38" ht="16.5" hidden="1" customHeight="1" x14ac:dyDescent="0.25">
      <c r="A107" s="135" t="s">
        <v>104</v>
      </c>
      <c r="B107" s="136">
        <f>IFERROR(B87-B99-B105, "NA")</f>
        <v>-3528.2800000000025</v>
      </c>
      <c r="C107" s="137">
        <f>IFERROR(B107/B148, "NA")</f>
        <v>-8.7129685009697658E-2</v>
      </c>
      <c r="D107" s="136">
        <f>IFERROR(D87-D99-D105, "NA")</f>
        <v>5698.4699999999993</v>
      </c>
      <c r="E107" s="137">
        <f>IFERROR(D107/D148, "NA")</f>
        <v>0.24619377282224184</v>
      </c>
      <c r="F107" s="136">
        <f>IFERROR(F87-F99-F105, "NA")</f>
        <v>6465.7700000000059</v>
      </c>
      <c r="G107" s="137">
        <f>IFERROR(F107/F148, "NA")</f>
        <v>0.2543370813919415</v>
      </c>
      <c r="H107" s="136">
        <f>IFERROR(H87-H99-H105, "NA")</f>
        <v>-1713.5899999999961</v>
      </c>
      <c r="I107" s="137">
        <f>IFERROR(H107/H148, "NA")</f>
        <v>-6.9924040405688948E-2</v>
      </c>
      <c r="J107" s="136">
        <f>IFERROR(J87-J99-J105, "NA")</f>
        <v>-9224.0900000000038</v>
      </c>
      <c r="K107" s="137">
        <f>IFERROR(J107/J148, "NA")</f>
        <v>-0.35690312944963798</v>
      </c>
      <c r="L107" s="136">
        <f>IFERROR(L87-L99-L105, "NA")</f>
        <v>8426.9</v>
      </c>
      <c r="M107" s="137">
        <f>IFERROR(L107/L148, "NA")</f>
        <v>0.2960006940836743</v>
      </c>
      <c r="N107" s="136">
        <f>IFERROR(N87-N99-N105, "NA")</f>
        <v>2554.2400000000016</v>
      </c>
      <c r="O107" s="137">
        <f>IFERROR(N107/N148, "NA")</f>
        <v>0.10394041201135511</v>
      </c>
      <c r="P107" s="136">
        <f>IFERROR(P87-P99-P105, "NA")</f>
        <v>4907.7799999999988</v>
      </c>
      <c r="Q107" s="137">
        <f>IFERROR(P107/P148, "NA")</f>
        <v>0.22870316046706368</v>
      </c>
      <c r="R107" s="136">
        <f>IFERROR(R87-R99-R105, "NA")</f>
        <v>17552.03999999999</v>
      </c>
      <c r="S107" s="137">
        <f>IFERROR(R107/R148, "NA")</f>
        <v>0.36559689409982676</v>
      </c>
      <c r="T107" s="136">
        <f>IFERROR(T87-T99-T105, "NA")</f>
        <v>-9207.4399999999951</v>
      </c>
      <c r="U107" s="137">
        <f>IFERROR(T107/T148, "NA")</f>
        <v>-0.3375177374378982</v>
      </c>
      <c r="V107" s="136">
        <f>IFERROR(V87-V99-V105, "NA")</f>
        <v>8271.3099999999977</v>
      </c>
      <c r="W107" s="137">
        <f>IFERROR(V107/V148, "NA")</f>
        <v>0.26897012140435439</v>
      </c>
      <c r="X107" s="136">
        <f>IFERROR(X87-X99-X105, "NA")</f>
        <v>9448.8599999999933</v>
      </c>
      <c r="Y107" s="137">
        <f>IFERROR(X107/X148, "NA")</f>
        <v>0.34845503318282173</v>
      </c>
      <c r="Z107" s="136">
        <f>IFERROR(Z87-Z99-Z105, "NA")</f>
        <v>17720.170000000006</v>
      </c>
      <c r="AA107" s="137">
        <f>IFERROR(Z107/Z148, "NA")</f>
        <v>0.30621591609349663</v>
      </c>
      <c r="AB107" s="136">
        <f>IFERROR((R107+T107+V107+X107)/4, "NA")</f>
        <v>6516.1924999999965</v>
      </c>
      <c r="AC107" s="137">
        <f>IFERROR(AB107/AB148, "NA")</f>
        <v>0.19574411808705119</v>
      </c>
      <c r="AD107" s="123">
        <f>IFERROR(X107-AB107, "NA")</f>
        <v>2932.6674999999968</v>
      </c>
      <c r="AE107" s="124">
        <f>IFERROR(AD107/AD148, "NA")</f>
        <v>-0.47508747914270405</v>
      </c>
      <c r="AF107" s="123">
        <f>IFERROR((X107-AB107)/AB107, "NA")</f>
        <v>0.45005845054454707</v>
      </c>
      <c r="AG107" s="136">
        <f>IFERROR((J107+L107+N107+P107+R107+T107+V107+X107)/8, "NA")</f>
        <v>4091.199999999998</v>
      </c>
      <c r="AH107" s="137">
        <f>IFERROR(AG107/AG148, "NA")</f>
        <v>0.14016683183115014</v>
      </c>
      <c r="AI107" s="123">
        <f>IFERROR(X107-AG107, "NA")</f>
        <v>5357.6599999999953</v>
      </c>
      <c r="AJ107" s="124">
        <f>IFERROR(AI107/AI148, "NA")</f>
        <v>-2.5861988236344673</v>
      </c>
      <c r="AK107" s="123">
        <f>IFERROR((X107-AG107)/AG107, "NA")</f>
        <v>1.309557098161908</v>
      </c>
      <c r="AL107" s="124">
        <f>IFERROR(AK107/AK148, "NA")</f>
        <v>-18.450861661408545</v>
      </c>
    </row>
    <row r="108" spans="1:38" ht="3.75" hidden="1" customHeight="1" x14ac:dyDescent="0.25">
      <c r="A108" s="8" t="s">
        <v>2</v>
      </c>
      <c r="B108" s="138"/>
      <c r="C108" s="126"/>
      <c r="D108" s="138"/>
      <c r="E108" s="126"/>
      <c r="F108" s="138"/>
      <c r="G108" s="126"/>
      <c r="H108" s="138"/>
      <c r="I108" s="126"/>
      <c r="J108" s="138"/>
      <c r="K108" s="126"/>
      <c r="L108" s="138"/>
      <c r="M108" s="126"/>
      <c r="N108" s="138"/>
      <c r="O108" s="126"/>
      <c r="P108" s="138"/>
      <c r="Q108" s="126"/>
      <c r="R108" s="138"/>
      <c r="S108" s="126"/>
      <c r="T108" s="138"/>
      <c r="U108" s="126"/>
      <c r="V108" s="138"/>
      <c r="W108" s="126"/>
      <c r="X108" s="138"/>
      <c r="Y108" s="126"/>
      <c r="Z108" s="138"/>
      <c r="AA108" s="126"/>
      <c r="AB108" s="138"/>
      <c r="AC108" s="126"/>
      <c r="AD108" s="139"/>
      <c r="AE108" s="128"/>
      <c r="AF108" s="139"/>
      <c r="AG108" s="138"/>
      <c r="AH108" s="126"/>
      <c r="AI108" s="139"/>
      <c r="AJ108" s="128"/>
      <c r="AK108" s="139"/>
      <c r="AL108" s="128"/>
    </row>
    <row r="109" spans="1:38" ht="16.5" hidden="1" customHeight="1" x14ac:dyDescent="0.25">
      <c r="A109" s="1" t="s">
        <v>105</v>
      </c>
      <c r="B109" s="111"/>
      <c r="C109" s="112"/>
      <c r="D109" s="111"/>
      <c r="E109" s="112"/>
      <c r="F109" s="111"/>
      <c r="G109" s="112"/>
      <c r="H109" s="111"/>
      <c r="I109" s="112"/>
      <c r="J109" s="111"/>
      <c r="K109" s="112"/>
      <c r="L109" s="111"/>
      <c r="M109" s="112"/>
      <c r="N109" s="111"/>
      <c r="O109" s="112"/>
      <c r="P109" s="111"/>
      <c r="Q109" s="112"/>
      <c r="R109" s="111"/>
      <c r="S109" s="112"/>
      <c r="T109" s="111"/>
      <c r="U109" s="112"/>
      <c r="V109" s="111"/>
      <c r="W109" s="112"/>
      <c r="X109" s="111"/>
      <c r="Y109" s="112"/>
      <c r="Z109" s="111"/>
      <c r="AA109" s="112"/>
      <c r="AB109" s="111"/>
      <c r="AC109" s="112"/>
      <c r="AD109" s="113"/>
      <c r="AE109" s="114"/>
      <c r="AF109" s="113"/>
      <c r="AG109" s="111"/>
      <c r="AH109" s="112"/>
      <c r="AI109" s="113"/>
      <c r="AJ109" s="114"/>
      <c r="AK109" s="113"/>
      <c r="AL109" s="114"/>
    </row>
    <row r="110" spans="1:38" ht="16.5" hidden="1" customHeight="1" x14ac:dyDescent="0.25">
      <c r="A110" s="2" t="s">
        <v>106</v>
      </c>
      <c r="B110" s="115">
        <v>0</v>
      </c>
      <c r="C110" s="116">
        <f>IFERROR(B110/B148, "NA")</f>
        <v>0</v>
      </c>
      <c r="D110" s="115">
        <v>0</v>
      </c>
      <c r="E110" s="116">
        <f>IFERROR(D110/D148, "NA")</f>
        <v>0</v>
      </c>
      <c r="F110" s="115">
        <v>0</v>
      </c>
      <c r="G110" s="116">
        <f>IFERROR(F110/F148, "NA")</f>
        <v>0</v>
      </c>
      <c r="H110" s="115">
        <v>0</v>
      </c>
      <c r="I110" s="116">
        <f>IFERROR(H110/H148, "NA")</f>
        <v>0</v>
      </c>
      <c r="J110" s="115">
        <v>0</v>
      </c>
      <c r="K110" s="116">
        <f>IFERROR(J110/J148, "NA")</f>
        <v>0</v>
      </c>
      <c r="L110" s="115">
        <v>0</v>
      </c>
      <c r="M110" s="116">
        <f>IFERROR(L110/L148, "NA")</f>
        <v>0</v>
      </c>
      <c r="N110" s="115">
        <v>0</v>
      </c>
      <c r="O110" s="116">
        <f>IFERROR(N110/N148, "NA")</f>
        <v>0</v>
      </c>
      <c r="P110" s="115">
        <v>0</v>
      </c>
      <c r="Q110" s="116">
        <f>IFERROR(P110/P148, "NA")</f>
        <v>0</v>
      </c>
      <c r="R110" s="115">
        <v>0</v>
      </c>
      <c r="S110" s="116">
        <f>IFERROR(R110/R148, "NA")</f>
        <v>0</v>
      </c>
      <c r="T110" s="115">
        <v>0</v>
      </c>
      <c r="U110" s="116">
        <f>IFERROR(T110/T148, "NA")</f>
        <v>0</v>
      </c>
      <c r="V110" s="115">
        <v>0</v>
      </c>
      <c r="W110" s="116">
        <f>IFERROR(V110/V148, "NA")</f>
        <v>0</v>
      </c>
      <c r="X110" s="115">
        <v>0</v>
      </c>
      <c r="Y110" s="116">
        <f>IFERROR(X110/X148, "NA")</f>
        <v>0</v>
      </c>
      <c r="Z110" s="115">
        <v>0</v>
      </c>
      <c r="AA110" s="116">
        <f>IFERROR(Z110/Z148, "NA")</f>
        <v>0</v>
      </c>
      <c r="AB110" s="117">
        <f t="shared" ref="AB110:AB135" si="42">IFERROR((R110+T110+V110+X110)/4, "NA")</f>
        <v>0</v>
      </c>
      <c r="AC110" s="116">
        <f>IFERROR(AB110/AB148, "NA")</f>
        <v>0</v>
      </c>
      <c r="AD110" s="118">
        <f t="shared" ref="AD110:AD135" si="43">IFERROR(X110-AB110, "NA")</f>
        <v>0</v>
      </c>
      <c r="AE110" s="119">
        <f>IFERROR(AD110/AD148, "NA")</f>
        <v>0</v>
      </c>
      <c r="AF110" s="118" t="str">
        <f t="shared" ref="AF110:AF135" si="44">IFERROR((X110-AB110)/AB110, "NA")</f>
        <v>NA</v>
      </c>
      <c r="AG110" s="117">
        <f t="shared" ref="AG110:AG135" si="45">IFERROR((J110+L110+N110+P110+R110+T110+V110+X110)/8, "NA")</f>
        <v>0</v>
      </c>
      <c r="AH110" s="116">
        <f>IFERROR(AG110/AG148, "NA")</f>
        <v>0</v>
      </c>
      <c r="AI110" s="118">
        <f t="shared" ref="AI110:AI135" si="46">IFERROR(X110-AG110, "NA")</f>
        <v>0</v>
      </c>
      <c r="AJ110" s="119">
        <f>IFERROR(AI110/AI148, "NA")</f>
        <v>0</v>
      </c>
      <c r="AK110" s="118" t="str">
        <f t="shared" ref="AK110:AK135" si="47">IFERROR((X110-AG110)/AG110, "NA")</f>
        <v>NA</v>
      </c>
      <c r="AL110" s="119" t="str">
        <f>IFERROR(AK110/AK148, "NA")</f>
        <v>NA</v>
      </c>
    </row>
    <row r="111" spans="1:38" ht="16.5" hidden="1" customHeight="1" x14ac:dyDescent="0.25">
      <c r="A111" s="2" t="s">
        <v>107</v>
      </c>
      <c r="B111" s="115">
        <v>0</v>
      </c>
      <c r="C111" s="116">
        <f>IFERROR(B111/B148, "NA")</f>
        <v>0</v>
      </c>
      <c r="D111" s="115">
        <v>0</v>
      </c>
      <c r="E111" s="116">
        <f>IFERROR(D111/D148, "NA")</f>
        <v>0</v>
      </c>
      <c r="F111" s="115">
        <v>0</v>
      </c>
      <c r="G111" s="116">
        <f>IFERROR(F111/F148, "NA")</f>
        <v>0</v>
      </c>
      <c r="H111" s="115">
        <v>0</v>
      </c>
      <c r="I111" s="116">
        <f>IFERROR(H111/H148, "NA")</f>
        <v>0</v>
      </c>
      <c r="J111" s="115">
        <v>0</v>
      </c>
      <c r="K111" s="116">
        <f>IFERROR(J111/J148, "NA")</f>
        <v>0</v>
      </c>
      <c r="L111" s="115">
        <v>0</v>
      </c>
      <c r="M111" s="116">
        <f>IFERROR(L111/L148, "NA")</f>
        <v>0</v>
      </c>
      <c r="N111" s="115">
        <v>0</v>
      </c>
      <c r="O111" s="116">
        <f>IFERROR(N111/N148, "NA")</f>
        <v>0</v>
      </c>
      <c r="P111" s="115">
        <v>0</v>
      </c>
      <c r="Q111" s="116">
        <f>IFERROR(P111/P148, "NA")</f>
        <v>0</v>
      </c>
      <c r="R111" s="115">
        <v>0</v>
      </c>
      <c r="S111" s="116">
        <f>IFERROR(R111/R148, "NA")</f>
        <v>0</v>
      </c>
      <c r="T111" s="115">
        <v>0</v>
      </c>
      <c r="U111" s="116">
        <f>IFERROR(T111/T148, "NA")</f>
        <v>0</v>
      </c>
      <c r="V111" s="115">
        <v>0</v>
      </c>
      <c r="W111" s="116">
        <f>IFERROR(V111/V148, "NA")</f>
        <v>0</v>
      </c>
      <c r="X111" s="115">
        <v>0</v>
      </c>
      <c r="Y111" s="116">
        <f>IFERROR(X111/X148, "NA")</f>
        <v>0</v>
      </c>
      <c r="Z111" s="115">
        <v>0</v>
      </c>
      <c r="AA111" s="116">
        <f>IFERROR(Z111/Z148, "NA")</f>
        <v>0</v>
      </c>
      <c r="AB111" s="117">
        <f t="shared" si="42"/>
        <v>0</v>
      </c>
      <c r="AC111" s="116">
        <f>IFERROR(AB111/AB148, "NA")</f>
        <v>0</v>
      </c>
      <c r="AD111" s="118">
        <f t="shared" si="43"/>
        <v>0</v>
      </c>
      <c r="AE111" s="119">
        <f>IFERROR(AD111/AD148, "NA")</f>
        <v>0</v>
      </c>
      <c r="AF111" s="118" t="str">
        <f t="shared" si="44"/>
        <v>NA</v>
      </c>
      <c r="AG111" s="117">
        <f t="shared" si="45"/>
        <v>0</v>
      </c>
      <c r="AH111" s="116">
        <f>IFERROR(AG111/AG148, "NA")</f>
        <v>0</v>
      </c>
      <c r="AI111" s="118">
        <f t="shared" si="46"/>
        <v>0</v>
      </c>
      <c r="AJ111" s="119">
        <f>IFERROR(AI111/AI148, "NA")</f>
        <v>0</v>
      </c>
      <c r="AK111" s="118" t="str">
        <f t="shared" si="47"/>
        <v>NA</v>
      </c>
      <c r="AL111" s="119" t="str">
        <f>IFERROR(AK111/AK148, "NA")</f>
        <v>NA</v>
      </c>
    </row>
    <row r="112" spans="1:38" ht="16.5" hidden="1" customHeight="1" x14ac:dyDescent="0.25">
      <c r="A112" s="2" t="s">
        <v>108</v>
      </c>
      <c r="B112" s="115">
        <v>0</v>
      </c>
      <c r="C112" s="116">
        <f>IFERROR(B112/B148, "NA")</f>
        <v>0</v>
      </c>
      <c r="D112" s="115">
        <v>0</v>
      </c>
      <c r="E112" s="116">
        <f>IFERROR(D112/D148, "NA")</f>
        <v>0</v>
      </c>
      <c r="F112" s="115">
        <v>0</v>
      </c>
      <c r="G112" s="116">
        <f>IFERROR(F112/F148, "NA")</f>
        <v>0</v>
      </c>
      <c r="H112" s="115">
        <v>0</v>
      </c>
      <c r="I112" s="116">
        <f>IFERROR(H112/H148, "NA")</f>
        <v>0</v>
      </c>
      <c r="J112" s="115">
        <v>0</v>
      </c>
      <c r="K112" s="116">
        <f>IFERROR(J112/J148, "NA")</f>
        <v>0</v>
      </c>
      <c r="L112" s="115">
        <v>0</v>
      </c>
      <c r="M112" s="116">
        <f>IFERROR(L112/L148, "NA")</f>
        <v>0</v>
      </c>
      <c r="N112" s="115">
        <v>0</v>
      </c>
      <c r="O112" s="116">
        <f>IFERROR(N112/N148, "NA")</f>
        <v>0</v>
      </c>
      <c r="P112" s="115">
        <v>0</v>
      </c>
      <c r="Q112" s="116">
        <f>IFERROR(P112/P148, "NA")</f>
        <v>0</v>
      </c>
      <c r="R112" s="115">
        <v>0</v>
      </c>
      <c r="S112" s="116">
        <f>IFERROR(R112/R148, "NA")</f>
        <v>0</v>
      </c>
      <c r="T112" s="115">
        <v>0</v>
      </c>
      <c r="U112" s="116">
        <f>IFERROR(T112/T148, "NA")</f>
        <v>0</v>
      </c>
      <c r="V112" s="115">
        <v>0</v>
      </c>
      <c r="W112" s="116">
        <f>IFERROR(V112/V148, "NA")</f>
        <v>0</v>
      </c>
      <c r="X112" s="115">
        <v>0</v>
      </c>
      <c r="Y112" s="116">
        <f>IFERROR(X112/X148, "NA")</f>
        <v>0</v>
      </c>
      <c r="Z112" s="115">
        <v>0</v>
      </c>
      <c r="AA112" s="116">
        <f>IFERROR(Z112/Z148, "NA")</f>
        <v>0</v>
      </c>
      <c r="AB112" s="117">
        <f t="shared" si="42"/>
        <v>0</v>
      </c>
      <c r="AC112" s="116">
        <f>IFERROR(AB112/AB148, "NA")</f>
        <v>0</v>
      </c>
      <c r="AD112" s="118">
        <f t="shared" si="43"/>
        <v>0</v>
      </c>
      <c r="AE112" s="119">
        <f>IFERROR(AD112/AD148, "NA")</f>
        <v>0</v>
      </c>
      <c r="AF112" s="118" t="str">
        <f t="shared" si="44"/>
        <v>NA</v>
      </c>
      <c r="AG112" s="117">
        <f t="shared" si="45"/>
        <v>0</v>
      </c>
      <c r="AH112" s="116">
        <f>IFERROR(AG112/AG148, "NA")</f>
        <v>0</v>
      </c>
      <c r="AI112" s="118">
        <f t="shared" si="46"/>
        <v>0</v>
      </c>
      <c r="AJ112" s="119">
        <f>IFERROR(AI112/AI148, "NA")</f>
        <v>0</v>
      </c>
      <c r="AK112" s="118" t="str">
        <f t="shared" si="47"/>
        <v>NA</v>
      </c>
      <c r="AL112" s="119" t="str">
        <f>IFERROR(AK112/AK148, "NA")</f>
        <v>NA</v>
      </c>
    </row>
    <row r="113" spans="1:38" ht="16.5" hidden="1" customHeight="1" x14ac:dyDescent="0.25">
      <c r="A113" s="2" t="s">
        <v>109</v>
      </c>
      <c r="B113" s="115">
        <v>0</v>
      </c>
      <c r="C113" s="116">
        <f>IFERROR(B113/B148, "NA")</f>
        <v>0</v>
      </c>
      <c r="D113" s="115">
        <v>0</v>
      </c>
      <c r="E113" s="116">
        <f>IFERROR(D113/D148, "NA")</f>
        <v>0</v>
      </c>
      <c r="F113" s="115">
        <v>0</v>
      </c>
      <c r="G113" s="116">
        <f>IFERROR(F113/F148, "NA")</f>
        <v>0</v>
      </c>
      <c r="H113" s="115">
        <v>0</v>
      </c>
      <c r="I113" s="116">
        <f>IFERROR(H113/H148, "NA")</f>
        <v>0</v>
      </c>
      <c r="J113" s="115">
        <v>0</v>
      </c>
      <c r="K113" s="116">
        <f>IFERROR(J113/J148, "NA")</f>
        <v>0</v>
      </c>
      <c r="L113" s="115">
        <v>0</v>
      </c>
      <c r="M113" s="116">
        <f>IFERROR(L113/L148, "NA")</f>
        <v>0</v>
      </c>
      <c r="N113" s="115">
        <v>0</v>
      </c>
      <c r="O113" s="116">
        <f>IFERROR(N113/N148, "NA")</f>
        <v>0</v>
      </c>
      <c r="P113" s="115">
        <v>0</v>
      </c>
      <c r="Q113" s="116">
        <f>IFERROR(P113/P148, "NA")</f>
        <v>0</v>
      </c>
      <c r="R113" s="115">
        <v>0</v>
      </c>
      <c r="S113" s="116">
        <f>IFERROR(R113/R148, "NA")</f>
        <v>0</v>
      </c>
      <c r="T113" s="115">
        <v>0</v>
      </c>
      <c r="U113" s="116">
        <f>IFERROR(T113/T148, "NA")</f>
        <v>0</v>
      </c>
      <c r="V113" s="115">
        <v>0</v>
      </c>
      <c r="W113" s="116">
        <f>IFERROR(V113/V148, "NA")</f>
        <v>0</v>
      </c>
      <c r="X113" s="115">
        <v>0</v>
      </c>
      <c r="Y113" s="116">
        <f>IFERROR(X113/X148, "NA")</f>
        <v>0</v>
      </c>
      <c r="Z113" s="115">
        <v>0</v>
      </c>
      <c r="AA113" s="116">
        <f>IFERROR(Z113/Z148, "NA")</f>
        <v>0</v>
      </c>
      <c r="AB113" s="117">
        <f t="shared" si="42"/>
        <v>0</v>
      </c>
      <c r="AC113" s="116">
        <f>IFERROR(AB113/AB148, "NA")</f>
        <v>0</v>
      </c>
      <c r="AD113" s="118">
        <f t="shared" si="43"/>
        <v>0</v>
      </c>
      <c r="AE113" s="119">
        <f>IFERROR(AD113/AD148, "NA")</f>
        <v>0</v>
      </c>
      <c r="AF113" s="118" t="str">
        <f t="shared" si="44"/>
        <v>NA</v>
      </c>
      <c r="AG113" s="117">
        <f t="shared" si="45"/>
        <v>0</v>
      </c>
      <c r="AH113" s="116">
        <f>IFERROR(AG113/AG148, "NA")</f>
        <v>0</v>
      </c>
      <c r="AI113" s="118">
        <f t="shared" si="46"/>
        <v>0</v>
      </c>
      <c r="AJ113" s="119">
        <f>IFERROR(AI113/AI148, "NA")</f>
        <v>0</v>
      </c>
      <c r="AK113" s="118" t="str">
        <f t="shared" si="47"/>
        <v>NA</v>
      </c>
      <c r="AL113" s="119" t="str">
        <f>IFERROR(AK113/AK148, "NA")</f>
        <v>NA</v>
      </c>
    </row>
    <row r="114" spans="1:38" ht="16.5" hidden="1" customHeight="1" x14ac:dyDescent="0.25">
      <c r="A114" s="2" t="s">
        <v>110</v>
      </c>
      <c r="B114" s="115">
        <v>0</v>
      </c>
      <c r="C114" s="116">
        <f>IFERROR(B114/B148, "NA")</f>
        <v>0</v>
      </c>
      <c r="D114" s="115">
        <v>0</v>
      </c>
      <c r="E114" s="116">
        <f>IFERROR(D114/D148, "NA")</f>
        <v>0</v>
      </c>
      <c r="F114" s="115">
        <v>0</v>
      </c>
      <c r="G114" s="116">
        <f>IFERROR(F114/F148, "NA")</f>
        <v>0</v>
      </c>
      <c r="H114" s="115">
        <v>0</v>
      </c>
      <c r="I114" s="116">
        <f>IFERROR(H114/H148, "NA")</f>
        <v>0</v>
      </c>
      <c r="J114" s="115">
        <v>0</v>
      </c>
      <c r="K114" s="116">
        <f>IFERROR(J114/J148, "NA")</f>
        <v>0</v>
      </c>
      <c r="L114" s="115">
        <v>0</v>
      </c>
      <c r="M114" s="116">
        <f>IFERROR(L114/L148, "NA")</f>
        <v>0</v>
      </c>
      <c r="N114" s="115">
        <v>0</v>
      </c>
      <c r="O114" s="116">
        <f>IFERROR(N114/N148, "NA")</f>
        <v>0</v>
      </c>
      <c r="P114" s="115">
        <v>0</v>
      </c>
      <c r="Q114" s="116">
        <f>IFERROR(P114/P148, "NA")</f>
        <v>0</v>
      </c>
      <c r="R114" s="115">
        <v>0</v>
      </c>
      <c r="S114" s="116">
        <f>IFERROR(R114/R148, "NA")</f>
        <v>0</v>
      </c>
      <c r="T114" s="115">
        <v>0</v>
      </c>
      <c r="U114" s="116">
        <f>IFERROR(T114/T148, "NA")</f>
        <v>0</v>
      </c>
      <c r="V114" s="115">
        <v>0</v>
      </c>
      <c r="W114" s="116">
        <f>IFERROR(V114/V148, "NA")</f>
        <v>0</v>
      </c>
      <c r="X114" s="115">
        <v>0</v>
      </c>
      <c r="Y114" s="116">
        <f>IFERROR(X114/X148, "NA")</f>
        <v>0</v>
      </c>
      <c r="Z114" s="115">
        <v>0</v>
      </c>
      <c r="AA114" s="116">
        <f>IFERROR(Z114/Z148, "NA")</f>
        <v>0</v>
      </c>
      <c r="AB114" s="117">
        <f t="shared" si="42"/>
        <v>0</v>
      </c>
      <c r="AC114" s="116">
        <f>IFERROR(AB114/AB148, "NA")</f>
        <v>0</v>
      </c>
      <c r="AD114" s="118">
        <f t="shared" si="43"/>
        <v>0</v>
      </c>
      <c r="AE114" s="119">
        <f>IFERROR(AD114/AD148, "NA")</f>
        <v>0</v>
      </c>
      <c r="AF114" s="118" t="str">
        <f t="shared" si="44"/>
        <v>NA</v>
      </c>
      <c r="AG114" s="117">
        <f t="shared" si="45"/>
        <v>0</v>
      </c>
      <c r="AH114" s="116">
        <f>IFERROR(AG114/AG148, "NA")</f>
        <v>0</v>
      </c>
      <c r="AI114" s="118">
        <f t="shared" si="46"/>
        <v>0</v>
      </c>
      <c r="AJ114" s="119">
        <f>IFERROR(AI114/AI148, "NA")</f>
        <v>0</v>
      </c>
      <c r="AK114" s="118" t="str">
        <f t="shared" si="47"/>
        <v>NA</v>
      </c>
      <c r="AL114" s="119" t="str">
        <f>IFERROR(AK114/AK148, "NA")</f>
        <v>NA</v>
      </c>
    </row>
    <row r="115" spans="1:38" ht="16.5" hidden="1" customHeight="1" x14ac:dyDescent="0.25">
      <c r="A115" s="2" t="s">
        <v>111</v>
      </c>
      <c r="B115" s="115">
        <v>0</v>
      </c>
      <c r="C115" s="116">
        <f>IFERROR(B115/B148, "NA")</f>
        <v>0</v>
      </c>
      <c r="D115" s="115">
        <v>0</v>
      </c>
      <c r="E115" s="116">
        <f>IFERROR(D115/D148, "NA")</f>
        <v>0</v>
      </c>
      <c r="F115" s="115">
        <v>0</v>
      </c>
      <c r="G115" s="116">
        <f>IFERROR(F115/F148, "NA")</f>
        <v>0</v>
      </c>
      <c r="H115" s="115">
        <v>0</v>
      </c>
      <c r="I115" s="116">
        <f>IFERROR(H115/H148, "NA")</f>
        <v>0</v>
      </c>
      <c r="J115" s="115">
        <v>0</v>
      </c>
      <c r="K115" s="116">
        <f>IFERROR(J115/J148, "NA")</f>
        <v>0</v>
      </c>
      <c r="L115" s="115">
        <v>0</v>
      </c>
      <c r="M115" s="116">
        <f>IFERROR(L115/L148, "NA")</f>
        <v>0</v>
      </c>
      <c r="N115" s="115">
        <v>0</v>
      </c>
      <c r="O115" s="116">
        <f>IFERROR(N115/N148, "NA")</f>
        <v>0</v>
      </c>
      <c r="P115" s="115">
        <v>0</v>
      </c>
      <c r="Q115" s="116">
        <f>IFERROR(P115/P148, "NA")</f>
        <v>0</v>
      </c>
      <c r="R115" s="115">
        <v>0</v>
      </c>
      <c r="S115" s="116">
        <f>IFERROR(R115/R148, "NA")</f>
        <v>0</v>
      </c>
      <c r="T115" s="115">
        <v>0</v>
      </c>
      <c r="U115" s="116">
        <f>IFERROR(T115/T148, "NA")</f>
        <v>0</v>
      </c>
      <c r="V115" s="115">
        <v>0</v>
      </c>
      <c r="W115" s="116">
        <f>IFERROR(V115/V148, "NA")</f>
        <v>0</v>
      </c>
      <c r="X115" s="115">
        <v>0</v>
      </c>
      <c r="Y115" s="116">
        <f>IFERROR(X115/X148, "NA")</f>
        <v>0</v>
      </c>
      <c r="Z115" s="115">
        <v>0</v>
      </c>
      <c r="AA115" s="116">
        <f>IFERROR(Z115/Z148, "NA")</f>
        <v>0</v>
      </c>
      <c r="AB115" s="117">
        <f t="shared" si="42"/>
        <v>0</v>
      </c>
      <c r="AC115" s="116">
        <f>IFERROR(AB115/AB148, "NA")</f>
        <v>0</v>
      </c>
      <c r="AD115" s="118">
        <f t="shared" si="43"/>
        <v>0</v>
      </c>
      <c r="AE115" s="119">
        <f>IFERROR(AD115/AD148, "NA")</f>
        <v>0</v>
      </c>
      <c r="AF115" s="118" t="str">
        <f t="shared" si="44"/>
        <v>NA</v>
      </c>
      <c r="AG115" s="117">
        <f t="shared" si="45"/>
        <v>0</v>
      </c>
      <c r="AH115" s="116">
        <f>IFERROR(AG115/AG148, "NA")</f>
        <v>0</v>
      </c>
      <c r="AI115" s="118">
        <f t="shared" si="46"/>
        <v>0</v>
      </c>
      <c r="AJ115" s="119">
        <f>IFERROR(AI115/AI148, "NA")</f>
        <v>0</v>
      </c>
      <c r="AK115" s="118" t="str">
        <f t="shared" si="47"/>
        <v>NA</v>
      </c>
      <c r="AL115" s="119" t="str">
        <f>IFERROR(AK115/AK148, "NA")</f>
        <v>NA</v>
      </c>
    </row>
    <row r="116" spans="1:38" ht="16.5" hidden="1" customHeight="1" x14ac:dyDescent="0.25">
      <c r="A116" s="2" t="s">
        <v>112</v>
      </c>
      <c r="B116" s="115">
        <v>0</v>
      </c>
      <c r="C116" s="116">
        <f>IFERROR(B116/B148, "NA")</f>
        <v>0</v>
      </c>
      <c r="D116" s="115">
        <v>0</v>
      </c>
      <c r="E116" s="116">
        <f>IFERROR(D116/D148, "NA")</f>
        <v>0</v>
      </c>
      <c r="F116" s="115">
        <v>0</v>
      </c>
      <c r="G116" s="116">
        <f>IFERROR(F116/F148, "NA")</f>
        <v>0</v>
      </c>
      <c r="H116" s="115">
        <v>0</v>
      </c>
      <c r="I116" s="116">
        <f>IFERROR(H116/H148, "NA")</f>
        <v>0</v>
      </c>
      <c r="J116" s="115">
        <v>0</v>
      </c>
      <c r="K116" s="116">
        <f>IFERROR(J116/J148, "NA")</f>
        <v>0</v>
      </c>
      <c r="L116" s="115">
        <v>0</v>
      </c>
      <c r="M116" s="116">
        <f>IFERROR(L116/L148, "NA")</f>
        <v>0</v>
      </c>
      <c r="N116" s="115">
        <v>0</v>
      </c>
      <c r="O116" s="116">
        <f>IFERROR(N116/N148, "NA")</f>
        <v>0</v>
      </c>
      <c r="P116" s="115">
        <v>0</v>
      </c>
      <c r="Q116" s="116">
        <f>IFERROR(P116/P148, "NA")</f>
        <v>0</v>
      </c>
      <c r="R116" s="115">
        <v>0</v>
      </c>
      <c r="S116" s="116">
        <f>IFERROR(R116/R148, "NA")</f>
        <v>0</v>
      </c>
      <c r="T116" s="115">
        <v>0</v>
      </c>
      <c r="U116" s="116">
        <f>IFERROR(T116/T148, "NA")</f>
        <v>0</v>
      </c>
      <c r="V116" s="115">
        <v>0</v>
      </c>
      <c r="W116" s="116">
        <f>IFERROR(V116/V148, "NA")</f>
        <v>0</v>
      </c>
      <c r="X116" s="115">
        <v>0</v>
      </c>
      <c r="Y116" s="116">
        <f>IFERROR(X116/X148, "NA")</f>
        <v>0</v>
      </c>
      <c r="Z116" s="115">
        <v>0</v>
      </c>
      <c r="AA116" s="116">
        <f>IFERROR(Z116/Z148, "NA")</f>
        <v>0</v>
      </c>
      <c r="AB116" s="117">
        <f t="shared" si="42"/>
        <v>0</v>
      </c>
      <c r="AC116" s="116">
        <f>IFERROR(AB116/AB148, "NA")</f>
        <v>0</v>
      </c>
      <c r="AD116" s="118">
        <f t="shared" si="43"/>
        <v>0</v>
      </c>
      <c r="AE116" s="119">
        <f>IFERROR(AD116/AD148, "NA")</f>
        <v>0</v>
      </c>
      <c r="AF116" s="118" t="str">
        <f t="shared" si="44"/>
        <v>NA</v>
      </c>
      <c r="AG116" s="117">
        <f t="shared" si="45"/>
        <v>0</v>
      </c>
      <c r="AH116" s="116">
        <f>IFERROR(AG116/AG148, "NA")</f>
        <v>0</v>
      </c>
      <c r="AI116" s="118">
        <f t="shared" si="46"/>
        <v>0</v>
      </c>
      <c r="AJ116" s="119">
        <f>IFERROR(AI116/AI148, "NA")</f>
        <v>0</v>
      </c>
      <c r="AK116" s="118" t="str">
        <f t="shared" si="47"/>
        <v>NA</v>
      </c>
      <c r="AL116" s="119" t="str">
        <f>IFERROR(AK116/AK148, "NA")</f>
        <v>NA</v>
      </c>
    </row>
    <row r="117" spans="1:38" ht="16.5" hidden="1" customHeight="1" x14ac:dyDescent="0.25">
      <c r="A117" s="2" t="s">
        <v>113</v>
      </c>
      <c r="B117" s="115">
        <v>0</v>
      </c>
      <c r="C117" s="116">
        <f>IFERROR(B117/B148, "NA")</f>
        <v>0</v>
      </c>
      <c r="D117" s="115">
        <v>0</v>
      </c>
      <c r="E117" s="116">
        <f>IFERROR(D117/D148, "NA")</f>
        <v>0</v>
      </c>
      <c r="F117" s="115">
        <v>0</v>
      </c>
      <c r="G117" s="116">
        <f>IFERROR(F117/F148, "NA")</f>
        <v>0</v>
      </c>
      <c r="H117" s="115">
        <v>0</v>
      </c>
      <c r="I117" s="116">
        <f>IFERROR(H117/H148, "NA")</f>
        <v>0</v>
      </c>
      <c r="J117" s="115">
        <v>0</v>
      </c>
      <c r="K117" s="116">
        <f>IFERROR(J117/J148, "NA")</f>
        <v>0</v>
      </c>
      <c r="L117" s="115">
        <v>0</v>
      </c>
      <c r="M117" s="116">
        <f>IFERROR(L117/L148, "NA")</f>
        <v>0</v>
      </c>
      <c r="N117" s="115">
        <v>0</v>
      </c>
      <c r="O117" s="116">
        <f>IFERROR(N117/N148, "NA")</f>
        <v>0</v>
      </c>
      <c r="P117" s="115">
        <v>0</v>
      </c>
      <c r="Q117" s="116">
        <f>IFERROR(P117/P148, "NA")</f>
        <v>0</v>
      </c>
      <c r="R117" s="115">
        <v>0</v>
      </c>
      <c r="S117" s="116">
        <f>IFERROR(R117/R148, "NA")</f>
        <v>0</v>
      </c>
      <c r="T117" s="115">
        <v>0</v>
      </c>
      <c r="U117" s="116">
        <f>IFERROR(T117/T148, "NA")</f>
        <v>0</v>
      </c>
      <c r="V117" s="115">
        <v>0</v>
      </c>
      <c r="W117" s="116">
        <f>IFERROR(V117/V148, "NA")</f>
        <v>0</v>
      </c>
      <c r="X117" s="115">
        <v>0</v>
      </c>
      <c r="Y117" s="116">
        <f>IFERROR(X117/X148, "NA")</f>
        <v>0</v>
      </c>
      <c r="Z117" s="115">
        <v>0</v>
      </c>
      <c r="AA117" s="116">
        <f>IFERROR(Z117/Z148, "NA")</f>
        <v>0</v>
      </c>
      <c r="AB117" s="117">
        <f t="shared" si="42"/>
        <v>0</v>
      </c>
      <c r="AC117" s="116">
        <f>IFERROR(AB117/AB148, "NA")</f>
        <v>0</v>
      </c>
      <c r="AD117" s="118">
        <f t="shared" si="43"/>
        <v>0</v>
      </c>
      <c r="AE117" s="119">
        <f>IFERROR(AD117/AD148, "NA")</f>
        <v>0</v>
      </c>
      <c r="AF117" s="118" t="str">
        <f t="shared" si="44"/>
        <v>NA</v>
      </c>
      <c r="AG117" s="117">
        <f t="shared" si="45"/>
        <v>0</v>
      </c>
      <c r="AH117" s="116">
        <f>IFERROR(AG117/AG148, "NA")</f>
        <v>0</v>
      </c>
      <c r="AI117" s="118">
        <f t="shared" si="46"/>
        <v>0</v>
      </c>
      <c r="AJ117" s="119">
        <f>IFERROR(AI117/AI148, "NA")</f>
        <v>0</v>
      </c>
      <c r="AK117" s="118" t="str">
        <f t="shared" si="47"/>
        <v>NA</v>
      </c>
      <c r="AL117" s="119" t="str">
        <f>IFERROR(AK117/AK148, "NA")</f>
        <v>NA</v>
      </c>
    </row>
    <row r="118" spans="1:38" ht="16.5" hidden="1" customHeight="1" x14ac:dyDescent="0.25">
      <c r="A118" s="2" t="s">
        <v>114</v>
      </c>
      <c r="B118" s="115">
        <v>0</v>
      </c>
      <c r="C118" s="116">
        <f>IFERROR(B118/B148, "NA")</f>
        <v>0</v>
      </c>
      <c r="D118" s="115">
        <v>0</v>
      </c>
      <c r="E118" s="116">
        <f>IFERROR(D118/D148, "NA")</f>
        <v>0</v>
      </c>
      <c r="F118" s="115">
        <v>0</v>
      </c>
      <c r="G118" s="116">
        <f>IFERROR(F118/F148, "NA")</f>
        <v>0</v>
      </c>
      <c r="H118" s="115">
        <v>0</v>
      </c>
      <c r="I118" s="116">
        <f>IFERROR(H118/H148, "NA")</f>
        <v>0</v>
      </c>
      <c r="J118" s="115">
        <v>0</v>
      </c>
      <c r="K118" s="116">
        <f>IFERROR(J118/J148, "NA")</f>
        <v>0</v>
      </c>
      <c r="L118" s="115">
        <v>0</v>
      </c>
      <c r="M118" s="116">
        <f>IFERROR(L118/L148, "NA")</f>
        <v>0</v>
      </c>
      <c r="N118" s="115">
        <v>0</v>
      </c>
      <c r="O118" s="116">
        <f>IFERROR(N118/N148, "NA")</f>
        <v>0</v>
      </c>
      <c r="P118" s="115">
        <v>0</v>
      </c>
      <c r="Q118" s="116">
        <f>IFERROR(P118/P148, "NA")</f>
        <v>0</v>
      </c>
      <c r="R118" s="115">
        <v>0</v>
      </c>
      <c r="S118" s="116">
        <f>IFERROR(R118/R148, "NA")</f>
        <v>0</v>
      </c>
      <c r="T118" s="115">
        <v>0</v>
      </c>
      <c r="U118" s="116">
        <f>IFERROR(T118/T148, "NA")</f>
        <v>0</v>
      </c>
      <c r="V118" s="115">
        <v>0</v>
      </c>
      <c r="W118" s="116">
        <f>IFERROR(V118/V148, "NA")</f>
        <v>0</v>
      </c>
      <c r="X118" s="115">
        <v>0</v>
      </c>
      <c r="Y118" s="116">
        <f>IFERROR(X118/X148, "NA")</f>
        <v>0</v>
      </c>
      <c r="Z118" s="115">
        <v>0</v>
      </c>
      <c r="AA118" s="116">
        <f>IFERROR(Z118/Z148, "NA")</f>
        <v>0</v>
      </c>
      <c r="AB118" s="117">
        <f t="shared" si="42"/>
        <v>0</v>
      </c>
      <c r="AC118" s="116">
        <f>IFERROR(AB118/AB148, "NA")</f>
        <v>0</v>
      </c>
      <c r="AD118" s="118">
        <f t="shared" si="43"/>
        <v>0</v>
      </c>
      <c r="AE118" s="119">
        <f>IFERROR(AD118/AD148, "NA")</f>
        <v>0</v>
      </c>
      <c r="AF118" s="118" t="str">
        <f t="shared" si="44"/>
        <v>NA</v>
      </c>
      <c r="AG118" s="117">
        <f t="shared" si="45"/>
        <v>0</v>
      </c>
      <c r="AH118" s="116">
        <f>IFERROR(AG118/AG148, "NA")</f>
        <v>0</v>
      </c>
      <c r="AI118" s="118">
        <f t="shared" si="46"/>
        <v>0</v>
      </c>
      <c r="AJ118" s="119">
        <f>IFERROR(AI118/AI148, "NA")</f>
        <v>0</v>
      </c>
      <c r="AK118" s="118" t="str">
        <f t="shared" si="47"/>
        <v>NA</v>
      </c>
      <c r="AL118" s="119" t="str">
        <f>IFERROR(AK118/AK148, "NA")</f>
        <v>NA</v>
      </c>
    </row>
    <row r="119" spans="1:38" ht="16.5" hidden="1" customHeight="1" x14ac:dyDescent="0.25">
      <c r="A119" s="2" t="s">
        <v>115</v>
      </c>
      <c r="B119" s="115">
        <v>0</v>
      </c>
      <c r="C119" s="116">
        <f>IFERROR(B119/B148, "NA")</f>
        <v>0</v>
      </c>
      <c r="D119" s="115">
        <v>0</v>
      </c>
      <c r="E119" s="116">
        <f>IFERROR(D119/D148, "NA")</f>
        <v>0</v>
      </c>
      <c r="F119" s="115">
        <v>0</v>
      </c>
      <c r="G119" s="116">
        <f>IFERROR(F119/F148, "NA")</f>
        <v>0</v>
      </c>
      <c r="H119" s="115">
        <v>0</v>
      </c>
      <c r="I119" s="116">
        <f>IFERROR(H119/H148, "NA")</f>
        <v>0</v>
      </c>
      <c r="J119" s="115">
        <v>0</v>
      </c>
      <c r="K119" s="116">
        <f>IFERROR(J119/J148, "NA")</f>
        <v>0</v>
      </c>
      <c r="L119" s="115">
        <v>0</v>
      </c>
      <c r="M119" s="116">
        <f>IFERROR(L119/L148, "NA")</f>
        <v>0</v>
      </c>
      <c r="N119" s="115">
        <v>0</v>
      </c>
      <c r="O119" s="116">
        <f>IFERROR(N119/N148, "NA")</f>
        <v>0</v>
      </c>
      <c r="P119" s="115">
        <v>0</v>
      </c>
      <c r="Q119" s="116">
        <f>IFERROR(P119/P148, "NA")</f>
        <v>0</v>
      </c>
      <c r="R119" s="115">
        <v>0</v>
      </c>
      <c r="S119" s="116">
        <f>IFERROR(R119/R148, "NA")</f>
        <v>0</v>
      </c>
      <c r="T119" s="115">
        <v>0</v>
      </c>
      <c r="U119" s="116">
        <f>IFERROR(T119/T148, "NA")</f>
        <v>0</v>
      </c>
      <c r="V119" s="115">
        <v>0</v>
      </c>
      <c r="W119" s="116">
        <f>IFERROR(V119/V148, "NA")</f>
        <v>0</v>
      </c>
      <c r="X119" s="115">
        <v>0</v>
      </c>
      <c r="Y119" s="116">
        <f>IFERROR(X119/X148, "NA")</f>
        <v>0</v>
      </c>
      <c r="Z119" s="115">
        <v>0</v>
      </c>
      <c r="AA119" s="116">
        <f>IFERROR(Z119/Z148, "NA")</f>
        <v>0</v>
      </c>
      <c r="AB119" s="117">
        <f t="shared" si="42"/>
        <v>0</v>
      </c>
      <c r="AC119" s="116">
        <f>IFERROR(AB119/AB148, "NA")</f>
        <v>0</v>
      </c>
      <c r="AD119" s="118">
        <f t="shared" si="43"/>
        <v>0</v>
      </c>
      <c r="AE119" s="119">
        <f>IFERROR(AD119/AD148, "NA")</f>
        <v>0</v>
      </c>
      <c r="AF119" s="118" t="str">
        <f t="shared" si="44"/>
        <v>NA</v>
      </c>
      <c r="AG119" s="117">
        <f t="shared" si="45"/>
        <v>0</v>
      </c>
      <c r="AH119" s="116">
        <f>IFERROR(AG119/AG148, "NA")</f>
        <v>0</v>
      </c>
      <c r="AI119" s="118">
        <f t="shared" si="46"/>
        <v>0</v>
      </c>
      <c r="AJ119" s="119">
        <f>IFERROR(AI119/AI148, "NA")</f>
        <v>0</v>
      </c>
      <c r="AK119" s="118" t="str">
        <f t="shared" si="47"/>
        <v>NA</v>
      </c>
      <c r="AL119" s="119" t="str">
        <f>IFERROR(AK119/AK148, "NA")</f>
        <v>NA</v>
      </c>
    </row>
    <row r="120" spans="1:38" ht="16.5" hidden="1" customHeight="1" x14ac:dyDescent="0.25">
      <c r="A120" s="2" t="s">
        <v>116</v>
      </c>
      <c r="B120" s="115">
        <v>0</v>
      </c>
      <c r="C120" s="116">
        <f>IFERROR(B120/B148, "NA")</f>
        <v>0</v>
      </c>
      <c r="D120" s="115">
        <v>0</v>
      </c>
      <c r="E120" s="116">
        <f>IFERROR(D120/D148, "NA")</f>
        <v>0</v>
      </c>
      <c r="F120" s="115">
        <v>0</v>
      </c>
      <c r="G120" s="116">
        <f>IFERROR(F120/F148, "NA")</f>
        <v>0</v>
      </c>
      <c r="H120" s="115">
        <v>0</v>
      </c>
      <c r="I120" s="116">
        <f>IFERROR(H120/H148, "NA")</f>
        <v>0</v>
      </c>
      <c r="J120" s="115">
        <v>0</v>
      </c>
      <c r="K120" s="116">
        <f>IFERROR(J120/J148, "NA")</f>
        <v>0</v>
      </c>
      <c r="L120" s="115">
        <v>0</v>
      </c>
      <c r="M120" s="116">
        <f>IFERROR(L120/L148, "NA")</f>
        <v>0</v>
      </c>
      <c r="N120" s="115">
        <v>0</v>
      </c>
      <c r="O120" s="116">
        <f>IFERROR(N120/N148, "NA")</f>
        <v>0</v>
      </c>
      <c r="P120" s="115">
        <v>0</v>
      </c>
      <c r="Q120" s="116">
        <f>IFERROR(P120/P148, "NA")</f>
        <v>0</v>
      </c>
      <c r="R120" s="115">
        <v>0</v>
      </c>
      <c r="S120" s="116">
        <f>IFERROR(R120/R148, "NA")</f>
        <v>0</v>
      </c>
      <c r="T120" s="115">
        <v>0</v>
      </c>
      <c r="U120" s="116">
        <f>IFERROR(T120/T148, "NA")</f>
        <v>0</v>
      </c>
      <c r="V120" s="115">
        <v>0</v>
      </c>
      <c r="W120" s="116">
        <f>IFERROR(V120/V148, "NA")</f>
        <v>0</v>
      </c>
      <c r="X120" s="115">
        <v>0</v>
      </c>
      <c r="Y120" s="116">
        <f>IFERROR(X120/X148, "NA")</f>
        <v>0</v>
      </c>
      <c r="Z120" s="115">
        <v>0</v>
      </c>
      <c r="AA120" s="116">
        <f>IFERROR(Z120/Z148, "NA")</f>
        <v>0</v>
      </c>
      <c r="AB120" s="117">
        <f t="shared" si="42"/>
        <v>0</v>
      </c>
      <c r="AC120" s="116">
        <f>IFERROR(AB120/AB148, "NA")</f>
        <v>0</v>
      </c>
      <c r="AD120" s="118">
        <f t="shared" si="43"/>
        <v>0</v>
      </c>
      <c r="AE120" s="119">
        <f>IFERROR(AD120/AD148, "NA")</f>
        <v>0</v>
      </c>
      <c r="AF120" s="118" t="str">
        <f t="shared" si="44"/>
        <v>NA</v>
      </c>
      <c r="AG120" s="117">
        <f t="shared" si="45"/>
        <v>0</v>
      </c>
      <c r="AH120" s="116">
        <f>IFERROR(AG120/AG148, "NA")</f>
        <v>0</v>
      </c>
      <c r="AI120" s="118">
        <f t="shared" si="46"/>
        <v>0</v>
      </c>
      <c r="AJ120" s="119">
        <f>IFERROR(AI120/AI148, "NA")</f>
        <v>0</v>
      </c>
      <c r="AK120" s="118" t="str">
        <f t="shared" si="47"/>
        <v>NA</v>
      </c>
      <c r="AL120" s="119" t="str">
        <f>IFERROR(AK120/AK148, "NA")</f>
        <v>NA</v>
      </c>
    </row>
    <row r="121" spans="1:38" ht="16.5" hidden="1" customHeight="1" x14ac:dyDescent="0.25">
      <c r="A121" s="2" t="s">
        <v>117</v>
      </c>
      <c r="B121" s="115">
        <v>0</v>
      </c>
      <c r="C121" s="116">
        <f>IFERROR(B121/B148, "NA")</f>
        <v>0</v>
      </c>
      <c r="D121" s="115">
        <v>0</v>
      </c>
      <c r="E121" s="116">
        <f>IFERROR(D121/D148, "NA")</f>
        <v>0</v>
      </c>
      <c r="F121" s="115">
        <v>0</v>
      </c>
      <c r="G121" s="116">
        <f>IFERROR(F121/F148, "NA")</f>
        <v>0</v>
      </c>
      <c r="H121" s="115">
        <v>0</v>
      </c>
      <c r="I121" s="116">
        <f>IFERROR(H121/H148, "NA")</f>
        <v>0</v>
      </c>
      <c r="J121" s="115">
        <v>0</v>
      </c>
      <c r="K121" s="116">
        <f>IFERROR(J121/J148, "NA")</f>
        <v>0</v>
      </c>
      <c r="L121" s="115">
        <v>0</v>
      </c>
      <c r="M121" s="116">
        <f>IFERROR(L121/L148, "NA")</f>
        <v>0</v>
      </c>
      <c r="N121" s="115">
        <v>0</v>
      </c>
      <c r="O121" s="116">
        <f>IFERROR(N121/N148, "NA")</f>
        <v>0</v>
      </c>
      <c r="P121" s="115">
        <v>0</v>
      </c>
      <c r="Q121" s="116">
        <f>IFERROR(P121/P148, "NA")</f>
        <v>0</v>
      </c>
      <c r="R121" s="115">
        <v>0</v>
      </c>
      <c r="S121" s="116">
        <f>IFERROR(R121/R148, "NA")</f>
        <v>0</v>
      </c>
      <c r="T121" s="115">
        <v>0</v>
      </c>
      <c r="U121" s="116">
        <f>IFERROR(T121/T148, "NA")</f>
        <v>0</v>
      </c>
      <c r="V121" s="115">
        <v>0</v>
      </c>
      <c r="W121" s="116">
        <f>IFERROR(V121/V148, "NA")</f>
        <v>0</v>
      </c>
      <c r="X121" s="115">
        <v>0</v>
      </c>
      <c r="Y121" s="116">
        <f>IFERROR(X121/X148, "NA")</f>
        <v>0</v>
      </c>
      <c r="Z121" s="115">
        <v>0</v>
      </c>
      <c r="AA121" s="116">
        <f>IFERROR(Z121/Z148, "NA")</f>
        <v>0</v>
      </c>
      <c r="AB121" s="117">
        <f t="shared" si="42"/>
        <v>0</v>
      </c>
      <c r="AC121" s="116">
        <f>IFERROR(AB121/AB148, "NA")</f>
        <v>0</v>
      </c>
      <c r="AD121" s="118">
        <f t="shared" si="43"/>
        <v>0</v>
      </c>
      <c r="AE121" s="119">
        <f>IFERROR(AD121/AD148, "NA")</f>
        <v>0</v>
      </c>
      <c r="AF121" s="118" t="str">
        <f t="shared" si="44"/>
        <v>NA</v>
      </c>
      <c r="AG121" s="117">
        <f t="shared" si="45"/>
        <v>0</v>
      </c>
      <c r="AH121" s="116">
        <f>IFERROR(AG121/AG148, "NA")</f>
        <v>0</v>
      </c>
      <c r="AI121" s="118">
        <f t="shared" si="46"/>
        <v>0</v>
      </c>
      <c r="AJ121" s="119">
        <f>IFERROR(AI121/AI148, "NA")</f>
        <v>0</v>
      </c>
      <c r="AK121" s="118" t="str">
        <f t="shared" si="47"/>
        <v>NA</v>
      </c>
      <c r="AL121" s="119" t="str">
        <f>IFERROR(AK121/AK148, "NA")</f>
        <v>NA</v>
      </c>
    </row>
    <row r="122" spans="1:38" ht="16.5" hidden="1" customHeight="1" x14ac:dyDescent="0.25">
      <c r="A122" s="2" t="s">
        <v>118</v>
      </c>
      <c r="B122" s="115">
        <v>0</v>
      </c>
      <c r="C122" s="116">
        <f>IFERROR(B122/B148, "NA")</f>
        <v>0</v>
      </c>
      <c r="D122" s="115">
        <v>0</v>
      </c>
      <c r="E122" s="116">
        <f>IFERROR(D122/D148, "NA")</f>
        <v>0</v>
      </c>
      <c r="F122" s="115">
        <v>0</v>
      </c>
      <c r="G122" s="116">
        <f>IFERROR(F122/F148, "NA")</f>
        <v>0</v>
      </c>
      <c r="H122" s="115">
        <v>0</v>
      </c>
      <c r="I122" s="116">
        <f>IFERROR(H122/H148, "NA")</f>
        <v>0</v>
      </c>
      <c r="J122" s="115">
        <v>0</v>
      </c>
      <c r="K122" s="116">
        <f>IFERROR(J122/J148, "NA")</f>
        <v>0</v>
      </c>
      <c r="L122" s="115">
        <v>0</v>
      </c>
      <c r="M122" s="116">
        <f>IFERROR(L122/L148, "NA")</f>
        <v>0</v>
      </c>
      <c r="N122" s="115">
        <v>0</v>
      </c>
      <c r="O122" s="116">
        <f>IFERROR(N122/N148, "NA")</f>
        <v>0</v>
      </c>
      <c r="P122" s="115">
        <v>0</v>
      </c>
      <c r="Q122" s="116">
        <f>IFERROR(P122/P148, "NA")</f>
        <v>0</v>
      </c>
      <c r="R122" s="115">
        <v>0</v>
      </c>
      <c r="S122" s="116">
        <f>IFERROR(R122/R148, "NA")</f>
        <v>0</v>
      </c>
      <c r="T122" s="115">
        <v>0</v>
      </c>
      <c r="U122" s="116">
        <f>IFERROR(T122/T148, "NA")</f>
        <v>0</v>
      </c>
      <c r="V122" s="115">
        <v>0</v>
      </c>
      <c r="W122" s="116">
        <f>IFERROR(V122/V148, "NA")</f>
        <v>0</v>
      </c>
      <c r="X122" s="115">
        <v>0</v>
      </c>
      <c r="Y122" s="116">
        <f>IFERROR(X122/X148, "NA")</f>
        <v>0</v>
      </c>
      <c r="Z122" s="115">
        <v>0</v>
      </c>
      <c r="AA122" s="116">
        <f>IFERROR(Z122/Z148, "NA")</f>
        <v>0</v>
      </c>
      <c r="AB122" s="117">
        <f t="shared" si="42"/>
        <v>0</v>
      </c>
      <c r="AC122" s="116">
        <f>IFERROR(AB122/AB148, "NA")</f>
        <v>0</v>
      </c>
      <c r="AD122" s="118">
        <f t="shared" si="43"/>
        <v>0</v>
      </c>
      <c r="AE122" s="119">
        <f>IFERROR(AD122/AD148, "NA")</f>
        <v>0</v>
      </c>
      <c r="AF122" s="118" t="str">
        <f t="shared" si="44"/>
        <v>NA</v>
      </c>
      <c r="AG122" s="117">
        <f t="shared" si="45"/>
        <v>0</v>
      </c>
      <c r="AH122" s="116">
        <f>IFERROR(AG122/AG148, "NA")</f>
        <v>0</v>
      </c>
      <c r="AI122" s="118">
        <f t="shared" si="46"/>
        <v>0</v>
      </c>
      <c r="AJ122" s="119">
        <f>IFERROR(AI122/AI148, "NA")</f>
        <v>0</v>
      </c>
      <c r="AK122" s="118" t="str">
        <f t="shared" si="47"/>
        <v>NA</v>
      </c>
      <c r="AL122" s="119" t="str">
        <f>IFERROR(AK122/AK148, "NA")</f>
        <v>NA</v>
      </c>
    </row>
    <row r="123" spans="1:38" ht="16.5" hidden="1" customHeight="1" x14ac:dyDescent="0.25">
      <c r="A123" s="2" t="s">
        <v>119</v>
      </c>
      <c r="B123" s="115">
        <v>0</v>
      </c>
      <c r="C123" s="116">
        <f>IFERROR(B123/B148, "NA")</f>
        <v>0</v>
      </c>
      <c r="D123" s="115">
        <v>0</v>
      </c>
      <c r="E123" s="116">
        <f>IFERROR(D123/D148, "NA")</f>
        <v>0</v>
      </c>
      <c r="F123" s="115">
        <v>0</v>
      </c>
      <c r="G123" s="116">
        <f>IFERROR(F123/F148, "NA")</f>
        <v>0</v>
      </c>
      <c r="H123" s="115">
        <v>0</v>
      </c>
      <c r="I123" s="116">
        <f>IFERROR(H123/H148, "NA")</f>
        <v>0</v>
      </c>
      <c r="J123" s="115">
        <v>0</v>
      </c>
      <c r="K123" s="116">
        <f>IFERROR(J123/J148, "NA")</f>
        <v>0</v>
      </c>
      <c r="L123" s="115">
        <v>0</v>
      </c>
      <c r="M123" s="116">
        <f>IFERROR(L123/L148, "NA")</f>
        <v>0</v>
      </c>
      <c r="N123" s="115">
        <v>0</v>
      </c>
      <c r="O123" s="116">
        <f>IFERROR(N123/N148, "NA")</f>
        <v>0</v>
      </c>
      <c r="P123" s="115">
        <v>0</v>
      </c>
      <c r="Q123" s="116">
        <f>IFERROR(P123/P148, "NA")</f>
        <v>0</v>
      </c>
      <c r="R123" s="115">
        <v>0</v>
      </c>
      <c r="S123" s="116">
        <f>IFERROR(R123/R148, "NA")</f>
        <v>0</v>
      </c>
      <c r="T123" s="115">
        <v>0</v>
      </c>
      <c r="U123" s="116">
        <f>IFERROR(T123/T148, "NA")</f>
        <v>0</v>
      </c>
      <c r="V123" s="115">
        <v>0</v>
      </c>
      <c r="W123" s="116">
        <f>IFERROR(V123/V148, "NA")</f>
        <v>0</v>
      </c>
      <c r="X123" s="115">
        <v>0</v>
      </c>
      <c r="Y123" s="116">
        <f>IFERROR(X123/X148, "NA")</f>
        <v>0</v>
      </c>
      <c r="Z123" s="115">
        <v>0</v>
      </c>
      <c r="AA123" s="116">
        <f>IFERROR(Z123/Z148, "NA")</f>
        <v>0</v>
      </c>
      <c r="AB123" s="117">
        <f t="shared" si="42"/>
        <v>0</v>
      </c>
      <c r="AC123" s="116">
        <f>IFERROR(AB123/AB148, "NA")</f>
        <v>0</v>
      </c>
      <c r="AD123" s="118">
        <f t="shared" si="43"/>
        <v>0</v>
      </c>
      <c r="AE123" s="119">
        <f>IFERROR(AD123/AD148, "NA")</f>
        <v>0</v>
      </c>
      <c r="AF123" s="118" t="str">
        <f t="shared" si="44"/>
        <v>NA</v>
      </c>
      <c r="AG123" s="117">
        <f t="shared" si="45"/>
        <v>0</v>
      </c>
      <c r="AH123" s="116">
        <f>IFERROR(AG123/AG148, "NA")</f>
        <v>0</v>
      </c>
      <c r="AI123" s="118">
        <f t="shared" si="46"/>
        <v>0</v>
      </c>
      <c r="AJ123" s="119">
        <f>IFERROR(AI123/AI148, "NA")</f>
        <v>0</v>
      </c>
      <c r="AK123" s="118" t="str">
        <f t="shared" si="47"/>
        <v>NA</v>
      </c>
      <c r="AL123" s="119" t="str">
        <f>IFERROR(AK123/AK148, "NA")</f>
        <v>NA</v>
      </c>
    </row>
    <row r="124" spans="1:38" ht="16.5" hidden="1" customHeight="1" x14ac:dyDescent="0.25">
      <c r="A124" s="2" t="s">
        <v>120</v>
      </c>
      <c r="B124" s="115">
        <v>0</v>
      </c>
      <c r="C124" s="116">
        <f>IFERROR(B124/B148, "NA")</f>
        <v>0</v>
      </c>
      <c r="D124" s="115">
        <v>0</v>
      </c>
      <c r="E124" s="116">
        <f>IFERROR(D124/D148, "NA")</f>
        <v>0</v>
      </c>
      <c r="F124" s="115">
        <v>0</v>
      </c>
      <c r="G124" s="116">
        <f>IFERROR(F124/F148, "NA")</f>
        <v>0</v>
      </c>
      <c r="H124" s="115">
        <v>0</v>
      </c>
      <c r="I124" s="116">
        <f>IFERROR(H124/H148, "NA")</f>
        <v>0</v>
      </c>
      <c r="J124" s="115">
        <v>0</v>
      </c>
      <c r="K124" s="116">
        <f>IFERROR(J124/J148, "NA")</f>
        <v>0</v>
      </c>
      <c r="L124" s="115">
        <v>0</v>
      </c>
      <c r="M124" s="116">
        <f>IFERROR(L124/L148, "NA")</f>
        <v>0</v>
      </c>
      <c r="N124" s="115">
        <v>0</v>
      </c>
      <c r="O124" s="116">
        <f>IFERROR(N124/N148, "NA")</f>
        <v>0</v>
      </c>
      <c r="P124" s="115">
        <v>0</v>
      </c>
      <c r="Q124" s="116">
        <f>IFERROR(P124/P148, "NA")</f>
        <v>0</v>
      </c>
      <c r="R124" s="115">
        <v>0</v>
      </c>
      <c r="S124" s="116">
        <f>IFERROR(R124/R148, "NA")</f>
        <v>0</v>
      </c>
      <c r="T124" s="115">
        <v>0</v>
      </c>
      <c r="U124" s="116">
        <f>IFERROR(T124/T148, "NA")</f>
        <v>0</v>
      </c>
      <c r="V124" s="115">
        <v>0</v>
      </c>
      <c r="W124" s="116">
        <f>IFERROR(V124/V148, "NA")</f>
        <v>0</v>
      </c>
      <c r="X124" s="115">
        <v>0</v>
      </c>
      <c r="Y124" s="116">
        <f>IFERROR(X124/X148, "NA")</f>
        <v>0</v>
      </c>
      <c r="Z124" s="115">
        <v>0</v>
      </c>
      <c r="AA124" s="116">
        <f>IFERROR(Z124/Z148, "NA")</f>
        <v>0</v>
      </c>
      <c r="AB124" s="117">
        <f t="shared" si="42"/>
        <v>0</v>
      </c>
      <c r="AC124" s="116">
        <f>IFERROR(AB124/AB148, "NA")</f>
        <v>0</v>
      </c>
      <c r="AD124" s="118">
        <f t="shared" si="43"/>
        <v>0</v>
      </c>
      <c r="AE124" s="119">
        <f>IFERROR(AD124/AD148, "NA")</f>
        <v>0</v>
      </c>
      <c r="AF124" s="118" t="str">
        <f t="shared" si="44"/>
        <v>NA</v>
      </c>
      <c r="AG124" s="117">
        <f t="shared" si="45"/>
        <v>0</v>
      </c>
      <c r="AH124" s="116">
        <f>IFERROR(AG124/AG148, "NA")</f>
        <v>0</v>
      </c>
      <c r="AI124" s="118">
        <f t="shared" si="46"/>
        <v>0</v>
      </c>
      <c r="AJ124" s="119">
        <f>IFERROR(AI124/AI148, "NA")</f>
        <v>0</v>
      </c>
      <c r="AK124" s="118" t="str">
        <f t="shared" si="47"/>
        <v>NA</v>
      </c>
      <c r="AL124" s="119" t="str">
        <f>IFERROR(AK124/AK148, "NA")</f>
        <v>NA</v>
      </c>
    </row>
    <row r="125" spans="1:38" ht="16.5" hidden="1" customHeight="1" x14ac:dyDescent="0.25">
      <c r="A125" s="2" t="s">
        <v>121</v>
      </c>
      <c r="B125" s="115">
        <v>0</v>
      </c>
      <c r="C125" s="116">
        <f>IFERROR(B125/B148, "NA")</f>
        <v>0</v>
      </c>
      <c r="D125" s="115">
        <v>0</v>
      </c>
      <c r="E125" s="116">
        <f>IFERROR(D125/D148, "NA")</f>
        <v>0</v>
      </c>
      <c r="F125" s="115">
        <v>0</v>
      </c>
      <c r="G125" s="116">
        <f>IFERROR(F125/F148, "NA")</f>
        <v>0</v>
      </c>
      <c r="H125" s="115">
        <v>0</v>
      </c>
      <c r="I125" s="116">
        <f>IFERROR(H125/H148, "NA")</f>
        <v>0</v>
      </c>
      <c r="J125" s="115">
        <v>0</v>
      </c>
      <c r="K125" s="116">
        <f>IFERROR(J125/J148, "NA")</f>
        <v>0</v>
      </c>
      <c r="L125" s="115">
        <v>0</v>
      </c>
      <c r="M125" s="116">
        <f>IFERROR(L125/L148, "NA")</f>
        <v>0</v>
      </c>
      <c r="N125" s="115">
        <v>0</v>
      </c>
      <c r="O125" s="116">
        <f>IFERROR(N125/N148, "NA")</f>
        <v>0</v>
      </c>
      <c r="P125" s="115">
        <v>0</v>
      </c>
      <c r="Q125" s="116">
        <f>IFERROR(P125/P148, "NA")</f>
        <v>0</v>
      </c>
      <c r="R125" s="115">
        <v>0</v>
      </c>
      <c r="S125" s="116">
        <f>IFERROR(R125/R148, "NA")</f>
        <v>0</v>
      </c>
      <c r="T125" s="115">
        <v>0</v>
      </c>
      <c r="U125" s="116">
        <f>IFERROR(T125/T148, "NA")</f>
        <v>0</v>
      </c>
      <c r="V125" s="115">
        <v>0</v>
      </c>
      <c r="W125" s="116">
        <f>IFERROR(V125/V148, "NA")</f>
        <v>0</v>
      </c>
      <c r="X125" s="115">
        <v>0</v>
      </c>
      <c r="Y125" s="116">
        <f>IFERROR(X125/X148, "NA")</f>
        <v>0</v>
      </c>
      <c r="Z125" s="115">
        <v>0</v>
      </c>
      <c r="AA125" s="116">
        <f>IFERROR(Z125/Z148, "NA")</f>
        <v>0</v>
      </c>
      <c r="AB125" s="117">
        <f t="shared" si="42"/>
        <v>0</v>
      </c>
      <c r="AC125" s="116">
        <f>IFERROR(AB125/AB148, "NA")</f>
        <v>0</v>
      </c>
      <c r="AD125" s="118">
        <f t="shared" si="43"/>
        <v>0</v>
      </c>
      <c r="AE125" s="119">
        <f>IFERROR(AD125/AD148, "NA")</f>
        <v>0</v>
      </c>
      <c r="AF125" s="118" t="str">
        <f t="shared" si="44"/>
        <v>NA</v>
      </c>
      <c r="AG125" s="117">
        <f t="shared" si="45"/>
        <v>0</v>
      </c>
      <c r="AH125" s="116">
        <f>IFERROR(AG125/AG148, "NA")</f>
        <v>0</v>
      </c>
      <c r="AI125" s="118">
        <f t="shared" si="46"/>
        <v>0</v>
      </c>
      <c r="AJ125" s="119">
        <f>IFERROR(AI125/AI148, "NA")</f>
        <v>0</v>
      </c>
      <c r="AK125" s="118" t="str">
        <f t="shared" si="47"/>
        <v>NA</v>
      </c>
      <c r="AL125" s="119" t="str">
        <f>IFERROR(AK125/AK148, "NA")</f>
        <v>NA</v>
      </c>
    </row>
    <row r="126" spans="1:38" ht="16.5" hidden="1" customHeight="1" x14ac:dyDescent="0.25">
      <c r="A126" s="2" t="s">
        <v>122</v>
      </c>
      <c r="B126" s="115">
        <v>0</v>
      </c>
      <c r="C126" s="116">
        <f>IFERROR(B126/B148, "NA")</f>
        <v>0</v>
      </c>
      <c r="D126" s="115">
        <v>0</v>
      </c>
      <c r="E126" s="116">
        <f>IFERROR(D126/D148, "NA")</f>
        <v>0</v>
      </c>
      <c r="F126" s="115">
        <v>0</v>
      </c>
      <c r="G126" s="116">
        <f>IFERROR(F126/F148, "NA")</f>
        <v>0</v>
      </c>
      <c r="H126" s="115">
        <v>0</v>
      </c>
      <c r="I126" s="116">
        <f>IFERROR(H126/H148, "NA")</f>
        <v>0</v>
      </c>
      <c r="J126" s="115">
        <v>0</v>
      </c>
      <c r="K126" s="116">
        <f>IFERROR(J126/J148, "NA")</f>
        <v>0</v>
      </c>
      <c r="L126" s="115">
        <v>0</v>
      </c>
      <c r="M126" s="116">
        <f>IFERROR(L126/L148, "NA")</f>
        <v>0</v>
      </c>
      <c r="N126" s="115">
        <v>0</v>
      </c>
      <c r="O126" s="116">
        <f>IFERROR(N126/N148, "NA")</f>
        <v>0</v>
      </c>
      <c r="P126" s="115">
        <v>0</v>
      </c>
      <c r="Q126" s="116">
        <f>IFERROR(P126/P148, "NA")</f>
        <v>0</v>
      </c>
      <c r="R126" s="115">
        <v>0</v>
      </c>
      <c r="S126" s="116">
        <f>IFERROR(R126/R148, "NA")</f>
        <v>0</v>
      </c>
      <c r="T126" s="115">
        <v>0</v>
      </c>
      <c r="U126" s="116">
        <f>IFERROR(T126/T148, "NA")</f>
        <v>0</v>
      </c>
      <c r="V126" s="115">
        <v>0</v>
      </c>
      <c r="W126" s="116">
        <f>IFERROR(V126/V148, "NA")</f>
        <v>0</v>
      </c>
      <c r="X126" s="115">
        <v>0</v>
      </c>
      <c r="Y126" s="116">
        <f>IFERROR(X126/X148, "NA")</f>
        <v>0</v>
      </c>
      <c r="Z126" s="115">
        <v>0</v>
      </c>
      <c r="AA126" s="116">
        <f>IFERROR(Z126/Z148, "NA")</f>
        <v>0</v>
      </c>
      <c r="AB126" s="117">
        <f t="shared" si="42"/>
        <v>0</v>
      </c>
      <c r="AC126" s="116">
        <f>IFERROR(AB126/AB148, "NA")</f>
        <v>0</v>
      </c>
      <c r="AD126" s="118">
        <f t="shared" si="43"/>
        <v>0</v>
      </c>
      <c r="AE126" s="119">
        <f>IFERROR(AD126/AD148, "NA")</f>
        <v>0</v>
      </c>
      <c r="AF126" s="118" t="str">
        <f t="shared" si="44"/>
        <v>NA</v>
      </c>
      <c r="AG126" s="117">
        <f t="shared" si="45"/>
        <v>0</v>
      </c>
      <c r="AH126" s="116">
        <f>IFERROR(AG126/AG148, "NA")</f>
        <v>0</v>
      </c>
      <c r="AI126" s="118">
        <f t="shared" si="46"/>
        <v>0</v>
      </c>
      <c r="AJ126" s="119">
        <f>IFERROR(AI126/AI148, "NA")</f>
        <v>0</v>
      </c>
      <c r="AK126" s="118" t="str">
        <f t="shared" si="47"/>
        <v>NA</v>
      </c>
      <c r="AL126" s="119" t="str">
        <f>IFERROR(AK126/AK148, "NA")</f>
        <v>NA</v>
      </c>
    </row>
    <row r="127" spans="1:38" ht="16.5" hidden="1" customHeight="1" x14ac:dyDescent="0.25">
      <c r="A127" s="2" t="s">
        <v>123</v>
      </c>
      <c r="B127" s="115">
        <v>0</v>
      </c>
      <c r="C127" s="116">
        <f>IFERROR(B127/B148, "NA")</f>
        <v>0</v>
      </c>
      <c r="D127" s="115">
        <v>0</v>
      </c>
      <c r="E127" s="116">
        <f>IFERROR(D127/D148, "NA")</f>
        <v>0</v>
      </c>
      <c r="F127" s="115">
        <v>0</v>
      </c>
      <c r="G127" s="116">
        <f>IFERROR(F127/F148, "NA")</f>
        <v>0</v>
      </c>
      <c r="H127" s="115">
        <v>0</v>
      </c>
      <c r="I127" s="116">
        <f>IFERROR(H127/H148, "NA")</f>
        <v>0</v>
      </c>
      <c r="J127" s="115">
        <v>0</v>
      </c>
      <c r="K127" s="116">
        <f>IFERROR(J127/J148, "NA")</f>
        <v>0</v>
      </c>
      <c r="L127" s="115">
        <v>0</v>
      </c>
      <c r="M127" s="116">
        <f>IFERROR(L127/L148, "NA")</f>
        <v>0</v>
      </c>
      <c r="N127" s="115">
        <v>0</v>
      </c>
      <c r="O127" s="116">
        <f>IFERROR(N127/N148, "NA")</f>
        <v>0</v>
      </c>
      <c r="P127" s="115">
        <v>0</v>
      </c>
      <c r="Q127" s="116">
        <f>IFERROR(P127/P148, "NA")</f>
        <v>0</v>
      </c>
      <c r="R127" s="115">
        <v>0</v>
      </c>
      <c r="S127" s="116">
        <f>IFERROR(R127/R148, "NA")</f>
        <v>0</v>
      </c>
      <c r="T127" s="115">
        <v>0</v>
      </c>
      <c r="U127" s="116">
        <f>IFERROR(T127/T148, "NA")</f>
        <v>0</v>
      </c>
      <c r="V127" s="115">
        <v>0</v>
      </c>
      <c r="W127" s="116">
        <f>IFERROR(V127/V148, "NA")</f>
        <v>0</v>
      </c>
      <c r="X127" s="115">
        <v>0</v>
      </c>
      <c r="Y127" s="116">
        <f>IFERROR(X127/X148, "NA")</f>
        <v>0</v>
      </c>
      <c r="Z127" s="115">
        <v>0</v>
      </c>
      <c r="AA127" s="116">
        <f>IFERROR(Z127/Z148, "NA")</f>
        <v>0</v>
      </c>
      <c r="AB127" s="117">
        <f t="shared" si="42"/>
        <v>0</v>
      </c>
      <c r="AC127" s="116">
        <f>IFERROR(AB127/AB148, "NA")</f>
        <v>0</v>
      </c>
      <c r="AD127" s="118">
        <f t="shared" si="43"/>
        <v>0</v>
      </c>
      <c r="AE127" s="119">
        <f>IFERROR(AD127/AD148, "NA")</f>
        <v>0</v>
      </c>
      <c r="AF127" s="118" t="str">
        <f t="shared" si="44"/>
        <v>NA</v>
      </c>
      <c r="AG127" s="117">
        <f t="shared" si="45"/>
        <v>0</v>
      </c>
      <c r="AH127" s="116">
        <f>IFERROR(AG127/AG148, "NA")</f>
        <v>0</v>
      </c>
      <c r="AI127" s="118">
        <f t="shared" si="46"/>
        <v>0</v>
      </c>
      <c r="AJ127" s="119">
        <f>IFERROR(AI127/AI148, "NA")</f>
        <v>0</v>
      </c>
      <c r="AK127" s="118" t="str">
        <f t="shared" si="47"/>
        <v>NA</v>
      </c>
      <c r="AL127" s="119" t="str">
        <f>IFERROR(AK127/AK148, "NA")</f>
        <v>NA</v>
      </c>
    </row>
    <row r="128" spans="1:38" ht="16.5" hidden="1" customHeight="1" x14ac:dyDescent="0.25">
      <c r="A128" s="2" t="s">
        <v>124</v>
      </c>
      <c r="B128" s="115">
        <v>-1408.96</v>
      </c>
      <c r="C128" s="116">
        <f>IFERROR(B128/B148, "NA")</f>
        <v>-3.4793792156876301E-2</v>
      </c>
      <c r="D128" s="115">
        <v>320.27000000000004</v>
      </c>
      <c r="E128" s="116">
        <f>IFERROR(D128/D148, "NA")</f>
        <v>1.3836780683548287E-2</v>
      </c>
      <c r="F128" s="115">
        <v>238.57999999999998</v>
      </c>
      <c r="G128" s="116">
        <f>IFERROR(F128/F148, "NA")</f>
        <v>9.3847663740729004E-3</v>
      </c>
      <c r="H128" s="115">
        <v>346.92999999999995</v>
      </c>
      <c r="I128" s="116">
        <f>IFERROR(H128/H148, "NA")</f>
        <v>1.415668120025544E-2</v>
      </c>
      <c r="J128" s="115">
        <v>-905.78000000000009</v>
      </c>
      <c r="K128" s="116">
        <f>IFERROR(J128/J148, "NA")</f>
        <v>-3.5046895313564051E-2</v>
      </c>
      <c r="L128" s="115">
        <v>460.27</v>
      </c>
      <c r="M128" s="116">
        <f>IFERROR(L128/L148, "NA")</f>
        <v>1.616730226606377E-2</v>
      </c>
      <c r="N128" s="115">
        <v>527.48</v>
      </c>
      <c r="O128" s="116">
        <f>IFERROR(N128/N148, "NA")</f>
        <v>2.1464893090606035E-2</v>
      </c>
      <c r="P128" s="115">
        <v>541.63</v>
      </c>
      <c r="Q128" s="116">
        <f>IFERROR(P128/P148, "NA")</f>
        <v>2.524002559278854E-2</v>
      </c>
      <c r="R128" s="115">
        <v>505.65000000000003</v>
      </c>
      <c r="S128" s="116">
        <f>IFERROR(R128/R148, "NA")</f>
        <v>1.0532340941655643E-2</v>
      </c>
      <c r="T128" s="115">
        <v>-2035.03</v>
      </c>
      <c r="U128" s="116">
        <f>IFERROR(T128/T148, "NA")</f>
        <v>-7.459822939038932E-2</v>
      </c>
      <c r="V128" s="115">
        <v>545.28</v>
      </c>
      <c r="W128" s="116">
        <f>IFERROR(V128/V148, "NA")</f>
        <v>1.7731656508989072E-2</v>
      </c>
      <c r="X128" s="115">
        <v>473.46</v>
      </c>
      <c r="Y128" s="116">
        <f>IFERROR(X128/X148, "NA")</f>
        <v>1.7460256582353732E-2</v>
      </c>
      <c r="Z128" s="115">
        <v>1018.74</v>
      </c>
      <c r="AA128" s="116">
        <f>IFERROR(Z128/Z148, "NA")</f>
        <v>1.7604481354359956E-2</v>
      </c>
      <c r="AB128" s="117">
        <f t="shared" si="42"/>
        <v>-127.65999999999998</v>
      </c>
      <c r="AC128" s="116">
        <f>IFERROR(AB128/AB148, "NA")</f>
        <v>-3.8348612498775884E-3</v>
      </c>
      <c r="AD128" s="118">
        <f t="shared" si="43"/>
        <v>601.12</v>
      </c>
      <c r="AE128" s="119">
        <f>IFERROR(AD128/AD148, "NA")</f>
        <v>-9.7380485671240455E-2</v>
      </c>
      <c r="AF128" s="118">
        <f t="shared" si="44"/>
        <v>-4.7087576374745428</v>
      </c>
      <c r="AG128" s="117">
        <f t="shared" si="45"/>
        <v>14.119999999999997</v>
      </c>
      <c r="AH128" s="116">
        <f>IFERROR(AG128/AG148, "NA")</f>
        <v>4.8375920645674634E-4</v>
      </c>
      <c r="AI128" s="118">
        <f t="shared" si="46"/>
        <v>459.34</v>
      </c>
      <c r="AJ128" s="119">
        <f>IFERROR(AI128/AI148, "NA")</f>
        <v>-0.22172824846075662</v>
      </c>
      <c r="AK128" s="118">
        <f t="shared" si="47"/>
        <v>32.53116147308782</v>
      </c>
      <c r="AL128" s="119">
        <f>IFERROR(AK128/AK148, "NA")</f>
        <v>-458.34424544555236</v>
      </c>
    </row>
    <row r="129" spans="1:38" ht="16.5" hidden="1" customHeight="1" x14ac:dyDescent="0.25">
      <c r="A129" s="2" t="s">
        <v>125</v>
      </c>
      <c r="B129" s="115">
        <v>0</v>
      </c>
      <c r="C129" s="116">
        <f>IFERROR(B129/B148, "NA")</f>
        <v>0</v>
      </c>
      <c r="D129" s="115">
        <v>0</v>
      </c>
      <c r="E129" s="116">
        <f>IFERROR(D129/D148, "NA")</f>
        <v>0</v>
      </c>
      <c r="F129" s="115">
        <v>0</v>
      </c>
      <c r="G129" s="116">
        <f>IFERROR(F129/F148, "NA")</f>
        <v>0</v>
      </c>
      <c r="H129" s="115">
        <v>0</v>
      </c>
      <c r="I129" s="116">
        <f>IFERROR(H129/H148, "NA")</f>
        <v>0</v>
      </c>
      <c r="J129" s="115">
        <v>0</v>
      </c>
      <c r="K129" s="116">
        <f>IFERROR(J129/J148, "NA")</f>
        <v>0</v>
      </c>
      <c r="L129" s="115">
        <v>0</v>
      </c>
      <c r="M129" s="116">
        <f>IFERROR(L129/L148, "NA")</f>
        <v>0</v>
      </c>
      <c r="N129" s="115">
        <v>0</v>
      </c>
      <c r="O129" s="116">
        <f>IFERROR(N129/N148, "NA")</f>
        <v>0</v>
      </c>
      <c r="P129" s="115">
        <v>0</v>
      </c>
      <c r="Q129" s="116">
        <f>IFERROR(P129/P148, "NA")</f>
        <v>0</v>
      </c>
      <c r="R129" s="115">
        <v>0</v>
      </c>
      <c r="S129" s="116">
        <f>IFERROR(R129/R148, "NA")</f>
        <v>0</v>
      </c>
      <c r="T129" s="115">
        <v>0</v>
      </c>
      <c r="U129" s="116">
        <f>IFERROR(T129/T148, "NA")</f>
        <v>0</v>
      </c>
      <c r="V129" s="115">
        <v>0</v>
      </c>
      <c r="W129" s="116">
        <f>IFERROR(V129/V148, "NA")</f>
        <v>0</v>
      </c>
      <c r="X129" s="115">
        <v>0</v>
      </c>
      <c r="Y129" s="116">
        <f>IFERROR(X129/X148, "NA")</f>
        <v>0</v>
      </c>
      <c r="Z129" s="115">
        <v>0</v>
      </c>
      <c r="AA129" s="116">
        <f>IFERROR(Z129/Z148, "NA")</f>
        <v>0</v>
      </c>
      <c r="AB129" s="117">
        <f t="shared" si="42"/>
        <v>0</v>
      </c>
      <c r="AC129" s="116">
        <f>IFERROR(AB129/AB148, "NA")</f>
        <v>0</v>
      </c>
      <c r="AD129" s="118">
        <f t="shared" si="43"/>
        <v>0</v>
      </c>
      <c r="AE129" s="119">
        <f>IFERROR(AD129/AD148, "NA")</f>
        <v>0</v>
      </c>
      <c r="AF129" s="118" t="str">
        <f t="shared" si="44"/>
        <v>NA</v>
      </c>
      <c r="AG129" s="117">
        <f t="shared" si="45"/>
        <v>0</v>
      </c>
      <c r="AH129" s="116">
        <f>IFERROR(AG129/AG148, "NA")</f>
        <v>0</v>
      </c>
      <c r="AI129" s="118">
        <f t="shared" si="46"/>
        <v>0</v>
      </c>
      <c r="AJ129" s="119">
        <f>IFERROR(AI129/AI148, "NA")</f>
        <v>0</v>
      </c>
      <c r="AK129" s="118" t="str">
        <f t="shared" si="47"/>
        <v>NA</v>
      </c>
      <c r="AL129" s="119" t="str">
        <f>IFERROR(AK129/AK148, "NA")</f>
        <v>NA</v>
      </c>
    </row>
    <row r="130" spans="1:38" ht="16.5" hidden="1" customHeight="1" x14ac:dyDescent="0.25">
      <c r="A130" s="2" t="s">
        <v>126</v>
      </c>
      <c r="B130" s="115">
        <v>0</v>
      </c>
      <c r="C130" s="116">
        <f>IFERROR(B130/B148, "NA")</f>
        <v>0</v>
      </c>
      <c r="D130" s="115">
        <v>0</v>
      </c>
      <c r="E130" s="116">
        <f>IFERROR(D130/D148, "NA")</f>
        <v>0</v>
      </c>
      <c r="F130" s="115">
        <v>0</v>
      </c>
      <c r="G130" s="116">
        <f>IFERROR(F130/F148, "NA")</f>
        <v>0</v>
      </c>
      <c r="H130" s="115">
        <v>0</v>
      </c>
      <c r="I130" s="116">
        <f>IFERROR(H130/H148, "NA")</f>
        <v>0</v>
      </c>
      <c r="J130" s="115">
        <v>0</v>
      </c>
      <c r="K130" s="116">
        <f>IFERROR(J130/J148, "NA")</f>
        <v>0</v>
      </c>
      <c r="L130" s="115">
        <v>0</v>
      </c>
      <c r="M130" s="116">
        <f>IFERROR(L130/L148, "NA")</f>
        <v>0</v>
      </c>
      <c r="N130" s="115">
        <v>0</v>
      </c>
      <c r="O130" s="116">
        <f>IFERROR(N130/N148, "NA")</f>
        <v>0</v>
      </c>
      <c r="P130" s="115">
        <v>0</v>
      </c>
      <c r="Q130" s="116">
        <f>IFERROR(P130/P148, "NA")</f>
        <v>0</v>
      </c>
      <c r="R130" s="115">
        <v>0</v>
      </c>
      <c r="S130" s="116">
        <f>IFERROR(R130/R148, "NA")</f>
        <v>0</v>
      </c>
      <c r="T130" s="115">
        <v>0</v>
      </c>
      <c r="U130" s="116">
        <f>IFERROR(T130/T148, "NA")</f>
        <v>0</v>
      </c>
      <c r="V130" s="115">
        <v>0</v>
      </c>
      <c r="W130" s="116">
        <f>IFERROR(V130/V148, "NA")</f>
        <v>0</v>
      </c>
      <c r="X130" s="115">
        <v>0</v>
      </c>
      <c r="Y130" s="116">
        <f>IFERROR(X130/X148, "NA")</f>
        <v>0</v>
      </c>
      <c r="Z130" s="115">
        <v>0</v>
      </c>
      <c r="AA130" s="116">
        <f>IFERROR(Z130/Z148, "NA")</f>
        <v>0</v>
      </c>
      <c r="AB130" s="117">
        <f t="shared" si="42"/>
        <v>0</v>
      </c>
      <c r="AC130" s="116">
        <f>IFERROR(AB130/AB148, "NA")</f>
        <v>0</v>
      </c>
      <c r="AD130" s="118">
        <f t="shared" si="43"/>
        <v>0</v>
      </c>
      <c r="AE130" s="119">
        <f>IFERROR(AD130/AD148, "NA")</f>
        <v>0</v>
      </c>
      <c r="AF130" s="118" t="str">
        <f t="shared" si="44"/>
        <v>NA</v>
      </c>
      <c r="AG130" s="117">
        <f t="shared" si="45"/>
        <v>0</v>
      </c>
      <c r="AH130" s="116">
        <f>IFERROR(AG130/AG148, "NA")</f>
        <v>0</v>
      </c>
      <c r="AI130" s="118">
        <f t="shared" si="46"/>
        <v>0</v>
      </c>
      <c r="AJ130" s="119">
        <f>IFERROR(AI130/AI148, "NA")</f>
        <v>0</v>
      </c>
      <c r="AK130" s="118" t="str">
        <f t="shared" si="47"/>
        <v>NA</v>
      </c>
      <c r="AL130" s="119" t="str">
        <f>IFERROR(AK130/AK148, "NA")</f>
        <v>NA</v>
      </c>
    </row>
    <row r="131" spans="1:38" ht="16.5" hidden="1" customHeight="1" x14ac:dyDescent="0.25">
      <c r="A131" s="2" t="s">
        <v>127</v>
      </c>
      <c r="B131" s="115">
        <v>0</v>
      </c>
      <c r="C131" s="116">
        <f>IFERROR(B131/B148, "NA")</f>
        <v>0</v>
      </c>
      <c r="D131" s="115">
        <v>0</v>
      </c>
      <c r="E131" s="116">
        <f>IFERROR(D131/D148, "NA")</f>
        <v>0</v>
      </c>
      <c r="F131" s="115">
        <v>0</v>
      </c>
      <c r="G131" s="116">
        <f>IFERROR(F131/F148, "NA")</f>
        <v>0</v>
      </c>
      <c r="H131" s="115">
        <v>0</v>
      </c>
      <c r="I131" s="116">
        <f>IFERROR(H131/H148, "NA")</f>
        <v>0</v>
      </c>
      <c r="J131" s="115">
        <v>0</v>
      </c>
      <c r="K131" s="116">
        <f>IFERROR(J131/J148, "NA")</f>
        <v>0</v>
      </c>
      <c r="L131" s="115">
        <v>0</v>
      </c>
      <c r="M131" s="116">
        <f>IFERROR(L131/L148, "NA")</f>
        <v>0</v>
      </c>
      <c r="N131" s="115">
        <v>0</v>
      </c>
      <c r="O131" s="116">
        <f>IFERROR(N131/N148, "NA")</f>
        <v>0</v>
      </c>
      <c r="P131" s="115">
        <v>0</v>
      </c>
      <c r="Q131" s="116">
        <f>IFERROR(P131/P148, "NA")</f>
        <v>0</v>
      </c>
      <c r="R131" s="115">
        <v>0</v>
      </c>
      <c r="S131" s="116">
        <f>IFERROR(R131/R148, "NA")</f>
        <v>0</v>
      </c>
      <c r="T131" s="115">
        <v>0</v>
      </c>
      <c r="U131" s="116">
        <f>IFERROR(T131/T148, "NA")</f>
        <v>0</v>
      </c>
      <c r="V131" s="115">
        <v>0</v>
      </c>
      <c r="W131" s="116">
        <f>IFERROR(V131/V148, "NA")</f>
        <v>0</v>
      </c>
      <c r="X131" s="115">
        <v>0</v>
      </c>
      <c r="Y131" s="116">
        <f>IFERROR(X131/X148, "NA")</f>
        <v>0</v>
      </c>
      <c r="Z131" s="115">
        <v>0</v>
      </c>
      <c r="AA131" s="116">
        <f>IFERROR(Z131/Z148, "NA")</f>
        <v>0</v>
      </c>
      <c r="AB131" s="117">
        <f t="shared" si="42"/>
        <v>0</v>
      </c>
      <c r="AC131" s="116">
        <f>IFERROR(AB131/AB148, "NA")</f>
        <v>0</v>
      </c>
      <c r="AD131" s="118">
        <f t="shared" si="43"/>
        <v>0</v>
      </c>
      <c r="AE131" s="119">
        <f>IFERROR(AD131/AD148, "NA")</f>
        <v>0</v>
      </c>
      <c r="AF131" s="118" t="str">
        <f t="shared" si="44"/>
        <v>NA</v>
      </c>
      <c r="AG131" s="117">
        <f t="shared" si="45"/>
        <v>0</v>
      </c>
      <c r="AH131" s="116">
        <f>IFERROR(AG131/AG148, "NA")</f>
        <v>0</v>
      </c>
      <c r="AI131" s="118">
        <f t="shared" si="46"/>
        <v>0</v>
      </c>
      <c r="AJ131" s="119">
        <f>IFERROR(AI131/AI148, "NA")</f>
        <v>0</v>
      </c>
      <c r="AK131" s="118" t="str">
        <f t="shared" si="47"/>
        <v>NA</v>
      </c>
      <c r="AL131" s="119" t="str">
        <f>IFERROR(AK131/AK148, "NA")</f>
        <v>NA</v>
      </c>
    </row>
    <row r="132" spans="1:38" ht="16.5" hidden="1" customHeight="1" x14ac:dyDescent="0.25">
      <c r="A132" s="2" t="s">
        <v>128</v>
      </c>
      <c r="B132" s="115">
        <v>0</v>
      </c>
      <c r="C132" s="116">
        <f>IFERROR(B132/B148, "NA")</f>
        <v>0</v>
      </c>
      <c r="D132" s="115">
        <v>0</v>
      </c>
      <c r="E132" s="116">
        <f>IFERROR(D132/D148, "NA")</f>
        <v>0</v>
      </c>
      <c r="F132" s="115">
        <v>0</v>
      </c>
      <c r="G132" s="116">
        <f>IFERROR(F132/F148, "NA")</f>
        <v>0</v>
      </c>
      <c r="H132" s="115">
        <v>0</v>
      </c>
      <c r="I132" s="116">
        <f>IFERROR(H132/H148, "NA")</f>
        <v>0</v>
      </c>
      <c r="J132" s="115">
        <v>0</v>
      </c>
      <c r="K132" s="116">
        <f>IFERROR(J132/J148, "NA")</f>
        <v>0</v>
      </c>
      <c r="L132" s="115">
        <v>0</v>
      </c>
      <c r="M132" s="116">
        <f>IFERROR(L132/L148, "NA")</f>
        <v>0</v>
      </c>
      <c r="N132" s="115">
        <v>0</v>
      </c>
      <c r="O132" s="116">
        <f>IFERROR(N132/N148, "NA")</f>
        <v>0</v>
      </c>
      <c r="P132" s="115">
        <v>0</v>
      </c>
      <c r="Q132" s="116">
        <f>IFERROR(P132/P148, "NA")</f>
        <v>0</v>
      </c>
      <c r="R132" s="115">
        <v>0</v>
      </c>
      <c r="S132" s="116">
        <f>IFERROR(R132/R148, "NA")</f>
        <v>0</v>
      </c>
      <c r="T132" s="115">
        <v>0</v>
      </c>
      <c r="U132" s="116">
        <f>IFERROR(T132/T148, "NA")</f>
        <v>0</v>
      </c>
      <c r="V132" s="115">
        <v>0</v>
      </c>
      <c r="W132" s="116">
        <f>IFERROR(V132/V148, "NA")</f>
        <v>0</v>
      </c>
      <c r="X132" s="115">
        <v>0</v>
      </c>
      <c r="Y132" s="116">
        <f>IFERROR(X132/X148, "NA")</f>
        <v>0</v>
      </c>
      <c r="Z132" s="115">
        <v>0</v>
      </c>
      <c r="AA132" s="116">
        <f>IFERROR(Z132/Z148, "NA")</f>
        <v>0</v>
      </c>
      <c r="AB132" s="117">
        <f t="shared" si="42"/>
        <v>0</v>
      </c>
      <c r="AC132" s="116">
        <f>IFERROR(AB132/AB148, "NA")</f>
        <v>0</v>
      </c>
      <c r="AD132" s="118">
        <f t="shared" si="43"/>
        <v>0</v>
      </c>
      <c r="AE132" s="119">
        <f>IFERROR(AD132/AD148, "NA")</f>
        <v>0</v>
      </c>
      <c r="AF132" s="118" t="str">
        <f t="shared" si="44"/>
        <v>NA</v>
      </c>
      <c r="AG132" s="117">
        <f t="shared" si="45"/>
        <v>0</v>
      </c>
      <c r="AH132" s="116">
        <f>IFERROR(AG132/AG148, "NA")</f>
        <v>0</v>
      </c>
      <c r="AI132" s="118">
        <f t="shared" si="46"/>
        <v>0</v>
      </c>
      <c r="AJ132" s="119">
        <f>IFERROR(AI132/AI148, "NA")</f>
        <v>0</v>
      </c>
      <c r="AK132" s="118" t="str">
        <f t="shared" si="47"/>
        <v>NA</v>
      </c>
      <c r="AL132" s="119" t="str">
        <f>IFERROR(AK132/AK148, "NA")</f>
        <v>NA</v>
      </c>
    </row>
    <row r="133" spans="1:38" ht="16.5" hidden="1" customHeight="1" x14ac:dyDescent="0.25">
      <c r="A133" s="2" t="s">
        <v>129</v>
      </c>
      <c r="B133" s="115">
        <v>0</v>
      </c>
      <c r="C133" s="116">
        <f>IFERROR(B133/B148, "NA")</f>
        <v>0</v>
      </c>
      <c r="D133" s="115">
        <v>0</v>
      </c>
      <c r="E133" s="116">
        <f>IFERROR(D133/D148, "NA")</f>
        <v>0</v>
      </c>
      <c r="F133" s="115">
        <v>0</v>
      </c>
      <c r="G133" s="116">
        <f>IFERROR(F133/F148, "NA")</f>
        <v>0</v>
      </c>
      <c r="H133" s="115">
        <v>0</v>
      </c>
      <c r="I133" s="116">
        <f>IFERROR(H133/H148, "NA")</f>
        <v>0</v>
      </c>
      <c r="J133" s="115">
        <v>0</v>
      </c>
      <c r="K133" s="116">
        <f>IFERROR(J133/J148, "NA")</f>
        <v>0</v>
      </c>
      <c r="L133" s="115">
        <v>0</v>
      </c>
      <c r="M133" s="116">
        <f>IFERROR(L133/L148, "NA")</f>
        <v>0</v>
      </c>
      <c r="N133" s="115">
        <v>0</v>
      </c>
      <c r="O133" s="116">
        <f>IFERROR(N133/N148, "NA")</f>
        <v>0</v>
      </c>
      <c r="P133" s="115">
        <v>0</v>
      </c>
      <c r="Q133" s="116">
        <f>IFERROR(P133/P148, "NA")</f>
        <v>0</v>
      </c>
      <c r="R133" s="115">
        <v>0</v>
      </c>
      <c r="S133" s="116">
        <f>IFERROR(R133/R148, "NA")</f>
        <v>0</v>
      </c>
      <c r="T133" s="115">
        <v>0</v>
      </c>
      <c r="U133" s="116">
        <f>IFERROR(T133/T148, "NA")</f>
        <v>0</v>
      </c>
      <c r="V133" s="115">
        <v>0</v>
      </c>
      <c r="W133" s="116">
        <f>IFERROR(V133/V148, "NA")</f>
        <v>0</v>
      </c>
      <c r="X133" s="115">
        <v>0</v>
      </c>
      <c r="Y133" s="116">
        <f>IFERROR(X133/X148, "NA")</f>
        <v>0</v>
      </c>
      <c r="Z133" s="115">
        <v>0</v>
      </c>
      <c r="AA133" s="116">
        <f>IFERROR(Z133/Z148, "NA")</f>
        <v>0</v>
      </c>
      <c r="AB133" s="117">
        <f t="shared" si="42"/>
        <v>0</v>
      </c>
      <c r="AC133" s="116">
        <f>IFERROR(AB133/AB148, "NA")</f>
        <v>0</v>
      </c>
      <c r="AD133" s="118">
        <f t="shared" si="43"/>
        <v>0</v>
      </c>
      <c r="AE133" s="119">
        <f>IFERROR(AD133/AD148, "NA")</f>
        <v>0</v>
      </c>
      <c r="AF133" s="118" t="str">
        <f t="shared" si="44"/>
        <v>NA</v>
      </c>
      <c r="AG133" s="117">
        <f t="shared" si="45"/>
        <v>0</v>
      </c>
      <c r="AH133" s="116">
        <f>IFERROR(AG133/AG148, "NA")</f>
        <v>0</v>
      </c>
      <c r="AI133" s="118">
        <f t="shared" si="46"/>
        <v>0</v>
      </c>
      <c r="AJ133" s="119">
        <f>IFERROR(AI133/AI148, "NA")</f>
        <v>0</v>
      </c>
      <c r="AK133" s="118" t="str">
        <f t="shared" si="47"/>
        <v>NA</v>
      </c>
      <c r="AL133" s="119" t="str">
        <f>IFERROR(AK133/AK148, "NA")</f>
        <v>NA</v>
      </c>
    </row>
    <row r="134" spans="1:38" ht="16.5" hidden="1" customHeight="1" x14ac:dyDescent="0.25">
      <c r="A134" s="2" t="s">
        <v>130</v>
      </c>
      <c r="B134" s="115">
        <v>0</v>
      </c>
      <c r="C134" s="116">
        <f>IFERROR(B134/B148, "NA")</f>
        <v>0</v>
      </c>
      <c r="D134" s="115">
        <v>0</v>
      </c>
      <c r="E134" s="116">
        <f>IFERROR(D134/D148, "NA")</f>
        <v>0</v>
      </c>
      <c r="F134" s="115">
        <v>0</v>
      </c>
      <c r="G134" s="116">
        <f>IFERROR(F134/F148, "NA")</f>
        <v>0</v>
      </c>
      <c r="H134" s="115">
        <v>0</v>
      </c>
      <c r="I134" s="116">
        <f>IFERROR(H134/H148, "NA")</f>
        <v>0</v>
      </c>
      <c r="J134" s="115">
        <v>0</v>
      </c>
      <c r="K134" s="116">
        <f>IFERROR(J134/J148, "NA")</f>
        <v>0</v>
      </c>
      <c r="L134" s="115">
        <v>0</v>
      </c>
      <c r="M134" s="116">
        <f>IFERROR(L134/L148, "NA")</f>
        <v>0</v>
      </c>
      <c r="N134" s="115">
        <v>0</v>
      </c>
      <c r="O134" s="116">
        <f>IFERROR(N134/N148, "NA")</f>
        <v>0</v>
      </c>
      <c r="P134" s="115">
        <v>0</v>
      </c>
      <c r="Q134" s="116">
        <f>IFERROR(P134/P148, "NA")</f>
        <v>0</v>
      </c>
      <c r="R134" s="115">
        <v>0</v>
      </c>
      <c r="S134" s="116">
        <f>IFERROR(R134/R148, "NA")</f>
        <v>0</v>
      </c>
      <c r="T134" s="115">
        <v>0</v>
      </c>
      <c r="U134" s="116">
        <f>IFERROR(T134/T148, "NA")</f>
        <v>0</v>
      </c>
      <c r="V134" s="115">
        <v>0</v>
      </c>
      <c r="W134" s="116">
        <f>IFERROR(V134/V148, "NA")</f>
        <v>0</v>
      </c>
      <c r="X134" s="115">
        <v>0</v>
      </c>
      <c r="Y134" s="116">
        <f>IFERROR(X134/X148, "NA")</f>
        <v>0</v>
      </c>
      <c r="Z134" s="115">
        <v>0</v>
      </c>
      <c r="AA134" s="116">
        <f>IFERROR(Z134/Z148, "NA")</f>
        <v>0</v>
      </c>
      <c r="AB134" s="117">
        <f t="shared" si="42"/>
        <v>0</v>
      </c>
      <c r="AC134" s="116">
        <f>IFERROR(AB134/AB148, "NA")</f>
        <v>0</v>
      </c>
      <c r="AD134" s="118">
        <f t="shared" si="43"/>
        <v>0</v>
      </c>
      <c r="AE134" s="119">
        <f>IFERROR(AD134/AD148, "NA")</f>
        <v>0</v>
      </c>
      <c r="AF134" s="118" t="str">
        <f t="shared" si="44"/>
        <v>NA</v>
      </c>
      <c r="AG134" s="117">
        <f t="shared" si="45"/>
        <v>0</v>
      </c>
      <c r="AH134" s="116">
        <f>IFERROR(AG134/AG148, "NA")</f>
        <v>0</v>
      </c>
      <c r="AI134" s="118">
        <f t="shared" si="46"/>
        <v>0</v>
      </c>
      <c r="AJ134" s="119">
        <f>IFERROR(AI134/AI148, "NA")</f>
        <v>0</v>
      </c>
      <c r="AK134" s="118" t="str">
        <f t="shared" si="47"/>
        <v>NA</v>
      </c>
      <c r="AL134" s="119" t="str">
        <f>IFERROR(AK134/AK148, "NA")</f>
        <v>NA</v>
      </c>
    </row>
    <row r="135" spans="1:38" ht="16.5" hidden="1" customHeight="1" x14ac:dyDescent="0.25">
      <c r="A135" s="120" t="s">
        <v>131</v>
      </c>
      <c r="B135" s="121">
        <f>IFERROR(B110+B111+B112+B113+B114+B115+B116+B117+B118+B119+B120+B121+B122+B123+B124+B125+B126+B127+B128+B129+B130+B131+B132+B133+B134, "NA")</f>
        <v>-1408.96</v>
      </c>
      <c r="C135" s="122">
        <f>IFERROR(B135/B148, "NA")</f>
        <v>-3.4793792156876301E-2</v>
      </c>
      <c r="D135" s="121">
        <f>IFERROR(D110+D111+D112+D113+D114+D115+D116+D117+D118+D119+D120+D121+D122+D123+D124+D125+D126+D127+D128+D129+D130+D131+D132+D133+D134, "NA")</f>
        <v>320.27000000000004</v>
      </c>
      <c r="E135" s="122">
        <f>IFERROR(D135/D148, "NA")</f>
        <v>1.3836780683548287E-2</v>
      </c>
      <c r="F135" s="121">
        <f>IFERROR(F110+F111+F112+F113+F114+F115+F116+F117+F118+F119+F120+F121+F122+F123+F124+F125+F126+F127+F128+F129+F130+F131+F132+F133+F134, "NA")</f>
        <v>238.57999999999998</v>
      </c>
      <c r="G135" s="122">
        <f>IFERROR(F135/F148, "NA")</f>
        <v>9.3847663740729004E-3</v>
      </c>
      <c r="H135" s="121">
        <f>IFERROR(H110+H111+H112+H113+H114+H115+H116+H117+H118+H119+H120+H121+H122+H123+H124+H125+H126+H127+H128+H129+H130+H131+H132+H133+H134, "NA")</f>
        <v>346.92999999999995</v>
      </c>
      <c r="I135" s="122">
        <f>IFERROR(H135/H148, "NA")</f>
        <v>1.415668120025544E-2</v>
      </c>
      <c r="J135" s="121">
        <f>IFERROR(J110+J111+J112+J113+J114+J115+J116+J117+J118+J119+J120+J121+J122+J123+J124+J125+J126+J127+J128+J129+J130+J131+J132+J133+J134, "NA")</f>
        <v>-905.78000000000009</v>
      </c>
      <c r="K135" s="122">
        <f>IFERROR(J135/J148, "NA")</f>
        <v>-3.5046895313564051E-2</v>
      </c>
      <c r="L135" s="121">
        <f>IFERROR(L110+L111+L112+L113+L114+L115+L116+L117+L118+L119+L120+L121+L122+L123+L124+L125+L126+L127+L128+L129+L130+L131+L132+L133+L134, "NA")</f>
        <v>460.27</v>
      </c>
      <c r="M135" s="122">
        <f>IFERROR(L135/L148, "NA")</f>
        <v>1.616730226606377E-2</v>
      </c>
      <c r="N135" s="121">
        <f>IFERROR(N110+N111+N112+N113+N114+N115+N116+N117+N118+N119+N120+N121+N122+N123+N124+N125+N126+N127+N128+N129+N130+N131+N132+N133+N134, "NA")</f>
        <v>527.48</v>
      </c>
      <c r="O135" s="122">
        <f>IFERROR(N135/N148, "NA")</f>
        <v>2.1464893090606035E-2</v>
      </c>
      <c r="P135" s="121">
        <f>IFERROR(P110+P111+P112+P113+P114+P115+P116+P117+P118+P119+P120+P121+P122+P123+P124+P125+P126+P127+P128+P129+P130+P131+P132+P133+P134, "NA")</f>
        <v>541.63</v>
      </c>
      <c r="Q135" s="122">
        <f>IFERROR(P135/P148, "NA")</f>
        <v>2.524002559278854E-2</v>
      </c>
      <c r="R135" s="121">
        <f>IFERROR(R110+R111+R112+R113+R114+R115+R116+R117+R118+R119+R120+R121+R122+R123+R124+R125+R126+R127+R128+R129+R130+R131+R132+R133+R134, "NA")</f>
        <v>505.65000000000003</v>
      </c>
      <c r="S135" s="122">
        <f>IFERROR(R135/R148, "NA")</f>
        <v>1.0532340941655643E-2</v>
      </c>
      <c r="T135" s="121">
        <f>IFERROR(T110+T111+T112+T113+T114+T115+T116+T117+T118+T119+T120+T121+T122+T123+T124+T125+T126+T127+T128+T129+T130+T131+T132+T133+T134, "NA")</f>
        <v>-2035.03</v>
      </c>
      <c r="U135" s="122">
        <f>IFERROR(T135/T148, "NA")</f>
        <v>-7.459822939038932E-2</v>
      </c>
      <c r="V135" s="121">
        <f>IFERROR(V110+V111+V112+V113+V114+V115+V116+V117+V118+V119+V120+V121+V122+V123+V124+V125+V126+V127+V128+V129+V130+V131+V132+V133+V134, "NA")</f>
        <v>545.28</v>
      </c>
      <c r="W135" s="122">
        <f>IFERROR(V135/V148, "NA")</f>
        <v>1.7731656508989072E-2</v>
      </c>
      <c r="X135" s="121">
        <f>IFERROR(X110+X111+X112+X113+X114+X115+X116+X117+X118+X119+X120+X121+X122+X123+X124+X125+X126+X127+X128+X129+X130+X131+X132+X133+X134, "NA")</f>
        <v>473.46</v>
      </c>
      <c r="Y135" s="122">
        <f>IFERROR(X135/X148, "NA")</f>
        <v>1.7460256582353732E-2</v>
      </c>
      <c r="Z135" s="121">
        <f>IFERROR(Z110+Z111+Z112+Z113+Z114+Z115+Z116+Z117+Z118+Z119+Z120+Z121+Z122+Z123+Z124+Z125+Z126+Z127+Z128+Z129+Z130+Z131+Z132+Z133+Z134, "NA")</f>
        <v>1018.74</v>
      </c>
      <c r="AA135" s="122">
        <f>IFERROR(Z135/Z148, "NA")</f>
        <v>1.7604481354359956E-2</v>
      </c>
      <c r="AB135" s="121">
        <f t="shared" si="42"/>
        <v>-127.65999999999998</v>
      </c>
      <c r="AC135" s="122">
        <f>IFERROR(AB135/AB148, "NA")</f>
        <v>-3.8348612498775884E-3</v>
      </c>
      <c r="AD135" s="123">
        <f t="shared" si="43"/>
        <v>601.12</v>
      </c>
      <c r="AE135" s="124">
        <f>IFERROR(AD135/AD148, "NA")</f>
        <v>-9.7380485671240455E-2</v>
      </c>
      <c r="AF135" s="123">
        <f t="shared" si="44"/>
        <v>-4.7087576374745428</v>
      </c>
      <c r="AG135" s="121">
        <f t="shared" si="45"/>
        <v>14.119999999999997</v>
      </c>
      <c r="AH135" s="122">
        <f>IFERROR(AG135/AG148, "NA")</f>
        <v>4.8375920645674634E-4</v>
      </c>
      <c r="AI135" s="123">
        <f t="shared" si="46"/>
        <v>459.34</v>
      </c>
      <c r="AJ135" s="124">
        <f>IFERROR(AI135/AI148, "NA")</f>
        <v>-0.22172824846075662</v>
      </c>
      <c r="AK135" s="123">
        <f t="shared" si="47"/>
        <v>32.53116147308782</v>
      </c>
      <c r="AL135" s="124">
        <f>IFERROR(AK135/AK148, "NA")</f>
        <v>-458.34424544555236</v>
      </c>
    </row>
    <row r="136" spans="1:38" ht="16.5" hidden="1" customHeight="1" x14ac:dyDescent="0.25">
      <c r="A136" s="8" t="s">
        <v>2</v>
      </c>
      <c r="B136" s="138"/>
      <c r="C136" s="126"/>
      <c r="D136" s="138"/>
      <c r="E136" s="126"/>
      <c r="F136" s="138"/>
      <c r="G136" s="126"/>
      <c r="H136" s="138"/>
      <c r="I136" s="126"/>
      <c r="J136" s="138"/>
      <c r="K136" s="126"/>
      <c r="L136" s="138"/>
      <c r="M136" s="126"/>
      <c r="N136" s="138"/>
      <c r="O136" s="126"/>
      <c r="P136" s="138"/>
      <c r="Q136" s="126"/>
      <c r="R136" s="138"/>
      <c r="S136" s="126"/>
      <c r="T136" s="138"/>
      <c r="U136" s="126"/>
      <c r="V136" s="138"/>
      <c r="W136" s="126"/>
      <c r="X136" s="138"/>
      <c r="Y136" s="126"/>
      <c r="Z136" s="138"/>
      <c r="AA136" s="126"/>
      <c r="AB136" s="138"/>
      <c r="AC136" s="126"/>
      <c r="AD136" s="139"/>
      <c r="AE136" s="128"/>
      <c r="AF136" s="139"/>
      <c r="AG136" s="138"/>
      <c r="AH136" s="126"/>
      <c r="AI136" s="139"/>
      <c r="AJ136" s="128"/>
      <c r="AK136" s="139"/>
      <c r="AL136" s="128"/>
    </row>
    <row r="137" spans="1:38" ht="16.5" hidden="1" customHeight="1" x14ac:dyDescent="0.25">
      <c r="A137" s="135" t="s">
        <v>132</v>
      </c>
      <c r="B137" s="136">
        <f>IFERROR(B107-B135, "NA")</f>
        <v>-2119.3200000000024</v>
      </c>
      <c r="C137" s="137">
        <f>IFERROR(B137/B148, "NA")</f>
        <v>-5.233589285282135E-2</v>
      </c>
      <c r="D137" s="136">
        <f>IFERROR(D107-D135, "NA")</f>
        <v>5378.1999999999989</v>
      </c>
      <c r="E137" s="137">
        <f>IFERROR(D137/D148, "NA")</f>
        <v>0.23235699213869351</v>
      </c>
      <c r="F137" s="136">
        <f>IFERROR(F107-F135, "NA")</f>
        <v>6227.190000000006</v>
      </c>
      <c r="G137" s="137">
        <f>IFERROR(F137/F148, "NA")</f>
        <v>0.2449523150178686</v>
      </c>
      <c r="H137" s="136">
        <f>IFERROR(H107-H135, "NA")</f>
        <v>-2060.5199999999959</v>
      </c>
      <c r="I137" s="137">
        <f>IFERROR(H137/H148, "NA")</f>
        <v>-8.4080721605944389E-2</v>
      </c>
      <c r="J137" s="136">
        <f>IFERROR(J107-J135, "NA")</f>
        <v>-8318.3100000000031</v>
      </c>
      <c r="K137" s="137">
        <f>IFERROR(J137/J148, "NA")</f>
        <v>-0.32185623413607395</v>
      </c>
      <c r="L137" s="136">
        <f>IFERROR(L107-L135, "NA")</f>
        <v>7966.6299999999992</v>
      </c>
      <c r="M137" s="137">
        <f>IFERROR(L137/L148, "NA")</f>
        <v>0.27983339181761052</v>
      </c>
      <c r="N137" s="136">
        <f>IFERROR(N107-N135, "NA")</f>
        <v>2026.7600000000016</v>
      </c>
      <c r="O137" s="137">
        <f>IFERROR(N137/N148, "NA")</f>
        <v>8.2475518920749072E-2</v>
      </c>
      <c r="P137" s="136">
        <f>IFERROR(P107-P135, "NA")</f>
        <v>4366.1499999999987</v>
      </c>
      <c r="Q137" s="137">
        <f>IFERROR(P137/P148, "NA")</f>
        <v>0.20346313487427514</v>
      </c>
      <c r="R137" s="136">
        <f>IFERROR(R107-R135, "NA")</f>
        <v>17046.389999999989</v>
      </c>
      <c r="S137" s="137">
        <f>IFERROR(R137/R148, "NA")</f>
        <v>0.35506455315817109</v>
      </c>
      <c r="T137" s="136">
        <f>IFERROR(T107-T135, "NA")</f>
        <v>-7172.4099999999953</v>
      </c>
      <c r="U137" s="137">
        <f>IFERROR(T137/T148, "NA")</f>
        <v>-0.26291950804750885</v>
      </c>
      <c r="V137" s="136">
        <f>IFERROR(V107-V135, "NA")</f>
        <v>7726.0299999999979</v>
      </c>
      <c r="W137" s="137">
        <f>IFERROR(V137/V148, "NA")</f>
        <v>0.25123846489536533</v>
      </c>
      <c r="X137" s="136">
        <f>IFERROR(X107-X135, "NA")</f>
        <v>8975.3999999999942</v>
      </c>
      <c r="Y137" s="137">
        <f>IFERROR(X137/X148, "NA")</f>
        <v>0.330994776600468</v>
      </c>
      <c r="Z137" s="136">
        <f>IFERROR(Z107-Z135, "NA")</f>
        <v>16701.430000000004</v>
      </c>
      <c r="AA137" s="137">
        <f>IFERROR(Z137/Z148, "NA")</f>
        <v>0.2886114347391367</v>
      </c>
      <c r="AB137" s="136">
        <f>IFERROR((R137+T137+V137+X137)/4, "NA")</f>
        <v>6643.8524999999963</v>
      </c>
      <c r="AC137" s="137">
        <f>IFERROR(AB137/AB148, "NA")</f>
        <v>0.19957897933692878</v>
      </c>
      <c r="AD137" s="123">
        <f>IFERROR(X137-AB137, "NA")</f>
        <v>2331.5474999999979</v>
      </c>
      <c r="AE137" s="124">
        <f>IFERROR(AD137/AD148, "NA")</f>
        <v>-0.37770699347146375</v>
      </c>
      <c r="AF137" s="123">
        <f>IFERROR((X137-AB137)/AB137, "NA")</f>
        <v>0.35093306180412631</v>
      </c>
      <c r="AG137" s="136">
        <f>IFERROR((J137+L137+N137+P137+R137+T137+V137+X137)/8, "NA")</f>
        <v>4077.0799999999977</v>
      </c>
      <c r="AH137" s="137">
        <f>IFERROR(AG137/AG148, "NA")</f>
        <v>0.1396830726246934</v>
      </c>
      <c r="AI137" s="123">
        <f>IFERROR(X137-AG137, "NA")</f>
        <v>4898.3199999999961</v>
      </c>
      <c r="AJ137" s="124">
        <f>IFERROR(AI137/AI148, "NA")</f>
        <v>-2.3644705751737112</v>
      </c>
      <c r="AK137" s="123">
        <f>IFERROR((X137-AG137)/AG137, "NA")</f>
        <v>1.2014284733191398</v>
      </c>
      <c r="AL137" s="124">
        <f>IFERROR(AK137/AK148, "NA")</f>
        <v>-16.927395215071439</v>
      </c>
    </row>
    <row r="138" spans="1:38" ht="3.75" hidden="1" customHeight="1" x14ac:dyDescent="0.25">
      <c r="A138" s="8" t="s">
        <v>2</v>
      </c>
      <c r="B138" s="138"/>
      <c r="C138" s="126"/>
      <c r="D138" s="138"/>
      <c r="E138" s="126"/>
      <c r="F138" s="138"/>
      <c r="G138" s="126"/>
      <c r="H138" s="138"/>
      <c r="I138" s="126"/>
      <c r="J138" s="138"/>
      <c r="K138" s="126"/>
      <c r="L138" s="138"/>
      <c r="M138" s="126"/>
      <c r="N138" s="138"/>
      <c r="O138" s="126"/>
      <c r="P138" s="138"/>
      <c r="Q138" s="126"/>
      <c r="R138" s="138"/>
      <c r="S138" s="126"/>
      <c r="T138" s="138"/>
      <c r="U138" s="126"/>
      <c r="V138" s="138"/>
      <c r="W138" s="126"/>
      <c r="X138" s="138"/>
      <c r="Y138" s="126"/>
      <c r="Z138" s="138"/>
      <c r="AA138" s="126"/>
      <c r="AB138" s="138"/>
      <c r="AC138" s="126"/>
      <c r="AD138" s="139"/>
      <c r="AE138" s="128"/>
      <c r="AF138" s="139"/>
      <c r="AG138" s="138"/>
      <c r="AH138" s="126"/>
      <c r="AI138" s="139"/>
      <c r="AJ138" s="128"/>
      <c r="AK138" s="139"/>
      <c r="AL138" s="128"/>
    </row>
    <row r="139" spans="1:38" ht="16.5" hidden="1" customHeight="1" x14ac:dyDescent="0.25">
      <c r="A139" s="1" t="s">
        <v>133</v>
      </c>
      <c r="B139" s="111"/>
      <c r="C139" s="112"/>
      <c r="D139" s="111"/>
      <c r="E139" s="112"/>
      <c r="F139" s="111"/>
      <c r="G139" s="112"/>
      <c r="H139" s="111"/>
      <c r="I139" s="112"/>
      <c r="J139" s="111"/>
      <c r="K139" s="112"/>
      <c r="L139" s="111"/>
      <c r="M139" s="112"/>
      <c r="N139" s="111"/>
      <c r="O139" s="112"/>
      <c r="P139" s="111"/>
      <c r="Q139" s="112"/>
      <c r="R139" s="111"/>
      <c r="S139" s="112"/>
      <c r="T139" s="111"/>
      <c r="U139" s="112"/>
      <c r="V139" s="111"/>
      <c r="W139" s="112"/>
      <c r="X139" s="111"/>
      <c r="Y139" s="112"/>
      <c r="Z139" s="111"/>
      <c r="AA139" s="112"/>
      <c r="AB139" s="111"/>
      <c r="AC139" s="112"/>
      <c r="AD139" s="113"/>
      <c r="AE139" s="114"/>
      <c r="AF139" s="113"/>
      <c r="AG139" s="111"/>
      <c r="AH139" s="112"/>
      <c r="AI139" s="113"/>
      <c r="AJ139" s="114"/>
      <c r="AK139" s="113"/>
      <c r="AL139" s="114"/>
    </row>
    <row r="140" spans="1:38" ht="16.5" hidden="1" customHeight="1" x14ac:dyDescent="0.25">
      <c r="A140" s="2" t="s">
        <v>134</v>
      </c>
      <c r="B140" s="115">
        <v>3445.4100000000003</v>
      </c>
      <c r="C140" s="116">
        <f>IFERROR(B140/B148, "NA")</f>
        <v>8.5083238300039166E-2</v>
      </c>
      <c r="D140" s="115">
        <v>0</v>
      </c>
      <c r="E140" s="116">
        <f>IFERROR(D140/D148, "NA")</f>
        <v>0</v>
      </c>
      <c r="F140" s="115">
        <v>0</v>
      </c>
      <c r="G140" s="116">
        <f>IFERROR(F140/F148, "NA")</f>
        <v>0</v>
      </c>
      <c r="H140" s="115">
        <v>0</v>
      </c>
      <c r="I140" s="116">
        <f>IFERROR(H140/H148, "NA")</f>
        <v>0</v>
      </c>
      <c r="J140" s="115">
        <v>3305.3500000000004</v>
      </c>
      <c r="K140" s="116">
        <f>IFERROR(J140/J148, "NA")</f>
        <v>0.12789226459481212</v>
      </c>
      <c r="L140" s="115">
        <v>0</v>
      </c>
      <c r="M140" s="116">
        <f>IFERROR(L140/L148, "NA")</f>
        <v>0</v>
      </c>
      <c r="N140" s="115">
        <v>0</v>
      </c>
      <c r="O140" s="116">
        <f>IFERROR(N140/N148, "NA")</f>
        <v>0</v>
      </c>
      <c r="P140" s="115">
        <v>0</v>
      </c>
      <c r="Q140" s="116">
        <f>IFERROR(P140/P148, "NA")</f>
        <v>0</v>
      </c>
      <c r="R140" s="115">
        <v>166.54</v>
      </c>
      <c r="S140" s="116">
        <f>IFERROR(R140/R148, "NA")</f>
        <v>3.4689133994330679E-3</v>
      </c>
      <c r="T140" s="115">
        <v>3298.51</v>
      </c>
      <c r="U140" s="116">
        <f>IFERROR(T140/T148, "NA")</f>
        <v>0.12091369936880199</v>
      </c>
      <c r="V140" s="115">
        <v>0</v>
      </c>
      <c r="W140" s="116">
        <f>IFERROR(V140/V148, "NA")</f>
        <v>0</v>
      </c>
      <c r="X140" s="115">
        <v>0</v>
      </c>
      <c r="Y140" s="116">
        <f>IFERROR(X140/X148, "NA")</f>
        <v>0</v>
      </c>
      <c r="Z140" s="115">
        <v>0</v>
      </c>
      <c r="AA140" s="116">
        <f>IFERROR(Z140/Z148, "NA")</f>
        <v>0</v>
      </c>
      <c r="AB140" s="117">
        <f>IFERROR((R140+T140+V140+X140)/4, "NA")</f>
        <v>866.26250000000005</v>
      </c>
      <c r="AC140" s="116">
        <f>IFERROR(AB140/AB148, "NA")</f>
        <v>2.6022219124800915E-2</v>
      </c>
      <c r="AD140" s="118">
        <f>IFERROR(X140-AB140, "NA")</f>
        <v>-866.26250000000005</v>
      </c>
      <c r="AE140" s="119">
        <f>IFERROR(AD140/AD148, "NA")</f>
        <v>0.14033314973513264</v>
      </c>
      <c r="AF140" s="118">
        <f>IFERROR((X140-AB140)/AB140, "NA")</f>
        <v>-1</v>
      </c>
      <c r="AG140" s="117">
        <f>IFERROR((J140+L140+N140+P140+R140+T140+V140+X140)/8, "NA")</f>
        <v>846.30000000000007</v>
      </c>
      <c r="AH140" s="116">
        <f>IFERROR(AG140/AG148, "NA")</f>
        <v>2.8994717877078226E-2</v>
      </c>
      <c r="AI140" s="118">
        <f>IFERROR(X140-AG140, "NA")</f>
        <v>-846.30000000000007</v>
      </c>
      <c r="AJ140" s="119">
        <f>IFERROR(AI140/AI148, "NA")</f>
        <v>0.40851790976692287</v>
      </c>
      <c r="AK140" s="118">
        <f>IFERROR((X140-AG140)/AG140, "NA")</f>
        <v>-1</v>
      </c>
      <c r="AL140" s="119">
        <f>IFERROR(AK140/AK148, "NA")</f>
        <v>14.089390746922103</v>
      </c>
    </row>
    <row r="141" spans="1:38" ht="16.5" hidden="1" customHeight="1" x14ac:dyDescent="0.25">
      <c r="A141" s="120" t="s">
        <v>135</v>
      </c>
      <c r="B141" s="121">
        <f>IFERROR(B140, "NA")</f>
        <v>3445.4100000000003</v>
      </c>
      <c r="C141" s="122">
        <f>IFERROR(B141/B148, "NA")</f>
        <v>8.5083238300039166E-2</v>
      </c>
      <c r="D141" s="121">
        <f>IFERROR(D140, "NA")</f>
        <v>0</v>
      </c>
      <c r="E141" s="122">
        <f>IFERROR(D141/D148, "NA")</f>
        <v>0</v>
      </c>
      <c r="F141" s="121">
        <f>IFERROR(F140, "NA")</f>
        <v>0</v>
      </c>
      <c r="G141" s="122">
        <f>IFERROR(F141/F148, "NA")</f>
        <v>0</v>
      </c>
      <c r="H141" s="121">
        <f>IFERROR(H140, "NA")</f>
        <v>0</v>
      </c>
      <c r="I141" s="122">
        <f>IFERROR(H141/H148, "NA")</f>
        <v>0</v>
      </c>
      <c r="J141" s="121">
        <f>IFERROR(J140, "NA")</f>
        <v>3305.3500000000004</v>
      </c>
      <c r="K141" s="122">
        <f>IFERROR(J141/J148, "NA")</f>
        <v>0.12789226459481212</v>
      </c>
      <c r="L141" s="121">
        <f>IFERROR(L140, "NA")</f>
        <v>0</v>
      </c>
      <c r="M141" s="122">
        <f>IFERROR(L141/L148, "NA")</f>
        <v>0</v>
      </c>
      <c r="N141" s="121">
        <f>IFERROR(N140, "NA")</f>
        <v>0</v>
      </c>
      <c r="O141" s="122">
        <f>IFERROR(N141/N148, "NA")</f>
        <v>0</v>
      </c>
      <c r="P141" s="121">
        <f>IFERROR(P140, "NA")</f>
        <v>0</v>
      </c>
      <c r="Q141" s="122">
        <f>IFERROR(P141/P148, "NA")</f>
        <v>0</v>
      </c>
      <c r="R141" s="121">
        <f>IFERROR(R140, "NA")</f>
        <v>166.54</v>
      </c>
      <c r="S141" s="122">
        <f>IFERROR(R141/R148, "NA")</f>
        <v>3.4689133994330679E-3</v>
      </c>
      <c r="T141" s="121">
        <f>IFERROR(T140, "NA")</f>
        <v>3298.51</v>
      </c>
      <c r="U141" s="122">
        <f>IFERROR(T141/T148, "NA")</f>
        <v>0.12091369936880199</v>
      </c>
      <c r="V141" s="121">
        <f>IFERROR(V140, "NA")</f>
        <v>0</v>
      </c>
      <c r="W141" s="122">
        <f>IFERROR(V141/V148, "NA")</f>
        <v>0</v>
      </c>
      <c r="X141" s="121">
        <f>IFERROR(X140, "NA")</f>
        <v>0</v>
      </c>
      <c r="Y141" s="122">
        <f>IFERROR(X141/X148, "NA")</f>
        <v>0</v>
      </c>
      <c r="Z141" s="121">
        <f>IFERROR(Z140, "NA")</f>
        <v>0</v>
      </c>
      <c r="AA141" s="122">
        <f>IFERROR(Z141/Z148, "NA")</f>
        <v>0</v>
      </c>
      <c r="AB141" s="121">
        <f>IFERROR((R141+T141+V141+X141)/4, "NA")</f>
        <v>866.26250000000005</v>
      </c>
      <c r="AC141" s="122">
        <f>IFERROR(AB141/AB148, "NA")</f>
        <v>2.6022219124800915E-2</v>
      </c>
      <c r="AD141" s="123">
        <f>IFERROR(X141-AB141, "NA")</f>
        <v>-866.26250000000005</v>
      </c>
      <c r="AE141" s="124">
        <f>IFERROR(AD141/AD148, "NA")</f>
        <v>0.14033314973513264</v>
      </c>
      <c r="AF141" s="123">
        <f>IFERROR((X141-AB141)/AB141, "NA")</f>
        <v>-1</v>
      </c>
      <c r="AG141" s="121">
        <f>IFERROR((J141+L141+N141+P141+R141+T141+V141+X141)/8, "NA")</f>
        <v>846.30000000000007</v>
      </c>
      <c r="AH141" s="122">
        <f>IFERROR(AG141/AG148, "NA")</f>
        <v>2.8994717877078226E-2</v>
      </c>
      <c r="AI141" s="123">
        <f>IFERROR(X141-AG141, "NA")</f>
        <v>-846.30000000000007</v>
      </c>
      <c r="AJ141" s="124">
        <f>IFERROR(AI141/AI148, "NA")</f>
        <v>0.40851790976692287</v>
      </c>
      <c r="AK141" s="123">
        <f>IFERROR((X141-AG141)/AG141, "NA")</f>
        <v>-1</v>
      </c>
      <c r="AL141" s="124">
        <f>IFERROR(AK141/AK148, "NA")</f>
        <v>14.089390746922103</v>
      </c>
    </row>
    <row r="142" spans="1:38" ht="3.75" hidden="1" customHeight="1" x14ac:dyDescent="0.25">
      <c r="A142" s="8" t="s">
        <v>2</v>
      </c>
      <c r="B142" s="138"/>
      <c r="C142" s="126"/>
      <c r="D142" s="138"/>
      <c r="E142" s="126"/>
      <c r="F142" s="138"/>
      <c r="G142" s="126"/>
      <c r="H142" s="138"/>
      <c r="I142" s="126"/>
      <c r="J142" s="138"/>
      <c r="K142" s="126"/>
      <c r="L142" s="138"/>
      <c r="M142" s="126"/>
      <c r="N142" s="138"/>
      <c r="O142" s="126"/>
      <c r="P142" s="138"/>
      <c r="Q142" s="126"/>
      <c r="R142" s="138"/>
      <c r="S142" s="126"/>
      <c r="T142" s="138"/>
      <c r="U142" s="126"/>
      <c r="V142" s="138"/>
      <c r="W142" s="126"/>
      <c r="X142" s="138"/>
      <c r="Y142" s="126"/>
      <c r="Z142" s="138"/>
      <c r="AA142" s="126"/>
      <c r="AB142" s="138"/>
      <c r="AC142" s="126"/>
      <c r="AD142" s="139"/>
      <c r="AE142" s="128"/>
      <c r="AF142" s="139"/>
      <c r="AG142" s="138"/>
      <c r="AH142" s="126"/>
      <c r="AI142" s="139"/>
      <c r="AJ142" s="128"/>
      <c r="AK142" s="139"/>
      <c r="AL142" s="128"/>
    </row>
    <row r="143" spans="1:38" ht="16.5" hidden="1" customHeight="1" x14ac:dyDescent="0.25">
      <c r="A143" s="1" t="s">
        <v>136</v>
      </c>
      <c r="B143" s="111"/>
      <c r="C143" s="112"/>
      <c r="D143" s="111"/>
      <c r="E143" s="112"/>
      <c r="F143" s="111"/>
      <c r="G143" s="112"/>
      <c r="H143" s="111"/>
      <c r="I143" s="112"/>
      <c r="J143" s="111"/>
      <c r="K143" s="112"/>
      <c r="L143" s="111"/>
      <c r="M143" s="112"/>
      <c r="N143" s="111"/>
      <c r="O143" s="112"/>
      <c r="P143" s="111"/>
      <c r="Q143" s="112"/>
      <c r="R143" s="111"/>
      <c r="S143" s="112"/>
      <c r="T143" s="111"/>
      <c r="U143" s="112"/>
      <c r="V143" s="111"/>
      <c r="W143" s="112"/>
      <c r="X143" s="111"/>
      <c r="Y143" s="112"/>
      <c r="Z143" s="111"/>
      <c r="AA143" s="112"/>
      <c r="AB143" s="111"/>
      <c r="AC143" s="112"/>
      <c r="AD143" s="113"/>
      <c r="AE143" s="114"/>
      <c r="AF143" s="113"/>
      <c r="AG143" s="111"/>
      <c r="AH143" s="112"/>
      <c r="AI143" s="113"/>
      <c r="AJ143" s="114"/>
      <c r="AK143" s="113"/>
      <c r="AL143" s="114"/>
    </row>
    <row r="144" spans="1:38" ht="16.5" hidden="1" customHeight="1" x14ac:dyDescent="0.25">
      <c r="A144" s="2" t="s">
        <v>137</v>
      </c>
      <c r="B144" s="115">
        <v>0</v>
      </c>
      <c r="C144" s="116">
        <f>IFERROR(B144/B148, "NA")</f>
        <v>0</v>
      </c>
      <c r="D144" s="115">
        <v>0</v>
      </c>
      <c r="E144" s="116">
        <f>IFERROR(D144/D148, "NA")</f>
        <v>0</v>
      </c>
      <c r="F144" s="115">
        <v>0</v>
      </c>
      <c r="G144" s="116">
        <f>IFERROR(F144/F148, "NA")</f>
        <v>0</v>
      </c>
      <c r="H144" s="115">
        <v>0</v>
      </c>
      <c r="I144" s="116">
        <f>IFERROR(H144/H148, "NA")</f>
        <v>0</v>
      </c>
      <c r="J144" s="115">
        <v>0</v>
      </c>
      <c r="K144" s="116">
        <f>IFERROR(J144/J148, "NA")</f>
        <v>0</v>
      </c>
      <c r="L144" s="115">
        <v>0</v>
      </c>
      <c r="M144" s="116">
        <f>IFERROR(L144/L148, "NA")</f>
        <v>0</v>
      </c>
      <c r="N144" s="115">
        <v>0</v>
      </c>
      <c r="O144" s="116">
        <f>IFERROR(N144/N148, "NA")</f>
        <v>0</v>
      </c>
      <c r="P144" s="115">
        <v>0</v>
      </c>
      <c r="Q144" s="116">
        <f>IFERROR(P144/P148, "NA")</f>
        <v>0</v>
      </c>
      <c r="R144" s="115">
        <v>0</v>
      </c>
      <c r="S144" s="116">
        <f>IFERROR(R144/R148, "NA")</f>
        <v>0</v>
      </c>
      <c r="T144" s="115">
        <v>0</v>
      </c>
      <c r="U144" s="116">
        <f>IFERROR(T144/T148, "NA")</f>
        <v>0</v>
      </c>
      <c r="V144" s="115">
        <v>0</v>
      </c>
      <c r="W144" s="116">
        <f>IFERROR(V144/V148, "NA")</f>
        <v>0</v>
      </c>
      <c r="X144" s="115">
        <v>0</v>
      </c>
      <c r="Y144" s="116">
        <f>IFERROR(X144/X148, "NA")</f>
        <v>0</v>
      </c>
      <c r="Z144" s="115">
        <v>0</v>
      </c>
      <c r="AA144" s="116">
        <f>IFERROR(Z144/Z148, "NA")</f>
        <v>0</v>
      </c>
      <c r="AB144" s="117">
        <f>IFERROR((R144+T144+V144+X144)/4, "NA")</f>
        <v>0</v>
      </c>
      <c r="AC144" s="116">
        <f>IFERROR(AB144/AB148, "NA")</f>
        <v>0</v>
      </c>
      <c r="AD144" s="118">
        <f>IFERROR(X144-AB144, "NA")</f>
        <v>0</v>
      </c>
      <c r="AE144" s="119">
        <f>IFERROR(AD144/AD148, "NA")</f>
        <v>0</v>
      </c>
      <c r="AF144" s="118" t="str">
        <f>IFERROR((X144-AB144)/AB144, "NA")</f>
        <v>NA</v>
      </c>
      <c r="AG144" s="117">
        <f>IFERROR((J144+L144+N144+P144+R144+T144+V144+X144)/8, "NA")</f>
        <v>0</v>
      </c>
      <c r="AH144" s="116">
        <f>IFERROR(AG144/AG148, "NA")</f>
        <v>0</v>
      </c>
      <c r="AI144" s="118">
        <f>IFERROR(X144-AG144, "NA")</f>
        <v>0</v>
      </c>
      <c r="AJ144" s="119">
        <f>IFERROR(AI144/AI148, "NA")</f>
        <v>0</v>
      </c>
      <c r="AK144" s="118" t="str">
        <f>IFERROR((X144-AG144)/AG144, "NA")</f>
        <v>NA</v>
      </c>
      <c r="AL144" s="119" t="str">
        <f>IFERROR(AK144/AK148, "NA")</f>
        <v>NA</v>
      </c>
    </row>
    <row r="145" spans="1:38" ht="16.5" hidden="1" customHeight="1" x14ac:dyDescent="0.25">
      <c r="A145" s="120" t="s">
        <v>138</v>
      </c>
      <c r="B145" s="121">
        <f>IFERROR(B144, "NA")</f>
        <v>0</v>
      </c>
      <c r="C145" s="122">
        <f>IFERROR(B145/B148, "NA")</f>
        <v>0</v>
      </c>
      <c r="D145" s="121">
        <f>IFERROR(D144, "NA")</f>
        <v>0</v>
      </c>
      <c r="E145" s="122">
        <f>IFERROR(D145/D148, "NA")</f>
        <v>0</v>
      </c>
      <c r="F145" s="121">
        <f>IFERROR(F144, "NA")</f>
        <v>0</v>
      </c>
      <c r="G145" s="122">
        <f>IFERROR(F145/F148, "NA")</f>
        <v>0</v>
      </c>
      <c r="H145" s="121">
        <f>IFERROR(H144, "NA")</f>
        <v>0</v>
      </c>
      <c r="I145" s="122">
        <f>IFERROR(H145/H148, "NA")</f>
        <v>0</v>
      </c>
      <c r="J145" s="121">
        <f>IFERROR(J144, "NA")</f>
        <v>0</v>
      </c>
      <c r="K145" s="122">
        <f>IFERROR(J145/J148, "NA")</f>
        <v>0</v>
      </c>
      <c r="L145" s="121">
        <f>IFERROR(L144, "NA")</f>
        <v>0</v>
      </c>
      <c r="M145" s="122">
        <f>IFERROR(L145/L148, "NA")</f>
        <v>0</v>
      </c>
      <c r="N145" s="121">
        <f>IFERROR(N144, "NA")</f>
        <v>0</v>
      </c>
      <c r="O145" s="122">
        <f>IFERROR(N145/N148, "NA")</f>
        <v>0</v>
      </c>
      <c r="P145" s="121">
        <f>IFERROR(P144, "NA")</f>
        <v>0</v>
      </c>
      <c r="Q145" s="122">
        <f>IFERROR(P145/P148, "NA")</f>
        <v>0</v>
      </c>
      <c r="R145" s="121">
        <f>IFERROR(R144, "NA")</f>
        <v>0</v>
      </c>
      <c r="S145" s="122">
        <f>IFERROR(R145/R148, "NA")</f>
        <v>0</v>
      </c>
      <c r="T145" s="121">
        <f>IFERROR(T144, "NA")</f>
        <v>0</v>
      </c>
      <c r="U145" s="122">
        <f>IFERROR(T145/T148, "NA")</f>
        <v>0</v>
      </c>
      <c r="V145" s="121">
        <f>IFERROR(V144, "NA")</f>
        <v>0</v>
      </c>
      <c r="W145" s="122">
        <f>IFERROR(V145/V148, "NA")</f>
        <v>0</v>
      </c>
      <c r="X145" s="121">
        <f>IFERROR(X144, "NA")</f>
        <v>0</v>
      </c>
      <c r="Y145" s="122">
        <f>IFERROR(X145/X148, "NA")</f>
        <v>0</v>
      </c>
      <c r="Z145" s="121">
        <f>IFERROR(Z144, "NA")</f>
        <v>0</v>
      </c>
      <c r="AA145" s="122">
        <f>IFERROR(Z145/Z148, "NA")</f>
        <v>0</v>
      </c>
      <c r="AB145" s="121">
        <f>IFERROR((R145+T145+V145+X145)/4, "NA")</f>
        <v>0</v>
      </c>
      <c r="AC145" s="122">
        <f>IFERROR(AB145/AB148, "NA")</f>
        <v>0</v>
      </c>
      <c r="AD145" s="123">
        <f>IFERROR(X145-AB145, "NA")</f>
        <v>0</v>
      </c>
      <c r="AE145" s="124">
        <f>IFERROR(AD145/AD148, "NA")</f>
        <v>0</v>
      </c>
      <c r="AF145" s="123" t="str">
        <f>IFERROR((X145-AB145)/AB145, "NA")</f>
        <v>NA</v>
      </c>
      <c r="AG145" s="121">
        <f>IFERROR((J145+L145+N145+P145+R145+T145+V145+X145)/8, "NA")</f>
        <v>0</v>
      </c>
      <c r="AH145" s="122">
        <f>IFERROR(AG145/AG148, "NA")</f>
        <v>0</v>
      </c>
      <c r="AI145" s="123">
        <f>IFERROR(X145-AG145, "NA")</f>
        <v>0</v>
      </c>
      <c r="AJ145" s="124">
        <f>IFERROR(AI145/AI148, "NA")</f>
        <v>0</v>
      </c>
      <c r="AK145" s="123" t="str">
        <f>IFERROR((X145-AG145)/AG145, "NA")</f>
        <v>NA</v>
      </c>
      <c r="AL145" s="124" t="str">
        <f>IFERROR(AK145/AK148, "NA")</f>
        <v>NA</v>
      </c>
    </row>
    <row r="146" spans="1:38" ht="3.75" hidden="1" customHeight="1" x14ac:dyDescent="0.25">
      <c r="A146" s="8" t="s">
        <v>2</v>
      </c>
      <c r="B146" s="138"/>
      <c r="C146" s="126"/>
      <c r="D146" s="138"/>
      <c r="E146" s="126"/>
      <c r="F146" s="138"/>
      <c r="G146" s="126"/>
      <c r="H146" s="138"/>
      <c r="I146" s="126"/>
      <c r="J146" s="138"/>
      <c r="K146" s="126"/>
      <c r="L146" s="138"/>
      <c r="M146" s="126"/>
      <c r="N146" s="138"/>
      <c r="O146" s="126"/>
      <c r="P146" s="138"/>
      <c r="Q146" s="126"/>
      <c r="R146" s="138"/>
      <c r="S146" s="126"/>
      <c r="T146" s="138"/>
      <c r="U146" s="126"/>
      <c r="V146" s="138"/>
      <c r="W146" s="126"/>
      <c r="X146" s="138"/>
      <c r="Y146" s="126"/>
      <c r="Z146" s="138"/>
      <c r="AA146" s="126"/>
      <c r="AB146" s="138"/>
      <c r="AC146" s="126"/>
      <c r="AD146" s="139"/>
      <c r="AE146" s="128"/>
      <c r="AF146" s="139"/>
      <c r="AG146" s="138"/>
      <c r="AH146" s="126"/>
      <c r="AI146" s="139"/>
      <c r="AJ146" s="128"/>
      <c r="AK146" s="139"/>
      <c r="AL146" s="128"/>
    </row>
    <row r="147" spans="1:38" ht="16.5" hidden="1" customHeight="1" x14ac:dyDescent="0.25">
      <c r="A147" s="135" t="s">
        <v>139</v>
      </c>
      <c r="B147" s="136">
        <f>IFERROR(B137-B141-B145, "NA")</f>
        <v>-5564.7300000000032</v>
      </c>
      <c r="C147" s="137">
        <f>IFERROR(B147/B148, "NA")</f>
        <v>-0.13741913115286053</v>
      </c>
      <c r="D147" s="136">
        <f>IFERROR(D137-D141-D145, "NA")</f>
        <v>5378.1999999999989</v>
      </c>
      <c r="E147" s="137">
        <f>IFERROR(D147/D148, "NA")</f>
        <v>0.23235699213869351</v>
      </c>
      <c r="F147" s="136">
        <f>IFERROR(F137-F141-F145, "NA")</f>
        <v>6227.190000000006</v>
      </c>
      <c r="G147" s="137">
        <f>IFERROR(F147/F148, "NA")</f>
        <v>0.2449523150178686</v>
      </c>
      <c r="H147" s="136">
        <f>IFERROR(H137-H141-H145, "NA")</f>
        <v>-2060.5199999999959</v>
      </c>
      <c r="I147" s="137">
        <f>IFERROR(H147/H148, "NA")</f>
        <v>-8.4080721605944389E-2</v>
      </c>
      <c r="J147" s="136">
        <f>IFERROR(J137-J141-J145, "NA")</f>
        <v>-11623.660000000003</v>
      </c>
      <c r="K147" s="137">
        <f>IFERROR(J147/J148, "NA")</f>
        <v>-0.44974849873088607</v>
      </c>
      <c r="L147" s="136">
        <f>IFERROR(L137-L141-L145, "NA")</f>
        <v>7966.6299999999992</v>
      </c>
      <c r="M147" s="137">
        <f>IFERROR(L147/L148, "NA")</f>
        <v>0.27983339181761052</v>
      </c>
      <c r="N147" s="136">
        <f>IFERROR(N137-N141-N145, "NA")</f>
        <v>2026.7600000000016</v>
      </c>
      <c r="O147" s="137">
        <f>IFERROR(N147/N148, "NA")</f>
        <v>8.2475518920749072E-2</v>
      </c>
      <c r="P147" s="136">
        <f>IFERROR(P137-P141-P145, "NA")</f>
        <v>4366.1499999999987</v>
      </c>
      <c r="Q147" s="137">
        <f>IFERROR(P147/P148, "NA")</f>
        <v>0.20346313487427514</v>
      </c>
      <c r="R147" s="136">
        <f>IFERROR(R137-R141-R145, "NA")</f>
        <v>16879.849999999988</v>
      </c>
      <c r="S147" s="137">
        <f>IFERROR(R147/R148, "NA")</f>
        <v>0.35159563975873803</v>
      </c>
      <c r="T147" s="136">
        <f>IFERROR(T137-T141-T145, "NA")</f>
        <v>-10470.919999999995</v>
      </c>
      <c r="U147" s="137">
        <f>IFERROR(T147/T148, "NA")</f>
        <v>-0.38383320741631083</v>
      </c>
      <c r="V147" s="136">
        <f>IFERROR(V137-V141-V145, "NA")</f>
        <v>7726.0299999999979</v>
      </c>
      <c r="W147" s="137">
        <f>IFERROR(V147/V148, "NA")</f>
        <v>0.25123846489536533</v>
      </c>
      <c r="X147" s="136">
        <f>IFERROR(X137-X141-X145, "NA")</f>
        <v>8975.3999999999942</v>
      </c>
      <c r="Y147" s="137">
        <f>IFERROR(X147/X148, "NA")</f>
        <v>0.330994776600468</v>
      </c>
      <c r="Z147" s="136">
        <f>IFERROR(Z137-Z141-Z145, "NA")</f>
        <v>16701.430000000004</v>
      </c>
      <c r="AA147" s="137">
        <f>IFERROR(Z147/Z148, "NA")</f>
        <v>0.2886114347391367</v>
      </c>
      <c r="AB147" s="136">
        <f>IFERROR((R147+T147+V147+X147)/4, "NA")</f>
        <v>5777.5899999999965</v>
      </c>
      <c r="AC147" s="137">
        <f>IFERROR(AB147/AB148, "NA")</f>
        <v>0.17355676021212788</v>
      </c>
      <c r="AD147" s="123">
        <f>IFERROR(X147-AB147, "NA")</f>
        <v>3197.8099999999977</v>
      </c>
      <c r="AE147" s="124">
        <f>IFERROR(AD147/AD148, "NA")</f>
        <v>-0.51804014320659642</v>
      </c>
      <c r="AF147" s="123">
        <f>IFERROR((X147-AB147)/AB147, "NA")</f>
        <v>0.55348510365048398</v>
      </c>
      <c r="AG147" s="136">
        <f>IFERROR((J147+L147+N147+P147+R147+T147+V147+X147)/8, "NA")</f>
        <v>3230.7799999999979</v>
      </c>
      <c r="AH147" s="137">
        <f>IFERROR(AG147/AG148, "NA")</f>
        <v>0.11068835474761518</v>
      </c>
      <c r="AI147" s="123">
        <f>IFERROR(X147-AG147, "NA")</f>
        <v>5744.6199999999963</v>
      </c>
      <c r="AJ147" s="124">
        <f>IFERROR(AI147/AI148, "NA")</f>
        <v>-2.7729884849406341</v>
      </c>
      <c r="AK147" s="123">
        <f>IFERROR((X147-AG147)/AG147, "NA")</f>
        <v>1.7780907396975343</v>
      </c>
      <c r="AL147" s="124">
        <f>IFERROR(AK147/AK148, "NA")</f>
        <v>-25.052215215082317</v>
      </c>
    </row>
    <row r="148" spans="1:38" ht="15.75" hidden="1" x14ac:dyDescent="0.25">
      <c r="A148" s="10" t="s">
        <v>16</v>
      </c>
      <c r="B148" s="115">
        <v>40494.58</v>
      </c>
      <c r="C148" s="141"/>
      <c r="D148" s="115">
        <v>23146.28</v>
      </c>
      <c r="E148" s="141"/>
      <c r="F148" s="115">
        <v>25422.05</v>
      </c>
      <c r="G148" s="141"/>
      <c r="H148" s="115">
        <v>24506.45</v>
      </c>
      <c r="I148" s="141"/>
      <c r="J148" s="115">
        <v>25844.799999999999</v>
      </c>
      <c r="K148" s="141"/>
      <c r="L148" s="115">
        <v>28469.19</v>
      </c>
      <c r="M148" s="141"/>
      <c r="N148" s="115">
        <v>24574.080000000002</v>
      </c>
      <c r="O148" s="141"/>
      <c r="P148" s="115">
        <v>21459.17</v>
      </c>
      <c r="Q148" s="141"/>
      <c r="R148" s="115">
        <v>48009.27</v>
      </c>
      <c r="S148" s="141"/>
      <c r="T148" s="115">
        <v>27279.87</v>
      </c>
      <c r="U148" s="141"/>
      <c r="V148" s="115">
        <v>30751.78</v>
      </c>
      <c r="W148" s="141"/>
      <c r="X148" s="115">
        <v>27116.44</v>
      </c>
      <c r="Y148" s="141"/>
      <c r="Z148" s="115">
        <v>57868.22</v>
      </c>
      <c r="AA148" s="141"/>
      <c r="AB148" s="117">
        <f>IFERROR((R148+T148+V148+X148)/4, "NA")</f>
        <v>33289.339999999997</v>
      </c>
      <c r="AC148" s="141"/>
      <c r="AD148" s="118">
        <f>IFERROR(X148-AB148, "NA")</f>
        <v>-6172.8999999999978</v>
      </c>
      <c r="AE148" s="142"/>
      <c r="AF148" s="118">
        <f>IFERROR((X148-AB148)/AB148, "NA")</f>
        <v>-0.18543173280095065</v>
      </c>
      <c r="AG148" s="117">
        <f>IFERROR((J148+L148+N148+P148+R148+T148+V148+X148)/8, "NA")</f>
        <v>29188.075000000001</v>
      </c>
      <c r="AH148" s="141"/>
      <c r="AI148" s="118">
        <f>IFERROR(X148-AG148, "NA")</f>
        <v>-2071.635000000002</v>
      </c>
      <c r="AJ148" s="142"/>
      <c r="AK148" s="118">
        <f>IFERROR((X148-AG148)/AG148, "NA")</f>
        <v>-7.0975389778188597E-2</v>
      </c>
      <c r="AL148" s="142"/>
    </row>
    <row r="151" spans="1:38" ht="15.75" x14ac:dyDescent="0.25">
      <c r="A151" s="11" t="s">
        <v>140</v>
      </c>
    </row>
    <row r="152" spans="1:38" ht="15.75" x14ac:dyDescent="0.25">
      <c r="A152" s="11" t="s">
        <v>141</v>
      </c>
    </row>
    <row r="153" spans="1:38" ht="15.75" x14ac:dyDescent="0.25">
      <c r="A153" s="11" t="s">
        <v>247</v>
      </c>
    </row>
  </sheetData>
  <mergeCells count="21">
    <mergeCell ref="AK5:AL5"/>
    <mergeCell ref="Z5:AA5"/>
    <mergeCell ref="AB5:AC5"/>
    <mergeCell ref="AD5:AE5"/>
    <mergeCell ref="AG5:AH5"/>
    <mergeCell ref="A1:AL1"/>
    <mergeCell ref="A2:AL2"/>
    <mergeCell ref="A3:AL3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AI5:AJ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L153"/>
  <sheetViews>
    <sheetView showGridLines="0" workbookViewId="0">
      <pane xSplit="1" ySplit="5" topLeftCell="P35" activePane="bottomRight" state="frozen"/>
      <selection activeCell="D11" sqref="D11"/>
      <selection pane="topRight" activeCell="D11" sqref="D11"/>
      <selection pane="bottomLeft" activeCell="D11" sqref="D11"/>
      <selection pane="bottomRight" sqref="A1:XFD1048576"/>
    </sheetView>
  </sheetViews>
  <sheetFormatPr defaultRowHeight="15" x14ac:dyDescent="0.25"/>
  <cols>
    <col min="1" max="1" width="42.85546875" customWidth="1"/>
    <col min="2" max="2" width="17.140625" customWidth="1"/>
    <col min="3" max="3" width="9.42578125" customWidth="1"/>
    <col min="4" max="4" width="17.140625" customWidth="1"/>
    <col min="5" max="5" width="9.42578125" customWidth="1"/>
    <col min="6" max="6" width="17.140625" customWidth="1"/>
    <col min="7" max="7" width="9.42578125" customWidth="1"/>
    <col min="8" max="8" width="17.140625" customWidth="1"/>
    <col min="9" max="9" width="9.42578125" customWidth="1"/>
    <col min="10" max="10" width="17.140625" customWidth="1"/>
    <col min="11" max="11" width="9.42578125" customWidth="1"/>
    <col min="12" max="12" width="17.140625" customWidth="1"/>
    <col min="13" max="13" width="9.42578125" customWidth="1"/>
    <col min="14" max="14" width="17.140625" customWidth="1"/>
    <col min="15" max="15" width="9.42578125" customWidth="1"/>
    <col min="16" max="16" width="17.140625" customWidth="1"/>
    <col min="17" max="17" width="9.42578125" customWidth="1"/>
    <col min="18" max="18" width="17.140625" customWidth="1"/>
    <col min="19" max="19" width="9.42578125" customWidth="1"/>
    <col min="20" max="20" width="17.140625" customWidth="1"/>
    <col min="21" max="21" width="9.42578125" customWidth="1"/>
    <col min="22" max="22" width="17.140625" customWidth="1"/>
    <col min="23" max="23" width="9.42578125" customWidth="1"/>
    <col min="24" max="24" width="17.140625" customWidth="1"/>
    <col min="25" max="25" width="9.42578125" customWidth="1"/>
    <col min="26" max="26" width="17.140625" customWidth="1"/>
    <col min="27" max="27" width="9.42578125" customWidth="1"/>
    <col min="28" max="28" width="17.140625" customWidth="1"/>
    <col min="29" max="29" width="9.42578125" customWidth="1"/>
    <col min="30" max="30" width="16.7109375" customWidth="1"/>
    <col min="31" max="31" width="0" hidden="1" customWidth="1"/>
    <col min="32" max="32" width="16.7109375" customWidth="1"/>
    <col min="33" max="33" width="17.140625" customWidth="1"/>
    <col min="34" max="34" width="9.42578125" customWidth="1"/>
    <col min="35" max="35" width="16.7109375" customWidth="1"/>
    <col min="36" max="36" width="0" hidden="1" customWidth="1"/>
    <col min="37" max="37" width="16.7109375" customWidth="1"/>
    <col min="38" max="38" width="0" hidden="1" customWidth="1"/>
  </cols>
  <sheetData>
    <row r="1" spans="1:38" ht="33.75" x14ac:dyDescent="0.25">
      <c r="A1" s="151" t="s">
        <v>243</v>
      </c>
      <c r="B1" s="151" t="s">
        <v>243</v>
      </c>
      <c r="C1" s="151" t="s">
        <v>243</v>
      </c>
      <c r="D1" s="151" t="s">
        <v>243</v>
      </c>
      <c r="E1" s="151" t="s">
        <v>243</v>
      </c>
      <c r="F1" s="151" t="s">
        <v>243</v>
      </c>
      <c r="G1" s="151" t="s">
        <v>243</v>
      </c>
      <c r="H1" s="151" t="s">
        <v>243</v>
      </c>
      <c r="I1" s="151" t="s">
        <v>243</v>
      </c>
      <c r="J1" s="151" t="s">
        <v>243</v>
      </c>
      <c r="K1" s="151" t="s">
        <v>243</v>
      </c>
      <c r="L1" s="151" t="s">
        <v>243</v>
      </c>
      <c r="M1" s="151" t="s">
        <v>243</v>
      </c>
      <c r="N1" s="151" t="s">
        <v>243</v>
      </c>
      <c r="O1" s="151" t="s">
        <v>243</v>
      </c>
      <c r="P1" s="151" t="s">
        <v>243</v>
      </c>
      <c r="Q1" s="151" t="s">
        <v>243</v>
      </c>
      <c r="R1" s="151" t="s">
        <v>243</v>
      </c>
      <c r="S1" s="151" t="s">
        <v>243</v>
      </c>
      <c r="T1" s="151" t="s">
        <v>243</v>
      </c>
      <c r="U1" s="151" t="s">
        <v>243</v>
      </c>
      <c r="V1" s="151" t="s">
        <v>243</v>
      </c>
      <c r="W1" s="151" t="s">
        <v>243</v>
      </c>
      <c r="X1" s="151" t="s">
        <v>243</v>
      </c>
      <c r="Y1" s="151" t="s">
        <v>243</v>
      </c>
      <c r="Z1" s="151" t="s">
        <v>243</v>
      </c>
      <c r="AA1" s="151" t="s">
        <v>243</v>
      </c>
      <c r="AB1" s="151" t="s">
        <v>243</v>
      </c>
      <c r="AC1" s="151" t="s">
        <v>243</v>
      </c>
      <c r="AD1" s="151" t="s">
        <v>243</v>
      </c>
      <c r="AE1" s="151" t="s">
        <v>243</v>
      </c>
      <c r="AF1" s="151" t="s">
        <v>243</v>
      </c>
      <c r="AG1" s="151" t="s">
        <v>243</v>
      </c>
      <c r="AH1" s="151" t="s">
        <v>243</v>
      </c>
      <c r="AI1" s="151" t="s">
        <v>243</v>
      </c>
      <c r="AJ1" s="151" t="s">
        <v>243</v>
      </c>
      <c r="AK1" s="151" t="s">
        <v>243</v>
      </c>
      <c r="AL1" s="151" t="s">
        <v>243</v>
      </c>
    </row>
    <row r="2" spans="1:38" ht="23.25" x14ac:dyDescent="0.25">
      <c r="A2" s="152" t="s">
        <v>246</v>
      </c>
      <c r="B2" s="152" t="s">
        <v>246</v>
      </c>
      <c r="C2" s="152" t="s">
        <v>246</v>
      </c>
      <c r="D2" s="152" t="s">
        <v>246</v>
      </c>
      <c r="E2" s="152" t="s">
        <v>246</v>
      </c>
      <c r="F2" s="152" t="s">
        <v>246</v>
      </c>
      <c r="G2" s="152" t="s">
        <v>246</v>
      </c>
      <c r="H2" s="152" t="s">
        <v>246</v>
      </c>
      <c r="I2" s="152" t="s">
        <v>246</v>
      </c>
      <c r="J2" s="152" t="s">
        <v>246</v>
      </c>
      <c r="K2" s="152" t="s">
        <v>246</v>
      </c>
      <c r="L2" s="152" t="s">
        <v>246</v>
      </c>
      <c r="M2" s="152" t="s">
        <v>246</v>
      </c>
      <c r="N2" s="152" t="s">
        <v>246</v>
      </c>
      <c r="O2" s="152" t="s">
        <v>246</v>
      </c>
      <c r="P2" s="152" t="s">
        <v>246</v>
      </c>
      <c r="Q2" s="152" t="s">
        <v>246</v>
      </c>
      <c r="R2" s="152" t="s">
        <v>246</v>
      </c>
      <c r="S2" s="152" t="s">
        <v>246</v>
      </c>
      <c r="T2" s="152" t="s">
        <v>246</v>
      </c>
      <c r="U2" s="152" t="s">
        <v>246</v>
      </c>
      <c r="V2" s="152" t="s">
        <v>246</v>
      </c>
      <c r="W2" s="152" t="s">
        <v>246</v>
      </c>
      <c r="X2" s="152" t="s">
        <v>246</v>
      </c>
      <c r="Y2" s="152" t="s">
        <v>246</v>
      </c>
      <c r="Z2" s="152" t="s">
        <v>246</v>
      </c>
      <c r="AA2" s="152" t="s">
        <v>246</v>
      </c>
      <c r="AB2" s="152" t="s">
        <v>246</v>
      </c>
      <c r="AC2" s="152" t="s">
        <v>246</v>
      </c>
      <c r="AD2" s="152" t="s">
        <v>246</v>
      </c>
      <c r="AE2" s="152" t="s">
        <v>246</v>
      </c>
      <c r="AF2" s="152" t="s">
        <v>246</v>
      </c>
      <c r="AG2" s="152" t="s">
        <v>246</v>
      </c>
      <c r="AH2" s="152" t="s">
        <v>246</v>
      </c>
      <c r="AI2" s="152" t="s">
        <v>246</v>
      </c>
      <c r="AJ2" s="152" t="s">
        <v>246</v>
      </c>
      <c r="AK2" s="152" t="s">
        <v>246</v>
      </c>
      <c r="AL2" s="152" t="s">
        <v>246</v>
      </c>
    </row>
    <row r="3" spans="1:38" ht="15.75" x14ac:dyDescent="0.25">
      <c r="A3" s="153" t="s">
        <v>144</v>
      </c>
      <c r="B3" s="153" t="s">
        <v>144</v>
      </c>
      <c r="C3" s="153" t="s">
        <v>144</v>
      </c>
      <c r="D3" s="153" t="s">
        <v>144</v>
      </c>
      <c r="E3" s="153" t="s">
        <v>144</v>
      </c>
      <c r="F3" s="153" t="s">
        <v>144</v>
      </c>
      <c r="G3" s="153" t="s">
        <v>144</v>
      </c>
      <c r="H3" s="153" t="s">
        <v>144</v>
      </c>
      <c r="I3" s="153" t="s">
        <v>144</v>
      </c>
      <c r="J3" s="153" t="s">
        <v>144</v>
      </c>
      <c r="K3" s="153" t="s">
        <v>144</v>
      </c>
      <c r="L3" s="153" t="s">
        <v>144</v>
      </c>
      <c r="M3" s="153" t="s">
        <v>144</v>
      </c>
      <c r="N3" s="153" t="s">
        <v>144</v>
      </c>
      <c r="O3" s="153" t="s">
        <v>144</v>
      </c>
      <c r="P3" s="153" t="s">
        <v>144</v>
      </c>
      <c r="Q3" s="153" t="s">
        <v>144</v>
      </c>
      <c r="R3" s="153" t="s">
        <v>144</v>
      </c>
      <c r="S3" s="153" t="s">
        <v>144</v>
      </c>
      <c r="T3" s="153" t="s">
        <v>144</v>
      </c>
      <c r="U3" s="153" t="s">
        <v>144</v>
      </c>
      <c r="V3" s="153" t="s">
        <v>144</v>
      </c>
      <c r="W3" s="153" t="s">
        <v>144</v>
      </c>
      <c r="X3" s="153" t="s">
        <v>144</v>
      </c>
      <c r="Y3" s="153" t="s">
        <v>144</v>
      </c>
      <c r="Z3" s="153" t="s">
        <v>144</v>
      </c>
      <c r="AA3" s="153" t="s">
        <v>144</v>
      </c>
      <c r="AB3" s="153" t="s">
        <v>144</v>
      </c>
      <c r="AC3" s="153" t="s">
        <v>144</v>
      </c>
      <c r="AD3" s="153" t="s">
        <v>144</v>
      </c>
      <c r="AE3" s="153" t="s">
        <v>144</v>
      </c>
      <c r="AF3" s="153" t="s">
        <v>144</v>
      </c>
      <c r="AG3" s="153" t="s">
        <v>144</v>
      </c>
      <c r="AH3" s="153" t="s">
        <v>144</v>
      </c>
      <c r="AI3" s="153" t="s">
        <v>144</v>
      </c>
      <c r="AJ3" s="153" t="s">
        <v>144</v>
      </c>
      <c r="AK3" s="153" t="s">
        <v>144</v>
      </c>
      <c r="AL3" s="153" t="s">
        <v>144</v>
      </c>
    </row>
    <row r="5" spans="1:38" ht="13.5" customHeight="1" x14ac:dyDescent="0.25">
      <c r="A5" s="110" t="s">
        <v>2</v>
      </c>
      <c r="B5" s="154" t="s">
        <v>3</v>
      </c>
      <c r="C5" s="155" t="s">
        <v>2</v>
      </c>
      <c r="D5" s="154" t="s">
        <v>4</v>
      </c>
      <c r="E5" s="155" t="s">
        <v>2</v>
      </c>
      <c r="F5" s="154" t="s">
        <v>5</v>
      </c>
      <c r="G5" s="155" t="s">
        <v>2</v>
      </c>
      <c r="H5" s="154" t="s">
        <v>6</v>
      </c>
      <c r="I5" s="155" t="s">
        <v>2</v>
      </c>
      <c r="J5" s="154" t="s">
        <v>237</v>
      </c>
      <c r="K5" s="155" t="s">
        <v>2</v>
      </c>
      <c r="L5" s="154" t="s">
        <v>238</v>
      </c>
      <c r="M5" s="155" t="s">
        <v>2</v>
      </c>
      <c r="N5" s="154" t="s">
        <v>239</v>
      </c>
      <c r="O5" s="155" t="s">
        <v>2</v>
      </c>
      <c r="P5" s="154" t="s">
        <v>240</v>
      </c>
      <c r="Q5" s="155" t="s">
        <v>2</v>
      </c>
      <c r="R5" s="154" t="s">
        <v>241</v>
      </c>
      <c r="S5" s="155" t="s">
        <v>2</v>
      </c>
      <c r="T5" s="154" t="s">
        <v>242</v>
      </c>
      <c r="U5" s="155" t="s">
        <v>2</v>
      </c>
      <c r="V5" s="154" t="s">
        <v>244</v>
      </c>
      <c r="W5" s="155" t="s">
        <v>2</v>
      </c>
      <c r="X5" s="154" t="s">
        <v>245</v>
      </c>
      <c r="Y5" s="155" t="s">
        <v>2</v>
      </c>
      <c r="Z5" s="154" t="s">
        <v>7</v>
      </c>
      <c r="AA5" s="155" t="s">
        <v>2</v>
      </c>
      <c r="AB5" s="154" t="s">
        <v>8</v>
      </c>
      <c r="AC5" s="155" t="s">
        <v>2</v>
      </c>
      <c r="AD5" s="156" t="s">
        <v>9</v>
      </c>
      <c r="AE5" s="157" t="s">
        <v>2</v>
      </c>
      <c r="AF5" s="143" t="s">
        <v>10</v>
      </c>
      <c r="AG5" s="154" t="s">
        <v>11</v>
      </c>
      <c r="AH5" s="155" t="s">
        <v>2</v>
      </c>
      <c r="AI5" s="156" t="s">
        <v>12</v>
      </c>
      <c r="AJ5" s="157" t="s">
        <v>2</v>
      </c>
      <c r="AK5" s="156" t="s">
        <v>13</v>
      </c>
      <c r="AL5" s="157" t="s">
        <v>2</v>
      </c>
    </row>
    <row r="6" spans="1:38" ht="16.5" customHeight="1" x14ac:dyDescent="0.25">
      <c r="A6" s="1" t="s">
        <v>14</v>
      </c>
      <c r="B6" s="111"/>
      <c r="C6" s="112"/>
      <c r="D6" s="111"/>
      <c r="E6" s="112"/>
      <c r="F6" s="111"/>
      <c r="G6" s="112"/>
      <c r="H6" s="111"/>
      <c r="I6" s="112"/>
      <c r="J6" s="111"/>
      <c r="K6" s="112"/>
      <c r="L6" s="111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  <c r="X6" s="111"/>
      <c r="Y6" s="112"/>
      <c r="Z6" s="111"/>
      <c r="AA6" s="112"/>
      <c r="AB6" s="111"/>
      <c r="AC6" s="112"/>
      <c r="AD6" s="113"/>
      <c r="AE6" s="114"/>
      <c r="AF6" s="113"/>
      <c r="AG6" s="111"/>
      <c r="AH6" s="112"/>
      <c r="AI6" s="113"/>
      <c r="AJ6" s="114"/>
      <c r="AK6" s="113"/>
      <c r="AL6" s="114"/>
    </row>
    <row r="7" spans="1:38" ht="16.5" customHeight="1" x14ac:dyDescent="0.25">
      <c r="A7" s="2" t="s">
        <v>14</v>
      </c>
      <c r="B7" s="115">
        <v>28859.779999999992</v>
      </c>
      <c r="C7" s="116">
        <f>IFERROR(B7/B148, "NA")</f>
        <v>0.99999999999999978</v>
      </c>
      <c r="D7" s="115">
        <v>25879.01</v>
      </c>
      <c r="E7" s="116">
        <f>IFERROR(D7/D148, "NA")</f>
        <v>1</v>
      </c>
      <c r="F7" s="115">
        <v>25696.730000000003</v>
      </c>
      <c r="G7" s="116">
        <f>IFERROR(F7/F148, "NA")</f>
        <v>1.0000000000000002</v>
      </c>
      <c r="H7" s="115">
        <v>25164.289999999997</v>
      </c>
      <c r="I7" s="116">
        <f>IFERROR(H7/H148, "NA")</f>
        <v>0.99999999999999989</v>
      </c>
      <c r="J7" s="115">
        <v>28633.51999999999</v>
      </c>
      <c r="K7" s="116">
        <f>IFERROR(J7/J148, "NA")</f>
        <v>0.99999999999999967</v>
      </c>
      <c r="L7" s="115">
        <v>28061.539999999997</v>
      </c>
      <c r="M7" s="116">
        <f>IFERROR(L7/L148, "NA")</f>
        <v>0.99999999999999989</v>
      </c>
      <c r="N7" s="115">
        <v>25742.519999999997</v>
      </c>
      <c r="O7" s="116">
        <f>IFERROR(N7/N148, "NA")</f>
        <v>0.99999999999999989</v>
      </c>
      <c r="P7" s="115">
        <v>20609.28</v>
      </c>
      <c r="Q7" s="116">
        <f>IFERROR(P7/P148, "NA")</f>
        <v>1</v>
      </c>
      <c r="R7" s="115">
        <v>24521.89</v>
      </c>
      <c r="S7" s="116">
        <f>IFERROR(R7/R148, "NA")</f>
        <v>1</v>
      </c>
      <c r="T7" s="115">
        <v>26663.340000000004</v>
      </c>
      <c r="U7" s="116">
        <f>IFERROR(T7/T148, "NA")</f>
        <v>1.0000000000000002</v>
      </c>
      <c r="V7" s="115">
        <v>23999.200000000001</v>
      </c>
      <c r="W7" s="116">
        <f>IFERROR(V7/V148, "NA")</f>
        <v>1</v>
      </c>
      <c r="X7" s="115">
        <v>34691.839999999989</v>
      </c>
      <c r="Y7" s="116">
        <f>IFERROR(X7/X148, "NA")</f>
        <v>0.99999999999999978</v>
      </c>
      <c r="Z7" s="115">
        <v>58691.039999999986</v>
      </c>
      <c r="AA7" s="116">
        <f>IFERROR(Z7/Z148, "NA")</f>
        <v>0.99999999999999978</v>
      </c>
      <c r="AB7" s="117">
        <f>IFERROR((R7+T7+V7+X7)/4, "NA")</f>
        <v>27469.067499999997</v>
      </c>
      <c r="AC7" s="116">
        <f>IFERROR(AB7/AB148, "NA")</f>
        <v>1</v>
      </c>
      <c r="AD7" s="118">
        <f>IFERROR(X7-AB7, "NA")</f>
        <v>7222.7724999999919</v>
      </c>
      <c r="AE7" s="119">
        <f>IFERROR(AD7/AD148, "NA")</f>
        <v>0.999999999999999</v>
      </c>
      <c r="AF7" s="118">
        <f>IFERROR((X7-AB7)/AB7, "NA")</f>
        <v>0.26294203470867705</v>
      </c>
      <c r="AG7" s="117">
        <f>IFERROR((J7+L7+N7+P7+R7+T7+V7+X7)/8, "NA")</f>
        <v>26615.391250000001</v>
      </c>
      <c r="AH7" s="116">
        <f>IFERROR(AG7/AG148, "NA")</f>
        <v>1</v>
      </c>
      <c r="AI7" s="118">
        <f>IFERROR(X7-AG7, "NA")</f>
        <v>8076.4487499999886</v>
      </c>
      <c r="AJ7" s="119">
        <f>IFERROR(AI7/AI148, "NA")</f>
        <v>0.99999999999999911</v>
      </c>
      <c r="AK7" s="118">
        <f>IFERROR((X7-AG7)/AG7, "NA")</f>
        <v>0.30345031091737146</v>
      </c>
      <c r="AL7" s="119">
        <f>IFERROR(AK7/AK148, "NA")</f>
        <v>0.99999999999999911</v>
      </c>
    </row>
    <row r="8" spans="1:38" ht="30.75" hidden="1" customHeight="1" x14ac:dyDescent="0.25">
      <c r="A8" s="2" t="s">
        <v>15</v>
      </c>
      <c r="B8" s="115">
        <v>0</v>
      </c>
      <c r="C8" s="116">
        <f>IFERROR(B8/B148, "NA")</f>
        <v>0</v>
      </c>
      <c r="D8" s="115">
        <v>0</v>
      </c>
      <c r="E8" s="116">
        <f>IFERROR(D8/D148, "NA")</f>
        <v>0</v>
      </c>
      <c r="F8" s="115">
        <v>0</v>
      </c>
      <c r="G8" s="116">
        <f>IFERROR(F8/F148, "NA")</f>
        <v>0</v>
      </c>
      <c r="H8" s="115">
        <v>0</v>
      </c>
      <c r="I8" s="116">
        <f>IFERROR(H8/H148, "NA")</f>
        <v>0</v>
      </c>
      <c r="J8" s="115">
        <v>0</v>
      </c>
      <c r="K8" s="116">
        <f>IFERROR(J8/J148, "NA")</f>
        <v>0</v>
      </c>
      <c r="L8" s="115">
        <v>0</v>
      </c>
      <c r="M8" s="116">
        <f>IFERROR(L8/L148, "NA")</f>
        <v>0</v>
      </c>
      <c r="N8" s="115">
        <v>0</v>
      </c>
      <c r="O8" s="116">
        <f>IFERROR(N8/N148, "NA")</f>
        <v>0</v>
      </c>
      <c r="P8" s="115">
        <v>0</v>
      </c>
      <c r="Q8" s="116">
        <f>IFERROR(P8/P148, "NA")</f>
        <v>0</v>
      </c>
      <c r="R8" s="115">
        <v>0</v>
      </c>
      <c r="S8" s="116">
        <f>IFERROR(R8/R148, "NA")</f>
        <v>0</v>
      </c>
      <c r="T8" s="115">
        <v>0</v>
      </c>
      <c r="U8" s="116">
        <f>IFERROR(T8/T148, "NA")</f>
        <v>0</v>
      </c>
      <c r="V8" s="115">
        <v>0</v>
      </c>
      <c r="W8" s="116">
        <f>IFERROR(V8/V148, "NA")</f>
        <v>0</v>
      </c>
      <c r="X8" s="115">
        <v>0</v>
      </c>
      <c r="Y8" s="116">
        <f>IFERROR(X8/X148, "NA")</f>
        <v>0</v>
      </c>
      <c r="Z8" s="115">
        <v>0</v>
      </c>
      <c r="AA8" s="116">
        <f>IFERROR(Z8/Z148, "NA")</f>
        <v>0</v>
      </c>
      <c r="AB8" s="117">
        <f>IFERROR((R8+T8+V8+X8)/4, "NA")</f>
        <v>0</v>
      </c>
      <c r="AC8" s="116">
        <f>IFERROR(AB8/AB148, "NA")</f>
        <v>0</v>
      </c>
      <c r="AD8" s="118">
        <f>IFERROR(X8-AB8, "NA")</f>
        <v>0</v>
      </c>
      <c r="AE8" s="119">
        <f>IFERROR(AD8/AD148, "NA")</f>
        <v>0</v>
      </c>
      <c r="AF8" s="118" t="str">
        <f>IFERROR((X8-AB8)/AB8, "NA")</f>
        <v>NA</v>
      </c>
      <c r="AG8" s="117">
        <f>IFERROR((J8+L8+N8+P8+R8+T8+V8+X8)/8, "NA")</f>
        <v>0</v>
      </c>
      <c r="AH8" s="116">
        <f>IFERROR(AG8/AG148, "NA")</f>
        <v>0</v>
      </c>
      <c r="AI8" s="118">
        <f>IFERROR(X8-AG8, "NA")</f>
        <v>0</v>
      </c>
      <c r="AJ8" s="119">
        <f>IFERROR(AI8/AI148, "NA")</f>
        <v>0</v>
      </c>
      <c r="AK8" s="118" t="str">
        <f>IFERROR((X8-AG8)/AG8, "NA")</f>
        <v>NA</v>
      </c>
      <c r="AL8" s="119" t="str">
        <f>IFERROR(AK8/AK148, "NA")</f>
        <v>NA</v>
      </c>
    </row>
    <row r="9" spans="1:38" ht="16.5" customHeight="1" x14ac:dyDescent="0.25">
      <c r="A9" s="120" t="s">
        <v>16</v>
      </c>
      <c r="B9" s="121">
        <f>IFERROR(B7+B8, "NA")</f>
        <v>28859.779999999992</v>
      </c>
      <c r="C9" s="122">
        <f>IFERROR(B9/B148, "NA")</f>
        <v>0.99999999999999978</v>
      </c>
      <c r="D9" s="121">
        <f>IFERROR(D7+D8, "NA")</f>
        <v>25879.01</v>
      </c>
      <c r="E9" s="122">
        <f>IFERROR(D9/D148, "NA")</f>
        <v>1</v>
      </c>
      <c r="F9" s="121">
        <f>IFERROR(F7+F8, "NA")</f>
        <v>25696.730000000003</v>
      </c>
      <c r="G9" s="122">
        <f>IFERROR(F9/F148, "NA")</f>
        <v>1.0000000000000002</v>
      </c>
      <c r="H9" s="121">
        <f>IFERROR(H7+H8, "NA")</f>
        <v>25164.289999999997</v>
      </c>
      <c r="I9" s="122">
        <f>IFERROR(H9/H148, "NA")</f>
        <v>0.99999999999999989</v>
      </c>
      <c r="J9" s="121">
        <f>IFERROR(J7+J8, "NA")</f>
        <v>28633.51999999999</v>
      </c>
      <c r="K9" s="122">
        <f>IFERROR(J9/J148, "NA")</f>
        <v>0.99999999999999967</v>
      </c>
      <c r="L9" s="121">
        <f>IFERROR(L7+L8, "NA")</f>
        <v>28061.539999999997</v>
      </c>
      <c r="M9" s="122">
        <f>IFERROR(L9/L148, "NA")</f>
        <v>0.99999999999999989</v>
      </c>
      <c r="N9" s="121">
        <f>IFERROR(N7+N8, "NA")</f>
        <v>25742.519999999997</v>
      </c>
      <c r="O9" s="122">
        <f>IFERROR(N9/N148, "NA")</f>
        <v>0.99999999999999989</v>
      </c>
      <c r="P9" s="121">
        <f>IFERROR(P7+P8, "NA")</f>
        <v>20609.28</v>
      </c>
      <c r="Q9" s="122">
        <f>IFERROR(P9/P148, "NA")</f>
        <v>1</v>
      </c>
      <c r="R9" s="121">
        <f>IFERROR(R7+R8, "NA")</f>
        <v>24521.89</v>
      </c>
      <c r="S9" s="122">
        <f>IFERROR(R9/R148, "NA")</f>
        <v>1</v>
      </c>
      <c r="T9" s="121">
        <f>IFERROR(T7+T8, "NA")</f>
        <v>26663.340000000004</v>
      </c>
      <c r="U9" s="122">
        <f>IFERROR(T9/T148, "NA")</f>
        <v>1.0000000000000002</v>
      </c>
      <c r="V9" s="121">
        <f>IFERROR(V7+V8, "NA")</f>
        <v>23999.200000000001</v>
      </c>
      <c r="W9" s="122">
        <f>IFERROR(V9/V148, "NA")</f>
        <v>1</v>
      </c>
      <c r="X9" s="121">
        <f>IFERROR(X7+X8, "NA")</f>
        <v>34691.839999999989</v>
      </c>
      <c r="Y9" s="122">
        <f>IFERROR(X9/X148, "NA")</f>
        <v>0.99999999999999978</v>
      </c>
      <c r="Z9" s="121">
        <f>IFERROR(Z7+Z8, "NA")</f>
        <v>58691.039999999986</v>
      </c>
      <c r="AA9" s="122">
        <f>IFERROR(Z9/Z148, "NA")</f>
        <v>0.99999999999999978</v>
      </c>
      <c r="AB9" s="121">
        <f>IFERROR((R9+T9+V9+X9)/4, "NA")</f>
        <v>27469.067499999997</v>
      </c>
      <c r="AC9" s="122">
        <f>IFERROR(AB9/AB148, "NA")</f>
        <v>1</v>
      </c>
      <c r="AD9" s="123">
        <f>IFERROR(X9-AB9, "NA")</f>
        <v>7222.7724999999919</v>
      </c>
      <c r="AE9" s="124">
        <f>IFERROR(AD9/AD148, "NA")</f>
        <v>0.999999999999999</v>
      </c>
      <c r="AF9" s="123">
        <f>IFERROR((X9-AB9)/AB9, "NA")</f>
        <v>0.26294203470867705</v>
      </c>
      <c r="AG9" s="121">
        <f>IFERROR((J9+L9+N9+P9+R9+T9+V9+X9)/8, "NA")</f>
        <v>26615.391250000001</v>
      </c>
      <c r="AH9" s="122">
        <f>IFERROR(AG9/AG148, "NA")</f>
        <v>1</v>
      </c>
      <c r="AI9" s="123">
        <f>IFERROR(X9-AG9, "NA")</f>
        <v>8076.4487499999886</v>
      </c>
      <c r="AJ9" s="124">
        <f>IFERROR(AI9/AI148, "NA")</f>
        <v>0.99999999999999911</v>
      </c>
      <c r="AK9" s="123">
        <f>IFERROR((X9-AG9)/AG9, "NA")</f>
        <v>0.30345031091737146</v>
      </c>
      <c r="AL9" s="124">
        <f>IFERROR(AK9/AK148, "NA")</f>
        <v>0.99999999999999911</v>
      </c>
    </row>
    <row r="10" spans="1:38" ht="3.75" customHeight="1" x14ac:dyDescent="0.25">
      <c r="A10" s="3" t="s">
        <v>2</v>
      </c>
      <c r="B10" s="125"/>
      <c r="C10" s="126"/>
      <c r="D10" s="125"/>
      <c r="E10" s="126"/>
      <c r="F10" s="125"/>
      <c r="G10" s="126"/>
      <c r="H10" s="125"/>
      <c r="I10" s="126"/>
      <c r="J10" s="125"/>
      <c r="K10" s="126"/>
      <c r="L10" s="125"/>
      <c r="M10" s="126"/>
      <c r="N10" s="125"/>
      <c r="O10" s="126"/>
      <c r="P10" s="125"/>
      <c r="Q10" s="126"/>
      <c r="R10" s="125"/>
      <c r="S10" s="126"/>
      <c r="T10" s="125"/>
      <c r="U10" s="126"/>
      <c r="V10" s="125"/>
      <c r="W10" s="126"/>
      <c r="X10" s="125"/>
      <c r="Y10" s="126"/>
      <c r="Z10" s="125"/>
      <c r="AA10" s="126"/>
      <c r="AB10" s="125"/>
      <c r="AC10" s="126"/>
      <c r="AD10" s="127"/>
      <c r="AE10" s="128"/>
      <c r="AF10" s="127"/>
      <c r="AG10" s="125"/>
      <c r="AH10" s="126"/>
      <c r="AI10" s="127"/>
      <c r="AJ10" s="128"/>
      <c r="AK10" s="127"/>
      <c r="AL10" s="128"/>
    </row>
    <row r="11" spans="1:38" ht="16.5" customHeight="1" x14ac:dyDescent="0.25">
      <c r="A11" s="1" t="s">
        <v>17</v>
      </c>
      <c r="B11" s="111"/>
      <c r="C11" s="112"/>
      <c r="D11" s="111"/>
      <c r="E11" s="112"/>
      <c r="F11" s="111"/>
      <c r="G11" s="112"/>
      <c r="H11" s="111"/>
      <c r="I11" s="112"/>
      <c r="J11" s="111"/>
      <c r="K11" s="112"/>
      <c r="L11" s="111"/>
      <c r="M11" s="112"/>
      <c r="N11" s="111"/>
      <c r="O11" s="112"/>
      <c r="P11" s="111"/>
      <c r="Q11" s="112"/>
      <c r="R11" s="111"/>
      <c r="S11" s="112"/>
      <c r="T11" s="111"/>
      <c r="U11" s="112"/>
      <c r="V11" s="111"/>
      <c r="W11" s="112"/>
      <c r="X11" s="111"/>
      <c r="Y11" s="112"/>
      <c r="Z11" s="111"/>
      <c r="AA11" s="112"/>
      <c r="AB11" s="111"/>
      <c r="AC11" s="112"/>
      <c r="AD11" s="113"/>
      <c r="AE11" s="114"/>
      <c r="AF11" s="113"/>
      <c r="AG11" s="111"/>
      <c r="AH11" s="112"/>
      <c r="AI11" s="113"/>
      <c r="AJ11" s="114"/>
      <c r="AK11" s="113"/>
      <c r="AL11" s="114"/>
    </row>
    <row r="12" spans="1:38" ht="16.5" customHeight="1" x14ac:dyDescent="0.25">
      <c r="A12" s="4" t="s">
        <v>18</v>
      </c>
      <c r="B12" s="111"/>
      <c r="C12" s="112"/>
      <c r="D12" s="111"/>
      <c r="E12" s="112"/>
      <c r="F12" s="111"/>
      <c r="G12" s="112"/>
      <c r="H12" s="111"/>
      <c r="I12" s="112"/>
      <c r="J12" s="111"/>
      <c r="K12" s="112"/>
      <c r="L12" s="111"/>
      <c r="M12" s="112"/>
      <c r="N12" s="111"/>
      <c r="O12" s="112"/>
      <c r="P12" s="111"/>
      <c r="Q12" s="112"/>
      <c r="R12" s="111"/>
      <c r="S12" s="112"/>
      <c r="T12" s="111"/>
      <c r="U12" s="112"/>
      <c r="V12" s="111"/>
      <c r="W12" s="112"/>
      <c r="X12" s="111"/>
      <c r="Y12" s="112"/>
      <c r="Z12" s="111"/>
      <c r="AA12" s="112"/>
      <c r="AB12" s="111"/>
      <c r="AC12" s="112"/>
      <c r="AD12" s="113"/>
      <c r="AE12" s="114"/>
      <c r="AF12" s="113"/>
      <c r="AG12" s="111"/>
      <c r="AH12" s="112"/>
      <c r="AI12" s="113"/>
      <c r="AJ12" s="114"/>
      <c r="AK12" s="113"/>
      <c r="AL12" s="114"/>
    </row>
    <row r="13" spans="1:38" ht="16.5" hidden="1" customHeight="1" x14ac:dyDescent="0.25">
      <c r="A13" s="5" t="s">
        <v>19</v>
      </c>
      <c r="B13" s="115">
        <v>0</v>
      </c>
      <c r="C13" s="116">
        <f>IFERROR(B13/B148, "NA")</f>
        <v>0</v>
      </c>
      <c r="D13" s="115">
        <v>0</v>
      </c>
      <c r="E13" s="116">
        <f>IFERROR(D13/D148, "NA")</f>
        <v>0</v>
      </c>
      <c r="F13" s="115">
        <v>0</v>
      </c>
      <c r="G13" s="116">
        <f>IFERROR(F13/F148, "NA")</f>
        <v>0</v>
      </c>
      <c r="H13" s="115">
        <v>0</v>
      </c>
      <c r="I13" s="116">
        <f>IFERROR(H13/H148, "NA")</f>
        <v>0</v>
      </c>
      <c r="J13" s="115">
        <v>0</v>
      </c>
      <c r="K13" s="116">
        <f>IFERROR(J13/J148, "NA")</f>
        <v>0</v>
      </c>
      <c r="L13" s="115">
        <v>0</v>
      </c>
      <c r="M13" s="116">
        <f>IFERROR(L13/L148, "NA")</f>
        <v>0</v>
      </c>
      <c r="N13" s="115">
        <v>0</v>
      </c>
      <c r="O13" s="116">
        <f>IFERROR(N13/N148, "NA")</f>
        <v>0</v>
      </c>
      <c r="P13" s="115">
        <v>0</v>
      </c>
      <c r="Q13" s="116">
        <f>IFERROR(P13/P148, "NA")</f>
        <v>0</v>
      </c>
      <c r="R13" s="115">
        <v>0</v>
      </c>
      <c r="S13" s="116">
        <f>IFERROR(R13/R148, "NA")</f>
        <v>0</v>
      </c>
      <c r="T13" s="115">
        <v>0</v>
      </c>
      <c r="U13" s="116">
        <f>IFERROR(T13/T148, "NA")</f>
        <v>0</v>
      </c>
      <c r="V13" s="115">
        <v>0</v>
      </c>
      <c r="W13" s="116">
        <f>IFERROR(V13/V148, "NA")</f>
        <v>0</v>
      </c>
      <c r="X13" s="115">
        <v>0</v>
      </c>
      <c r="Y13" s="116">
        <f>IFERROR(X13/X148, "NA")</f>
        <v>0</v>
      </c>
      <c r="Z13" s="115">
        <v>0</v>
      </c>
      <c r="AA13" s="116">
        <f>IFERROR(Z13/Z148, "NA")</f>
        <v>0</v>
      </c>
      <c r="AB13" s="117">
        <f>IFERROR((R13+T13+V13+X13)/4, "NA")</f>
        <v>0</v>
      </c>
      <c r="AC13" s="116">
        <f>IFERROR(AB13/AB148, "NA")</f>
        <v>0</v>
      </c>
      <c r="AD13" s="118">
        <f>IFERROR(X13-AB13, "NA")</f>
        <v>0</v>
      </c>
      <c r="AE13" s="119">
        <f>IFERROR(AD13/AD148, "NA")</f>
        <v>0</v>
      </c>
      <c r="AF13" s="118" t="str">
        <f>IFERROR((X13-AB13)/AB13, "NA")</f>
        <v>NA</v>
      </c>
      <c r="AG13" s="117">
        <f>IFERROR((J13+L13+N13+P13+R13+T13+V13+X13)/8, "NA")</f>
        <v>0</v>
      </c>
      <c r="AH13" s="116">
        <f>IFERROR(AG13/AG148, "NA")</f>
        <v>0</v>
      </c>
      <c r="AI13" s="118">
        <f>IFERROR(X13-AG13, "NA")</f>
        <v>0</v>
      </c>
      <c r="AJ13" s="119">
        <f>IFERROR(AI13/AI148, "NA")</f>
        <v>0</v>
      </c>
      <c r="AK13" s="118" t="str">
        <f>IFERROR((X13-AG13)/AG13, "NA")</f>
        <v>NA</v>
      </c>
      <c r="AL13" s="119" t="str">
        <f>IFERROR(AK13/AK148, "NA")</f>
        <v>NA</v>
      </c>
    </row>
    <row r="14" spans="1:38" ht="16.5" customHeight="1" x14ac:dyDescent="0.25">
      <c r="A14" s="6" t="s">
        <v>20</v>
      </c>
      <c r="B14" s="111"/>
      <c r="C14" s="112"/>
      <c r="D14" s="111"/>
      <c r="E14" s="112"/>
      <c r="F14" s="111"/>
      <c r="G14" s="112"/>
      <c r="H14" s="111"/>
      <c r="I14" s="112"/>
      <c r="J14" s="111"/>
      <c r="K14" s="112"/>
      <c r="L14" s="111"/>
      <c r="M14" s="112"/>
      <c r="N14" s="111"/>
      <c r="O14" s="112"/>
      <c r="P14" s="111"/>
      <c r="Q14" s="112"/>
      <c r="R14" s="111"/>
      <c r="S14" s="112"/>
      <c r="T14" s="111"/>
      <c r="U14" s="112"/>
      <c r="V14" s="111"/>
      <c r="W14" s="112"/>
      <c r="X14" s="111"/>
      <c r="Y14" s="112"/>
      <c r="Z14" s="111"/>
      <c r="AA14" s="112"/>
      <c r="AB14" s="111"/>
      <c r="AC14" s="112"/>
      <c r="AD14" s="113"/>
      <c r="AE14" s="114"/>
      <c r="AF14" s="113"/>
      <c r="AG14" s="111"/>
      <c r="AH14" s="112"/>
      <c r="AI14" s="113"/>
      <c r="AJ14" s="114"/>
      <c r="AK14" s="113"/>
      <c r="AL14" s="114"/>
    </row>
    <row r="15" spans="1:38" ht="16.5" hidden="1" customHeight="1" x14ac:dyDescent="0.25">
      <c r="A15" s="7" t="s">
        <v>21</v>
      </c>
      <c r="B15" s="115">
        <v>0</v>
      </c>
      <c r="C15" s="116">
        <f>IFERROR(B15/B148, "NA")</f>
        <v>0</v>
      </c>
      <c r="D15" s="115">
        <v>0</v>
      </c>
      <c r="E15" s="116">
        <f>IFERROR(D15/D148, "NA")</f>
        <v>0</v>
      </c>
      <c r="F15" s="115">
        <v>0</v>
      </c>
      <c r="G15" s="116">
        <f>IFERROR(F15/F148, "NA")</f>
        <v>0</v>
      </c>
      <c r="H15" s="115">
        <v>0</v>
      </c>
      <c r="I15" s="116">
        <f>IFERROR(H15/H148, "NA")</f>
        <v>0</v>
      </c>
      <c r="J15" s="115">
        <v>0</v>
      </c>
      <c r="K15" s="116">
        <f>IFERROR(J15/J148, "NA")</f>
        <v>0</v>
      </c>
      <c r="L15" s="115">
        <v>0</v>
      </c>
      <c r="M15" s="116">
        <f>IFERROR(L15/L148, "NA")</f>
        <v>0</v>
      </c>
      <c r="N15" s="115">
        <v>0</v>
      </c>
      <c r="O15" s="116">
        <f>IFERROR(N15/N148, "NA")</f>
        <v>0</v>
      </c>
      <c r="P15" s="115">
        <v>0</v>
      </c>
      <c r="Q15" s="116">
        <f>IFERROR(P15/P148, "NA")</f>
        <v>0</v>
      </c>
      <c r="R15" s="115">
        <v>0</v>
      </c>
      <c r="S15" s="116">
        <f>IFERROR(R15/R148, "NA")</f>
        <v>0</v>
      </c>
      <c r="T15" s="115">
        <v>0</v>
      </c>
      <c r="U15" s="116">
        <f>IFERROR(T15/T148, "NA")</f>
        <v>0</v>
      </c>
      <c r="V15" s="115">
        <v>0</v>
      </c>
      <c r="W15" s="116">
        <f>IFERROR(V15/V148, "NA")</f>
        <v>0</v>
      </c>
      <c r="X15" s="115">
        <v>0</v>
      </c>
      <c r="Y15" s="116">
        <f>IFERROR(X15/X148, "NA")</f>
        <v>0</v>
      </c>
      <c r="Z15" s="115">
        <v>0</v>
      </c>
      <c r="AA15" s="116">
        <f>IFERROR(Z15/Z148, "NA")</f>
        <v>0</v>
      </c>
      <c r="AB15" s="117">
        <f t="shared" ref="AB15:AB27" si="0">IFERROR((R15+T15+V15+X15)/4, "NA")</f>
        <v>0</v>
      </c>
      <c r="AC15" s="116">
        <f>IFERROR(AB15/AB148, "NA")</f>
        <v>0</v>
      </c>
      <c r="AD15" s="118">
        <f t="shared" ref="AD15:AD27" si="1">IFERROR(X15-AB15, "NA")</f>
        <v>0</v>
      </c>
      <c r="AE15" s="119">
        <f>IFERROR(AD15/AD148, "NA")</f>
        <v>0</v>
      </c>
      <c r="AF15" s="118" t="str">
        <f t="shared" ref="AF15:AF27" si="2">IFERROR((X15-AB15)/AB15, "NA")</f>
        <v>NA</v>
      </c>
      <c r="AG15" s="117">
        <f t="shared" ref="AG15:AG27" si="3">IFERROR((J15+L15+N15+P15+R15+T15+V15+X15)/8, "NA")</f>
        <v>0</v>
      </c>
      <c r="AH15" s="116">
        <f>IFERROR(AG15/AG148, "NA")</f>
        <v>0</v>
      </c>
      <c r="AI15" s="118">
        <f t="shared" ref="AI15:AI27" si="4">IFERROR(X15-AG15, "NA")</f>
        <v>0</v>
      </c>
      <c r="AJ15" s="119">
        <f>IFERROR(AI15/AI148, "NA")</f>
        <v>0</v>
      </c>
      <c r="AK15" s="118" t="str">
        <f t="shared" ref="AK15:AK27" si="5">IFERROR((X15-AG15)/AG15, "NA")</f>
        <v>NA</v>
      </c>
      <c r="AL15" s="119" t="str">
        <f>IFERROR(AK15/AK148, "NA")</f>
        <v>NA</v>
      </c>
    </row>
    <row r="16" spans="1:38" ht="16.5" customHeight="1" x14ac:dyDescent="0.25">
      <c r="A16" s="7" t="s">
        <v>22</v>
      </c>
      <c r="B16" s="115">
        <v>985.6</v>
      </c>
      <c r="C16" s="116">
        <f>IFERROR(B16/B148, "NA")</f>
        <v>3.4151334486957285E-2</v>
      </c>
      <c r="D16" s="115">
        <v>1373.17</v>
      </c>
      <c r="E16" s="116">
        <f>IFERROR(D16/D148, "NA")</f>
        <v>5.3061148784285028E-2</v>
      </c>
      <c r="F16" s="115">
        <v>1250.25</v>
      </c>
      <c r="G16" s="116">
        <f>IFERROR(F16/F148, "NA")</f>
        <v>4.8654050534834591E-2</v>
      </c>
      <c r="H16" s="115">
        <v>1005.87</v>
      </c>
      <c r="I16" s="116">
        <f>IFERROR(H16/H148, "NA")</f>
        <v>3.9972119221325139E-2</v>
      </c>
      <c r="J16" s="115">
        <v>1408</v>
      </c>
      <c r="K16" s="116">
        <f>IFERROR(J16/J148, "NA")</f>
        <v>4.9173136938804589E-2</v>
      </c>
      <c r="L16" s="115">
        <v>950.71</v>
      </c>
      <c r="M16" s="116">
        <f>IFERROR(L16/L148, "NA")</f>
        <v>3.3879466344327501E-2</v>
      </c>
      <c r="N16" s="115">
        <v>896.3</v>
      </c>
      <c r="O16" s="116">
        <f>IFERROR(N16/N148, "NA")</f>
        <v>3.4817881077687809E-2</v>
      </c>
      <c r="P16" s="115">
        <v>864.22</v>
      </c>
      <c r="Q16" s="116">
        <f>IFERROR(P16/P148, "NA")</f>
        <v>4.1933536736848645E-2</v>
      </c>
      <c r="R16" s="115">
        <v>1025.67</v>
      </c>
      <c r="S16" s="116">
        <f>IFERROR(R16/R148, "NA")</f>
        <v>4.1826710747010123E-2</v>
      </c>
      <c r="T16" s="115">
        <v>972.44</v>
      </c>
      <c r="U16" s="116">
        <f>IFERROR(T16/T148, "NA")</f>
        <v>3.6471049763457997E-2</v>
      </c>
      <c r="V16" s="115">
        <v>918.43</v>
      </c>
      <c r="W16" s="116">
        <f>IFERROR(V16/V148, "NA")</f>
        <v>3.826919230641021E-2</v>
      </c>
      <c r="X16" s="115">
        <v>1415.11</v>
      </c>
      <c r="Y16" s="116">
        <f>IFERROR(X16/X148, "NA")</f>
        <v>4.0790860329114859E-2</v>
      </c>
      <c r="Z16" s="115">
        <v>2333.54</v>
      </c>
      <c r="AA16" s="116">
        <f>IFERROR(Z16/Z148, "NA")</f>
        <v>3.9759731638764624E-2</v>
      </c>
      <c r="AB16" s="117">
        <f t="shared" si="0"/>
        <v>1082.9124999999999</v>
      </c>
      <c r="AC16" s="116">
        <f>IFERROR(AB16/AB148, "NA")</f>
        <v>3.942298004837623E-2</v>
      </c>
      <c r="AD16" s="118">
        <f t="shared" si="1"/>
        <v>332.19749999999999</v>
      </c>
      <c r="AE16" s="119">
        <f>IFERROR(AD16/AD148, "NA")</f>
        <v>4.5993072604737312E-2</v>
      </c>
      <c r="AF16" s="118">
        <f t="shared" si="2"/>
        <v>0.30676301178534743</v>
      </c>
      <c r="AG16" s="117">
        <f t="shared" si="3"/>
        <v>1056.3600000000001</v>
      </c>
      <c r="AH16" s="116">
        <f>IFERROR(AG16/AG148, "NA")</f>
        <v>3.9689816695818822E-2</v>
      </c>
      <c r="AI16" s="118">
        <f t="shared" si="4"/>
        <v>358.74999999999977</v>
      </c>
      <c r="AJ16" s="119">
        <f>IFERROR(AI16/AI148, "NA")</f>
        <v>4.4419275241485305E-2</v>
      </c>
      <c r="AK16" s="118">
        <f t="shared" si="5"/>
        <v>0.33960960278692842</v>
      </c>
      <c r="AL16" s="119">
        <f>IFERROR(AK16/AK148, "NA")</f>
        <v>1.119160503610104</v>
      </c>
    </row>
    <row r="17" spans="1:38" ht="16.5" customHeight="1" x14ac:dyDescent="0.25">
      <c r="A17" s="7" t="s">
        <v>23</v>
      </c>
      <c r="B17" s="115">
        <v>664.03</v>
      </c>
      <c r="C17" s="116">
        <f>IFERROR(B17/B148, "NA")</f>
        <v>2.3008837905209256E-2</v>
      </c>
      <c r="D17" s="115">
        <v>878.91</v>
      </c>
      <c r="E17" s="116">
        <f>IFERROR(D17/D148, "NA")</f>
        <v>3.3962272899929327E-2</v>
      </c>
      <c r="F17" s="115">
        <v>782.46</v>
      </c>
      <c r="G17" s="116">
        <f>IFERROR(F17/F148, "NA")</f>
        <v>3.0449788747439852E-2</v>
      </c>
      <c r="H17" s="115">
        <v>900.14</v>
      </c>
      <c r="I17" s="116">
        <f>IFERROR(H17/H148, "NA")</f>
        <v>3.5770530382538114E-2</v>
      </c>
      <c r="J17" s="115">
        <v>926.87</v>
      </c>
      <c r="K17" s="116">
        <f>IFERROR(J17/J148, "NA")</f>
        <v>3.2370103291526856E-2</v>
      </c>
      <c r="L17" s="115">
        <v>841.1</v>
      </c>
      <c r="M17" s="116">
        <f>IFERROR(L17/L148, "NA")</f>
        <v>2.9973408444440325E-2</v>
      </c>
      <c r="N17" s="115">
        <v>665.91</v>
      </c>
      <c r="O17" s="116">
        <f>IFERROR(N17/N148, "NA")</f>
        <v>2.5868096829681008E-2</v>
      </c>
      <c r="P17" s="115">
        <v>725.28</v>
      </c>
      <c r="Q17" s="116">
        <f>IFERROR(P17/P148, "NA")</f>
        <v>3.5191913545742498E-2</v>
      </c>
      <c r="R17" s="115">
        <v>756.06</v>
      </c>
      <c r="S17" s="116">
        <f>IFERROR(R17/R148, "NA")</f>
        <v>3.0832044348946999E-2</v>
      </c>
      <c r="T17" s="115">
        <v>896.14</v>
      </c>
      <c r="U17" s="116">
        <f>IFERROR(T17/T148, "NA")</f>
        <v>3.3609442777986553E-2</v>
      </c>
      <c r="V17" s="115">
        <v>827.76</v>
      </c>
      <c r="W17" s="116">
        <f>IFERROR(V17/V148, "NA")</f>
        <v>3.4491149704990162E-2</v>
      </c>
      <c r="X17" s="115">
        <v>703.7</v>
      </c>
      <c r="Y17" s="116">
        <f>IFERROR(X17/X148, "NA")</f>
        <v>2.0284308932590492E-2</v>
      </c>
      <c r="Z17" s="115">
        <v>1531.46</v>
      </c>
      <c r="AA17" s="116">
        <f>IFERROR(Z17/Z148, "NA")</f>
        <v>2.6093591117144967E-2</v>
      </c>
      <c r="AB17" s="117">
        <f t="shared" si="0"/>
        <v>795.91499999999996</v>
      </c>
      <c r="AC17" s="116">
        <f>IFERROR(AB17/AB148, "NA")</f>
        <v>2.8974955192781846E-2</v>
      </c>
      <c r="AD17" s="118">
        <f t="shared" si="1"/>
        <v>-92.214999999999918</v>
      </c>
      <c r="AE17" s="119">
        <f>IFERROR(AD17/AD148, "NA")</f>
        <v>-1.2767258002380655E-2</v>
      </c>
      <c r="AF17" s="118">
        <f t="shared" si="2"/>
        <v>-0.11586036197332621</v>
      </c>
      <c r="AG17" s="117">
        <f t="shared" si="3"/>
        <v>792.85249999999996</v>
      </c>
      <c r="AH17" s="116">
        <f>IFERROR(AG17/AG148, "NA")</f>
        <v>2.9789248354558755E-2</v>
      </c>
      <c r="AI17" s="118">
        <f t="shared" si="4"/>
        <v>-89.152499999999918</v>
      </c>
      <c r="AJ17" s="119">
        <f>IFERROR(AI17/AI148, "NA")</f>
        <v>-1.1038576824993778E-2</v>
      </c>
      <c r="AK17" s="118">
        <f t="shared" si="5"/>
        <v>-0.11244525305778807</v>
      </c>
      <c r="AL17" s="119">
        <f>IFERROR(AK17/AK148, "NA")</f>
        <v>-0.37055573519714224</v>
      </c>
    </row>
    <row r="18" spans="1:38" ht="16.5" customHeight="1" x14ac:dyDescent="0.25">
      <c r="A18" s="7" t="s">
        <v>24</v>
      </c>
      <c r="B18" s="115">
        <v>1102.24</v>
      </c>
      <c r="C18" s="116">
        <f>IFERROR(B18/B148, "NA")</f>
        <v>3.8192945337767646E-2</v>
      </c>
      <c r="D18" s="115">
        <v>1133.23</v>
      </c>
      <c r="E18" s="116">
        <f>IFERROR(D18/D148, "NA")</f>
        <v>4.3789542181095806E-2</v>
      </c>
      <c r="F18" s="115">
        <v>739.44</v>
      </c>
      <c r="G18" s="116">
        <f>IFERROR(F18/F148, "NA")</f>
        <v>2.8775645772827908E-2</v>
      </c>
      <c r="H18" s="115">
        <v>861.57</v>
      </c>
      <c r="I18" s="116">
        <f>IFERROR(H18/H148, "NA")</f>
        <v>3.4237802854759664E-2</v>
      </c>
      <c r="J18" s="115">
        <v>912.62</v>
      </c>
      <c r="K18" s="116">
        <f>IFERROR(J18/J148, "NA")</f>
        <v>3.1872434824639091E-2</v>
      </c>
      <c r="L18" s="115">
        <v>944.58</v>
      </c>
      <c r="M18" s="116">
        <f>IFERROR(L18/L148, "NA")</f>
        <v>3.3661017891391566E-2</v>
      </c>
      <c r="N18" s="115">
        <v>956.61</v>
      </c>
      <c r="O18" s="116">
        <f>IFERROR(N18/N148, "NA")</f>
        <v>3.7160697554085617E-2</v>
      </c>
      <c r="P18" s="115">
        <v>736.21</v>
      </c>
      <c r="Q18" s="116">
        <f>IFERROR(P18/P148, "NA")</f>
        <v>3.5722257157940501E-2</v>
      </c>
      <c r="R18" s="115">
        <v>761.84</v>
      </c>
      <c r="S18" s="116">
        <f>IFERROR(R18/R148, "NA")</f>
        <v>3.1067752118617287E-2</v>
      </c>
      <c r="T18" s="115">
        <v>910.24</v>
      </c>
      <c r="U18" s="116">
        <f>IFERROR(T18/T148, "NA")</f>
        <v>3.4138258747778788E-2</v>
      </c>
      <c r="V18" s="115">
        <v>879.69</v>
      </c>
      <c r="W18" s="116">
        <f>IFERROR(V18/V148, "NA")</f>
        <v>3.6654971832394412E-2</v>
      </c>
      <c r="X18" s="115">
        <v>1074.3599999999999</v>
      </c>
      <c r="Y18" s="116">
        <f>IFERROR(X18/X148, "NA")</f>
        <v>3.0968665830350885E-2</v>
      </c>
      <c r="Z18" s="115">
        <v>1954.05</v>
      </c>
      <c r="AA18" s="116">
        <f>IFERROR(Z18/Z148, "NA")</f>
        <v>3.3293838378055662E-2</v>
      </c>
      <c r="AB18" s="117">
        <f t="shared" si="0"/>
        <v>906.53250000000003</v>
      </c>
      <c r="AC18" s="116">
        <f>IFERROR(AB18/AB148, "NA")</f>
        <v>3.300193936324923E-2</v>
      </c>
      <c r="AD18" s="118">
        <f t="shared" si="1"/>
        <v>167.82749999999987</v>
      </c>
      <c r="AE18" s="119">
        <f>IFERROR(AD18/AD148, "NA")</f>
        <v>2.3235883450572464E-2</v>
      </c>
      <c r="AF18" s="118">
        <f t="shared" si="2"/>
        <v>0.18513125563617397</v>
      </c>
      <c r="AG18" s="117">
        <f t="shared" si="3"/>
        <v>897.01874999999984</v>
      </c>
      <c r="AH18" s="116">
        <f>IFERROR(AG18/AG148, "NA")</f>
        <v>3.370300821709693E-2</v>
      </c>
      <c r="AI18" s="118">
        <f t="shared" si="4"/>
        <v>177.34125000000006</v>
      </c>
      <c r="AJ18" s="119">
        <f>IFERROR(AI18/AI148, "NA")</f>
        <v>2.1957825213711677E-2</v>
      </c>
      <c r="AK18" s="118">
        <f t="shared" si="5"/>
        <v>0.19770071695825767</v>
      </c>
      <c r="AL18" s="119">
        <f>IFERROR(AK18/AK148, "NA")</f>
        <v>0.65150935703635104</v>
      </c>
    </row>
    <row r="19" spans="1:38" ht="16.5" customHeight="1" x14ac:dyDescent="0.25">
      <c r="A19" s="7" t="s">
        <v>25</v>
      </c>
      <c r="B19" s="115">
        <v>522.03</v>
      </c>
      <c r="C19" s="116">
        <f>IFERROR(B19/B148, "NA")</f>
        <v>1.8088495477096497E-2</v>
      </c>
      <c r="D19" s="115">
        <v>669.18</v>
      </c>
      <c r="E19" s="116">
        <f>IFERROR(D19/D148, "NA")</f>
        <v>2.5858021616746545E-2</v>
      </c>
      <c r="F19" s="115">
        <v>550.16</v>
      </c>
      <c r="G19" s="116">
        <f>IFERROR(F19/F148, "NA")</f>
        <v>2.1409728008194039E-2</v>
      </c>
      <c r="H19" s="115">
        <v>576.92999999999995</v>
      </c>
      <c r="I19" s="116">
        <f>IFERROR(H19/H148, "NA")</f>
        <v>2.2926535976178941E-2</v>
      </c>
      <c r="J19" s="115">
        <v>685.73</v>
      </c>
      <c r="K19" s="116">
        <f>IFERROR(J19/J148, "NA")</f>
        <v>2.3948505108697778E-2</v>
      </c>
      <c r="L19" s="115">
        <v>706.48</v>
      </c>
      <c r="M19" s="116">
        <f>IFERROR(L19/L148, "NA")</f>
        <v>2.5176095110959699E-2</v>
      </c>
      <c r="N19" s="115">
        <v>473.67</v>
      </c>
      <c r="O19" s="116">
        <f>IFERROR(N19/N148, "NA")</f>
        <v>1.8400296474471032E-2</v>
      </c>
      <c r="P19" s="115">
        <v>494.15</v>
      </c>
      <c r="Q19" s="116">
        <f>IFERROR(P19/P148, "NA")</f>
        <v>2.3977062760077016E-2</v>
      </c>
      <c r="R19" s="115">
        <v>678.58</v>
      </c>
      <c r="S19" s="116">
        <f>IFERROR(R19/R148, "NA")</f>
        <v>2.7672418398418722E-2</v>
      </c>
      <c r="T19" s="115">
        <v>537.6</v>
      </c>
      <c r="U19" s="116">
        <f>IFERROR(T19/T148, "NA")</f>
        <v>2.0162515273780404E-2</v>
      </c>
      <c r="V19" s="115">
        <v>647.78</v>
      </c>
      <c r="W19" s="116">
        <f>IFERROR(V19/V148, "NA")</f>
        <v>2.6991733057768589E-2</v>
      </c>
      <c r="X19" s="115">
        <v>454.89</v>
      </c>
      <c r="Y19" s="116">
        <f>IFERROR(X19/X148, "NA")</f>
        <v>1.311230537209903E-2</v>
      </c>
      <c r="Z19" s="115">
        <v>1102.67</v>
      </c>
      <c r="AA19" s="116">
        <f>IFERROR(Z19/Z148, "NA")</f>
        <v>1.8787705925810822E-2</v>
      </c>
      <c r="AB19" s="117">
        <f t="shared" si="0"/>
        <v>579.71249999999998</v>
      </c>
      <c r="AC19" s="116">
        <f>IFERROR(AB19/AB148, "NA")</f>
        <v>2.1104192925369601E-2</v>
      </c>
      <c r="AD19" s="118">
        <f t="shared" si="1"/>
        <v>-124.82249999999999</v>
      </c>
      <c r="AE19" s="119">
        <f>IFERROR(AD19/AD148, "NA")</f>
        <v>-1.7281798644495586E-2</v>
      </c>
      <c r="AF19" s="118">
        <f t="shared" si="2"/>
        <v>-0.21531793777087779</v>
      </c>
      <c r="AG19" s="117">
        <f t="shared" si="3"/>
        <v>584.86</v>
      </c>
      <c r="AH19" s="116">
        <f>IFERROR(AG19/AG148, "NA")</f>
        <v>2.1974503192771964E-2</v>
      </c>
      <c r="AI19" s="118">
        <f t="shared" si="4"/>
        <v>-129.97000000000003</v>
      </c>
      <c r="AJ19" s="119">
        <f>IFERROR(AI19/AI148, "NA")</f>
        <v>-1.609246885891526E-2</v>
      </c>
      <c r="AK19" s="118">
        <f t="shared" si="5"/>
        <v>-0.22222412201210551</v>
      </c>
      <c r="AL19" s="119">
        <f>IFERROR(AK19/AK148, "NA")</f>
        <v>-0.73232458170924797</v>
      </c>
    </row>
    <row r="20" spans="1:38" ht="16.5" customHeight="1" x14ac:dyDescent="0.25">
      <c r="A20" s="7" t="s">
        <v>26</v>
      </c>
      <c r="B20" s="115">
        <v>304.60000000000002</v>
      </c>
      <c r="C20" s="116">
        <f>IFERROR(B20/B148, "NA")</f>
        <v>1.0554481011289762E-2</v>
      </c>
      <c r="D20" s="115">
        <v>329.62</v>
      </c>
      <c r="E20" s="116">
        <f>IFERROR(D20/D148, "NA")</f>
        <v>1.2736963276415908E-2</v>
      </c>
      <c r="F20" s="115">
        <v>322.23</v>
      </c>
      <c r="G20" s="116">
        <f>IFERROR(F20/F148, "NA")</f>
        <v>1.2539727817508299E-2</v>
      </c>
      <c r="H20" s="115">
        <v>329.17</v>
      </c>
      <c r="I20" s="116">
        <f>IFERROR(H20/H148, "NA")</f>
        <v>1.308083796522771E-2</v>
      </c>
      <c r="J20" s="115">
        <v>268.38</v>
      </c>
      <c r="K20" s="116">
        <f>IFERROR(J20/J148, "NA")</f>
        <v>9.3729307469008344E-3</v>
      </c>
      <c r="L20" s="115">
        <v>342.37</v>
      </c>
      <c r="M20" s="116">
        <f>IFERROR(L20/L148, "NA")</f>
        <v>1.220068463812036E-2</v>
      </c>
      <c r="N20" s="115">
        <v>247.43</v>
      </c>
      <c r="O20" s="116">
        <f>IFERROR(N20/N148, "NA")</f>
        <v>9.6117241047108046E-3</v>
      </c>
      <c r="P20" s="115">
        <v>319.86</v>
      </c>
      <c r="Q20" s="116">
        <f>IFERROR(P20/P148, "NA")</f>
        <v>1.5520192845164898E-2</v>
      </c>
      <c r="R20" s="115">
        <v>338.51</v>
      </c>
      <c r="S20" s="116">
        <f>IFERROR(R20/R148, "NA")</f>
        <v>1.3804400884271156E-2</v>
      </c>
      <c r="T20" s="115">
        <v>320.17</v>
      </c>
      <c r="U20" s="116">
        <f>IFERROR(T20/T148, "NA")</f>
        <v>1.2007872982154524E-2</v>
      </c>
      <c r="V20" s="115">
        <v>333.65</v>
      </c>
      <c r="W20" s="116">
        <f>IFERROR(V20/V148, "NA")</f>
        <v>1.3902546751558383E-2</v>
      </c>
      <c r="X20" s="115">
        <v>373.77</v>
      </c>
      <c r="Y20" s="116">
        <f>IFERROR(X20/X148, "NA")</f>
        <v>1.0774003339113752E-2</v>
      </c>
      <c r="Z20" s="115">
        <v>707.42</v>
      </c>
      <c r="AA20" s="116">
        <f>IFERROR(Z20/Z148, "NA")</f>
        <v>1.2053287861315798E-2</v>
      </c>
      <c r="AB20" s="117">
        <f t="shared" si="0"/>
        <v>341.52499999999998</v>
      </c>
      <c r="AC20" s="116">
        <f>IFERROR(AB20/AB148, "NA")</f>
        <v>1.2433075858872895E-2</v>
      </c>
      <c r="AD20" s="118">
        <f t="shared" si="1"/>
        <v>32.245000000000005</v>
      </c>
      <c r="AE20" s="119">
        <f>IFERROR(AD20/AD148, "NA")</f>
        <v>4.4643521583990096E-3</v>
      </c>
      <c r="AF20" s="118">
        <f t="shared" si="2"/>
        <v>9.4414757338408623E-2</v>
      </c>
      <c r="AG20" s="117">
        <f t="shared" si="3"/>
        <v>318.01749999999998</v>
      </c>
      <c r="AH20" s="116">
        <f>IFERROR(AG20/AG148, "NA")</f>
        <v>1.1948631414539133E-2</v>
      </c>
      <c r="AI20" s="118">
        <f t="shared" si="4"/>
        <v>55.752499999999998</v>
      </c>
      <c r="AJ20" s="119">
        <f>IFERROR(AI20/AI148, "NA")</f>
        <v>6.9030958687133406E-3</v>
      </c>
      <c r="AK20" s="118">
        <f t="shared" si="5"/>
        <v>0.17531267933368447</v>
      </c>
      <c r="AL20" s="119">
        <f>IFERROR(AK20/AK148, "NA")</f>
        <v>0.5777310914715833</v>
      </c>
    </row>
    <row r="21" spans="1:38" ht="16.5" customHeight="1" x14ac:dyDescent="0.25">
      <c r="A21" s="7" t="s">
        <v>27</v>
      </c>
      <c r="B21" s="115">
        <v>141.19</v>
      </c>
      <c r="C21" s="116">
        <f>IFERROR(B21/B148, "NA")</f>
        <v>4.892275686093241E-3</v>
      </c>
      <c r="D21" s="115">
        <v>209.26</v>
      </c>
      <c r="E21" s="116">
        <f>IFERROR(D21/D148, "NA")</f>
        <v>8.0860898465590463E-3</v>
      </c>
      <c r="F21" s="115">
        <v>150.63</v>
      </c>
      <c r="G21" s="116">
        <f>IFERROR(F21/F148, "NA")</f>
        <v>5.8618353385819907E-3</v>
      </c>
      <c r="H21" s="115">
        <v>131.27000000000001</v>
      </c>
      <c r="I21" s="116">
        <f>IFERROR(H21/H148, "NA")</f>
        <v>5.2165191229317422E-3</v>
      </c>
      <c r="J21" s="115">
        <v>139</v>
      </c>
      <c r="K21" s="116">
        <f>IFERROR(J21/J148, "NA")</f>
        <v>4.8544503085893734E-3</v>
      </c>
      <c r="L21" s="115">
        <v>167.84</v>
      </c>
      <c r="M21" s="116">
        <f>IFERROR(L21/L148, "NA")</f>
        <v>5.9811400229638143E-3</v>
      </c>
      <c r="N21" s="115">
        <v>228.5</v>
      </c>
      <c r="O21" s="116">
        <f>IFERROR(N21/N148, "NA")</f>
        <v>8.8763648624920945E-3</v>
      </c>
      <c r="P21" s="115">
        <v>92.61</v>
      </c>
      <c r="Q21" s="116">
        <f>IFERROR(P21/P148, "NA")</f>
        <v>4.4936067635550593E-3</v>
      </c>
      <c r="R21" s="115">
        <v>195</v>
      </c>
      <c r="S21" s="116">
        <f>IFERROR(R21/R148, "NA")</f>
        <v>7.952078734551048E-3</v>
      </c>
      <c r="T21" s="115">
        <v>-10.86</v>
      </c>
      <c r="U21" s="116">
        <f>IFERROR(T21/T148, "NA")</f>
        <v>-4.0730081077614428E-4</v>
      </c>
      <c r="V21" s="115">
        <v>86.37</v>
      </c>
      <c r="W21" s="116">
        <f>IFERROR(V21/V148, "NA")</f>
        <v>3.5988699623320779E-3</v>
      </c>
      <c r="X21" s="115">
        <v>275.08999999999997</v>
      </c>
      <c r="Y21" s="116">
        <f>IFERROR(X21/X148, "NA")</f>
        <v>7.929530402538465E-3</v>
      </c>
      <c r="Z21" s="115">
        <v>361.46</v>
      </c>
      <c r="AA21" s="116">
        <f>IFERROR(Z21/Z148, "NA")</f>
        <v>6.1586913436872132E-3</v>
      </c>
      <c r="AB21" s="117">
        <f t="shared" si="0"/>
        <v>136.39999999999998</v>
      </c>
      <c r="AC21" s="116">
        <f>IFERROR(AB21/AB148, "NA")</f>
        <v>4.9655853807196032E-3</v>
      </c>
      <c r="AD21" s="118">
        <f t="shared" si="1"/>
        <v>138.69</v>
      </c>
      <c r="AE21" s="119">
        <f>IFERROR(AD21/AD148, "NA")</f>
        <v>1.920176774223472E-2</v>
      </c>
      <c r="AF21" s="118">
        <f t="shared" si="2"/>
        <v>1.0167888563049854</v>
      </c>
      <c r="AG21" s="117">
        <f t="shared" si="3"/>
        <v>146.69374999999999</v>
      </c>
      <c r="AH21" s="116">
        <f>IFERROR(AG21/AG148, "NA")</f>
        <v>5.5116135104720651E-3</v>
      </c>
      <c r="AI21" s="118">
        <f t="shared" si="4"/>
        <v>128.39624999999998</v>
      </c>
      <c r="AJ21" s="119">
        <f>IFERROR(AI21/AI148, "NA")</f>
        <v>1.5897612177629437E-2</v>
      </c>
      <c r="AK21" s="118">
        <f t="shared" si="5"/>
        <v>0.87526735119935228</v>
      </c>
      <c r="AL21" s="119">
        <f>IFERROR(AK21/AK148, "NA")</f>
        <v>2.8843844270691288</v>
      </c>
    </row>
    <row r="22" spans="1:38" ht="16.5" hidden="1" customHeight="1" x14ac:dyDescent="0.25">
      <c r="A22" s="7" t="s">
        <v>28</v>
      </c>
      <c r="B22" s="115">
        <v>0</v>
      </c>
      <c r="C22" s="116">
        <f>IFERROR(B22/B148, "NA")</f>
        <v>0</v>
      </c>
      <c r="D22" s="115">
        <v>0</v>
      </c>
      <c r="E22" s="116">
        <f>IFERROR(D22/D148, "NA")</f>
        <v>0</v>
      </c>
      <c r="F22" s="115">
        <v>0</v>
      </c>
      <c r="G22" s="116">
        <f>IFERROR(F22/F148, "NA")</f>
        <v>0</v>
      </c>
      <c r="H22" s="115">
        <v>0</v>
      </c>
      <c r="I22" s="116">
        <f>IFERROR(H22/H148, "NA")</f>
        <v>0</v>
      </c>
      <c r="J22" s="115">
        <v>0</v>
      </c>
      <c r="K22" s="116">
        <f>IFERROR(J22/J148, "NA")</f>
        <v>0</v>
      </c>
      <c r="L22" s="115">
        <v>0</v>
      </c>
      <c r="M22" s="116">
        <f>IFERROR(L22/L148, "NA")</f>
        <v>0</v>
      </c>
      <c r="N22" s="115">
        <v>0</v>
      </c>
      <c r="O22" s="116">
        <f>IFERROR(N22/N148, "NA")</f>
        <v>0</v>
      </c>
      <c r="P22" s="115">
        <v>0</v>
      </c>
      <c r="Q22" s="116">
        <f>IFERROR(P22/P148, "NA")</f>
        <v>0</v>
      </c>
      <c r="R22" s="115">
        <v>0</v>
      </c>
      <c r="S22" s="116">
        <f>IFERROR(R22/R148, "NA")</f>
        <v>0</v>
      </c>
      <c r="T22" s="115">
        <v>0</v>
      </c>
      <c r="U22" s="116">
        <f>IFERROR(T22/T148, "NA")</f>
        <v>0</v>
      </c>
      <c r="V22" s="115">
        <v>0</v>
      </c>
      <c r="W22" s="116">
        <f>IFERROR(V22/V148, "NA")</f>
        <v>0</v>
      </c>
      <c r="X22" s="115">
        <v>0</v>
      </c>
      <c r="Y22" s="116">
        <f>IFERROR(X22/X148, "NA")</f>
        <v>0</v>
      </c>
      <c r="Z22" s="115">
        <v>0</v>
      </c>
      <c r="AA22" s="116">
        <f>IFERROR(Z22/Z148, "NA")</f>
        <v>0</v>
      </c>
      <c r="AB22" s="117">
        <f t="shared" si="0"/>
        <v>0</v>
      </c>
      <c r="AC22" s="116">
        <f>IFERROR(AB22/AB148, "NA")</f>
        <v>0</v>
      </c>
      <c r="AD22" s="118">
        <f t="shared" si="1"/>
        <v>0</v>
      </c>
      <c r="AE22" s="119">
        <f>IFERROR(AD22/AD148, "NA")</f>
        <v>0</v>
      </c>
      <c r="AF22" s="118" t="str">
        <f t="shared" si="2"/>
        <v>NA</v>
      </c>
      <c r="AG22" s="117">
        <f t="shared" si="3"/>
        <v>0</v>
      </c>
      <c r="AH22" s="116">
        <f>IFERROR(AG22/AG148, "NA")</f>
        <v>0</v>
      </c>
      <c r="AI22" s="118">
        <f t="shared" si="4"/>
        <v>0</v>
      </c>
      <c r="AJ22" s="119">
        <f>IFERROR(AI22/AI148, "NA")</f>
        <v>0</v>
      </c>
      <c r="AK22" s="118" t="str">
        <f t="shared" si="5"/>
        <v>NA</v>
      </c>
      <c r="AL22" s="119" t="str">
        <f>IFERROR(AK22/AK148, "NA")</f>
        <v>NA</v>
      </c>
    </row>
    <row r="23" spans="1:38" ht="16.5" customHeight="1" x14ac:dyDescent="0.25">
      <c r="A23" s="7" t="s">
        <v>29</v>
      </c>
      <c r="B23" s="115">
        <v>139.55000000000001</v>
      </c>
      <c r="C23" s="116">
        <f>IFERROR(B23/B148, "NA")</f>
        <v>4.8354491960784186E-3</v>
      </c>
      <c r="D23" s="115">
        <v>165.64</v>
      </c>
      <c r="E23" s="116">
        <f>IFERROR(D23/D148, "NA")</f>
        <v>6.4005539624583784E-3</v>
      </c>
      <c r="F23" s="115">
        <v>208.2</v>
      </c>
      <c r="G23" s="116">
        <f>IFERROR(F23/F148, "NA")</f>
        <v>8.1021982174385616E-3</v>
      </c>
      <c r="H23" s="115">
        <v>55.83</v>
      </c>
      <c r="I23" s="116">
        <f>IFERROR(H23/H148, "NA")</f>
        <v>2.2186201160453961E-3</v>
      </c>
      <c r="J23" s="115">
        <v>266.02999999999997</v>
      </c>
      <c r="K23" s="116">
        <f>IFERROR(J23/J148, "NA")</f>
        <v>9.2908591049930284E-3</v>
      </c>
      <c r="L23" s="115">
        <v>60.71</v>
      </c>
      <c r="M23" s="116">
        <f>IFERROR(L23/L148, "NA")</f>
        <v>2.1634593112138537E-3</v>
      </c>
      <c r="N23" s="115">
        <v>249.34</v>
      </c>
      <c r="O23" s="116">
        <f>IFERROR(N23/N148, "NA")</f>
        <v>9.6859204149399511E-3</v>
      </c>
      <c r="P23" s="115">
        <v>-68.25</v>
      </c>
      <c r="Q23" s="116">
        <f>IFERROR(P23/P148, "NA")</f>
        <v>-3.3116149618036147E-3</v>
      </c>
      <c r="R23" s="115">
        <v>353.82</v>
      </c>
      <c r="S23" s="116">
        <f>IFERROR(R23/R148, "NA")</f>
        <v>1.4428741014660778E-2</v>
      </c>
      <c r="T23" s="115">
        <v>188.36</v>
      </c>
      <c r="U23" s="116">
        <f>IFERROR(T23/T148, "NA")</f>
        <v>7.0643812815648754E-3</v>
      </c>
      <c r="V23" s="115">
        <v>316.47000000000003</v>
      </c>
      <c r="W23" s="116">
        <f>IFERROR(V23/V148, "NA")</f>
        <v>1.3186689556318545E-2</v>
      </c>
      <c r="X23" s="115">
        <v>-10.48</v>
      </c>
      <c r="Y23" s="116">
        <f>IFERROR(X23/X148, "NA")</f>
        <v>-3.0208832970519874E-4</v>
      </c>
      <c r="Z23" s="115">
        <v>305.99</v>
      </c>
      <c r="AA23" s="116">
        <f>IFERROR(Z23/Z148, "NA")</f>
        <v>5.2135726339148187E-3</v>
      </c>
      <c r="AB23" s="117">
        <f t="shared" si="0"/>
        <v>212.04250000000002</v>
      </c>
      <c r="AC23" s="116">
        <f>IFERROR(AB23/AB148, "NA")</f>
        <v>7.7193191942172791E-3</v>
      </c>
      <c r="AD23" s="118">
        <f t="shared" si="1"/>
        <v>-222.52250000000001</v>
      </c>
      <c r="AE23" s="119">
        <f>IFERROR(AD23/AD148, "NA")</f>
        <v>-3.0808460324619119E-2</v>
      </c>
      <c r="AF23" s="118">
        <f t="shared" si="2"/>
        <v>-1.0494240541400899</v>
      </c>
      <c r="AG23" s="117">
        <f t="shared" si="3"/>
        <v>169.49999999999997</v>
      </c>
      <c r="AH23" s="116">
        <f>IFERROR(AG23/AG148, "NA")</f>
        <v>6.3684955223042216E-3</v>
      </c>
      <c r="AI23" s="118">
        <f t="shared" si="4"/>
        <v>-179.97999999999996</v>
      </c>
      <c r="AJ23" s="119">
        <f>IFERROR(AI23/AI148, "NA")</f>
        <v>-2.2284546781777083E-2</v>
      </c>
      <c r="AK23" s="118">
        <f t="shared" si="5"/>
        <v>-1.0618289085545722</v>
      </c>
      <c r="AL23" s="119">
        <f>IFERROR(AK23/AK148, "NA")</f>
        <v>-3.4991854361411541</v>
      </c>
    </row>
    <row r="24" spans="1:38" ht="16.5" customHeight="1" x14ac:dyDescent="0.25">
      <c r="A24" s="7" t="s">
        <v>30</v>
      </c>
      <c r="B24" s="115">
        <v>1617.4</v>
      </c>
      <c r="C24" s="116">
        <f>IFERROR(B24/B148, "NA")</f>
        <v>5.6043393262180108E-2</v>
      </c>
      <c r="D24" s="115">
        <v>1722.85</v>
      </c>
      <c r="E24" s="116">
        <f>IFERROR(D24/D148, "NA")</f>
        <v>6.6573257632343744E-2</v>
      </c>
      <c r="F24" s="115">
        <v>1643.39</v>
      </c>
      <c r="G24" s="116">
        <f>IFERROR(F24/F148, "NA")</f>
        <v>6.395327343206704E-2</v>
      </c>
      <c r="H24" s="115">
        <v>1560.27</v>
      </c>
      <c r="I24" s="116">
        <f>IFERROR(H24/H148, "NA")</f>
        <v>6.200333885835841E-2</v>
      </c>
      <c r="J24" s="115">
        <v>1768.26</v>
      </c>
      <c r="K24" s="116">
        <f>IFERROR(J24/J148, "NA")</f>
        <v>6.1754894263785942E-2</v>
      </c>
      <c r="L24" s="115">
        <v>1812.67</v>
      </c>
      <c r="M24" s="116">
        <f>IFERROR(L24/L148, "NA")</f>
        <v>6.4596240976083283E-2</v>
      </c>
      <c r="N24" s="115">
        <v>1590.86</v>
      </c>
      <c r="O24" s="116">
        <f>IFERROR(N24/N148, "NA")</f>
        <v>6.1798922560806005E-2</v>
      </c>
      <c r="P24" s="115">
        <v>1533.11</v>
      </c>
      <c r="Q24" s="116">
        <f>IFERROR(P24/P148, "NA")</f>
        <v>7.4389304235761747E-2</v>
      </c>
      <c r="R24" s="115">
        <v>1367.67</v>
      </c>
      <c r="S24" s="116">
        <f>IFERROR(R24/R148, "NA")</f>
        <v>5.5773433450684272E-2</v>
      </c>
      <c r="T24" s="115">
        <v>1768.94</v>
      </c>
      <c r="U24" s="116">
        <f>IFERROR(T24/T148, "NA")</f>
        <v>6.634352635491278E-2</v>
      </c>
      <c r="V24" s="115">
        <v>1420.08</v>
      </c>
      <c r="W24" s="116">
        <f>IFERROR(V24/V148, "NA")</f>
        <v>5.9171972399079967E-2</v>
      </c>
      <c r="X24" s="115">
        <v>1969.12</v>
      </c>
      <c r="Y24" s="116">
        <f>IFERROR(X24/X148, "NA")</f>
        <v>5.6760321735601228E-2</v>
      </c>
      <c r="Z24" s="115">
        <v>3389.2</v>
      </c>
      <c r="AA24" s="116">
        <f>IFERROR(Z24/Z148, "NA")</f>
        <v>5.7746463514703431E-2</v>
      </c>
      <c r="AB24" s="117">
        <f t="shared" si="0"/>
        <v>1631.4525000000001</v>
      </c>
      <c r="AC24" s="116">
        <f>IFERROR(AB24/AB148, "NA")</f>
        <v>5.939235105086841E-2</v>
      </c>
      <c r="AD24" s="118">
        <f t="shared" si="1"/>
        <v>337.66749999999979</v>
      </c>
      <c r="AE24" s="119">
        <f>IFERROR(AD24/AD148, "NA")</f>
        <v>4.675039951763673E-2</v>
      </c>
      <c r="AF24" s="118">
        <f t="shared" si="2"/>
        <v>0.20697354044938468</v>
      </c>
      <c r="AG24" s="117">
        <f t="shared" si="3"/>
        <v>1653.8387499999999</v>
      </c>
      <c r="AH24" s="116">
        <f>IFERROR(AG24/AG148, "NA")</f>
        <v>6.2138434654797715E-2</v>
      </c>
      <c r="AI24" s="118">
        <f t="shared" si="4"/>
        <v>315.28125</v>
      </c>
      <c r="AJ24" s="119">
        <f>IFERROR(AI24/AI148, "NA")</f>
        <v>3.9037113929559719E-2</v>
      </c>
      <c r="AK24" s="118">
        <f t="shared" si="5"/>
        <v>0.19063602784733397</v>
      </c>
      <c r="AL24" s="119">
        <f>IFERROR(AK24/AK148, "NA")</f>
        <v>0.62822815132736298</v>
      </c>
    </row>
    <row r="25" spans="1:38" ht="16.5" hidden="1" customHeight="1" x14ac:dyDescent="0.25">
      <c r="A25" s="7" t="s">
        <v>31</v>
      </c>
      <c r="B25" s="115">
        <v>0</v>
      </c>
      <c r="C25" s="116">
        <f>IFERROR(B25/B148, "NA")</f>
        <v>0</v>
      </c>
      <c r="D25" s="115">
        <v>0</v>
      </c>
      <c r="E25" s="116">
        <f>IFERROR(D25/D148, "NA")</f>
        <v>0</v>
      </c>
      <c r="F25" s="115">
        <v>0</v>
      </c>
      <c r="G25" s="116">
        <f>IFERROR(F25/F148, "NA")</f>
        <v>0</v>
      </c>
      <c r="H25" s="115">
        <v>0</v>
      </c>
      <c r="I25" s="116">
        <f>IFERROR(H25/H148, "NA")</f>
        <v>0</v>
      </c>
      <c r="J25" s="115">
        <v>0</v>
      </c>
      <c r="K25" s="116">
        <f>IFERROR(J25/J148, "NA")</f>
        <v>0</v>
      </c>
      <c r="L25" s="115">
        <v>0</v>
      </c>
      <c r="M25" s="116">
        <f>IFERROR(L25/L148, "NA")</f>
        <v>0</v>
      </c>
      <c r="N25" s="115">
        <v>0</v>
      </c>
      <c r="O25" s="116">
        <f>IFERROR(N25/N148, "NA")</f>
        <v>0</v>
      </c>
      <c r="P25" s="115">
        <v>0</v>
      </c>
      <c r="Q25" s="116">
        <f>IFERROR(P25/P148, "NA")</f>
        <v>0</v>
      </c>
      <c r="R25" s="115">
        <v>0</v>
      </c>
      <c r="S25" s="116">
        <f>IFERROR(R25/R148, "NA")</f>
        <v>0</v>
      </c>
      <c r="T25" s="115">
        <v>0</v>
      </c>
      <c r="U25" s="116">
        <f>IFERROR(T25/T148, "NA")</f>
        <v>0</v>
      </c>
      <c r="V25" s="115">
        <v>0</v>
      </c>
      <c r="W25" s="116">
        <f>IFERROR(V25/V148, "NA")</f>
        <v>0</v>
      </c>
      <c r="X25" s="115">
        <v>0</v>
      </c>
      <c r="Y25" s="116">
        <f>IFERROR(X25/X148, "NA")</f>
        <v>0</v>
      </c>
      <c r="Z25" s="115">
        <v>0</v>
      </c>
      <c r="AA25" s="116">
        <f>IFERROR(Z25/Z148, "NA")</f>
        <v>0</v>
      </c>
      <c r="AB25" s="117">
        <f t="shared" si="0"/>
        <v>0</v>
      </c>
      <c r="AC25" s="116">
        <f>IFERROR(AB25/AB148, "NA")</f>
        <v>0</v>
      </c>
      <c r="AD25" s="118">
        <f t="shared" si="1"/>
        <v>0</v>
      </c>
      <c r="AE25" s="119">
        <f>IFERROR(AD25/AD148, "NA")</f>
        <v>0</v>
      </c>
      <c r="AF25" s="118" t="str">
        <f t="shared" si="2"/>
        <v>NA</v>
      </c>
      <c r="AG25" s="117">
        <f t="shared" si="3"/>
        <v>0</v>
      </c>
      <c r="AH25" s="116">
        <f>IFERROR(AG25/AG148, "NA")</f>
        <v>0</v>
      </c>
      <c r="AI25" s="118">
        <f t="shared" si="4"/>
        <v>0</v>
      </c>
      <c r="AJ25" s="119">
        <f>IFERROR(AI25/AI148, "NA")</f>
        <v>0</v>
      </c>
      <c r="AK25" s="118" t="str">
        <f t="shared" si="5"/>
        <v>NA</v>
      </c>
      <c r="AL25" s="119" t="str">
        <f>IFERROR(AK25/AK148, "NA")</f>
        <v>NA</v>
      </c>
    </row>
    <row r="26" spans="1:38" ht="16.5" hidden="1" customHeight="1" x14ac:dyDescent="0.25">
      <c r="A26" s="7" t="s">
        <v>32</v>
      </c>
      <c r="B26" s="115">
        <v>0</v>
      </c>
      <c r="C26" s="116">
        <f>IFERROR(B26/B148, "NA")</f>
        <v>0</v>
      </c>
      <c r="D26" s="115">
        <v>0</v>
      </c>
      <c r="E26" s="116">
        <f>IFERROR(D26/D148, "NA")</f>
        <v>0</v>
      </c>
      <c r="F26" s="115">
        <v>0</v>
      </c>
      <c r="G26" s="116">
        <f>IFERROR(F26/F148, "NA")</f>
        <v>0</v>
      </c>
      <c r="H26" s="115">
        <v>0</v>
      </c>
      <c r="I26" s="116">
        <f>IFERROR(H26/H148, "NA")</f>
        <v>0</v>
      </c>
      <c r="J26" s="115">
        <v>0</v>
      </c>
      <c r="K26" s="116">
        <f>IFERROR(J26/J148, "NA")</f>
        <v>0</v>
      </c>
      <c r="L26" s="115">
        <v>0</v>
      </c>
      <c r="M26" s="116">
        <f>IFERROR(L26/L148, "NA")</f>
        <v>0</v>
      </c>
      <c r="N26" s="115">
        <v>0</v>
      </c>
      <c r="O26" s="116">
        <f>IFERROR(N26/N148, "NA")</f>
        <v>0</v>
      </c>
      <c r="P26" s="115">
        <v>0</v>
      </c>
      <c r="Q26" s="116">
        <f>IFERROR(P26/P148, "NA")</f>
        <v>0</v>
      </c>
      <c r="R26" s="115">
        <v>0</v>
      </c>
      <c r="S26" s="116">
        <f>IFERROR(R26/R148, "NA")</f>
        <v>0</v>
      </c>
      <c r="T26" s="115">
        <v>0</v>
      </c>
      <c r="U26" s="116">
        <f>IFERROR(T26/T148, "NA")</f>
        <v>0</v>
      </c>
      <c r="V26" s="115">
        <v>0</v>
      </c>
      <c r="W26" s="116">
        <f>IFERROR(V26/V148, "NA")</f>
        <v>0</v>
      </c>
      <c r="X26" s="115">
        <v>0</v>
      </c>
      <c r="Y26" s="116">
        <f>IFERROR(X26/X148, "NA")</f>
        <v>0</v>
      </c>
      <c r="Z26" s="115">
        <v>0</v>
      </c>
      <c r="AA26" s="116">
        <f>IFERROR(Z26/Z148, "NA")</f>
        <v>0</v>
      </c>
      <c r="AB26" s="117">
        <f t="shared" si="0"/>
        <v>0</v>
      </c>
      <c r="AC26" s="116">
        <f>IFERROR(AB26/AB148, "NA")</f>
        <v>0</v>
      </c>
      <c r="AD26" s="118">
        <f t="shared" si="1"/>
        <v>0</v>
      </c>
      <c r="AE26" s="119">
        <f>IFERROR(AD26/AD148, "NA")</f>
        <v>0</v>
      </c>
      <c r="AF26" s="118" t="str">
        <f t="shared" si="2"/>
        <v>NA</v>
      </c>
      <c r="AG26" s="117">
        <f t="shared" si="3"/>
        <v>0</v>
      </c>
      <c r="AH26" s="116">
        <f>IFERROR(AG26/AG148, "NA")</f>
        <v>0</v>
      </c>
      <c r="AI26" s="118">
        <f t="shared" si="4"/>
        <v>0</v>
      </c>
      <c r="AJ26" s="119">
        <f>IFERROR(AI26/AI148, "NA")</f>
        <v>0</v>
      </c>
      <c r="AK26" s="118" t="str">
        <f t="shared" si="5"/>
        <v>NA</v>
      </c>
      <c r="AL26" s="119" t="str">
        <f>IFERROR(AK26/AK148, "NA")</f>
        <v>NA</v>
      </c>
    </row>
    <row r="27" spans="1:38" ht="16.5" customHeight="1" x14ac:dyDescent="0.25">
      <c r="A27" s="129" t="s">
        <v>33</v>
      </c>
      <c r="B27" s="121">
        <f>IFERROR(B15+B16+B17+B18+B19+B20+B21+B22+B23+B24+B25+B26, "NA")</f>
        <v>5476.6399999999994</v>
      </c>
      <c r="C27" s="122">
        <f>IFERROR(B27/B148, "NA")</f>
        <v>0.18976721236267219</v>
      </c>
      <c r="D27" s="121">
        <f>IFERROR(D15+D16+D17+D18+D19+D20+D21+D22+D23+D24+D25+D26, "NA")</f>
        <v>6481.8600000000006</v>
      </c>
      <c r="E27" s="122">
        <f>IFERROR(D27/D148, "NA")</f>
        <v>0.25046785019983381</v>
      </c>
      <c r="F27" s="121">
        <f>IFERROR(F15+F16+F17+F18+F19+F20+F21+F22+F23+F24+F25+F26, "NA")</f>
        <v>5646.76</v>
      </c>
      <c r="G27" s="122">
        <f>IFERROR(F27/F148, "NA")</f>
        <v>0.21974624786889227</v>
      </c>
      <c r="H27" s="121">
        <f>IFERROR(H15+H16+H17+H18+H19+H20+H21+H22+H23+H24+H25+H26, "NA")</f>
        <v>5421.0499999999993</v>
      </c>
      <c r="I27" s="122">
        <f>IFERROR(H27/H148, "NA")</f>
        <v>0.21542630449736508</v>
      </c>
      <c r="J27" s="121">
        <f>IFERROR(J15+J16+J17+J18+J19+J20+J21+J22+J23+J24+J25+J26, "NA")</f>
        <v>6374.8899999999994</v>
      </c>
      <c r="K27" s="122">
        <f>IFERROR(J27/J148, "NA")</f>
        <v>0.22263731458793748</v>
      </c>
      <c r="L27" s="121">
        <f>IFERROR(L15+L16+L17+L18+L19+L20+L21+L22+L23+L24+L25+L26, "NA")</f>
        <v>5826.46</v>
      </c>
      <c r="M27" s="122">
        <f>IFERROR(L27/L148, "NA")</f>
        <v>0.2076315127395004</v>
      </c>
      <c r="N27" s="121">
        <f>IFERROR(N15+N16+N17+N18+N19+N20+N21+N22+N23+N24+N25+N26, "NA")</f>
        <v>5308.62</v>
      </c>
      <c r="O27" s="122">
        <f>IFERROR(N27/N148, "NA")</f>
        <v>0.20621990387887432</v>
      </c>
      <c r="P27" s="121">
        <f>IFERROR(P15+P16+P17+P18+P19+P20+P21+P22+P23+P24+P25+P26, "NA")</f>
        <v>4697.1900000000005</v>
      </c>
      <c r="Q27" s="122">
        <f>IFERROR(P27/P148, "NA")</f>
        <v>0.22791625908328678</v>
      </c>
      <c r="R27" s="121">
        <f>IFERROR(R15+R16+R17+R18+R19+R20+R21+R22+R23+R24+R25+R26, "NA")</f>
        <v>5477.15</v>
      </c>
      <c r="S27" s="122">
        <f>IFERROR(R27/R148, "NA")</f>
        <v>0.22335757969716036</v>
      </c>
      <c r="T27" s="121">
        <f>IFERROR(T15+T16+T17+T18+T19+T20+T21+T22+T23+T24+T25+T26, "NA")</f>
        <v>5583.03</v>
      </c>
      <c r="U27" s="122">
        <f>IFERROR(T27/T148, "NA")</f>
        <v>0.20938974637085975</v>
      </c>
      <c r="V27" s="121">
        <f>IFERROR(V15+V16+V17+V18+V19+V20+V21+V22+V23+V24+V25+V26, "NA")</f>
        <v>5430.23</v>
      </c>
      <c r="W27" s="122">
        <f>IFERROR(V27/V148, "NA")</f>
        <v>0.22626712557085232</v>
      </c>
      <c r="X27" s="121">
        <f>IFERROR(X15+X16+X17+X18+X19+X20+X21+X22+X23+X24+X25+X26, "NA")</f>
        <v>6255.56</v>
      </c>
      <c r="Y27" s="122">
        <f>IFERROR(X27/X148, "NA")</f>
        <v>0.18031790761170352</v>
      </c>
      <c r="Z27" s="121">
        <f>IFERROR(Z15+Z16+Z17+Z18+Z19+Z20+Z21+Z22+Z23+Z24+Z25+Z26, "NA")</f>
        <v>11685.79</v>
      </c>
      <c r="AA27" s="122">
        <f>IFERROR(Z27/Z148, "NA")</f>
        <v>0.19910688241339736</v>
      </c>
      <c r="AB27" s="121">
        <f t="shared" si="0"/>
        <v>5686.4925000000003</v>
      </c>
      <c r="AC27" s="122">
        <f>IFERROR(AB27/AB148, "NA")</f>
        <v>0.20701439901445512</v>
      </c>
      <c r="AD27" s="123">
        <f t="shared" si="1"/>
        <v>569.06750000000011</v>
      </c>
      <c r="AE27" s="124">
        <f>IFERROR(AD27/AD148, "NA")</f>
        <v>7.878795850208492E-2</v>
      </c>
      <c r="AF27" s="123">
        <f t="shared" si="2"/>
        <v>0.10007355149065968</v>
      </c>
      <c r="AG27" s="121">
        <f t="shared" si="3"/>
        <v>5619.1412499999988</v>
      </c>
      <c r="AH27" s="122">
        <f>IFERROR(AG27/AG148, "NA")</f>
        <v>0.21112375156235957</v>
      </c>
      <c r="AI27" s="123">
        <f t="shared" si="4"/>
        <v>636.41875000000164</v>
      </c>
      <c r="AJ27" s="124">
        <f>IFERROR(AI27/AI148, "NA")</f>
        <v>7.879932996541357E-2</v>
      </c>
      <c r="AK27" s="123">
        <f t="shared" si="5"/>
        <v>0.11325907673169842</v>
      </c>
      <c r="AL27" s="124">
        <f>IFERROR(AK27/AK148, "NA")</f>
        <v>0.37323763613654165</v>
      </c>
    </row>
    <row r="28" spans="1:38" ht="16.5" customHeight="1" x14ac:dyDescent="0.25">
      <c r="A28" s="6" t="s">
        <v>34</v>
      </c>
      <c r="B28" s="111"/>
      <c r="C28" s="112"/>
      <c r="D28" s="111"/>
      <c r="E28" s="112"/>
      <c r="F28" s="111"/>
      <c r="G28" s="112"/>
      <c r="H28" s="111"/>
      <c r="I28" s="112"/>
      <c r="J28" s="111"/>
      <c r="K28" s="112"/>
      <c r="L28" s="111"/>
      <c r="M28" s="112"/>
      <c r="N28" s="111"/>
      <c r="O28" s="112"/>
      <c r="P28" s="111"/>
      <c r="Q28" s="112"/>
      <c r="R28" s="111"/>
      <c r="S28" s="112"/>
      <c r="T28" s="111"/>
      <c r="U28" s="112"/>
      <c r="V28" s="111"/>
      <c r="W28" s="112"/>
      <c r="X28" s="111"/>
      <c r="Y28" s="112"/>
      <c r="Z28" s="111"/>
      <c r="AA28" s="112"/>
      <c r="AB28" s="111"/>
      <c r="AC28" s="112"/>
      <c r="AD28" s="113"/>
      <c r="AE28" s="114"/>
      <c r="AF28" s="113"/>
      <c r="AG28" s="111"/>
      <c r="AH28" s="112"/>
      <c r="AI28" s="113"/>
      <c r="AJ28" s="114"/>
      <c r="AK28" s="113"/>
      <c r="AL28" s="114"/>
    </row>
    <row r="29" spans="1:38" ht="16.5" hidden="1" customHeight="1" x14ac:dyDescent="0.25">
      <c r="A29" s="7" t="s">
        <v>35</v>
      </c>
      <c r="B29" s="115">
        <v>0</v>
      </c>
      <c r="C29" s="116">
        <f>IFERROR(B29/B148, "NA")</f>
        <v>0</v>
      </c>
      <c r="D29" s="115">
        <v>0</v>
      </c>
      <c r="E29" s="116">
        <f>IFERROR(D29/D148, "NA")</f>
        <v>0</v>
      </c>
      <c r="F29" s="115">
        <v>0</v>
      </c>
      <c r="G29" s="116">
        <f>IFERROR(F29/F148, "NA")</f>
        <v>0</v>
      </c>
      <c r="H29" s="115">
        <v>0</v>
      </c>
      <c r="I29" s="116">
        <f>IFERROR(H29/H148, "NA")</f>
        <v>0</v>
      </c>
      <c r="J29" s="115">
        <v>0</v>
      </c>
      <c r="K29" s="116">
        <f>IFERROR(J29/J148, "NA")</f>
        <v>0</v>
      </c>
      <c r="L29" s="115">
        <v>0</v>
      </c>
      <c r="M29" s="116">
        <f>IFERROR(L29/L148, "NA")</f>
        <v>0</v>
      </c>
      <c r="N29" s="115">
        <v>0</v>
      </c>
      <c r="O29" s="116">
        <f>IFERROR(N29/N148, "NA")</f>
        <v>0</v>
      </c>
      <c r="P29" s="115">
        <v>0</v>
      </c>
      <c r="Q29" s="116">
        <f>IFERROR(P29/P148, "NA")</f>
        <v>0</v>
      </c>
      <c r="R29" s="115">
        <v>0</v>
      </c>
      <c r="S29" s="116">
        <f>IFERROR(R29/R148, "NA")</f>
        <v>0</v>
      </c>
      <c r="T29" s="115">
        <v>0</v>
      </c>
      <c r="U29" s="116">
        <f>IFERROR(T29/T148, "NA")</f>
        <v>0</v>
      </c>
      <c r="V29" s="115">
        <v>0</v>
      </c>
      <c r="W29" s="116">
        <f>IFERROR(V29/V148, "NA")</f>
        <v>0</v>
      </c>
      <c r="X29" s="115">
        <v>0</v>
      </c>
      <c r="Y29" s="116">
        <f>IFERROR(X29/X148, "NA")</f>
        <v>0</v>
      </c>
      <c r="Z29" s="115">
        <v>0</v>
      </c>
      <c r="AA29" s="116">
        <f>IFERROR(Z29/Z148, "NA")</f>
        <v>0</v>
      </c>
      <c r="AB29" s="117">
        <f t="shared" ref="AB29:AB35" si="6">IFERROR((R29+T29+V29+X29)/4, "NA")</f>
        <v>0</v>
      </c>
      <c r="AC29" s="116">
        <f>IFERROR(AB29/AB148, "NA")</f>
        <v>0</v>
      </c>
      <c r="AD29" s="118">
        <f t="shared" ref="AD29:AD35" si="7">IFERROR(X29-AB29, "NA")</f>
        <v>0</v>
      </c>
      <c r="AE29" s="119">
        <f>IFERROR(AD29/AD148, "NA")</f>
        <v>0</v>
      </c>
      <c r="AF29" s="118" t="str">
        <f t="shared" ref="AF29:AF35" si="8">IFERROR((X29-AB29)/AB29, "NA")</f>
        <v>NA</v>
      </c>
      <c r="AG29" s="117">
        <f t="shared" ref="AG29:AG35" si="9">IFERROR((J29+L29+N29+P29+R29+T29+V29+X29)/8, "NA")</f>
        <v>0</v>
      </c>
      <c r="AH29" s="116">
        <f>IFERROR(AG29/AG148, "NA")</f>
        <v>0</v>
      </c>
      <c r="AI29" s="118">
        <f t="shared" ref="AI29:AI35" si="10">IFERROR(X29-AG29, "NA")</f>
        <v>0</v>
      </c>
      <c r="AJ29" s="119">
        <f>IFERROR(AI29/AI148, "NA")</f>
        <v>0</v>
      </c>
      <c r="AK29" s="118" t="str">
        <f t="shared" ref="AK29:AK35" si="11">IFERROR((X29-AG29)/AG29, "NA")</f>
        <v>NA</v>
      </c>
      <c r="AL29" s="119" t="str">
        <f>IFERROR(AK29/AK148, "NA")</f>
        <v>NA</v>
      </c>
    </row>
    <row r="30" spans="1:38" ht="16.5" customHeight="1" x14ac:dyDescent="0.25">
      <c r="A30" s="7" t="s">
        <v>36</v>
      </c>
      <c r="B30" s="115">
        <v>314.38</v>
      </c>
      <c r="C30" s="116">
        <f>IFERROR(B30/B148, "NA")</f>
        <v>1.089336093345133E-2</v>
      </c>
      <c r="D30" s="115">
        <v>422.15</v>
      </c>
      <c r="E30" s="116">
        <f>IFERROR(D30/D148, "NA")</f>
        <v>1.6312447810020555E-2</v>
      </c>
      <c r="F30" s="115">
        <v>333.37</v>
      </c>
      <c r="G30" s="116">
        <f>IFERROR(F30/F148, "NA")</f>
        <v>1.2973246012235798E-2</v>
      </c>
      <c r="H30" s="115">
        <v>228.5</v>
      </c>
      <c r="I30" s="116">
        <f>IFERROR(H30/H148, "NA")</f>
        <v>9.0803277183659856E-3</v>
      </c>
      <c r="J30" s="115">
        <v>313.14999999999998</v>
      </c>
      <c r="K30" s="116">
        <f>IFERROR(J30/J148, "NA")</f>
        <v>1.0936482835501886E-2</v>
      </c>
      <c r="L30" s="115">
        <v>295.60000000000002</v>
      </c>
      <c r="M30" s="116">
        <f>IFERROR(L30/L148, "NA")</f>
        <v>1.0533990650548759E-2</v>
      </c>
      <c r="N30" s="115">
        <v>254.86</v>
      </c>
      <c r="O30" s="116">
        <f>IFERROR(N30/N148, "NA")</f>
        <v>9.9003516361257562E-3</v>
      </c>
      <c r="P30" s="115">
        <v>340.59</v>
      </c>
      <c r="Q30" s="116">
        <f>IFERROR(P30/P148, "NA")</f>
        <v>1.6526050400596237E-2</v>
      </c>
      <c r="R30" s="115">
        <v>255.24</v>
      </c>
      <c r="S30" s="116">
        <f>IFERROR(R30/R148, "NA")</f>
        <v>1.0408659365163126E-2</v>
      </c>
      <c r="T30" s="115">
        <v>252.34</v>
      </c>
      <c r="U30" s="116">
        <f>IFERROR(T30/T148, "NA")</f>
        <v>9.4639306253455121E-3</v>
      </c>
      <c r="V30" s="115">
        <v>210.65</v>
      </c>
      <c r="W30" s="116">
        <f>IFERROR(V30/V148, "NA")</f>
        <v>8.777375912530418E-3</v>
      </c>
      <c r="X30" s="115">
        <v>285.58999999999997</v>
      </c>
      <c r="Y30" s="116">
        <f>IFERROR(X30/X148, "NA")</f>
        <v>8.2321952366896656E-3</v>
      </c>
      <c r="Z30" s="115">
        <v>496.24</v>
      </c>
      <c r="AA30" s="116">
        <f>IFERROR(Z30/Z148, "NA")</f>
        <v>8.4551236440860485E-3</v>
      </c>
      <c r="AB30" s="117">
        <f t="shared" si="6"/>
        <v>250.95499999999998</v>
      </c>
      <c r="AC30" s="116">
        <f>IFERROR(AB30/AB148, "NA")</f>
        <v>9.1359126042411167E-3</v>
      </c>
      <c r="AD30" s="118">
        <f t="shared" si="7"/>
        <v>34.634999999999991</v>
      </c>
      <c r="AE30" s="119">
        <f>IFERROR(AD30/AD148, "NA")</f>
        <v>4.795250023450136E-3</v>
      </c>
      <c r="AF30" s="118">
        <f t="shared" si="8"/>
        <v>0.13801279113785336</v>
      </c>
      <c r="AG30" s="117">
        <f t="shared" si="9"/>
        <v>276.0025</v>
      </c>
      <c r="AH30" s="116">
        <f>IFERROR(AG30/AG148, "NA")</f>
        <v>1.0370033542152043E-2</v>
      </c>
      <c r="AI30" s="118">
        <f t="shared" si="10"/>
        <v>9.5874999999999773</v>
      </c>
      <c r="AJ30" s="119">
        <f>IFERROR(AI30/AI148, "NA")</f>
        <v>1.1870935230041523E-3</v>
      </c>
      <c r="AK30" s="118">
        <f t="shared" si="11"/>
        <v>3.4737004193802511E-2</v>
      </c>
      <c r="AL30" s="119">
        <f>IFERROR(AK30/AK148, "NA")</f>
        <v>0.11447345065749909</v>
      </c>
    </row>
    <row r="31" spans="1:38" ht="16.5" customHeight="1" x14ac:dyDescent="0.25">
      <c r="A31" s="7" t="s">
        <v>37</v>
      </c>
      <c r="B31" s="115">
        <v>-4.87</v>
      </c>
      <c r="C31" s="116">
        <f>IFERROR(B31/B148, "NA")</f>
        <v>-1.6874695510499387E-4</v>
      </c>
      <c r="D31" s="115">
        <v>7.31</v>
      </c>
      <c r="E31" s="116">
        <f>IFERROR(D31/D148, "NA")</f>
        <v>2.8246830153085456E-4</v>
      </c>
      <c r="F31" s="115">
        <v>24.35</v>
      </c>
      <c r="G31" s="116">
        <f>IFERROR(F31/F148, "NA")</f>
        <v>9.475913861413496E-4</v>
      </c>
      <c r="H31" s="115">
        <v>12.18</v>
      </c>
      <c r="I31" s="116">
        <f>IFERROR(H31/H148, "NA")</f>
        <v>4.8401921929845822E-4</v>
      </c>
      <c r="J31" s="115">
        <v>14.61</v>
      </c>
      <c r="K31" s="116">
        <f>IFERROR(J31/J148, "NA")</f>
        <v>5.1024114394597659E-4</v>
      </c>
      <c r="L31" s="115">
        <v>-4.87</v>
      </c>
      <c r="M31" s="116">
        <f>IFERROR(L31/L148, "NA")</f>
        <v>-1.7354713960816121E-4</v>
      </c>
      <c r="N31" s="115">
        <v>17.05</v>
      </c>
      <c r="O31" s="116">
        <f>IFERROR(N31/N148, "NA")</f>
        <v>6.6232831906122634E-4</v>
      </c>
      <c r="P31" s="115">
        <v>12.18</v>
      </c>
      <c r="Q31" s="116">
        <f>IFERROR(P31/P148, "NA")</f>
        <v>5.9099590087572198E-4</v>
      </c>
      <c r="R31" s="115">
        <v>14.61</v>
      </c>
      <c r="S31" s="116">
        <f>IFERROR(R31/R148, "NA")</f>
        <v>5.9579420672713234E-4</v>
      </c>
      <c r="T31" s="115">
        <v>14.61</v>
      </c>
      <c r="U31" s="116">
        <f>IFERROR(T31/T148, "NA")</f>
        <v>5.4794335593365273E-4</v>
      </c>
      <c r="V31" s="115">
        <v>2.44</v>
      </c>
      <c r="W31" s="116">
        <f>IFERROR(V31/V148, "NA")</f>
        <v>1.0167005566852228E-4</v>
      </c>
      <c r="X31" s="115">
        <v>9.74</v>
      </c>
      <c r="Y31" s="116">
        <f>IFERROR(X31/X148, "NA")</f>
        <v>2.8075766520311408E-4</v>
      </c>
      <c r="Z31" s="115">
        <v>12.18</v>
      </c>
      <c r="AA31" s="116">
        <f>IFERROR(Z31/Z148, "NA")</f>
        <v>2.0752741815445764E-4</v>
      </c>
      <c r="AB31" s="117">
        <f t="shared" si="6"/>
        <v>10.35</v>
      </c>
      <c r="AC31" s="116">
        <f>IFERROR(AB31/AB148, "NA")</f>
        <v>3.767874537422867E-4</v>
      </c>
      <c r="AD31" s="118">
        <f t="shared" si="7"/>
        <v>-0.60999999999999943</v>
      </c>
      <c r="AE31" s="119">
        <f>IFERROR(AD31/AD148, "NA")</f>
        <v>-8.4455103632296257E-5</v>
      </c>
      <c r="AF31" s="118">
        <f t="shared" si="8"/>
        <v>-5.8937198067632798E-2</v>
      </c>
      <c r="AG31" s="117">
        <f t="shared" si="9"/>
        <v>10.046249999999999</v>
      </c>
      <c r="AH31" s="116">
        <f>IFERROR(AG31/AG148, "NA")</f>
        <v>3.7746016602329671E-4</v>
      </c>
      <c r="AI31" s="118">
        <f t="shared" si="10"/>
        <v>-0.30624999999999858</v>
      </c>
      <c r="AJ31" s="119">
        <f>IFERROR(AI31/AI148, "NA")</f>
        <v>-3.791889349882877E-5</v>
      </c>
      <c r="AK31" s="118">
        <f t="shared" si="11"/>
        <v>-3.0484011447057223E-2</v>
      </c>
      <c r="AL31" s="119">
        <f>IFERROR(AK31/AK148, "NA")</f>
        <v>-0.10045800037211988</v>
      </c>
    </row>
    <row r="32" spans="1:38" ht="16.5" customHeight="1" x14ac:dyDescent="0.25">
      <c r="A32" s="7" t="s">
        <v>38</v>
      </c>
      <c r="B32" s="115">
        <v>26.9</v>
      </c>
      <c r="C32" s="116">
        <f>IFERROR(B32/B148, "NA")</f>
        <v>9.3209303743826185E-4</v>
      </c>
      <c r="D32" s="115">
        <v>0</v>
      </c>
      <c r="E32" s="116">
        <f>IFERROR(D32/D148, "NA")</f>
        <v>0</v>
      </c>
      <c r="F32" s="115">
        <v>-26.9</v>
      </c>
      <c r="G32" s="116">
        <f>IFERROR(F32/F148, "NA")</f>
        <v>-1.0468258023491705E-3</v>
      </c>
      <c r="H32" s="115">
        <v>26.9</v>
      </c>
      <c r="I32" s="116">
        <f>IFERROR(H32/H148, "NA")</f>
        <v>1.0689751230811599E-3</v>
      </c>
      <c r="J32" s="115">
        <v>3</v>
      </c>
      <c r="K32" s="116">
        <f>IFERROR(J32/J148, "NA")</f>
        <v>1.0477230881847568E-4</v>
      </c>
      <c r="L32" s="115">
        <v>-29.9</v>
      </c>
      <c r="M32" s="116">
        <f>IFERROR(L32/L148, "NA")</f>
        <v>-1.0655152924607843E-3</v>
      </c>
      <c r="N32" s="115">
        <v>1.99</v>
      </c>
      <c r="O32" s="116">
        <f>IFERROR(N32/N148, "NA")</f>
        <v>7.7304009086911457E-5</v>
      </c>
      <c r="P32" s="115">
        <v>27.91</v>
      </c>
      <c r="Q32" s="116">
        <f>IFERROR(P32/P148, "NA")</f>
        <v>1.3542443015961741E-3</v>
      </c>
      <c r="R32" s="115">
        <v>0</v>
      </c>
      <c r="S32" s="116">
        <f>IFERROR(R32/R148, "NA")</f>
        <v>0</v>
      </c>
      <c r="T32" s="115">
        <v>-27.91</v>
      </c>
      <c r="U32" s="116">
        <f>IFERROR(T32/T148, "NA")</f>
        <v>-1.0467555827589491E-3</v>
      </c>
      <c r="V32" s="115">
        <v>29.9</v>
      </c>
      <c r="W32" s="116">
        <f>IFERROR(V32/V148, "NA")</f>
        <v>1.2458748624954163E-3</v>
      </c>
      <c r="X32" s="115">
        <v>0</v>
      </c>
      <c r="Y32" s="116">
        <f>IFERROR(X32/X148, "NA")</f>
        <v>0</v>
      </c>
      <c r="Z32" s="115">
        <v>29.9</v>
      </c>
      <c r="AA32" s="116">
        <f>IFERROR(Z32/Z148, "NA")</f>
        <v>5.0944743865503146E-4</v>
      </c>
      <c r="AB32" s="117">
        <f t="shared" si="6"/>
        <v>0.49749999999999961</v>
      </c>
      <c r="AC32" s="116">
        <f>IFERROR(AB32/AB148, "NA")</f>
        <v>1.8111280989061591E-5</v>
      </c>
      <c r="AD32" s="118">
        <f t="shared" si="7"/>
        <v>-0.49749999999999961</v>
      </c>
      <c r="AE32" s="119">
        <f>IFERROR(AD32/AD148, "NA")</f>
        <v>-6.8879367306667858E-5</v>
      </c>
      <c r="AF32" s="118">
        <f t="shared" si="8"/>
        <v>-1</v>
      </c>
      <c r="AG32" s="117">
        <f t="shared" si="9"/>
        <v>0.6237499999999998</v>
      </c>
      <c r="AH32" s="116">
        <f>IFERROR(AG32/AG148, "NA")</f>
        <v>2.343568779962984E-5</v>
      </c>
      <c r="AI32" s="118">
        <f t="shared" si="10"/>
        <v>-0.6237499999999998</v>
      </c>
      <c r="AJ32" s="119">
        <f>IFERROR(AI32/AI148, "NA")</f>
        <v>-7.7230725942512799E-5</v>
      </c>
      <c r="AK32" s="118">
        <f t="shared" si="11"/>
        <v>-1</v>
      </c>
      <c r="AL32" s="119">
        <f>IFERROR(AK32/AK148, "NA")</f>
        <v>-3.2954324448601269</v>
      </c>
    </row>
    <row r="33" spans="1:38" ht="16.5" customHeight="1" x14ac:dyDescent="0.25">
      <c r="A33" s="7" t="s">
        <v>39</v>
      </c>
      <c r="B33" s="115">
        <v>0</v>
      </c>
      <c r="C33" s="116">
        <f>IFERROR(B33/B148, "NA")</f>
        <v>0</v>
      </c>
      <c r="D33" s="115">
        <v>0</v>
      </c>
      <c r="E33" s="116">
        <f>IFERROR(D33/D148, "NA")</f>
        <v>0</v>
      </c>
      <c r="F33" s="115">
        <v>7.35</v>
      </c>
      <c r="G33" s="116">
        <f>IFERROR(F33/F148, "NA")</f>
        <v>2.8602861142254288E-4</v>
      </c>
      <c r="H33" s="115">
        <v>-7.01</v>
      </c>
      <c r="I33" s="116">
        <f>IFERROR(H33/H148, "NA")</f>
        <v>-2.7856935363564794E-4</v>
      </c>
      <c r="J33" s="115">
        <v>7.01</v>
      </c>
      <c r="K33" s="116">
        <f>IFERROR(J33/J148, "NA")</f>
        <v>2.4481796160583818E-4</v>
      </c>
      <c r="L33" s="115">
        <v>0</v>
      </c>
      <c r="M33" s="116">
        <f>IFERROR(L33/L148, "NA")</f>
        <v>0</v>
      </c>
      <c r="N33" s="115">
        <v>0</v>
      </c>
      <c r="O33" s="116">
        <f>IFERROR(N33/N148, "NA")</f>
        <v>0</v>
      </c>
      <c r="P33" s="115">
        <v>0</v>
      </c>
      <c r="Q33" s="116">
        <f>IFERROR(P33/P148, "NA")</f>
        <v>0</v>
      </c>
      <c r="R33" s="115">
        <v>0</v>
      </c>
      <c r="S33" s="116">
        <f>IFERROR(R33/R148, "NA")</f>
        <v>0</v>
      </c>
      <c r="T33" s="115">
        <v>7.35</v>
      </c>
      <c r="U33" s="116">
        <f>IFERROR(T33/T148, "NA")</f>
        <v>2.7565938850871645E-4</v>
      </c>
      <c r="V33" s="115">
        <v>-7.35</v>
      </c>
      <c r="W33" s="116">
        <f>IFERROR(V33/V148, "NA")</f>
        <v>-3.0626020867362242E-4</v>
      </c>
      <c r="X33" s="115">
        <v>0</v>
      </c>
      <c r="Y33" s="116">
        <f>IFERROR(X33/X148, "NA")</f>
        <v>0</v>
      </c>
      <c r="Z33" s="115">
        <v>-7.35</v>
      </c>
      <c r="AA33" s="116">
        <f>IFERROR(Z33/Z148, "NA")</f>
        <v>-1.2523206267941409E-4</v>
      </c>
      <c r="AB33" s="117">
        <f t="shared" si="6"/>
        <v>0</v>
      </c>
      <c r="AC33" s="116">
        <f>IFERROR(AB33/AB148, "NA")</f>
        <v>0</v>
      </c>
      <c r="AD33" s="118">
        <f t="shared" si="7"/>
        <v>0</v>
      </c>
      <c r="AE33" s="119">
        <f>IFERROR(AD33/AD148, "NA")</f>
        <v>0</v>
      </c>
      <c r="AF33" s="118" t="str">
        <f t="shared" si="8"/>
        <v>NA</v>
      </c>
      <c r="AG33" s="117">
        <f t="shared" si="9"/>
        <v>0.87624999999999997</v>
      </c>
      <c r="AH33" s="116">
        <f>IFERROR(AG33/AG148, "NA")</f>
        <v>3.2922679654389823E-5</v>
      </c>
      <c r="AI33" s="118">
        <f t="shared" si="10"/>
        <v>-0.87624999999999997</v>
      </c>
      <c r="AJ33" s="119">
        <f>IFERROR(AI33/AI148, "NA")</f>
        <v>-1.0849446670481261E-4</v>
      </c>
      <c r="AK33" s="118">
        <f t="shared" si="11"/>
        <v>-1</v>
      </c>
      <c r="AL33" s="119">
        <f>IFERROR(AK33/AK148, "NA")</f>
        <v>-3.2954324448601269</v>
      </c>
    </row>
    <row r="34" spans="1:38" ht="16.5" customHeight="1" x14ac:dyDescent="0.25">
      <c r="A34" s="129" t="s">
        <v>40</v>
      </c>
      <c r="B34" s="121">
        <f>IFERROR(B29+B30+B31+B32+B33, "NA")</f>
        <v>336.40999999999997</v>
      </c>
      <c r="C34" s="122">
        <f>IFERROR(B34/B148, "NA")</f>
        <v>1.1656707015784596E-2</v>
      </c>
      <c r="D34" s="121">
        <f>IFERROR(D29+D30+D31+D32+D33, "NA")</f>
        <v>429.46</v>
      </c>
      <c r="E34" s="122">
        <f>IFERROR(D34/D148, "NA")</f>
        <v>1.6594916111551408E-2</v>
      </c>
      <c r="F34" s="121">
        <f>IFERROR(F29+F30+F31+F32+F33, "NA")</f>
        <v>338.17000000000007</v>
      </c>
      <c r="G34" s="122">
        <f>IFERROR(F34/F148, "NA")</f>
        <v>1.3160040207450523E-2</v>
      </c>
      <c r="H34" s="121">
        <f>IFERROR(H29+H30+H31+H32+H33, "NA")</f>
        <v>260.57</v>
      </c>
      <c r="I34" s="122">
        <f>IFERROR(H34/H148, "NA")</f>
        <v>1.0354752707109956E-2</v>
      </c>
      <c r="J34" s="121">
        <f>IFERROR(J29+J30+J31+J32+J33, "NA")</f>
        <v>337.77</v>
      </c>
      <c r="K34" s="122">
        <f>IFERROR(J34/J148, "NA")</f>
        <v>1.1796314249872177E-2</v>
      </c>
      <c r="L34" s="121">
        <f>IFERROR(L29+L30+L31+L32+L33, "NA")</f>
        <v>260.83000000000004</v>
      </c>
      <c r="M34" s="122">
        <f>IFERROR(L34/L148, "NA")</f>
        <v>9.2949282184798133E-3</v>
      </c>
      <c r="N34" s="121">
        <f>IFERROR(N29+N30+N31+N32+N33, "NA")</f>
        <v>273.90000000000003</v>
      </c>
      <c r="O34" s="122">
        <f>IFERROR(N34/N148, "NA")</f>
        <v>1.0639983964273896E-2</v>
      </c>
      <c r="P34" s="121">
        <f>IFERROR(P29+P30+P31+P32+P33, "NA")</f>
        <v>380.68</v>
      </c>
      <c r="Q34" s="122">
        <f>IFERROR(P34/P148, "NA")</f>
        <v>1.8471290603068135E-2</v>
      </c>
      <c r="R34" s="121">
        <f>IFERROR(R29+R30+R31+R32+R33, "NA")</f>
        <v>269.85000000000002</v>
      </c>
      <c r="S34" s="122">
        <f>IFERROR(R34/R148, "NA")</f>
        <v>1.100445357189026E-2</v>
      </c>
      <c r="T34" s="121">
        <f>IFERROR(T29+T30+T31+T32+T33, "NA")</f>
        <v>246.39</v>
      </c>
      <c r="U34" s="122">
        <f>IFERROR(T34/T148, "NA")</f>
        <v>9.240777787028932E-3</v>
      </c>
      <c r="V34" s="121">
        <f>IFERROR(V29+V30+V31+V32+V33, "NA")</f>
        <v>235.64000000000001</v>
      </c>
      <c r="W34" s="122">
        <f>IFERROR(V34/V148, "NA")</f>
        <v>9.8186606220207352E-3</v>
      </c>
      <c r="X34" s="121">
        <f>IFERROR(X29+X30+X31+X32+X33, "NA")</f>
        <v>295.33</v>
      </c>
      <c r="Y34" s="122">
        <f>IFERROR(X34/X148, "NA")</f>
        <v>8.5129529018927799E-3</v>
      </c>
      <c r="Z34" s="121">
        <f>IFERROR(Z29+Z30+Z31+Z32+Z33, "NA")</f>
        <v>530.97</v>
      </c>
      <c r="AA34" s="122">
        <f>IFERROR(Z34/Z148, "NA")</f>
        <v>9.0468664382161237E-3</v>
      </c>
      <c r="AB34" s="121">
        <f t="shared" si="6"/>
        <v>261.80250000000001</v>
      </c>
      <c r="AC34" s="122">
        <f>IFERROR(AB34/AB148, "NA")</f>
        <v>9.5308113389724648E-3</v>
      </c>
      <c r="AD34" s="123">
        <f t="shared" si="7"/>
        <v>33.527499999999975</v>
      </c>
      <c r="AE34" s="124">
        <f>IFERROR(AD34/AD148, "NA")</f>
        <v>4.6419155525111696E-3</v>
      </c>
      <c r="AF34" s="123">
        <f t="shared" si="8"/>
        <v>0.12806409411674821</v>
      </c>
      <c r="AG34" s="121">
        <f t="shared" si="9"/>
        <v>287.54875000000004</v>
      </c>
      <c r="AH34" s="122">
        <f>IFERROR(AG34/AG148, "NA")</f>
        <v>1.0803852075629361E-2</v>
      </c>
      <c r="AI34" s="123">
        <f t="shared" si="10"/>
        <v>7.7812499999999432</v>
      </c>
      <c r="AJ34" s="124">
        <f>IFERROR(AI34/AI148, "NA")</f>
        <v>9.6344943685799369E-4</v>
      </c>
      <c r="AK34" s="123">
        <f t="shared" si="11"/>
        <v>2.706062884989047E-2</v>
      </c>
      <c r="AL34" s="124">
        <f>IFERROR(AK34/AK148, "NA")</f>
        <v>8.917647429024704E-2</v>
      </c>
    </row>
    <row r="35" spans="1:38" ht="16.5" customHeight="1" x14ac:dyDescent="0.25">
      <c r="A35" s="130" t="s">
        <v>41</v>
      </c>
      <c r="B35" s="121">
        <f>IFERROR(B13+B15+B16+B17+B18+B19+B20+B21+B22+B23+B24+B25+B26+B29+B30+B31+B32+B33, "NA")</f>
        <v>5813.0499999999993</v>
      </c>
      <c r="C35" s="122">
        <f>IFERROR(B35/B148, "NA")</f>
        <v>0.20142391937845677</v>
      </c>
      <c r="D35" s="121">
        <f>IFERROR(D13+D15+D16+D17+D18+D19+D20+D21+D22+D23+D24+D25+D26+D29+D30+D31+D32+D33, "NA")</f>
        <v>6911.3200000000006</v>
      </c>
      <c r="E35" s="122">
        <f>IFERROR(D35/D148, "NA")</f>
        <v>0.2670627663113852</v>
      </c>
      <c r="F35" s="121">
        <f>IFERROR(F13+F15+F16+F17+F18+F19+F20+F21+F22+F23+F24+F25+F26+F29+F30+F31+F32+F33, "NA")</f>
        <v>5984.9300000000012</v>
      </c>
      <c r="G35" s="122">
        <f>IFERROR(F35/F148, "NA")</f>
        <v>0.23290628807634284</v>
      </c>
      <c r="H35" s="121">
        <f>IFERROR(H13+H15+H16+H17+H18+H19+H20+H21+H22+H23+H24+H25+H26+H29+H30+H31+H32+H33, "NA")</f>
        <v>5681.619999999999</v>
      </c>
      <c r="I35" s="122">
        <f>IFERROR(H35/H148, "NA")</f>
        <v>0.22578105720447503</v>
      </c>
      <c r="J35" s="121">
        <f>IFERROR(J13+J15+J16+J17+J18+J19+J20+J21+J22+J23+J24+J25+J26+J29+J30+J31+J32+J33, "NA")</f>
        <v>6712.6599999999989</v>
      </c>
      <c r="K35" s="122">
        <f>IFERROR(J35/J148, "NA")</f>
        <v>0.23443362883780963</v>
      </c>
      <c r="L35" s="121">
        <f>IFERROR(L13+L15+L16+L17+L18+L19+L20+L21+L22+L23+L24+L25+L26+L29+L30+L31+L32+L33, "NA")</f>
        <v>6087.2900000000009</v>
      </c>
      <c r="M35" s="122">
        <f>IFERROR(L35/L148, "NA")</f>
        <v>0.21692644095798025</v>
      </c>
      <c r="N35" s="121">
        <f>IFERROR(N13+N15+N16+N17+N18+N19+N20+N21+N22+N23+N24+N25+N26+N29+N30+N31+N32+N33, "NA")</f>
        <v>5582.5199999999995</v>
      </c>
      <c r="O35" s="122">
        <f>IFERROR(N35/N148, "NA")</f>
        <v>0.21685988784314819</v>
      </c>
      <c r="P35" s="121">
        <f>IFERROR(P13+P15+P16+P17+P18+P19+P20+P21+P22+P23+P24+P25+P26+P29+P30+P31+P32+P33, "NA")</f>
        <v>5077.8700000000008</v>
      </c>
      <c r="Q35" s="122">
        <f>IFERROR(P35/P148, "NA")</f>
        <v>0.24638754968635493</v>
      </c>
      <c r="R35" s="121">
        <f>IFERROR(R13+R15+R16+R17+R18+R19+R20+R21+R22+R23+R24+R25+R26+R29+R30+R31+R32+R33, "NA")</f>
        <v>5746.9999999999991</v>
      </c>
      <c r="S35" s="122">
        <f>IFERROR(R35/R148, "NA")</f>
        <v>0.23436203326905061</v>
      </c>
      <c r="T35" s="121">
        <f>IFERROR(T13+T15+T16+T17+T18+T19+T20+T21+T22+T23+T24+T25+T26+T29+T30+T31+T32+T33, "NA")</f>
        <v>5829.42</v>
      </c>
      <c r="U35" s="122">
        <f>IFERROR(T35/T148, "NA")</f>
        <v>0.21863052415788869</v>
      </c>
      <c r="V35" s="121">
        <f>IFERROR(V13+V15+V16+V17+V18+V19+V20+V21+V22+V23+V24+V25+V26+V29+V30+V31+V32+V33, "NA")</f>
        <v>5665.8699999999981</v>
      </c>
      <c r="W35" s="122">
        <f>IFERROR(V35/V148, "NA")</f>
        <v>0.23608578619287302</v>
      </c>
      <c r="X35" s="121">
        <f>IFERROR(X13+X15+X16+X17+X18+X19+X20+X21+X22+X23+X24+X25+X26+X29+X30+X31+X32+X33, "NA")</f>
        <v>6550.89</v>
      </c>
      <c r="Y35" s="122">
        <f>IFERROR(X35/X148, "NA")</f>
        <v>0.18883086051359632</v>
      </c>
      <c r="Z35" s="121">
        <f>IFERROR(Z13+Z15+Z16+Z17+Z18+Z19+Z20+Z21+Z22+Z23+Z24+Z25+Z26+Z29+Z30+Z31+Z32+Z33, "NA")</f>
        <v>12216.76</v>
      </c>
      <c r="AA35" s="122">
        <f>IFERROR(Z35/Z148, "NA")</f>
        <v>0.20815374885161347</v>
      </c>
      <c r="AB35" s="121">
        <f t="shared" si="6"/>
        <v>5948.2949999999992</v>
      </c>
      <c r="AC35" s="122">
        <f>IFERROR(AB35/AB148, "NA")</f>
        <v>0.21654521035342753</v>
      </c>
      <c r="AD35" s="123">
        <f t="shared" si="7"/>
        <v>602.59500000000116</v>
      </c>
      <c r="AE35" s="124">
        <f>IFERROR(AD35/AD148, "NA")</f>
        <v>8.3429874054596245E-2</v>
      </c>
      <c r="AF35" s="123">
        <f t="shared" si="8"/>
        <v>0.10130550014752147</v>
      </c>
      <c r="AG35" s="121">
        <f t="shared" si="9"/>
        <v>5906.69</v>
      </c>
      <c r="AH35" s="122">
        <f>IFERROR(AG35/AG148, "NA")</f>
        <v>0.22192760363798897</v>
      </c>
      <c r="AI35" s="123">
        <f t="shared" si="10"/>
        <v>644.20000000000073</v>
      </c>
      <c r="AJ35" s="124">
        <f>IFERROR(AI35/AI148, "NA")</f>
        <v>7.9762779402271458E-2</v>
      </c>
      <c r="AK35" s="123">
        <f t="shared" si="11"/>
        <v>0.10906277458271904</v>
      </c>
      <c r="AL35" s="124">
        <f>IFERROR(AK35/AK148, "NA")</f>
        <v>0.35940900588635871</v>
      </c>
    </row>
    <row r="36" spans="1:38" ht="16.5" customHeight="1" x14ac:dyDescent="0.25">
      <c r="A36" s="4" t="s">
        <v>42</v>
      </c>
      <c r="B36" s="111"/>
      <c r="C36" s="112"/>
      <c r="D36" s="111"/>
      <c r="E36" s="112"/>
      <c r="F36" s="111"/>
      <c r="G36" s="112"/>
      <c r="H36" s="111"/>
      <c r="I36" s="112"/>
      <c r="J36" s="111"/>
      <c r="K36" s="112"/>
      <c r="L36" s="111"/>
      <c r="M36" s="112"/>
      <c r="N36" s="111"/>
      <c r="O36" s="112"/>
      <c r="P36" s="111"/>
      <c r="Q36" s="112"/>
      <c r="R36" s="111"/>
      <c r="S36" s="112"/>
      <c r="T36" s="111"/>
      <c r="U36" s="112"/>
      <c r="V36" s="111"/>
      <c r="W36" s="112"/>
      <c r="X36" s="111"/>
      <c r="Y36" s="112"/>
      <c r="Z36" s="111"/>
      <c r="AA36" s="112"/>
      <c r="AB36" s="111"/>
      <c r="AC36" s="112"/>
      <c r="AD36" s="113"/>
      <c r="AE36" s="114"/>
      <c r="AF36" s="113"/>
      <c r="AG36" s="111"/>
      <c r="AH36" s="112"/>
      <c r="AI36" s="113"/>
      <c r="AJ36" s="114"/>
      <c r="AK36" s="113"/>
      <c r="AL36" s="114"/>
    </row>
    <row r="37" spans="1:38" ht="16.5" hidden="1" customHeight="1" x14ac:dyDescent="0.25">
      <c r="A37" s="5" t="s">
        <v>43</v>
      </c>
      <c r="B37" s="115">
        <v>0</v>
      </c>
      <c r="C37" s="116">
        <f>IFERROR(B37/B148, "NA")</f>
        <v>0</v>
      </c>
      <c r="D37" s="115">
        <v>0</v>
      </c>
      <c r="E37" s="116">
        <f>IFERROR(D37/D148, "NA")</f>
        <v>0</v>
      </c>
      <c r="F37" s="115">
        <v>0</v>
      </c>
      <c r="G37" s="116">
        <f>IFERROR(F37/F148, "NA")</f>
        <v>0</v>
      </c>
      <c r="H37" s="115">
        <v>0</v>
      </c>
      <c r="I37" s="116">
        <f>IFERROR(H37/H148, "NA")</f>
        <v>0</v>
      </c>
      <c r="J37" s="115">
        <v>0</v>
      </c>
      <c r="K37" s="116">
        <f>IFERROR(J37/J148, "NA")</f>
        <v>0</v>
      </c>
      <c r="L37" s="115">
        <v>0</v>
      </c>
      <c r="M37" s="116">
        <f>IFERROR(L37/L148, "NA")</f>
        <v>0</v>
      </c>
      <c r="N37" s="115">
        <v>0</v>
      </c>
      <c r="O37" s="116">
        <f>IFERROR(N37/N148, "NA")</f>
        <v>0</v>
      </c>
      <c r="P37" s="115">
        <v>0</v>
      </c>
      <c r="Q37" s="116">
        <f>IFERROR(P37/P148, "NA")</f>
        <v>0</v>
      </c>
      <c r="R37" s="115">
        <v>0</v>
      </c>
      <c r="S37" s="116">
        <f>IFERROR(R37/R148, "NA")</f>
        <v>0</v>
      </c>
      <c r="T37" s="115">
        <v>0</v>
      </c>
      <c r="U37" s="116">
        <f>IFERROR(T37/T148, "NA")</f>
        <v>0</v>
      </c>
      <c r="V37" s="115">
        <v>0</v>
      </c>
      <c r="W37" s="116">
        <f>IFERROR(V37/V148, "NA")</f>
        <v>0</v>
      </c>
      <c r="X37" s="115">
        <v>0</v>
      </c>
      <c r="Y37" s="116">
        <f>IFERROR(X37/X148, "NA")</f>
        <v>0</v>
      </c>
      <c r="Z37" s="115">
        <v>0</v>
      </c>
      <c r="AA37" s="116">
        <f>IFERROR(Z37/Z148, "NA")</f>
        <v>0</v>
      </c>
      <c r="AB37" s="117">
        <f>IFERROR((R37+T37+V37+X37)/4, "NA")</f>
        <v>0</v>
      </c>
      <c r="AC37" s="116">
        <f>IFERROR(AB37/AB148, "NA")</f>
        <v>0</v>
      </c>
      <c r="AD37" s="118">
        <f>IFERROR(X37-AB37, "NA")</f>
        <v>0</v>
      </c>
      <c r="AE37" s="119">
        <f>IFERROR(AD37/AD148, "NA")</f>
        <v>0</v>
      </c>
      <c r="AF37" s="118" t="str">
        <f>IFERROR((X37-AB37)/AB37, "NA")</f>
        <v>NA</v>
      </c>
      <c r="AG37" s="117">
        <f>IFERROR((J37+L37+N37+P37+R37+T37+V37+X37)/8, "NA")</f>
        <v>0</v>
      </c>
      <c r="AH37" s="116">
        <f>IFERROR(AG37/AG148, "NA")</f>
        <v>0</v>
      </c>
      <c r="AI37" s="118">
        <f>IFERROR(X37-AG37, "NA")</f>
        <v>0</v>
      </c>
      <c r="AJ37" s="119">
        <f>IFERROR(AI37/AI148, "NA")</f>
        <v>0</v>
      </c>
      <c r="AK37" s="118" t="str">
        <f>IFERROR((X37-AG37)/AG37, "NA")</f>
        <v>NA</v>
      </c>
      <c r="AL37" s="119" t="str">
        <f>IFERROR(AK37/AK148, "NA")</f>
        <v>NA</v>
      </c>
    </row>
    <row r="38" spans="1:38" ht="16.5" customHeight="1" x14ac:dyDescent="0.25">
      <c r="A38" s="6" t="s">
        <v>44</v>
      </c>
      <c r="B38" s="111"/>
      <c r="C38" s="112"/>
      <c r="D38" s="111"/>
      <c r="E38" s="112"/>
      <c r="F38" s="111"/>
      <c r="G38" s="112"/>
      <c r="H38" s="111"/>
      <c r="I38" s="112"/>
      <c r="J38" s="111"/>
      <c r="K38" s="112"/>
      <c r="L38" s="111"/>
      <c r="M38" s="112"/>
      <c r="N38" s="111"/>
      <c r="O38" s="112"/>
      <c r="P38" s="111"/>
      <c r="Q38" s="112"/>
      <c r="R38" s="111"/>
      <c r="S38" s="112"/>
      <c r="T38" s="111"/>
      <c r="U38" s="112"/>
      <c r="V38" s="111"/>
      <c r="W38" s="112"/>
      <c r="X38" s="111"/>
      <c r="Y38" s="112"/>
      <c r="Z38" s="111"/>
      <c r="AA38" s="112"/>
      <c r="AB38" s="111"/>
      <c r="AC38" s="112"/>
      <c r="AD38" s="113"/>
      <c r="AE38" s="114"/>
      <c r="AF38" s="113"/>
      <c r="AG38" s="111"/>
      <c r="AH38" s="112"/>
      <c r="AI38" s="113"/>
      <c r="AJ38" s="114"/>
      <c r="AK38" s="113"/>
      <c r="AL38" s="114"/>
    </row>
    <row r="39" spans="1:38" ht="16.5" hidden="1" customHeight="1" x14ac:dyDescent="0.25">
      <c r="A39" s="7" t="s">
        <v>45</v>
      </c>
      <c r="B39" s="115">
        <v>0</v>
      </c>
      <c r="C39" s="116">
        <f>IFERROR(B39/B148, "NA")</f>
        <v>0</v>
      </c>
      <c r="D39" s="115">
        <v>0</v>
      </c>
      <c r="E39" s="116">
        <f>IFERROR(D39/D148, "NA")</f>
        <v>0</v>
      </c>
      <c r="F39" s="115">
        <v>0</v>
      </c>
      <c r="G39" s="116">
        <f>IFERROR(F39/F148, "NA")</f>
        <v>0</v>
      </c>
      <c r="H39" s="115">
        <v>0</v>
      </c>
      <c r="I39" s="116">
        <f>IFERROR(H39/H148, "NA")</f>
        <v>0</v>
      </c>
      <c r="J39" s="115">
        <v>0</v>
      </c>
      <c r="K39" s="116">
        <f>IFERROR(J39/J148, "NA")</f>
        <v>0</v>
      </c>
      <c r="L39" s="115">
        <v>0</v>
      </c>
      <c r="M39" s="116">
        <f>IFERROR(L39/L148, "NA")</f>
        <v>0</v>
      </c>
      <c r="N39" s="115">
        <v>0</v>
      </c>
      <c r="O39" s="116">
        <f>IFERROR(N39/N148, "NA")</f>
        <v>0</v>
      </c>
      <c r="P39" s="115">
        <v>0</v>
      </c>
      <c r="Q39" s="116">
        <f>IFERROR(P39/P148, "NA")</f>
        <v>0</v>
      </c>
      <c r="R39" s="115">
        <v>0</v>
      </c>
      <c r="S39" s="116">
        <f>IFERROR(R39/R148, "NA")</f>
        <v>0</v>
      </c>
      <c r="T39" s="115">
        <v>0</v>
      </c>
      <c r="U39" s="116">
        <f>IFERROR(T39/T148, "NA")</f>
        <v>0</v>
      </c>
      <c r="V39" s="115">
        <v>0</v>
      </c>
      <c r="W39" s="116">
        <f>IFERROR(V39/V148, "NA")</f>
        <v>0</v>
      </c>
      <c r="X39" s="115">
        <v>0</v>
      </c>
      <c r="Y39" s="116">
        <f>IFERROR(X39/X148, "NA")</f>
        <v>0</v>
      </c>
      <c r="Z39" s="115">
        <v>0</v>
      </c>
      <c r="AA39" s="116">
        <f>IFERROR(Z39/Z148, "NA")</f>
        <v>0</v>
      </c>
      <c r="AB39" s="117">
        <f t="shared" ref="AB39:AB44" si="12">IFERROR((R39+T39+V39+X39)/4, "NA")</f>
        <v>0</v>
      </c>
      <c r="AC39" s="116">
        <f>IFERROR(AB39/AB148, "NA")</f>
        <v>0</v>
      </c>
      <c r="AD39" s="118">
        <f t="shared" ref="AD39:AD44" si="13">IFERROR(X39-AB39, "NA")</f>
        <v>0</v>
      </c>
      <c r="AE39" s="119">
        <f>IFERROR(AD39/AD148, "NA")</f>
        <v>0</v>
      </c>
      <c r="AF39" s="118" t="str">
        <f t="shared" ref="AF39:AF44" si="14">IFERROR((X39-AB39)/AB39, "NA")</f>
        <v>NA</v>
      </c>
      <c r="AG39" s="117">
        <f t="shared" ref="AG39:AG44" si="15">IFERROR((J39+L39+N39+P39+R39+T39+V39+X39)/8, "NA")</f>
        <v>0</v>
      </c>
      <c r="AH39" s="116">
        <f>IFERROR(AG39/AG148, "NA")</f>
        <v>0</v>
      </c>
      <c r="AI39" s="118">
        <f t="shared" ref="AI39:AI44" si="16">IFERROR(X39-AG39, "NA")</f>
        <v>0</v>
      </c>
      <c r="AJ39" s="119">
        <f>IFERROR(AI39/AI148, "NA")</f>
        <v>0</v>
      </c>
      <c r="AK39" s="118" t="str">
        <f t="shared" ref="AK39:AK44" si="17">IFERROR((X39-AG39)/AG39, "NA")</f>
        <v>NA</v>
      </c>
      <c r="AL39" s="119" t="str">
        <f>IFERROR(AK39/AK148, "NA")</f>
        <v>NA</v>
      </c>
    </row>
    <row r="40" spans="1:38" ht="16.5" customHeight="1" x14ac:dyDescent="0.25">
      <c r="A40" s="7" t="s">
        <v>46</v>
      </c>
      <c r="B40" s="115">
        <v>814.85</v>
      </c>
      <c r="C40" s="116">
        <f>IFERROR(B40/B148, "NA")</f>
        <v>2.8234795968645639E-2</v>
      </c>
      <c r="D40" s="115">
        <v>538.86</v>
      </c>
      <c r="E40" s="116">
        <f>IFERROR(D40/D148, "NA")</f>
        <v>2.0822280295884583E-2</v>
      </c>
      <c r="F40" s="115">
        <v>1029.03</v>
      </c>
      <c r="G40" s="116">
        <f>IFERROR(F40/F148, "NA")</f>
        <v>4.0045173062876097E-2</v>
      </c>
      <c r="H40" s="115">
        <v>636.66</v>
      </c>
      <c r="I40" s="116">
        <f>IFERROR(H40/H148, "NA")</f>
        <v>2.5300137615645025E-2</v>
      </c>
      <c r="J40" s="115">
        <v>845.14</v>
      </c>
      <c r="K40" s="116">
        <f>IFERROR(J40/J148, "NA")</f>
        <v>2.9515756358282179E-2</v>
      </c>
      <c r="L40" s="115">
        <v>745.4</v>
      </c>
      <c r="M40" s="116">
        <f>IFERROR(L40/L148, "NA")</f>
        <v>2.6563046789306644E-2</v>
      </c>
      <c r="N40" s="115">
        <v>628.85</v>
      </c>
      <c r="O40" s="116">
        <f>IFERROR(N40/N148, "NA")</f>
        <v>2.4428455333821243E-2</v>
      </c>
      <c r="P40" s="115">
        <v>504.33</v>
      </c>
      <c r="Q40" s="116">
        <f>IFERROR(P40/P148, "NA")</f>
        <v>2.4471014999068383E-2</v>
      </c>
      <c r="R40" s="115">
        <v>680.87</v>
      </c>
      <c r="S40" s="116">
        <f>IFERROR(R40/R148, "NA")</f>
        <v>2.7765804348686012E-2</v>
      </c>
      <c r="T40" s="115">
        <v>878.65</v>
      </c>
      <c r="U40" s="116">
        <f>IFERROR(T40/T148, "NA")</f>
        <v>3.2953485947371935E-2</v>
      </c>
      <c r="V40" s="115">
        <v>681.34</v>
      </c>
      <c r="W40" s="116">
        <f>IFERROR(V40/V148, "NA")</f>
        <v>2.8390113003766794E-2</v>
      </c>
      <c r="X40" s="115">
        <v>-237.85</v>
      </c>
      <c r="Y40" s="116">
        <f>IFERROR(X40/X148, "NA")</f>
        <v>-6.8560791240822056E-3</v>
      </c>
      <c r="Z40" s="115">
        <v>443.49</v>
      </c>
      <c r="AA40" s="116">
        <f>IFERROR(Z40/Z148, "NA")</f>
        <v>7.5563493166929743E-3</v>
      </c>
      <c r="AB40" s="117">
        <f t="shared" si="12"/>
        <v>500.75250000000005</v>
      </c>
      <c r="AC40" s="116">
        <f>IFERROR(AB40/AB148, "NA")</f>
        <v>1.8229686901457435E-2</v>
      </c>
      <c r="AD40" s="118">
        <f t="shared" si="13"/>
        <v>-738.60250000000008</v>
      </c>
      <c r="AE40" s="119">
        <f>IFERROR(AD40/AD148, "NA")</f>
        <v>-0.10226024701733305</v>
      </c>
      <c r="AF40" s="118">
        <f t="shared" si="14"/>
        <v>-1.4749851473532334</v>
      </c>
      <c r="AG40" s="117">
        <f t="shared" si="15"/>
        <v>590.84124999999995</v>
      </c>
      <c r="AH40" s="116">
        <f>IFERROR(AG40/AG148, "NA")</f>
        <v>2.2199232182994865E-2</v>
      </c>
      <c r="AI40" s="118">
        <f t="shared" si="16"/>
        <v>-828.69124999999997</v>
      </c>
      <c r="AJ40" s="119">
        <f>IFERROR(AI40/AI148, "NA")</f>
        <v>-0.10260589470093529</v>
      </c>
      <c r="AK40" s="118">
        <f t="shared" si="17"/>
        <v>-1.4025616017838971</v>
      </c>
      <c r="AL40" s="119">
        <f>IFERROR(AK40/AK148, "NA")</f>
        <v>-4.6220470084336434</v>
      </c>
    </row>
    <row r="41" spans="1:38" ht="16.5" customHeight="1" x14ac:dyDescent="0.25">
      <c r="A41" s="7" t="s">
        <v>47</v>
      </c>
      <c r="B41" s="115">
        <v>261.86</v>
      </c>
      <c r="C41" s="116">
        <f>IFERROR(B41/B148, "NA")</f>
        <v>9.0735272410254007E-3</v>
      </c>
      <c r="D41" s="115">
        <v>341.4</v>
      </c>
      <c r="E41" s="116">
        <f>IFERROR(D41/D148, "NA")</f>
        <v>1.3192158432644834E-2</v>
      </c>
      <c r="F41" s="115">
        <v>102.98</v>
      </c>
      <c r="G41" s="116">
        <f>IFERROR(F41/F148, "NA")</f>
        <v>4.0075137965025123E-3</v>
      </c>
      <c r="H41" s="115">
        <v>240.27</v>
      </c>
      <c r="I41" s="116">
        <f>IFERROR(H41/H148, "NA")</f>
        <v>9.5480540082791918E-3</v>
      </c>
      <c r="J41" s="115">
        <v>298.58</v>
      </c>
      <c r="K41" s="116">
        <f>IFERROR(J41/J148, "NA")</f>
        <v>1.0427638655673489E-2</v>
      </c>
      <c r="L41" s="115">
        <v>282.13</v>
      </c>
      <c r="M41" s="116">
        <f>IFERROR(L41/L148, "NA")</f>
        <v>1.0053974229497026E-2</v>
      </c>
      <c r="N41" s="115">
        <v>268.93</v>
      </c>
      <c r="O41" s="116">
        <f>IFERROR(N41/N148, "NA")</f>
        <v>1.0446918172735225E-2</v>
      </c>
      <c r="P41" s="115">
        <v>224.37</v>
      </c>
      <c r="Q41" s="116">
        <f>IFERROR(P41/P148, "NA")</f>
        <v>1.0886843208496368E-2</v>
      </c>
      <c r="R41" s="115">
        <v>208.56</v>
      </c>
      <c r="S41" s="116">
        <f>IFERROR(R41/R148, "NA")</f>
        <v>8.5050540557844445E-3</v>
      </c>
      <c r="T41" s="115">
        <v>366.58</v>
      </c>
      <c r="U41" s="116">
        <f>IFERROR(T41/T148, "NA")</f>
        <v>1.3748465121023847E-2</v>
      </c>
      <c r="V41" s="115">
        <v>200.61</v>
      </c>
      <c r="W41" s="116">
        <f>IFERROR(V41/V148, "NA")</f>
        <v>8.3590286342878108E-3</v>
      </c>
      <c r="X41" s="115">
        <v>-33.72</v>
      </c>
      <c r="Y41" s="116">
        <f>IFERROR(X41/X148, "NA")</f>
        <v>-9.7198649595985694E-4</v>
      </c>
      <c r="Z41" s="115">
        <v>166.89</v>
      </c>
      <c r="AA41" s="116">
        <f>IFERROR(Z41/Z148, "NA")</f>
        <v>2.8435345497370636E-3</v>
      </c>
      <c r="AB41" s="117">
        <f t="shared" si="12"/>
        <v>185.50749999999999</v>
      </c>
      <c r="AC41" s="116">
        <f>IFERROR(AB41/AB148, "NA")</f>
        <v>6.7533235338258207E-3</v>
      </c>
      <c r="AD41" s="118">
        <f t="shared" si="13"/>
        <v>-219.22749999999999</v>
      </c>
      <c r="AE41" s="119">
        <f>IFERROR(AD41/AD148, "NA")</f>
        <v>-3.0352264314015154E-2</v>
      </c>
      <c r="AF41" s="118">
        <f t="shared" si="14"/>
        <v>-1.1817716264841045</v>
      </c>
      <c r="AG41" s="117">
        <f t="shared" si="15"/>
        <v>227.00500000000002</v>
      </c>
      <c r="AH41" s="116">
        <f>IFERROR(AG41/AG148, "NA")</f>
        <v>8.5290874692664914E-3</v>
      </c>
      <c r="AI41" s="118">
        <f t="shared" si="16"/>
        <v>-260.72500000000002</v>
      </c>
      <c r="AJ41" s="119">
        <f>IFERROR(AI41/AI148, "NA")</f>
        <v>-3.2282133901982618E-2</v>
      </c>
      <c r="AK41" s="118">
        <f t="shared" si="17"/>
        <v>-1.1485429836347216</v>
      </c>
      <c r="AL41" s="119">
        <f>IFERROR(AK41/AK148, "NA")</f>
        <v>-3.7849458125863156</v>
      </c>
    </row>
    <row r="42" spans="1:38" ht="16.5" customHeight="1" x14ac:dyDescent="0.25">
      <c r="A42" s="7" t="s">
        <v>48</v>
      </c>
      <c r="B42" s="115">
        <v>0</v>
      </c>
      <c r="C42" s="116">
        <f>IFERROR(B42/B148, "NA")</f>
        <v>0</v>
      </c>
      <c r="D42" s="115">
        <v>0</v>
      </c>
      <c r="E42" s="116">
        <f>IFERROR(D42/D148, "NA")</f>
        <v>0</v>
      </c>
      <c r="F42" s="115">
        <v>0</v>
      </c>
      <c r="G42" s="116">
        <f>IFERROR(F42/F148, "NA")</f>
        <v>0</v>
      </c>
      <c r="H42" s="115">
        <v>0</v>
      </c>
      <c r="I42" s="116">
        <f>IFERROR(H42/H148, "NA")</f>
        <v>0</v>
      </c>
      <c r="J42" s="115">
        <v>0</v>
      </c>
      <c r="K42" s="116">
        <f>IFERROR(J42/J148, "NA")</f>
        <v>0</v>
      </c>
      <c r="L42" s="115">
        <v>0</v>
      </c>
      <c r="M42" s="116">
        <f>IFERROR(L42/L148, "NA")</f>
        <v>0</v>
      </c>
      <c r="N42" s="115">
        <v>0</v>
      </c>
      <c r="O42" s="116">
        <f>IFERROR(N42/N148, "NA")</f>
        <v>0</v>
      </c>
      <c r="P42" s="115">
        <v>0</v>
      </c>
      <c r="Q42" s="116">
        <f>IFERROR(P42/P148, "NA")</f>
        <v>0</v>
      </c>
      <c r="R42" s="115">
        <v>0</v>
      </c>
      <c r="S42" s="116">
        <f>IFERROR(R42/R148, "NA")</f>
        <v>0</v>
      </c>
      <c r="T42" s="115">
        <v>77.14</v>
      </c>
      <c r="U42" s="116">
        <f>IFERROR(T42/T148, "NA")</f>
        <v>2.8931109155867192E-3</v>
      </c>
      <c r="V42" s="115">
        <v>0</v>
      </c>
      <c r="W42" s="116">
        <f>IFERROR(V42/V148, "NA")</f>
        <v>0</v>
      </c>
      <c r="X42" s="115">
        <v>0</v>
      </c>
      <c r="Y42" s="116">
        <f>IFERROR(X42/X148, "NA")</f>
        <v>0</v>
      </c>
      <c r="Z42" s="115">
        <v>0</v>
      </c>
      <c r="AA42" s="116">
        <f>IFERROR(Z42/Z148, "NA")</f>
        <v>0</v>
      </c>
      <c r="AB42" s="117">
        <f t="shared" si="12"/>
        <v>19.285</v>
      </c>
      <c r="AC42" s="116">
        <f>IFERROR(AB42/AB148, "NA")</f>
        <v>7.0206241984734291E-4</v>
      </c>
      <c r="AD42" s="118">
        <f t="shared" si="13"/>
        <v>-19.285</v>
      </c>
      <c r="AE42" s="119">
        <f>IFERROR(AD42/AD148, "NA")</f>
        <v>-2.6700273336866145E-3</v>
      </c>
      <c r="AF42" s="118">
        <f t="shared" si="14"/>
        <v>-1</v>
      </c>
      <c r="AG42" s="117">
        <f t="shared" si="15"/>
        <v>9.6425000000000001</v>
      </c>
      <c r="AH42" s="116">
        <f>IFERROR(AG42/AG148, "NA")</f>
        <v>3.6229037211692313E-4</v>
      </c>
      <c r="AI42" s="118">
        <f t="shared" si="16"/>
        <v>-9.6425000000000001</v>
      </c>
      <c r="AJ42" s="119">
        <f>IFERROR(AI42/AI148, "NA")</f>
        <v>-1.193903446734557E-3</v>
      </c>
      <c r="AK42" s="118">
        <f t="shared" si="17"/>
        <v>-1</v>
      </c>
      <c r="AL42" s="119">
        <f>IFERROR(AK42/AK148, "NA")</f>
        <v>-3.2954324448601269</v>
      </c>
    </row>
    <row r="43" spans="1:38" ht="16.5" hidden="1" customHeight="1" x14ac:dyDescent="0.25">
      <c r="A43" s="7" t="s">
        <v>49</v>
      </c>
      <c r="B43" s="115">
        <v>0</v>
      </c>
      <c r="C43" s="116">
        <f>IFERROR(B43/B148, "NA")</f>
        <v>0</v>
      </c>
      <c r="D43" s="115">
        <v>0</v>
      </c>
      <c r="E43" s="116">
        <f>IFERROR(D43/D148, "NA")</f>
        <v>0</v>
      </c>
      <c r="F43" s="115">
        <v>0</v>
      </c>
      <c r="G43" s="116">
        <f>IFERROR(F43/F148, "NA")</f>
        <v>0</v>
      </c>
      <c r="H43" s="115">
        <v>0</v>
      </c>
      <c r="I43" s="116">
        <f>IFERROR(H43/H148, "NA")</f>
        <v>0</v>
      </c>
      <c r="J43" s="115">
        <v>0</v>
      </c>
      <c r="K43" s="116">
        <f>IFERROR(J43/J148, "NA")</f>
        <v>0</v>
      </c>
      <c r="L43" s="115">
        <v>0</v>
      </c>
      <c r="M43" s="116">
        <f>IFERROR(L43/L148, "NA")</f>
        <v>0</v>
      </c>
      <c r="N43" s="115">
        <v>0</v>
      </c>
      <c r="O43" s="116">
        <f>IFERROR(N43/N148, "NA")</f>
        <v>0</v>
      </c>
      <c r="P43" s="115">
        <v>0</v>
      </c>
      <c r="Q43" s="116">
        <f>IFERROR(P43/P148, "NA")</f>
        <v>0</v>
      </c>
      <c r="R43" s="115">
        <v>0</v>
      </c>
      <c r="S43" s="116">
        <f>IFERROR(R43/R148, "NA")</f>
        <v>0</v>
      </c>
      <c r="T43" s="115">
        <v>0</v>
      </c>
      <c r="U43" s="116">
        <f>IFERROR(T43/T148, "NA")</f>
        <v>0</v>
      </c>
      <c r="V43" s="115">
        <v>0</v>
      </c>
      <c r="W43" s="116">
        <f>IFERROR(V43/V148, "NA")</f>
        <v>0</v>
      </c>
      <c r="X43" s="115">
        <v>0</v>
      </c>
      <c r="Y43" s="116">
        <f>IFERROR(X43/X148, "NA")</f>
        <v>0</v>
      </c>
      <c r="Z43" s="115">
        <v>0</v>
      </c>
      <c r="AA43" s="116">
        <f>IFERROR(Z43/Z148, "NA")</f>
        <v>0</v>
      </c>
      <c r="AB43" s="117">
        <f t="shared" si="12"/>
        <v>0</v>
      </c>
      <c r="AC43" s="116">
        <f>IFERROR(AB43/AB148, "NA")</f>
        <v>0</v>
      </c>
      <c r="AD43" s="118">
        <f t="shared" si="13"/>
        <v>0</v>
      </c>
      <c r="AE43" s="119">
        <f>IFERROR(AD43/AD148, "NA")</f>
        <v>0</v>
      </c>
      <c r="AF43" s="118" t="str">
        <f t="shared" si="14"/>
        <v>NA</v>
      </c>
      <c r="AG43" s="117">
        <f t="shared" si="15"/>
        <v>0</v>
      </c>
      <c r="AH43" s="116">
        <f>IFERROR(AG43/AG148, "NA")</f>
        <v>0</v>
      </c>
      <c r="AI43" s="118">
        <f t="shared" si="16"/>
        <v>0</v>
      </c>
      <c r="AJ43" s="119">
        <f>IFERROR(AI43/AI148, "NA")</f>
        <v>0</v>
      </c>
      <c r="AK43" s="118" t="str">
        <f t="shared" si="17"/>
        <v>NA</v>
      </c>
      <c r="AL43" s="119" t="str">
        <f>IFERROR(AK43/AK148, "NA")</f>
        <v>NA</v>
      </c>
    </row>
    <row r="44" spans="1:38" ht="16.5" customHeight="1" x14ac:dyDescent="0.25">
      <c r="A44" s="129" t="s">
        <v>50</v>
      </c>
      <c r="B44" s="121">
        <f>IFERROR(B39+B40+B41+B42+B43, "NA")</f>
        <v>1076.71</v>
      </c>
      <c r="C44" s="122">
        <f>IFERROR(B44/B148, "NA")</f>
        <v>3.7308323209671042E-2</v>
      </c>
      <c r="D44" s="121">
        <f>IFERROR(D39+D40+D41+D42+D43, "NA")</f>
        <v>880.26</v>
      </c>
      <c r="E44" s="122">
        <f>IFERROR(D44/D148, "NA")</f>
        <v>3.4014438728529418E-2</v>
      </c>
      <c r="F44" s="121">
        <f>IFERROR(F39+F40+F41+F42+F43, "NA")</f>
        <v>1132.01</v>
      </c>
      <c r="G44" s="122">
        <f>IFERROR(F44/F148, "NA")</f>
        <v>4.4052686859378604E-2</v>
      </c>
      <c r="H44" s="121">
        <f>IFERROR(H39+H40+H41+H42+H43, "NA")</f>
        <v>876.93</v>
      </c>
      <c r="I44" s="122">
        <f>IFERROR(H44/H148, "NA")</f>
        <v>3.4848191623924218E-2</v>
      </c>
      <c r="J44" s="121">
        <f>IFERROR(J39+J40+J41+J42+J43, "NA")</f>
        <v>1143.72</v>
      </c>
      <c r="K44" s="122">
        <f>IFERROR(J44/J148, "NA")</f>
        <v>3.994339501395567E-2</v>
      </c>
      <c r="L44" s="121">
        <f>IFERROR(L39+L40+L41+L42+L43, "NA")</f>
        <v>1027.53</v>
      </c>
      <c r="M44" s="122">
        <f>IFERROR(L44/L148, "NA")</f>
        <v>3.6617021018803673E-2</v>
      </c>
      <c r="N44" s="121">
        <f>IFERROR(N39+N40+N41+N42+N43, "NA")</f>
        <v>897.78</v>
      </c>
      <c r="O44" s="122">
        <f>IFERROR(N44/N148, "NA")</f>
        <v>3.4875373506556465E-2</v>
      </c>
      <c r="P44" s="121">
        <f>IFERROR(P39+P40+P41+P42+P43, "NA")</f>
        <v>728.7</v>
      </c>
      <c r="Q44" s="122">
        <f>IFERROR(P44/P148, "NA")</f>
        <v>3.5357858207564749E-2</v>
      </c>
      <c r="R44" s="121">
        <f>IFERROR(R39+R40+R41+R42+R43, "NA")</f>
        <v>889.43000000000006</v>
      </c>
      <c r="S44" s="122">
        <f>IFERROR(R44/R148, "NA")</f>
        <v>3.627085840447046E-2</v>
      </c>
      <c r="T44" s="121">
        <f>IFERROR(T39+T40+T41+T42+T43, "NA")</f>
        <v>1322.3700000000001</v>
      </c>
      <c r="U44" s="122">
        <f>IFERROR(T44/T148, "NA")</f>
        <v>4.9595061983982509E-2</v>
      </c>
      <c r="V44" s="121">
        <f>IFERROR(V39+V40+V41+V42+V43, "NA")</f>
        <v>881.95</v>
      </c>
      <c r="W44" s="122">
        <f>IFERROR(V44/V148, "NA")</f>
        <v>3.6749141638054601E-2</v>
      </c>
      <c r="X44" s="121">
        <f>IFERROR(X39+X40+X41+X42+X43, "NA")</f>
        <v>-271.57</v>
      </c>
      <c r="Y44" s="122">
        <f>IFERROR(X44/X148, "NA")</f>
        <v>-7.8280656200420632E-3</v>
      </c>
      <c r="Z44" s="121">
        <f>IFERROR(Z39+Z40+Z41+Z42+Z43, "NA")</f>
        <v>610.38</v>
      </c>
      <c r="AA44" s="122">
        <f>IFERROR(Z44/Z148, "NA")</f>
        <v>1.0399883866430037E-2</v>
      </c>
      <c r="AB44" s="121">
        <f t="shared" si="12"/>
        <v>705.54499999999996</v>
      </c>
      <c r="AC44" s="122">
        <f>IFERROR(AB44/AB148, "NA")</f>
        <v>2.5685072855130595E-2</v>
      </c>
      <c r="AD44" s="123">
        <f t="shared" si="13"/>
        <v>-977.11500000000001</v>
      </c>
      <c r="AE44" s="124">
        <f>IFERROR(AD44/AD148, "NA")</f>
        <v>-0.13528253866503481</v>
      </c>
      <c r="AF44" s="123">
        <f t="shared" si="14"/>
        <v>-1.3849081206726717</v>
      </c>
      <c r="AG44" s="121">
        <f t="shared" si="15"/>
        <v>827.48874999999998</v>
      </c>
      <c r="AH44" s="122">
        <f>IFERROR(AG44/AG148, "NA")</f>
        <v>3.1090610024378282E-2</v>
      </c>
      <c r="AI44" s="123">
        <f t="shared" si="16"/>
        <v>-1099.0587499999999</v>
      </c>
      <c r="AJ44" s="124">
        <f>IFERROR(AI44/AI148, "NA")</f>
        <v>-0.13608193204965244</v>
      </c>
      <c r="AK44" s="123">
        <f t="shared" si="17"/>
        <v>-1.3281857306217153</v>
      </c>
      <c r="AL44" s="124">
        <f>IFERROR(AK44/AK148, "NA")</f>
        <v>-4.3769463494910532</v>
      </c>
    </row>
    <row r="45" spans="1:38" ht="16.5" customHeight="1" x14ac:dyDescent="0.25">
      <c r="A45" s="6" t="s">
        <v>51</v>
      </c>
      <c r="B45" s="111"/>
      <c r="C45" s="112"/>
      <c r="D45" s="111"/>
      <c r="E45" s="112"/>
      <c r="F45" s="111"/>
      <c r="G45" s="112"/>
      <c r="H45" s="111"/>
      <c r="I45" s="112"/>
      <c r="J45" s="111"/>
      <c r="K45" s="112"/>
      <c r="L45" s="111"/>
      <c r="M45" s="112"/>
      <c r="N45" s="111"/>
      <c r="O45" s="112"/>
      <c r="P45" s="111"/>
      <c r="Q45" s="112"/>
      <c r="R45" s="111"/>
      <c r="S45" s="112"/>
      <c r="T45" s="111"/>
      <c r="U45" s="112"/>
      <c r="V45" s="111"/>
      <c r="W45" s="112"/>
      <c r="X45" s="111"/>
      <c r="Y45" s="112"/>
      <c r="Z45" s="111"/>
      <c r="AA45" s="112"/>
      <c r="AB45" s="111"/>
      <c r="AC45" s="112"/>
      <c r="AD45" s="113"/>
      <c r="AE45" s="114"/>
      <c r="AF45" s="113"/>
      <c r="AG45" s="111"/>
      <c r="AH45" s="112"/>
      <c r="AI45" s="113"/>
      <c r="AJ45" s="114"/>
      <c r="AK45" s="113"/>
      <c r="AL45" s="114"/>
    </row>
    <row r="46" spans="1:38" ht="16.5" hidden="1" customHeight="1" x14ac:dyDescent="0.25">
      <c r="A46" s="7" t="s">
        <v>52</v>
      </c>
      <c r="B46" s="115">
        <v>0</v>
      </c>
      <c r="C46" s="116">
        <f>IFERROR(B46/B148, "NA")</f>
        <v>0</v>
      </c>
      <c r="D46" s="115">
        <v>0</v>
      </c>
      <c r="E46" s="116">
        <f>IFERROR(D46/D148, "NA")</f>
        <v>0</v>
      </c>
      <c r="F46" s="115">
        <v>0</v>
      </c>
      <c r="G46" s="116">
        <f>IFERROR(F46/F148, "NA")</f>
        <v>0</v>
      </c>
      <c r="H46" s="115">
        <v>0</v>
      </c>
      <c r="I46" s="116">
        <f>IFERROR(H46/H148, "NA")</f>
        <v>0</v>
      </c>
      <c r="J46" s="115">
        <v>0</v>
      </c>
      <c r="K46" s="116">
        <f>IFERROR(J46/J148, "NA")</f>
        <v>0</v>
      </c>
      <c r="L46" s="115">
        <v>0</v>
      </c>
      <c r="M46" s="116">
        <f>IFERROR(L46/L148, "NA")</f>
        <v>0</v>
      </c>
      <c r="N46" s="115">
        <v>0</v>
      </c>
      <c r="O46" s="116">
        <f>IFERROR(N46/N148, "NA")</f>
        <v>0</v>
      </c>
      <c r="P46" s="115">
        <v>0</v>
      </c>
      <c r="Q46" s="116">
        <f>IFERROR(P46/P148, "NA")</f>
        <v>0</v>
      </c>
      <c r="R46" s="115">
        <v>0</v>
      </c>
      <c r="S46" s="116">
        <f>IFERROR(R46/R148, "NA")</f>
        <v>0</v>
      </c>
      <c r="T46" s="115">
        <v>0</v>
      </c>
      <c r="U46" s="116">
        <f>IFERROR(T46/T148, "NA")</f>
        <v>0</v>
      </c>
      <c r="V46" s="115">
        <v>0</v>
      </c>
      <c r="W46" s="116">
        <f>IFERROR(V46/V148, "NA")</f>
        <v>0</v>
      </c>
      <c r="X46" s="115">
        <v>0</v>
      </c>
      <c r="Y46" s="116">
        <f>IFERROR(X46/X148, "NA")</f>
        <v>0</v>
      </c>
      <c r="Z46" s="115">
        <v>0</v>
      </c>
      <c r="AA46" s="116">
        <f>IFERROR(Z46/Z148, "NA")</f>
        <v>0</v>
      </c>
      <c r="AB46" s="117">
        <f t="shared" ref="AB46:AB57" si="18">IFERROR((R46+T46+V46+X46)/4, "NA")</f>
        <v>0</v>
      </c>
      <c r="AC46" s="116">
        <f>IFERROR(AB46/AB148, "NA")</f>
        <v>0</v>
      </c>
      <c r="AD46" s="118">
        <f t="shared" ref="AD46:AD57" si="19">IFERROR(X46-AB46, "NA")</f>
        <v>0</v>
      </c>
      <c r="AE46" s="119">
        <f>IFERROR(AD46/AD148, "NA")</f>
        <v>0</v>
      </c>
      <c r="AF46" s="118" t="str">
        <f t="shared" ref="AF46:AF57" si="20">IFERROR((X46-AB46)/AB46, "NA")</f>
        <v>NA</v>
      </c>
      <c r="AG46" s="117">
        <f t="shared" ref="AG46:AG57" si="21">IFERROR((J46+L46+N46+P46+R46+T46+V46+X46)/8, "NA")</f>
        <v>0</v>
      </c>
      <c r="AH46" s="116">
        <f>IFERROR(AG46/AG148, "NA")</f>
        <v>0</v>
      </c>
      <c r="AI46" s="118">
        <f t="shared" ref="AI46:AI57" si="22">IFERROR(X46-AG46, "NA")</f>
        <v>0</v>
      </c>
      <c r="AJ46" s="119">
        <f>IFERROR(AI46/AI148, "NA")</f>
        <v>0</v>
      </c>
      <c r="AK46" s="118" t="str">
        <f t="shared" ref="AK46:AK57" si="23">IFERROR((X46-AG46)/AG46, "NA")</f>
        <v>NA</v>
      </c>
      <c r="AL46" s="119" t="str">
        <f>IFERROR(AK46/AK148, "NA")</f>
        <v>NA</v>
      </c>
    </row>
    <row r="47" spans="1:38" ht="16.5" customHeight="1" x14ac:dyDescent="0.25">
      <c r="A47" s="7" t="s">
        <v>53</v>
      </c>
      <c r="B47" s="115">
        <v>105.15</v>
      </c>
      <c r="C47" s="116">
        <f>IFERROR(B47/B148, "NA")</f>
        <v>3.6434789177187078E-3</v>
      </c>
      <c r="D47" s="115">
        <v>93.55</v>
      </c>
      <c r="E47" s="116">
        <f>IFERROR(D47/D148, "NA")</f>
        <v>3.6148987152136037E-3</v>
      </c>
      <c r="F47" s="115">
        <v>135.35</v>
      </c>
      <c r="G47" s="116">
        <f>IFERROR(F47/F148, "NA")</f>
        <v>5.2672071504817923E-3</v>
      </c>
      <c r="H47" s="115">
        <v>114.13</v>
      </c>
      <c r="I47" s="116">
        <f>IFERROR(H47/H148, "NA")</f>
        <v>4.535395196923895E-3</v>
      </c>
      <c r="J47" s="115">
        <v>113.14</v>
      </c>
      <c r="K47" s="116">
        <f>IFERROR(J47/J148, "NA")</f>
        <v>3.9513130065741133E-3</v>
      </c>
      <c r="L47" s="115">
        <v>138.27000000000001</v>
      </c>
      <c r="M47" s="116">
        <f>IFERROR(L47/L148, "NA")</f>
        <v>4.9273845982793531E-3</v>
      </c>
      <c r="N47" s="115">
        <v>62.77</v>
      </c>
      <c r="O47" s="116">
        <f>IFERROR(N47/N148, "NA")</f>
        <v>2.4383782162740865E-3</v>
      </c>
      <c r="P47" s="115">
        <v>53.26</v>
      </c>
      <c r="Q47" s="116">
        <f>IFERROR(P47/P148, "NA")</f>
        <v>2.5842727159803738E-3</v>
      </c>
      <c r="R47" s="115">
        <v>7.09</v>
      </c>
      <c r="S47" s="116">
        <f>IFERROR(R47/R148, "NA")</f>
        <v>2.8912942681008684E-4</v>
      </c>
      <c r="T47" s="115">
        <v>48.68</v>
      </c>
      <c r="U47" s="116">
        <f>IFERROR(T47/T148, "NA")</f>
        <v>1.8257277595380025E-3</v>
      </c>
      <c r="V47" s="115">
        <v>45.02</v>
      </c>
      <c r="W47" s="116">
        <f>IFERROR(V47/V148, "NA")</f>
        <v>1.8758958631954399E-3</v>
      </c>
      <c r="X47" s="115">
        <v>53.76</v>
      </c>
      <c r="Y47" s="116">
        <f>IFERROR(X47/X148, "NA")</f>
        <v>1.5496439508541492E-3</v>
      </c>
      <c r="Z47" s="115">
        <v>98.78</v>
      </c>
      <c r="AA47" s="116">
        <f>IFERROR(Z47/Z148, "NA")</f>
        <v>1.6830507689078265E-3</v>
      </c>
      <c r="AB47" s="117">
        <f t="shared" si="18"/>
        <v>38.637499999999996</v>
      </c>
      <c r="AC47" s="116">
        <f>IFERROR(AB47/AB148, "NA")</f>
        <v>1.4065821491756137E-3</v>
      </c>
      <c r="AD47" s="118">
        <f t="shared" si="19"/>
        <v>15.122500000000002</v>
      </c>
      <c r="AE47" s="119">
        <f>IFERROR(AD47/AD148, "NA")</f>
        <v>2.093725089638363E-3</v>
      </c>
      <c r="AF47" s="118">
        <f t="shared" si="20"/>
        <v>0.39139437075380146</v>
      </c>
      <c r="AG47" s="117">
        <f t="shared" si="21"/>
        <v>65.248750000000001</v>
      </c>
      <c r="AH47" s="116">
        <f>IFERROR(AG47/AG148, "NA")</f>
        <v>2.4515420189436441E-3</v>
      </c>
      <c r="AI47" s="118">
        <f t="shared" si="22"/>
        <v>-11.488750000000003</v>
      </c>
      <c r="AJ47" s="119">
        <f>IFERROR(AI47/AI148, "NA")</f>
        <v>-1.4225002046846405E-3</v>
      </c>
      <c r="AK47" s="118">
        <f t="shared" si="23"/>
        <v>-0.17607617004157172</v>
      </c>
      <c r="AL47" s="119">
        <f>IFERROR(AK47/AK148, "NA")</f>
        <v>-0.58024712352170416</v>
      </c>
    </row>
    <row r="48" spans="1:38" ht="16.5" hidden="1" customHeight="1" x14ac:dyDescent="0.25">
      <c r="A48" s="7" t="s">
        <v>54</v>
      </c>
      <c r="B48" s="115">
        <v>0</v>
      </c>
      <c r="C48" s="116">
        <f>IFERROR(B48/B148, "NA")</f>
        <v>0</v>
      </c>
      <c r="D48" s="115">
        <v>0</v>
      </c>
      <c r="E48" s="116">
        <f>IFERROR(D48/D148, "NA")</f>
        <v>0</v>
      </c>
      <c r="F48" s="115">
        <v>0</v>
      </c>
      <c r="G48" s="116">
        <f>IFERROR(F48/F148, "NA")</f>
        <v>0</v>
      </c>
      <c r="H48" s="115">
        <v>0</v>
      </c>
      <c r="I48" s="116">
        <f>IFERROR(H48/H148, "NA")</f>
        <v>0</v>
      </c>
      <c r="J48" s="115">
        <v>0</v>
      </c>
      <c r="K48" s="116">
        <f>IFERROR(J48/J148, "NA")</f>
        <v>0</v>
      </c>
      <c r="L48" s="115">
        <v>0</v>
      </c>
      <c r="M48" s="116">
        <f>IFERROR(L48/L148, "NA")</f>
        <v>0</v>
      </c>
      <c r="N48" s="115">
        <v>0</v>
      </c>
      <c r="O48" s="116">
        <f>IFERROR(N48/N148, "NA")</f>
        <v>0</v>
      </c>
      <c r="P48" s="115">
        <v>0</v>
      </c>
      <c r="Q48" s="116">
        <f>IFERROR(P48/P148, "NA")</f>
        <v>0</v>
      </c>
      <c r="R48" s="115">
        <v>0</v>
      </c>
      <c r="S48" s="116">
        <f>IFERROR(R48/R148, "NA")</f>
        <v>0</v>
      </c>
      <c r="T48" s="115">
        <v>0</v>
      </c>
      <c r="U48" s="116">
        <f>IFERROR(T48/T148, "NA")</f>
        <v>0</v>
      </c>
      <c r="V48" s="115">
        <v>0</v>
      </c>
      <c r="W48" s="116">
        <f>IFERROR(V48/V148, "NA")</f>
        <v>0</v>
      </c>
      <c r="X48" s="115">
        <v>0</v>
      </c>
      <c r="Y48" s="116">
        <f>IFERROR(X48/X148, "NA")</f>
        <v>0</v>
      </c>
      <c r="Z48" s="115">
        <v>0</v>
      </c>
      <c r="AA48" s="116">
        <f>IFERROR(Z48/Z148, "NA")</f>
        <v>0</v>
      </c>
      <c r="AB48" s="117">
        <f t="shared" si="18"/>
        <v>0</v>
      </c>
      <c r="AC48" s="116">
        <f>IFERROR(AB48/AB148, "NA")</f>
        <v>0</v>
      </c>
      <c r="AD48" s="118">
        <f t="shared" si="19"/>
        <v>0</v>
      </c>
      <c r="AE48" s="119">
        <f>IFERROR(AD48/AD148, "NA")</f>
        <v>0</v>
      </c>
      <c r="AF48" s="118" t="str">
        <f t="shared" si="20"/>
        <v>NA</v>
      </c>
      <c r="AG48" s="117">
        <f t="shared" si="21"/>
        <v>0</v>
      </c>
      <c r="AH48" s="116">
        <f>IFERROR(AG48/AG148, "NA")</f>
        <v>0</v>
      </c>
      <c r="AI48" s="118">
        <f t="shared" si="22"/>
        <v>0</v>
      </c>
      <c r="AJ48" s="119">
        <f>IFERROR(AI48/AI148, "NA")</f>
        <v>0</v>
      </c>
      <c r="AK48" s="118" t="str">
        <f t="shared" si="23"/>
        <v>NA</v>
      </c>
      <c r="AL48" s="119" t="str">
        <f>IFERROR(AK48/AK148, "NA")</f>
        <v>NA</v>
      </c>
    </row>
    <row r="49" spans="1:38" ht="16.5" hidden="1" customHeight="1" x14ac:dyDescent="0.25">
      <c r="A49" s="7" t="s">
        <v>55</v>
      </c>
      <c r="B49" s="115">
        <v>0</v>
      </c>
      <c r="C49" s="116">
        <f>IFERROR(B49/B148, "NA")</f>
        <v>0</v>
      </c>
      <c r="D49" s="115">
        <v>0</v>
      </c>
      <c r="E49" s="116">
        <f>IFERROR(D49/D148, "NA")</f>
        <v>0</v>
      </c>
      <c r="F49" s="115">
        <v>0</v>
      </c>
      <c r="G49" s="116">
        <f>IFERROR(F49/F148, "NA")</f>
        <v>0</v>
      </c>
      <c r="H49" s="115">
        <v>0</v>
      </c>
      <c r="I49" s="116">
        <f>IFERROR(H49/H148, "NA")</f>
        <v>0</v>
      </c>
      <c r="J49" s="115">
        <v>0</v>
      </c>
      <c r="K49" s="116">
        <f>IFERROR(J49/J148, "NA")</f>
        <v>0</v>
      </c>
      <c r="L49" s="115">
        <v>0</v>
      </c>
      <c r="M49" s="116">
        <f>IFERROR(L49/L148, "NA")</f>
        <v>0</v>
      </c>
      <c r="N49" s="115">
        <v>0</v>
      </c>
      <c r="O49" s="116">
        <f>IFERROR(N49/N148, "NA")</f>
        <v>0</v>
      </c>
      <c r="P49" s="115">
        <v>0</v>
      </c>
      <c r="Q49" s="116">
        <f>IFERROR(P49/P148, "NA")</f>
        <v>0</v>
      </c>
      <c r="R49" s="115">
        <v>0</v>
      </c>
      <c r="S49" s="116">
        <f>IFERROR(R49/R148, "NA")</f>
        <v>0</v>
      </c>
      <c r="T49" s="115">
        <v>0</v>
      </c>
      <c r="U49" s="116">
        <f>IFERROR(T49/T148, "NA")</f>
        <v>0</v>
      </c>
      <c r="V49" s="115">
        <v>0</v>
      </c>
      <c r="W49" s="116">
        <f>IFERROR(V49/V148, "NA")</f>
        <v>0</v>
      </c>
      <c r="X49" s="115">
        <v>0</v>
      </c>
      <c r="Y49" s="116">
        <f>IFERROR(X49/X148, "NA")</f>
        <v>0</v>
      </c>
      <c r="Z49" s="115">
        <v>0</v>
      </c>
      <c r="AA49" s="116">
        <f>IFERROR(Z49/Z148, "NA")</f>
        <v>0</v>
      </c>
      <c r="AB49" s="117">
        <f t="shared" si="18"/>
        <v>0</v>
      </c>
      <c r="AC49" s="116">
        <f>IFERROR(AB49/AB148, "NA")</f>
        <v>0</v>
      </c>
      <c r="AD49" s="118">
        <f t="shared" si="19"/>
        <v>0</v>
      </c>
      <c r="AE49" s="119">
        <f>IFERROR(AD49/AD148, "NA")</f>
        <v>0</v>
      </c>
      <c r="AF49" s="118" t="str">
        <f t="shared" si="20"/>
        <v>NA</v>
      </c>
      <c r="AG49" s="117">
        <f t="shared" si="21"/>
        <v>0</v>
      </c>
      <c r="AH49" s="116">
        <f>IFERROR(AG49/AG148, "NA")</f>
        <v>0</v>
      </c>
      <c r="AI49" s="118">
        <f t="shared" si="22"/>
        <v>0</v>
      </c>
      <c r="AJ49" s="119">
        <f>IFERROR(AI49/AI148, "NA")</f>
        <v>0</v>
      </c>
      <c r="AK49" s="118" t="str">
        <f t="shared" si="23"/>
        <v>NA</v>
      </c>
      <c r="AL49" s="119" t="str">
        <f>IFERROR(AK49/AK148, "NA")</f>
        <v>NA</v>
      </c>
    </row>
    <row r="50" spans="1:38" ht="16.5" hidden="1" customHeight="1" x14ac:dyDescent="0.25">
      <c r="A50" s="7" t="s">
        <v>56</v>
      </c>
      <c r="B50" s="115">
        <v>0</v>
      </c>
      <c r="C50" s="116">
        <f>IFERROR(B50/B148, "NA")</f>
        <v>0</v>
      </c>
      <c r="D50" s="115">
        <v>0</v>
      </c>
      <c r="E50" s="116">
        <f>IFERROR(D50/D148, "NA")</f>
        <v>0</v>
      </c>
      <c r="F50" s="115">
        <v>0</v>
      </c>
      <c r="G50" s="116">
        <f>IFERROR(F50/F148, "NA")</f>
        <v>0</v>
      </c>
      <c r="H50" s="115">
        <v>0</v>
      </c>
      <c r="I50" s="116">
        <f>IFERROR(H50/H148, "NA")</f>
        <v>0</v>
      </c>
      <c r="J50" s="115">
        <v>0</v>
      </c>
      <c r="K50" s="116">
        <f>IFERROR(J50/J148, "NA")</f>
        <v>0</v>
      </c>
      <c r="L50" s="115">
        <v>0</v>
      </c>
      <c r="M50" s="116">
        <f>IFERROR(L50/L148, "NA")</f>
        <v>0</v>
      </c>
      <c r="N50" s="115">
        <v>0</v>
      </c>
      <c r="O50" s="116">
        <f>IFERROR(N50/N148, "NA")</f>
        <v>0</v>
      </c>
      <c r="P50" s="115">
        <v>0</v>
      </c>
      <c r="Q50" s="116">
        <f>IFERROR(P50/P148, "NA")</f>
        <v>0</v>
      </c>
      <c r="R50" s="115">
        <v>0</v>
      </c>
      <c r="S50" s="116">
        <f>IFERROR(R50/R148, "NA")</f>
        <v>0</v>
      </c>
      <c r="T50" s="115">
        <v>0</v>
      </c>
      <c r="U50" s="116">
        <f>IFERROR(T50/T148, "NA")</f>
        <v>0</v>
      </c>
      <c r="V50" s="115">
        <v>0</v>
      </c>
      <c r="W50" s="116">
        <f>IFERROR(V50/V148, "NA")</f>
        <v>0</v>
      </c>
      <c r="X50" s="115">
        <v>0</v>
      </c>
      <c r="Y50" s="116">
        <f>IFERROR(X50/X148, "NA")</f>
        <v>0</v>
      </c>
      <c r="Z50" s="115">
        <v>0</v>
      </c>
      <c r="AA50" s="116">
        <f>IFERROR(Z50/Z148, "NA")</f>
        <v>0</v>
      </c>
      <c r="AB50" s="117">
        <f t="shared" si="18"/>
        <v>0</v>
      </c>
      <c r="AC50" s="116">
        <f>IFERROR(AB50/AB148, "NA")</f>
        <v>0</v>
      </c>
      <c r="AD50" s="118">
        <f t="shared" si="19"/>
        <v>0</v>
      </c>
      <c r="AE50" s="119">
        <f>IFERROR(AD50/AD148, "NA")</f>
        <v>0</v>
      </c>
      <c r="AF50" s="118" t="str">
        <f t="shared" si="20"/>
        <v>NA</v>
      </c>
      <c r="AG50" s="117">
        <f t="shared" si="21"/>
        <v>0</v>
      </c>
      <c r="AH50" s="116">
        <f>IFERROR(AG50/AG148, "NA")</f>
        <v>0</v>
      </c>
      <c r="AI50" s="118">
        <f t="shared" si="22"/>
        <v>0</v>
      </c>
      <c r="AJ50" s="119">
        <f>IFERROR(AI50/AI148, "NA")</f>
        <v>0</v>
      </c>
      <c r="AK50" s="118" t="str">
        <f t="shared" si="23"/>
        <v>NA</v>
      </c>
      <c r="AL50" s="119" t="str">
        <f>IFERROR(AK50/AK148, "NA")</f>
        <v>NA</v>
      </c>
    </row>
    <row r="51" spans="1:38" ht="16.5" hidden="1" customHeight="1" x14ac:dyDescent="0.25">
      <c r="A51" s="7" t="s">
        <v>57</v>
      </c>
      <c r="B51" s="115">
        <v>0</v>
      </c>
      <c r="C51" s="116">
        <f>IFERROR(B51/B148, "NA")</f>
        <v>0</v>
      </c>
      <c r="D51" s="115">
        <v>0</v>
      </c>
      <c r="E51" s="116">
        <f>IFERROR(D51/D148, "NA")</f>
        <v>0</v>
      </c>
      <c r="F51" s="115">
        <v>0</v>
      </c>
      <c r="G51" s="116">
        <f>IFERROR(F51/F148, "NA")</f>
        <v>0</v>
      </c>
      <c r="H51" s="115">
        <v>0</v>
      </c>
      <c r="I51" s="116">
        <f>IFERROR(H51/H148, "NA")</f>
        <v>0</v>
      </c>
      <c r="J51" s="115">
        <v>0</v>
      </c>
      <c r="K51" s="116">
        <f>IFERROR(J51/J148, "NA")</f>
        <v>0</v>
      </c>
      <c r="L51" s="115">
        <v>0</v>
      </c>
      <c r="M51" s="116">
        <f>IFERROR(L51/L148, "NA")</f>
        <v>0</v>
      </c>
      <c r="N51" s="115">
        <v>0</v>
      </c>
      <c r="O51" s="116">
        <f>IFERROR(N51/N148, "NA")</f>
        <v>0</v>
      </c>
      <c r="P51" s="115">
        <v>0</v>
      </c>
      <c r="Q51" s="116">
        <f>IFERROR(P51/P148, "NA")</f>
        <v>0</v>
      </c>
      <c r="R51" s="115">
        <v>0</v>
      </c>
      <c r="S51" s="116">
        <f>IFERROR(R51/R148, "NA")</f>
        <v>0</v>
      </c>
      <c r="T51" s="115">
        <v>0</v>
      </c>
      <c r="U51" s="116">
        <f>IFERROR(T51/T148, "NA")</f>
        <v>0</v>
      </c>
      <c r="V51" s="115">
        <v>0</v>
      </c>
      <c r="W51" s="116">
        <f>IFERROR(V51/V148, "NA")</f>
        <v>0</v>
      </c>
      <c r="X51" s="115">
        <v>0</v>
      </c>
      <c r="Y51" s="116">
        <f>IFERROR(X51/X148, "NA")</f>
        <v>0</v>
      </c>
      <c r="Z51" s="115">
        <v>0</v>
      </c>
      <c r="AA51" s="116">
        <f>IFERROR(Z51/Z148, "NA")</f>
        <v>0</v>
      </c>
      <c r="AB51" s="117">
        <f t="shared" si="18"/>
        <v>0</v>
      </c>
      <c r="AC51" s="116">
        <f>IFERROR(AB51/AB148, "NA")</f>
        <v>0</v>
      </c>
      <c r="AD51" s="118">
        <f t="shared" si="19"/>
        <v>0</v>
      </c>
      <c r="AE51" s="119">
        <f>IFERROR(AD51/AD148, "NA")</f>
        <v>0</v>
      </c>
      <c r="AF51" s="118" t="str">
        <f t="shared" si="20"/>
        <v>NA</v>
      </c>
      <c r="AG51" s="117">
        <f t="shared" si="21"/>
        <v>0</v>
      </c>
      <c r="AH51" s="116">
        <f>IFERROR(AG51/AG148, "NA")</f>
        <v>0</v>
      </c>
      <c r="AI51" s="118">
        <f t="shared" si="22"/>
        <v>0</v>
      </c>
      <c r="AJ51" s="119">
        <f>IFERROR(AI51/AI148, "NA")</f>
        <v>0</v>
      </c>
      <c r="AK51" s="118" t="str">
        <f t="shared" si="23"/>
        <v>NA</v>
      </c>
      <c r="AL51" s="119" t="str">
        <f>IFERROR(AK51/AK148, "NA")</f>
        <v>NA</v>
      </c>
    </row>
    <row r="52" spans="1:38" ht="16.5" customHeight="1" x14ac:dyDescent="0.25">
      <c r="A52" s="129" t="s">
        <v>58</v>
      </c>
      <c r="B52" s="121">
        <f>IFERROR(B46+B47+B48+B49+B50+B51, "NA")</f>
        <v>105.15</v>
      </c>
      <c r="C52" s="122">
        <f>IFERROR(B52/B148, "NA")</f>
        <v>3.6434789177187078E-3</v>
      </c>
      <c r="D52" s="121">
        <f>IFERROR(D46+D47+D48+D49+D50+D51, "NA")</f>
        <v>93.55</v>
      </c>
      <c r="E52" s="122">
        <f>IFERROR(D52/D148, "NA")</f>
        <v>3.6148987152136037E-3</v>
      </c>
      <c r="F52" s="121">
        <f>IFERROR(F46+F47+F48+F49+F50+F51, "NA")</f>
        <v>135.35</v>
      </c>
      <c r="G52" s="122">
        <f>IFERROR(F52/F148, "NA")</f>
        <v>5.2672071504817923E-3</v>
      </c>
      <c r="H52" s="121">
        <f>IFERROR(H46+H47+H48+H49+H50+H51, "NA")</f>
        <v>114.13</v>
      </c>
      <c r="I52" s="122">
        <f>IFERROR(H52/H148, "NA")</f>
        <v>4.535395196923895E-3</v>
      </c>
      <c r="J52" s="121">
        <f>IFERROR(J46+J47+J48+J49+J50+J51, "NA")</f>
        <v>113.14</v>
      </c>
      <c r="K52" s="122">
        <f>IFERROR(J52/J148, "NA")</f>
        <v>3.9513130065741133E-3</v>
      </c>
      <c r="L52" s="121">
        <f>IFERROR(L46+L47+L48+L49+L50+L51, "NA")</f>
        <v>138.27000000000001</v>
      </c>
      <c r="M52" s="122">
        <f>IFERROR(L52/L148, "NA")</f>
        <v>4.9273845982793531E-3</v>
      </c>
      <c r="N52" s="121">
        <f>IFERROR(N46+N47+N48+N49+N50+N51, "NA")</f>
        <v>62.77</v>
      </c>
      <c r="O52" s="122">
        <f>IFERROR(N52/N148, "NA")</f>
        <v>2.4383782162740865E-3</v>
      </c>
      <c r="P52" s="121">
        <f>IFERROR(P46+P47+P48+P49+P50+P51, "NA")</f>
        <v>53.26</v>
      </c>
      <c r="Q52" s="122">
        <f>IFERROR(P52/P148, "NA")</f>
        <v>2.5842727159803738E-3</v>
      </c>
      <c r="R52" s="121">
        <f>IFERROR(R46+R47+R48+R49+R50+R51, "NA")</f>
        <v>7.09</v>
      </c>
      <c r="S52" s="122">
        <f>IFERROR(R52/R148, "NA")</f>
        <v>2.8912942681008684E-4</v>
      </c>
      <c r="T52" s="121">
        <f>IFERROR(T46+T47+T48+T49+T50+T51, "NA")</f>
        <v>48.68</v>
      </c>
      <c r="U52" s="122">
        <f>IFERROR(T52/T148, "NA")</f>
        <v>1.8257277595380025E-3</v>
      </c>
      <c r="V52" s="121">
        <f>IFERROR(V46+V47+V48+V49+V50+V51, "NA")</f>
        <v>45.02</v>
      </c>
      <c r="W52" s="122">
        <f>IFERROR(V52/V148, "NA")</f>
        <v>1.8758958631954399E-3</v>
      </c>
      <c r="X52" s="121">
        <f>IFERROR(X46+X47+X48+X49+X50+X51, "NA")</f>
        <v>53.76</v>
      </c>
      <c r="Y52" s="122">
        <f>IFERROR(X52/X148, "NA")</f>
        <v>1.5496439508541492E-3</v>
      </c>
      <c r="Z52" s="121">
        <f>IFERROR(Z46+Z47+Z48+Z49+Z50+Z51, "NA")</f>
        <v>98.78</v>
      </c>
      <c r="AA52" s="122">
        <f>IFERROR(Z52/Z148, "NA")</f>
        <v>1.6830507689078265E-3</v>
      </c>
      <c r="AB52" s="121">
        <f t="shared" si="18"/>
        <v>38.637499999999996</v>
      </c>
      <c r="AC52" s="122">
        <f>IFERROR(AB52/AB148, "NA")</f>
        <v>1.4065821491756137E-3</v>
      </c>
      <c r="AD52" s="123">
        <f t="shared" si="19"/>
        <v>15.122500000000002</v>
      </c>
      <c r="AE52" s="124">
        <f>IFERROR(AD52/AD148, "NA")</f>
        <v>2.093725089638363E-3</v>
      </c>
      <c r="AF52" s="123">
        <f t="shared" si="20"/>
        <v>0.39139437075380146</v>
      </c>
      <c r="AG52" s="121">
        <f t="shared" si="21"/>
        <v>65.248750000000001</v>
      </c>
      <c r="AH52" s="122">
        <f>IFERROR(AG52/AG148, "NA")</f>
        <v>2.4515420189436441E-3</v>
      </c>
      <c r="AI52" s="123">
        <f t="shared" si="22"/>
        <v>-11.488750000000003</v>
      </c>
      <c r="AJ52" s="124">
        <f>IFERROR(AI52/AI148, "NA")</f>
        <v>-1.4225002046846405E-3</v>
      </c>
      <c r="AK52" s="123">
        <f t="shared" si="23"/>
        <v>-0.17607617004157172</v>
      </c>
      <c r="AL52" s="124">
        <f>IFERROR(AK52/AK148, "NA")</f>
        <v>-0.58024712352170416</v>
      </c>
    </row>
    <row r="53" spans="1:38" ht="16.5" customHeight="1" x14ac:dyDescent="0.25">
      <c r="A53" s="5" t="s">
        <v>59</v>
      </c>
      <c r="B53" s="115">
        <v>36.39</v>
      </c>
      <c r="C53" s="116">
        <f>IFERROR(B53/B148, "NA")</f>
        <v>1.260924372950868E-3</v>
      </c>
      <c r="D53" s="115">
        <v>19.510000000000002</v>
      </c>
      <c r="E53" s="116">
        <f>IFERROR(D53/D148, "NA")</f>
        <v>7.5389282665758867E-4</v>
      </c>
      <c r="F53" s="115">
        <v>27.95</v>
      </c>
      <c r="G53" s="116">
        <f>IFERROR(F53/F148, "NA")</f>
        <v>1.0876870325523908E-3</v>
      </c>
      <c r="H53" s="115">
        <v>27.83</v>
      </c>
      <c r="I53" s="116">
        <f>IFERROR(H53/H148, "NA")</f>
        <v>1.1059322555891701E-3</v>
      </c>
      <c r="J53" s="115">
        <v>19.600000000000001</v>
      </c>
      <c r="K53" s="116">
        <f>IFERROR(J53/J148, "NA")</f>
        <v>6.8451241761404119E-4</v>
      </c>
      <c r="L53" s="115">
        <v>14.28</v>
      </c>
      <c r="M53" s="116">
        <f>IFERROR(L53/L148, "NA")</f>
        <v>5.0888155104816053E-4</v>
      </c>
      <c r="N53" s="115">
        <v>54.53</v>
      </c>
      <c r="O53" s="116">
        <f>IFERROR(N53/N148, "NA")</f>
        <v>2.1182852339242625E-3</v>
      </c>
      <c r="P53" s="115">
        <v>21.2</v>
      </c>
      <c r="Q53" s="116">
        <f>IFERROR(P53/P148, "NA")</f>
        <v>1.0286628159741631E-3</v>
      </c>
      <c r="R53" s="115">
        <v>20.41</v>
      </c>
      <c r="S53" s="116">
        <f>IFERROR(R53/R148, "NA")</f>
        <v>8.3231757421634305E-4</v>
      </c>
      <c r="T53" s="115">
        <v>26.37</v>
      </c>
      <c r="U53" s="116">
        <f>IFERROR(T53/T148, "NA")</f>
        <v>9.8899837754759913E-4</v>
      </c>
      <c r="V53" s="115">
        <v>26.55</v>
      </c>
      <c r="W53" s="116">
        <f>IFERROR(V53/V148, "NA")</f>
        <v>1.1062868762292076E-3</v>
      </c>
      <c r="X53" s="115">
        <v>20.7</v>
      </c>
      <c r="Y53" s="116">
        <f>IFERROR(X53/X148, "NA")</f>
        <v>5.9668210161236768E-4</v>
      </c>
      <c r="Z53" s="115">
        <v>47.25</v>
      </c>
      <c r="AA53" s="116">
        <f>IFERROR(Z53/Z148, "NA")</f>
        <v>8.050632600819478E-4</v>
      </c>
      <c r="AB53" s="117">
        <f t="shared" si="18"/>
        <v>23.5075</v>
      </c>
      <c r="AC53" s="116">
        <f>IFERROR(AB53/AB148, "NA")</f>
        <v>8.5578077959872509E-4</v>
      </c>
      <c r="AD53" s="118">
        <f t="shared" si="19"/>
        <v>-2.807500000000001</v>
      </c>
      <c r="AE53" s="119">
        <f>IFERROR(AD53/AD148, "NA")</f>
        <v>-3.8870115319290501E-4</v>
      </c>
      <c r="AF53" s="118">
        <f t="shared" si="20"/>
        <v>-0.11942996915877915</v>
      </c>
      <c r="AG53" s="117">
        <f t="shared" si="21"/>
        <v>25.455000000000002</v>
      </c>
      <c r="AH53" s="116">
        <f>IFERROR(AG53/AG148, "NA")</f>
        <v>9.5640149569471396E-4</v>
      </c>
      <c r="AI53" s="118">
        <f t="shared" si="22"/>
        <v>-4.7550000000000026</v>
      </c>
      <c r="AJ53" s="119">
        <f>IFERROR(AI53/AI148, "NA")</f>
        <v>-5.8874886069202193E-4</v>
      </c>
      <c r="AK53" s="118">
        <f t="shared" si="23"/>
        <v>-0.1868002357100767</v>
      </c>
      <c r="AL53" s="119">
        <f>IFERROR(AK53/AK148, "NA")</f>
        <v>-0.61558755746650606</v>
      </c>
    </row>
    <row r="54" spans="1:38" ht="16.5" customHeight="1" x14ac:dyDescent="0.25">
      <c r="A54" s="5" t="s">
        <v>60</v>
      </c>
      <c r="B54" s="115">
        <v>29.56</v>
      </c>
      <c r="C54" s="116">
        <f>IFERROR(B54/B148, "NA")</f>
        <v>1.0242628322184022E-3</v>
      </c>
      <c r="D54" s="115">
        <v>31</v>
      </c>
      <c r="E54" s="116">
        <f>IFERROR(D54/D148, "NA")</f>
        <v>1.1978819900761275E-3</v>
      </c>
      <c r="F54" s="115">
        <v>34</v>
      </c>
      <c r="G54" s="116">
        <f>IFERROR(F54/F148, "NA")</f>
        <v>1.3231255494376133E-3</v>
      </c>
      <c r="H54" s="115">
        <v>31</v>
      </c>
      <c r="I54" s="116">
        <f>IFERROR(H54/H148, "NA")</f>
        <v>1.2319044169336786E-3</v>
      </c>
      <c r="J54" s="115">
        <v>43</v>
      </c>
      <c r="K54" s="116">
        <f>IFERROR(J54/J148, "NA")</f>
        <v>1.5017364263981514E-3</v>
      </c>
      <c r="L54" s="115">
        <v>36</v>
      </c>
      <c r="M54" s="116">
        <f>IFERROR(L54/L148, "NA")</f>
        <v>1.2828946665079679E-3</v>
      </c>
      <c r="N54" s="115">
        <v>34.75</v>
      </c>
      <c r="O54" s="116">
        <f>IFERROR(N54/N148, "NA")</f>
        <v>1.3499066913417956E-3</v>
      </c>
      <c r="P54" s="115">
        <v>31.75</v>
      </c>
      <c r="Q54" s="116">
        <f>IFERROR(P54/P148, "NA")</f>
        <v>1.5405681324141358E-3</v>
      </c>
      <c r="R54" s="115">
        <v>45</v>
      </c>
      <c r="S54" s="116">
        <f>IFERROR(R54/R148, "NA")</f>
        <v>1.8350950925887035E-3</v>
      </c>
      <c r="T54" s="115">
        <v>42.25</v>
      </c>
      <c r="U54" s="116">
        <f>IFERROR(T54/T148, "NA")</f>
        <v>1.5845726754412613E-3</v>
      </c>
      <c r="V54" s="115">
        <v>48</v>
      </c>
      <c r="W54" s="116">
        <f>IFERROR(V54/V148, "NA")</f>
        <v>2.0000666688889629E-3</v>
      </c>
      <c r="X54" s="115">
        <v>41</v>
      </c>
      <c r="Y54" s="116">
        <f>IFERROR(X54/X148, "NA")</f>
        <v>1.1818341143046897E-3</v>
      </c>
      <c r="Z54" s="115">
        <v>89</v>
      </c>
      <c r="AA54" s="116">
        <f>IFERROR(Z54/Z148, "NA")</f>
        <v>1.5164154528527693E-3</v>
      </c>
      <c r="AB54" s="117">
        <f t="shared" si="18"/>
        <v>44.0625</v>
      </c>
      <c r="AC54" s="116">
        <f>IFERROR(AB54/AB148, "NA")</f>
        <v>1.6040770222724163E-3</v>
      </c>
      <c r="AD54" s="118">
        <f t="shared" si="19"/>
        <v>-3.0625</v>
      </c>
      <c r="AE54" s="119">
        <f>IFERROR(AD54/AD148, "NA")</f>
        <v>-4.2400615553099595E-4</v>
      </c>
      <c r="AF54" s="118">
        <f t="shared" si="20"/>
        <v>-6.9503546099290783E-2</v>
      </c>
      <c r="AG54" s="117">
        <f t="shared" si="21"/>
        <v>40.21875</v>
      </c>
      <c r="AH54" s="116">
        <f>IFERROR(AG54/AG148, "NA")</f>
        <v>1.5111087273609026E-3</v>
      </c>
      <c r="AI54" s="118">
        <f t="shared" si="22"/>
        <v>0.78125</v>
      </c>
      <c r="AJ54" s="119">
        <f>IFERROR(AI54/AI148, "NA")</f>
        <v>9.6731871170482005E-5</v>
      </c>
      <c r="AK54" s="118">
        <f t="shared" si="23"/>
        <v>1.9425019425019424E-2</v>
      </c>
      <c r="AL54" s="119">
        <f>IFERROR(AK54/AK148, "NA")</f>
        <v>6.4013839255247215E-2</v>
      </c>
    </row>
    <row r="55" spans="1:38" ht="16.5" customHeight="1" x14ac:dyDescent="0.25">
      <c r="A55" s="5" t="s">
        <v>61</v>
      </c>
      <c r="B55" s="115">
        <v>-164.03</v>
      </c>
      <c r="C55" s="116">
        <f>IFERROR(B55/B148, "NA")</f>
        <v>-5.6836885104460258E-3</v>
      </c>
      <c r="D55" s="115">
        <v>-255.33</v>
      </c>
      <c r="E55" s="116">
        <f>IFERROR(D55/D148, "NA")</f>
        <v>-9.8662970492302462E-3</v>
      </c>
      <c r="F55" s="115">
        <v>-184.1</v>
      </c>
      <c r="G55" s="116">
        <f>IFERROR(F55/F148, "NA")</f>
        <v>-7.1643356956313121E-3</v>
      </c>
      <c r="H55" s="115">
        <v>-311.56</v>
      </c>
      <c r="I55" s="116">
        <f>IFERROR(H55/H148, "NA")</f>
        <v>-1.2381036778705062E-2</v>
      </c>
      <c r="J55" s="115">
        <v>-369.55</v>
      </c>
      <c r="K55" s="116">
        <f>IFERROR(J55/J148, "NA")</f>
        <v>-1.290620224128923E-2</v>
      </c>
      <c r="L55" s="115">
        <v>-335.54</v>
      </c>
      <c r="M55" s="116">
        <f>IFERROR(L55/L148, "NA")</f>
        <v>-1.1957291011113431E-2</v>
      </c>
      <c r="N55" s="115">
        <v>-370.21</v>
      </c>
      <c r="O55" s="116">
        <f>IFERROR(N55/N148, "NA")</f>
        <v>-1.4381264926666075E-2</v>
      </c>
      <c r="P55" s="115">
        <v>-285.99</v>
      </c>
      <c r="Q55" s="116">
        <f>IFERROR(P55/P148, "NA")</f>
        <v>-1.3876758431153345E-2</v>
      </c>
      <c r="R55" s="115">
        <v>-409.34</v>
      </c>
      <c r="S55" s="116">
        <f>IFERROR(R55/R148, "NA")</f>
        <v>-1.6692840560005775E-2</v>
      </c>
      <c r="T55" s="115">
        <v>-273.76</v>
      </c>
      <c r="U55" s="116">
        <f>IFERROR(T55/T148, "NA")</f>
        <v>-1.0267280843285199E-2</v>
      </c>
      <c r="V55" s="115">
        <v>0</v>
      </c>
      <c r="W55" s="116">
        <f>IFERROR(V55/V148, "NA")</f>
        <v>0</v>
      </c>
      <c r="X55" s="115">
        <v>0</v>
      </c>
      <c r="Y55" s="116">
        <f>IFERROR(X55/X148, "NA")</f>
        <v>0</v>
      </c>
      <c r="Z55" s="115">
        <v>0</v>
      </c>
      <c r="AA55" s="116">
        <f>IFERROR(Z55/Z148, "NA")</f>
        <v>0</v>
      </c>
      <c r="AB55" s="117">
        <f t="shared" si="18"/>
        <v>-170.77499999999998</v>
      </c>
      <c r="AC55" s="116">
        <f>IFERROR(AB55/AB148, "NA")</f>
        <v>-6.2169929867477297E-3</v>
      </c>
      <c r="AD55" s="118">
        <f t="shared" si="19"/>
        <v>170.77499999999998</v>
      </c>
      <c r="AE55" s="119">
        <f>IFERROR(AD55/AD148, "NA")</f>
        <v>2.3643967742303942E-2</v>
      </c>
      <c r="AF55" s="118">
        <f t="shared" si="20"/>
        <v>-1</v>
      </c>
      <c r="AG55" s="117">
        <f t="shared" si="21"/>
        <v>-255.54874999999998</v>
      </c>
      <c r="AH55" s="116">
        <f>IFERROR(AG55/AG148, "NA")</f>
        <v>-9.6015402366102717E-3</v>
      </c>
      <c r="AI55" s="118">
        <f t="shared" si="22"/>
        <v>255.54874999999998</v>
      </c>
      <c r="AJ55" s="119">
        <f>IFERROR(AI55/AI148, "NA")</f>
        <v>3.1641227216355469E-2</v>
      </c>
      <c r="AK55" s="118">
        <f t="shared" si="23"/>
        <v>-1</v>
      </c>
      <c r="AL55" s="119">
        <f>IFERROR(AK55/AK148, "NA")</f>
        <v>-3.2954324448601269</v>
      </c>
    </row>
    <row r="56" spans="1:38" ht="16.5" customHeight="1" x14ac:dyDescent="0.25">
      <c r="A56" s="130" t="s">
        <v>62</v>
      </c>
      <c r="B56" s="121">
        <f>IFERROR(B37+B39+B40+B41+B42+B43+B46+B47+B48+B49+B50+B51+B53+B54+B55, "NA")</f>
        <v>1083.7800000000002</v>
      </c>
      <c r="C56" s="122">
        <f>IFERROR(B56/B148, "NA")</f>
        <v>3.7553300822113E-2</v>
      </c>
      <c r="D56" s="121">
        <f>IFERROR(D37+D39+D40+D41+D42+D43+D46+D47+D48+D49+D50+D51+D53+D54+D55, "NA")</f>
        <v>768.9899999999999</v>
      </c>
      <c r="E56" s="122">
        <f>IFERROR(D56/D148, "NA")</f>
        <v>2.9714815211246488E-2</v>
      </c>
      <c r="F56" s="121">
        <f>IFERROR(F37+F39+F40+F41+F42+F43+F46+F47+F48+F49+F50+F51+F53+F54+F55, "NA")</f>
        <v>1145.21</v>
      </c>
      <c r="G56" s="122">
        <f>IFERROR(F56/F148, "NA")</f>
        <v>4.4566370896219093E-2</v>
      </c>
      <c r="H56" s="121">
        <f>IFERROR(H37+H39+H40+H41+H42+H43+H46+H47+H48+H49+H50+H51+H53+H54+H55, "NA")</f>
        <v>738.32999999999993</v>
      </c>
      <c r="I56" s="122">
        <f>IFERROR(H56/H148, "NA")</f>
        <v>2.9340386714665899E-2</v>
      </c>
      <c r="J56" s="121">
        <f>IFERROR(J37+J39+J40+J41+J42+J43+J46+J47+J48+J49+J50+J51+J53+J54+J55, "NA")</f>
        <v>949.91000000000008</v>
      </c>
      <c r="K56" s="122">
        <f>IFERROR(J56/J148, "NA")</f>
        <v>3.3174754623252749E-2</v>
      </c>
      <c r="L56" s="121">
        <f>IFERROR(L37+L39+L40+L41+L42+L43+L46+L47+L48+L49+L50+L51+L53+L54+L55, "NA")</f>
        <v>880.54</v>
      </c>
      <c r="M56" s="122">
        <f>IFERROR(L56/L148, "NA")</f>
        <v>3.1378890823525719E-2</v>
      </c>
      <c r="N56" s="121">
        <f>IFERROR(N37+N39+N40+N41+N42+N43+N46+N47+N48+N49+N50+N51+N53+N54+N55, "NA")</f>
        <v>679.61999999999989</v>
      </c>
      <c r="O56" s="122">
        <f>IFERROR(N56/N148, "NA")</f>
        <v>2.640067872143053E-2</v>
      </c>
      <c r="P56" s="121">
        <f>IFERROR(P37+P39+P40+P41+P42+P43+P46+P47+P48+P49+P50+P51+P53+P54+P55, "NA")</f>
        <v>548.92000000000007</v>
      </c>
      <c r="Q56" s="122">
        <f>IFERROR(P56/P148, "NA")</f>
        <v>2.6634603440780082E-2</v>
      </c>
      <c r="R56" s="121">
        <f>IFERROR(R37+R39+R40+R41+R42+R43+R46+R47+R48+R49+R50+R51+R53+R54+R55, "NA")</f>
        <v>552.59000000000015</v>
      </c>
      <c r="S56" s="122">
        <f>IFERROR(R56/R148, "NA")</f>
        <v>2.2534559938079821E-2</v>
      </c>
      <c r="T56" s="121">
        <f>IFERROR(T37+T39+T40+T41+T42+T43+T46+T47+T48+T49+T50+T51+T53+T54+T55, "NA")</f>
        <v>1165.9100000000001</v>
      </c>
      <c r="U56" s="122">
        <f>IFERROR(T56/T148, "NA")</f>
        <v>4.3727079953224168E-2</v>
      </c>
      <c r="V56" s="121">
        <f>IFERROR(V37+V39+V40+V41+V42+V43+V46+V47+V48+V49+V50+V51+V53+V54+V55, "NA")</f>
        <v>1001.52</v>
      </c>
      <c r="W56" s="122">
        <f>IFERROR(V56/V148, "NA")</f>
        <v>4.1731391046368208E-2</v>
      </c>
      <c r="X56" s="121">
        <f>IFERROR(X37+X39+X40+X41+X42+X43+X46+X47+X48+X49+X50+X51+X53+X54+X55, "NA")</f>
        <v>-156.11000000000001</v>
      </c>
      <c r="Y56" s="122">
        <f>IFERROR(X56/X148, "NA")</f>
        <v>-4.4999054532708568E-3</v>
      </c>
      <c r="Z56" s="121">
        <f>IFERROR(Z37+Z39+Z40+Z41+Z42+Z43+Z46+Z47+Z48+Z49+Z50+Z51+Z53+Z54+Z55, "NA")</f>
        <v>845.41</v>
      </c>
      <c r="AA56" s="122">
        <f>IFERROR(Z56/Z148, "NA")</f>
        <v>1.4404413348272581E-2</v>
      </c>
      <c r="AB56" s="121">
        <f t="shared" si="18"/>
        <v>640.97750000000008</v>
      </c>
      <c r="AC56" s="122">
        <f>IFERROR(AB56/AB148, "NA")</f>
        <v>2.3334519819429623E-2</v>
      </c>
      <c r="AD56" s="123">
        <f t="shared" si="19"/>
        <v>-797.08750000000009</v>
      </c>
      <c r="AE56" s="124">
        <f>IFERROR(AD56/AD148, "NA")</f>
        <v>-0.11035755314181642</v>
      </c>
      <c r="AF56" s="123">
        <f t="shared" si="20"/>
        <v>-1.2435498905967839</v>
      </c>
      <c r="AG56" s="121">
        <f t="shared" si="21"/>
        <v>702.86250000000007</v>
      </c>
      <c r="AH56" s="122">
        <f>IFERROR(AG56/AG148, "NA")</f>
        <v>2.6408122029767271E-2</v>
      </c>
      <c r="AI56" s="123">
        <f t="shared" si="22"/>
        <v>-858.97250000000008</v>
      </c>
      <c r="AJ56" s="124">
        <f>IFERROR(AI56/AI148, "NA")</f>
        <v>-0.10635522202750318</v>
      </c>
      <c r="AK56" s="123">
        <f t="shared" si="23"/>
        <v>-1.2221060306959042</v>
      </c>
      <c r="AL56" s="124">
        <f>IFERROR(AK56/AK148, "NA")</f>
        <v>-4.0273678646145088</v>
      </c>
    </row>
    <row r="57" spans="1:38" ht="16.5" customHeight="1" x14ac:dyDescent="0.25">
      <c r="A57" s="120" t="s">
        <v>63</v>
      </c>
      <c r="B57" s="131">
        <f>IFERROR(B13+B15+B16+B17+B18+B19+B20+B21+B22+B23+B24+B25+B26+B29+B30+B31+B32+B33+B37+B39+B40+B41+B42+B43+B46+B47+B48+B49+B50+B51+B53+B54+B55, "NA")</f>
        <v>6896.83</v>
      </c>
      <c r="C57" s="132">
        <f>IFERROR(B57/B148, "NA")</f>
        <v>0.2389772202005698</v>
      </c>
      <c r="D57" s="131">
        <f>IFERROR(D13+D15+D16+D17+D18+D19+D20+D21+D22+D23+D24+D25+D26+D29+D30+D31+D32+D33+D37+D39+D40+D41+D42+D43+D46+D47+D48+D49+D50+D51+D53+D54+D55, "NA")</f>
        <v>7680.31</v>
      </c>
      <c r="E57" s="132">
        <f>IFERROR(D57/D148, "NA")</f>
        <v>0.29677758152263167</v>
      </c>
      <c r="F57" s="131">
        <f>IFERROR(F13+F15+F16+F17+F18+F19+F20+F21+F22+F23+F24+F25+F26+F29+F30+F31+F32+F33+F37+F39+F40+F41+F42+F43+F46+F47+F48+F49+F50+F51+F53+F54+F55, "NA")</f>
        <v>7130.14</v>
      </c>
      <c r="G57" s="132">
        <f>IFERROR(F57/F148, "NA")</f>
        <v>0.2774726589725619</v>
      </c>
      <c r="H57" s="131">
        <f>IFERROR(H13+H15+H16+H17+H18+H19+H20+H21+H22+H23+H24+H25+H26+H29+H30+H31+H32+H33+H37+H39+H40+H41+H42+H43+H46+H47+H48+H49+H50+H51+H53+H54+H55, "NA")</f>
        <v>6419.9499999999989</v>
      </c>
      <c r="I57" s="132">
        <f>IFERROR(H57/H148, "NA")</f>
        <v>0.25512144391914093</v>
      </c>
      <c r="J57" s="131">
        <f>IFERROR(J13+J15+J16+J17+J18+J19+J20+J21+J22+J23+J24+J25+J26+J29+J30+J31+J32+J33+J37+J39+J40+J41+J42+J43+J46+J47+J48+J49+J50+J51+J53+J54+J55, "NA")</f>
        <v>7662.57</v>
      </c>
      <c r="K57" s="132">
        <f>IFERROR(J57/J148, "NA")</f>
        <v>0.26760838346106242</v>
      </c>
      <c r="L57" s="131">
        <f>IFERROR(L13+L15+L16+L17+L18+L19+L20+L21+L22+L23+L24+L25+L26+L29+L30+L31+L32+L33+L37+L39+L40+L41+L42+L43+L46+L47+L48+L49+L50+L51+L53+L54+L55, "NA")</f>
        <v>6967.8300000000008</v>
      </c>
      <c r="M57" s="132">
        <f>IFERROR(L57/L148, "NA")</f>
        <v>0.24830533178150596</v>
      </c>
      <c r="N57" s="131">
        <f>IFERROR(N13+N15+N16+N17+N18+N19+N20+N21+N22+N23+N24+N25+N26+N29+N30+N31+N32+N33+N37+N39+N40+N41+N42+N43+N46+N47+N48+N49+N50+N51+N53+N54+N55, "NA")</f>
        <v>6262.14</v>
      </c>
      <c r="O57" s="132">
        <f>IFERROR(N57/N148, "NA")</f>
        <v>0.24326056656457876</v>
      </c>
      <c r="P57" s="131">
        <f>IFERROR(P13+P15+P16+P17+P18+P19+P20+P21+P22+P23+P24+P25+P26+P29+P30+P31+P32+P33+P37+P39+P40+P41+P42+P43+P46+P47+P48+P49+P50+P51+P53+P54+P55, "NA")</f>
        <v>5626.7900000000009</v>
      </c>
      <c r="Q57" s="132">
        <f>IFERROR(P57/P148, "NA")</f>
        <v>0.27302215312713501</v>
      </c>
      <c r="R57" s="131">
        <f>IFERROR(R13+R15+R16+R17+R18+R19+R20+R21+R22+R23+R24+R25+R26+R29+R30+R31+R32+R33+R37+R39+R40+R41+R42+R43+R46+R47+R48+R49+R50+R51+R53+R54+R55, "NA")</f>
        <v>6299.5899999999992</v>
      </c>
      <c r="S57" s="132">
        <f>IFERROR(R57/R148, "NA")</f>
        <v>0.25689659320713043</v>
      </c>
      <c r="T57" s="131">
        <f>IFERROR(T13+T15+T16+T17+T18+T19+T20+T21+T22+T23+T24+T25+T26+T29+T30+T31+T32+T33+T37+T39+T40+T41+T42+T43+T46+T47+T48+T49+T50+T51+T53+T54+T55, "NA")</f>
        <v>6995.33</v>
      </c>
      <c r="U57" s="132">
        <f>IFERROR(T57/T148, "NA")</f>
        <v>0.26235760411111286</v>
      </c>
      <c r="V57" s="131">
        <f>IFERROR(V13+V15+V16+V17+V18+V19+V20+V21+V22+V23+V24+V25+V26+V29+V30+V31+V32+V33+V37+V39+V40+V41+V42+V43+V46+V47+V48+V49+V50+V51+V53+V54+V55, "NA")</f>
        <v>6667.3899999999985</v>
      </c>
      <c r="W57" s="132">
        <f>IFERROR(V57/V148, "NA")</f>
        <v>0.27781717723924126</v>
      </c>
      <c r="X57" s="131">
        <f>IFERROR(X13+X15+X16+X17+X18+X19+X20+X21+X22+X23+X24+X25+X26+X29+X30+X31+X32+X33+X37+X39+X40+X41+X42+X43+X46+X47+X48+X49+X50+X51+X53+X54+X55, "NA")</f>
        <v>6394.78</v>
      </c>
      <c r="Y57" s="132">
        <f>IFERROR(X57/X148, "NA")</f>
        <v>0.18433095506032543</v>
      </c>
      <c r="Z57" s="131">
        <f>IFERROR(Z13+Z15+Z16+Z17+Z18+Z19+Z20+Z21+Z22+Z23+Z24+Z25+Z26+Z29+Z30+Z31+Z32+Z33+Z37+Z39+Z40+Z41+Z42+Z43+Z46+Z47+Z48+Z49+Z50+Z51+Z53+Z54+Z55, "NA")</f>
        <v>13062.17</v>
      </c>
      <c r="AA57" s="132">
        <f>IFERROR(Z57/Z148, "NA")</f>
        <v>0.22255816219988606</v>
      </c>
      <c r="AB57" s="131">
        <f t="shared" si="18"/>
        <v>6589.2724999999991</v>
      </c>
      <c r="AC57" s="132">
        <f>IFERROR(AB57/AB148, "NA")</f>
        <v>0.23987973017285716</v>
      </c>
      <c r="AD57" s="133">
        <f t="shared" si="19"/>
        <v>-194.49249999999938</v>
      </c>
      <c r="AE57" s="134">
        <f>IFERROR(AD57/AD148, "NA")</f>
        <v>-2.6927679087220234E-2</v>
      </c>
      <c r="AF57" s="133">
        <f t="shared" si="20"/>
        <v>-2.9516536157823098E-2</v>
      </c>
      <c r="AG57" s="131">
        <f t="shared" si="21"/>
        <v>6609.5524999999998</v>
      </c>
      <c r="AH57" s="132">
        <f>IFERROR(AG57/AG148, "NA")</f>
        <v>0.24833572566775625</v>
      </c>
      <c r="AI57" s="133">
        <f t="shared" si="22"/>
        <v>-214.77250000000004</v>
      </c>
      <c r="AJ57" s="134">
        <f>IFERROR(AI57/AI148, "NA")</f>
        <v>-2.6592442625231808E-2</v>
      </c>
      <c r="AK57" s="133">
        <f t="shared" si="23"/>
        <v>-3.2494257364624919E-2</v>
      </c>
      <c r="AL57" s="134">
        <f>IFERROR(AK57/AK148, "NA")</f>
        <v>-0.10708262999102008</v>
      </c>
    </row>
    <row r="58" spans="1:38" ht="3.75" customHeight="1" x14ac:dyDescent="0.25">
      <c r="A58" s="3" t="s">
        <v>2</v>
      </c>
      <c r="B58" s="125"/>
      <c r="C58" s="126"/>
      <c r="D58" s="125"/>
      <c r="E58" s="126"/>
      <c r="F58" s="125"/>
      <c r="G58" s="126"/>
      <c r="H58" s="125"/>
      <c r="I58" s="126"/>
      <c r="J58" s="125"/>
      <c r="K58" s="126"/>
      <c r="L58" s="125"/>
      <c r="M58" s="126"/>
      <c r="N58" s="125"/>
      <c r="O58" s="126"/>
      <c r="P58" s="125"/>
      <c r="Q58" s="126"/>
      <c r="R58" s="125"/>
      <c r="S58" s="126"/>
      <c r="T58" s="125"/>
      <c r="U58" s="126"/>
      <c r="V58" s="125"/>
      <c r="W58" s="126"/>
      <c r="X58" s="125"/>
      <c r="Y58" s="126"/>
      <c r="Z58" s="125"/>
      <c r="AA58" s="126"/>
      <c r="AB58" s="125"/>
      <c r="AC58" s="126"/>
      <c r="AD58" s="127"/>
      <c r="AE58" s="128"/>
      <c r="AF58" s="127"/>
      <c r="AG58" s="125"/>
      <c r="AH58" s="126"/>
      <c r="AI58" s="127"/>
      <c r="AJ58" s="128"/>
      <c r="AK58" s="127"/>
      <c r="AL58" s="128"/>
    </row>
    <row r="59" spans="1:38" ht="16.5" customHeight="1" x14ac:dyDescent="0.25">
      <c r="A59" s="135" t="s">
        <v>64</v>
      </c>
      <c r="B59" s="136">
        <f>IFERROR(B9-B57, "NA")</f>
        <v>21962.94999999999</v>
      </c>
      <c r="C59" s="137">
        <f>IFERROR(B59/B148, "NA")</f>
        <v>0.76102277979942989</v>
      </c>
      <c r="D59" s="136">
        <f>IFERROR(D9-D57, "NA")</f>
        <v>18198.699999999997</v>
      </c>
      <c r="E59" s="137">
        <f>IFERROR(D59/D148, "NA")</f>
        <v>0.70322241847736822</v>
      </c>
      <c r="F59" s="136">
        <f>IFERROR(F9-F57, "NA")</f>
        <v>18566.590000000004</v>
      </c>
      <c r="G59" s="137">
        <f>IFERROR(F59/F148, "NA")</f>
        <v>0.72252734102743832</v>
      </c>
      <c r="H59" s="136">
        <f>IFERROR(H9-H57, "NA")</f>
        <v>18744.339999999997</v>
      </c>
      <c r="I59" s="137">
        <f>IFERROR(H59/H148, "NA")</f>
        <v>0.74487855608085884</v>
      </c>
      <c r="J59" s="136">
        <f>IFERROR(J9-J57, "NA")</f>
        <v>20970.94999999999</v>
      </c>
      <c r="K59" s="137">
        <f>IFERROR(J59/J148, "NA")</f>
        <v>0.73239161653893725</v>
      </c>
      <c r="L59" s="136">
        <f>IFERROR(L9-L57, "NA")</f>
        <v>21093.709999999995</v>
      </c>
      <c r="M59" s="137">
        <f>IFERROR(L59/L148, "NA")</f>
        <v>0.75169466821849384</v>
      </c>
      <c r="N59" s="136">
        <f>IFERROR(N9-N57, "NA")</f>
        <v>19480.379999999997</v>
      </c>
      <c r="O59" s="137">
        <f>IFERROR(N59/N148, "NA")</f>
        <v>0.75673943343542116</v>
      </c>
      <c r="P59" s="136">
        <f>IFERROR(P9-P57, "NA")</f>
        <v>14982.489999999998</v>
      </c>
      <c r="Q59" s="137">
        <f>IFERROR(P59/P148, "NA")</f>
        <v>0.72697784687286493</v>
      </c>
      <c r="R59" s="136">
        <f>IFERROR(R9-R57, "NA")</f>
        <v>18222.3</v>
      </c>
      <c r="S59" s="137">
        <f>IFERROR(R59/R148, "NA")</f>
        <v>0.74310340679286957</v>
      </c>
      <c r="T59" s="136">
        <f>IFERROR(T9-T57, "NA")</f>
        <v>19668.010000000002</v>
      </c>
      <c r="U59" s="137">
        <f>IFERROR(T59/T148, "NA")</f>
        <v>0.73764239588888725</v>
      </c>
      <c r="V59" s="136">
        <f>IFERROR(V9-V57, "NA")</f>
        <v>17331.810000000001</v>
      </c>
      <c r="W59" s="137">
        <f>IFERROR(V59/V148, "NA")</f>
        <v>0.72218282276075874</v>
      </c>
      <c r="X59" s="136">
        <f>IFERROR(X9-X57, "NA")</f>
        <v>28297.05999999999</v>
      </c>
      <c r="Y59" s="137">
        <f>IFERROR(X59/X148, "NA")</f>
        <v>0.8156690449396744</v>
      </c>
      <c r="Z59" s="136">
        <f>IFERROR(Z9-Z57, "NA")</f>
        <v>45628.869999999988</v>
      </c>
      <c r="AA59" s="137">
        <f>IFERROR(Z59/Z148, "NA")</f>
        <v>0.77744183780011378</v>
      </c>
      <c r="AB59" s="136">
        <f>IFERROR((R59+T59+V59+X59)/4, "NA")</f>
        <v>20879.794999999998</v>
      </c>
      <c r="AC59" s="137">
        <f>IFERROR(AB59/AB148, "NA")</f>
        <v>0.76012026982714287</v>
      </c>
      <c r="AD59" s="123">
        <f>IFERROR(X59-AB59, "NA")</f>
        <v>7417.2649999999921</v>
      </c>
      <c r="AE59" s="124">
        <f>IFERROR(AD59/AD148, "NA")</f>
        <v>1.0269276790872193</v>
      </c>
      <c r="AF59" s="123">
        <f>IFERROR((X59-AB59)/AB59, "NA")</f>
        <v>0.35523648579883055</v>
      </c>
      <c r="AG59" s="136">
        <f>IFERROR((J59+L59+N59+P59+R59+T59+V59+X59)/8, "NA")</f>
        <v>20005.838749999999</v>
      </c>
      <c r="AH59" s="137">
        <f>IFERROR(AG59/AG148, "NA")</f>
        <v>0.7516642743322437</v>
      </c>
      <c r="AI59" s="123">
        <f>IFERROR(X59-AG59, "NA")</f>
        <v>8291.2212499999914</v>
      </c>
      <c r="AJ59" s="124">
        <f>IFERROR(AI59/AI148, "NA")</f>
        <v>1.0265924426252313</v>
      </c>
      <c r="AK59" s="123">
        <f>IFERROR((X59-AG59)/AG59, "NA")</f>
        <v>0.41444007190150883</v>
      </c>
      <c r="AL59" s="124">
        <f>IFERROR(AK59/AK148, "NA")</f>
        <v>1.3657592593943961</v>
      </c>
    </row>
    <row r="60" spans="1:38" ht="3.75" customHeight="1" x14ac:dyDescent="0.25">
      <c r="A60" s="8" t="s">
        <v>2</v>
      </c>
      <c r="B60" s="138"/>
      <c r="C60" s="126"/>
      <c r="D60" s="138"/>
      <c r="E60" s="126"/>
      <c r="F60" s="138"/>
      <c r="G60" s="126"/>
      <c r="H60" s="138"/>
      <c r="I60" s="126"/>
      <c r="J60" s="138"/>
      <c r="K60" s="126"/>
      <c r="L60" s="138"/>
      <c r="M60" s="126"/>
      <c r="N60" s="138"/>
      <c r="O60" s="126"/>
      <c r="P60" s="138"/>
      <c r="Q60" s="126"/>
      <c r="R60" s="138"/>
      <c r="S60" s="126"/>
      <c r="T60" s="138"/>
      <c r="U60" s="126"/>
      <c r="V60" s="138"/>
      <c r="W60" s="126"/>
      <c r="X60" s="138"/>
      <c r="Y60" s="126"/>
      <c r="Z60" s="138"/>
      <c r="AA60" s="126"/>
      <c r="AB60" s="138"/>
      <c r="AC60" s="126"/>
      <c r="AD60" s="139"/>
      <c r="AE60" s="128"/>
      <c r="AF60" s="139"/>
      <c r="AG60" s="138"/>
      <c r="AH60" s="126"/>
      <c r="AI60" s="139"/>
      <c r="AJ60" s="128"/>
      <c r="AK60" s="139"/>
      <c r="AL60" s="128"/>
    </row>
    <row r="61" spans="1:38" ht="16.5" customHeight="1" x14ac:dyDescent="0.25">
      <c r="A61" s="1" t="s">
        <v>65</v>
      </c>
      <c r="B61" s="111"/>
      <c r="C61" s="112"/>
      <c r="D61" s="111"/>
      <c r="E61" s="112"/>
      <c r="F61" s="111"/>
      <c r="G61" s="112"/>
      <c r="H61" s="111"/>
      <c r="I61" s="112"/>
      <c r="J61" s="111"/>
      <c r="K61" s="112"/>
      <c r="L61" s="111"/>
      <c r="M61" s="112"/>
      <c r="N61" s="111"/>
      <c r="O61" s="112"/>
      <c r="P61" s="111"/>
      <c r="Q61" s="112"/>
      <c r="R61" s="111"/>
      <c r="S61" s="112"/>
      <c r="T61" s="111"/>
      <c r="U61" s="112"/>
      <c r="V61" s="111"/>
      <c r="W61" s="112"/>
      <c r="X61" s="111"/>
      <c r="Y61" s="112"/>
      <c r="Z61" s="111"/>
      <c r="AA61" s="112"/>
      <c r="AB61" s="111"/>
      <c r="AC61" s="112"/>
      <c r="AD61" s="113"/>
      <c r="AE61" s="114"/>
      <c r="AF61" s="113"/>
      <c r="AG61" s="111"/>
      <c r="AH61" s="112"/>
      <c r="AI61" s="113"/>
      <c r="AJ61" s="114"/>
      <c r="AK61" s="113"/>
      <c r="AL61" s="114"/>
    </row>
    <row r="62" spans="1:38" ht="16.5" customHeight="1" x14ac:dyDescent="0.25">
      <c r="A62" s="4" t="s">
        <v>65</v>
      </c>
      <c r="B62" s="111"/>
      <c r="C62" s="112"/>
      <c r="D62" s="111"/>
      <c r="E62" s="112"/>
      <c r="F62" s="111"/>
      <c r="G62" s="112"/>
      <c r="H62" s="111"/>
      <c r="I62" s="112"/>
      <c r="J62" s="111"/>
      <c r="K62" s="112"/>
      <c r="L62" s="111"/>
      <c r="M62" s="112"/>
      <c r="N62" s="111"/>
      <c r="O62" s="112"/>
      <c r="P62" s="111"/>
      <c r="Q62" s="112"/>
      <c r="R62" s="111"/>
      <c r="S62" s="112"/>
      <c r="T62" s="111"/>
      <c r="U62" s="112"/>
      <c r="V62" s="111"/>
      <c r="W62" s="112"/>
      <c r="X62" s="111"/>
      <c r="Y62" s="112"/>
      <c r="Z62" s="111"/>
      <c r="AA62" s="112"/>
      <c r="AB62" s="111"/>
      <c r="AC62" s="112"/>
      <c r="AD62" s="113"/>
      <c r="AE62" s="114"/>
      <c r="AF62" s="113"/>
      <c r="AG62" s="111"/>
      <c r="AH62" s="112"/>
      <c r="AI62" s="113"/>
      <c r="AJ62" s="114"/>
      <c r="AK62" s="113"/>
      <c r="AL62" s="114"/>
    </row>
    <row r="63" spans="1:38" ht="16.5" hidden="1" customHeight="1" x14ac:dyDescent="0.25">
      <c r="A63" s="5" t="s">
        <v>66</v>
      </c>
      <c r="B63" s="115">
        <v>0</v>
      </c>
      <c r="C63" s="116">
        <f>IFERROR(B63/B148, "NA")</f>
        <v>0</v>
      </c>
      <c r="D63" s="115">
        <v>0</v>
      </c>
      <c r="E63" s="116">
        <f>IFERROR(D63/D148, "NA")</f>
        <v>0</v>
      </c>
      <c r="F63" s="115">
        <v>0</v>
      </c>
      <c r="G63" s="116">
        <f>IFERROR(F63/F148, "NA")</f>
        <v>0</v>
      </c>
      <c r="H63" s="115">
        <v>0</v>
      </c>
      <c r="I63" s="116">
        <f>IFERROR(H63/H148, "NA")</f>
        <v>0</v>
      </c>
      <c r="J63" s="115">
        <v>0</v>
      </c>
      <c r="K63" s="116">
        <f>IFERROR(J63/J148, "NA")</f>
        <v>0</v>
      </c>
      <c r="L63" s="115">
        <v>0</v>
      </c>
      <c r="M63" s="116">
        <f>IFERROR(L63/L148, "NA")</f>
        <v>0</v>
      </c>
      <c r="N63" s="115">
        <v>0</v>
      </c>
      <c r="O63" s="116">
        <f>IFERROR(N63/N148, "NA")</f>
        <v>0</v>
      </c>
      <c r="P63" s="115">
        <v>0</v>
      </c>
      <c r="Q63" s="116">
        <f>IFERROR(P63/P148, "NA")</f>
        <v>0</v>
      </c>
      <c r="R63" s="115">
        <v>0</v>
      </c>
      <c r="S63" s="116">
        <f>IFERROR(R63/R148, "NA")</f>
        <v>0</v>
      </c>
      <c r="T63" s="115">
        <v>0</v>
      </c>
      <c r="U63" s="116">
        <f>IFERROR(T63/T148, "NA")</f>
        <v>0</v>
      </c>
      <c r="V63" s="115">
        <v>0</v>
      </c>
      <c r="W63" s="116">
        <f>IFERROR(V63/V148, "NA")</f>
        <v>0</v>
      </c>
      <c r="X63" s="115">
        <v>0</v>
      </c>
      <c r="Y63" s="116">
        <f>IFERROR(X63/X148, "NA")</f>
        <v>0</v>
      </c>
      <c r="Z63" s="115">
        <v>0</v>
      </c>
      <c r="AA63" s="116">
        <f>IFERROR(Z63/Z148, "NA")</f>
        <v>0</v>
      </c>
      <c r="AB63" s="117">
        <f>IFERROR((R63+T63+V63+X63)/4, "NA")</f>
        <v>0</v>
      </c>
      <c r="AC63" s="116">
        <f>IFERROR(AB63/AB148, "NA")</f>
        <v>0</v>
      </c>
      <c r="AD63" s="118">
        <f>IFERROR(X63-AB63, "NA")</f>
        <v>0</v>
      </c>
      <c r="AE63" s="119">
        <f>IFERROR(AD63/AD148, "NA")</f>
        <v>0</v>
      </c>
      <c r="AF63" s="118" t="str">
        <f>IFERROR((X63-AB63)/AB63, "NA")</f>
        <v>NA</v>
      </c>
      <c r="AG63" s="117">
        <f>IFERROR((J63+L63+N63+P63+R63+T63+V63+X63)/8, "NA")</f>
        <v>0</v>
      </c>
      <c r="AH63" s="116">
        <f>IFERROR(AG63/AG148, "NA")</f>
        <v>0</v>
      </c>
      <c r="AI63" s="118">
        <f>IFERROR(X63-AG63, "NA")</f>
        <v>0</v>
      </c>
      <c r="AJ63" s="119">
        <f>IFERROR(AI63/AI148, "NA")</f>
        <v>0</v>
      </c>
      <c r="AK63" s="118" t="str">
        <f>IFERROR((X63-AG63)/AG63, "NA")</f>
        <v>NA</v>
      </c>
      <c r="AL63" s="119" t="str">
        <f>IFERROR(AK63/AK148, "NA")</f>
        <v>NA</v>
      </c>
    </row>
    <row r="64" spans="1:38" ht="16.5" customHeight="1" x14ac:dyDescent="0.25">
      <c r="A64" s="6" t="s">
        <v>67</v>
      </c>
      <c r="B64" s="111"/>
      <c r="C64" s="112"/>
      <c r="D64" s="111"/>
      <c r="E64" s="112"/>
      <c r="F64" s="111"/>
      <c r="G64" s="112"/>
      <c r="H64" s="111"/>
      <c r="I64" s="112"/>
      <c r="J64" s="111"/>
      <c r="K64" s="112"/>
      <c r="L64" s="111"/>
      <c r="M64" s="112"/>
      <c r="N64" s="111"/>
      <c r="O64" s="112"/>
      <c r="P64" s="111"/>
      <c r="Q64" s="112"/>
      <c r="R64" s="111"/>
      <c r="S64" s="112"/>
      <c r="T64" s="111"/>
      <c r="U64" s="112"/>
      <c r="V64" s="111"/>
      <c r="W64" s="112"/>
      <c r="X64" s="111"/>
      <c r="Y64" s="112"/>
      <c r="Z64" s="111"/>
      <c r="AA64" s="112"/>
      <c r="AB64" s="111"/>
      <c r="AC64" s="112"/>
      <c r="AD64" s="113"/>
      <c r="AE64" s="114"/>
      <c r="AF64" s="113"/>
      <c r="AG64" s="111"/>
      <c r="AH64" s="112"/>
      <c r="AI64" s="113"/>
      <c r="AJ64" s="114"/>
      <c r="AK64" s="113"/>
      <c r="AL64" s="114"/>
    </row>
    <row r="65" spans="1:38" ht="16.5" hidden="1" customHeight="1" x14ac:dyDescent="0.25">
      <c r="A65" s="7" t="s">
        <v>68</v>
      </c>
      <c r="B65" s="115">
        <v>0</v>
      </c>
      <c r="C65" s="116">
        <f>IFERROR(B65/B148, "NA")</f>
        <v>0</v>
      </c>
      <c r="D65" s="115">
        <v>0</v>
      </c>
      <c r="E65" s="116">
        <f>IFERROR(D65/D148, "NA")</f>
        <v>0</v>
      </c>
      <c r="F65" s="115">
        <v>0</v>
      </c>
      <c r="G65" s="116">
        <f>IFERROR(F65/F148, "NA")</f>
        <v>0</v>
      </c>
      <c r="H65" s="115">
        <v>0</v>
      </c>
      <c r="I65" s="116">
        <f>IFERROR(H65/H148, "NA")</f>
        <v>0</v>
      </c>
      <c r="J65" s="115">
        <v>0</v>
      </c>
      <c r="K65" s="116">
        <f>IFERROR(J65/J148, "NA")</f>
        <v>0</v>
      </c>
      <c r="L65" s="115">
        <v>0</v>
      </c>
      <c r="M65" s="116">
        <f>IFERROR(L65/L148, "NA")</f>
        <v>0</v>
      </c>
      <c r="N65" s="115">
        <v>0</v>
      </c>
      <c r="O65" s="116">
        <f>IFERROR(N65/N148, "NA")</f>
        <v>0</v>
      </c>
      <c r="P65" s="115">
        <v>0</v>
      </c>
      <c r="Q65" s="116">
        <f>IFERROR(P65/P148, "NA")</f>
        <v>0</v>
      </c>
      <c r="R65" s="115">
        <v>0</v>
      </c>
      <c r="S65" s="116">
        <f>IFERROR(R65/R148, "NA")</f>
        <v>0</v>
      </c>
      <c r="T65" s="115">
        <v>0</v>
      </c>
      <c r="U65" s="116">
        <f>IFERROR(T65/T148, "NA")</f>
        <v>0</v>
      </c>
      <c r="V65" s="115">
        <v>0</v>
      </c>
      <c r="W65" s="116">
        <f>IFERROR(V65/V148, "NA")</f>
        <v>0</v>
      </c>
      <c r="X65" s="115">
        <v>0</v>
      </c>
      <c r="Y65" s="116">
        <f>IFERROR(X65/X148, "NA")</f>
        <v>0</v>
      </c>
      <c r="Z65" s="115">
        <v>0</v>
      </c>
      <c r="AA65" s="116">
        <f>IFERROR(Z65/Z148, "NA")</f>
        <v>0</v>
      </c>
      <c r="AB65" s="117">
        <f t="shared" ref="AB65:AB72" si="24">IFERROR((R65+T65+V65+X65)/4, "NA")</f>
        <v>0</v>
      </c>
      <c r="AC65" s="116">
        <f>IFERROR(AB65/AB148, "NA")</f>
        <v>0</v>
      </c>
      <c r="AD65" s="118">
        <f t="shared" ref="AD65:AD72" si="25">IFERROR(X65-AB65, "NA")</f>
        <v>0</v>
      </c>
      <c r="AE65" s="119">
        <f>IFERROR(AD65/AD148, "NA")</f>
        <v>0</v>
      </c>
      <c r="AF65" s="118" t="str">
        <f t="shared" ref="AF65:AF72" si="26">IFERROR((X65-AB65)/AB65, "NA")</f>
        <v>NA</v>
      </c>
      <c r="AG65" s="117">
        <f t="shared" ref="AG65:AG72" si="27">IFERROR((J65+L65+N65+P65+R65+T65+V65+X65)/8, "NA")</f>
        <v>0</v>
      </c>
      <c r="AH65" s="116">
        <f>IFERROR(AG65/AG148, "NA")</f>
        <v>0</v>
      </c>
      <c r="AI65" s="118">
        <f t="shared" ref="AI65:AI72" si="28">IFERROR(X65-AG65, "NA")</f>
        <v>0</v>
      </c>
      <c r="AJ65" s="119">
        <f>IFERROR(AI65/AI148, "NA")</f>
        <v>0</v>
      </c>
      <c r="AK65" s="118" t="str">
        <f t="shared" ref="AK65:AK72" si="29">IFERROR((X65-AG65)/AG65, "NA")</f>
        <v>NA</v>
      </c>
      <c r="AL65" s="119" t="str">
        <f>IFERROR(AK65/AK148, "NA")</f>
        <v>NA</v>
      </c>
    </row>
    <row r="66" spans="1:38" ht="16.5" customHeight="1" x14ac:dyDescent="0.25">
      <c r="A66" s="7" t="s">
        <v>69</v>
      </c>
      <c r="B66" s="115">
        <v>1461.54</v>
      </c>
      <c r="C66" s="116">
        <f>IFERROR(B66/B148, "NA")</f>
        <v>5.0642797692844507E-2</v>
      </c>
      <c r="D66" s="115">
        <v>1461.54</v>
      </c>
      <c r="E66" s="116">
        <f>IFERROR(D66/D148, "NA")</f>
        <v>5.6475885283092359E-2</v>
      </c>
      <c r="F66" s="115">
        <v>1461.54</v>
      </c>
      <c r="G66" s="116">
        <f>IFERROR(F66/F148, "NA")</f>
        <v>5.6876497515442624E-2</v>
      </c>
      <c r="H66" s="115">
        <v>1461.54</v>
      </c>
      <c r="I66" s="116">
        <f>IFERROR(H66/H148, "NA")</f>
        <v>5.8079921984685437E-2</v>
      </c>
      <c r="J66" s="115">
        <v>1461.54</v>
      </c>
      <c r="K66" s="116">
        <f>IFERROR(J66/J148, "NA")</f>
        <v>5.1042973410184982E-2</v>
      </c>
      <c r="L66" s="115">
        <v>1461.54</v>
      </c>
      <c r="M66" s="116">
        <f>IFERROR(L66/L148, "NA")</f>
        <v>5.2083385302445981E-2</v>
      </c>
      <c r="N66" s="115">
        <v>1461.54</v>
      </c>
      <c r="O66" s="116">
        <f>IFERROR(N66/N148, "NA")</f>
        <v>5.6775327357228428E-2</v>
      </c>
      <c r="P66" s="115">
        <v>1461.54</v>
      </c>
      <c r="Q66" s="116">
        <f>IFERROR(P66/P148, "NA")</f>
        <v>7.0916596795230116E-2</v>
      </c>
      <c r="R66" s="115">
        <v>1461.54</v>
      </c>
      <c r="S66" s="116">
        <f>IFERROR(R66/R148, "NA")</f>
        <v>5.9601441813824305E-2</v>
      </c>
      <c r="T66" s="115">
        <v>1461.54</v>
      </c>
      <c r="U66" s="116">
        <f>IFERROR(T66/T148, "NA")</f>
        <v>5.4814588119867953E-2</v>
      </c>
      <c r="V66" s="115">
        <v>1461.54</v>
      </c>
      <c r="W66" s="116">
        <f>IFERROR(V66/V148, "NA")</f>
        <v>6.0899529984332811E-2</v>
      </c>
      <c r="X66" s="115">
        <v>1461.54</v>
      </c>
      <c r="Y66" s="116">
        <f>IFERROR(X66/X148, "NA")</f>
        <v>4.2129215400509172E-2</v>
      </c>
      <c r="Z66" s="115">
        <v>2923.08</v>
      </c>
      <c r="AA66" s="116">
        <f>IFERROR(Z66/Z148, "NA")</f>
        <v>4.9804535751964862E-2</v>
      </c>
      <c r="AB66" s="117">
        <f t="shared" si="24"/>
        <v>1461.54</v>
      </c>
      <c r="AC66" s="116">
        <f>IFERROR(AB66/AB148, "NA")</f>
        <v>5.3206757018599199E-2</v>
      </c>
      <c r="AD66" s="118">
        <f t="shared" si="25"/>
        <v>0</v>
      </c>
      <c r="AE66" s="119">
        <f>IFERROR(AD66/AD148, "NA")</f>
        <v>0</v>
      </c>
      <c r="AF66" s="118">
        <f t="shared" si="26"/>
        <v>0</v>
      </c>
      <c r="AG66" s="117">
        <f t="shared" si="27"/>
        <v>1461.54</v>
      </c>
      <c r="AH66" s="116">
        <f>IFERROR(AG66/AG148, "NA")</f>
        <v>5.4913338912498603E-2</v>
      </c>
      <c r="AI66" s="118">
        <f t="shared" si="28"/>
        <v>0</v>
      </c>
      <c r="AJ66" s="119">
        <f>IFERROR(AI66/AI148, "NA")</f>
        <v>0</v>
      </c>
      <c r="AK66" s="118">
        <f t="shared" si="29"/>
        <v>0</v>
      </c>
      <c r="AL66" s="119">
        <f>IFERROR(AK66/AK148, "NA")</f>
        <v>0</v>
      </c>
    </row>
    <row r="67" spans="1:38" ht="16.5" hidden="1" customHeight="1" x14ac:dyDescent="0.25">
      <c r="A67" s="7" t="s">
        <v>70</v>
      </c>
      <c r="B67" s="115">
        <v>0</v>
      </c>
      <c r="C67" s="116">
        <f>IFERROR(B67/B148, "NA")</f>
        <v>0</v>
      </c>
      <c r="D67" s="115">
        <v>0</v>
      </c>
      <c r="E67" s="116">
        <f>IFERROR(D67/D148, "NA")</f>
        <v>0</v>
      </c>
      <c r="F67" s="115">
        <v>0</v>
      </c>
      <c r="G67" s="116">
        <f>IFERROR(F67/F148, "NA")</f>
        <v>0</v>
      </c>
      <c r="H67" s="115">
        <v>0</v>
      </c>
      <c r="I67" s="116">
        <f>IFERROR(H67/H148, "NA")</f>
        <v>0</v>
      </c>
      <c r="J67" s="115">
        <v>0</v>
      </c>
      <c r="K67" s="116">
        <f>IFERROR(J67/J148, "NA")</f>
        <v>0</v>
      </c>
      <c r="L67" s="115">
        <v>0</v>
      </c>
      <c r="M67" s="116">
        <f>IFERROR(L67/L148, "NA")</f>
        <v>0</v>
      </c>
      <c r="N67" s="115">
        <v>0</v>
      </c>
      <c r="O67" s="116">
        <f>IFERROR(N67/N148, "NA")</f>
        <v>0</v>
      </c>
      <c r="P67" s="115">
        <v>0</v>
      </c>
      <c r="Q67" s="116">
        <f>IFERROR(P67/P148, "NA")</f>
        <v>0</v>
      </c>
      <c r="R67" s="115">
        <v>0</v>
      </c>
      <c r="S67" s="116">
        <f>IFERROR(R67/R148, "NA")</f>
        <v>0</v>
      </c>
      <c r="T67" s="115">
        <v>0</v>
      </c>
      <c r="U67" s="116">
        <f>IFERROR(T67/T148, "NA")</f>
        <v>0</v>
      </c>
      <c r="V67" s="115">
        <v>0</v>
      </c>
      <c r="W67" s="116">
        <f>IFERROR(V67/V148, "NA")</f>
        <v>0</v>
      </c>
      <c r="X67" s="115">
        <v>0</v>
      </c>
      <c r="Y67" s="116">
        <f>IFERROR(X67/X148, "NA")</f>
        <v>0</v>
      </c>
      <c r="Z67" s="115">
        <v>0</v>
      </c>
      <c r="AA67" s="116">
        <f>IFERROR(Z67/Z148, "NA")</f>
        <v>0</v>
      </c>
      <c r="AB67" s="117">
        <f t="shared" si="24"/>
        <v>0</v>
      </c>
      <c r="AC67" s="116">
        <f>IFERROR(AB67/AB148, "NA")</f>
        <v>0</v>
      </c>
      <c r="AD67" s="118">
        <f t="shared" si="25"/>
        <v>0</v>
      </c>
      <c r="AE67" s="119">
        <f>IFERROR(AD67/AD148, "NA")</f>
        <v>0</v>
      </c>
      <c r="AF67" s="118" t="str">
        <f t="shared" si="26"/>
        <v>NA</v>
      </c>
      <c r="AG67" s="117">
        <f t="shared" si="27"/>
        <v>0</v>
      </c>
      <c r="AH67" s="116">
        <f>IFERROR(AG67/AG148, "NA")</f>
        <v>0</v>
      </c>
      <c r="AI67" s="118">
        <f t="shared" si="28"/>
        <v>0</v>
      </c>
      <c r="AJ67" s="119">
        <f>IFERROR(AI67/AI148, "NA")</f>
        <v>0</v>
      </c>
      <c r="AK67" s="118" t="str">
        <f t="shared" si="29"/>
        <v>NA</v>
      </c>
      <c r="AL67" s="119" t="str">
        <f>IFERROR(AK67/AK148, "NA")</f>
        <v>NA</v>
      </c>
    </row>
    <row r="68" spans="1:38" ht="16.5" customHeight="1" x14ac:dyDescent="0.25">
      <c r="A68" s="7" t="s">
        <v>71</v>
      </c>
      <c r="B68" s="115">
        <v>4549.33</v>
      </c>
      <c r="C68" s="116">
        <f>IFERROR(B68/B148, "NA")</f>
        <v>0.15763564379215642</v>
      </c>
      <c r="D68" s="115">
        <v>4700.25</v>
      </c>
      <c r="E68" s="116">
        <f>IFERROR(D68/D148, "NA")</f>
        <v>0.18162402657597798</v>
      </c>
      <c r="F68" s="115">
        <v>4553.26</v>
      </c>
      <c r="G68" s="116">
        <f>IFERROR(F68/F148, "NA")</f>
        <v>0.17719219527153846</v>
      </c>
      <c r="H68" s="115">
        <v>4447.0200000000004</v>
      </c>
      <c r="I68" s="116">
        <f>IFERROR(H68/H148, "NA")</f>
        <v>0.17671947032878735</v>
      </c>
      <c r="J68" s="115">
        <v>4779.2</v>
      </c>
      <c r="K68" s="116">
        <f>IFERROR(J68/J148, "NA")</f>
        <v>0.16690927276841966</v>
      </c>
      <c r="L68" s="115">
        <v>5852.11</v>
      </c>
      <c r="M68" s="116">
        <f>IFERROR(L68/L148, "NA")</f>
        <v>0.20854557518938729</v>
      </c>
      <c r="N68" s="115">
        <v>4749.5200000000004</v>
      </c>
      <c r="O68" s="116">
        <f>IFERROR(N68/N148, "NA")</f>
        <v>0.18450097348666722</v>
      </c>
      <c r="P68" s="115">
        <v>4878.03</v>
      </c>
      <c r="Q68" s="116">
        <f>IFERROR(P68/P148, "NA")</f>
        <v>0.23669094699087012</v>
      </c>
      <c r="R68" s="115">
        <v>3908.49</v>
      </c>
      <c r="S68" s="116">
        <f>IFERROR(R68/R148, "NA")</f>
        <v>0.15938779596515604</v>
      </c>
      <c r="T68" s="115">
        <v>4308.75</v>
      </c>
      <c r="U68" s="116">
        <f>IFERROR(T68/T148, "NA")</f>
        <v>0.16159828438597715</v>
      </c>
      <c r="V68" s="115">
        <v>4443.47</v>
      </c>
      <c r="W68" s="116">
        <f>IFERROR(V68/V148, "NA")</f>
        <v>0.18515075502516751</v>
      </c>
      <c r="X68" s="115">
        <v>4373.3500000000004</v>
      </c>
      <c r="Y68" s="116">
        <f>IFERROR(X68/X148, "NA")</f>
        <v>0.12606278594620524</v>
      </c>
      <c r="Z68" s="115">
        <v>8816.82</v>
      </c>
      <c r="AA68" s="116">
        <f>IFERROR(Z68/Z148, "NA")</f>
        <v>0.15022429318001521</v>
      </c>
      <c r="AB68" s="117">
        <f t="shared" si="24"/>
        <v>4258.5149999999994</v>
      </c>
      <c r="AC68" s="116">
        <f>IFERROR(AB68/AB148, "NA")</f>
        <v>0.15502947087665062</v>
      </c>
      <c r="AD68" s="118">
        <f t="shared" si="25"/>
        <v>114.83500000000095</v>
      </c>
      <c r="AE68" s="119">
        <f>IFERROR(AD68/AD148, "NA")</f>
        <v>1.5899019386253817E-2</v>
      </c>
      <c r="AF68" s="118">
        <f t="shared" si="26"/>
        <v>2.6965972880217862E-2</v>
      </c>
      <c r="AG68" s="117">
        <f t="shared" si="27"/>
        <v>4661.6149999999998</v>
      </c>
      <c r="AH68" s="116">
        <f>IFERROR(AG68/AG148, "NA")</f>
        <v>0.17514734073277993</v>
      </c>
      <c r="AI68" s="118">
        <f t="shared" si="28"/>
        <v>-288.26499999999942</v>
      </c>
      <c r="AJ68" s="119">
        <f>IFERROR(AI68/AI148, "NA")</f>
        <v>-3.5692048438987441E-2</v>
      </c>
      <c r="AK68" s="118">
        <f t="shared" si="29"/>
        <v>-6.1838011075560598E-2</v>
      </c>
      <c r="AL68" s="119">
        <f>IFERROR(AK68/AK148, "NA")</f>
        <v>-0.20378298802402225</v>
      </c>
    </row>
    <row r="69" spans="1:38" ht="16.5" customHeight="1" x14ac:dyDescent="0.25">
      <c r="A69" s="7" t="s">
        <v>72</v>
      </c>
      <c r="B69" s="115">
        <v>31.51</v>
      </c>
      <c r="C69" s="116">
        <f>IFERROR(B69/B148, "NA")</f>
        <v>1.0918309148579789E-3</v>
      </c>
      <c r="D69" s="115">
        <v>31.69</v>
      </c>
      <c r="E69" s="116">
        <f>IFERROR(D69/D148, "NA")</f>
        <v>1.224544524693951E-3</v>
      </c>
      <c r="F69" s="115">
        <v>247.91</v>
      </c>
      <c r="G69" s="116">
        <f>IFERROR(F69/F148, "NA")</f>
        <v>9.6475310282670215E-3</v>
      </c>
      <c r="H69" s="115">
        <v>16.97</v>
      </c>
      <c r="I69" s="116">
        <f>IFERROR(H69/H148, "NA")</f>
        <v>6.743683211407911E-4</v>
      </c>
      <c r="J69" s="115">
        <v>21.02</v>
      </c>
      <c r="K69" s="116">
        <f>IFERROR(J69/J148, "NA")</f>
        <v>7.3410464378811967E-4</v>
      </c>
      <c r="L69" s="115">
        <v>72.989999999999995</v>
      </c>
      <c r="M69" s="116">
        <f>IFERROR(L69/L148, "NA")</f>
        <v>2.6010689363449046E-3</v>
      </c>
      <c r="N69" s="115">
        <v>242.18</v>
      </c>
      <c r="O69" s="116">
        <f>IFERROR(N69/N148, "NA")</f>
        <v>9.4077813671699581E-3</v>
      </c>
      <c r="P69" s="115">
        <v>226.46</v>
      </c>
      <c r="Q69" s="116">
        <f>IFERROR(P69/P148, "NA")</f>
        <v>1.0988253835165518E-2</v>
      </c>
      <c r="R69" s="115">
        <v>0</v>
      </c>
      <c r="S69" s="116">
        <f>IFERROR(R69/R148, "NA")</f>
        <v>0</v>
      </c>
      <c r="T69" s="115">
        <v>31.68</v>
      </c>
      <c r="U69" s="116">
        <f>IFERROR(T69/T148, "NA")</f>
        <v>1.1881482214906309E-3</v>
      </c>
      <c r="V69" s="115">
        <v>0</v>
      </c>
      <c r="W69" s="116">
        <f>IFERROR(V69/V148, "NA")</f>
        <v>0</v>
      </c>
      <c r="X69" s="115">
        <v>52.89</v>
      </c>
      <c r="Y69" s="116">
        <f>IFERROR(X69/X148, "NA")</f>
        <v>1.5245660074530497E-3</v>
      </c>
      <c r="Z69" s="115">
        <v>52.89</v>
      </c>
      <c r="AA69" s="116">
        <f>IFERROR(Z69/Z148, "NA")</f>
        <v>9.0115970001553903E-4</v>
      </c>
      <c r="AB69" s="117">
        <f t="shared" si="24"/>
        <v>21.142499999999998</v>
      </c>
      <c r="AC69" s="116">
        <f>IFERROR(AB69/AB148, "NA")</f>
        <v>7.6968393630398992E-4</v>
      </c>
      <c r="AD69" s="118">
        <f t="shared" si="25"/>
        <v>31.747500000000002</v>
      </c>
      <c r="AE69" s="119">
        <f>IFERROR(AD69/AD148, "NA")</f>
        <v>4.395472791092341E-3</v>
      </c>
      <c r="AF69" s="118">
        <f t="shared" si="26"/>
        <v>1.5015963107484926</v>
      </c>
      <c r="AG69" s="117">
        <f t="shared" si="27"/>
        <v>80.902499999999989</v>
      </c>
      <c r="AH69" s="116">
        <f>IFERROR(AG69/AG148, "NA")</f>
        <v>3.0396885486325504E-3</v>
      </c>
      <c r="AI69" s="118">
        <f t="shared" si="28"/>
        <v>-28.012499999999989</v>
      </c>
      <c r="AJ69" s="119">
        <f>IFERROR(AI69/AI148, "NA")</f>
        <v>-3.4684179726888011E-3</v>
      </c>
      <c r="AK69" s="118">
        <f t="shared" si="29"/>
        <v>-0.34625011588022608</v>
      </c>
      <c r="AL69" s="119">
        <f>IFERROR(AK69/AK148, "NA")</f>
        <v>-1.1410438659082758</v>
      </c>
    </row>
    <row r="70" spans="1:38" ht="16.5" customHeight="1" x14ac:dyDescent="0.25">
      <c r="A70" s="129" t="s">
        <v>73</v>
      </c>
      <c r="B70" s="121">
        <f>IFERROR(B65+B66+B67+B68+B69, "NA")</f>
        <v>6042.38</v>
      </c>
      <c r="C70" s="122">
        <f>IFERROR(B70/B148, "NA")</f>
        <v>0.20937027239985892</v>
      </c>
      <c r="D70" s="121">
        <f>IFERROR(D65+D66+D67+D68+D69, "NA")</f>
        <v>6193.48</v>
      </c>
      <c r="E70" s="122">
        <f>IFERROR(D70/D148, "NA")</f>
        <v>0.23932445638376429</v>
      </c>
      <c r="F70" s="121">
        <f>IFERROR(F65+F66+F67+F68+F69, "NA")</f>
        <v>6262.71</v>
      </c>
      <c r="G70" s="122">
        <f>IFERROR(F70/F148, "NA")</f>
        <v>0.2437162238152481</v>
      </c>
      <c r="H70" s="121">
        <f>IFERROR(H65+H66+H67+H68+H69, "NA")</f>
        <v>5925.5300000000007</v>
      </c>
      <c r="I70" s="122">
        <f>IFERROR(H70/H148, "NA")</f>
        <v>0.23547376063461359</v>
      </c>
      <c r="J70" s="121">
        <f>IFERROR(J65+J66+J67+J68+J69, "NA")</f>
        <v>6261.76</v>
      </c>
      <c r="K70" s="122">
        <f>IFERROR(J70/J148, "NA")</f>
        <v>0.21868635082239277</v>
      </c>
      <c r="L70" s="121">
        <f>IFERROR(L65+L66+L67+L68+L69, "NA")</f>
        <v>7386.6399999999994</v>
      </c>
      <c r="M70" s="122">
        <f>IFERROR(L70/L148, "NA")</f>
        <v>0.26323002942817819</v>
      </c>
      <c r="N70" s="121">
        <f>IFERROR(N65+N66+N67+N68+N69, "NA")</f>
        <v>6453.2400000000007</v>
      </c>
      <c r="O70" s="122">
        <f>IFERROR(N70/N148, "NA")</f>
        <v>0.25068408221106558</v>
      </c>
      <c r="P70" s="121">
        <f>IFERROR(P65+P66+P67+P68+P69, "NA")</f>
        <v>6566.03</v>
      </c>
      <c r="Q70" s="122">
        <f>IFERROR(P70/P148, "NA")</f>
        <v>0.31859579762126577</v>
      </c>
      <c r="R70" s="121">
        <f>IFERROR(R65+R66+R67+R68+R69, "NA")</f>
        <v>5370.03</v>
      </c>
      <c r="S70" s="122">
        <f>IFERROR(R70/R148, "NA")</f>
        <v>0.21898923777898033</v>
      </c>
      <c r="T70" s="121">
        <f>IFERROR(T65+T66+T67+T68+T69, "NA")</f>
        <v>5801.97</v>
      </c>
      <c r="U70" s="122">
        <f>IFERROR(T70/T148, "NA")</f>
        <v>0.21760102072733575</v>
      </c>
      <c r="V70" s="121">
        <f>IFERROR(V65+V66+V67+V68+V69, "NA")</f>
        <v>5905.01</v>
      </c>
      <c r="W70" s="122">
        <f>IFERROR(V70/V148, "NA")</f>
        <v>0.24605028500950032</v>
      </c>
      <c r="X70" s="121">
        <f>IFERROR(X65+X66+X67+X68+X69, "NA")</f>
        <v>5887.7800000000007</v>
      </c>
      <c r="Y70" s="122">
        <f>IFERROR(X70/X148, "NA")</f>
        <v>0.16971656735416746</v>
      </c>
      <c r="Z70" s="121">
        <f>IFERROR(Z65+Z66+Z67+Z68+Z69, "NA")</f>
        <v>11792.789999999999</v>
      </c>
      <c r="AA70" s="122">
        <f>IFERROR(Z70/Z148, "NA")</f>
        <v>0.2009299886319956</v>
      </c>
      <c r="AB70" s="121">
        <f t="shared" si="24"/>
        <v>5741.1975000000002</v>
      </c>
      <c r="AC70" s="122">
        <f>IFERROR(AB70/AB148, "NA")</f>
        <v>0.20900591183155384</v>
      </c>
      <c r="AD70" s="123">
        <f t="shared" si="25"/>
        <v>146.58250000000044</v>
      </c>
      <c r="AE70" s="124">
        <f>IFERROR(AD70/AD148, "NA")</f>
        <v>2.029449217734609E-2</v>
      </c>
      <c r="AF70" s="123">
        <f t="shared" si="26"/>
        <v>2.5531694389541629E-2</v>
      </c>
      <c r="AG70" s="121">
        <f t="shared" si="27"/>
        <v>6204.0574999999999</v>
      </c>
      <c r="AH70" s="122">
        <f>IFERROR(AG70/AG148, "NA")</f>
        <v>0.23310036819391111</v>
      </c>
      <c r="AI70" s="123">
        <f t="shared" si="28"/>
        <v>-316.27749999999924</v>
      </c>
      <c r="AJ70" s="124">
        <f>IFERROR(AI70/AI148, "NA")</f>
        <v>-3.9160466411676219E-2</v>
      </c>
      <c r="AK70" s="123">
        <f t="shared" si="29"/>
        <v>-5.0979137443519701E-2</v>
      </c>
      <c r="AL70" s="124">
        <f>IFERROR(AK70/AK148, "NA")</f>
        <v>-0.16799830354235856</v>
      </c>
    </row>
    <row r="71" spans="1:38" ht="16.5" hidden="1" customHeight="1" x14ac:dyDescent="0.25">
      <c r="A71" s="5" t="s">
        <v>74</v>
      </c>
      <c r="B71" s="115">
        <v>0</v>
      </c>
      <c r="C71" s="116">
        <f>IFERROR(B71/B148, "NA")</f>
        <v>0</v>
      </c>
      <c r="D71" s="115">
        <v>0</v>
      </c>
      <c r="E71" s="116">
        <f>IFERROR(D71/D148, "NA")</f>
        <v>0</v>
      </c>
      <c r="F71" s="115">
        <v>0</v>
      </c>
      <c r="G71" s="116">
        <f>IFERROR(F71/F148, "NA")</f>
        <v>0</v>
      </c>
      <c r="H71" s="115">
        <v>0</v>
      </c>
      <c r="I71" s="116">
        <f>IFERROR(H71/H148, "NA")</f>
        <v>0</v>
      </c>
      <c r="J71" s="115">
        <v>0</v>
      </c>
      <c r="K71" s="116">
        <f>IFERROR(J71/J148, "NA")</f>
        <v>0</v>
      </c>
      <c r="L71" s="115">
        <v>0</v>
      </c>
      <c r="M71" s="116">
        <f>IFERROR(L71/L148, "NA")</f>
        <v>0</v>
      </c>
      <c r="N71" s="115">
        <v>0</v>
      </c>
      <c r="O71" s="116">
        <f>IFERROR(N71/N148, "NA")</f>
        <v>0</v>
      </c>
      <c r="P71" s="115">
        <v>0</v>
      </c>
      <c r="Q71" s="116">
        <f>IFERROR(P71/P148, "NA")</f>
        <v>0</v>
      </c>
      <c r="R71" s="115">
        <v>0</v>
      </c>
      <c r="S71" s="116">
        <f>IFERROR(R71/R148, "NA")</f>
        <v>0</v>
      </c>
      <c r="T71" s="115">
        <v>0</v>
      </c>
      <c r="U71" s="116">
        <f>IFERROR(T71/T148, "NA")</f>
        <v>0</v>
      </c>
      <c r="V71" s="115">
        <v>0</v>
      </c>
      <c r="W71" s="116">
        <f>IFERROR(V71/V148, "NA")</f>
        <v>0</v>
      </c>
      <c r="X71" s="115">
        <v>0</v>
      </c>
      <c r="Y71" s="116">
        <f>IFERROR(X71/X148, "NA")</f>
        <v>0</v>
      </c>
      <c r="Z71" s="115">
        <v>0</v>
      </c>
      <c r="AA71" s="116">
        <f>IFERROR(Z71/Z148, "NA")</f>
        <v>0</v>
      </c>
      <c r="AB71" s="117">
        <f t="shared" si="24"/>
        <v>0</v>
      </c>
      <c r="AC71" s="116">
        <f>IFERROR(AB71/AB148, "NA")</f>
        <v>0</v>
      </c>
      <c r="AD71" s="118">
        <f t="shared" si="25"/>
        <v>0</v>
      </c>
      <c r="AE71" s="119">
        <f>IFERROR(AD71/AD148, "NA")</f>
        <v>0</v>
      </c>
      <c r="AF71" s="118" t="str">
        <f t="shared" si="26"/>
        <v>NA</v>
      </c>
      <c r="AG71" s="117">
        <f t="shared" si="27"/>
        <v>0</v>
      </c>
      <c r="AH71" s="116">
        <f>IFERROR(AG71/AG148, "NA")</f>
        <v>0</v>
      </c>
      <c r="AI71" s="118">
        <f t="shared" si="28"/>
        <v>0</v>
      </c>
      <c r="AJ71" s="119">
        <f>IFERROR(AI71/AI148, "NA")</f>
        <v>0</v>
      </c>
      <c r="AK71" s="118" t="str">
        <f t="shared" si="29"/>
        <v>NA</v>
      </c>
      <c r="AL71" s="119" t="str">
        <f>IFERROR(AK71/AK148, "NA")</f>
        <v>NA</v>
      </c>
    </row>
    <row r="72" spans="1:38" ht="16.5" customHeight="1" x14ac:dyDescent="0.25">
      <c r="A72" s="5" t="s">
        <v>75</v>
      </c>
      <c r="B72" s="115">
        <v>-875</v>
      </c>
      <c r="C72" s="116">
        <f>IFERROR(B72/B148, "NA")</f>
        <v>-3.0319011440835656E-2</v>
      </c>
      <c r="D72" s="115">
        <v>0</v>
      </c>
      <c r="E72" s="116">
        <f>IFERROR(D72/D148, "NA")</f>
        <v>0</v>
      </c>
      <c r="F72" s="115">
        <v>0</v>
      </c>
      <c r="G72" s="116">
        <f>IFERROR(F72/F148, "NA")</f>
        <v>0</v>
      </c>
      <c r="H72" s="115">
        <v>0</v>
      </c>
      <c r="I72" s="116">
        <f>IFERROR(H72/H148, "NA")</f>
        <v>0</v>
      </c>
      <c r="J72" s="115">
        <v>350</v>
      </c>
      <c r="K72" s="116">
        <f>IFERROR(J72/J148, "NA")</f>
        <v>1.2223436028822164E-2</v>
      </c>
      <c r="L72" s="115">
        <v>0</v>
      </c>
      <c r="M72" s="116">
        <f>IFERROR(L72/L148, "NA")</f>
        <v>0</v>
      </c>
      <c r="N72" s="115">
        <v>0</v>
      </c>
      <c r="O72" s="116">
        <f>IFERROR(N72/N148, "NA")</f>
        <v>0</v>
      </c>
      <c r="P72" s="115">
        <v>0</v>
      </c>
      <c r="Q72" s="116">
        <f>IFERROR(P72/P148, "NA")</f>
        <v>0</v>
      </c>
      <c r="R72" s="115">
        <v>0</v>
      </c>
      <c r="S72" s="116">
        <f>IFERROR(R72/R148, "NA")</f>
        <v>0</v>
      </c>
      <c r="T72" s="115">
        <v>525</v>
      </c>
      <c r="U72" s="116">
        <f>IFERROR(T72/T148, "NA")</f>
        <v>1.9689956322051175E-2</v>
      </c>
      <c r="V72" s="115">
        <v>0</v>
      </c>
      <c r="W72" s="116">
        <f>IFERROR(V72/V148, "NA")</f>
        <v>0</v>
      </c>
      <c r="X72" s="115">
        <v>0</v>
      </c>
      <c r="Y72" s="116">
        <f>IFERROR(X72/X148, "NA")</f>
        <v>0</v>
      </c>
      <c r="Z72" s="115">
        <v>0</v>
      </c>
      <c r="AA72" s="116">
        <f>IFERROR(Z72/Z148, "NA")</f>
        <v>0</v>
      </c>
      <c r="AB72" s="117">
        <f t="shared" si="24"/>
        <v>131.25</v>
      </c>
      <c r="AC72" s="116">
        <f>IFERROR(AB72/AB148, "NA")</f>
        <v>4.7781017684710271E-3</v>
      </c>
      <c r="AD72" s="118">
        <f t="shared" si="25"/>
        <v>-131.25</v>
      </c>
      <c r="AE72" s="119">
        <f>IFERROR(AD72/AD148, "NA")</f>
        <v>-1.8171692379899827E-2</v>
      </c>
      <c r="AF72" s="118">
        <f t="shared" si="26"/>
        <v>-1</v>
      </c>
      <c r="AG72" s="117">
        <f t="shared" si="27"/>
        <v>109.375</v>
      </c>
      <c r="AH72" s="116">
        <f>IFERROR(AG72/AG148, "NA")</f>
        <v>4.1094642935222674E-3</v>
      </c>
      <c r="AI72" s="118">
        <f t="shared" si="28"/>
        <v>-109.375</v>
      </c>
      <c r="AJ72" s="119">
        <f>IFERROR(AI72/AI148, "NA")</f>
        <v>-1.3542461963867479E-2</v>
      </c>
      <c r="AK72" s="118">
        <f t="shared" si="29"/>
        <v>-1</v>
      </c>
      <c r="AL72" s="119">
        <f>IFERROR(AK72/AK148, "NA")</f>
        <v>-3.2954324448601269</v>
      </c>
    </row>
    <row r="73" spans="1:38" ht="16.5" customHeight="1" x14ac:dyDescent="0.25">
      <c r="A73" s="6" t="s">
        <v>76</v>
      </c>
      <c r="B73" s="111"/>
      <c r="C73" s="112"/>
      <c r="D73" s="111"/>
      <c r="E73" s="112"/>
      <c r="F73" s="111"/>
      <c r="G73" s="112"/>
      <c r="H73" s="111"/>
      <c r="I73" s="112"/>
      <c r="J73" s="111"/>
      <c r="K73" s="112"/>
      <c r="L73" s="111"/>
      <c r="M73" s="112"/>
      <c r="N73" s="111"/>
      <c r="O73" s="112"/>
      <c r="P73" s="111"/>
      <c r="Q73" s="112"/>
      <c r="R73" s="111"/>
      <c r="S73" s="112"/>
      <c r="T73" s="111"/>
      <c r="U73" s="112"/>
      <c r="V73" s="111"/>
      <c r="W73" s="112"/>
      <c r="X73" s="111"/>
      <c r="Y73" s="112"/>
      <c r="Z73" s="111"/>
      <c r="AA73" s="112"/>
      <c r="AB73" s="111"/>
      <c r="AC73" s="112"/>
      <c r="AD73" s="113"/>
      <c r="AE73" s="114"/>
      <c r="AF73" s="113"/>
      <c r="AG73" s="111"/>
      <c r="AH73" s="112"/>
      <c r="AI73" s="113"/>
      <c r="AJ73" s="114"/>
      <c r="AK73" s="113"/>
      <c r="AL73" s="114"/>
    </row>
    <row r="74" spans="1:38" ht="16.5" customHeight="1" x14ac:dyDescent="0.25">
      <c r="A74" s="7" t="s">
        <v>77</v>
      </c>
      <c r="B74" s="115">
        <v>536.89</v>
      </c>
      <c r="C74" s="116">
        <f>IFERROR(B74/B148, "NA")</f>
        <v>1.8603398917108861E-2</v>
      </c>
      <c r="D74" s="115">
        <v>566.77</v>
      </c>
      <c r="E74" s="116">
        <f>IFERROR(D74/D148, "NA")</f>
        <v>2.190076050049828E-2</v>
      </c>
      <c r="F74" s="115">
        <v>539.84</v>
      </c>
      <c r="G74" s="116">
        <f>IFERROR(F74/F148, "NA")</f>
        <v>2.1008120488482388E-2</v>
      </c>
      <c r="H74" s="115">
        <v>522.09</v>
      </c>
      <c r="I74" s="116">
        <f>IFERROR(H74/H148, "NA")</f>
        <v>2.0747257323771105E-2</v>
      </c>
      <c r="J74" s="115">
        <v>557.29</v>
      </c>
      <c r="K74" s="116">
        <f>IFERROR(J74/J148, "NA")</f>
        <v>1.9462853327149438E-2</v>
      </c>
      <c r="L74" s="115">
        <v>652.52</v>
      </c>
      <c r="M74" s="116">
        <f>IFERROR(L74/L148, "NA")</f>
        <v>2.3253178549716088E-2</v>
      </c>
      <c r="N74" s="115">
        <v>564.16</v>
      </c>
      <c r="O74" s="116">
        <f>IFERROR(N74/N148, "NA")</f>
        <v>2.1915492344960787E-2</v>
      </c>
      <c r="P74" s="115">
        <v>577.20000000000005</v>
      </c>
      <c r="Q74" s="116">
        <f>IFERROR(P74/P148, "NA")</f>
        <v>2.8006800819824859E-2</v>
      </c>
      <c r="R74" s="115">
        <v>464.37</v>
      </c>
      <c r="S74" s="116">
        <f>IFERROR(R74/R148, "NA")</f>
        <v>1.8936957958787026E-2</v>
      </c>
      <c r="T74" s="115">
        <v>513.91999999999996</v>
      </c>
      <c r="U74" s="116">
        <f>IFERROR(T74/T148, "NA")</f>
        <v>1.9274404481959124E-2</v>
      </c>
      <c r="V74" s="115">
        <v>494.2</v>
      </c>
      <c r="W74" s="116">
        <f>IFERROR(V74/V148, "NA")</f>
        <v>2.0592353078435946E-2</v>
      </c>
      <c r="X74" s="115">
        <v>517.99</v>
      </c>
      <c r="Y74" s="116">
        <f>IFERROR(X74/X148, "NA")</f>
        <v>1.4931176899236249E-2</v>
      </c>
      <c r="Z74" s="115">
        <v>1012.19</v>
      </c>
      <c r="AA74" s="116">
        <f>IFERROR(Z74/Z148, "NA")</f>
        <v>1.7246073676663424E-2</v>
      </c>
      <c r="AB74" s="117">
        <f t="shared" ref="AB74:AB85" si="30">IFERROR((R74+T74+V74+X74)/4, "NA")</f>
        <v>497.62</v>
      </c>
      <c r="AC74" s="116">
        <f>IFERROR(AB74/AB148, "NA")</f>
        <v>1.8115649539249924E-2</v>
      </c>
      <c r="AD74" s="118">
        <f t="shared" ref="AD74:AD85" si="31">IFERROR(X74-AB74, "NA")</f>
        <v>20.370000000000005</v>
      </c>
      <c r="AE74" s="119">
        <f>IFERROR(AD74/AD148, "NA")</f>
        <v>2.8202466573604536E-3</v>
      </c>
      <c r="AF74" s="118">
        <f t="shared" ref="AF74:AF85" si="32">IFERROR((X74-AB74)/AB74, "NA")</f>
        <v>4.0934849885454774E-2</v>
      </c>
      <c r="AG74" s="117">
        <f t="shared" ref="AG74:AG85" si="33">IFERROR((J74+L74+N74+P74+R74+T74+V74+X74)/8, "NA")</f>
        <v>542.70624999999995</v>
      </c>
      <c r="AH74" s="116">
        <f>IFERROR(AG74/AG148, "NA")</f>
        <v>2.0390692171395376E-2</v>
      </c>
      <c r="AI74" s="118">
        <f t="shared" ref="AI74:AI85" si="34">IFERROR(X74-AG74, "NA")</f>
        <v>-24.716249999999945</v>
      </c>
      <c r="AJ74" s="119">
        <f>IFERROR(AI74/AI148, "NA")</f>
        <v>-3.0602868618462981E-3</v>
      </c>
      <c r="AK74" s="118">
        <f t="shared" ref="AK74:AK85" si="35">IFERROR((X74-AG74)/AG74, "NA")</f>
        <v>-4.5542593253716811E-2</v>
      </c>
      <c r="AL74" s="119">
        <f>IFERROR(AK74/AK148, "NA")</f>
        <v>-0.15008253943136632</v>
      </c>
    </row>
    <row r="75" spans="1:38" ht="16.5" hidden="1" customHeight="1" x14ac:dyDescent="0.25">
      <c r="A75" s="7" t="s">
        <v>78</v>
      </c>
      <c r="B75" s="115">
        <v>0</v>
      </c>
      <c r="C75" s="116">
        <f>IFERROR(B75/B148, "NA")</f>
        <v>0</v>
      </c>
      <c r="D75" s="115">
        <v>0</v>
      </c>
      <c r="E75" s="116">
        <f>IFERROR(D75/D148, "NA")</f>
        <v>0</v>
      </c>
      <c r="F75" s="115">
        <v>0</v>
      </c>
      <c r="G75" s="116">
        <f>IFERROR(F75/F148, "NA")</f>
        <v>0</v>
      </c>
      <c r="H75" s="115">
        <v>0</v>
      </c>
      <c r="I75" s="116">
        <f>IFERROR(H75/H148, "NA")</f>
        <v>0</v>
      </c>
      <c r="J75" s="115">
        <v>0</v>
      </c>
      <c r="K75" s="116">
        <f>IFERROR(J75/J148, "NA")</f>
        <v>0</v>
      </c>
      <c r="L75" s="115">
        <v>0</v>
      </c>
      <c r="M75" s="116">
        <f>IFERROR(L75/L148, "NA")</f>
        <v>0</v>
      </c>
      <c r="N75" s="115">
        <v>0</v>
      </c>
      <c r="O75" s="116">
        <f>IFERROR(N75/N148, "NA")</f>
        <v>0</v>
      </c>
      <c r="P75" s="115">
        <v>0</v>
      </c>
      <c r="Q75" s="116">
        <f>IFERROR(P75/P148, "NA")</f>
        <v>0</v>
      </c>
      <c r="R75" s="115">
        <v>0</v>
      </c>
      <c r="S75" s="116">
        <f>IFERROR(R75/R148, "NA")</f>
        <v>0</v>
      </c>
      <c r="T75" s="115">
        <v>0</v>
      </c>
      <c r="U75" s="116">
        <f>IFERROR(T75/T148, "NA")</f>
        <v>0</v>
      </c>
      <c r="V75" s="115">
        <v>0</v>
      </c>
      <c r="W75" s="116">
        <f>IFERROR(V75/V148, "NA")</f>
        <v>0</v>
      </c>
      <c r="X75" s="115">
        <v>0</v>
      </c>
      <c r="Y75" s="116">
        <f>IFERROR(X75/X148, "NA")</f>
        <v>0</v>
      </c>
      <c r="Z75" s="115">
        <v>0</v>
      </c>
      <c r="AA75" s="116">
        <f>IFERROR(Z75/Z148, "NA")</f>
        <v>0</v>
      </c>
      <c r="AB75" s="117">
        <f t="shared" si="30"/>
        <v>0</v>
      </c>
      <c r="AC75" s="116">
        <f>IFERROR(AB75/AB148, "NA")</f>
        <v>0</v>
      </c>
      <c r="AD75" s="118">
        <f t="shared" si="31"/>
        <v>0</v>
      </c>
      <c r="AE75" s="119">
        <f>IFERROR(AD75/AD148, "NA")</f>
        <v>0</v>
      </c>
      <c r="AF75" s="118" t="str">
        <f t="shared" si="32"/>
        <v>NA</v>
      </c>
      <c r="AG75" s="117">
        <f t="shared" si="33"/>
        <v>0</v>
      </c>
      <c r="AH75" s="116">
        <f>IFERROR(AG75/AG148, "NA")</f>
        <v>0</v>
      </c>
      <c r="AI75" s="118">
        <f t="shared" si="34"/>
        <v>0</v>
      </c>
      <c r="AJ75" s="119">
        <f>IFERROR(AI75/AI148, "NA")</f>
        <v>0</v>
      </c>
      <c r="AK75" s="118" t="str">
        <f t="shared" si="35"/>
        <v>NA</v>
      </c>
      <c r="AL75" s="119" t="str">
        <f>IFERROR(AK75/AK148, "NA")</f>
        <v>NA</v>
      </c>
    </row>
    <row r="76" spans="1:38" ht="16.5" hidden="1" customHeight="1" x14ac:dyDescent="0.25">
      <c r="A76" s="7" t="s">
        <v>79</v>
      </c>
      <c r="B76" s="115">
        <v>0</v>
      </c>
      <c r="C76" s="116">
        <f>IFERROR(B76/B148, "NA")</f>
        <v>0</v>
      </c>
      <c r="D76" s="115">
        <v>0</v>
      </c>
      <c r="E76" s="116">
        <f>IFERROR(D76/D148, "NA")</f>
        <v>0</v>
      </c>
      <c r="F76" s="115">
        <v>0</v>
      </c>
      <c r="G76" s="116">
        <f>IFERROR(F76/F148, "NA")</f>
        <v>0</v>
      </c>
      <c r="H76" s="115">
        <v>0</v>
      </c>
      <c r="I76" s="116">
        <f>IFERROR(H76/H148, "NA")</f>
        <v>0</v>
      </c>
      <c r="J76" s="115">
        <v>0</v>
      </c>
      <c r="K76" s="116">
        <f>IFERROR(J76/J148, "NA")</f>
        <v>0</v>
      </c>
      <c r="L76" s="115">
        <v>0</v>
      </c>
      <c r="M76" s="116">
        <f>IFERROR(L76/L148, "NA")</f>
        <v>0</v>
      </c>
      <c r="N76" s="115">
        <v>0</v>
      </c>
      <c r="O76" s="116">
        <f>IFERROR(N76/N148, "NA")</f>
        <v>0</v>
      </c>
      <c r="P76" s="115">
        <v>0</v>
      </c>
      <c r="Q76" s="116">
        <f>IFERROR(P76/P148, "NA")</f>
        <v>0</v>
      </c>
      <c r="R76" s="115">
        <v>0</v>
      </c>
      <c r="S76" s="116">
        <f>IFERROR(R76/R148, "NA")</f>
        <v>0</v>
      </c>
      <c r="T76" s="115">
        <v>0</v>
      </c>
      <c r="U76" s="116">
        <f>IFERROR(T76/T148, "NA")</f>
        <v>0</v>
      </c>
      <c r="V76" s="115">
        <v>0</v>
      </c>
      <c r="W76" s="116">
        <f>IFERROR(V76/V148, "NA")</f>
        <v>0</v>
      </c>
      <c r="X76" s="115">
        <v>0</v>
      </c>
      <c r="Y76" s="116">
        <f>IFERROR(X76/X148, "NA")</f>
        <v>0</v>
      </c>
      <c r="Z76" s="115">
        <v>0</v>
      </c>
      <c r="AA76" s="116">
        <f>IFERROR(Z76/Z148, "NA")</f>
        <v>0</v>
      </c>
      <c r="AB76" s="117">
        <f t="shared" si="30"/>
        <v>0</v>
      </c>
      <c r="AC76" s="116">
        <f>IFERROR(AB76/AB148, "NA")</f>
        <v>0</v>
      </c>
      <c r="AD76" s="118">
        <f t="shared" si="31"/>
        <v>0</v>
      </c>
      <c r="AE76" s="119">
        <f>IFERROR(AD76/AD148, "NA")</f>
        <v>0</v>
      </c>
      <c r="AF76" s="118" t="str">
        <f t="shared" si="32"/>
        <v>NA</v>
      </c>
      <c r="AG76" s="117">
        <f t="shared" si="33"/>
        <v>0</v>
      </c>
      <c r="AH76" s="116">
        <f>IFERROR(AG76/AG148, "NA")</f>
        <v>0</v>
      </c>
      <c r="AI76" s="118">
        <f t="shared" si="34"/>
        <v>0</v>
      </c>
      <c r="AJ76" s="119">
        <f>IFERROR(AI76/AI148, "NA")</f>
        <v>0</v>
      </c>
      <c r="AK76" s="118" t="str">
        <f t="shared" si="35"/>
        <v>NA</v>
      </c>
      <c r="AL76" s="119" t="str">
        <f>IFERROR(AK76/AK148, "NA")</f>
        <v>NA</v>
      </c>
    </row>
    <row r="77" spans="1:38" ht="16.5" hidden="1" customHeight="1" x14ac:dyDescent="0.25">
      <c r="A77" s="7" t="s">
        <v>80</v>
      </c>
      <c r="B77" s="115">
        <v>0</v>
      </c>
      <c r="C77" s="116">
        <f>IFERROR(B77/B148, "NA")</f>
        <v>0</v>
      </c>
      <c r="D77" s="115">
        <v>0</v>
      </c>
      <c r="E77" s="116">
        <f>IFERROR(D77/D148, "NA")</f>
        <v>0</v>
      </c>
      <c r="F77" s="115">
        <v>0</v>
      </c>
      <c r="G77" s="116">
        <f>IFERROR(F77/F148, "NA")</f>
        <v>0</v>
      </c>
      <c r="H77" s="115">
        <v>0</v>
      </c>
      <c r="I77" s="116">
        <f>IFERROR(H77/H148, "NA")</f>
        <v>0</v>
      </c>
      <c r="J77" s="115">
        <v>0</v>
      </c>
      <c r="K77" s="116">
        <f>IFERROR(J77/J148, "NA")</f>
        <v>0</v>
      </c>
      <c r="L77" s="115">
        <v>0</v>
      </c>
      <c r="M77" s="116">
        <f>IFERROR(L77/L148, "NA")</f>
        <v>0</v>
      </c>
      <c r="N77" s="115">
        <v>0</v>
      </c>
      <c r="O77" s="116">
        <f>IFERROR(N77/N148, "NA")</f>
        <v>0</v>
      </c>
      <c r="P77" s="115">
        <v>0</v>
      </c>
      <c r="Q77" s="116">
        <f>IFERROR(P77/P148, "NA")</f>
        <v>0</v>
      </c>
      <c r="R77" s="115">
        <v>0</v>
      </c>
      <c r="S77" s="116">
        <f>IFERROR(R77/R148, "NA")</f>
        <v>0</v>
      </c>
      <c r="T77" s="115">
        <v>0</v>
      </c>
      <c r="U77" s="116">
        <f>IFERROR(T77/T148, "NA")</f>
        <v>0</v>
      </c>
      <c r="V77" s="115">
        <v>0</v>
      </c>
      <c r="W77" s="116">
        <f>IFERROR(V77/V148, "NA")</f>
        <v>0</v>
      </c>
      <c r="X77" s="115">
        <v>0</v>
      </c>
      <c r="Y77" s="116">
        <f>IFERROR(X77/X148, "NA")</f>
        <v>0</v>
      </c>
      <c r="Z77" s="115">
        <v>0</v>
      </c>
      <c r="AA77" s="116">
        <f>IFERROR(Z77/Z148, "NA")</f>
        <v>0</v>
      </c>
      <c r="AB77" s="117">
        <f t="shared" si="30"/>
        <v>0</v>
      </c>
      <c r="AC77" s="116">
        <f>IFERROR(AB77/AB148, "NA")</f>
        <v>0</v>
      </c>
      <c r="AD77" s="118">
        <f t="shared" si="31"/>
        <v>0</v>
      </c>
      <c r="AE77" s="119">
        <f>IFERROR(AD77/AD148, "NA")</f>
        <v>0</v>
      </c>
      <c r="AF77" s="118" t="str">
        <f t="shared" si="32"/>
        <v>NA</v>
      </c>
      <c r="AG77" s="117">
        <f t="shared" si="33"/>
        <v>0</v>
      </c>
      <c r="AH77" s="116">
        <f>IFERROR(AG77/AG148, "NA")</f>
        <v>0</v>
      </c>
      <c r="AI77" s="118">
        <f t="shared" si="34"/>
        <v>0</v>
      </c>
      <c r="AJ77" s="119">
        <f>IFERROR(AI77/AI148, "NA")</f>
        <v>0</v>
      </c>
      <c r="AK77" s="118" t="str">
        <f t="shared" si="35"/>
        <v>NA</v>
      </c>
      <c r="AL77" s="119" t="str">
        <f>IFERROR(AK77/AK148, "NA")</f>
        <v>NA</v>
      </c>
    </row>
    <row r="78" spans="1:38" ht="16.5" hidden="1" customHeight="1" x14ac:dyDescent="0.25">
      <c r="A78" s="7" t="s">
        <v>81</v>
      </c>
      <c r="B78" s="115">
        <v>0</v>
      </c>
      <c r="C78" s="116">
        <f>IFERROR(B78/B148, "NA")</f>
        <v>0</v>
      </c>
      <c r="D78" s="115">
        <v>0</v>
      </c>
      <c r="E78" s="116">
        <f>IFERROR(D78/D148, "NA")</f>
        <v>0</v>
      </c>
      <c r="F78" s="115">
        <v>0</v>
      </c>
      <c r="G78" s="116">
        <f>IFERROR(F78/F148, "NA")</f>
        <v>0</v>
      </c>
      <c r="H78" s="115">
        <v>0</v>
      </c>
      <c r="I78" s="116">
        <f>IFERROR(H78/H148, "NA")</f>
        <v>0</v>
      </c>
      <c r="J78" s="115">
        <v>0</v>
      </c>
      <c r="K78" s="116">
        <f>IFERROR(J78/J148, "NA")</f>
        <v>0</v>
      </c>
      <c r="L78" s="115">
        <v>0</v>
      </c>
      <c r="M78" s="116">
        <f>IFERROR(L78/L148, "NA")</f>
        <v>0</v>
      </c>
      <c r="N78" s="115">
        <v>0</v>
      </c>
      <c r="O78" s="116">
        <f>IFERROR(N78/N148, "NA")</f>
        <v>0</v>
      </c>
      <c r="P78" s="115">
        <v>0</v>
      </c>
      <c r="Q78" s="116">
        <f>IFERROR(P78/P148, "NA")</f>
        <v>0</v>
      </c>
      <c r="R78" s="115">
        <v>0</v>
      </c>
      <c r="S78" s="116">
        <f>IFERROR(R78/R148, "NA")</f>
        <v>0</v>
      </c>
      <c r="T78" s="115">
        <v>0</v>
      </c>
      <c r="U78" s="116">
        <f>IFERROR(T78/T148, "NA")</f>
        <v>0</v>
      </c>
      <c r="V78" s="115">
        <v>0</v>
      </c>
      <c r="W78" s="116">
        <f>IFERROR(V78/V148, "NA")</f>
        <v>0</v>
      </c>
      <c r="X78" s="115">
        <v>0</v>
      </c>
      <c r="Y78" s="116">
        <f>IFERROR(X78/X148, "NA")</f>
        <v>0</v>
      </c>
      <c r="Z78" s="115">
        <v>0</v>
      </c>
      <c r="AA78" s="116">
        <f>IFERROR(Z78/Z148, "NA")</f>
        <v>0</v>
      </c>
      <c r="AB78" s="117">
        <f t="shared" si="30"/>
        <v>0</v>
      </c>
      <c r="AC78" s="116">
        <f>IFERROR(AB78/AB148, "NA")</f>
        <v>0</v>
      </c>
      <c r="AD78" s="118">
        <f t="shared" si="31"/>
        <v>0</v>
      </c>
      <c r="AE78" s="119">
        <f>IFERROR(AD78/AD148, "NA")</f>
        <v>0</v>
      </c>
      <c r="AF78" s="118" t="str">
        <f t="shared" si="32"/>
        <v>NA</v>
      </c>
      <c r="AG78" s="117">
        <f t="shared" si="33"/>
        <v>0</v>
      </c>
      <c r="AH78" s="116">
        <f>IFERROR(AG78/AG148, "NA")</f>
        <v>0</v>
      </c>
      <c r="AI78" s="118">
        <f t="shared" si="34"/>
        <v>0</v>
      </c>
      <c r="AJ78" s="119">
        <f>IFERROR(AI78/AI148, "NA")</f>
        <v>0</v>
      </c>
      <c r="AK78" s="118" t="str">
        <f t="shared" si="35"/>
        <v>NA</v>
      </c>
      <c r="AL78" s="119" t="str">
        <f>IFERROR(AK78/AK148, "NA")</f>
        <v>NA</v>
      </c>
    </row>
    <row r="79" spans="1:38" ht="16.5" hidden="1" customHeight="1" x14ac:dyDescent="0.25">
      <c r="A79" s="7" t="s">
        <v>82</v>
      </c>
      <c r="B79" s="115">
        <v>0</v>
      </c>
      <c r="C79" s="116">
        <f>IFERROR(B79/B148, "NA")</f>
        <v>0</v>
      </c>
      <c r="D79" s="115">
        <v>0</v>
      </c>
      <c r="E79" s="116">
        <f>IFERROR(D79/D148, "NA")</f>
        <v>0</v>
      </c>
      <c r="F79" s="115">
        <v>0</v>
      </c>
      <c r="G79" s="116">
        <f>IFERROR(F79/F148, "NA")</f>
        <v>0</v>
      </c>
      <c r="H79" s="115">
        <v>0</v>
      </c>
      <c r="I79" s="116">
        <f>IFERROR(H79/H148, "NA")</f>
        <v>0</v>
      </c>
      <c r="J79" s="115">
        <v>0</v>
      </c>
      <c r="K79" s="116">
        <f>IFERROR(J79/J148, "NA")</f>
        <v>0</v>
      </c>
      <c r="L79" s="115">
        <v>0</v>
      </c>
      <c r="M79" s="116">
        <f>IFERROR(L79/L148, "NA")</f>
        <v>0</v>
      </c>
      <c r="N79" s="115">
        <v>0</v>
      </c>
      <c r="O79" s="116">
        <f>IFERROR(N79/N148, "NA")</f>
        <v>0</v>
      </c>
      <c r="P79" s="115">
        <v>0</v>
      </c>
      <c r="Q79" s="116">
        <f>IFERROR(P79/P148, "NA")</f>
        <v>0</v>
      </c>
      <c r="R79" s="115">
        <v>0</v>
      </c>
      <c r="S79" s="116">
        <f>IFERROR(R79/R148, "NA")</f>
        <v>0</v>
      </c>
      <c r="T79" s="115">
        <v>0</v>
      </c>
      <c r="U79" s="116">
        <f>IFERROR(T79/T148, "NA")</f>
        <v>0</v>
      </c>
      <c r="V79" s="115">
        <v>0</v>
      </c>
      <c r="W79" s="116">
        <f>IFERROR(V79/V148, "NA")</f>
        <v>0</v>
      </c>
      <c r="X79" s="115">
        <v>0</v>
      </c>
      <c r="Y79" s="116">
        <f>IFERROR(X79/X148, "NA")</f>
        <v>0</v>
      </c>
      <c r="Z79" s="115">
        <v>0</v>
      </c>
      <c r="AA79" s="116">
        <f>IFERROR(Z79/Z148, "NA")</f>
        <v>0</v>
      </c>
      <c r="AB79" s="117">
        <f t="shared" si="30"/>
        <v>0</v>
      </c>
      <c r="AC79" s="116">
        <f>IFERROR(AB79/AB148, "NA")</f>
        <v>0</v>
      </c>
      <c r="AD79" s="118">
        <f t="shared" si="31"/>
        <v>0</v>
      </c>
      <c r="AE79" s="119">
        <f>IFERROR(AD79/AD148, "NA")</f>
        <v>0</v>
      </c>
      <c r="AF79" s="118" t="str">
        <f t="shared" si="32"/>
        <v>NA</v>
      </c>
      <c r="AG79" s="117">
        <f t="shared" si="33"/>
        <v>0</v>
      </c>
      <c r="AH79" s="116">
        <f>IFERROR(AG79/AG148, "NA")</f>
        <v>0</v>
      </c>
      <c r="AI79" s="118">
        <f t="shared" si="34"/>
        <v>0</v>
      </c>
      <c r="AJ79" s="119">
        <f>IFERROR(AI79/AI148, "NA")</f>
        <v>0</v>
      </c>
      <c r="AK79" s="118" t="str">
        <f t="shared" si="35"/>
        <v>NA</v>
      </c>
      <c r="AL79" s="119" t="str">
        <f>IFERROR(AK79/AK148, "NA")</f>
        <v>NA</v>
      </c>
    </row>
    <row r="80" spans="1:38" ht="16.5" hidden="1" customHeight="1" x14ac:dyDescent="0.25">
      <c r="A80" s="7" t="s">
        <v>83</v>
      </c>
      <c r="B80" s="115">
        <v>0</v>
      </c>
      <c r="C80" s="116">
        <f>IFERROR(B80/B148, "NA")</f>
        <v>0</v>
      </c>
      <c r="D80" s="115">
        <v>0</v>
      </c>
      <c r="E80" s="116">
        <f>IFERROR(D80/D148, "NA")</f>
        <v>0</v>
      </c>
      <c r="F80" s="115">
        <v>0</v>
      </c>
      <c r="G80" s="116">
        <f>IFERROR(F80/F148, "NA")</f>
        <v>0</v>
      </c>
      <c r="H80" s="115">
        <v>0</v>
      </c>
      <c r="I80" s="116">
        <f>IFERROR(H80/H148, "NA")</f>
        <v>0</v>
      </c>
      <c r="J80" s="115">
        <v>0</v>
      </c>
      <c r="K80" s="116">
        <f>IFERROR(J80/J148, "NA")</f>
        <v>0</v>
      </c>
      <c r="L80" s="115">
        <v>0</v>
      </c>
      <c r="M80" s="116">
        <f>IFERROR(L80/L148, "NA")</f>
        <v>0</v>
      </c>
      <c r="N80" s="115">
        <v>0</v>
      </c>
      <c r="O80" s="116">
        <f>IFERROR(N80/N148, "NA")</f>
        <v>0</v>
      </c>
      <c r="P80" s="115">
        <v>0</v>
      </c>
      <c r="Q80" s="116">
        <f>IFERROR(P80/P148, "NA")</f>
        <v>0</v>
      </c>
      <c r="R80" s="115">
        <v>0</v>
      </c>
      <c r="S80" s="116">
        <f>IFERROR(R80/R148, "NA")</f>
        <v>0</v>
      </c>
      <c r="T80" s="115">
        <v>0</v>
      </c>
      <c r="U80" s="116">
        <f>IFERROR(T80/T148, "NA")</f>
        <v>0</v>
      </c>
      <c r="V80" s="115">
        <v>0</v>
      </c>
      <c r="W80" s="116">
        <f>IFERROR(V80/V148, "NA")</f>
        <v>0</v>
      </c>
      <c r="X80" s="115">
        <v>0</v>
      </c>
      <c r="Y80" s="116">
        <f>IFERROR(X80/X148, "NA")</f>
        <v>0</v>
      </c>
      <c r="Z80" s="115">
        <v>0</v>
      </c>
      <c r="AA80" s="116">
        <f>IFERROR(Z80/Z148, "NA")</f>
        <v>0</v>
      </c>
      <c r="AB80" s="117">
        <f t="shared" si="30"/>
        <v>0</v>
      </c>
      <c r="AC80" s="116">
        <f>IFERROR(AB80/AB148, "NA")</f>
        <v>0</v>
      </c>
      <c r="AD80" s="118">
        <f t="shared" si="31"/>
        <v>0</v>
      </c>
      <c r="AE80" s="119">
        <f>IFERROR(AD80/AD148, "NA")</f>
        <v>0</v>
      </c>
      <c r="AF80" s="118" t="str">
        <f t="shared" si="32"/>
        <v>NA</v>
      </c>
      <c r="AG80" s="117">
        <f t="shared" si="33"/>
        <v>0</v>
      </c>
      <c r="AH80" s="116">
        <f>IFERROR(AG80/AG148, "NA")</f>
        <v>0</v>
      </c>
      <c r="AI80" s="118">
        <f t="shared" si="34"/>
        <v>0</v>
      </c>
      <c r="AJ80" s="119">
        <f>IFERROR(AI80/AI148, "NA")</f>
        <v>0</v>
      </c>
      <c r="AK80" s="118" t="str">
        <f t="shared" si="35"/>
        <v>NA</v>
      </c>
      <c r="AL80" s="119" t="str">
        <f>IFERROR(AK80/AK148, "NA")</f>
        <v>NA</v>
      </c>
    </row>
    <row r="81" spans="1:38" ht="16.5" customHeight="1" x14ac:dyDescent="0.25">
      <c r="A81" s="129" t="s">
        <v>84</v>
      </c>
      <c r="B81" s="121">
        <f>IFERROR(B74+B75+B76+B77+B78+B79+B80, "NA")</f>
        <v>536.89</v>
      </c>
      <c r="C81" s="122">
        <f>IFERROR(B81/B148, "NA")</f>
        <v>1.8603398917108861E-2</v>
      </c>
      <c r="D81" s="121">
        <f>IFERROR(D74+D75+D76+D77+D78+D79+D80, "NA")</f>
        <v>566.77</v>
      </c>
      <c r="E81" s="122">
        <f>IFERROR(D81/D148, "NA")</f>
        <v>2.190076050049828E-2</v>
      </c>
      <c r="F81" s="121">
        <f>IFERROR(F74+F75+F76+F77+F78+F79+F80, "NA")</f>
        <v>539.84</v>
      </c>
      <c r="G81" s="122">
        <f>IFERROR(F81/F148, "NA")</f>
        <v>2.1008120488482388E-2</v>
      </c>
      <c r="H81" s="121">
        <f>IFERROR(H74+H75+H76+H77+H78+H79+H80, "NA")</f>
        <v>522.09</v>
      </c>
      <c r="I81" s="122">
        <f>IFERROR(H81/H148, "NA")</f>
        <v>2.0747257323771105E-2</v>
      </c>
      <c r="J81" s="121">
        <f>IFERROR(J74+J75+J76+J77+J78+J79+J80, "NA")</f>
        <v>557.29</v>
      </c>
      <c r="K81" s="122">
        <f>IFERROR(J81/J148, "NA")</f>
        <v>1.9462853327149438E-2</v>
      </c>
      <c r="L81" s="121">
        <f>IFERROR(L74+L75+L76+L77+L78+L79+L80, "NA")</f>
        <v>652.52</v>
      </c>
      <c r="M81" s="122">
        <f>IFERROR(L81/L148, "NA")</f>
        <v>2.3253178549716088E-2</v>
      </c>
      <c r="N81" s="121">
        <f>IFERROR(N74+N75+N76+N77+N78+N79+N80, "NA")</f>
        <v>564.16</v>
      </c>
      <c r="O81" s="122">
        <f>IFERROR(N81/N148, "NA")</f>
        <v>2.1915492344960787E-2</v>
      </c>
      <c r="P81" s="121">
        <f>IFERROR(P74+P75+P76+P77+P78+P79+P80, "NA")</f>
        <v>577.20000000000005</v>
      </c>
      <c r="Q81" s="122">
        <f>IFERROR(P81/P148, "NA")</f>
        <v>2.8006800819824859E-2</v>
      </c>
      <c r="R81" s="121">
        <f>IFERROR(R74+R75+R76+R77+R78+R79+R80, "NA")</f>
        <v>464.37</v>
      </c>
      <c r="S81" s="122">
        <f>IFERROR(R81/R148, "NA")</f>
        <v>1.8936957958787026E-2</v>
      </c>
      <c r="T81" s="121">
        <f>IFERROR(T74+T75+T76+T77+T78+T79+T80, "NA")</f>
        <v>513.91999999999996</v>
      </c>
      <c r="U81" s="122">
        <f>IFERROR(T81/T148, "NA")</f>
        <v>1.9274404481959124E-2</v>
      </c>
      <c r="V81" s="121">
        <f>IFERROR(V74+V75+V76+V77+V78+V79+V80, "NA")</f>
        <v>494.2</v>
      </c>
      <c r="W81" s="122">
        <f>IFERROR(V81/V148, "NA")</f>
        <v>2.0592353078435946E-2</v>
      </c>
      <c r="X81" s="121">
        <f>IFERROR(X74+X75+X76+X77+X78+X79+X80, "NA")</f>
        <v>517.99</v>
      </c>
      <c r="Y81" s="122">
        <f>IFERROR(X81/X148, "NA")</f>
        <v>1.4931176899236249E-2</v>
      </c>
      <c r="Z81" s="121">
        <f>IFERROR(Z74+Z75+Z76+Z77+Z78+Z79+Z80, "NA")</f>
        <v>1012.19</v>
      </c>
      <c r="AA81" s="122">
        <f>IFERROR(Z81/Z148, "NA")</f>
        <v>1.7246073676663424E-2</v>
      </c>
      <c r="AB81" s="121">
        <f t="shared" si="30"/>
        <v>497.62</v>
      </c>
      <c r="AC81" s="122">
        <f>IFERROR(AB81/AB148, "NA")</f>
        <v>1.8115649539249924E-2</v>
      </c>
      <c r="AD81" s="123">
        <f t="shared" si="31"/>
        <v>20.370000000000005</v>
      </c>
      <c r="AE81" s="124">
        <f>IFERROR(AD81/AD148, "NA")</f>
        <v>2.8202466573604536E-3</v>
      </c>
      <c r="AF81" s="123">
        <f t="shared" si="32"/>
        <v>4.0934849885454774E-2</v>
      </c>
      <c r="AG81" s="121">
        <f t="shared" si="33"/>
        <v>542.70624999999995</v>
      </c>
      <c r="AH81" s="122">
        <f>IFERROR(AG81/AG148, "NA")</f>
        <v>2.0390692171395376E-2</v>
      </c>
      <c r="AI81" s="123">
        <f t="shared" si="34"/>
        <v>-24.716249999999945</v>
      </c>
      <c r="AJ81" s="124">
        <f>IFERROR(AI81/AI148, "NA")</f>
        <v>-3.0602868618462981E-3</v>
      </c>
      <c r="AK81" s="123">
        <f t="shared" si="35"/>
        <v>-4.5542593253716811E-2</v>
      </c>
      <c r="AL81" s="124">
        <f>IFERROR(AK81/AK148, "NA")</f>
        <v>-0.15008253943136632</v>
      </c>
    </row>
    <row r="82" spans="1:38" ht="16.5" customHeight="1" x14ac:dyDescent="0.25">
      <c r="A82" s="5" t="s">
        <v>85</v>
      </c>
      <c r="B82" s="115">
        <v>0</v>
      </c>
      <c r="C82" s="116">
        <f>IFERROR(B82/B148, "NA")</f>
        <v>0</v>
      </c>
      <c r="D82" s="115">
        <v>248</v>
      </c>
      <c r="E82" s="116">
        <f>IFERROR(D82/D148, "NA")</f>
        <v>9.5830559206090196E-3</v>
      </c>
      <c r="F82" s="115">
        <v>0</v>
      </c>
      <c r="G82" s="116">
        <f>IFERROR(F82/F148, "NA")</f>
        <v>0</v>
      </c>
      <c r="H82" s="115">
        <v>0</v>
      </c>
      <c r="I82" s="116">
        <f>IFERROR(H82/H148, "NA")</f>
        <v>0</v>
      </c>
      <c r="J82" s="115">
        <v>0</v>
      </c>
      <c r="K82" s="116">
        <f>IFERROR(J82/J148, "NA")</f>
        <v>0</v>
      </c>
      <c r="L82" s="115">
        <v>0</v>
      </c>
      <c r="M82" s="116">
        <f>IFERROR(L82/L148, "NA")</f>
        <v>0</v>
      </c>
      <c r="N82" s="115">
        <v>248</v>
      </c>
      <c r="O82" s="116">
        <f>IFERROR(N82/N148, "NA")</f>
        <v>9.6338664590723821E-3</v>
      </c>
      <c r="P82" s="115">
        <v>0</v>
      </c>
      <c r="Q82" s="116">
        <f>IFERROR(P82/P148, "NA")</f>
        <v>0</v>
      </c>
      <c r="R82" s="115">
        <v>0</v>
      </c>
      <c r="S82" s="116">
        <f>IFERROR(R82/R148, "NA")</f>
        <v>0</v>
      </c>
      <c r="T82" s="115">
        <v>0</v>
      </c>
      <c r="U82" s="116">
        <f>IFERROR(T82/T148, "NA")</f>
        <v>0</v>
      </c>
      <c r="V82" s="115">
        <v>224</v>
      </c>
      <c r="W82" s="116">
        <f>IFERROR(V82/V148, "NA")</f>
        <v>9.3336444548151598E-3</v>
      </c>
      <c r="X82" s="115">
        <v>0</v>
      </c>
      <c r="Y82" s="116">
        <f>IFERROR(X82/X148, "NA")</f>
        <v>0</v>
      </c>
      <c r="Z82" s="115">
        <v>224</v>
      </c>
      <c r="AA82" s="116">
        <f>IFERROR(Z82/Z148, "NA")</f>
        <v>3.8165961959440485E-3</v>
      </c>
      <c r="AB82" s="117">
        <f t="shared" si="30"/>
        <v>56</v>
      </c>
      <c r="AC82" s="116">
        <f>IFERROR(AB82/AB148, "NA")</f>
        <v>2.0386567545476381E-3</v>
      </c>
      <c r="AD82" s="118">
        <f t="shared" si="31"/>
        <v>-56</v>
      </c>
      <c r="AE82" s="119">
        <f>IFERROR(AD82/AD148, "NA")</f>
        <v>-7.7532554154239259E-3</v>
      </c>
      <c r="AF82" s="118">
        <f t="shared" si="32"/>
        <v>-1</v>
      </c>
      <c r="AG82" s="117">
        <f t="shared" si="33"/>
        <v>59</v>
      </c>
      <c r="AH82" s="116">
        <f>IFERROR(AG82/AG148, "NA")</f>
        <v>2.2167624531914403E-3</v>
      </c>
      <c r="AI82" s="118">
        <f t="shared" si="34"/>
        <v>-59</v>
      </c>
      <c r="AJ82" s="119">
        <f>IFERROR(AI82/AI148, "NA")</f>
        <v>-7.3051909107948003E-3</v>
      </c>
      <c r="AK82" s="118">
        <f t="shared" si="35"/>
        <v>-1</v>
      </c>
      <c r="AL82" s="119">
        <f>IFERROR(AK82/AK148, "NA")</f>
        <v>-3.2954324448601269</v>
      </c>
    </row>
    <row r="83" spans="1:38" ht="16.5" customHeight="1" x14ac:dyDescent="0.25">
      <c r="A83" s="5" t="s">
        <v>86</v>
      </c>
      <c r="B83" s="115">
        <v>-159.66</v>
      </c>
      <c r="C83" s="116">
        <f>IFERROR(B83/B148, "NA")</f>
        <v>-5.532266704735795E-3</v>
      </c>
      <c r="D83" s="115">
        <v>-159.66</v>
      </c>
      <c r="E83" s="116">
        <f>IFERROR(D83/D148, "NA")</f>
        <v>-6.1694786624372422E-3</v>
      </c>
      <c r="F83" s="115">
        <v>-159.66</v>
      </c>
      <c r="G83" s="116">
        <f>IFERROR(F83/F148, "NA")</f>
        <v>-6.2132419183296862E-3</v>
      </c>
      <c r="H83" s="115">
        <v>1214.48</v>
      </c>
      <c r="I83" s="116">
        <f>IFERROR(H83/H148, "NA")</f>
        <v>4.8262041170245615E-2</v>
      </c>
      <c r="J83" s="115">
        <v>-159.66</v>
      </c>
      <c r="K83" s="116">
        <f>IFERROR(J83/J148, "NA")</f>
        <v>-5.5759822753192762E-3</v>
      </c>
      <c r="L83" s="115">
        <v>-159.66</v>
      </c>
      <c r="M83" s="116">
        <f>IFERROR(L83/L148, "NA")</f>
        <v>-5.6896378459628371E-3</v>
      </c>
      <c r="N83" s="115">
        <v>-159.66</v>
      </c>
      <c r="O83" s="116">
        <f>IFERROR(N83/N148, "NA")</f>
        <v>-6.2021899953850672E-3</v>
      </c>
      <c r="P83" s="115">
        <v>-159.66</v>
      </c>
      <c r="Q83" s="116">
        <f>IFERROR(P83/P148, "NA")</f>
        <v>-7.7469955282280607E-3</v>
      </c>
      <c r="R83" s="115">
        <v>1252.95</v>
      </c>
      <c r="S83" s="116">
        <f>IFERROR(R83/R148, "NA")</f>
        <v>5.1095164361311465E-2</v>
      </c>
      <c r="T83" s="115">
        <v>-159.66</v>
      </c>
      <c r="U83" s="116">
        <f>IFERROR(T83/T148, "NA")</f>
        <v>-5.9879970026260774E-3</v>
      </c>
      <c r="V83" s="115">
        <v>-159.66</v>
      </c>
      <c r="W83" s="116">
        <f>IFERROR(V83/V148, "NA")</f>
        <v>-6.6527217573919125E-3</v>
      </c>
      <c r="X83" s="115">
        <v>-159.66</v>
      </c>
      <c r="Y83" s="116">
        <f>IFERROR(X83/X148, "NA")</f>
        <v>-4.6022349924362618E-3</v>
      </c>
      <c r="Z83" s="115">
        <v>-319.32</v>
      </c>
      <c r="AA83" s="116">
        <f>IFERROR(Z83/Z148, "NA")</f>
        <v>-5.4406941843252394E-3</v>
      </c>
      <c r="AB83" s="117">
        <f t="shared" si="30"/>
        <v>193.49250000000001</v>
      </c>
      <c r="AC83" s="116">
        <f>IFERROR(AB83/AB148, "NA")</f>
        <v>7.0440141442733731E-3</v>
      </c>
      <c r="AD83" s="118">
        <f t="shared" si="31"/>
        <v>-353.15250000000003</v>
      </c>
      <c r="AE83" s="119">
        <f>IFERROR(AD83/AD148, "NA")</f>
        <v>-4.8894313090991036E-2</v>
      </c>
      <c r="AF83" s="118">
        <f t="shared" si="32"/>
        <v>-1.8251482615605257</v>
      </c>
      <c r="AG83" s="117">
        <f t="shared" si="33"/>
        <v>16.916250000000016</v>
      </c>
      <c r="AH83" s="116">
        <f>IFERROR(AG83/AG148, "NA")</f>
        <v>6.3558148896270743E-4</v>
      </c>
      <c r="AI83" s="118">
        <f t="shared" si="34"/>
        <v>-176.57625000000002</v>
      </c>
      <c r="AJ83" s="119">
        <f>IFERROR(AI83/AI148, "NA")</f>
        <v>-2.1863105365461533E-2</v>
      </c>
      <c r="AK83" s="118">
        <f t="shared" si="35"/>
        <v>-10.43826202615827</v>
      </c>
      <c r="AL83" s="119">
        <f>IFERROR(AK83/AK148, "NA")</f>
        <v>-34.39858734895337</v>
      </c>
    </row>
    <row r="84" spans="1:38" ht="16.5" customHeight="1" x14ac:dyDescent="0.25">
      <c r="A84" s="130" t="s">
        <v>87</v>
      </c>
      <c r="B84" s="121">
        <f>IFERROR(B63+B65+B66+B67+B68+B69+B71+B72+B74+B75+B76+B77+B78+B79+B80+B82+B83, "NA")</f>
        <v>5544.6100000000006</v>
      </c>
      <c r="C84" s="122">
        <f>IFERROR(B84/B148, "NA")</f>
        <v>0.19212239317139634</v>
      </c>
      <c r="D84" s="121">
        <f>IFERROR(D63+D65+D66+D67+D68+D69+D71+D72+D74+D75+D76+D77+D78+D79+D80+D82+D83, "NA")</f>
        <v>6848.59</v>
      </c>
      <c r="E84" s="122">
        <f>IFERROR(D84/D148, "NA")</f>
        <v>0.26463879414243435</v>
      </c>
      <c r="F84" s="121">
        <f>IFERROR(F63+F65+F66+F67+F68+F69+F71+F72+F74+F75+F76+F77+F78+F79+F80+F82+F83, "NA")</f>
        <v>6642.89</v>
      </c>
      <c r="G84" s="122">
        <f>IFERROR(F84/F148, "NA")</f>
        <v>0.25851110238540081</v>
      </c>
      <c r="H84" s="121">
        <f>IFERROR(H63+H65+H66+H67+H68+H69+H71+H72+H74+H75+H76+H77+H78+H79+H80+H82+H83, "NA")</f>
        <v>7662.1</v>
      </c>
      <c r="I84" s="122">
        <f>IFERROR(H84/H148, "NA")</f>
        <v>0.30448305912863027</v>
      </c>
      <c r="J84" s="121">
        <f>IFERROR(J63+J65+J66+J67+J68+J69+J71+J72+J74+J75+J76+J77+J78+J79+J80+J82+J83, "NA")</f>
        <v>7009.39</v>
      </c>
      <c r="K84" s="122">
        <f>IFERROR(J84/J148, "NA")</f>
        <v>0.24479665790304511</v>
      </c>
      <c r="L84" s="121">
        <f>IFERROR(L63+L65+L66+L67+L68+L69+L71+L72+L74+L75+L76+L77+L78+L79+L80+L82+L83, "NA")</f>
        <v>7879.5</v>
      </c>
      <c r="M84" s="122">
        <f>IFERROR(L84/L148, "NA")</f>
        <v>0.28079357013193146</v>
      </c>
      <c r="N84" s="121">
        <f>IFERROR(N63+N65+N66+N67+N68+N69+N71+N72+N74+N75+N76+N77+N78+N79+N80+N82+N83, "NA")</f>
        <v>7105.7400000000007</v>
      </c>
      <c r="O84" s="122">
        <f>IFERROR(N84/N148, "NA")</f>
        <v>0.27603125101971371</v>
      </c>
      <c r="P84" s="121">
        <f>IFERROR(P63+P65+P66+P67+P68+P69+P71+P72+P74+P75+P76+P77+P78+P79+P80+P82+P83, "NA")</f>
        <v>6983.57</v>
      </c>
      <c r="Q84" s="122">
        <f>IFERROR(P84/P148, "NA")</f>
        <v>0.33885560291286254</v>
      </c>
      <c r="R84" s="121">
        <f>IFERROR(R63+R65+R66+R67+R68+R69+R71+R72+R74+R75+R76+R77+R78+R79+R80+R82+R83, "NA")</f>
        <v>7087.3499999999995</v>
      </c>
      <c r="S84" s="122">
        <f>IFERROR(R84/R148, "NA")</f>
        <v>0.28902136009907881</v>
      </c>
      <c r="T84" s="121">
        <f>IFERROR(T63+T65+T66+T67+T68+T69+T71+T72+T74+T75+T76+T77+T78+T79+T80+T82+T83, "NA")</f>
        <v>6681.2300000000005</v>
      </c>
      <c r="U84" s="122">
        <f>IFERROR(T84/T148, "NA")</f>
        <v>0.25057738452871997</v>
      </c>
      <c r="V84" s="121">
        <f>IFERROR(V63+V65+V66+V67+V68+V69+V71+V72+V74+V75+V76+V77+V78+V79+V80+V82+V83, "NA")</f>
        <v>6463.55</v>
      </c>
      <c r="W84" s="122">
        <f>IFERROR(V84/V148, "NA")</f>
        <v>0.26932356078535952</v>
      </c>
      <c r="X84" s="121">
        <f>IFERROR(X63+X65+X66+X67+X68+X69+X71+X72+X74+X75+X76+X77+X78+X79+X80+X82+X83, "NA")</f>
        <v>6246.1100000000006</v>
      </c>
      <c r="Y84" s="122">
        <f>IFERROR(X84/X148, "NA")</f>
        <v>0.18004550926096746</v>
      </c>
      <c r="Z84" s="121">
        <f>IFERROR(Z63+Z65+Z66+Z67+Z68+Z69+Z71+Z72+Z74+Z75+Z76+Z77+Z78+Z79+Z80+Z82+Z83, "NA")</f>
        <v>12709.66</v>
      </c>
      <c r="AA84" s="122">
        <f>IFERROR(Z84/Z148, "NA")</f>
        <v>0.21655196432027785</v>
      </c>
      <c r="AB84" s="121">
        <f t="shared" si="30"/>
        <v>6619.56</v>
      </c>
      <c r="AC84" s="122">
        <f>IFERROR(AB84/AB148, "NA")</f>
        <v>0.2409823340380958</v>
      </c>
      <c r="AD84" s="123">
        <f t="shared" si="31"/>
        <v>-373.44999999999982</v>
      </c>
      <c r="AE84" s="124">
        <f>IFERROR(AD84/AD148, "NA")</f>
        <v>-5.1704522051608283E-2</v>
      </c>
      <c r="AF84" s="123">
        <f t="shared" si="32"/>
        <v>-5.6416136419943287E-2</v>
      </c>
      <c r="AG84" s="121">
        <f t="shared" si="33"/>
        <v>6932.0550000000012</v>
      </c>
      <c r="AH84" s="122">
        <f>IFERROR(AG84/AG148, "NA")</f>
        <v>0.26045286860098293</v>
      </c>
      <c r="AI84" s="123">
        <f t="shared" si="34"/>
        <v>-685.94500000000062</v>
      </c>
      <c r="AJ84" s="124">
        <f>IFERROR(AI84/AI148, "NA")</f>
        <v>-8.4931511513646515E-2</v>
      </c>
      <c r="AK84" s="123">
        <f t="shared" si="35"/>
        <v>-9.8952619389199956E-2</v>
      </c>
      <c r="AL84" s="124">
        <f>IFERROR(AK84/AK148, "NA")</f>
        <v>-0.32609167243906478</v>
      </c>
    </row>
    <row r="85" spans="1:38" ht="16.5" customHeight="1" x14ac:dyDescent="0.25">
      <c r="A85" s="120" t="s">
        <v>87</v>
      </c>
      <c r="B85" s="131">
        <f>IFERROR(B63+B65+B66+B67+B68+B69+B71+B72+B74+B75+B76+B77+B78+B79+B80+B82+B83, "NA")</f>
        <v>5544.6100000000006</v>
      </c>
      <c r="C85" s="132">
        <f>IFERROR(B85/B148, "NA")</f>
        <v>0.19212239317139634</v>
      </c>
      <c r="D85" s="131">
        <f>IFERROR(D63+D65+D66+D67+D68+D69+D71+D72+D74+D75+D76+D77+D78+D79+D80+D82+D83, "NA")</f>
        <v>6848.59</v>
      </c>
      <c r="E85" s="132">
        <f>IFERROR(D85/D148, "NA")</f>
        <v>0.26463879414243435</v>
      </c>
      <c r="F85" s="131">
        <f>IFERROR(F63+F65+F66+F67+F68+F69+F71+F72+F74+F75+F76+F77+F78+F79+F80+F82+F83, "NA")</f>
        <v>6642.89</v>
      </c>
      <c r="G85" s="132">
        <f>IFERROR(F85/F148, "NA")</f>
        <v>0.25851110238540081</v>
      </c>
      <c r="H85" s="131">
        <f>IFERROR(H63+H65+H66+H67+H68+H69+H71+H72+H74+H75+H76+H77+H78+H79+H80+H82+H83, "NA")</f>
        <v>7662.1</v>
      </c>
      <c r="I85" s="132">
        <f>IFERROR(H85/H148, "NA")</f>
        <v>0.30448305912863027</v>
      </c>
      <c r="J85" s="131">
        <f>IFERROR(J63+J65+J66+J67+J68+J69+J71+J72+J74+J75+J76+J77+J78+J79+J80+J82+J83, "NA")</f>
        <v>7009.39</v>
      </c>
      <c r="K85" s="132">
        <f>IFERROR(J85/J148, "NA")</f>
        <v>0.24479665790304511</v>
      </c>
      <c r="L85" s="131">
        <f>IFERROR(L63+L65+L66+L67+L68+L69+L71+L72+L74+L75+L76+L77+L78+L79+L80+L82+L83, "NA")</f>
        <v>7879.5</v>
      </c>
      <c r="M85" s="132">
        <f>IFERROR(L85/L148, "NA")</f>
        <v>0.28079357013193146</v>
      </c>
      <c r="N85" s="131">
        <f>IFERROR(N63+N65+N66+N67+N68+N69+N71+N72+N74+N75+N76+N77+N78+N79+N80+N82+N83, "NA")</f>
        <v>7105.7400000000007</v>
      </c>
      <c r="O85" s="132">
        <f>IFERROR(N85/N148, "NA")</f>
        <v>0.27603125101971371</v>
      </c>
      <c r="P85" s="131">
        <f>IFERROR(P63+P65+P66+P67+P68+P69+P71+P72+P74+P75+P76+P77+P78+P79+P80+P82+P83, "NA")</f>
        <v>6983.57</v>
      </c>
      <c r="Q85" s="132">
        <f>IFERROR(P85/P148, "NA")</f>
        <v>0.33885560291286254</v>
      </c>
      <c r="R85" s="131">
        <f>IFERROR(R63+R65+R66+R67+R68+R69+R71+R72+R74+R75+R76+R77+R78+R79+R80+R82+R83, "NA")</f>
        <v>7087.3499999999995</v>
      </c>
      <c r="S85" s="132">
        <f>IFERROR(R85/R148, "NA")</f>
        <v>0.28902136009907881</v>
      </c>
      <c r="T85" s="131">
        <f>IFERROR(T63+T65+T66+T67+T68+T69+T71+T72+T74+T75+T76+T77+T78+T79+T80+T82+T83, "NA")</f>
        <v>6681.2300000000005</v>
      </c>
      <c r="U85" s="132">
        <f>IFERROR(T85/T148, "NA")</f>
        <v>0.25057738452871997</v>
      </c>
      <c r="V85" s="131">
        <f>IFERROR(V63+V65+V66+V67+V68+V69+V71+V72+V74+V75+V76+V77+V78+V79+V80+V82+V83, "NA")</f>
        <v>6463.55</v>
      </c>
      <c r="W85" s="132">
        <f>IFERROR(V85/V148, "NA")</f>
        <v>0.26932356078535952</v>
      </c>
      <c r="X85" s="131">
        <f>IFERROR(X63+X65+X66+X67+X68+X69+X71+X72+X74+X75+X76+X77+X78+X79+X80+X82+X83, "NA")</f>
        <v>6246.1100000000006</v>
      </c>
      <c r="Y85" s="132">
        <f>IFERROR(X85/X148, "NA")</f>
        <v>0.18004550926096746</v>
      </c>
      <c r="Z85" s="131">
        <f>IFERROR(Z63+Z65+Z66+Z67+Z68+Z69+Z71+Z72+Z74+Z75+Z76+Z77+Z78+Z79+Z80+Z82+Z83, "NA")</f>
        <v>12709.66</v>
      </c>
      <c r="AA85" s="132">
        <f>IFERROR(Z85/Z148, "NA")</f>
        <v>0.21655196432027785</v>
      </c>
      <c r="AB85" s="131">
        <f t="shared" si="30"/>
        <v>6619.56</v>
      </c>
      <c r="AC85" s="132">
        <f>IFERROR(AB85/AB148, "NA")</f>
        <v>0.2409823340380958</v>
      </c>
      <c r="AD85" s="133">
        <f t="shared" si="31"/>
        <v>-373.44999999999982</v>
      </c>
      <c r="AE85" s="134">
        <f>IFERROR(AD85/AD148, "NA")</f>
        <v>-5.1704522051608283E-2</v>
      </c>
      <c r="AF85" s="133">
        <f t="shared" si="32"/>
        <v>-5.6416136419943287E-2</v>
      </c>
      <c r="AG85" s="131">
        <f t="shared" si="33"/>
        <v>6932.0550000000012</v>
      </c>
      <c r="AH85" s="132">
        <f>IFERROR(AG85/AG148, "NA")</f>
        <v>0.26045286860098293</v>
      </c>
      <c r="AI85" s="133">
        <f t="shared" si="34"/>
        <v>-685.94500000000062</v>
      </c>
      <c r="AJ85" s="134">
        <f>IFERROR(AI85/AI148, "NA")</f>
        <v>-8.4931511513646515E-2</v>
      </c>
      <c r="AK85" s="133">
        <f t="shared" si="35"/>
        <v>-9.8952619389199956E-2</v>
      </c>
      <c r="AL85" s="134">
        <f>IFERROR(AK85/AK148, "NA")</f>
        <v>-0.32609167243906478</v>
      </c>
    </row>
    <row r="86" spans="1:38" ht="3.75" customHeight="1" x14ac:dyDescent="0.25">
      <c r="A86" s="8" t="s">
        <v>2</v>
      </c>
      <c r="B86" s="138"/>
      <c r="C86" s="126"/>
      <c r="D86" s="138"/>
      <c r="E86" s="126"/>
      <c r="F86" s="138"/>
      <c r="G86" s="126"/>
      <c r="H86" s="138"/>
      <c r="I86" s="126"/>
      <c r="J86" s="138"/>
      <c r="K86" s="126"/>
      <c r="L86" s="138"/>
      <c r="M86" s="126"/>
      <c r="N86" s="138"/>
      <c r="O86" s="126"/>
      <c r="P86" s="138"/>
      <c r="Q86" s="126"/>
      <c r="R86" s="138"/>
      <c r="S86" s="126"/>
      <c r="T86" s="138"/>
      <c r="U86" s="126"/>
      <c r="V86" s="138"/>
      <c r="W86" s="126"/>
      <c r="X86" s="138"/>
      <c r="Y86" s="126"/>
      <c r="Z86" s="138"/>
      <c r="AA86" s="126"/>
      <c r="AB86" s="138"/>
      <c r="AC86" s="126"/>
      <c r="AD86" s="139"/>
      <c r="AE86" s="128"/>
      <c r="AF86" s="139"/>
      <c r="AG86" s="138"/>
      <c r="AH86" s="126"/>
      <c r="AI86" s="139"/>
      <c r="AJ86" s="128"/>
      <c r="AK86" s="139"/>
      <c r="AL86" s="128"/>
    </row>
    <row r="87" spans="1:38" ht="16.5" customHeight="1" x14ac:dyDescent="0.25">
      <c r="A87" s="135" t="s">
        <v>88</v>
      </c>
      <c r="B87" s="136">
        <f>IFERROR(B59-B85, "NA")</f>
        <v>16418.339999999989</v>
      </c>
      <c r="C87" s="137">
        <f>IFERROR(B87/B148, "NA")</f>
        <v>0.56890038662803355</v>
      </c>
      <c r="D87" s="136">
        <f>IFERROR(D59-D85, "NA")</f>
        <v>11350.109999999997</v>
      </c>
      <c r="E87" s="137">
        <f>IFERROR(D87/D148, "NA")</f>
        <v>0.43858362433493392</v>
      </c>
      <c r="F87" s="136">
        <f>IFERROR(F59-F85, "NA")</f>
        <v>11923.700000000004</v>
      </c>
      <c r="G87" s="137">
        <f>IFERROR(F87/F148, "NA")</f>
        <v>0.4640162386420375</v>
      </c>
      <c r="H87" s="136">
        <f>IFERROR(H59-H85, "NA")</f>
        <v>11082.239999999996</v>
      </c>
      <c r="I87" s="137">
        <f>IFERROR(H87/H148, "NA")</f>
        <v>0.44039549695222857</v>
      </c>
      <c r="J87" s="136">
        <f>IFERROR(J59-J85, "NA")</f>
        <v>13961.55999999999</v>
      </c>
      <c r="K87" s="137">
        <f>IFERROR(J87/J148, "NA")</f>
        <v>0.48759495863589214</v>
      </c>
      <c r="L87" s="136">
        <f>IFERROR(L59-L85, "NA")</f>
        <v>13214.209999999995</v>
      </c>
      <c r="M87" s="137">
        <f>IFERROR(L87/L148, "NA")</f>
        <v>0.47090109808656244</v>
      </c>
      <c r="N87" s="136">
        <f>IFERROR(N59-N85, "NA")</f>
        <v>12374.639999999996</v>
      </c>
      <c r="O87" s="137">
        <f>IFERROR(N87/N148, "NA")</f>
        <v>0.4807081824157074</v>
      </c>
      <c r="P87" s="136">
        <f>IFERROR(P59-P85, "NA")</f>
        <v>7998.9199999999983</v>
      </c>
      <c r="Q87" s="137">
        <f>IFERROR(P87/P148, "NA")</f>
        <v>0.38812224396000244</v>
      </c>
      <c r="R87" s="136">
        <f>IFERROR(R59-R85, "NA")</f>
        <v>11134.95</v>
      </c>
      <c r="S87" s="137">
        <f>IFERROR(R87/R148, "NA")</f>
        <v>0.45408204669379076</v>
      </c>
      <c r="T87" s="136">
        <f>IFERROR(T59-T85, "NA")</f>
        <v>12986.780000000002</v>
      </c>
      <c r="U87" s="137">
        <f>IFERROR(T87/T148, "NA")</f>
        <v>0.48706501136016728</v>
      </c>
      <c r="V87" s="136">
        <f>IFERROR(V59-V85, "NA")</f>
        <v>10868.260000000002</v>
      </c>
      <c r="W87" s="137">
        <f>IFERROR(V87/V148, "NA")</f>
        <v>0.45285926197539927</v>
      </c>
      <c r="X87" s="136">
        <f>IFERROR(X59-X85, "NA")</f>
        <v>22050.94999999999</v>
      </c>
      <c r="Y87" s="137">
        <f>IFERROR(X87/X148, "NA")</f>
        <v>0.63562353567870689</v>
      </c>
      <c r="Z87" s="136">
        <f>IFERROR(Z59-Z85, "NA")</f>
        <v>32919.209999999992</v>
      </c>
      <c r="AA87" s="137">
        <f>IFERROR(Z87/Z148, "NA")</f>
        <v>0.56088987347983599</v>
      </c>
      <c r="AB87" s="136">
        <f>IFERROR((R87+T87+V87+X87)/4, "NA")</f>
        <v>14260.234999999999</v>
      </c>
      <c r="AC87" s="137">
        <f>IFERROR(AB87/AB148, "NA")</f>
        <v>0.5191379357890471</v>
      </c>
      <c r="AD87" s="123">
        <f>IFERROR(X87-AB87, "NA")</f>
        <v>7790.7149999999911</v>
      </c>
      <c r="AE87" s="124">
        <f>IFERROR(AD87/AD148, "NA")</f>
        <v>1.0786322011388274</v>
      </c>
      <c r="AF87" s="123">
        <f>IFERROR((X87-AB87)/AB87, "NA")</f>
        <v>0.54632444696738813</v>
      </c>
      <c r="AG87" s="136">
        <f>IFERROR((J87+L87+N87+P87+R87+T87+V87+X87)/8, "NA")</f>
        <v>13073.783749999995</v>
      </c>
      <c r="AH87" s="137">
        <f>IFERROR(AG87/AG148, "NA")</f>
        <v>0.49121140573126065</v>
      </c>
      <c r="AI87" s="123">
        <f>IFERROR(X87-AG87, "NA")</f>
        <v>8977.1662499999948</v>
      </c>
      <c r="AJ87" s="124">
        <f>IFERROR(AI87/AI148, "NA")</f>
        <v>1.1115239541388782</v>
      </c>
      <c r="AK87" s="123">
        <f>IFERROR((X87-AG87)/AG87, "NA")</f>
        <v>0.68665402623016447</v>
      </c>
      <c r="AL87" s="124">
        <f>IFERROR(AK87/AK148, "NA")</f>
        <v>2.2628219564327208</v>
      </c>
    </row>
    <row r="88" spans="1:38" ht="3.75" customHeight="1" x14ac:dyDescent="0.25">
      <c r="A88" s="8" t="s">
        <v>2</v>
      </c>
      <c r="B88" s="138"/>
      <c r="C88" s="126"/>
      <c r="D88" s="138"/>
      <c r="E88" s="126"/>
      <c r="F88" s="138"/>
      <c r="G88" s="126"/>
      <c r="H88" s="138"/>
      <c r="I88" s="126"/>
      <c r="J88" s="138"/>
      <c r="K88" s="126"/>
      <c r="L88" s="138"/>
      <c r="M88" s="126"/>
      <c r="N88" s="138"/>
      <c r="O88" s="126"/>
      <c r="P88" s="138"/>
      <c r="Q88" s="126"/>
      <c r="R88" s="138"/>
      <c r="S88" s="126"/>
      <c r="T88" s="138"/>
      <c r="U88" s="126"/>
      <c r="V88" s="138"/>
      <c r="W88" s="126"/>
      <c r="X88" s="138"/>
      <c r="Y88" s="126"/>
      <c r="Z88" s="138"/>
      <c r="AA88" s="126"/>
      <c r="AB88" s="138"/>
      <c r="AC88" s="126"/>
      <c r="AD88" s="139"/>
      <c r="AE88" s="128"/>
      <c r="AF88" s="139"/>
      <c r="AG88" s="138"/>
      <c r="AH88" s="126"/>
      <c r="AI88" s="139"/>
      <c r="AJ88" s="128"/>
      <c r="AK88" s="139"/>
      <c r="AL88" s="128"/>
    </row>
    <row r="89" spans="1:38" ht="16.5" hidden="1" customHeight="1" x14ac:dyDescent="0.25">
      <c r="A89" s="1" t="s">
        <v>89</v>
      </c>
      <c r="B89" s="111"/>
      <c r="C89" s="112"/>
      <c r="D89" s="111"/>
      <c r="E89" s="112"/>
      <c r="F89" s="111"/>
      <c r="G89" s="112"/>
      <c r="H89" s="111"/>
      <c r="I89" s="112"/>
      <c r="J89" s="111"/>
      <c r="K89" s="112"/>
      <c r="L89" s="111"/>
      <c r="M89" s="112"/>
      <c r="N89" s="111"/>
      <c r="O89" s="112"/>
      <c r="P89" s="111"/>
      <c r="Q89" s="112"/>
      <c r="R89" s="111"/>
      <c r="S89" s="112"/>
      <c r="T89" s="111"/>
      <c r="U89" s="112"/>
      <c r="V89" s="111"/>
      <c r="W89" s="112"/>
      <c r="X89" s="111"/>
      <c r="Y89" s="112"/>
      <c r="Z89" s="111"/>
      <c r="AA89" s="112"/>
      <c r="AB89" s="111"/>
      <c r="AC89" s="112"/>
      <c r="AD89" s="113"/>
      <c r="AE89" s="114"/>
      <c r="AF89" s="113"/>
      <c r="AG89" s="111"/>
      <c r="AH89" s="112"/>
      <c r="AI89" s="113"/>
      <c r="AJ89" s="114"/>
      <c r="AK89" s="113"/>
      <c r="AL89" s="114"/>
    </row>
    <row r="90" spans="1:38" ht="16.5" hidden="1" customHeight="1" x14ac:dyDescent="0.25">
      <c r="A90" s="2" t="s">
        <v>90</v>
      </c>
      <c r="B90" s="115">
        <v>606.45000000000005</v>
      </c>
      <c r="C90" s="116">
        <f>IFERROR(B90/B148, "NA")</f>
        <v>2.1013673700908325E-2</v>
      </c>
      <c r="D90" s="115">
        <v>807.9</v>
      </c>
      <c r="E90" s="116">
        <f>IFERROR(D90/D148, "NA")</f>
        <v>3.1218350315564622E-2</v>
      </c>
      <c r="F90" s="115">
        <v>327.81000000000006</v>
      </c>
      <c r="G90" s="116">
        <f>IFERROR(F90/F148, "NA")</f>
        <v>1.2756876069445415E-2</v>
      </c>
      <c r="H90" s="115">
        <v>568.85</v>
      </c>
      <c r="I90" s="116">
        <f>IFERROR(H90/H148, "NA")</f>
        <v>2.2605446050733002E-2</v>
      </c>
      <c r="J90" s="115">
        <v>535.33000000000004</v>
      </c>
      <c r="K90" s="116">
        <f>IFERROR(J90/J148, "NA")</f>
        <v>1.8695920026598197E-2</v>
      </c>
      <c r="L90" s="115">
        <v>639.74</v>
      </c>
      <c r="M90" s="116">
        <f>IFERROR(L90/L148, "NA")</f>
        <v>2.2797750943105759E-2</v>
      </c>
      <c r="N90" s="115">
        <v>924.3</v>
      </c>
      <c r="O90" s="116">
        <f>IFERROR(N90/N148, "NA")</f>
        <v>3.5905575677905657E-2</v>
      </c>
      <c r="P90" s="115">
        <v>742.31999999999994</v>
      </c>
      <c r="Q90" s="116">
        <f>IFERROR(P90/P148, "NA")</f>
        <v>3.6018725544997202E-2</v>
      </c>
      <c r="R90" s="115">
        <v>524.73</v>
      </c>
      <c r="S90" s="116">
        <f>IFERROR(R90/R148, "NA")</f>
        <v>2.1398432176312675E-2</v>
      </c>
      <c r="T90" s="115">
        <v>1062.0500000000002</v>
      </c>
      <c r="U90" s="116">
        <f>IFERROR(T90/T148, "NA")</f>
        <v>3.9831844022541821E-2</v>
      </c>
      <c r="V90" s="115">
        <v>689.56000000000006</v>
      </c>
      <c r="W90" s="116">
        <f>IFERROR(V90/V148, "NA")</f>
        <v>2.8732624420814028E-2</v>
      </c>
      <c r="X90" s="115">
        <v>330.47</v>
      </c>
      <c r="Y90" s="116">
        <f>IFERROR(X90/X148, "NA")</f>
        <v>9.5258712135187999E-3</v>
      </c>
      <c r="Z90" s="115">
        <v>1020.03</v>
      </c>
      <c r="AA90" s="116">
        <f>IFERROR(Z90/Z148, "NA")</f>
        <v>1.7379654543521465E-2</v>
      </c>
      <c r="AB90" s="117">
        <f t="shared" ref="AB90:AB99" si="36">IFERROR((R90+T90+V90+X90)/4, "NA")</f>
        <v>651.7025000000001</v>
      </c>
      <c r="AC90" s="116">
        <f>IFERROR(AB90/AB148, "NA")</f>
        <v>2.3724958992510401E-2</v>
      </c>
      <c r="AD90" s="118">
        <f t="shared" ref="AD90:AD99" si="37">IFERROR(X90-AB90, "NA")</f>
        <v>-321.23250000000007</v>
      </c>
      <c r="AE90" s="119">
        <f>IFERROR(AD90/AD148, "NA")</f>
        <v>-4.4474957504199407E-2</v>
      </c>
      <c r="AF90" s="118">
        <f t="shared" ref="AF90:AF99" si="38">IFERROR((X90-AB90)/AB90, "NA")</f>
        <v>-0.49291279379778352</v>
      </c>
      <c r="AG90" s="117">
        <f t="shared" ref="AG90:AG99" si="39">IFERROR((J90+L90+N90+P90+R90+T90+V90+X90)/8, "NA")</f>
        <v>681.0625</v>
      </c>
      <c r="AH90" s="116">
        <f>IFERROR(AG90/AG148, "NA")</f>
        <v>2.5589047089435515E-2</v>
      </c>
      <c r="AI90" s="118">
        <f t="shared" ref="AI90:AI99" si="40">IFERROR(X90-AG90, "NA")</f>
        <v>-350.59249999999997</v>
      </c>
      <c r="AJ90" s="119">
        <f>IFERROR(AI90/AI148, "NA")</f>
        <v>-4.3409239735471623E-2</v>
      </c>
      <c r="AK90" s="118">
        <f t="shared" ref="AK90:AK99" si="41">IFERROR((X90-AG90)/AG90, "NA")</f>
        <v>-0.5147728732678718</v>
      </c>
      <c r="AL90" s="119">
        <f>IFERROR(AK90/AK148, "NA")</f>
        <v>-1.6963992283008151</v>
      </c>
    </row>
    <row r="91" spans="1:38" ht="16.5" hidden="1" customHeight="1" x14ac:dyDescent="0.25">
      <c r="A91" s="2" t="s">
        <v>91</v>
      </c>
      <c r="B91" s="115">
        <v>1229.8600000000001</v>
      </c>
      <c r="C91" s="116">
        <f>IFERROR(B91/B148, "NA")</f>
        <v>4.2615016469287018E-2</v>
      </c>
      <c r="D91" s="115">
        <v>1082.6399999999999</v>
      </c>
      <c r="E91" s="116">
        <f>IFERROR(D91/D148, "NA")</f>
        <v>4.1834676056000594E-2</v>
      </c>
      <c r="F91" s="115">
        <v>1519.56</v>
      </c>
      <c r="G91" s="116">
        <f>IFERROR(F91/F148, "NA")</f>
        <v>5.9134372350100578E-2</v>
      </c>
      <c r="H91" s="115">
        <v>1691.7400000000002</v>
      </c>
      <c r="I91" s="116">
        <f>IFERROR(H91/H148, "NA")</f>
        <v>6.7227805751721992E-2</v>
      </c>
      <c r="J91" s="115">
        <v>1378.79</v>
      </c>
      <c r="K91" s="116">
        <f>IFERROR(J91/J148, "NA")</f>
        <v>4.8153003891942027E-2</v>
      </c>
      <c r="L91" s="115">
        <v>1062.1199999999999</v>
      </c>
      <c r="M91" s="116">
        <f>IFERROR(L91/L148, "NA")</f>
        <v>3.7849668977540073E-2</v>
      </c>
      <c r="N91" s="115">
        <v>492.55</v>
      </c>
      <c r="O91" s="116">
        <f>IFERROR(N91/N148, "NA")</f>
        <v>1.9133713404903639E-2</v>
      </c>
      <c r="P91" s="115">
        <v>221.31</v>
      </c>
      <c r="Q91" s="116">
        <f>IFERROR(P91/P148, "NA")</f>
        <v>1.0738366405813304E-2</v>
      </c>
      <c r="R91" s="115">
        <v>242.42</v>
      </c>
      <c r="S91" s="116">
        <f>IFERROR(R91/R148, "NA")</f>
        <v>9.8858611632300763E-3</v>
      </c>
      <c r="T91" s="115">
        <v>385.49</v>
      </c>
      <c r="U91" s="116">
        <f>IFERROR(T91/T148, "NA")</f>
        <v>1.4457678595404777E-2</v>
      </c>
      <c r="V91" s="115">
        <v>349.33</v>
      </c>
      <c r="W91" s="116">
        <f>IFERROR(V91/V148, "NA")</f>
        <v>1.4555901863395445E-2</v>
      </c>
      <c r="X91" s="115">
        <v>408.32</v>
      </c>
      <c r="Y91" s="116">
        <f>IFERROR(X91/X148, "NA")</f>
        <v>1.1769914769582704E-2</v>
      </c>
      <c r="Z91" s="115">
        <v>757.65</v>
      </c>
      <c r="AA91" s="116">
        <f>IFERROR(Z91/Z148, "NA")</f>
        <v>1.2909125481504502E-2</v>
      </c>
      <c r="AB91" s="117">
        <f t="shared" si="36"/>
        <v>346.39</v>
      </c>
      <c r="AC91" s="116">
        <f>IFERROR(AB91/AB148, "NA")</f>
        <v>1.2610184164424221E-2</v>
      </c>
      <c r="AD91" s="118">
        <f t="shared" si="37"/>
        <v>61.930000000000007</v>
      </c>
      <c r="AE91" s="119">
        <f>IFERROR(AD91/AD148, "NA")</f>
        <v>8.5742697835214966E-3</v>
      </c>
      <c r="AF91" s="118">
        <f t="shared" si="38"/>
        <v>0.1787869164814227</v>
      </c>
      <c r="AG91" s="117">
        <f t="shared" si="39"/>
        <v>567.54124999999999</v>
      </c>
      <c r="AH91" s="116">
        <f>IFERROR(AG91/AG148, "NA")</f>
        <v>2.1323798875209094E-2</v>
      </c>
      <c r="AI91" s="118">
        <f t="shared" si="40"/>
        <v>-159.22125</v>
      </c>
      <c r="AJ91" s="119">
        <f>IFERROR(AI91/AI148, "NA")</f>
        <v>-1.9714264886531978E-2</v>
      </c>
      <c r="AK91" s="118">
        <f t="shared" si="41"/>
        <v>-0.28054568720775802</v>
      </c>
      <c r="AL91" s="119">
        <f>IFERROR(AK91/AK148, "NA")</f>
        <v>-0.92451935989002643</v>
      </c>
    </row>
    <row r="92" spans="1:38" ht="16.5" hidden="1" customHeight="1" x14ac:dyDescent="0.25">
      <c r="A92" s="2" t="s">
        <v>92</v>
      </c>
      <c r="B92" s="115">
        <v>387.35</v>
      </c>
      <c r="C92" s="116">
        <f>IFERROR(B92/B148, "NA")</f>
        <v>1.3421793236123077E-2</v>
      </c>
      <c r="D92" s="115">
        <v>334.09</v>
      </c>
      <c r="E92" s="116">
        <f>IFERROR(D92/D148, "NA")</f>
        <v>1.290969013111398E-2</v>
      </c>
      <c r="F92" s="115">
        <v>187.85999999999999</v>
      </c>
      <c r="G92" s="116">
        <f>IFERROR(F92/F148, "NA")</f>
        <v>7.3106578152161766E-3</v>
      </c>
      <c r="H92" s="115">
        <v>306.83</v>
      </c>
      <c r="I92" s="116">
        <f>IFERROR(H92/H148, "NA")</f>
        <v>1.2193072007992276E-2</v>
      </c>
      <c r="J92" s="115">
        <v>210.22</v>
      </c>
      <c r="K92" s="116">
        <f>IFERROR(J92/J148, "NA")</f>
        <v>7.341744919939986E-3</v>
      </c>
      <c r="L92" s="115">
        <v>237.22</v>
      </c>
      <c r="M92" s="116">
        <f>IFERROR(L92/L148, "NA")</f>
        <v>8.4535631330283374E-3</v>
      </c>
      <c r="N92" s="115">
        <v>349.69</v>
      </c>
      <c r="O92" s="116">
        <f>IFERROR(N92/N148, "NA")</f>
        <v>1.358414016964928E-2</v>
      </c>
      <c r="P92" s="115">
        <v>120.5</v>
      </c>
      <c r="Q92" s="116">
        <f>IFERROR(P92/P148, "NA")</f>
        <v>5.8468806285323898E-3</v>
      </c>
      <c r="R92" s="115">
        <v>307.68</v>
      </c>
      <c r="S92" s="116">
        <f>IFERROR(R92/R148, "NA")</f>
        <v>1.2547156846393162E-2</v>
      </c>
      <c r="T92" s="115">
        <v>240.28</v>
      </c>
      <c r="U92" s="116">
        <f>IFERROR(T92/T148, "NA")</f>
        <v>9.0116242001189641E-3</v>
      </c>
      <c r="V92" s="115">
        <v>13.41</v>
      </c>
      <c r="W92" s="116">
        <f>IFERROR(V92/V148, "NA")</f>
        <v>5.5876862562085402E-4</v>
      </c>
      <c r="X92" s="115">
        <v>10.43</v>
      </c>
      <c r="Y92" s="116">
        <f>IFERROR(X92/X148, "NA")</f>
        <v>3.0064706859019301E-4</v>
      </c>
      <c r="Z92" s="115">
        <v>23.84</v>
      </c>
      <c r="AA92" s="116">
        <f>IFERROR(Z92/Z148, "NA")</f>
        <v>4.0619488085404516E-4</v>
      </c>
      <c r="AB92" s="117">
        <f t="shared" si="36"/>
        <v>142.94999999999999</v>
      </c>
      <c r="AC92" s="116">
        <f>IFERROR(AB92/AB148, "NA")</f>
        <v>5.2040354118318725E-3</v>
      </c>
      <c r="AD92" s="118">
        <f t="shared" si="37"/>
        <v>-132.51999999999998</v>
      </c>
      <c r="AE92" s="119">
        <f>IFERROR(AD92/AD148, "NA")</f>
        <v>-1.8347525136642472E-2</v>
      </c>
      <c r="AF92" s="118">
        <f t="shared" si="38"/>
        <v>-0.92703742567331227</v>
      </c>
      <c r="AG92" s="117">
        <f t="shared" si="39"/>
        <v>186.17875000000001</v>
      </c>
      <c r="AH92" s="116">
        <f>IFERROR(AG92/AG148, "NA")</f>
        <v>6.9951536030867104E-3</v>
      </c>
      <c r="AI92" s="118">
        <f t="shared" si="40"/>
        <v>-175.74875</v>
      </c>
      <c r="AJ92" s="119">
        <f>IFERROR(AI92/AI148, "NA")</f>
        <v>-2.1760646967517758E-2</v>
      </c>
      <c r="AK92" s="118">
        <f t="shared" si="41"/>
        <v>-0.94397856898276522</v>
      </c>
      <c r="AL92" s="119">
        <f>IFERROR(AK92/AK148, "NA")</f>
        <v>-3.1108176034784378</v>
      </c>
    </row>
    <row r="93" spans="1:38" ht="16.5" hidden="1" customHeight="1" x14ac:dyDescent="0.25">
      <c r="A93" s="2" t="s">
        <v>93</v>
      </c>
      <c r="B93" s="115">
        <v>2198.42</v>
      </c>
      <c r="C93" s="116">
        <f>IFERROR(B93/B148, "NA")</f>
        <v>7.6175909864870772E-2</v>
      </c>
      <c r="D93" s="115">
        <v>1160.69</v>
      </c>
      <c r="E93" s="116">
        <f>IFERROR(D93/D148, "NA")</f>
        <v>4.4850633776176138E-2</v>
      </c>
      <c r="F93" s="115">
        <v>1401.12</v>
      </c>
      <c r="G93" s="116">
        <f>IFERROR(F93/F148, "NA")</f>
        <v>5.4525225583177309E-2</v>
      </c>
      <c r="H93" s="115">
        <v>1238.4000000000001</v>
      </c>
      <c r="I93" s="116">
        <f>IFERROR(H93/H148, "NA")</f>
        <v>4.9212594513892503E-2</v>
      </c>
      <c r="J93" s="115">
        <v>1526.92</v>
      </c>
      <c r="K93" s="116">
        <f>IFERROR(J93/J148, "NA")</f>
        <v>5.3326311260368971E-2</v>
      </c>
      <c r="L93" s="115">
        <v>1847.32</v>
      </c>
      <c r="M93" s="116">
        <f>IFERROR(L93/L148, "NA")</f>
        <v>6.5831027092597194E-2</v>
      </c>
      <c r="N93" s="115">
        <v>2255.71</v>
      </c>
      <c r="O93" s="116">
        <f>IFERROR(N93/N148, "NA")</f>
        <v>8.7625842380621627E-2</v>
      </c>
      <c r="P93" s="115">
        <v>906.67</v>
      </c>
      <c r="Q93" s="116">
        <f>IFERROR(P93/P148, "NA")</f>
        <v>4.3993288460344081E-2</v>
      </c>
      <c r="R93" s="115">
        <v>1572.87</v>
      </c>
      <c r="S93" s="116">
        <f>IFERROR(R93/R148, "NA")</f>
        <v>6.4141467072888744E-2</v>
      </c>
      <c r="T93" s="115">
        <v>1773.1799999999998</v>
      </c>
      <c r="U93" s="116">
        <f>IFERROR(T93/T148, "NA")</f>
        <v>6.6502546192637527E-2</v>
      </c>
      <c r="V93" s="115">
        <v>1256.69</v>
      </c>
      <c r="W93" s="116">
        <f>IFERROR(V93/V148, "NA")</f>
        <v>5.2363828794293146E-2</v>
      </c>
      <c r="X93" s="115">
        <v>2502.2999999999997</v>
      </c>
      <c r="Y93" s="116">
        <f>IFERROR(X93/X148, "NA")</f>
        <v>7.2129353761576212E-2</v>
      </c>
      <c r="Z93" s="115">
        <v>3758.9900000000007</v>
      </c>
      <c r="AA93" s="116">
        <f>IFERROR(Z93/Z148, "NA")</f>
        <v>6.4047084529427326E-2</v>
      </c>
      <c r="AB93" s="117">
        <f t="shared" si="36"/>
        <v>1776.2599999999998</v>
      </c>
      <c r="AC93" s="116">
        <f>IFERROR(AB93/AB148, "NA")</f>
        <v>6.4664007979156918E-2</v>
      </c>
      <c r="AD93" s="118">
        <f t="shared" si="37"/>
        <v>726.04</v>
      </c>
      <c r="AE93" s="119">
        <f>IFERROR(AD93/AD148, "NA")</f>
        <v>0.10052095646097119</v>
      </c>
      <c r="AF93" s="118">
        <f t="shared" si="38"/>
        <v>0.40874646729645436</v>
      </c>
      <c r="AG93" s="117">
        <f t="shared" si="39"/>
        <v>1705.2075</v>
      </c>
      <c r="AH93" s="116">
        <f>IFERROR(AG93/AG148, "NA")</f>
        <v>6.4068473913566834E-2</v>
      </c>
      <c r="AI93" s="118">
        <f t="shared" si="40"/>
        <v>797.09249999999975</v>
      </c>
      <c r="AJ93" s="119">
        <f>IFERROR(AI93/AI148, "NA")</f>
        <v>9.8693438746825471E-2</v>
      </c>
      <c r="AK93" s="118">
        <f t="shared" si="41"/>
        <v>0.46744604395652711</v>
      </c>
      <c r="AL93" s="119">
        <f>IFERROR(AK93/AK148, "NA")</f>
        <v>1.5404368594758524</v>
      </c>
    </row>
    <row r="94" spans="1:38" ht="16.5" hidden="1" customHeight="1" x14ac:dyDescent="0.25">
      <c r="A94" s="2" t="s">
        <v>94</v>
      </c>
      <c r="B94" s="115">
        <v>908.04</v>
      </c>
      <c r="C94" s="116">
        <f>IFERROR(B94/B148, "NA")</f>
        <v>3.1463857312841612E-2</v>
      </c>
      <c r="D94" s="115">
        <v>790.1</v>
      </c>
      <c r="E94" s="116">
        <f>IFERROR(D94/D148, "NA")</f>
        <v>3.0530534205133814E-2</v>
      </c>
      <c r="F94" s="115">
        <v>718.73</v>
      </c>
      <c r="G94" s="116">
        <f>IFERROR(F94/F148, "NA")</f>
        <v>2.7969706651391053E-2</v>
      </c>
      <c r="H94" s="115">
        <v>650.54</v>
      </c>
      <c r="I94" s="116">
        <f>IFERROR(H94/H148, "NA")</f>
        <v>2.5851712883614038E-2</v>
      </c>
      <c r="J94" s="115">
        <v>744.94</v>
      </c>
      <c r="K94" s="116">
        <f>IFERROR(J94/J148, "NA")</f>
        <v>2.6016361243745095E-2</v>
      </c>
      <c r="L94" s="115">
        <v>770.65</v>
      </c>
      <c r="M94" s="116">
        <f>IFERROR(L94/L148, "NA")</f>
        <v>2.7462854854010149E-2</v>
      </c>
      <c r="N94" s="115">
        <v>697.05</v>
      </c>
      <c r="O94" s="116">
        <f>IFERROR(N94/N148, "NA")</f>
        <v>2.7077768610066145E-2</v>
      </c>
      <c r="P94" s="115">
        <v>528.79999999999995</v>
      </c>
      <c r="Q94" s="116">
        <f>IFERROR(P94/P148, "NA")</f>
        <v>2.5658344202223463E-2</v>
      </c>
      <c r="R94" s="115">
        <v>659.75</v>
      </c>
      <c r="S94" s="116">
        <f>IFERROR(R94/R148, "NA")</f>
        <v>2.6904533051897713E-2</v>
      </c>
      <c r="T94" s="115">
        <v>764.85</v>
      </c>
      <c r="U94" s="116">
        <f>IFERROR(T94/T148, "NA")</f>
        <v>2.8685453510325414E-2</v>
      </c>
      <c r="V94" s="115">
        <v>597.38</v>
      </c>
      <c r="W94" s="116">
        <f>IFERROR(V94/V148, "NA")</f>
        <v>2.4891663055435179E-2</v>
      </c>
      <c r="X94" s="115">
        <v>916.81</v>
      </c>
      <c r="Y94" s="116">
        <f>IFERROR(X94/X148, "NA")</f>
        <v>2.6427252056967863E-2</v>
      </c>
      <c r="Z94" s="115">
        <v>1514.19</v>
      </c>
      <c r="AA94" s="116">
        <f>IFERROR(Z94/Z148, "NA")</f>
        <v>2.5799338365788033E-2</v>
      </c>
      <c r="AB94" s="117">
        <f t="shared" si="36"/>
        <v>734.69749999999999</v>
      </c>
      <c r="AC94" s="116">
        <f>IFERROR(AB94/AB148, "NA")</f>
        <v>2.6746357516504702E-2</v>
      </c>
      <c r="AD94" s="118">
        <f t="shared" si="37"/>
        <v>182.11249999999995</v>
      </c>
      <c r="AE94" s="119">
        <f>IFERROR(AD94/AD148, "NA")</f>
        <v>2.521365583645338E-2</v>
      </c>
      <c r="AF94" s="118">
        <f t="shared" si="38"/>
        <v>0.24787412506507775</v>
      </c>
      <c r="AG94" s="117">
        <f t="shared" si="39"/>
        <v>710.02875000000017</v>
      </c>
      <c r="AH94" s="116">
        <f>IFERROR(AG94/AG148, "NA")</f>
        <v>2.6677374130278854E-2</v>
      </c>
      <c r="AI94" s="118">
        <f t="shared" si="40"/>
        <v>206.78124999999977</v>
      </c>
      <c r="AJ94" s="119">
        <f>IFERROR(AI94/AI148, "NA")</f>
        <v>2.560299166140315E-2</v>
      </c>
      <c r="AK94" s="118">
        <f t="shared" si="41"/>
        <v>0.29122940444312956</v>
      </c>
      <c r="AL94" s="119">
        <f>IFERROR(AK94/AK148, "NA")</f>
        <v>0.9597268282991811</v>
      </c>
    </row>
    <row r="95" spans="1:38" ht="16.5" hidden="1" customHeight="1" x14ac:dyDescent="0.25">
      <c r="A95" s="2" t="s">
        <v>95</v>
      </c>
      <c r="B95" s="115">
        <v>1204.99</v>
      </c>
      <c r="C95" s="116">
        <f>IFERROR(B95/B148, "NA")</f>
        <v>4.1753263538391497E-2</v>
      </c>
      <c r="D95" s="115">
        <v>0</v>
      </c>
      <c r="E95" s="116">
        <f>IFERROR(D95/D148, "NA")</f>
        <v>0</v>
      </c>
      <c r="F95" s="115">
        <v>0</v>
      </c>
      <c r="G95" s="116">
        <f>IFERROR(F95/F148, "NA")</f>
        <v>0</v>
      </c>
      <c r="H95" s="115">
        <v>0</v>
      </c>
      <c r="I95" s="116">
        <f>IFERROR(H95/H148, "NA")</f>
        <v>0</v>
      </c>
      <c r="J95" s="115">
        <v>1204.99</v>
      </c>
      <c r="K95" s="116">
        <f>IFERROR(J95/J148, "NA")</f>
        <v>4.2083194801058342E-2</v>
      </c>
      <c r="L95" s="115">
        <v>0</v>
      </c>
      <c r="M95" s="116">
        <f>IFERROR(L95/L148, "NA")</f>
        <v>0</v>
      </c>
      <c r="N95" s="115">
        <v>0</v>
      </c>
      <c r="O95" s="116">
        <f>IFERROR(N95/N148, "NA")</f>
        <v>0</v>
      </c>
      <c r="P95" s="115">
        <v>0</v>
      </c>
      <c r="Q95" s="116">
        <f>IFERROR(P95/P148, "NA")</f>
        <v>0</v>
      </c>
      <c r="R95" s="115">
        <v>0</v>
      </c>
      <c r="S95" s="116">
        <f>IFERROR(R95/R148, "NA")</f>
        <v>0</v>
      </c>
      <c r="T95" s="115">
        <v>1204.99</v>
      </c>
      <c r="U95" s="116">
        <f>IFERROR(T95/T148, "NA")</f>
        <v>4.5192762797158947E-2</v>
      </c>
      <c r="V95" s="115">
        <v>0</v>
      </c>
      <c r="W95" s="116">
        <f>IFERROR(V95/V148, "NA")</f>
        <v>0</v>
      </c>
      <c r="X95" s="115">
        <v>0</v>
      </c>
      <c r="Y95" s="116">
        <f>IFERROR(X95/X148, "NA")</f>
        <v>0</v>
      </c>
      <c r="Z95" s="115">
        <v>0</v>
      </c>
      <c r="AA95" s="116">
        <f>IFERROR(Z95/Z148, "NA")</f>
        <v>0</v>
      </c>
      <c r="AB95" s="117">
        <f t="shared" si="36"/>
        <v>301.2475</v>
      </c>
      <c r="AC95" s="116">
        <f>IFERROR(AB95/AB148, "NA")</f>
        <v>1.0966790190456958E-2</v>
      </c>
      <c r="AD95" s="118">
        <f t="shared" si="37"/>
        <v>-301.2475</v>
      </c>
      <c r="AE95" s="119">
        <f>IFERROR(AD95/AD148, "NA")</f>
        <v>-4.1708014477819987E-2</v>
      </c>
      <c r="AF95" s="118">
        <f t="shared" si="38"/>
        <v>-1</v>
      </c>
      <c r="AG95" s="117">
        <f t="shared" si="39"/>
        <v>301.2475</v>
      </c>
      <c r="AH95" s="116">
        <f>IFERROR(AG95/AG148, "NA")</f>
        <v>1.1318544866403194E-2</v>
      </c>
      <c r="AI95" s="118">
        <f t="shared" si="40"/>
        <v>-301.2475</v>
      </c>
      <c r="AJ95" s="119">
        <f>IFERROR(AI95/AI148, "NA")</f>
        <v>-3.7299499981350112E-2</v>
      </c>
      <c r="AK95" s="118">
        <f t="shared" si="41"/>
        <v>-1</v>
      </c>
      <c r="AL95" s="119">
        <f>IFERROR(AK95/AK148, "NA")</f>
        <v>-3.2954324448601269</v>
      </c>
    </row>
    <row r="96" spans="1:38" ht="16.5" hidden="1" customHeight="1" x14ac:dyDescent="0.25">
      <c r="A96" s="2" t="s">
        <v>96</v>
      </c>
      <c r="B96" s="115">
        <v>0</v>
      </c>
      <c r="C96" s="116">
        <f>IFERROR(B96/B148, "NA")</f>
        <v>0</v>
      </c>
      <c r="D96" s="115">
        <v>0</v>
      </c>
      <c r="E96" s="116">
        <f>IFERROR(D96/D148, "NA")</f>
        <v>0</v>
      </c>
      <c r="F96" s="115">
        <v>0</v>
      </c>
      <c r="G96" s="116">
        <f>IFERROR(F96/F148, "NA")</f>
        <v>0</v>
      </c>
      <c r="H96" s="115">
        <v>0</v>
      </c>
      <c r="I96" s="116">
        <f>IFERROR(H96/H148, "NA")</f>
        <v>0</v>
      </c>
      <c r="J96" s="115">
        <v>0</v>
      </c>
      <c r="K96" s="116">
        <f>IFERROR(J96/J148, "NA")</f>
        <v>0</v>
      </c>
      <c r="L96" s="115">
        <v>0</v>
      </c>
      <c r="M96" s="116">
        <f>IFERROR(L96/L148, "NA")</f>
        <v>0</v>
      </c>
      <c r="N96" s="115">
        <v>0</v>
      </c>
      <c r="O96" s="116">
        <f>IFERROR(N96/N148, "NA")</f>
        <v>0</v>
      </c>
      <c r="P96" s="115">
        <v>0</v>
      </c>
      <c r="Q96" s="116">
        <f>IFERROR(P96/P148, "NA")</f>
        <v>0</v>
      </c>
      <c r="R96" s="115">
        <v>0</v>
      </c>
      <c r="S96" s="116">
        <f>IFERROR(R96/R148, "NA")</f>
        <v>0</v>
      </c>
      <c r="T96" s="115">
        <v>0</v>
      </c>
      <c r="U96" s="116">
        <f>IFERROR(T96/T148, "NA")</f>
        <v>0</v>
      </c>
      <c r="V96" s="115">
        <v>1750</v>
      </c>
      <c r="W96" s="116">
        <f>IFERROR(V96/V148, "NA")</f>
        <v>7.2919097303243433E-2</v>
      </c>
      <c r="X96" s="115">
        <v>0</v>
      </c>
      <c r="Y96" s="116">
        <f>IFERROR(X96/X148, "NA")</f>
        <v>0</v>
      </c>
      <c r="Z96" s="115">
        <v>1750</v>
      </c>
      <c r="AA96" s="116">
        <f>IFERROR(Z96/Z148, "NA")</f>
        <v>2.981715778081288E-2</v>
      </c>
      <c r="AB96" s="117">
        <f t="shared" si="36"/>
        <v>437.5</v>
      </c>
      <c r="AC96" s="116">
        <f>IFERROR(AB96/AB148, "NA")</f>
        <v>1.5927005894903423E-2</v>
      </c>
      <c r="AD96" s="118">
        <f t="shared" si="37"/>
        <v>-437.5</v>
      </c>
      <c r="AE96" s="119">
        <f>IFERROR(AD96/AD148, "NA")</f>
        <v>-6.057230793299942E-2</v>
      </c>
      <c r="AF96" s="118">
        <f t="shared" si="38"/>
        <v>-1</v>
      </c>
      <c r="AG96" s="117">
        <f t="shared" si="39"/>
        <v>218.75</v>
      </c>
      <c r="AH96" s="116">
        <f>IFERROR(AG96/AG148, "NA")</f>
        <v>8.2189285870445349E-3</v>
      </c>
      <c r="AI96" s="118">
        <f t="shared" si="40"/>
        <v>-218.75</v>
      </c>
      <c r="AJ96" s="119">
        <f>IFERROR(AI96/AI148, "NA")</f>
        <v>-2.7084923927734959E-2</v>
      </c>
      <c r="AK96" s="118">
        <f t="shared" si="41"/>
        <v>-1</v>
      </c>
      <c r="AL96" s="119">
        <f>IFERROR(AK96/AK148, "NA")</f>
        <v>-3.2954324448601269</v>
      </c>
    </row>
    <row r="97" spans="1:38" ht="16.5" hidden="1" customHeight="1" x14ac:dyDescent="0.25">
      <c r="A97" s="2" t="s">
        <v>97</v>
      </c>
      <c r="B97" s="115">
        <v>331.01</v>
      </c>
      <c r="C97" s="116">
        <f>IFERROR(B97/B148, "NA")</f>
        <v>1.1469595402321155E-2</v>
      </c>
      <c r="D97" s="115">
        <v>381.01</v>
      </c>
      <c r="E97" s="116">
        <f>IFERROR(D97/D148, "NA")</f>
        <v>1.4722742485125976E-2</v>
      </c>
      <c r="F97" s="115">
        <v>683.54</v>
      </c>
      <c r="G97" s="116">
        <f>IFERROR(F97/F148, "NA")</f>
        <v>2.6600271707723121E-2</v>
      </c>
      <c r="H97" s="115">
        <v>538.83999999999992</v>
      </c>
      <c r="I97" s="116">
        <f>IFERROR(H97/H148, "NA")</f>
        <v>2.1412883097436879E-2</v>
      </c>
      <c r="J97" s="115">
        <v>1023.8900000000001</v>
      </c>
      <c r="K97" s="116">
        <f>IFERROR(J97/J148, "NA")</f>
        <v>3.5758439758716364E-2</v>
      </c>
      <c r="L97" s="115">
        <v>2428.29</v>
      </c>
      <c r="M97" s="116">
        <f>IFERROR(L97/L148, "NA")</f>
        <v>8.65344524926287E-2</v>
      </c>
      <c r="N97" s="115">
        <v>0</v>
      </c>
      <c r="O97" s="116">
        <f>IFERROR(N97/N148, "NA")</f>
        <v>0</v>
      </c>
      <c r="P97" s="115">
        <v>0</v>
      </c>
      <c r="Q97" s="116">
        <f>IFERROR(P97/P148, "NA")</f>
        <v>0</v>
      </c>
      <c r="R97" s="115">
        <v>561.85</v>
      </c>
      <c r="S97" s="116">
        <f>IFERROR(R97/R148, "NA")</f>
        <v>2.2912181728243625E-2</v>
      </c>
      <c r="T97" s="115">
        <v>300</v>
      </c>
      <c r="U97" s="116">
        <f>IFERROR(T97/T148, "NA")</f>
        <v>1.1251403612600672E-2</v>
      </c>
      <c r="V97" s="115">
        <v>0</v>
      </c>
      <c r="W97" s="116">
        <f>IFERROR(V97/V148, "NA")</f>
        <v>0</v>
      </c>
      <c r="X97" s="115">
        <v>0</v>
      </c>
      <c r="Y97" s="116">
        <f>IFERROR(X97/X148, "NA")</f>
        <v>0</v>
      </c>
      <c r="Z97" s="115">
        <v>0</v>
      </c>
      <c r="AA97" s="116">
        <f>IFERROR(Z97/Z148, "NA")</f>
        <v>0</v>
      </c>
      <c r="AB97" s="117">
        <f t="shared" si="36"/>
        <v>215.46250000000001</v>
      </c>
      <c r="AC97" s="116">
        <f>IFERROR(AB97/AB148, "NA")</f>
        <v>7.8438228745842942E-3</v>
      </c>
      <c r="AD97" s="118">
        <f t="shared" si="37"/>
        <v>-215.46250000000001</v>
      </c>
      <c r="AE97" s="119">
        <f>IFERROR(AD97/AD148, "NA")</f>
        <v>-2.9830996338317459E-2</v>
      </c>
      <c r="AF97" s="118">
        <f t="shared" si="38"/>
        <v>-1</v>
      </c>
      <c r="AG97" s="117">
        <f t="shared" si="39"/>
        <v>539.25375000000008</v>
      </c>
      <c r="AH97" s="116">
        <f>IFERROR(AG97/AG148, "NA")</f>
        <v>2.0260973995638712E-2</v>
      </c>
      <c r="AI97" s="118">
        <f t="shared" si="40"/>
        <v>-539.25375000000008</v>
      </c>
      <c r="AJ97" s="119">
        <f>IFERROR(AI97/AI148, "NA")</f>
        <v>-6.6768671069695126E-2</v>
      </c>
      <c r="AK97" s="118">
        <f t="shared" si="41"/>
        <v>-1</v>
      </c>
      <c r="AL97" s="119">
        <f>IFERROR(AK97/AK148, "NA")</f>
        <v>-3.2954324448601269</v>
      </c>
    </row>
    <row r="98" spans="1:38" ht="16.5" hidden="1" customHeight="1" x14ac:dyDescent="0.25">
      <c r="A98" s="2" t="s">
        <v>98</v>
      </c>
      <c r="B98" s="115">
        <v>1322.25</v>
      </c>
      <c r="C98" s="116">
        <f>IFERROR(B98/B148, "NA")</f>
        <v>4.5816357574451363E-2</v>
      </c>
      <c r="D98" s="115">
        <v>299.10000000000002</v>
      </c>
      <c r="E98" s="116">
        <f>IFERROR(D98/D148, "NA")</f>
        <v>1.1557629136508702E-2</v>
      </c>
      <c r="F98" s="115">
        <v>204.31</v>
      </c>
      <c r="G98" s="116">
        <f>IFERROR(F98/F148, "NA")</f>
        <v>7.9508170883999633E-3</v>
      </c>
      <c r="H98" s="115">
        <v>2483.29</v>
      </c>
      <c r="I98" s="116">
        <f>IFERROR(H98/H148, "NA")</f>
        <v>9.8683094178297889E-2</v>
      </c>
      <c r="J98" s="115">
        <v>1510.3500000000001</v>
      </c>
      <c r="K98" s="116">
        <f>IFERROR(J98/J148, "NA")</f>
        <v>5.2747618874661589E-2</v>
      </c>
      <c r="L98" s="115">
        <v>662.74</v>
      </c>
      <c r="M98" s="116">
        <f>IFERROR(L98/L148, "NA")</f>
        <v>2.3617378091152517E-2</v>
      </c>
      <c r="N98" s="115">
        <v>574.82999999999993</v>
      </c>
      <c r="O98" s="116">
        <f>IFERROR(N98/N148, "NA")</f>
        <v>2.232998168011523E-2</v>
      </c>
      <c r="P98" s="115">
        <v>497.22</v>
      </c>
      <c r="Q98" s="116">
        <f>IFERROR(P98/P148, "NA")</f>
        <v>2.41260247810695E-2</v>
      </c>
      <c r="R98" s="115">
        <v>2396.7000000000003</v>
      </c>
      <c r="S98" s="116">
        <f>IFERROR(R98/R148, "NA")</f>
        <v>9.7737164631274354E-2</v>
      </c>
      <c r="T98" s="115">
        <v>1395.5300000000002</v>
      </c>
      <c r="U98" s="116">
        <f>IFERROR(T98/T148, "NA")</f>
        <v>5.2338904278308729E-2</v>
      </c>
      <c r="V98" s="115">
        <v>324</v>
      </c>
      <c r="W98" s="116">
        <f>IFERROR(V98/V148, "NA")</f>
        <v>1.35004500150005E-2</v>
      </c>
      <c r="X98" s="115">
        <v>0</v>
      </c>
      <c r="Y98" s="116">
        <f>IFERROR(X98/X148, "NA")</f>
        <v>0</v>
      </c>
      <c r="Z98" s="115">
        <v>324</v>
      </c>
      <c r="AA98" s="116">
        <f>IFERROR(Z98/Z148, "NA")</f>
        <v>5.52043378341907E-3</v>
      </c>
      <c r="AB98" s="117">
        <f t="shared" si="36"/>
        <v>1029.0575000000001</v>
      </c>
      <c r="AC98" s="116">
        <f>IFERROR(AB98/AB148, "NA")</f>
        <v>3.7462411128444756E-2</v>
      </c>
      <c r="AD98" s="118">
        <f t="shared" si="37"/>
        <v>-1029.0575000000001</v>
      </c>
      <c r="AE98" s="119">
        <f>IFERROR(AD98/AD148, "NA")</f>
        <v>-0.14247402919031441</v>
      </c>
      <c r="AF98" s="118">
        <f t="shared" si="38"/>
        <v>-1</v>
      </c>
      <c r="AG98" s="117">
        <f t="shared" si="39"/>
        <v>920.1712500000001</v>
      </c>
      <c r="AH98" s="116">
        <f>IFERROR(AG98/AG148, "NA")</f>
        <v>3.4572899618749736E-2</v>
      </c>
      <c r="AI98" s="118">
        <f t="shared" si="40"/>
        <v>-920.1712500000001</v>
      </c>
      <c r="AJ98" s="119">
        <f>IFERROR(AI98/AI148, "NA")</f>
        <v>-0.11393265511652019</v>
      </c>
      <c r="AK98" s="118">
        <f t="shared" si="41"/>
        <v>-1</v>
      </c>
      <c r="AL98" s="119">
        <f>IFERROR(AK98/AK148, "NA")</f>
        <v>-3.2954324448601269</v>
      </c>
    </row>
    <row r="99" spans="1:38" ht="16.5" hidden="1" customHeight="1" x14ac:dyDescent="0.25">
      <c r="A99" s="120" t="s">
        <v>99</v>
      </c>
      <c r="B99" s="121">
        <f>IFERROR(B90+B91+B92+B93+B94+B95+B96+B97+B98, "NA")</f>
        <v>8188.37</v>
      </c>
      <c r="C99" s="122">
        <f>IFERROR(B99/B148, "NA")</f>
        <v>0.28372946709919478</v>
      </c>
      <c r="D99" s="121">
        <f>IFERROR(D90+D91+D92+D93+D94+D95+D96+D97+D98, "NA")</f>
        <v>4855.5300000000007</v>
      </c>
      <c r="E99" s="122">
        <f>IFERROR(D99/D148, "NA")</f>
        <v>0.18762425610562386</v>
      </c>
      <c r="F99" s="121">
        <f>IFERROR(F90+F91+F92+F93+F94+F95+F96+F97+F98, "NA")</f>
        <v>5042.93</v>
      </c>
      <c r="G99" s="122">
        <f>IFERROR(F99/F148, "NA")</f>
        <v>0.19624792726545365</v>
      </c>
      <c r="H99" s="121">
        <f>IFERROR(H90+H91+H92+H93+H94+H95+H96+H97+H98, "NA")</f>
        <v>7478.4900000000007</v>
      </c>
      <c r="I99" s="122">
        <f>IFERROR(H99/H148, "NA")</f>
        <v>0.29718660848368861</v>
      </c>
      <c r="J99" s="121">
        <f>IFERROR(J90+J91+J92+J93+J94+J95+J96+J97+J98, "NA")</f>
        <v>8135.43</v>
      </c>
      <c r="K99" s="122">
        <f>IFERROR(J99/J148, "NA")</f>
        <v>0.28412259477703056</v>
      </c>
      <c r="L99" s="121">
        <f>IFERROR(L90+L91+L92+L93+L94+L95+L96+L97+L98, "NA")</f>
        <v>7648.079999999999</v>
      </c>
      <c r="M99" s="122">
        <f>IFERROR(L99/L148, "NA")</f>
        <v>0.27254669558406269</v>
      </c>
      <c r="N99" s="121">
        <f>IFERROR(N90+N91+N92+N93+N94+N95+N96+N97+N98, "NA")</f>
        <v>5294.13</v>
      </c>
      <c r="O99" s="122">
        <f>IFERROR(N99/N148, "NA")</f>
        <v>0.2056570219232616</v>
      </c>
      <c r="P99" s="121">
        <f>IFERROR(P90+P91+P92+P93+P94+P95+P96+P97+P98, "NA")</f>
        <v>3016.8199999999997</v>
      </c>
      <c r="Q99" s="122">
        <f>IFERROR(P99/P148, "NA")</f>
        <v>0.14638163002297994</v>
      </c>
      <c r="R99" s="121">
        <f>IFERROR(R90+R91+R92+R93+R94+R95+R96+R97+R98, "NA")</f>
        <v>6266</v>
      </c>
      <c r="S99" s="122">
        <f>IFERROR(R99/R148, "NA")</f>
        <v>0.25552679667024036</v>
      </c>
      <c r="T99" s="121">
        <f>IFERROR(T90+T91+T92+T93+T94+T95+T96+T97+T98, "NA")</f>
        <v>7126.3700000000008</v>
      </c>
      <c r="U99" s="122">
        <f>IFERROR(T99/T148, "NA")</f>
        <v>0.26727221720909689</v>
      </c>
      <c r="V99" s="121">
        <f>IFERROR(V90+V91+V92+V93+V94+V95+V96+V97+V98, "NA")</f>
        <v>4980.3700000000008</v>
      </c>
      <c r="W99" s="122">
        <f>IFERROR(V99/V148, "NA")</f>
        <v>0.20752233407780263</v>
      </c>
      <c r="X99" s="121">
        <f>IFERROR(X90+X91+X92+X93+X94+X95+X96+X97+X98, "NA")</f>
        <v>4168.33</v>
      </c>
      <c r="Y99" s="122">
        <f>IFERROR(X99/X148, "NA")</f>
        <v>0.12015303887023578</v>
      </c>
      <c r="Z99" s="121">
        <f>IFERROR(Z90+Z91+Z92+Z93+Z94+Z95+Z96+Z97+Z98, "NA")</f>
        <v>9148.7000000000007</v>
      </c>
      <c r="AA99" s="122">
        <f>IFERROR(Z99/Z148, "NA")</f>
        <v>0.15587898936532732</v>
      </c>
      <c r="AB99" s="121">
        <f t="shared" si="36"/>
        <v>5635.2674999999999</v>
      </c>
      <c r="AC99" s="122">
        <f>IFERROR(AB99/AB148, "NA")</f>
        <v>0.20514957415281754</v>
      </c>
      <c r="AD99" s="123">
        <f t="shared" si="37"/>
        <v>-1466.9375</v>
      </c>
      <c r="AE99" s="124">
        <f>IFERROR(AD99/AD148, "NA")</f>
        <v>-0.20309894849934707</v>
      </c>
      <c r="AF99" s="123">
        <f t="shared" si="38"/>
        <v>-0.26031372956119653</v>
      </c>
      <c r="AG99" s="121">
        <f t="shared" si="39"/>
        <v>5829.4412500000008</v>
      </c>
      <c r="AH99" s="122">
        <f>IFERROR(AG99/AG148, "NA")</f>
        <v>0.2190251946794132</v>
      </c>
      <c r="AI99" s="123">
        <f t="shared" si="40"/>
        <v>-1661.1112500000008</v>
      </c>
      <c r="AJ99" s="124">
        <f>IFERROR(AI99/AI148, "NA")</f>
        <v>-0.20567347127659316</v>
      </c>
      <c r="AK99" s="123">
        <f t="shared" si="41"/>
        <v>-0.28495205265170148</v>
      </c>
      <c r="AL99" s="124">
        <f>IFERROR(AK99/AK148, "NA")</f>
        <v>-0.93904023953790827</v>
      </c>
    </row>
    <row r="100" spans="1:38" ht="16.5" hidden="1" customHeight="1" x14ac:dyDescent="0.25">
      <c r="A100" s="8" t="s">
        <v>2</v>
      </c>
      <c r="B100" s="138"/>
      <c r="C100" s="126"/>
      <c r="D100" s="138"/>
      <c r="E100" s="126"/>
      <c r="F100" s="138"/>
      <c r="G100" s="126"/>
      <c r="H100" s="138"/>
      <c r="I100" s="126"/>
      <c r="J100" s="138"/>
      <c r="K100" s="126"/>
      <c r="L100" s="138"/>
      <c r="M100" s="126"/>
      <c r="N100" s="138"/>
      <c r="O100" s="126"/>
      <c r="P100" s="138"/>
      <c r="Q100" s="126"/>
      <c r="R100" s="138"/>
      <c r="S100" s="126"/>
      <c r="T100" s="138"/>
      <c r="U100" s="126"/>
      <c r="V100" s="138"/>
      <c r="W100" s="126"/>
      <c r="X100" s="138"/>
      <c r="Y100" s="126"/>
      <c r="Z100" s="138"/>
      <c r="AA100" s="126"/>
      <c r="AB100" s="138"/>
      <c r="AC100" s="126"/>
      <c r="AD100" s="139"/>
      <c r="AE100" s="128"/>
      <c r="AF100" s="139"/>
      <c r="AG100" s="138"/>
      <c r="AH100" s="126"/>
      <c r="AI100" s="139"/>
      <c r="AJ100" s="128"/>
      <c r="AK100" s="139"/>
      <c r="AL100" s="128"/>
    </row>
    <row r="101" spans="1:38" ht="16.5" hidden="1" customHeight="1" x14ac:dyDescent="0.25">
      <c r="A101" s="135" t="s">
        <v>100</v>
      </c>
      <c r="B101" s="136">
        <f>IFERROR(B87-B99, "NA")</f>
        <v>8229.9699999999903</v>
      </c>
      <c r="C101" s="137">
        <f>IFERROR(B101/B148, "NA")</f>
        <v>0.28517091952883877</v>
      </c>
      <c r="D101" s="136">
        <f>IFERROR(D87-D99, "NA")</f>
        <v>6494.5799999999963</v>
      </c>
      <c r="E101" s="137">
        <f>IFERROR(D101/D148, "NA")</f>
        <v>0.25095936822931003</v>
      </c>
      <c r="F101" s="136">
        <f>IFERROR(F87-F99, "NA")</f>
        <v>6880.7700000000041</v>
      </c>
      <c r="G101" s="137">
        <f>IFERROR(F101/F148, "NA")</f>
        <v>0.26776831137658386</v>
      </c>
      <c r="H101" s="136">
        <f>IFERROR(H87-H99, "NA")</f>
        <v>3603.7499999999955</v>
      </c>
      <c r="I101" s="137">
        <f>IFERROR(H101/H148, "NA")</f>
        <v>0.14320888846853996</v>
      </c>
      <c r="J101" s="136">
        <f>IFERROR(J87-J99, "NA")</f>
        <v>5826.1299999999901</v>
      </c>
      <c r="K101" s="137">
        <f>IFERROR(J101/J148, "NA")</f>
        <v>0.20347236385886158</v>
      </c>
      <c r="L101" s="136">
        <f>IFERROR(L87-L99, "NA")</f>
        <v>5566.1299999999965</v>
      </c>
      <c r="M101" s="137">
        <f>IFERROR(L101/L148, "NA")</f>
        <v>0.19835440250249972</v>
      </c>
      <c r="N101" s="136">
        <f>IFERROR(N87-N99, "NA")</f>
        <v>7080.5099999999957</v>
      </c>
      <c r="O101" s="137">
        <f>IFERROR(N101/N148, "NA")</f>
        <v>0.27505116049244577</v>
      </c>
      <c r="P101" s="136">
        <f>IFERROR(P87-P99, "NA")</f>
        <v>4982.0999999999985</v>
      </c>
      <c r="Q101" s="137">
        <f>IFERROR(P101/P148, "NA")</f>
        <v>0.24174061393702248</v>
      </c>
      <c r="R101" s="136">
        <f>IFERROR(R87-R99, "NA")</f>
        <v>4868.9500000000007</v>
      </c>
      <c r="S101" s="137">
        <f>IFERROR(R101/R148, "NA")</f>
        <v>0.19855525002355043</v>
      </c>
      <c r="T101" s="136">
        <f>IFERROR(T87-T99, "NA")</f>
        <v>5860.4100000000017</v>
      </c>
      <c r="U101" s="137">
        <f>IFERROR(T101/T148, "NA")</f>
        <v>0.21979279415107042</v>
      </c>
      <c r="V101" s="136">
        <f>IFERROR(V87-V99, "NA")</f>
        <v>5887.8900000000012</v>
      </c>
      <c r="W101" s="137">
        <f>IFERROR(V101/V148, "NA")</f>
        <v>0.24533692789759662</v>
      </c>
      <c r="X101" s="136">
        <f>IFERROR(X87-X99, "NA")</f>
        <v>17882.619999999988</v>
      </c>
      <c r="Y101" s="137">
        <f>IFERROR(X101/X148, "NA")</f>
        <v>0.51547049680847112</v>
      </c>
      <c r="Z101" s="136">
        <f>IFERROR(Z87-Z99, "NA")</f>
        <v>23770.509999999991</v>
      </c>
      <c r="AA101" s="137">
        <f>IFERROR(Z101/Z148, "NA")</f>
        <v>0.40501088411450864</v>
      </c>
      <c r="AB101" s="136">
        <f>IFERROR((R101+T101+V101+X101)/4, "NA")</f>
        <v>8624.9674999999988</v>
      </c>
      <c r="AC101" s="137">
        <f>IFERROR(AB101/AB148, "NA")</f>
        <v>0.31398836163622956</v>
      </c>
      <c r="AD101" s="123">
        <f>IFERROR(X101-AB101, "NA")</f>
        <v>9257.6524999999892</v>
      </c>
      <c r="AE101" s="124">
        <f>IFERROR(AD101/AD148, "NA")</f>
        <v>1.2817311496381742</v>
      </c>
      <c r="AF101" s="123">
        <f>IFERROR((X101-AB101)/AB101, "NA")</f>
        <v>1.0733550590190619</v>
      </c>
      <c r="AG101" s="136">
        <f>IFERROR((J101+L101+N101+P101+R101+T101+V101+X101)/8, "NA")</f>
        <v>7244.3424999999961</v>
      </c>
      <c r="AH101" s="137">
        <f>IFERROR(AG101/AG148, "NA")</f>
        <v>0.27218621105184754</v>
      </c>
      <c r="AI101" s="123">
        <f>IFERROR(X101-AG101, "NA")</f>
        <v>10638.277499999993</v>
      </c>
      <c r="AJ101" s="124">
        <f>IFERROR(AI101/AI148, "NA")</f>
        <v>1.3171974254154708</v>
      </c>
      <c r="AK101" s="123">
        <f>IFERROR((X101-AG101)/AG101, "NA")</f>
        <v>1.4684945528182853</v>
      </c>
      <c r="AL101" s="124">
        <f>IFERROR(AK101/AK148, "NA")</f>
        <v>4.8393245944577412</v>
      </c>
    </row>
    <row r="102" spans="1:38" ht="3.75" hidden="1" customHeight="1" x14ac:dyDescent="0.25">
      <c r="A102" s="8" t="s">
        <v>2</v>
      </c>
      <c r="B102" s="138"/>
      <c r="C102" s="126"/>
      <c r="D102" s="138"/>
      <c r="E102" s="126"/>
      <c r="F102" s="138"/>
      <c r="G102" s="126"/>
      <c r="H102" s="138"/>
      <c r="I102" s="126"/>
      <c r="J102" s="138"/>
      <c r="K102" s="126"/>
      <c r="L102" s="138"/>
      <c r="M102" s="126"/>
      <c r="N102" s="138"/>
      <c r="O102" s="126"/>
      <c r="P102" s="138"/>
      <c r="Q102" s="126"/>
      <c r="R102" s="138"/>
      <c r="S102" s="126"/>
      <c r="T102" s="138"/>
      <c r="U102" s="126"/>
      <c r="V102" s="138"/>
      <c r="W102" s="126"/>
      <c r="X102" s="138"/>
      <c r="Y102" s="126"/>
      <c r="Z102" s="138"/>
      <c r="AA102" s="126"/>
      <c r="AB102" s="138"/>
      <c r="AC102" s="126"/>
      <c r="AD102" s="139"/>
      <c r="AE102" s="128"/>
      <c r="AF102" s="139"/>
      <c r="AG102" s="138"/>
      <c r="AH102" s="126"/>
      <c r="AI102" s="139"/>
      <c r="AJ102" s="128"/>
      <c r="AK102" s="139"/>
      <c r="AL102" s="128"/>
    </row>
    <row r="103" spans="1:38" ht="16.5" hidden="1" customHeight="1" x14ac:dyDescent="0.25">
      <c r="A103" s="1" t="s">
        <v>101</v>
      </c>
      <c r="B103" s="111"/>
      <c r="C103" s="112"/>
      <c r="D103" s="111"/>
      <c r="E103" s="112"/>
      <c r="F103" s="111"/>
      <c r="G103" s="112"/>
      <c r="H103" s="111"/>
      <c r="I103" s="112"/>
      <c r="J103" s="111"/>
      <c r="K103" s="112"/>
      <c r="L103" s="111"/>
      <c r="M103" s="112"/>
      <c r="N103" s="111"/>
      <c r="O103" s="112"/>
      <c r="P103" s="111"/>
      <c r="Q103" s="112"/>
      <c r="R103" s="111"/>
      <c r="S103" s="112"/>
      <c r="T103" s="111"/>
      <c r="U103" s="112"/>
      <c r="V103" s="111"/>
      <c r="W103" s="112"/>
      <c r="X103" s="111"/>
      <c r="Y103" s="112"/>
      <c r="Z103" s="111"/>
      <c r="AA103" s="112"/>
      <c r="AB103" s="111"/>
      <c r="AC103" s="112"/>
      <c r="AD103" s="113"/>
      <c r="AE103" s="114"/>
      <c r="AF103" s="113"/>
      <c r="AG103" s="111"/>
      <c r="AH103" s="112"/>
      <c r="AI103" s="113"/>
      <c r="AJ103" s="114"/>
      <c r="AK103" s="113"/>
      <c r="AL103" s="114"/>
    </row>
    <row r="104" spans="1:38" ht="16.5" hidden="1" customHeight="1" x14ac:dyDescent="0.25">
      <c r="A104" s="9" t="s">
        <v>102</v>
      </c>
      <c r="B104" s="140">
        <v>23042.880000000001</v>
      </c>
      <c r="C104" s="137">
        <f>IFERROR(B104/B148, "NA")</f>
        <v>0.79844267697120364</v>
      </c>
      <c r="D104" s="140">
        <v>-6233</v>
      </c>
      <c r="E104" s="137">
        <f>IFERROR(D104/D148, "NA")</f>
        <v>-0.24085156271433877</v>
      </c>
      <c r="F104" s="140">
        <v>0</v>
      </c>
      <c r="G104" s="137">
        <f>IFERROR(F104/F148, "NA")</f>
        <v>0</v>
      </c>
      <c r="H104" s="140">
        <v>827.97</v>
      </c>
      <c r="I104" s="137">
        <f>IFERROR(H104/H148, "NA")</f>
        <v>3.2902577422212191E-2</v>
      </c>
      <c r="J104" s="140">
        <v>23792.880000000001</v>
      </c>
      <c r="K104" s="137">
        <f>IFERROR(J104/J148, "NA")</f>
        <v>0.830944990346978</v>
      </c>
      <c r="L104" s="140">
        <v>-6611</v>
      </c>
      <c r="M104" s="137">
        <f>IFERROR(L104/L148, "NA")</f>
        <v>-0.23558935111900486</v>
      </c>
      <c r="N104" s="140">
        <v>0</v>
      </c>
      <c r="O104" s="137">
        <f>IFERROR(N104/N148, "NA")</f>
        <v>0</v>
      </c>
      <c r="P104" s="140">
        <v>0</v>
      </c>
      <c r="Q104" s="137">
        <f>IFERROR(P104/P148, "NA")</f>
        <v>0</v>
      </c>
      <c r="R104" s="140">
        <v>808.23</v>
      </c>
      <c r="S104" s="137">
        <f>IFERROR(R104/R148, "NA")</f>
        <v>3.2959531259621505E-2</v>
      </c>
      <c r="T104" s="140">
        <v>24170.880000000001</v>
      </c>
      <c r="U104" s="137">
        <f>IFERROR(T104/T148, "NA")</f>
        <v>0.90652108850579116</v>
      </c>
      <c r="V104" s="140">
        <v>-6989</v>
      </c>
      <c r="W104" s="137">
        <f>IFERROR(V104/V148, "NA")</f>
        <v>-0.29121804060135337</v>
      </c>
      <c r="X104" s="140">
        <v>0</v>
      </c>
      <c r="Y104" s="137">
        <f>IFERROR(X104/X148, "NA")</f>
        <v>0</v>
      </c>
      <c r="Z104" s="140">
        <v>-6989</v>
      </c>
      <c r="AA104" s="137">
        <f>IFERROR(Z104/Z148, "NA")</f>
        <v>-0.11908120898862927</v>
      </c>
      <c r="AB104" s="136">
        <f>IFERROR((R104+T104+V104+X104)/4, "NA")</f>
        <v>4497.5275000000001</v>
      </c>
      <c r="AC104" s="137">
        <f>IFERROR(AB104/AB148, "NA")</f>
        <v>0.16373062172569203</v>
      </c>
      <c r="AD104" s="123">
        <f>IFERROR(X104-AB104, "NA")</f>
        <v>-4497.5275000000001</v>
      </c>
      <c r="AE104" s="124">
        <f>IFERROR(AD104/AD148, "NA")</f>
        <v>-0.62268713295344702</v>
      </c>
      <c r="AF104" s="123">
        <f>IFERROR((X104-AB104)/AB104, "NA")</f>
        <v>-1</v>
      </c>
      <c r="AG104" s="136">
        <f>IFERROR((J104+L104+N104+P104+R104+T104+V104+X104)/8, "NA")</f>
        <v>4396.4987500000007</v>
      </c>
      <c r="AH104" s="137">
        <f>IFERROR(AG104/AG148, "NA")</f>
        <v>0.16518632804242547</v>
      </c>
      <c r="AI104" s="123">
        <f>IFERROR(X104-AG104, "NA")</f>
        <v>-4396.4987500000007</v>
      </c>
      <c r="AJ104" s="124">
        <f>IFERROR(AI104/AI148, "NA")</f>
        <v>-0.54436038487831706</v>
      </c>
      <c r="AK104" s="123">
        <f>IFERROR((X104-AG104)/AG104, "NA")</f>
        <v>-1</v>
      </c>
      <c r="AL104" s="124">
        <f>IFERROR(AK104/AK148, "NA")</f>
        <v>-3.2954324448601269</v>
      </c>
    </row>
    <row r="105" spans="1:38" ht="16.5" hidden="1" customHeight="1" x14ac:dyDescent="0.25">
      <c r="A105" s="120" t="s">
        <v>103</v>
      </c>
      <c r="B105" s="121">
        <f>IFERROR(B104, "NA")</f>
        <v>23042.880000000001</v>
      </c>
      <c r="C105" s="122">
        <f>IFERROR(B105/B148, "NA")</f>
        <v>0.79844267697120364</v>
      </c>
      <c r="D105" s="121">
        <f>IFERROR(D104, "NA")</f>
        <v>-6233</v>
      </c>
      <c r="E105" s="122">
        <f>IFERROR(D105/D148, "NA")</f>
        <v>-0.24085156271433877</v>
      </c>
      <c r="F105" s="121">
        <f>IFERROR(F104, "NA")</f>
        <v>0</v>
      </c>
      <c r="G105" s="122">
        <f>IFERROR(F105/F148, "NA")</f>
        <v>0</v>
      </c>
      <c r="H105" s="121">
        <f>IFERROR(H104, "NA")</f>
        <v>827.97</v>
      </c>
      <c r="I105" s="122">
        <f>IFERROR(H105/H148, "NA")</f>
        <v>3.2902577422212191E-2</v>
      </c>
      <c r="J105" s="121">
        <f>IFERROR(J104, "NA")</f>
        <v>23792.880000000001</v>
      </c>
      <c r="K105" s="122">
        <f>IFERROR(J105/J148, "NA")</f>
        <v>0.830944990346978</v>
      </c>
      <c r="L105" s="121">
        <f>IFERROR(L104, "NA")</f>
        <v>-6611</v>
      </c>
      <c r="M105" s="122">
        <f>IFERROR(L105/L148, "NA")</f>
        <v>-0.23558935111900486</v>
      </c>
      <c r="N105" s="121">
        <f>IFERROR(N104, "NA")</f>
        <v>0</v>
      </c>
      <c r="O105" s="122">
        <f>IFERROR(N105/N148, "NA")</f>
        <v>0</v>
      </c>
      <c r="P105" s="121">
        <f>IFERROR(P104, "NA")</f>
        <v>0</v>
      </c>
      <c r="Q105" s="122">
        <f>IFERROR(P105/P148, "NA")</f>
        <v>0</v>
      </c>
      <c r="R105" s="121">
        <f>IFERROR(R104, "NA")</f>
        <v>808.23</v>
      </c>
      <c r="S105" s="122">
        <f>IFERROR(R105/R148, "NA")</f>
        <v>3.2959531259621505E-2</v>
      </c>
      <c r="T105" s="121">
        <f>IFERROR(T104, "NA")</f>
        <v>24170.880000000001</v>
      </c>
      <c r="U105" s="122">
        <f>IFERROR(T105/T148, "NA")</f>
        <v>0.90652108850579116</v>
      </c>
      <c r="V105" s="121">
        <f>IFERROR(V104, "NA")</f>
        <v>-6989</v>
      </c>
      <c r="W105" s="122">
        <f>IFERROR(V105/V148, "NA")</f>
        <v>-0.29121804060135337</v>
      </c>
      <c r="X105" s="121">
        <f>IFERROR(X104, "NA")</f>
        <v>0</v>
      </c>
      <c r="Y105" s="122">
        <f>IFERROR(X105/X148, "NA")</f>
        <v>0</v>
      </c>
      <c r="Z105" s="121">
        <f>IFERROR(Z104, "NA")</f>
        <v>-6989</v>
      </c>
      <c r="AA105" s="122">
        <f>IFERROR(Z105/Z148, "NA")</f>
        <v>-0.11908120898862927</v>
      </c>
      <c r="AB105" s="121">
        <f>IFERROR((R105+T105+V105+X105)/4, "NA")</f>
        <v>4497.5275000000001</v>
      </c>
      <c r="AC105" s="122">
        <f>IFERROR(AB105/AB148, "NA")</f>
        <v>0.16373062172569203</v>
      </c>
      <c r="AD105" s="123">
        <f>IFERROR(X105-AB105, "NA")</f>
        <v>-4497.5275000000001</v>
      </c>
      <c r="AE105" s="124">
        <f>IFERROR(AD105/AD148, "NA")</f>
        <v>-0.62268713295344702</v>
      </c>
      <c r="AF105" s="123">
        <f>IFERROR((X105-AB105)/AB105, "NA")</f>
        <v>-1</v>
      </c>
      <c r="AG105" s="121">
        <f>IFERROR((J105+L105+N105+P105+R105+T105+V105+X105)/8, "NA")</f>
        <v>4396.4987500000007</v>
      </c>
      <c r="AH105" s="122">
        <f>IFERROR(AG105/AG148, "NA")</f>
        <v>0.16518632804242547</v>
      </c>
      <c r="AI105" s="123">
        <f>IFERROR(X105-AG105, "NA")</f>
        <v>-4396.4987500000007</v>
      </c>
      <c r="AJ105" s="124">
        <f>IFERROR(AI105/AI148, "NA")</f>
        <v>-0.54436038487831706</v>
      </c>
      <c r="AK105" s="123">
        <f>IFERROR((X105-AG105)/AG105, "NA")</f>
        <v>-1</v>
      </c>
      <c r="AL105" s="124">
        <f>IFERROR(AK105/AK148, "NA")</f>
        <v>-3.2954324448601269</v>
      </c>
    </row>
    <row r="106" spans="1:38" ht="16.5" hidden="1" customHeight="1" x14ac:dyDescent="0.25">
      <c r="A106" s="8" t="s">
        <v>2</v>
      </c>
      <c r="B106" s="138"/>
      <c r="C106" s="126"/>
      <c r="D106" s="138"/>
      <c r="E106" s="126"/>
      <c r="F106" s="138"/>
      <c r="G106" s="126"/>
      <c r="H106" s="138"/>
      <c r="I106" s="126"/>
      <c r="J106" s="138"/>
      <c r="K106" s="126"/>
      <c r="L106" s="138"/>
      <c r="M106" s="126"/>
      <c r="N106" s="138"/>
      <c r="O106" s="126"/>
      <c r="P106" s="138"/>
      <c r="Q106" s="126"/>
      <c r="R106" s="138"/>
      <c r="S106" s="126"/>
      <c r="T106" s="138"/>
      <c r="U106" s="126"/>
      <c r="V106" s="138"/>
      <c r="W106" s="126"/>
      <c r="X106" s="138"/>
      <c r="Y106" s="126"/>
      <c r="Z106" s="138"/>
      <c r="AA106" s="126"/>
      <c r="AB106" s="138"/>
      <c r="AC106" s="126"/>
      <c r="AD106" s="139"/>
      <c r="AE106" s="128"/>
      <c r="AF106" s="139"/>
      <c r="AG106" s="138"/>
      <c r="AH106" s="126"/>
      <c r="AI106" s="139"/>
      <c r="AJ106" s="128"/>
      <c r="AK106" s="139"/>
      <c r="AL106" s="128"/>
    </row>
    <row r="107" spans="1:38" ht="16.5" hidden="1" customHeight="1" x14ac:dyDescent="0.25">
      <c r="A107" s="135" t="s">
        <v>104</v>
      </c>
      <c r="B107" s="136">
        <f>IFERROR(B87-B99-B105, "NA")</f>
        <v>-14812.910000000011</v>
      </c>
      <c r="C107" s="137">
        <f>IFERROR(B107/B148, "NA")</f>
        <v>-0.51327175744236486</v>
      </c>
      <c r="D107" s="136">
        <f>IFERROR(D87-D99-D105, "NA")</f>
        <v>12727.579999999996</v>
      </c>
      <c r="E107" s="137">
        <f>IFERROR(D107/D148, "NA")</f>
        <v>0.49181093094364881</v>
      </c>
      <c r="F107" s="136">
        <f>IFERROR(F87-F99-F105, "NA")</f>
        <v>6880.7700000000041</v>
      </c>
      <c r="G107" s="137">
        <f>IFERROR(F107/F148, "NA")</f>
        <v>0.26776831137658386</v>
      </c>
      <c r="H107" s="136">
        <f>IFERROR(H87-H99-H105, "NA")</f>
        <v>2775.7799999999952</v>
      </c>
      <c r="I107" s="137">
        <f>IFERROR(H107/H148, "NA")</f>
        <v>0.11030631104632775</v>
      </c>
      <c r="J107" s="136">
        <f>IFERROR(J87-J99-J105, "NA")</f>
        <v>-17966.750000000011</v>
      </c>
      <c r="K107" s="137">
        <f>IFERROR(J107/J148, "NA")</f>
        <v>-0.62747262648811641</v>
      </c>
      <c r="L107" s="136">
        <f>IFERROR(L87-L99-L105, "NA")</f>
        <v>12177.129999999997</v>
      </c>
      <c r="M107" s="137">
        <f>IFERROR(L107/L148, "NA")</f>
        <v>0.43394375362150461</v>
      </c>
      <c r="N107" s="136">
        <f>IFERROR(N87-N99-N105, "NA")</f>
        <v>7080.5099999999957</v>
      </c>
      <c r="O107" s="137">
        <f>IFERROR(N107/N148, "NA")</f>
        <v>0.27505116049244577</v>
      </c>
      <c r="P107" s="136">
        <f>IFERROR(P87-P99-P105, "NA")</f>
        <v>4982.0999999999985</v>
      </c>
      <c r="Q107" s="137">
        <f>IFERROR(P107/P148, "NA")</f>
        <v>0.24174061393702248</v>
      </c>
      <c r="R107" s="136">
        <f>IFERROR(R87-R99-R105, "NA")</f>
        <v>4060.7200000000007</v>
      </c>
      <c r="S107" s="137">
        <f>IFERROR(R107/R148, "NA")</f>
        <v>0.16559571876392892</v>
      </c>
      <c r="T107" s="136">
        <f>IFERROR(T87-T99-T105, "NA")</f>
        <v>-18310.47</v>
      </c>
      <c r="U107" s="137">
        <f>IFERROR(T107/T148, "NA")</f>
        <v>-0.68672829435472083</v>
      </c>
      <c r="V107" s="136">
        <f>IFERROR(V87-V99-V105, "NA")</f>
        <v>12876.890000000001</v>
      </c>
      <c r="W107" s="137">
        <f>IFERROR(V107/V148, "NA")</f>
        <v>0.53655496849895001</v>
      </c>
      <c r="X107" s="136">
        <f>IFERROR(X87-X99-X105, "NA")</f>
        <v>17882.619999999988</v>
      </c>
      <c r="Y107" s="137">
        <f>IFERROR(X107/X148, "NA")</f>
        <v>0.51547049680847112</v>
      </c>
      <c r="Z107" s="136">
        <f>IFERROR(Z87-Z99-Z105, "NA")</f>
        <v>30759.509999999991</v>
      </c>
      <c r="AA107" s="137">
        <f>IFERROR(Z107/Z148, "NA")</f>
        <v>0.52409209310313787</v>
      </c>
      <c r="AB107" s="136">
        <f>IFERROR((R107+T107+V107+X107)/4, "NA")</f>
        <v>4127.4399999999969</v>
      </c>
      <c r="AC107" s="137">
        <f>IFERROR(AB107/AB148, "NA")</f>
        <v>0.15025773991053745</v>
      </c>
      <c r="AD107" s="123">
        <f>IFERROR(X107-AB107, "NA")</f>
        <v>13755.179999999991</v>
      </c>
      <c r="AE107" s="124">
        <f>IFERROR(AD107/AD148, "NA")</f>
        <v>1.9044182825916216</v>
      </c>
      <c r="AF107" s="123">
        <f>IFERROR((X107-AB107)/AB107, "NA")</f>
        <v>3.332617796987964</v>
      </c>
      <c r="AG107" s="136">
        <f>IFERROR((J107+L107+N107+P107+R107+T107+V107+X107)/8, "NA")</f>
        <v>2847.8437499999964</v>
      </c>
      <c r="AH107" s="137">
        <f>IFERROR(AG107/AG148, "NA")</f>
        <v>0.10699988300942209</v>
      </c>
      <c r="AI107" s="123">
        <f>IFERROR(X107-AG107, "NA")</f>
        <v>15034.776249999992</v>
      </c>
      <c r="AJ107" s="124">
        <f>IFERROR(AI107/AI148, "NA")</f>
        <v>1.8615578102937878</v>
      </c>
      <c r="AK107" s="123">
        <f>IFERROR((X107-AG107)/AG107, "NA")</f>
        <v>5.2793543360656674</v>
      </c>
      <c r="AL107" s="124">
        <f>IFERROR(AK107/AK148, "NA")</f>
        <v>17.397755566983793</v>
      </c>
    </row>
    <row r="108" spans="1:38" ht="3.75" hidden="1" customHeight="1" x14ac:dyDescent="0.25">
      <c r="A108" s="8" t="s">
        <v>2</v>
      </c>
      <c r="B108" s="138"/>
      <c r="C108" s="126"/>
      <c r="D108" s="138"/>
      <c r="E108" s="126"/>
      <c r="F108" s="138"/>
      <c r="G108" s="126"/>
      <c r="H108" s="138"/>
      <c r="I108" s="126"/>
      <c r="J108" s="138"/>
      <c r="K108" s="126"/>
      <c r="L108" s="138"/>
      <c r="M108" s="126"/>
      <c r="N108" s="138"/>
      <c r="O108" s="126"/>
      <c r="P108" s="138"/>
      <c r="Q108" s="126"/>
      <c r="R108" s="138"/>
      <c r="S108" s="126"/>
      <c r="T108" s="138"/>
      <c r="U108" s="126"/>
      <c r="V108" s="138"/>
      <c r="W108" s="126"/>
      <c r="X108" s="138"/>
      <c r="Y108" s="126"/>
      <c r="Z108" s="138"/>
      <c r="AA108" s="126"/>
      <c r="AB108" s="138"/>
      <c r="AC108" s="126"/>
      <c r="AD108" s="139"/>
      <c r="AE108" s="128"/>
      <c r="AF108" s="139"/>
      <c r="AG108" s="138"/>
      <c r="AH108" s="126"/>
      <c r="AI108" s="139"/>
      <c r="AJ108" s="128"/>
      <c r="AK108" s="139"/>
      <c r="AL108" s="128"/>
    </row>
    <row r="109" spans="1:38" ht="16.5" hidden="1" customHeight="1" x14ac:dyDescent="0.25">
      <c r="A109" s="1" t="s">
        <v>105</v>
      </c>
      <c r="B109" s="111"/>
      <c r="C109" s="112"/>
      <c r="D109" s="111"/>
      <c r="E109" s="112"/>
      <c r="F109" s="111"/>
      <c r="G109" s="112"/>
      <c r="H109" s="111"/>
      <c r="I109" s="112"/>
      <c r="J109" s="111"/>
      <c r="K109" s="112"/>
      <c r="L109" s="111"/>
      <c r="M109" s="112"/>
      <c r="N109" s="111"/>
      <c r="O109" s="112"/>
      <c r="P109" s="111"/>
      <c r="Q109" s="112"/>
      <c r="R109" s="111"/>
      <c r="S109" s="112"/>
      <c r="T109" s="111"/>
      <c r="U109" s="112"/>
      <c r="V109" s="111"/>
      <c r="W109" s="112"/>
      <c r="X109" s="111"/>
      <c r="Y109" s="112"/>
      <c r="Z109" s="111"/>
      <c r="AA109" s="112"/>
      <c r="AB109" s="111"/>
      <c r="AC109" s="112"/>
      <c r="AD109" s="113"/>
      <c r="AE109" s="114"/>
      <c r="AF109" s="113"/>
      <c r="AG109" s="111"/>
      <c r="AH109" s="112"/>
      <c r="AI109" s="113"/>
      <c r="AJ109" s="114"/>
      <c r="AK109" s="113"/>
      <c r="AL109" s="114"/>
    </row>
    <row r="110" spans="1:38" ht="16.5" hidden="1" customHeight="1" x14ac:dyDescent="0.25">
      <c r="A110" s="2" t="s">
        <v>106</v>
      </c>
      <c r="B110" s="115">
        <v>0</v>
      </c>
      <c r="C110" s="116">
        <f>IFERROR(B110/B148, "NA")</f>
        <v>0</v>
      </c>
      <c r="D110" s="115">
        <v>0</v>
      </c>
      <c r="E110" s="116">
        <f>IFERROR(D110/D148, "NA")</f>
        <v>0</v>
      </c>
      <c r="F110" s="115">
        <v>0</v>
      </c>
      <c r="G110" s="116">
        <f>IFERROR(F110/F148, "NA")</f>
        <v>0</v>
      </c>
      <c r="H110" s="115">
        <v>0</v>
      </c>
      <c r="I110" s="116">
        <f>IFERROR(H110/H148, "NA")</f>
        <v>0</v>
      </c>
      <c r="J110" s="115">
        <v>0</v>
      </c>
      <c r="K110" s="116">
        <f>IFERROR(J110/J148, "NA")</f>
        <v>0</v>
      </c>
      <c r="L110" s="115">
        <v>0</v>
      </c>
      <c r="M110" s="116">
        <f>IFERROR(L110/L148, "NA")</f>
        <v>0</v>
      </c>
      <c r="N110" s="115">
        <v>0</v>
      </c>
      <c r="O110" s="116">
        <f>IFERROR(N110/N148, "NA")</f>
        <v>0</v>
      </c>
      <c r="P110" s="115">
        <v>0</v>
      </c>
      <c r="Q110" s="116">
        <f>IFERROR(P110/P148, "NA")</f>
        <v>0</v>
      </c>
      <c r="R110" s="115">
        <v>0</v>
      </c>
      <c r="S110" s="116">
        <f>IFERROR(R110/R148, "NA")</f>
        <v>0</v>
      </c>
      <c r="T110" s="115">
        <v>0</v>
      </c>
      <c r="U110" s="116">
        <f>IFERROR(T110/T148, "NA")</f>
        <v>0</v>
      </c>
      <c r="V110" s="115">
        <v>0</v>
      </c>
      <c r="W110" s="116">
        <f>IFERROR(V110/V148, "NA")</f>
        <v>0</v>
      </c>
      <c r="X110" s="115">
        <v>0</v>
      </c>
      <c r="Y110" s="116">
        <f>IFERROR(X110/X148, "NA")</f>
        <v>0</v>
      </c>
      <c r="Z110" s="115">
        <v>0</v>
      </c>
      <c r="AA110" s="116">
        <f>IFERROR(Z110/Z148, "NA")</f>
        <v>0</v>
      </c>
      <c r="AB110" s="117">
        <f t="shared" ref="AB110:AB135" si="42">IFERROR((R110+T110+V110+X110)/4, "NA")</f>
        <v>0</v>
      </c>
      <c r="AC110" s="116">
        <f>IFERROR(AB110/AB148, "NA")</f>
        <v>0</v>
      </c>
      <c r="AD110" s="118">
        <f t="shared" ref="AD110:AD135" si="43">IFERROR(X110-AB110, "NA")</f>
        <v>0</v>
      </c>
      <c r="AE110" s="119">
        <f>IFERROR(AD110/AD148, "NA")</f>
        <v>0</v>
      </c>
      <c r="AF110" s="118" t="str">
        <f t="shared" ref="AF110:AF135" si="44">IFERROR((X110-AB110)/AB110, "NA")</f>
        <v>NA</v>
      </c>
      <c r="AG110" s="117">
        <f t="shared" ref="AG110:AG135" si="45">IFERROR((J110+L110+N110+P110+R110+T110+V110+X110)/8, "NA")</f>
        <v>0</v>
      </c>
      <c r="AH110" s="116">
        <f>IFERROR(AG110/AG148, "NA")</f>
        <v>0</v>
      </c>
      <c r="AI110" s="118">
        <f t="shared" ref="AI110:AI135" si="46">IFERROR(X110-AG110, "NA")</f>
        <v>0</v>
      </c>
      <c r="AJ110" s="119">
        <f>IFERROR(AI110/AI148, "NA")</f>
        <v>0</v>
      </c>
      <c r="AK110" s="118" t="str">
        <f t="shared" ref="AK110:AK135" si="47">IFERROR((X110-AG110)/AG110, "NA")</f>
        <v>NA</v>
      </c>
      <c r="AL110" s="119" t="str">
        <f>IFERROR(AK110/AK148, "NA")</f>
        <v>NA</v>
      </c>
    </row>
    <row r="111" spans="1:38" ht="16.5" hidden="1" customHeight="1" x14ac:dyDescent="0.25">
      <c r="A111" s="2" t="s">
        <v>107</v>
      </c>
      <c r="B111" s="115">
        <v>0</v>
      </c>
      <c r="C111" s="116">
        <f>IFERROR(B111/B148, "NA")</f>
        <v>0</v>
      </c>
      <c r="D111" s="115">
        <v>0</v>
      </c>
      <c r="E111" s="116">
        <f>IFERROR(D111/D148, "NA")</f>
        <v>0</v>
      </c>
      <c r="F111" s="115">
        <v>0</v>
      </c>
      <c r="G111" s="116">
        <f>IFERROR(F111/F148, "NA")</f>
        <v>0</v>
      </c>
      <c r="H111" s="115">
        <v>0</v>
      </c>
      <c r="I111" s="116">
        <f>IFERROR(H111/H148, "NA")</f>
        <v>0</v>
      </c>
      <c r="J111" s="115">
        <v>0</v>
      </c>
      <c r="K111" s="116">
        <f>IFERROR(J111/J148, "NA")</f>
        <v>0</v>
      </c>
      <c r="L111" s="115">
        <v>0</v>
      </c>
      <c r="M111" s="116">
        <f>IFERROR(L111/L148, "NA")</f>
        <v>0</v>
      </c>
      <c r="N111" s="115">
        <v>0</v>
      </c>
      <c r="O111" s="116">
        <f>IFERROR(N111/N148, "NA")</f>
        <v>0</v>
      </c>
      <c r="P111" s="115">
        <v>0</v>
      </c>
      <c r="Q111" s="116">
        <f>IFERROR(P111/P148, "NA")</f>
        <v>0</v>
      </c>
      <c r="R111" s="115">
        <v>0</v>
      </c>
      <c r="S111" s="116">
        <f>IFERROR(R111/R148, "NA")</f>
        <v>0</v>
      </c>
      <c r="T111" s="115">
        <v>0</v>
      </c>
      <c r="U111" s="116">
        <f>IFERROR(T111/T148, "NA")</f>
        <v>0</v>
      </c>
      <c r="V111" s="115">
        <v>0</v>
      </c>
      <c r="W111" s="116">
        <f>IFERROR(V111/V148, "NA")</f>
        <v>0</v>
      </c>
      <c r="X111" s="115">
        <v>0</v>
      </c>
      <c r="Y111" s="116">
        <f>IFERROR(X111/X148, "NA")</f>
        <v>0</v>
      </c>
      <c r="Z111" s="115">
        <v>0</v>
      </c>
      <c r="AA111" s="116">
        <f>IFERROR(Z111/Z148, "NA")</f>
        <v>0</v>
      </c>
      <c r="AB111" s="117">
        <f t="shared" si="42"/>
        <v>0</v>
      </c>
      <c r="AC111" s="116">
        <f>IFERROR(AB111/AB148, "NA")</f>
        <v>0</v>
      </c>
      <c r="AD111" s="118">
        <f t="shared" si="43"/>
        <v>0</v>
      </c>
      <c r="AE111" s="119">
        <f>IFERROR(AD111/AD148, "NA")</f>
        <v>0</v>
      </c>
      <c r="AF111" s="118" t="str">
        <f t="shared" si="44"/>
        <v>NA</v>
      </c>
      <c r="AG111" s="117">
        <f t="shared" si="45"/>
        <v>0</v>
      </c>
      <c r="AH111" s="116">
        <f>IFERROR(AG111/AG148, "NA")</f>
        <v>0</v>
      </c>
      <c r="AI111" s="118">
        <f t="shared" si="46"/>
        <v>0</v>
      </c>
      <c r="AJ111" s="119">
        <f>IFERROR(AI111/AI148, "NA")</f>
        <v>0</v>
      </c>
      <c r="AK111" s="118" t="str">
        <f t="shared" si="47"/>
        <v>NA</v>
      </c>
      <c r="AL111" s="119" t="str">
        <f>IFERROR(AK111/AK148, "NA")</f>
        <v>NA</v>
      </c>
    </row>
    <row r="112" spans="1:38" ht="16.5" hidden="1" customHeight="1" x14ac:dyDescent="0.25">
      <c r="A112" s="2" t="s">
        <v>108</v>
      </c>
      <c r="B112" s="115">
        <v>0</v>
      </c>
      <c r="C112" s="116">
        <f>IFERROR(B112/B148, "NA")</f>
        <v>0</v>
      </c>
      <c r="D112" s="115">
        <v>0</v>
      </c>
      <c r="E112" s="116">
        <f>IFERROR(D112/D148, "NA")</f>
        <v>0</v>
      </c>
      <c r="F112" s="115">
        <v>0</v>
      </c>
      <c r="G112" s="116">
        <f>IFERROR(F112/F148, "NA")</f>
        <v>0</v>
      </c>
      <c r="H112" s="115">
        <v>0</v>
      </c>
      <c r="I112" s="116">
        <f>IFERROR(H112/H148, "NA")</f>
        <v>0</v>
      </c>
      <c r="J112" s="115">
        <v>0</v>
      </c>
      <c r="K112" s="116">
        <f>IFERROR(J112/J148, "NA")</f>
        <v>0</v>
      </c>
      <c r="L112" s="115">
        <v>0</v>
      </c>
      <c r="M112" s="116">
        <f>IFERROR(L112/L148, "NA")</f>
        <v>0</v>
      </c>
      <c r="N112" s="115">
        <v>0</v>
      </c>
      <c r="O112" s="116">
        <f>IFERROR(N112/N148, "NA")</f>
        <v>0</v>
      </c>
      <c r="P112" s="115">
        <v>0</v>
      </c>
      <c r="Q112" s="116">
        <f>IFERROR(P112/P148, "NA")</f>
        <v>0</v>
      </c>
      <c r="R112" s="115">
        <v>0</v>
      </c>
      <c r="S112" s="116">
        <f>IFERROR(R112/R148, "NA")</f>
        <v>0</v>
      </c>
      <c r="T112" s="115">
        <v>0</v>
      </c>
      <c r="U112" s="116">
        <f>IFERROR(T112/T148, "NA")</f>
        <v>0</v>
      </c>
      <c r="V112" s="115">
        <v>0</v>
      </c>
      <c r="W112" s="116">
        <f>IFERROR(V112/V148, "NA")</f>
        <v>0</v>
      </c>
      <c r="X112" s="115">
        <v>0</v>
      </c>
      <c r="Y112" s="116">
        <f>IFERROR(X112/X148, "NA")</f>
        <v>0</v>
      </c>
      <c r="Z112" s="115">
        <v>0</v>
      </c>
      <c r="AA112" s="116">
        <f>IFERROR(Z112/Z148, "NA")</f>
        <v>0</v>
      </c>
      <c r="AB112" s="117">
        <f t="shared" si="42"/>
        <v>0</v>
      </c>
      <c r="AC112" s="116">
        <f>IFERROR(AB112/AB148, "NA")</f>
        <v>0</v>
      </c>
      <c r="AD112" s="118">
        <f t="shared" si="43"/>
        <v>0</v>
      </c>
      <c r="AE112" s="119">
        <f>IFERROR(AD112/AD148, "NA")</f>
        <v>0</v>
      </c>
      <c r="AF112" s="118" t="str">
        <f t="shared" si="44"/>
        <v>NA</v>
      </c>
      <c r="AG112" s="117">
        <f t="shared" si="45"/>
        <v>0</v>
      </c>
      <c r="AH112" s="116">
        <f>IFERROR(AG112/AG148, "NA")</f>
        <v>0</v>
      </c>
      <c r="AI112" s="118">
        <f t="shared" si="46"/>
        <v>0</v>
      </c>
      <c r="AJ112" s="119">
        <f>IFERROR(AI112/AI148, "NA")</f>
        <v>0</v>
      </c>
      <c r="AK112" s="118" t="str">
        <f t="shared" si="47"/>
        <v>NA</v>
      </c>
      <c r="AL112" s="119" t="str">
        <f>IFERROR(AK112/AK148, "NA")</f>
        <v>NA</v>
      </c>
    </row>
    <row r="113" spans="1:38" ht="16.5" hidden="1" customHeight="1" x14ac:dyDescent="0.25">
      <c r="A113" s="2" t="s">
        <v>109</v>
      </c>
      <c r="B113" s="115">
        <v>0</v>
      </c>
      <c r="C113" s="116">
        <f>IFERROR(B113/B148, "NA")</f>
        <v>0</v>
      </c>
      <c r="D113" s="115">
        <v>0</v>
      </c>
      <c r="E113" s="116">
        <f>IFERROR(D113/D148, "NA")</f>
        <v>0</v>
      </c>
      <c r="F113" s="115">
        <v>0</v>
      </c>
      <c r="G113" s="116">
        <f>IFERROR(F113/F148, "NA")</f>
        <v>0</v>
      </c>
      <c r="H113" s="115">
        <v>0</v>
      </c>
      <c r="I113" s="116">
        <f>IFERROR(H113/H148, "NA")</f>
        <v>0</v>
      </c>
      <c r="J113" s="115">
        <v>0</v>
      </c>
      <c r="K113" s="116">
        <f>IFERROR(J113/J148, "NA")</f>
        <v>0</v>
      </c>
      <c r="L113" s="115">
        <v>0</v>
      </c>
      <c r="M113" s="116">
        <f>IFERROR(L113/L148, "NA")</f>
        <v>0</v>
      </c>
      <c r="N113" s="115">
        <v>0</v>
      </c>
      <c r="O113" s="116">
        <f>IFERROR(N113/N148, "NA")</f>
        <v>0</v>
      </c>
      <c r="P113" s="115">
        <v>0</v>
      </c>
      <c r="Q113" s="116">
        <f>IFERROR(P113/P148, "NA")</f>
        <v>0</v>
      </c>
      <c r="R113" s="115">
        <v>0</v>
      </c>
      <c r="S113" s="116">
        <f>IFERROR(R113/R148, "NA")</f>
        <v>0</v>
      </c>
      <c r="T113" s="115">
        <v>0</v>
      </c>
      <c r="U113" s="116">
        <f>IFERROR(T113/T148, "NA")</f>
        <v>0</v>
      </c>
      <c r="V113" s="115">
        <v>0</v>
      </c>
      <c r="W113" s="116">
        <f>IFERROR(V113/V148, "NA")</f>
        <v>0</v>
      </c>
      <c r="X113" s="115">
        <v>0</v>
      </c>
      <c r="Y113" s="116">
        <f>IFERROR(X113/X148, "NA")</f>
        <v>0</v>
      </c>
      <c r="Z113" s="115">
        <v>0</v>
      </c>
      <c r="AA113" s="116">
        <f>IFERROR(Z113/Z148, "NA")</f>
        <v>0</v>
      </c>
      <c r="AB113" s="117">
        <f t="shared" si="42"/>
        <v>0</v>
      </c>
      <c r="AC113" s="116">
        <f>IFERROR(AB113/AB148, "NA")</f>
        <v>0</v>
      </c>
      <c r="AD113" s="118">
        <f t="shared" si="43"/>
        <v>0</v>
      </c>
      <c r="AE113" s="119">
        <f>IFERROR(AD113/AD148, "NA")</f>
        <v>0</v>
      </c>
      <c r="AF113" s="118" t="str">
        <f t="shared" si="44"/>
        <v>NA</v>
      </c>
      <c r="AG113" s="117">
        <f t="shared" si="45"/>
        <v>0</v>
      </c>
      <c r="AH113" s="116">
        <f>IFERROR(AG113/AG148, "NA")</f>
        <v>0</v>
      </c>
      <c r="AI113" s="118">
        <f t="shared" si="46"/>
        <v>0</v>
      </c>
      <c r="AJ113" s="119">
        <f>IFERROR(AI113/AI148, "NA")</f>
        <v>0</v>
      </c>
      <c r="AK113" s="118" t="str">
        <f t="shared" si="47"/>
        <v>NA</v>
      </c>
      <c r="AL113" s="119" t="str">
        <f>IFERROR(AK113/AK148, "NA")</f>
        <v>NA</v>
      </c>
    </row>
    <row r="114" spans="1:38" ht="16.5" hidden="1" customHeight="1" x14ac:dyDescent="0.25">
      <c r="A114" s="2" t="s">
        <v>110</v>
      </c>
      <c r="B114" s="115">
        <v>0</v>
      </c>
      <c r="C114" s="116">
        <f>IFERROR(B114/B148, "NA")</f>
        <v>0</v>
      </c>
      <c r="D114" s="115">
        <v>0</v>
      </c>
      <c r="E114" s="116">
        <f>IFERROR(D114/D148, "NA")</f>
        <v>0</v>
      </c>
      <c r="F114" s="115">
        <v>0</v>
      </c>
      <c r="G114" s="116">
        <f>IFERROR(F114/F148, "NA")</f>
        <v>0</v>
      </c>
      <c r="H114" s="115">
        <v>0</v>
      </c>
      <c r="I114" s="116">
        <f>IFERROR(H114/H148, "NA")</f>
        <v>0</v>
      </c>
      <c r="J114" s="115">
        <v>0</v>
      </c>
      <c r="K114" s="116">
        <f>IFERROR(J114/J148, "NA")</f>
        <v>0</v>
      </c>
      <c r="L114" s="115">
        <v>0</v>
      </c>
      <c r="M114" s="116">
        <f>IFERROR(L114/L148, "NA")</f>
        <v>0</v>
      </c>
      <c r="N114" s="115">
        <v>0</v>
      </c>
      <c r="O114" s="116">
        <f>IFERROR(N114/N148, "NA")</f>
        <v>0</v>
      </c>
      <c r="P114" s="115">
        <v>0</v>
      </c>
      <c r="Q114" s="116">
        <f>IFERROR(P114/P148, "NA")</f>
        <v>0</v>
      </c>
      <c r="R114" s="115">
        <v>0</v>
      </c>
      <c r="S114" s="116">
        <f>IFERROR(R114/R148, "NA")</f>
        <v>0</v>
      </c>
      <c r="T114" s="115">
        <v>0</v>
      </c>
      <c r="U114" s="116">
        <f>IFERROR(T114/T148, "NA")</f>
        <v>0</v>
      </c>
      <c r="V114" s="115">
        <v>0</v>
      </c>
      <c r="W114" s="116">
        <f>IFERROR(V114/V148, "NA")</f>
        <v>0</v>
      </c>
      <c r="X114" s="115">
        <v>0</v>
      </c>
      <c r="Y114" s="116">
        <f>IFERROR(X114/X148, "NA")</f>
        <v>0</v>
      </c>
      <c r="Z114" s="115">
        <v>0</v>
      </c>
      <c r="AA114" s="116">
        <f>IFERROR(Z114/Z148, "NA")</f>
        <v>0</v>
      </c>
      <c r="AB114" s="117">
        <f t="shared" si="42"/>
        <v>0</v>
      </c>
      <c r="AC114" s="116">
        <f>IFERROR(AB114/AB148, "NA")</f>
        <v>0</v>
      </c>
      <c r="AD114" s="118">
        <f t="shared" si="43"/>
        <v>0</v>
      </c>
      <c r="AE114" s="119">
        <f>IFERROR(AD114/AD148, "NA")</f>
        <v>0</v>
      </c>
      <c r="AF114" s="118" t="str">
        <f t="shared" si="44"/>
        <v>NA</v>
      </c>
      <c r="AG114" s="117">
        <f t="shared" si="45"/>
        <v>0</v>
      </c>
      <c r="AH114" s="116">
        <f>IFERROR(AG114/AG148, "NA")</f>
        <v>0</v>
      </c>
      <c r="AI114" s="118">
        <f t="shared" si="46"/>
        <v>0</v>
      </c>
      <c r="AJ114" s="119">
        <f>IFERROR(AI114/AI148, "NA")</f>
        <v>0</v>
      </c>
      <c r="AK114" s="118" t="str">
        <f t="shared" si="47"/>
        <v>NA</v>
      </c>
      <c r="AL114" s="119" t="str">
        <f>IFERROR(AK114/AK148, "NA")</f>
        <v>NA</v>
      </c>
    </row>
    <row r="115" spans="1:38" ht="16.5" hidden="1" customHeight="1" x14ac:dyDescent="0.25">
      <c r="A115" s="2" t="s">
        <v>111</v>
      </c>
      <c r="B115" s="115">
        <v>0</v>
      </c>
      <c r="C115" s="116">
        <f>IFERROR(B115/B148, "NA")</f>
        <v>0</v>
      </c>
      <c r="D115" s="115">
        <v>0</v>
      </c>
      <c r="E115" s="116">
        <f>IFERROR(D115/D148, "NA")</f>
        <v>0</v>
      </c>
      <c r="F115" s="115">
        <v>0</v>
      </c>
      <c r="G115" s="116">
        <f>IFERROR(F115/F148, "NA")</f>
        <v>0</v>
      </c>
      <c r="H115" s="115">
        <v>0</v>
      </c>
      <c r="I115" s="116">
        <f>IFERROR(H115/H148, "NA")</f>
        <v>0</v>
      </c>
      <c r="J115" s="115">
        <v>0</v>
      </c>
      <c r="K115" s="116">
        <f>IFERROR(J115/J148, "NA")</f>
        <v>0</v>
      </c>
      <c r="L115" s="115">
        <v>0</v>
      </c>
      <c r="M115" s="116">
        <f>IFERROR(L115/L148, "NA")</f>
        <v>0</v>
      </c>
      <c r="N115" s="115">
        <v>0</v>
      </c>
      <c r="O115" s="116">
        <f>IFERROR(N115/N148, "NA")</f>
        <v>0</v>
      </c>
      <c r="P115" s="115">
        <v>0</v>
      </c>
      <c r="Q115" s="116">
        <f>IFERROR(P115/P148, "NA")</f>
        <v>0</v>
      </c>
      <c r="R115" s="115">
        <v>0</v>
      </c>
      <c r="S115" s="116">
        <f>IFERROR(R115/R148, "NA")</f>
        <v>0</v>
      </c>
      <c r="T115" s="115">
        <v>0</v>
      </c>
      <c r="U115" s="116">
        <f>IFERROR(T115/T148, "NA")</f>
        <v>0</v>
      </c>
      <c r="V115" s="115">
        <v>0</v>
      </c>
      <c r="W115" s="116">
        <f>IFERROR(V115/V148, "NA")</f>
        <v>0</v>
      </c>
      <c r="X115" s="115">
        <v>0</v>
      </c>
      <c r="Y115" s="116">
        <f>IFERROR(X115/X148, "NA")</f>
        <v>0</v>
      </c>
      <c r="Z115" s="115">
        <v>0</v>
      </c>
      <c r="AA115" s="116">
        <f>IFERROR(Z115/Z148, "NA")</f>
        <v>0</v>
      </c>
      <c r="AB115" s="117">
        <f t="shared" si="42"/>
        <v>0</v>
      </c>
      <c r="AC115" s="116">
        <f>IFERROR(AB115/AB148, "NA")</f>
        <v>0</v>
      </c>
      <c r="AD115" s="118">
        <f t="shared" si="43"/>
        <v>0</v>
      </c>
      <c r="AE115" s="119">
        <f>IFERROR(AD115/AD148, "NA")</f>
        <v>0</v>
      </c>
      <c r="AF115" s="118" t="str">
        <f t="shared" si="44"/>
        <v>NA</v>
      </c>
      <c r="AG115" s="117">
        <f t="shared" si="45"/>
        <v>0</v>
      </c>
      <c r="AH115" s="116">
        <f>IFERROR(AG115/AG148, "NA")</f>
        <v>0</v>
      </c>
      <c r="AI115" s="118">
        <f t="shared" si="46"/>
        <v>0</v>
      </c>
      <c r="AJ115" s="119">
        <f>IFERROR(AI115/AI148, "NA")</f>
        <v>0</v>
      </c>
      <c r="AK115" s="118" t="str">
        <f t="shared" si="47"/>
        <v>NA</v>
      </c>
      <c r="AL115" s="119" t="str">
        <f>IFERROR(AK115/AK148, "NA")</f>
        <v>NA</v>
      </c>
    </row>
    <row r="116" spans="1:38" ht="16.5" hidden="1" customHeight="1" x14ac:dyDescent="0.25">
      <c r="A116" s="2" t="s">
        <v>112</v>
      </c>
      <c r="B116" s="115">
        <v>0</v>
      </c>
      <c r="C116" s="116">
        <f>IFERROR(B116/B148, "NA")</f>
        <v>0</v>
      </c>
      <c r="D116" s="115">
        <v>0</v>
      </c>
      <c r="E116" s="116">
        <f>IFERROR(D116/D148, "NA")</f>
        <v>0</v>
      </c>
      <c r="F116" s="115">
        <v>0</v>
      </c>
      <c r="G116" s="116">
        <f>IFERROR(F116/F148, "NA")</f>
        <v>0</v>
      </c>
      <c r="H116" s="115">
        <v>0</v>
      </c>
      <c r="I116" s="116">
        <f>IFERROR(H116/H148, "NA")</f>
        <v>0</v>
      </c>
      <c r="J116" s="115">
        <v>0</v>
      </c>
      <c r="K116" s="116">
        <f>IFERROR(J116/J148, "NA")</f>
        <v>0</v>
      </c>
      <c r="L116" s="115">
        <v>0</v>
      </c>
      <c r="M116" s="116">
        <f>IFERROR(L116/L148, "NA")</f>
        <v>0</v>
      </c>
      <c r="N116" s="115">
        <v>0</v>
      </c>
      <c r="O116" s="116">
        <f>IFERROR(N116/N148, "NA")</f>
        <v>0</v>
      </c>
      <c r="P116" s="115">
        <v>0</v>
      </c>
      <c r="Q116" s="116">
        <f>IFERROR(P116/P148, "NA")</f>
        <v>0</v>
      </c>
      <c r="R116" s="115">
        <v>0</v>
      </c>
      <c r="S116" s="116">
        <f>IFERROR(R116/R148, "NA")</f>
        <v>0</v>
      </c>
      <c r="T116" s="115">
        <v>0</v>
      </c>
      <c r="U116" s="116">
        <f>IFERROR(T116/T148, "NA")</f>
        <v>0</v>
      </c>
      <c r="V116" s="115">
        <v>0</v>
      </c>
      <c r="W116" s="116">
        <f>IFERROR(V116/V148, "NA")</f>
        <v>0</v>
      </c>
      <c r="X116" s="115">
        <v>0</v>
      </c>
      <c r="Y116" s="116">
        <f>IFERROR(X116/X148, "NA")</f>
        <v>0</v>
      </c>
      <c r="Z116" s="115">
        <v>0</v>
      </c>
      <c r="AA116" s="116">
        <f>IFERROR(Z116/Z148, "NA")</f>
        <v>0</v>
      </c>
      <c r="AB116" s="117">
        <f t="shared" si="42"/>
        <v>0</v>
      </c>
      <c r="AC116" s="116">
        <f>IFERROR(AB116/AB148, "NA")</f>
        <v>0</v>
      </c>
      <c r="AD116" s="118">
        <f t="shared" si="43"/>
        <v>0</v>
      </c>
      <c r="AE116" s="119">
        <f>IFERROR(AD116/AD148, "NA")</f>
        <v>0</v>
      </c>
      <c r="AF116" s="118" t="str">
        <f t="shared" si="44"/>
        <v>NA</v>
      </c>
      <c r="AG116" s="117">
        <f t="shared" si="45"/>
        <v>0</v>
      </c>
      <c r="AH116" s="116">
        <f>IFERROR(AG116/AG148, "NA")</f>
        <v>0</v>
      </c>
      <c r="AI116" s="118">
        <f t="shared" si="46"/>
        <v>0</v>
      </c>
      <c r="AJ116" s="119">
        <f>IFERROR(AI116/AI148, "NA")</f>
        <v>0</v>
      </c>
      <c r="AK116" s="118" t="str">
        <f t="shared" si="47"/>
        <v>NA</v>
      </c>
      <c r="AL116" s="119" t="str">
        <f>IFERROR(AK116/AK148, "NA")</f>
        <v>NA</v>
      </c>
    </row>
    <row r="117" spans="1:38" ht="16.5" hidden="1" customHeight="1" x14ac:dyDescent="0.25">
      <c r="A117" s="2" t="s">
        <v>113</v>
      </c>
      <c r="B117" s="115">
        <v>0</v>
      </c>
      <c r="C117" s="116">
        <f>IFERROR(B117/B148, "NA")</f>
        <v>0</v>
      </c>
      <c r="D117" s="115">
        <v>0</v>
      </c>
      <c r="E117" s="116">
        <f>IFERROR(D117/D148, "NA")</f>
        <v>0</v>
      </c>
      <c r="F117" s="115">
        <v>0</v>
      </c>
      <c r="G117" s="116">
        <f>IFERROR(F117/F148, "NA")</f>
        <v>0</v>
      </c>
      <c r="H117" s="115">
        <v>0</v>
      </c>
      <c r="I117" s="116">
        <f>IFERROR(H117/H148, "NA")</f>
        <v>0</v>
      </c>
      <c r="J117" s="115">
        <v>0</v>
      </c>
      <c r="K117" s="116">
        <f>IFERROR(J117/J148, "NA")</f>
        <v>0</v>
      </c>
      <c r="L117" s="115">
        <v>0</v>
      </c>
      <c r="M117" s="116">
        <f>IFERROR(L117/L148, "NA")</f>
        <v>0</v>
      </c>
      <c r="N117" s="115">
        <v>0</v>
      </c>
      <c r="O117" s="116">
        <f>IFERROR(N117/N148, "NA")</f>
        <v>0</v>
      </c>
      <c r="P117" s="115">
        <v>0</v>
      </c>
      <c r="Q117" s="116">
        <f>IFERROR(P117/P148, "NA")</f>
        <v>0</v>
      </c>
      <c r="R117" s="115">
        <v>0</v>
      </c>
      <c r="S117" s="116">
        <f>IFERROR(R117/R148, "NA")</f>
        <v>0</v>
      </c>
      <c r="T117" s="115">
        <v>0</v>
      </c>
      <c r="U117" s="116">
        <f>IFERROR(T117/T148, "NA")</f>
        <v>0</v>
      </c>
      <c r="V117" s="115">
        <v>0</v>
      </c>
      <c r="W117" s="116">
        <f>IFERROR(V117/V148, "NA")</f>
        <v>0</v>
      </c>
      <c r="X117" s="115">
        <v>0</v>
      </c>
      <c r="Y117" s="116">
        <f>IFERROR(X117/X148, "NA")</f>
        <v>0</v>
      </c>
      <c r="Z117" s="115">
        <v>0</v>
      </c>
      <c r="AA117" s="116">
        <f>IFERROR(Z117/Z148, "NA")</f>
        <v>0</v>
      </c>
      <c r="AB117" s="117">
        <f t="shared" si="42"/>
        <v>0</v>
      </c>
      <c r="AC117" s="116">
        <f>IFERROR(AB117/AB148, "NA")</f>
        <v>0</v>
      </c>
      <c r="AD117" s="118">
        <f t="shared" si="43"/>
        <v>0</v>
      </c>
      <c r="AE117" s="119">
        <f>IFERROR(AD117/AD148, "NA")</f>
        <v>0</v>
      </c>
      <c r="AF117" s="118" t="str">
        <f t="shared" si="44"/>
        <v>NA</v>
      </c>
      <c r="AG117" s="117">
        <f t="shared" si="45"/>
        <v>0</v>
      </c>
      <c r="AH117" s="116">
        <f>IFERROR(AG117/AG148, "NA")</f>
        <v>0</v>
      </c>
      <c r="AI117" s="118">
        <f t="shared" si="46"/>
        <v>0</v>
      </c>
      <c r="AJ117" s="119">
        <f>IFERROR(AI117/AI148, "NA")</f>
        <v>0</v>
      </c>
      <c r="AK117" s="118" t="str">
        <f t="shared" si="47"/>
        <v>NA</v>
      </c>
      <c r="AL117" s="119" t="str">
        <f>IFERROR(AK117/AK148, "NA")</f>
        <v>NA</v>
      </c>
    </row>
    <row r="118" spans="1:38" ht="16.5" hidden="1" customHeight="1" x14ac:dyDescent="0.25">
      <c r="A118" s="2" t="s">
        <v>114</v>
      </c>
      <c r="B118" s="115">
        <v>0</v>
      </c>
      <c r="C118" s="116">
        <f>IFERROR(B118/B148, "NA")</f>
        <v>0</v>
      </c>
      <c r="D118" s="115">
        <v>0</v>
      </c>
      <c r="E118" s="116">
        <f>IFERROR(D118/D148, "NA")</f>
        <v>0</v>
      </c>
      <c r="F118" s="115">
        <v>0</v>
      </c>
      <c r="G118" s="116">
        <f>IFERROR(F118/F148, "NA")</f>
        <v>0</v>
      </c>
      <c r="H118" s="115">
        <v>0</v>
      </c>
      <c r="I118" s="116">
        <f>IFERROR(H118/H148, "NA")</f>
        <v>0</v>
      </c>
      <c r="J118" s="115">
        <v>0</v>
      </c>
      <c r="K118" s="116">
        <f>IFERROR(J118/J148, "NA")</f>
        <v>0</v>
      </c>
      <c r="L118" s="115">
        <v>0</v>
      </c>
      <c r="M118" s="116">
        <f>IFERROR(L118/L148, "NA")</f>
        <v>0</v>
      </c>
      <c r="N118" s="115">
        <v>0</v>
      </c>
      <c r="O118" s="116">
        <f>IFERROR(N118/N148, "NA")</f>
        <v>0</v>
      </c>
      <c r="P118" s="115">
        <v>0</v>
      </c>
      <c r="Q118" s="116">
        <f>IFERROR(P118/P148, "NA")</f>
        <v>0</v>
      </c>
      <c r="R118" s="115">
        <v>0</v>
      </c>
      <c r="S118" s="116">
        <f>IFERROR(R118/R148, "NA")</f>
        <v>0</v>
      </c>
      <c r="T118" s="115">
        <v>0</v>
      </c>
      <c r="U118" s="116">
        <f>IFERROR(T118/T148, "NA")</f>
        <v>0</v>
      </c>
      <c r="V118" s="115">
        <v>0</v>
      </c>
      <c r="W118" s="116">
        <f>IFERROR(V118/V148, "NA")</f>
        <v>0</v>
      </c>
      <c r="X118" s="115">
        <v>0</v>
      </c>
      <c r="Y118" s="116">
        <f>IFERROR(X118/X148, "NA")</f>
        <v>0</v>
      </c>
      <c r="Z118" s="115">
        <v>0</v>
      </c>
      <c r="AA118" s="116">
        <f>IFERROR(Z118/Z148, "NA")</f>
        <v>0</v>
      </c>
      <c r="AB118" s="117">
        <f t="shared" si="42"/>
        <v>0</v>
      </c>
      <c r="AC118" s="116">
        <f>IFERROR(AB118/AB148, "NA")</f>
        <v>0</v>
      </c>
      <c r="AD118" s="118">
        <f t="shared" si="43"/>
        <v>0</v>
      </c>
      <c r="AE118" s="119">
        <f>IFERROR(AD118/AD148, "NA")</f>
        <v>0</v>
      </c>
      <c r="AF118" s="118" t="str">
        <f t="shared" si="44"/>
        <v>NA</v>
      </c>
      <c r="AG118" s="117">
        <f t="shared" si="45"/>
        <v>0</v>
      </c>
      <c r="AH118" s="116">
        <f>IFERROR(AG118/AG148, "NA")</f>
        <v>0</v>
      </c>
      <c r="AI118" s="118">
        <f t="shared" si="46"/>
        <v>0</v>
      </c>
      <c r="AJ118" s="119">
        <f>IFERROR(AI118/AI148, "NA")</f>
        <v>0</v>
      </c>
      <c r="AK118" s="118" t="str">
        <f t="shared" si="47"/>
        <v>NA</v>
      </c>
      <c r="AL118" s="119" t="str">
        <f>IFERROR(AK118/AK148, "NA")</f>
        <v>NA</v>
      </c>
    </row>
    <row r="119" spans="1:38" ht="16.5" hidden="1" customHeight="1" x14ac:dyDescent="0.25">
      <c r="A119" s="2" t="s">
        <v>115</v>
      </c>
      <c r="B119" s="115">
        <v>0</v>
      </c>
      <c r="C119" s="116">
        <f>IFERROR(B119/B148, "NA")</f>
        <v>0</v>
      </c>
      <c r="D119" s="115">
        <v>0</v>
      </c>
      <c r="E119" s="116">
        <f>IFERROR(D119/D148, "NA")</f>
        <v>0</v>
      </c>
      <c r="F119" s="115">
        <v>0</v>
      </c>
      <c r="G119" s="116">
        <f>IFERROR(F119/F148, "NA")</f>
        <v>0</v>
      </c>
      <c r="H119" s="115">
        <v>0</v>
      </c>
      <c r="I119" s="116">
        <f>IFERROR(H119/H148, "NA")</f>
        <v>0</v>
      </c>
      <c r="J119" s="115">
        <v>0</v>
      </c>
      <c r="K119" s="116">
        <f>IFERROR(J119/J148, "NA")</f>
        <v>0</v>
      </c>
      <c r="L119" s="115">
        <v>0</v>
      </c>
      <c r="M119" s="116">
        <f>IFERROR(L119/L148, "NA")</f>
        <v>0</v>
      </c>
      <c r="N119" s="115">
        <v>0</v>
      </c>
      <c r="O119" s="116">
        <f>IFERROR(N119/N148, "NA")</f>
        <v>0</v>
      </c>
      <c r="P119" s="115">
        <v>0</v>
      </c>
      <c r="Q119" s="116">
        <f>IFERROR(P119/P148, "NA")</f>
        <v>0</v>
      </c>
      <c r="R119" s="115">
        <v>0</v>
      </c>
      <c r="S119" s="116">
        <f>IFERROR(R119/R148, "NA")</f>
        <v>0</v>
      </c>
      <c r="T119" s="115">
        <v>0</v>
      </c>
      <c r="U119" s="116">
        <f>IFERROR(T119/T148, "NA")</f>
        <v>0</v>
      </c>
      <c r="V119" s="115">
        <v>0</v>
      </c>
      <c r="W119" s="116">
        <f>IFERROR(V119/V148, "NA")</f>
        <v>0</v>
      </c>
      <c r="X119" s="115">
        <v>0</v>
      </c>
      <c r="Y119" s="116">
        <f>IFERROR(X119/X148, "NA")</f>
        <v>0</v>
      </c>
      <c r="Z119" s="115">
        <v>0</v>
      </c>
      <c r="AA119" s="116">
        <f>IFERROR(Z119/Z148, "NA")</f>
        <v>0</v>
      </c>
      <c r="AB119" s="117">
        <f t="shared" si="42"/>
        <v>0</v>
      </c>
      <c r="AC119" s="116">
        <f>IFERROR(AB119/AB148, "NA")</f>
        <v>0</v>
      </c>
      <c r="AD119" s="118">
        <f t="shared" si="43"/>
        <v>0</v>
      </c>
      <c r="AE119" s="119">
        <f>IFERROR(AD119/AD148, "NA")</f>
        <v>0</v>
      </c>
      <c r="AF119" s="118" t="str">
        <f t="shared" si="44"/>
        <v>NA</v>
      </c>
      <c r="AG119" s="117">
        <f t="shared" si="45"/>
        <v>0</v>
      </c>
      <c r="AH119" s="116">
        <f>IFERROR(AG119/AG148, "NA")</f>
        <v>0</v>
      </c>
      <c r="AI119" s="118">
        <f t="shared" si="46"/>
        <v>0</v>
      </c>
      <c r="AJ119" s="119">
        <f>IFERROR(AI119/AI148, "NA")</f>
        <v>0</v>
      </c>
      <c r="AK119" s="118" t="str">
        <f t="shared" si="47"/>
        <v>NA</v>
      </c>
      <c r="AL119" s="119" t="str">
        <f>IFERROR(AK119/AK148, "NA")</f>
        <v>NA</v>
      </c>
    </row>
    <row r="120" spans="1:38" ht="16.5" hidden="1" customHeight="1" x14ac:dyDescent="0.25">
      <c r="A120" s="2" t="s">
        <v>116</v>
      </c>
      <c r="B120" s="115">
        <v>0</v>
      </c>
      <c r="C120" s="116">
        <f>IFERROR(B120/B148, "NA")</f>
        <v>0</v>
      </c>
      <c r="D120" s="115">
        <v>0</v>
      </c>
      <c r="E120" s="116">
        <f>IFERROR(D120/D148, "NA")</f>
        <v>0</v>
      </c>
      <c r="F120" s="115">
        <v>0</v>
      </c>
      <c r="G120" s="116">
        <f>IFERROR(F120/F148, "NA")</f>
        <v>0</v>
      </c>
      <c r="H120" s="115">
        <v>0</v>
      </c>
      <c r="I120" s="116">
        <f>IFERROR(H120/H148, "NA")</f>
        <v>0</v>
      </c>
      <c r="J120" s="115">
        <v>0</v>
      </c>
      <c r="K120" s="116">
        <f>IFERROR(J120/J148, "NA")</f>
        <v>0</v>
      </c>
      <c r="L120" s="115">
        <v>0</v>
      </c>
      <c r="M120" s="116">
        <f>IFERROR(L120/L148, "NA")</f>
        <v>0</v>
      </c>
      <c r="N120" s="115">
        <v>0</v>
      </c>
      <c r="O120" s="116">
        <f>IFERROR(N120/N148, "NA")</f>
        <v>0</v>
      </c>
      <c r="P120" s="115">
        <v>0</v>
      </c>
      <c r="Q120" s="116">
        <f>IFERROR(P120/P148, "NA")</f>
        <v>0</v>
      </c>
      <c r="R120" s="115">
        <v>0</v>
      </c>
      <c r="S120" s="116">
        <f>IFERROR(R120/R148, "NA")</f>
        <v>0</v>
      </c>
      <c r="T120" s="115">
        <v>0</v>
      </c>
      <c r="U120" s="116">
        <f>IFERROR(T120/T148, "NA")</f>
        <v>0</v>
      </c>
      <c r="V120" s="115">
        <v>0</v>
      </c>
      <c r="W120" s="116">
        <f>IFERROR(V120/V148, "NA")</f>
        <v>0</v>
      </c>
      <c r="X120" s="115">
        <v>0</v>
      </c>
      <c r="Y120" s="116">
        <f>IFERROR(X120/X148, "NA")</f>
        <v>0</v>
      </c>
      <c r="Z120" s="115">
        <v>0</v>
      </c>
      <c r="AA120" s="116">
        <f>IFERROR(Z120/Z148, "NA")</f>
        <v>0</v>
      </c>
      <c r="AB120" s="117">
        <f t="shared" si="42"/>
        <v>0</v>
      </c>
      <c r="AC120" s="116">
        <f>IFERROR(AB120/AB148, "NA")</f>
        <v>0</v>
      </c>
      <c r="AD120" s="118">
        <f t="shared" si="43"/>
        <v>0</v>
      </c>
      <c r="AE120" s="119">
        <f>IFERROR(AD120/AD148, "NA")</f>
        <v>0</v>
      </c>
      <c r="AF120" s="118" t="str">
        <f t="shared" si="44"/>
        <v>NA</v>
      </c>
      <c r="AG120" s="117">
        <f t="shared" si="45"/>
        <v>0</v>
      </c>
      <c r="AH120" s="116">
        <f>IFERROR(AG120/AG148, "NA")</f>
        <v>0</v>
      </c>
      <c r="AI120" s="118">
        <f t="shared" si="46"/>
        <v>0</v>
      </c>
      <c r="AJ120" s="119">
        <f>IFERROR(AI120/AI148, "NA")</f>
        <v>0</v>
      </c>
      <c r="AK120" s="118" t="str">
        <f t="shared" si="47"/>
        <v>NA</v>
      </c>
      <c r="AL120" s="119" t="str">
        <f>IFERROR(AK120/AK148, "NA")</f>
        <v>NA</v>
      </c>
    </row>
    <row r="121" spans="1:38" ht="16.5" hidden="1" customHeight="1" x14ac:dyDescent="0.25">
      <c r="A121" s="2" t="s">
        <v>117</v>
      </c>
      <c r="B121" s="115">
        <v>0</v>
      </c>
      <c r="C121" s="116">
        <f>IFERROR(B121/B148, "NA")</f>
        <v>0</v>
      </c>
      <c r="D121" s="115">
        <v>0</v>
      </c>
      <c r="E121" s="116">
        <f>IFERROR(D121/D148, "NA")</f>
        <v>0</v>
      </c>
      <c r="F121" s="115">
        <v>0</v>
      </c>
      <c r="G121" s="116">
        <f>IFERROR(F121/F148, "NA")</f>
        <v>0</v>
      </c>
      <c r="H121" s="115">
        <v>0</v>
      </c>
      <c r="I121" s="116">
        <f>IFERROR(H121/H148, "NA")</f>
        <v>0</v>
      </c>
      <c r="J121" s="115">
        <v>0</v>
      </c>
      <c r="K121" s="116">
        <f>IFERROR(J121/J148, "NA")</f>
        <v>0</v>
      </c>
      <c r="L121" s="115">
        <v>0</v>
      </c>
      <c r="M121" s="116">
        <f>IFERROR(L121/L148, "NA")</f>
        <v>0</v>
      </c>
      <c r="N121" s="115">
        <v>0</v>
      </c>
      <c r="O121" s="116">
        <f>IFERROR(N121/N148, "NA")</f>
        <v>0</v>
      </c>
      <c r="P121" s="115">
        <v>0</v>
      </c>
      <c r="Q121" s="116">
        <f>IFERROR(P121/P148, "NA")</f>
        <v>0</v>
      </c>
      <c r="R121" s="115">
        <v>0</v>
      </c>
      <c r="S121" s="116">
        <f>IFERROR(R121/R148, "NA")</f>
        <v>0</v>
      </c>
      <c r="T121" s="115">
        <v>0</v>
      </c>
      <c r="U121" s="116">
        <f>IFERROR(T121/T148, "NA")</f>
        <v>0</v>
      </c>
      <c r="V121" s="115">
        <v>0</v>
      </c>
      <c r="W121" s="116">
        <f>IFERROR(V121/V148, "NA")</f>
        <v>0</v>
      </c>
      <c r="X121" s="115">
        <v>0</v>
      </c>
      <c r="Y121" s="116">
        <f>IFERROR(X121/X148, "NA")</f>
        <v>0</v>
      </c>
      <c r="Z121" s="115">
        <v>0</v>
      </c>
      <c r="AA121" s="116">
        <f>IFERROR(Z121/Z148, "NA")</f>
        <v>0</v>
      </c>
      <c r="AB121" s="117">
        <f t="shared" si="42"/>
        <v>0</v>
      </c>
      <c r="AC121" s="116">
        <f>IFERROR(AB121/AB148, "NA")</f>
        <v>0</v>
      </c>
      <c r="AD121" s="118">
        <f t="shared" si="43"/>
        <v>0</v>
      </c>
      <c r="AE121" s="119">
        <f>IFERROR(AD121/AD148, "NA")</f>
        <v>0</v>
      </c>
      <c r="AF121" s="118" t="str">
        <f t="shared" si="44"/>
        <v>NA</v>
      </c>
      <c r="AG121" s="117">
        <f t="shared" si="45"/>
        <v>0</v>
      </c>
      <c r="AH121" s="116">
        <f>IFERROR(AG121/AG148, "NA")</f>
        <v>0</v>
      </c>
      <c r="AI121" s="118">
        <f t="shared" si="46"/>
        <v>0</v>
      </c>
      <c r="AJ121" s="119">
        <f>IFERROR(AI121/AI148, "NA")</f>
        <v>0</v>
      </c>
      <c r="AK121" s="118" t="str">
        <f t="shared" si="47"/>
        <v>NA</v>
      </c>
      <c r="AL121" s="119" t="str">
        <f>IFERROR(AK121/AK148, "NA")</f>
        <v>NA</v>
      </c>
    </row>
    <row r="122" spans="1:38" ht="16.5" hidden="1" customHeight="1" x14ac:dyDescent="0.25">
      <c r="A122" s="2" t="s">
        <v>118</v>
      </c>
      <c r="B122" s="115">
        <v>0</v>
      </c>
      <c r="C122" s="116">
        <f>IFERROR(B122/B148, "NA")</f>
        <v>0</v>
      </c>
      <c r="D122" s="115">
        <v>0</v>
      </c>
      <c r="E122" s="116">
        <f>IFERROR(D122/D148, "NA")</f>
        <v>0</v>
      </c>
      <c r="F122" s="115">
        <v>0</v>
      </c>
      <c r="G122" s="116">
        <f>IFERROR(F122/F148, "NA")</f>
        <v>0</v>
      </c>
      <c r="H122" s="115">
        <v>0</v>
      </c>
      <c r="I122" s="116">
        <f>IFERROR(H122/H148, "NA")</f>
        <v>0</v>
      </c>
      <c r="J122" s="115">
        <v>0</v>
      </c>
      <c r="K122" s="116">
        <f>IFERROR(J122/J148, "NA")</f>
        <v>0</v>
      </c>
      <c r="L122" s="115">
        <v>0</v>
      </c>
      <c r="M122" s="116">
        <f>IFERROR(L122/L148, "NA")</f>
        <v>0</v>
      </c>
      <c r="N122" s="115">
        <v>0</v>
      </c>
      <c r="O122" s="116">
        <f>IFERROR(N122/N148, "NA")</f>
        <v>0</v>
      </c>
      <c r="P122" s="115">
        <v>0</v>
      </c>
      <c r="Q122" s="116">
        <f>IFERROR(P122/P148, "NA")</f>
        <v>0</v>
      </c>
      <c r="R122" s="115">
        <v>0</v>
      </c>
      <c r="S122" s="116">
        <f>IFERROR(R122/R148, "NA")</f>
        <v>0</v>
      </c>
      <c r="T122" s="115">
        <v>0</v>
      </c>
      <c r="U122" s="116">
        <f>IFERROR(T122/T148, "NA")</f>
        <v>0</v>
      </c>
      <c r="V122" s="115">
        <v>0</v>
      </c>
      <c r="W122" s="116">
        <f>IFERROR(V122/V148, "NA")</f>
        <v>0</v>
      </c>
      <c r="X122" s="115">
        <v>0</v>
      </c>
      <c r="Y122" s="116">
        <f>IFERROR(X122/X148, "NA")</f>
        <v>0</v>
      </c>
      <c r="Z122" s="115">
        <v>0</v>
      </c>
      <c r="AA122" s="116">
        <f>IFERROR(Z122/Z148, "NA")</f>
        <v>0</v>
      </c>
      <c r="AB122" s="117">
        <f t="shared" si="42"/>
        <v>0</v>
      </c>
      <c r="AC122" s="116">
        <f>IFERROR(AB122/AB148, "NA")</f>
        <v>0</v>
      </c>
      <c r="AD122" s="118">
        <f t="shared" si="43"/>
        <v>0</v>
      </c>
      <c r="AE122" s="119">
        <f>IFERROR(AD122/AD148, "NA")</f>
        <v>0</v>
      </c>
      <c r="AF122" s="118" t="str">
        <f t="shared" si="44"/>
        <v>NA</v>
      </c>
      <c r="AG122" s="117">
        <f t="shared" si="45"/>
        <v>0</v>
      </c>
      <c r="AH122" s="116">
        <f>IFERROR(AG122/AG148, "NA")</f>
        <v>0</v>
      </c>
      <c r="AI122" s="118">
        <f t="shared" si="46"/>
        <v>0</v>
      </c>
      <c r="AJ122" s="119">
        <f>IFERROR(AI122/AI148, "NA")</f>
        <v>0</v>
      </c>
      <c r="AK122" s="118" t="str">
        <f t="shared" si="47"/>
        <v>NA</v>
      </c>
      <c r="AL122" s="119" t="str">
        <f>IFERROR(AK122/AK148, "NA")</f>
        <v>NA</v>
      </c>
    </row>
    <row r="123" spans="1:38" ht="16.5" hidden="1" customHeight="1" x14ac:dyDescent="0.25">
      <c r="A123" s="2" t="s">
        <v>119</v>
      </c>
      <c r="B123" s="115">
        <v>0</v>
      </c>
      <c r="C123" s="116">
        <f>IFERROR(B123/B148, "NA")</f>
        <v>0</v>
      </c>
      <c r="D123" s="115">
        <v>0</v>
      </c>
      <c r="E123" s="116">
        <f>IFERROR(D123/D148, "NA")</f>
        <v>0</v>
      </c>
      <c r="F123" s="115">
        <v>0</v>
      </c>
      <c r="G123" s="116">
        <f>IFERROR(F123/F148, "NA")</f>
        <v>0</v>
      </c>
      <c r="H123" s="115">
        <v>0</v>
      </c>
      <c r="I123" s="116">
        <f>IFERROR(H123/H148, "NA")</f>
        <v>0</v>
      </c>
      <c r="J123" s="115">
        <v>0</v>
      </c>
      <c r="K123" s="116">
        <f>IFERROR(J123/J148, "NA")</f>
        <v>0</v>
      </c>
      <c r="L123" s="115">
        <v>0</v>
      </c>
      <c r="M123" s="116">
        <f>IFERROR(L123/L148, "NA")</f>
        <v>0</v>
      </c>
      <c r="N123" s="115">
        <v>0</v>
      </c>
      <c r="O123" s="116">
        <f>IFERROR(N123/N148, "NA")</f>
        <v>0</v>
      </c>
      <c r="P123" s="115">
        <v>0</v>
      </c>
      <c r="Q123" s="116">
        <f>IFERROR(P123/P148, "NA")</f>
        <v>0</v>
      </c>
      <c r="R123" s="115">
        <v>0</v>
      </c>
      <c r="S123" s="116">
        <f>IFERROR(R123/R148, "NA")</f>
        <v>0</v>
      </c>
      <c r="T123" s="115">
        <v>0</v>
      </c>
      <c r="U123" s="116">
        <f>IFERROR(T123/T148, "NA")</f>
        <v>0</v>
      </c>
      <c r="V123" s="115">
        <v>0</v>
      </c>
      <c r="W123" s="116">
        <f>IFERROR(V123/V148, "NA")</f>
        <v>0</v>
      </c>
      <c r="X123" s="115">
        <v>0</v>
      </c>
      <c r="Y123" s="116">
        <f>IFERROR(X123/X148, "NA")</f>
        <v>0</v>
      </c>
      <c r="Z123" s="115">
        <v>0</v>
      </c>
      <c r="AA123" s="116">
        <f>IFERROR(Z123/Z148, "NA")</f>
        <v>0</v>
      </c>
      <c r="AB123" s="117">
        <f t="shared" si="42"/>
        <v>0</v>
      </c>
      <c r="AC123" s="116">
        <f>IFERROR(AB123/AB148, "NA")</f>
        <v>0</v>
      </c>
      <c r="AD123" s="118">
        <f t="shared" si="43"/>
        <v>0</v>
      </c>
      <c r="AE123" s="119">
        <f>IFERROR(AD123/AD148, "NA")</f>
        <v>0</v>
      </c>
      <c r="AF123" s="118" t="str">
        <f t="shared" si="44"/>
        <v>NA</v>
      </c>
      <c r="AG123" s="117">
        <f t="shared" si="45"/>
        <v>0</v>
      </c>
      <c r="AH123" s="116">
        <f>IFERROR(AG123/AG148, "NA")</f>
        <v>0</v>
      </c>
      <c r="AI123" s="118">
        <f t="shared" si="46"/>
        <v>0</v>
      </c>
      <c r="AJ123" s="119">
        <f>IFERROR(AI123/AI148, "NA")</f>
        <v>0</v>
      </c>
      <c r="AK123" s="118" t="str">
        <f t="shared" si="47"/>
        <v>NA</v>
      </c>
      <c r="AL123" s="119" t="str">
        <f>IFERROR(AK123/AK148, "NA")</f>
        <v>NA</v>
      </c>
    </row>
    <row r="124" spans="1:38" ht="16.5" hidden="1" customHeight="1" x14ac:dyDescent="0.25">
      <c r="A124" s="2" t="s">
        <v>120</v>
      </c>
      <c r="B124" s="115">
        <v>0</v>
      </c>
      <c r="C124" s="116">
        <f>IFERROR(B124/B148, "NA")</f>
        <v>0</v>
      </c>
      <c r="D124" s="115">
        <v>0</v>
      </c>
      <c r="E124" s="116">
        <f>IFERROR(D124/D148, "NA")</f>
        <v>0</v>
      </c>
      <c r="F124" s="115">
        <v>0</v>
      </c>
      <c r="G124" s="116">
        <f>IFERROR(F124/F148, "NA")</f>
        <v>0</v>
      </c>
      <c r="H124" s="115">
        <v>0</v>
      </c>
      <c r="I124" s="116">
        <f>IFERROR(H124/H148, "NA")</f>
        <v>0</v>
      </c>
      <c r="J124" s="115">
        <v>0</v>
      </c>
      <c r="K124" s="116">
        <f>IFERROR(J124/J148, "NA")</f>
        <v>0</v>
      </c>
      <c r="L124" s="115">
        <v>0</v>
      </c>
      <c r="M124" s="116">
        <f>IFERROR(L124/L148, "NA")</f>
        <v>0</v>
      </c>
      <c r="N124" s="115">
        <v>0</v>
      </c>
      <c r="O124" s="116">
        <f>IFERROR(N124/N148, "NA")</f>
        <v>0</v>
      </c>
      <c r="P124" s="115">
        <v>0</v>
      </c>
      <c r="Q124" s="116">
        <f>IFERROR(P124/P148, "NA")</f>
        <v>0</v>
      </c>
      <c r="R124" s="115">
        <v>0</v>
      </c>
      <c r="S124" s="116">
        <f>IFERROR(R124/R148, "NA")</f>
        <v>0</v>
      </c>
      <c r="T124" s="115">
        <v>0</v>
      </c>
      <c r="U124" s="116">
        <f>IFERROR(T124/T148, "NA")</f>
        <v>0</v>
      </c>
      <c r="V124" s="115">
        <v>0</v>
      </c>
      <c r="W124" s="116">
        <f>IFERROR(V124/V148, "NA")</f>
        <v>0</v>
      </c>
      <c r="X124" s="115">
        <v>0</v>
      </c>
      <c r="Y124" s="116">
        <f>IFERROR(X124/X148, "NA")</f>
        <v>0</v>
      </c>
      <c r="Z124" s="115">
        <v>0</v>
      </c>
      <c r="AA124" s="116">
        <f>IFERROR(Z124/Z148, "NA")</f>
        <v>0</v>
      </c>
      <c r="AB124" s="117">
        <f t="shared" si="42"/>
        <v>0</v>
      </c>
      <c r="AC124" s="116">
        <f>IFERROR(AB124/AB148, "NA")</f>
        <v>0</v>
      </c>
      <c r="AD124" s="118">
        <f t="shared" si="43"/>
        <v>0</v>
      </c>
      <c r="AE124" s="119">
        <f>IFERROR(AD124/AD148, "NA")</f>
        <v>0</v>
      </c>
      <c r="AF124" s="118" t="str">
        <f t="shared" si="44"/>
        <v>NA</v>
      </c>
      <c r="AG124" s="117">
        <f t="shared" si="45"/>
        <v>0</v>
      </c>
      <c r="AH124" s="116">
        <f>IFERROR(AG124/AG148, "NA")</f>
        <v>0</v>
      </c>
      <c r="AI124" s="118">
        <f t="shared" si="46"/>
        <v>0</v>
      </c>
      <c r="AJ124" s="119">
        <f>IFERROR(AI124/AI148, "NA")</f>
        <v>0</v>
      </c>
      <c r="AK124" s="118" t="str">
        <f t="shared" si="47"/>
        <v>NA</v>
      </c>
      <c r="AL124" s="119" t="str">
        <f>IFERROR(AK124/AK148, "NA")</f>
        <v>NA</v>
      </c>
    </row>
    <row r="125" spans="1:38" ht="16.5" hidden="1" customHeight="1" x14ac:dyDescent="0.25">
      <c r="A125" s="2" t="s">
        <v>121</v>
      </c>
      <c r="B125" s="115">
        <v>0</v>
      </c>
      <c r="C125" s="116">
        <f>IFERROR(B125/B148, "NA")</f>
        <v>0</v>
      </c>
      <c r="D125" s="115">
        <v>0</v>
      </c>
      <c r="E125" s="116">
        <f>IFERROR(D125/D148, "NA")</f>
        <v>0</v>
      </c>
      <c r="F125" s="115">
        <v>0</v>
      </c>
      <c r="G125" s="116">
        <f>IFERROR(F125/F148, "NA")</f>
        <v>0</v>
      </c>
      <c r="H125" s="115">
        <v>0</v>
      </c>
      <c r="I125" s="116">
        <f>IFERROR(H125/H148, "NA")</f>
        <v>0</v>
      </c>
      <c r="J125" s="115">
        <v>0</v>
      </c>
      <c r="K125" s="116">
        <f>IFERROR(J125/J148, "NA")</f>
        <v>0</v>
      </c>
      <c r="L125" s="115">
        <v>0</v>
      </c>
      <c r="M125" s="116">
        <f>IFERROR(L125/L148, "NA")</f>
        <v>0</v>
      </c>
      <c r="N125" s="115">
        <v>0</v>
      </c>
      <c r="O125" s="116">
        <f>IFERROR(N125/N148, "NA")</f>
        <v>0</v>
      </c>
      <c r="P125" s="115">
        <v>0</v>
      </c>
      <c r="Q125" s="116">
        <f>IFERROR(P125/P148, "NA")</f>
        <v>0</v>
      </c>
      <c r="R125" s="115">
        <v>0</v>
      </c>
      <c r="S125" s="116">
        <f>IFERROR(R125/R148, "NA")</f>
        <v>0</v>
      </c>
      <c r="T125" s="115">
        <v>0</v>
      </c>
      <c r="U125" s="116">
        <f>IFERROR(T125/T148, "NA")</f>
        <v>0</v>
      </c>
      <c r="V125" s="115">
        <v>0</v>
      </c>
      <c r="W125" s="116">
        <f>IFERROR(V125/V148, "NA")</f>
        <v>0</v>
      </c>
      <c r="X125" s="115">
        <v>0</v>
      </c>
      <c r="Y125" s="116">
        <f>IFERROR(X125/X148, "NA")</f>
        <v>0</v>
      </c>
      <c r="Z125" s="115">
        <v>0</v>
      </c>
      <c r="AA125" s="116">
        <f>IFERROR(Z125/Z148, "NA")</f>
        <v>0</v>
      </c>
      <c r="AB125" s="117">
        <f t="shared" si="42"/>
        <v>0</v>
      </c>
      <c r="AC125" s="116">
        <f>IFERROR(AB125/AB148, "NA")</f>
        <v>0</v>
      </c>
      <c r="AD125" s="118">
        <f t="shared" si="43"/>
        <v>0</v>
      </c>
      <c r="AE125" s="119">
        <f>IFERROR(AD125/AD148, "NA")</f>
        <v>0</v>
      </c>
      <c r="AF125" s="118" t="str">
        <f t="shared" si="44"/>
        <v>NA</v>
      </c>
      <c r="AG125" s="117">
        <f t="shared" si="45"/>
        <v>0</v>
      </c>
      <c r="AH125" s="116">
        <f>IFERROR(AG125/AG148, "NA")</f>
        <v>0</v>
      </c>
      <c r="AI125" s="118">
        <f t="shared" si="46"/>
        <v>0</v>
      </c>
      <c r="AJ125" s="119">
        <f>IFERROR(AI125/AI148, "NA")</f>
        <v>0</v>
      </c>
      <c r="AK125" s="118" t="str">
        <f t="shared" si="47"/>
        <v>NA</v>
      </c>
      <c r="AL125" s="119" t="str">
        <f>IFERROR(AK125/AK148, "NA")</f>
        <v>NA</v>
      </c>
    </row>
    <row r="126" spans="1:38" ht="16.5" hidden="1" customHeight="1" x14ac:dyDescent="0.25">
      <c r="A126" s="2" t="s">
        <v>122</v>
      </c>
      <c r="B126" s="115">
        <v>0</v>
      </c>
      <c r="C126" s="116">
        <f>IFERROR(B126/B148, "NA")</f>
        <v>0</v>
      </c>
      <c r="D126" s="115">
        <v>0</v>
      </c>
      <c r="E126" s="116">
        <f>IFERROR(D126/D148, "NA")</f>
        <v>0</v>
      </c>
      <c r="F126" s="115">
        <v>0</v>
      </c>
      <c r="G126" s="116">
        <f>IFERROR(F126/F148, "NA")</f>
        <v>0</v>
      </c>
      <c r="H126" s="115">
        <v>0</v>
      </c>
      <c r="I126" s="116">
        <f>IFERROR(H126/H148, "NA")</f>
        <v>0</v>
      </c>
      <c r="J126" s="115">
        <v>0</v>
      </c>
      <c r="K126" s="116">
        <f>IFERROR(J126/J148, "NA")</f>
        <v>0</v>
      </c>
      <c r="L126" s="115">
        <v>0</v>
      </c>
      <c r="M126" s="116">
        <f>IFERROR(L126/L148, "NA")</f>
        <v>0</v>
      </c>
      <c r="N126" s="115">
        <v>0</v>
      </c>
      <c r="O126" s="116">
        <f>IFERROR(N126/N148, "NA")</f>
        <v>0</v>
      </c>
      <c r="P126" s="115">
        <v>0</v>
      </c>
      <c r="Q126" s="116">
        <f>IFERROR(P126/P148, "NA")</f>
        <v>0</v>
      </c>
      <c r="R126" s="115">
        <v>0</v>
      </c>
      <c r="S126" s="116">
        <f>IFERROR(R126/R148, "NA")</f>
        <v>0</v>
      </c>
      <c r="T126" s="115">
        <v>0</v>
      </c>
      <c r="U126" s="116">
        <f>IFERROR(T126/T148, "NA")</f>
        <v>0</v>
      </c>
      <c r="V126" s="115">
        <v>0</v>
      </c>
      <c r="W126" s="116">
        <f>IFERROR(V126/V148, "NA")</f>
        <v>0</v>
      </c>
      <c r="X126" s="115">
        <v>0</v>
      </c>
      <c r="Y126" s="116">
        <f>IFERROR(X126/X148, "NA")</f>
        <v>0</v>
      </c>
      <c r="Z126" s="115">
        <v>0</v>
      </c>
      <c r="AA126" s="116">
        <f>IFERROR(Z126/Z148, "NA")</f>
        <v>0</v>
      </c>
      <c r="AB126" s="117">
        <f t="shared" si="42"/>
        <v>0</v>
      </c>
      <c r="AC126" s="116">
        <f>IFERROR(AB126/AB148, "NA")</f>
        <v>0</v>
      </c>
      <c r="AD126" s="118">
        <f t="shared" si="43"/>
        <v>0</v>
      </c>
      <c r="AE126" s="119">
        <f>IFERROR(AD126/AD148, "NA")</f>
        <v>0</v>
      </c>
      <c r="AF126" s="118" t="str">
        <f t="shared" si="44"/>
        <v>NA</v>
      </c>
      <c r="AG126" s="117">
        <f t="shared" si="45"/>
        <v>0</v>
      </c>
      <c r="AH126" s="116">
        <f>IFERROR(AG126/AG148, "NA")</f>
        <v>0</v>
      </c>
      <c r="AI126" s="118">
        <f t="shared" si="46"/>
        <v>0</v>
      </c>
      <c r="AJ126" s="119">
        <f>IFERROR(AI126/AI148, "NA")</f>
        <v>0</v>
      </c>
      <c r="AK126" s="118" t="str">
        <f t="shared" si="47"/>
        <v>NA</v>
      </c>
      <c r="AL126" s="119" t="str">
        <f>IFERROR(AK126/AK148, "NA")</f>
        <v>NA</v>
      </c>
    </row>
    <row r="127" spans="1:38" ht="16.5" hidden="1" customHeight="1" x14ac:dyDescent="0.25">
      <c r="A127" s="2" t="s">
        <v>123</v>
      </c>
      <c r="B127" s="115">
        <v>0</v>
      </c>
      <c r="C127" s="116">
        <f>IFERROR(B127/B148, "NA")</f>
        <v>0</v>
      </c>
      <c r="D127" s="115">
        <v>0</v>
      </c>
      <c r="E127" s="116">
        <f>IFERROR(D127/D148, "NA")</f>
        <v>0</v>
      </c>
      <c r="F127" s="115">
        <v>0</v>
      </c>
      <c r="G127" s="116">
        <f>IFERROR(F127/F148, "NA")</f>
        <v>0</v>
      </c>
      <c r="H127" s="115">
        <v>0</v>
      </c>
      <c r="I127" s="116">
        <f>IFERROR(H127/H148, "NA")</f>
        <v>0</v>
      </c>
      <c r="J127" s="115">
        <v>0</v>
      </c>
      <c r="K127" s="116">
        <f>IFERROR(J127/J148, "NA")</f>
        <v>0</v>
      </c>
      <c r="L127" s="115">
        <v>0</v>
      </c>
      <c r="M127" s="116">
        <f>IFERROR(L127/L148, "NA")</f>
        <v>0</v>
      </c>
      <c r="N127" s="115">
        <v>0</v>
      </c>
      <c r="O127" s="116">
        <f>IFERROR(N127/N148, "NA")</f>
        <v>0</v>
      </c>
      <c r="P127" s="115">
        <v>0</v>
      </c>
      <c r="Q127" s="116">
        <f>IFERROR(P127/P148, "NA")</f>
        <v>0</v>
      </c>
      <c r="R127" s="115">
        <v>0</v>
      </c>
      <c r="S127" s="116">
        <f>IFERROR(R127/R148, "NA")</f>
        <v>0</v>
      </c>
      <c r="T127" s="115">
        <v>0</v>
      </c>
      <c r="U127" s="116">
        <f>IFERROR(T127/T148, "NA")</f>
        <v>0</v>
      </c>
      <c r="V127" s="115">
        <v>0</v>
      </c>
      <c r="W127" s="116">
        <f>IFERROR(V127/V148, "NA")</f>
        <v>0</v>
      </c>
      <c r="X127" s="115">
        <v>0</v>
      </c>
      <c r="Y127" s="116">
        <f>IFERROR(X127/X148, "NA")</f>
        <v>0</v>
      </c>
      <c r="Z127" s="115">
        <v>0</v>
      </c>
      <c r="AA127" s="116">
        <f>IFERROR(Z127/Z148, "NA")</f>
        <v>0</v>
      </c>
      <c r="AB127" s="117">
        <f t="shared" si="42"/>
        <v>0</v>
      </c>
      <c r="AC127" s="116">
        <f>IFERROR(AB127/AB148, "NA")</f>
        <v>0</v>
      </c>
      <c r="AD127" s="118">
        <f t="shared" si="43"/>
        <v>0</v>
      </c>
      <c r="AE127" s="119">
        <f>IFERROR(AD127/AD148, "NA")</f>
        <v>0</v>
      </c>
      <c r="AF127" s="118" t="str">
        <f t="shared" si="44"/>
        <v>NA</v>
      </c>
      <c r="AG127" s="117">
        <f t="shared" si="45"/>
        <v>0</v>
      </c>
      <c r="AH127" s="116">
        <f>IFERROR(AG127/AG148, "NA")</f>
        <v>0</v>
      </c>
      <c r="AI127" s="118">
        <f t="shared" si="46"/>
        <v>0</v>
      </c>
      <c r="AJ127" s="119">
        <f>IFERROR(AI127/AI148, "NA")</f>
        <v>0</v>
      </c>
      <c r="AK127" s="118" t="str">
        <f t="shared" si="47"/>
        <v>NA</v>
      </c>
      <c r="AL127" s="119" t="str">
        <f>IFERROR(AK127/AK148, "NA")</f>
        <v>NA</v>
      </c>
    </row>
    <row r="128" spans="1:38" ht="16.5" hidden="1" customHeight="1" x14ac:dyDescent="0.25">
      <c r="A128" s="2" t="s">
        <v>124</v>
      </c>
      <c r="B128" s="115">
        <v>-797.62</v>
      </c>
      <c r="C128" s="116">
        <f>IFERROR(B128/B148, "NA")</f>
        <v>-2.7637771320502099E-2</v>
      </c>
      <c r="D128" s="115">
        <v>359.13</v>
      </c>
      <c r="E128" s="116">
        <f>IFERROR(D128/D148, "NA")</f>
        <v>1.3877269648259343E-2</v>
      </c>
      <c r="F128" s="115">
        <v>451.77</v>
      </c>
      <c r="G128" s="116">
        <f>IFERROR(F128/F148, "NA")</f>
        <v>1.7580836160865605E-2</v>
      </c>
      <c r="H128" s="115">
        <v>455.64000000000004</v>
      </c>
      <c r="I128" s="116">
        <f>IFERROR(H128/H148, "NA")</f>
        <v>1.8106610597795527E-2</v>
      </c>
      <c r="J128" s="115">
        <v>-1266.54</v>
      </c>
      <c r="K128" s="116">
        <f>IFERROR(J128/J148, "NA")</f>
        <v>-4.4232773336984062E-2</v>
      </c>
      <c r="L128" s="115">
        <v>467.43</v>
      </c>
      <c r="M128" s="116">
        <f>IFERROR(L128/L148, "NA")</f>
        <v>1.6657318165717205E-2</v>
      </c>
      <c r="N128" s="115">
        <v>455.22</v>
      </c>
      <c r="O128" s="116">
        <f>IFERROR(N128/N148, "NA")</f>
        <v>1.7683583425398913E-2</v>
      </c>
      <c r="P128" s="115">
        <v>527.9</v>
      </c>
      <c r="Q128" s="116">
        <f>IFERROR(P128/P148, "NA")</f>
        <v>2.5614674554375504E-2</v>
      </c>
      <c r="R128" s="115">
        <v>546.08000000000004</v>
      </c>
      <c r="S128" s="116">
        <f>IFERROR(R128/R148, "NA")</f>
        <v>2.2269082848018651E-2</v>
      </c>
      <c r="T128" s="115">
        <v>-1996.63</v>
      </c>
      <c r="U128" s="116">
        <f>IFERROR(T128/T148, "NA")</f>
        <v>-7.4882966650089602E-2</v>
      </c>
      <c r="V128" s="115">
        <v>426.2</v>
      </c>
      <c r="W128" s="116">
        <f>IFERROR(V128/V148, "NA")</f>
        <v>1.7758925297509914E-2</v>
      </c>
      <c r="X128" s="115">
        <v>421.28</v>
      </c>
      <c r="Y128" s="116">
        <f>IFERROR(X128/X148, "NA")</f>
        <v>1.2143489650592186E-2</v>
      </c>
      <c r="Z128" s="115">
        <v>847.48000000000013</v>
      </c>
      <c r="AA128" s="116">
        <f>IFERROR(Z128/Z148, "NA")</f>
        <v>1.4439682786333317E-2</v>
      </c>
      <c r="AB128" s="117">
        <f t="shared" si="42"/>
        <v>-150.76750000000004</v>
      </c>
      <c r="AC128" s="116">
        <f>IFERROR(AB128/AB148, "NA")</f>
        <v>-5.4886282543082339E-3</v>
      </c>
      <c r="AD128" s="118">
        <f t="shared" si="43"/>
        <v>572.04750000000001</v>
      </c>
      <c r="AE128" s="119">
        <f>IFERROR(AD128/AD148, "NA")</f>
        <v>7.9200542450977116E-2</v>
      </c>
      <c r="AF128" s="118">
        <f t="shared" si="44"/>
        <v>-3.7942361583232449</v>
      </c>
      <c r="AG128" s="117">
        <f t="shared" si="45"/>
        <v>-52.382499999999993</v>
      </c>
      <c r="AH128" s="116">
        <f>IFERROR(AG128/AG148, "NA")</f>
        <v>-1.9681281221067899E-3</v>
      </c>
      <c r="AI128" s="118">
        <f t="shared" si="46"/>
        <v>473.66249999999997</v>
      </c>
      <c r="AJ128" s="119">
        <f>IFERROR(AI128/AI148, "NA")</f>
        <v>5.8647372708209189E-2</v>
      </c>
      <c r="AK128" s="118">
        <f t="shared" si="47"/>
        <v>-9.0423805660287311</v>
      </c>
      <c r="AL128" s="119">
        <f>IFERROR(AK128/AK148, "NA")</f>
        <v>-29.798554296063759</v>
      </c>
    </row>
    <row r="129" spans="1:38" ht="16.5" hidden="1" customHeight="1" x14ac:dyDescent="0.25">
      <c r="A129" s="2" t="s">
        <v>125</v>
      </c>
      <c r="B129" s="115">
        <v>0</v>
      </c>
      <c r="C129" s="116">
        <f>IFERROR(B129/B148, "NA")</f>
        <v>0</v>
      </c>
      <c r="D129" s="115">
        <v>0</v>
      </c>
      <c r="E129" s="116">
        <f>IFERROR(D129/D148, "NA")</f>
        <v>0</v>
      </c>
      <c r="F129" s="115">
        <v>0</v>
      </c>
      <c r="G129" s="116">
        <f>IFERROR(F129/F148, "NA")</f>
        <v>0</v>
      </c>
      <c r="H129" s="115">
        <v>0</v>
      </c>
      <c r="I129" s="116">
        <f>IFERROR(H129/H148, "NA")</f>
        <v>0</v>
      </c>
      <c r="J129" s="115">
        <v>0</v>
      </c>
      <c r="K129" s="116">
        <f>IFERROR(J129/J148, "NA")</f>
        <v>0</v>
      </c>
      <c r="L129" s="115">
        <v>0</v>
      </c>
      <c r="M129" s="116">
        <f>IFERROR(L129/L148, "NA")</f>
        <v>0</v>
      </c>
      <c r="N129" s="115">
        <v>0</v>
      </c>
      <c r="O129" s="116">
        <f>IFERROR(N129/N148, "NA")</f>
        <v>0</v>
      </c>
      <c r="P129" s="115">
        <v>0</v>
      </c>
      <c r="Q129" s="116">
        <f>IFERROR(P129/P148, "NA")</f>
        <v>0</v>
      </c>
      <c r="R129" s="115">
        <v>0</v>
      </c>
      <c r="S129" s="116">
        <f>IFERROR(R129/R148, "NA")</f>
        <v>0</v>
      </c>
      <c r="T129" s="115">
        <v>0</v>
      </c>
      <c r="U129" s="116">
        <f>IFERROR(T129/T148, "NA")</f>
        <v>0</v>
      </c>
      <c r="V129" s="115">
        <v>0</v>
      </c>
      <c r="W129" s="116">
        <f>IFERROR(V129/V148, "NA")</f>
        <v>0</v>
      </c>
      <c r="X129" s="115">
        <v>0</v>
      </c>
      <c r="Y129" s="116">
        <f>IFERROR(X129/X148, "NA")</f>
        <v>0</v>
      </c>
      <c r="Z129" s="115">
        <v>0</v>
      </c>
      <c r="AA129" s="116">
        <f>IFERROR(Z129/Z148, "NA")</f>
        <v>0</v>
      </c>
      <c r="AB129" s="117">
        <f t="shared" si="42"/>
        <v>0</v>
      </c>
      <c r="AC129" s="116">
        <f>IFERROR(AB129/AB148, "NA")</f>
        <v>0</v>
      </c>
      <c r="AD129" s="118">
        <f t="shared" si="43"/>
        <v>0</v>
      </c>
      <c r="AE129" s="119">
        <f>IFERROR(AD129/AD148, "NA")</f>
        <v>0</v>
      </c>
      <c r="AF129" s="118" t="str">
        <f t="shared" si="44"/>
        <v>NA</v>
      </c>
      <c r="AG129" s="117">
        <f t="shared" si="45"/>
        <v>0</v>
      </c>
      <c r="AH129" s="116">
        <f>IFERROR(AG129/AG148, "NA")</f>
        <v>0</v>
      </c>
      <c r="AI129" s="118">
        <f t="shared" si="46"/>
        <v>0</v>
      </c>
      <c r="AJ129" s="119">
        <f>IFERROR(AI129/AI148, "NA")</f>
        <v>0</v>
      </c>
      <c r="AK129" s="118" t="str">
        <f t="shared" si="47"/>
        <v>NA</v>
      </c>
      <c r="AL129" s="119" t="str">
        <f>IFERROR(AK129/AK148, "NA")</f>
        <v>NA</v>
      </c>
    </row>
    <row r="130" spans="1:38" ht="16.5" hidden="1" customHeight="1" x14ac:dyDescent="0.25">
      <c r="A130" s="2" t="s">
        <v>126</v>
      </c>
      <c r="B130" s="115">
        <v>0</v>
      </c>
      <c r="C130" s="116">
        <f>IFERROR(B130/B148, "NA")</f>
        <v>0</v>
      </c>
      <c r="D130" s="115">
        <v>0</v>
      </c>
      <c r="E130" s="116">
        <f>IFERROR(D130/D148, "NA")</f>
        <v>0</v>
      </c>
      <c r="F130" s="115">
        <v>0</v>
      </c>
      <c r="G130" s="116">
        <f>IFERROR(F130/F148, "NA")</f>
        <v>0</v>
      </c>
      <c r="H130" s="115">
        <v>0</v>
      </c>
      <c r="I130" s="116">
        <f>IFERROR(H130/H148, "NA")</f>
        <v>0</v>
      </c>
      <c r="J130" s="115">
        <v>0</v>
      </c>
      <c r="K130" s="116">
        <f>IFERROR(J130/J148, "NA")</f>
        <v>0</v>
      </c>
      <c r="L130" s="115">
        <v>0</v>
      </c>
      <c r="M130" s="116">
        <f>IFERROR(L130/L148, "NA")</f>
        <v>0</v>
      </c>
      <c r="N130" s="115">
        <v>0</v>
      </c>
      <c r="O130" s="116">
        <f>IFERROR(N130/N148, "NA")</f>
        <v>0</v>
      </c>
      <c r="P130" s="115">
        <v>0</v>
      </c>
      <c r="Q130" s="116">
        <f>IFERROR(P130/P148, "NA")</f>
        <v>0</v>
      </c>
      <c r="R130" s="115">
        <v>0</v>
      </c>
      <c r="S130" s="116">
        <f>IFERROR(R130/R148, "NA")</f>
        <v>0</v>
      </c>
      <c r="T130" s="115">
        <v>0</v>
      </c>
      <c r="U130" s="116">
        <f>IFERROR(T130/T148, "NA")</f>
        <v>0</v>
      </c>
      <c r="V130" s="115">
        <v>0</v>
      </c>
      <c r="W130" s="116">
        <f>IFERROR(V130/V148, "NA")</f>
        <v>0</v>
      </c>
      <c r="X130" s="115">
        <v>0</v>
      </c>
      <c r="Y130" s="116">
        <f>IFERROR(X130/X148, "NA")</f>
        <v>0</v>
      </c>
      <c r="Z130" s="115">
        <v>0</v>
      </c>
      <c r="AA130" s="116">
        <f>IFERROR(Z130/Z148, "NA")</f>
        <v>0</v>
      </c>
      <c r="AB130" s="117">
        <f t="shared" si="42"/>
        <v>0</v>
      </c>
      <c r="AC130" s="116">
        <f>IFERROR(AB130/AB148, "NA")</f>
        <v>0</v>
      </c>
      <c r="AD130" s="118">
        <f t="shared" si="43"/>
        <v>0</v>
      </c>
      <c r="AE130" s="119">
        <f>IFERROR(AD130/AD148, "NA")</f>
        <v>0</v>
      </c>
      <c r="AF130" s="118" t="str">
        <f t="shared" si="44"/>
        <v>NA</v>
      </c>
      <c r="AG130" s="117">
        <f t="shared" si="45"/>
        <v>0</v>
      </c>
      <c r="AH130" s="116">
        <f>IFERROR(AG130/AG148, "NA")</f>
        <v>0</v>
      </c>
      <c r="AI130" s="118">
        <f t="shared" si="46"/>
        <v>0</v>
      </c>
      <c r="AJ130" s="119">
        <f>IFERROR(AI130/AI148, "NA")</f>
        <v>0</v>
      </c>
      <c r="AK130" s="118" t="str">
        <f t="shared" si="47"/>
        <v>NA</v>
      </c>
      <c r="AL130" s="119" t="str">
        <f>IFERROR(AK130/AK148, "NA")</f>
        <v>NA</v>
      </c>
    </row>
    <row r="131" spans="1:38" ht="16.5" hidden="1" customHeight="1" x14ac:dyDescent="0.25">
      <c r="A131" s="2" t="s">
        <v>127</v>
      </c>
      <c r="B131" s="115">
        <v>0</v>
      </c>
      <c r="C131" s="116">
        <f>IFERROR(B131/B148, "NA")</f>
        <v>0</v>
      </c>
      <c r="D131" s="115">
        <v>0</v>
      </c>
      <c r="E131" s="116">
        <f>IFERROR(D131/D148, "NA")</f>
        <v>0</v>
      </c>
      <c r="F131" s="115">
        <v>0</v>
      </c>
      <c r="G131" s="116">
        <f>IFERROR(F131/F148, "NA")</f>
        <v>0</v>
      </c>
      <c r="H131" s="115">
        <v>0</v>
      </c>
      <c r="I131" s="116">
        <f>IFERROR(H131/H148, "NA")</f>
        <v>0</v>
      </c>
      <c r="J131" s="115">
        <v>0</v>
      </c>
      <c r="K131" s="116">
        <f>IFERROR(J131/J148, "NA")</f>
        <v>0</v>
      </c>
      <c r="L131" s="115">
        <v>0</v>
      </c>
      <c r="M131" s="116">
        <f>IFERROR(L131/L148, "NA")</f>
        <v>0</v>
      </c>
      <c r="N131" s="115">
        <v>0</v>
      </c>
      <c r="O131" s="116">
        <f>IFERROR(N131/N148, "NA")</f>
        <v>0</v>
      </c>
      <c r="P131" s="115">
        <v>0</v>
      </c>
      <c r="Q131" s="116">
        <f>IFERROR(P131/P148, "NA")</f>
        <v>0</v>
      </c>
      <c r="R131" s="115">
        <v>0</v>
      </c>
      <c r="S131" s="116">
        <f>IFERROR(R131/R148, "NA")</f>
        <v>0</v>
      </c>
      <c r="T131" s="115">
        <v>0</v>
      </c>
      <c r="U131" s="116">
        <f>IFERROR(T131/T148, "NA")</f>
        <v>0</v>
      </c>
      <c r="V131" s="115">
        <v>0</v>
      </c>
      <c r="W131" s="116">
        <f>IFERROR(V131/V148, "NA")</f>
        <v>0</v>
      </c>
      <c r="X131" s="115">
        <v>0</v>
      </c>
      <c r="Y131" s="116">
        <f>IFERROR(X131/X148, "NA")</f>
        <v>0</v>
      </c>
      <c r="Z131" s="115">
        <v>0</v>
      </c>
      <c r="AA131" s="116">
        <f>IFERROR(Z131/Z148, "NA")</f>
        <v>0</v>
      </c>
      <c r="AB131" s="117">
        <f t="shared" si="42"/>
        <v>0</v>
      </c>
      <c r="AC131" s="116">
        <f>IFERROR(AB131/AB148, "NA")</f>
        <v>0</v>
      </c>
      <c r="AD131" s="118">
        <f t="shared" si="43"/>
        <v>0</v>
      </c>
      <c r="AE131" s="119">
        <f>IFERROR(AD131/AD148, "NA")</f>
        <v>0</v>
      </c>
      <c r="AF131" s="118" t="str">
        <f t="shared" si="44"/>
        <v>NA</v>
      </c>
      <c r="AG131" s="117">
        <f t="shared" si="45"/>
        <v>0</v>
      </c>
      <c r="AH131" s="116">
        <f>IFERROR(AG131/AG148, "NA")</f>
        <v>0</v>
      </c>
      <c r="AI131" s="118">
        <f t="shared" si="46"/>
        <v>0</v>
      </c>
      <c r="AJ131" s="119">
        <f>IFERROR(AI131/AI148, "NA")</f>
        <v>0</v>
      </c>
      <c r="AK131" s="118" t="str">
        <f t="shared" si="47"/>
        <v>NA</v>
      </c>
      <c r="AL131" s="119" t="str">
        <f>IFERROR(AK131/AK148, "NA")</f>
        <v>NA</v>
      </c>
    </row>
    <row r="132" spans="1:38" ht="16.5" hidden="1" customHeight="1" x14ac:dyDescent="0.25">
      <c r="A132" s="2" t="s">
        <v>128</v>
      </c>
      <c r="B132" s="115">
        <v>0</v>
      </c>
      <c r="C132" s="116">
        <f>IFERROR(B132/B148, "NA")</f>
        <v>0</v>
      </c>
      <c r="D132" s="115">
        <v>0</v>
      </c>
      <c r="E132" s="116">
        <f>IFERROR(D132/D148, "NA")</f>
        <v>0</v>
      </c>
      <c r="F132" s="115">
        <v>0</v>
      </c>
      <c r="G132" s="116">
        <f>IFERROR(F132/F148, "NA")</f>
        <v>0</v>
      </c>
      <c r="H132" s="115">
        <v>0</v>
      </c>
      <c r="I132" s="116">
        <f>IFERROR(H132/H148, "NA")</f>
        <v>0</v>
      </c>
      <c r="J132" s="115">
        <v>0</v>
      </c>
      <c r="K132" s="116">
        <f>IFERROR(J132/J148, "NA")</f>
        <v>0</v>
      </c>
      <c r="L132" s="115">
        <v>0</v>
      </c>
      <c r="M132" s="116">
        <f>IFERROR(L132/L148, "NA")</f>
        <v>0</v>
      </c>
      <c r="N132" s="115">
        <v>0</v>
      </c>
      <c r="O132" s="116">
        <f>IFERROR(N132/N148, "NA")</f>
        <v>0</v>
      </c>
      <c r="P132" s="115">
        <v>0</v>
      </c>
      <c r="Q132" s="116">
        <f>IFERROR(P132/P148, "NA")</f>
        <v>0</v>
      </c>
      <c r="R132" s="115">
        <v>0</v>
      </c>
      <c r="S132" s="116">
        <f>IFERROR(R132/R148, "NA")</f>
        <v>0</v>
      </c>
      <c r="T132" s="115">
        <v>0</v>
      </c>
      <c r="U132" s="116">
        <f>IFERROR(T132/T148, "NA")</f>
        <v>0</v>
      </c>
      <c r="V132" s="115">
        <v>0</v>
      </c>
      <c r="W132" s="116">
        <f>IFERROR(V132/V148, "NA")</f>
        <v>0</v>
      </c>
      <c r="X132" s="115">
        <v>0</v>
      </c>
      <c r="Y132" s="116">
        <f>IFERROR(X132/X148, "NA")</f>
        <v>0</v>
      </c>
      <c r="Z132" s="115">
        <v>0</v>
      </c>
      <c r="AA132" s="116">
        <f>IFERROR(Z132/Z148, "NA")</f>
        <v>0</v>
      </c>
      <c r="AB132" s="117">
        <f t="shared" si="42"/>
        <v>0</v>
      </c>
      <c r="AC132" s="116">
        <f>IFERROR(AB132/AB148, "NA")</f>
        <v>0</v>
      </c>
      <c r="AD132" s="118">
        <f t="shared" si="43"/>
        <v>0</v>
      </c>
      <c r="AE132" s="119">
        <f>IFERROR(AD132/AD148, "NA")</f>
        <v>0</v>
      </c>
      <c r="AF132" s="118" t="str">
        <f t="shared" si="44"/>
        <v>NA</v>
      </c>
      <c r="AG132" s="117">
        <f t="shared" si="45"/>
        <v>0</v>
      </c>
      <c r="AH132" s="116">
        <f>IFERROR(AG132/AG148, "NA")</f>
        <v>0</v>
      </c>
      <c r="AI132" s="118">
        <f t="shared" si="46"/>
        <v>0</v>
      </c>
      <c r="AJ132" s="119">
        <f>IFERROR(AI132/AI148, "NA")</f>
        <v>0</v>
      </c>
      <c r="AK132" s="118" t="str">
        <f t="shared" si="47"/>
        <v>NA</v>
      </c>
      <c r="AL132" s="119" t="str">
        <f>IFERROR(AK132/AK148, "NA")</f>
        <v>NA</v>
      </c>
    </row>
    <row r="133" spans="1:38" ht="16.5" hidden="1" customHeight="1" x14ac:dyDescent="0.25">
      <c r="A133" s="2" t="s">
        <v>129</v>
      </c>
      <c r="B133" s="115">
        <v>0</v>
      </c>
      <c r="C133" s="116">
        <f>IFERROR(B133/B148, "NA")</f>
        <v>0</v>
      </c>
      <c r="D133" s="115">
        <v>0</v>
      </c>
      <c r="E133" s="116">
        <f>IFERROR(D133/D148, "NA")</f>
        <v>0</v>
      </c>
      <c r="F133" s="115">
        <v>0</v>
      </c>
      <c r="G133" s="116">
        <f>IFERROR(F133/F148, "NA")</f>
        <v>0</v>
      </c>
      <c r="H133" s="115">
        <v>0</v>
      </c>
      <c r="I133" s="116">
        <f>IFERROR(H133/H148, "NA")</f>
        <v>0</v>
      </c>
      <c r="J133" s="115">
        <v>0</v>
      </c>
      <c r="K133" s="116">
        <f>IFERROR(J133/J148, "NA")</f>
        <v>0</v>
      </c>
      <c r="L133" s="115">
        <v>0</v>
      </c>
      <c r="M133" s="116">
        <f>IFERROR(L133/L148, "NA")</f>
        <v>0</v>
      </c>
      <c r="N133" s="115">
        <v>0</v>
      </c>
      <c r="O133" s="116">
        <f>IFERROR(N133/N148, "NA")</f>
        <v>0</v>
      </c>
      <c r="P133" s="115">
        <v>0</v>
      </c>
      <c r="Q133" s="116">
        <f>IFERROR(P133/P148, "NA")</f>
        <v>0</v>
      </c>
      <c r="R133" s="115">
        <v>0</v>
      </c>
      <c r="S133" s="116">
        <f>IFERROR(R133/R148, "NA")</f>
        <v>0</v>
      </c>
      <c r="T133" s="115">
        <v>0</v>
      </c>
      <c r="U133" s="116">
        <f>IFERROR(T133/T148, "NA")</f>
        <v>0</v>
      </c>
      <c r="V133" s="115">
        <v>0</v>
      </c>
      <c r="W133" s="116">
        <f>IFERROR(V133/V148, "NA")</f>
        <v>0</v>
      </c>
      <c r="X133" s="115">
        <v>0</v>
      </c>
      <c r="Y133" s="116">
        <f>IFERROR(X133/X148, "NA")</f>
        <v>0</v>
      </c>
      <c r="Z133" s="115">
        <v>0</v>
      </c>
      <c r="AA133" s="116">
        <f>IFERROR(Z133/Z148, "NA")</f>
        <v>0</v>
      </c>
      <c r="AB133" s="117">
        <f t="shared" si="42"/>
        <v>0</v>
      </c>
      <c r="AC133" s="116">
        <f>IFERROR(AB133/AB148, "NA")</f>
        <v>0</v>
      </c>
      <c r="AD133" s="118">
        <f t="shared" si="43"/>
        <v>0</v>
      </c>
      <c r="AE133" s="119">
        <f>IFERROR(AD133/AD148, "NA")</f>
        <v>0</v>
      </c>
      <c r="AF133" s="118" t="str">
        <f t="shared" si="44"/>
        <v>NA</v>
      </c>
      <c r="AG133" s="117">
        <f t="shared" si="45"/>
        <v>0</v>
      </c>
      <c r="AH133" s="116">
        <f>IFERROR(AG133/AG148, "NA")</f>
        <v>0</v>
      </c>
      <c r="AI133" s="118">
        <f t="shared" si="46"/>
        <v>0</v>
      </c>
      <c r="AJ133" s="119">
        <f>IFERROR(AI133/AI148, "NA")</f>
        <v>0</v>
      </c>
      <c r="AK133" s="118" t="str">
        <f t="shared" si="47"/>
        <v>NA</v>
      </c>
      <c r="AL133" s="119" t="str">
        <f>IFERROR(AK133/AK148, "NA")</f>
        <v>NA</v>
      </c>
    </row>
    <row r="134" spans="1:38" ht="16.5" hidden="1" customHeight="1" x14ac:dyDescent="0.25">
      <c r="A134" s="2" t="s">
        <v>130</v>
      </c>
      <c r="B134" s="115">
        <v>0</v>
      </c>
      <c r="C134" s="116">
        <f>IFERROR(B134/B148, "NA")</f>
        <v>0</v>
      </c>
      <c r="D134" s="115">
        <v>0</v>
      </c>
      <c r="E134" s="116">
        <f>IFERROR(D134/D148, "NA")</f>
        <v>0</v>
      </c>
      <c r="F134" s="115">
        <v>0</v>
      </c>
      <c r="G134" s="116">
        <f>IFERROR(F134/F148, "NA")</f>
        <v>0</v>
      </c>
      <c r="H134" s="115">
        <v>0</v>
      </c>
      <c r="I134" s="116">
        <f>IFERROR(H134/H148, "NA")</f>
        <v>0</v>
      </c>
      <c r="J134" s="115">
        <v>0</v>
      </c>
      <c r="K134" s="116">
        <f>IFERROR(J134/J148, "NA")</f>
        <v>0</v>
      </c>
      <c r="L134" s="115">
        <v>0</v>
      </c>
      <c r="M134" s="116">
        <f>IFERROR(L134/L148, "NA")</f>
        <v>0</v>
      </c>
      <c r="N134" s="115">
        <v>0</v>
      </c>
      <c r="O134" s="116">
        <f>IFERROR(N134/N148, "NA")</f>
        <v>0</v>
      </c>
      <c r="P134" s="115">
        <v>0</v>
      </c>
      <c r="Q134" s="116">
        <f>IFERROR(P134/P148, "NA")</f>
        <v>0</v>
      </c>
      <c r="R134" s="115">
        <v>0</v>
      </c>
      <c r="S134" s="116">
        <f>IFERROR(R134/R148, "NA")</f>
        <v>0</v>
      </c>
      <c r="T134" s="115">
        <v>0</v>
      </c>
      <c r="U134" s="116">
        <f>IFERROR(T134/T148, "NA")</f>
        <v>0</v>
      </c>
      <c r="V134" s="115">
        <v>0</v>
      </c>
      <c r="W134" s="116">
        <f>IFERROR(V134/V148, "NA")</f>
        <v>0</v>
      </c>
      <c r="X134" s="115">
        <v>0</v>
      </c>
      <c r="Y134" s="116">
        <f>IFERROR(X134/X148, "NA")</f>
        <v>0</v>
      </c>
      <c r="Z134" s="115">
        <v>0</v>
      </c>
      <c r="AA134" s="116">
        <f>IFERROR(Z134/Z148, "NA")</f>
        <v>0</v>
      </c>
      <c r="AB134" s="117">
        <f t="shared" si="42"/>
        <v>0</v>
      </c>
      <c r="AC134" s="116">
        <f>IFERROR(AB134/AB148, "NA")</f>
        <v>0</v>
      </c>
      <c r="AD134" s="118">
        <f t="shared" si="43"/>
        <v>0</v>
      </c>
      <c r="AE134" s="119">
        <f>IFERROR(AD134/AD148, "NA")</f>
        <v>0</v>
      </c>
      <c r="AF134" s="118" t="str">
        <f t="shared" si="44"/>
        <v>NA</v>
      </c>
      <c r="AG134" s="117">
        <f t="shared" si="45"/>
        <v>0</v>
      </c>
      <c r="AH134" s="116">
        <f>IFERROR(AG134/AG148, "NA")</f>
        <v>0</v>
      </c>
      <c r="AI134" s="118">
        <f t="shared" si="46"/>
        <v>0</v>
      </c>
      <c r="AJ134" s="119">
        <f>IFERROR(AI134/AI148, "NA")</f>
        <v>0</v>
      </c>
      <c r="AK134" s="118" t="str">
        <f t="shared" si="47"/>
        <v>NA</v>
      </c>
      <c r="AL134" s="119" t="str">
        <f>IFERROR(AK134/AK148, "NA")</f>
        <v>NA</v>
      </c>
    </row>
    <row r="135" spans="1:38" ht="16.5" hidden="1" customHeight="1" x14ac:dyDescent="0.25">
      <c r="A135" s="120" t="s">
        <v>131</v>
      </c>
      <c r="B135" s="121">
        <f>IFERROR(B110+B111+B112+B113+B114+B115+B116+B117+B118+B119+B120+B121+B122+B123+B124+B125+B126+B127+B128+B129+B130+B131+B132+B133+B134, "NA")</f>
        <v>-797.62</v>
      </c>
      <c r="C135" s="122">
        <f>IFERROR(B135/B148, "NA")</f>
        <v>-2.7637771320502099E-2</v>
      </c>
      <c r="D135" s="121">
        <f>IFERROR(D110+D111+D112+D113+D114+D115+D116+D117+D118+D119+D120+D121+D122+D123+D124+D125+D126+D127+D128+D129+D130+D131+D132+D133+D134, "NA")</f>
        <v>359.13</v>
      </c>
      <c r="E135" s="122">
        <f>IFERROR(D135/D148, "NA")</f>
        <v>1.3877269648259343E-2</v>
      </c>
      <c r="F135" s="121">
        <f>IFERROR(F110+F111+F112+F113+F114+F115+F116+F117+F118+F119+F120+F121+F122+F123+F124+F125+F126+F127+F128+F129+F130+F131+F132+F133+F134, "NA")</f>
        <v>451.77</v>
      </c>
      <c r="G135" s="122">
        <f>IFERROR(F135/F148, "NA")</f>
        <v>1.7580836160865605E-2</v>
      </c>
      <c r="H135" s="121">
        <f>IFERROR(H110+H111+H112+H113+H114+H115+H116+H117+H118+H119+H120+H121+H122+H123+H124+H125+H126+H127+H128+H129+H130+H131+H132+H133+H134, "NA")</f>
        <v>455.64000000000004</v>
      </c>
      <c r="I135" s="122">
        <f>IFERROR(H135/H148, "NA")</f>
        <v>1.8106610597795527E-2</v>
      </c>
      <c r="J135" s="121">
        <f>IFERROR(J110+J111+J112+J113+J114+J115+J116+J117+J118+J119+J120+J121+J122+J123+J124+J125+J126+J127+J128+J129+J130+J131+J132+J133+J134, "NA")</f>
        <v>-1266.54</v>
      </c>
      <c r="K135" s="122">
        <f>IFERROR(J135/J148, "NA")</f>
        <v>-4.4232773336984062E-2</v>
      </c>
      <c r="L135" s="121">
        <f>IFERROR(L110+L111+L112+L113+L114+L115+L116+L117+L118+L119+L120+L121+L122+L123+L124+L125+L126+L127+L128+L129+L130+L131+L132+L133+L134, "NA")</f>
        <v>467.43</v>
      </c>
      <c r="M135" s="122">
        <f>IFERROR(L135/L148, "NA")</f>
        <v>1.6657318165717205E-2</v>
      </c>
      <c r="N135" s="121">
        <f>IFERROR(N110+N111+N112+N113+N114+N115+N116+N117+N118+N119+N120+N121+N122+N123+N124+N125+N126+N127+N128+N129+N130+N131+N132+N133+N134, "NA")</f>
        <v>455.22</v>
      </c>
      <c r="O135" s="122">
        <f>IFERROR(N135/N148, "NA")</f>
        <v>1.7683583425398913E-2</v>
      </c>
      <c r="P135" s="121">
        <f>IFERROR(P110+P111+P112+P113+P114+P115+P116+P117+P118+P119+P120+P121+P122+P123+P124+P125+P126+P127+P128+P129+P130+P131+P132+P133+P134, "NA")</f>
        <v>527.9</v>
      </c>
      <c r="Q135" s="122">
        <f>IFERROR(P135/P148, "NA")</f>
        <v>2.5614674554375504E-2</v>
      </c>
      <c r="R135" s="121">
        <f>IFERROR(R110+R111+R112+R113+R114+R115+R116+R117+R118+R119+R120+R121+R122+R123+R124+R125+R126+R127+R128+R129+R130+R131+R132+R133+R134, "NA")</f>
        <v>546.08000000000004</v>
      </c>
      <c r="S135" s="122">
        <f>IFERROR(R135/R148, "NA")</f>
        <v>2.2269082848018651E-2</v>
      </c>
      <c r="T135" s="121">
        <f>IFERROR(T110+T111+T112+T113+T114+T115+T116+T117+T118+T119+T120+T121+T122+T123+T124+T125+T126+T127+T128+T129+T130+T131+T132+T133+T134, "NA")</f>
        <v>-1996.63</v>
      </c>
      <c r="U135" s="122">
        <f>IFERROR(T135/T148, "NA")</f>
        <v>-7.4882966650089602E-2</v>
      </c>
      <c r="V135" s="121">
        <f>IFERROR(V110+V111+V112+V113+V114+V115+V116+V117+V118+V119+V120+V121+V122+V123+V124+V125+V126+V127+V128+V129+V130+V131+V132+V133+V134, "NA")</f>
        <v>426.2</v>
      </c>
      <c r="W135" s="122">
        <f>IFERROR(V135/V148, "NA")</f>
        <v>1.7758925297509914E-2</v>
      </c>
      <c r="X135" s="121">
        <f>IFERROR(X110+X111+X112+X113+X114+X115+X116+X117+X118+X119+X120+X121+X122+X123+X124+X125+X126+X127+X128+X129+X130+X131+X132+X133+X134, "NA")</f>
        <v>421.28</v>
      </c>
      <c r="Y135" s="122">
        <f>IFERROR(X135/X148, "NA")</f>
        <v>1.2143489650592186E-2</v>
      </c>
      <c r="Z135" s="121">
        <f>IFERROR(Z110+Z111+Z112+Z113+Z114+Z115+Z116+Z117+Z118+Z119+Z120+Z121+Z122+Z123+Z124+Z125+Z126+Z127+Z128+Z129+Z130+Z131+Z132+Z133+Z134, "NA")</f>
        <v>847.48000000000013</v>
      </c>
      <c r="AA135" s="122">
        <f>IFERROR(Z135/Z148, "NA")</f>
        <v>1.4439682786333317E-2</v>
      </c>
      <c r="AB135" s="121">
        <f t="shared" si="42"/>
        <v>-150.76750000000004</v>
      </c>
      <c r="AC135" s="122">
        <f>IFERROR(AB135/AB148, "NA")</f>
        <v>-5.4886282543082339E-3</v>
      </c>
      <c r="AD135" s="123">
        <f t="shared" si="43"/>
        <v>572.04750000000001</v>
      </c>
      <c r="AE135" s="124">
        <f>IFERROR(AD135/AD148, "NA")</f>
        <v>7.9200542450977116E-2</v>
      </c>
      <c r="AF135" s="123">
        <f t="shared" si="44"/>
        <v>-3.7942361583232449</v>
      </c>
      <c r="AG135" s="121">
        <f t="shared" si="45"/>
        <v>-52.382499999999993</v>
      </c>
      <c r="AH135" s="122">
        <f>IFERROR(AG135/AG148, "NA")</f>
        <v>-1.9681281221067899E-3</v>
      </c>
      <c r="AI135" s="123">
        <f t="shared" si="46"/>
        <v>473.66249999999997</v>
      </c>
      <c r="AJ135" s="124">
        <f>IFERROR(AI135/AI148, "NA")</f>
        <v>5.8647372708209189E-2</v>
      </c>
      <c r="AK135" s="123">
        <f t="shared" si="47"/>
        <v>-9.0423805660287311</v>
      </c>
      <c r="AL135" s="124">
        <f>IFERROR(AK135/AK148, "NA")</f>
        <v>-29.798554296063759</v>
      </c>
    </row>
    <row r="136" spans="1:38" ht="16.5" hidden="1" customHeight="1" x14ac:dyDescent="0.25">
      <c r="A136" s="8" t="s">
        <v>2</v>
      </c>
      <c r="B136" s="138"/>
      <c r="C136" s="126"/>
      <c r="D136" s="138"/>
      <c r="E136" s="126"/>
      <c r="F136" s="138"/>
      <c r="G136" s="126"/>
      <c r="H136" s="138"/>
      <c r="I136" s="126"/>
      <c r="J136" s="138"/>
      <c r="K136" s="126"/>
      <c r="L136" s="138"/>
      <c r="M136" s="126"/>
      <c r="N136" s="138"/>
      <c r="O136" s="126"/>
      <c r="P136" s="138"/>
      <c r="Q136" s="126"/>
      <c r="R136" s="138"/>
      <c r="S136" s="126"/>
      <c r="T136" s="138"/>
      <c r="U136" s="126"/>
      <c r="V136" s="138"/>
      <c r="W136" s="126"/>
      <c r="X136" s="138"/>
      <c r="Y136" s="126"/>
      <c r="Z136" s="138"/>
      <c r="AA136" s="126"/>
      <c r="AB136" s="138"/>
      <c r="AC136" s="126"/>
      <c r="AD136" s="139"/>
      <c r="AE136" s="128"/>
      <c r="AF136" s="139"/>
      <c r="AG136" s="138"/>
      <c r="AH136" s="126"/>
      <c r="AI136" s="139"/>
      <c r="AJ136" s="128"/>
      <c r="AK136" s="139"/>
      <c r="AL136" s="128"/>
    </row>
    <row r="137" spans="1:38" ht="16.5" hidden="1" customHeight="1" x14ac:dyDescent="0.25">
      <c r="A137" s="135" t="s">
        <v>132</v>
      </c>
      <c r="B137" s="136">
        <f>IFERROR(B107-B135, "NA")</f>
        <v>-14015.29000000001</v>
      </c>
      <c r="C137" s="137">
        <f>IFERROR(B137/B148, "NA")</f>
        <v>-0.4856339861218627</v>
      </c>
      <c r="D137" s="136">
        <f>IFERROR(D107-D135, "NA")</f>
        <v>12368.449999999997</v>
      </c>
      <c r="E137" s="137">
        <f>IFERROR(D137/D148, "NA")</f>
        <v>0.4779336612953895</v>
      </c>
      <c r="F137" s="136">
        <f>IFERROR(F107-F135, "NA")</f>
        <v>6429.0000000000036</v>
      </c>
      <c r="G137" s="137">
        <f>IFERROR(F137/F148, "NA")</f>
        <v>0.25018747521571827</v>
      </c>
      <c r="H137" s="136">
        <f>IFERROR(H107-H135, "NA")</f>
        <v>2320.1399999999953</v>
      </c>
      <c r="I137" s="137">
        <f>IFERROR(H137/H148, "NA")</f>
        <v>9.2199700448532235E-2</v>
      </c>
      <c r="J137" s="136">
        <f>IFERROR(J107-J135, "NA")</f>
        <v>-16700.21000000001</v>
      </c>
      <c r="K137" s="137">
        <f>IFERROR(J137/J148, "NA")</f>
        <v>-0.58323985315113225</v>
      </c>
      <c r="L137" s="136">
        <f>IFERROR(L107-L135, "NA")</f>
        <v>11709.699999999997</v>
      </c>
      <c r="M137" s="137">
        <f>IFERROR(L137/L148, "NA")</f>
        <v>0.41728643545578742</v>
      </c>
      <c r="N137" s="136">
        <f>IFERROR(N107-N135, "NA")</f>
        <v>6625.2899999999954</v>
      </c>
      <c r="O137" s="137">
        <f>IFERROR(N137/N148, "NA")</f>
        <v>0.25736757706704688</v>
      </c>
      <c r="P137" s="136">
        <f>IFERROR(P107-P135, "NA")</f>
        <v>4454.1999999999989</v>
      </c>
      <c r="Q137" s="137">
        <f>IFERROR(P137/P148, "NA")</f>
        <v>0.21612593938264699</v>
      </c>
      <c r="R137" s="136">
        <f>IFERROR(R107-R135, "NA")</f>
        <v>3514.6400000000008</v>
      </c>
      <c r="S137" s="137">
        <f>IFERROR(R137/R148, "NA")</f>
        <v>0.14332663591591027</v>
      </c>
      <c r="T137" s="136">
        <f>IFERROR(T107-T135, "NA")</f>
        <v>-16313.84</v>
      </c>
      <c r="U137" s="137">
        <f>IFERROR(T137/T148, "NA")</f>
        <v>-0.61184532770463118</v>
      </c>
      <c r="V137" s="136">
        <f>IFERROR(V107-V135, "NA")</f>
        <v>12450.69</v>
      </c>
      <c r="W137" s="137">
        <f>IFERROR(V137/V148, "NA")</f>
        <v>0.51879604320144002</v>
      </c>
      <c r="X137" s="136">
        <f>IFERROR(X107-X135, "NA")</f>
        <v>17461.339999999989</v>
      </c>
      <c r="Y137" s="137">
        <f>IFERROR(X137/X148, "NA")</f>
        <v>0.50332700715787893</v>
      </c>
      <c r="Z137" s="136">
        <f>IFERROR(Z107-Z135, "NA")</f>
        <v>29912.029999999992</v>
      </c>
      <c r="AA137" s="137">
        <f>IFERROR(Z137/Z148, "NA")</f>
        <v>0.50965241031680464</v>
      </c>
      <c r="AB137" s="136">
        <f>IFERROR((R137+T137+V137+X137)/4, "NA")</f>
        <v>4278.2074999999977</v>
      </c>
      <c r="AC137" s="137">
        <f>IFERROR(AB137/AB148, "NA")</f>
        <v>0.15574636816484572</v>
      </c>
      <c r="AD137" s="123">
        <f>IFERROR(X137-AB137, "NA")</f>
        <v>13183.132499999992</v>
      </c>
      <c r="AE137" s="124">
        <f>IFERROR(AD137/AD148, "NA")</f>
        <v>1.8252177401406446</v>
      </c>
      <c r="AF137" s="123">
        <f>IFERROR((X137-AB137)/AB137, "NA")</f>
        <v>3.081461686933137</v>
      </c>
      <c r="AG137" s="136">
        <f>IFERROR((J137+L137+N137+P137+R137+T137+V137+X137)/8, "NA")</f>
        <v>2900.2262499999965</v>
      </c>
      <c r="AH137" s="137">
        <f>IFERROR(AG137/AG148, "NA")</f>
        <v>0.10896801113152889</v>
      </c>
      <c r="AI137" s="123">
        <f>IFERROR(X137-AG137, "NA")</f>
        <v>14561.113749999993</v>
      </c>
      <c r="AJ137" s="124">
        <f>IFERROR(AI137/AI148, "NA")</f>
        <v>1.8029104375855787</v>
      </c>
      <c r="AK137" s="123">
        <f>IFERROR((X137-AG137)/AG137, "NA")</f>
        <v>5.0206820071365161</v>
      </c>
      <c r="AL137" s="124">
        <f>IFERROR(AK137/AK148, "NA")</f>
        <v>16.545318381643138</v>
      </c>
    </row>
    <row r="138" spans="1:38" ht="3.75" hidden="1" customHeight="1" x14ac:dyDescent="0.25">
      <c r="A138" s="8" t="s">
        <v>2</v>
      </c>
      <c r="B138" s="138"/>
      <c r="C138" s="126"/>
      <c r="D138" s="138"/>
      <c r="E138" s="126"/>
      <c r="F138" s="138"/>
      <c r="G138" s="126"/>
      <c r="H138" s="138"/>
      <c r="I138" s="126"/>
      <c r="J138" s="138"/>
      <c r="K138" s="126"/>
      <c r="L138" s="138"/>
      <c r="M138" s="126"/>
      <c r="N138" s="138"/>
      <c r="O138" s="126"/>
      <c r="P138" s="138"/>
      <c r="Q138" s="126"/>
      <c r="R138" s="138"/>
      <c r="S138" s="126"/>
      <c r="T138" s="138"/>
      <c r="U138" s="126"/>
      <c r="V138" s="138"/>
      <c r="W138" s="126"/>
      <c r="X138" s="138"/>
      <c r="Y138" s="126"/>
      <c r="Z138" s="138"/>
      <c r="AA138" s="126"/>
      <c r="AB138" s="138"/>
      <c r="AC138" s="126"/>
      <c r="AD138" s="139"/>
      <c r="AE138" s="128"/>
      <c r="AF138" s="139"/>
      <c r="AG138" s="138"/>
      <c r="AH138" s="126"/>
      <c r="AI138" s="139"/>
      <c r="AJ138" s="128"/>
      <c r="AK138" s="139"/>
      <c r="AL138" s="128"/>
    </row>
    <row r="139" spans="1:38" ht="16.5" hidden="1" customHeight="1" x14ac:dyDescent="0.25">
      <c r="A139" s="1" t="s">
        <v>133</v>
      </c>
      <c r="B139" s="111"/>
      <c r="C139" s="112"/>
      <c r="D139" s="111"/>
      <c r="E139" s="112"/>
      <c r="F139" s="111"/>
      <c r="G139" s="112"/>
      <c r="H139" s="111"/>
      <c r="I139" s="112"/>
      <c r="J139" s="111"/>
      <c r="K139" s="112"/>
      <c r="L139" s="111"/>
      <c r="M139" s="112"/>
      <c r="N139" s="111"/>
      <c r="O139" s="112"/>
      <c r="P139" s="111"/>
      <c r="Q139" s="112"/>
      <c r="R139" s="111"/>
      <c r="S139" s="112"/>
      <c r="T139" s="111"/>
      <c r="U139" s="112"/>
      <c r="V139" s="111"/>
      <c r="W139" s="112"/>
      <c r="X139" s="111"/>
      <c r="Y139" s="112"/>
      <c r="Z139" s="111"/>
      <c r="AA139" s="112"/>
      <c r="AB139" s="111"/>
      <c r="AC139" s="112"/>
      <c r="AD139" s="113"/>
      <c r="AE139" s="114"/>
      <c r="AF139" s="113"/>
      <c r="AG139" s="111"/>
      <c r="AH139" s="112"/>
      <c r="AI139" s="113"/>
      <c r="AJ139" s="114"/>
      <c r="AK139" s="113"/>
      <c r="AL139" s="114"/>
    </row>
    <row r="140" spans="1:38" ht="16.5" hidden="1" customHeight="1" x14ac:dyDescent="0.25">
      <c r="A140" s="2" t="s">
        <v>134</v>
      </c>
      <c r="B140" s="115">
        <v>8270.2400000000016</v>
      </c>
      <c r="C140" s="116">
        <f>IFERROR(B140/B148, "NA")</f>
        <v>0.28656628706109338</v>
      </c>
      <c r="D140" s="115">
        <v>0</v>
      </c>
      <c r="E140" s="116">
        <f>IFERROR(D140/D148, "NA")</f>
        <v>0</v>
      </c>
      <c r="F140" s="115">
        <v>0</v>
      </c>
      <c r="G140" s="116">
        <f>IFERROR(F140/F148, "NA")</f>
        <v>0</v>
      </c>
      <c r="H140" s="115">
        <v>0</v>
      </c>
      <c r="I140" s="116">
        <f>IFERROR(H140/H148, "NA")</f>
        <v>0</v>
      </c>
      <c r="J140" s="115">
        <v>8232.2100000000009</v>
      </c>
      <c r="K140" s="116">
        <f>IFERROR(J140/J148, "NA")</f>
        <v>0.28750254945951459</v>
      </c>
      <c r="L140" s="115">
        <v>0</v>
      </c>
      <c r="M140" s="116">
        <f>IFERROR(L140/L148, "NA")</f>
        <v>0</v>
      </c>
      <c r="N140" s="115">
        <v>0</v>
      </c>
      <c r="O140" s="116">
        <f>IFERROR(N140/N148, "NA")</f>
        <v>0</v>
      </c>
      <c r="P140" s="115">
        <v>0</v>
      </c>
      <c r="Q140" s="116">
        <f>IFERROR(P140/P148, "NA")</f>
        <v>0</v>
      </c>
      <c r="R140" s="115">
        <v>-216.42000000000002</v>
      </c>
      <c r="S140" s="116">
        <f>IFERROR(R140/R148, "NA")</f>
        <v>-8.8255839986232723E-3</v>
      </c>
      <c r="T140" s="115">
        <v>8552.1200000000008</v>
      </c>
      <c r="U140" s="116">
        <f>IFERROR(T140/T148, "NA")</f>
        <v>0.32074451287798156</v>
      </c>
      <c r="V140" s="115">
        <v>0</v>
      </c>
      <c r="W140" s="116">
        <f>IFERROR(V140/V148, "NA")</f>
        <v>0</v>
      </c>
      <c r="X140" s="115">
        <v>0</v>
      </c>
      <c r="Y140" s="116">
        <f>IFERROR(X140/X148, "NA")</f>
        <v>0</v>
      </c>
      <c r="Z140" s="115">
        <v>0</v>
      </c>
      <c r="AA140" s="116">
        <f>IFERROR(Z140/Z148, "NA")</f>
        <v>0</v>
      </c>
      <c r="AB140" s="117">
        <f>IFERROR((R140+T140+V140+X140)/4, "NA")</f>
        <v>2083.9250000000002</v>
      </c>
      <c r="AC140" s="116">
        <f>IFERROR(AB140/AB148, "NA")</f>
        <v>7.5864424593226565E-2</v>
      </c>
      <c r="AD140" s="118">
        <f>IFERROR(X140-AB140, "NA")</f>
        <v>-2083.9250000000002</v>
      </c>
      <c r="AE140" s="119">
        <f>IFERROR(AD140/AD148, "NA")</f>
        <v>-0.2885214784212019</v>
      </c>
      <c r="AF140" s="118">
        <f>IFERROR((X140-AB140)/AB140, "NA")</f>
        <v>-1</v>
      </c>
      <c r="AG140" s="117">
        <f>IFERROR((J140+L140+N140+P140+R140+T140+V140+X140)/8, "NA")</f>
        <v>2070.9887500000004</v>
      </c>
      <c r="AH140" s="116">
        <f>IFERROR(AG140/AG148, "NA")</f>
        <v>7.78116966437606E-2</v>
      </c>
      <c r="AI140" s="118">
        <f>IFERROR(X140-AG140, "NA")</f>
        <v>-2070.9887500000004</v>
      </c>
      <c r="AJ140" s="119">
        <f>IFERROR(AI140/AI148, "NA")</f>
        <v>-0.25642318970946254</v>
      </c>
      <c r="AK140" s="118">
        <f>IFERROR((X140-AG140)/AG140, "NA")</f>
        <v>-1</v>
      </c>
      <c r="AL140" s="119">
        <f>IFERROR(AK140/AK148, "NA")</f>
        <v>-3.2954324448601269</v>
      </c>
    </row>
    <row r="141" spans="1:38" ht="16.5" hidden="1" customHeight="1" x14ac:dyDescent="0.25">
      <c r="A141" s="120" t="s">
        <v>135</v>
      </c>
      <c r="B141" s="121">
        <f>IFERROR(B140, "NA")</f>
        <v>8270.2400000000016</v>
      </c>
      <c r="C141" s="122">
        <f>IFERROR(B141/B148, "NA")</f>
        <v>0.28656628706109338</v>
      </c>
      <c r="D141" s="121">
        <f>IFERROR(D140, "NA")</f>
        <v>0</v>
      </c>
      <c r="E141" s="122">
        <f>IFERROR(D141/D148, "NA")</f>
        <v>0</v>
      </c>
      <c r="F141" s="121">
        <f>IFERROR(F140, "NA")</f>
        <v>0</v>
      </c>
      <c r="G141" s="122">
        <f>IFERROR(F141/F148, "NA")</f>
        <v>0</v>
      </c>
      <c r="H141" s="121">
        <f>IFERROR(H140, "NA")</f>
        <v>0</v>
      </c>
      <c r="I141" s="122">
        <f>IFERROR(H141/H148, "NA")</f>
        <v>0</v>
      </c>
      <c r="J141" s="121">
        <f>IFERROR(J140, "NA")</f>
        <v>8232.2100000000009</v>
      </c>
      <c r="K141" s="122">
        <f>IFERROR(J141/J148, "NA")</f>
        <v>0.28750254945951459</v>
      </c>
      <c r="L141" s="121">
        <f>IFERROR(L140, "NA")</f>
        <v>0</v>
      </c>
      <c r="M141" s="122">
        <f>IFERROR(L141/L148, "NA")</f>
        <v>0</v>
      </c>
      <c r="N141" s="121">
        <f>IFERROR(N140, "NA")</f>
        <v>0</v>
      </c>
      <c r="O141" s="122">
        <f>IFERROR(N141/N148, "NA")</f>
        <v>0</v>
      </c>
      <c r="P141" s="121">
        <f>IFERROR(P140, "NA")</f>
        <v>0</v>
      </c>
      <c r="Q141" s="122">
        <f>IFERROR(P141/P148, "NA")</f>
        <v>0</v>
      </c>
      <c r="R141" s="121">
        <f>IFERROR(R140, "NA")</f>
        <v>-216.42000000000002</v>
      </c>
      <c r="S141" s="122">
        <f>IFERROR(R141/R148, "NA")</f>
        <v>-8.8255839986232723E-3</v>
      </c>
      <c r="T141" s="121">
        <f>IFERROR(T140, "NA")</f>
        <v>8552.1200000000008</v>
      </c>
      <c r="U141" s="122">
        <f>IFERROR(T141/T148, "NA")</f>
        <v>0.32074451287798156</v>
      </c>
      <c r="V141" s="121">
        <f>IFERROR(V140, "NA")</f>
        <v>0</v>
      </c>
      <c r="W141" s="122">
        <f>IFERROR(V141/V148, "NA")</f>
        <v>0</v>
      </c>
      <c r="X141" s="121">
        <f>IFERROR(X140, "NA")</f>
        <v>0</v>
      </c>
      <c r="Y141" s="122">
        <f>IFERROR(X141/X148, "NA")</f>
        <v>0</v>
      </c>
      <c r="Z141" s="121">
        <f>IFERROR(Z140, "NA")</f>
        <v>0</v>
      </c>
      <c r="AA141" s="122">
        <f>IFERROR(Z141/Z148, "NA")</f>
        <v>0</v>
      </c>
      <c r="AB141" s="121">
        <f>IFERROR((R141+T141+V141+X141)/4, "NA")</f>
        <v>2083.9250000000002</v>
      </c>
      <c r="AC141" s="122">
        <f>IFERROR(AB141/AB148, "NA")</f>
        <v>7.5864424593226565E-2</v>
      </c>
      <c r="AD141" s="123">
        <f>IFERROR(X141-AB141, "NA")</f>
        <v>-2083.9250000000002</v>
      </c>
      <c r="AE141" s="124">
        <f>IFERROR(AD141/AD148, "NA")</f>
        <v>-0.2885214784212019</v>
      </c>
      <c r="AF141" s="123">
        <f>IFERROR((X141-AB141)/AB141, "NA")</f>
        <v>-1</v>
      </c>
      <c r="AG141" s="121">
        <f>IFERROR((J141+L141+N141+P141+R141+T141+V141+X141)/8, "NA")</f>
        <v>2070.9887500000004</v>
      </c>
      <c r="AH141" s="122">
        <f>IFERROR(AG141/AG148, "NA")</f>
        <v>7.78116966437606E-2</v>
      </c>
      <c r="AI141" s="123">
        <f>IFERROR(X141-AG141, "NA")</f>
        <v>-2070.9887500000004</v>
      </c>
      <c r="AJ141" s="124">
        <f>IFERROR(AI141/AI148, "NA")</f>
        <v>-0.25642318970946254</v>
      </c>
      <c r="AK141" s="123">
        <f>IFERROR((X141-AG141)/AG141, "NA")</f>
        <v>-1</v>
      </c>
      <c r="AL141" s="124">
        <f>IFERROR(AK141/AK148, "NA")</f>
        <v>-3.2954324448601269</v>
      </c>
    </row>
    <row r="142" spans="1:38" ht="3.75" hidden="1" customHeight="1" x14ac:dyDescent="0.25">
      <c r="A142" s="8" t="s">
        <v>2</v>
      </c>
      <c r="B142" s="138"/>
      <c r="C142" s="126"/>
      <c r="D142" s="138"/>
      <c r="E142" s="126"/>
      <c r="F142" s="138"/>
      <c r="G142" s="126"/>
      <c r="H142" s="138"/>
      <c r="I142" s="126"/>
      <c r="J142" s="138"/>
      <c r="K142" s="126"/>
      <c r="L142" s="138"/>
      <c r="M142" s="126"/>
      <c r="N142" s="138"/>
      <c r="O142" s="126"/>
      <c r="P142" s="138"/>
      <c r="Q142" s="126"/>
      <c r="R142" s="138"/>
      <c r="S142" s="126"/>
      <c r="T142" s="138"/>
      <c r="U142" s="126"/>
      <c r="V142" s="138"/>
      <c r="W142" s="126"/>
      <c r="X142" s="138"/>
      <c r="Y142" s="126"/>
      <c r="Z142" s="138"/>
      <c r="AA142" s="126"/>
      <c r="AB142" s="138"/>
      <c r="AC142" s="126"/>
      <c r="AD142" s="139"/>
      <c r="AE142" s="128"/>
      <c r="AF142" s="139"/>
      <c r="AG142" s="138"/>
      <c r="AH142" s="126"/>
      <c r="AI142" s="139"/>
      <c r="AJ142" s="128"/>
      <c r="AK142" s="139"/>
      <c r="AL142" s="128"/>
    </row>
    <row r="143" spans="1:38" ht="16.5" hidden="1" customHeight="1" x14ac:dyDescent="0.25">
      <c r="A143" s="1" t="s">
        <v>136</v>
      </c>
      <c r="B143" s="111"/>
      <c r="C143" s="112"/>
      <c r="D143" s="111"/>
      <c r="E143" s="112"/>
      <c r="F143" s="111"/>
      <c r="G143" s="112"/>
      <c r="H143" s="111"/>
      <c r="I143" s="112"/>
      <c r="J143" s="111"/>
      <c r="K143" s="112"/>
      <c r="L143" s="111"/>
      <c r="M143" s="112"/>
      <c r="N143" s="111"/>
      <c r="O143" s="112"/>
      <c r="P143" s="111"/>
      <c r="Q143" s="112"/>
      <c r="R143" s="111"/>
      <c r="S143" s="112"/>
      <c r="T143" s="111"/>
      <c r="U143" s="112"/>
      <c r="V143" s="111"/>
      <c r="W143" s="112"/>
      <c r="X143" s="111"/>
      <c r="Y143" s="112"/>
      <c r="Z143" s="111"/>
      <c r="AA143" s="112"/>
      <c r="AB143" s="111"/>
      <c r="AC143" s="112"/>
      <c r="AD143" s="113"/>
      <c r="AE143" s="114"/>
      <c r="AF143" s="113"/>
      <c r="AG143" s="111"/>
      <c r="AH143" s="112"/>
      <c r="AI143" s="113"/>
      <c r="AJ143" s="114"/>
      <c r="AK143" s="113"/>
      <c r="AL143" s="114"/>
    </row>
    <row r="144" spans="1:38" ht="16.5" hidden="1" customHeight="1" x14ac:dyDescent="0.25">
      <c r="A144" s="2" t="s">
        <v>137</v>
      </c>
      <c r="B144" s="115">
        <v>0</v>
      </c>
      <c r="C144" s="116">
        <f>IFERROR(B144/B148, "NA")</f>
        <v>0</v>
      </c>
      <c r="D144" s="115">
        <v>0</v>
      </c>
      <c r="E144" s="116">
        <f>IFERROR(D144/D148, "NA")</f>
        <v>0</v>
      </c>
      <c r="F144" s="115">
        <v>0</v>
      </c>
      <c r="G144" s="116">
        <f>IFERROR(F144/F148, "NA")</f>
        <v>0</v>
      </c>
      <c r="H144" s="115">
        <v>0</v>
      </c>
      <c r="I144" s="116">
        <f>IFERROR(H144/H148, "NA")</f>
        <v>0</v>
      </c>
      <c r="J144" s="115">
        <v>0</v>
      </c>
      <c r="K144" s="116">
        <f>IFERROR(J144/J148, "NA")</f>
        <v>0</v>
      </c>
      <c r="L144" s="115">
        <v>0</v>
      </c>
      <c r="M144" s="116">
        <f>IFERROR(L144/L148, "NA")</f>
        <v>0</v>
      </c>
      <c r="N144" s="115">
        <v>0</v>
      </c>
      <c r="O144" s="116">
        <f>IFERROR(N144/N148, "NA")</f>
        <v>0</v>
      </c>
      <c r="P144" s="115">
        <v>0</v>
      </c>
      <c r="Q144" s="116">
        <f>IFERROR(P144/P148, "NA")</f>
        <v>0</v>
      </c>
      <c r="R144" s="115">
        <v>0</v>
      </c>
      <c r="S144" s="116">
        <f>IFERROR(R144/R148, "NA")</f>
        <v>0</v>
      </c>
      <c r="T144" s="115">
        <v>0</v>
      </c>
      <c r="U144" s="116">
        <f>IFERROR(T144/T148, "NA")</f>
        <v>0</v>
      </c>
      <c r="V144" s="115">
        <v>0</v>
      </c>
      <c r="W144" s="116">
        <f>IFERROR(V144/V148, "NA")</f>
        <v>0</v>
      </c>
      <c r="X144" s="115">
        <v>0</v>
      </c>
      <c r="Y144" s="116">
        <f>IFERROR(X144/X148, "NA")</f>
        <v>0</v>
      </c>
      <c r="Z144" s="115">
        <v>0</v>
      </c>
      <c r="AA144" s="116">
        <f>IFERROR(Z144/Z148, "NA")</f>
        <v>0</v>
      </c>
      <c r="AB144" s="117">
        <f>IFERROR((R144+T144+V144+X144)/4, "NA")</f>
        <v>0</v>
      </c>
      <c r="AC144" s="116">
        <f>IFERROR(AB144/AB148, "NA")</f>
        <v>0</v>
      </c>
      <c r="AD144" s="118">
        <f>IFERROR(X144-AB144, "NA")</f>
        <v>0</v>
      </c>
      <c r="AE144" s="119">
        <f>IFERROR(AD144/AD148, "NA")</f>
        <v>0</v>
      </c>
      <c r="AF144" s="118" t="str">
        <f>IFERROR((X144-AB144)/AB144, "NA")</f>
        <v>NA</v>
      </c>
      <c r="AG144" s="117">
        <f>IFERROR((J144+L144+N144+P144+R144+T144+V144+X144)/8, "NA")</f>
        <v>0</v>
      </c>
      <c r="AH144" s="116">
        <f>IFERROR(AG144/AG148, "NA")</f>
        <v>0</v>
      </c>
      <c r="AI144" s="118">
        <f>IFERROR(X144-AG144, "NA")</f>
        <v>0</v>
      </c>
      <c r="AJ144" s="119">
        <f>IFERROR(AI144/AI148, "NA")</f>
        <v>0</v>
      </c>
      <c r="AK144" s="118" t="str">
        <f>IFERROR((X144-AG144)/AG144, "NA")</f>
        <v>NA</v>
      </c>
      <c r="AL144" s="119" t="str">
        <f>IFERROR(AK144/AK148, "NA")</f>
        <v>NA</v>
      </c>
    </row>
    <row r="145" spans="1:38" ht="16.5" hidden="1" customHeight="1" x14ac:dyDescent="0.25">
      <c r="A145" s="120" t="s">
        <v>138</v>
      </c>
      <c r="B145" s="121">
        <f>IFERROR(B144, "NA")</f>
        <v>0</v>
      </c>
      <c r="C145" s="122">
        <f>IFERROR(B145/B148, "NA")</f>
        <v>0</v>
      </c>
      <c r="D145" s="121">
        <f>IFERROR(D144, "NA")</f>
        <v>0</v>
      </c>
      <c r="E145" s="122">
        <f>IFERROR(D145/D148, "NA")</f>
        <v>0</v>
      </c>
      <c r="F145" s="121">
        <f>IFERROR(F144, "NA")</f>
        <v>0</v>
      </c>
      <c r="G145" s="122">
        <f>IFERROR(F145/F148, "NA")</f>
        <v>0</v>
      </c>
      <c r="H145" s="121">
        <f>IFERROR(H144, "NA")</f>
        <v>0</v>
      </c>
      <c r="I145" s="122">
        <f>IFERROR(H145/H148, "NA")</f>
        <v>0</v>
      </c>
      <c r="J145" s="121">
        <f>IFERROR(J144, "NA")</f>
        <v>0</v>
      </c>
      <c r="K145" s="122">
        <f>IFERROR(J145/J148, "NA")</f>
        <v>0</v>
      </c>
      <c r="L145" s="121">
        <f>IFERROR(L144, "NA")</f>
        <v>0</v>
      </c>
      <c r="M145" s="122">
        <f>IFERROR(L145/L148, "NA")</f>
        <v>0</v>
      </c>
      <c r="N145" s="121">
        <f>IFERROR(N144, "NA")</f>
        <v>0</v>
      </c>
      <c r="O145" s="122">
        <f>IFERROR(N145/N148, "NA")</f>
        <v>0</v>
      </c>
      <c r="P145" s="121">
        <f>IFERROR(P144, "NA")</f>
        <v>0</v>
      </c>
      <c r="Q145" s="122">
        <f>IFERROR(P145/P148, "NA")</f>
        <v>0</v>
      </c>
      <c r="R145" s="121">
        <f>IFERROR(R144, "NA")</f>
        <v>0</v>
      </c>
      <c r="S145" s="122">
        <f>IFERROR(R145/R148, "NA")</f>
        <v>0</v>
      </c>
      <c r="T145" s="121">
        <f>IFERROR(T144, "NA")</f>
        <v>0</v>
      </c>
      <c r="U145" s="122">
        <f>IFERROR(T145/T148, "NA")</f>
        <v>0</v>
      </c>
      <c r="V145" s="121">
        <f>IFERROR(V144, "NA")</f>
        <v>0</v>
      </c>
      <c r="W145" s="122">
        <f>IFERROR(V145/V148, "NA")</f>
        <v>0</v>
      </c>
      <c r="X145" s="121">
        <f>IFERROR(X144, "NA")</f>
        <v>0</v>
      </c>
      <c r="Y145" s="122">
        <f>IFERROR(X145/X148, "NA")</f>
        <v>0</v>
      </c>
      <c r="Z145" s="121">
        <f>IFERROR(Z144, "NA")</f>
        <v>0</v>
      </c>
      <c r="AA145" s="122">
        <f>IFERROR(Z145/Z148, "NA")</f>
        <v>0</v>
      </c>
      <c r="AB145" s="121">
        <f>IFERROR((R145+T145+V145+X145)/4, "NA")</f>
        <v>0</v>
      </c>
      <c r="AC145" s="122">
        <f>IFERROR(AB145/AB148, "NA")</f>
        <v>0</v>
      </c>
      <c r="AD145" s="123">
        <f>IFERROR(X145-AB145, "NA")</f>
        <v>0</v>
      </c>
      <c r="AE145" s="124">
        <f>IFERROR(AD145/AD148, "NA")</f>
        <v>0</v>
      </c>
      <c r="AF145" s="123" t="str">
        <f>IFERROR((X145-AB145)/AB145, "NA")</f>
        <v>NA</v>
      </c>
      <c r="AG145" s="121">
        <f>IFERROR((J145+L145+N145+P145+R145+T145+V145+X145)/8, "NA")</f>
        <v>0</v>
      </c>
      <c r="AH145" s="122">
        <f>IFERROR(AG145/AG148, "NA")</f>
        <v>0</v>
      </c>
      <c r="AI145" s="123">
        <f>IFERROR(X145-AG145, "NA")</f>
        <v>0</v>
      </c>
      <c r="AJ145" s="124">
        <f>IFERROR(AI145/AI148, "NA")</f>
        <v>0</v>
      </c>
      <c r="AK145" s="123" t="str">
        <f>IFERROR((X145-AG145)/AG145, "NA")</f>
        <v>NA</v>
      </c>
      <c r="AL145" s="124" t="str">
        <f>IFERROR(AK145/AK148, "NA")</f>
        <v>NA</v>
      </c>
    </row>
    <row r="146" spans="1:38" ht="3.75" hidden="1" customHeight="1" x14ac:dyDescent="0.25">
      <c r="A146" s="8" t="s">
        <v>2</v>
      </c>
      <c r="B146" s="138"/>
      <c r="C146" s="126"/>
      <c r="D146" s="138"/>
      <c r="E146" s="126"/>
      <c r="F146" s="138"/>
      <c r="G146" s="126"/>
      <c r="H146" s="138"/>
      <c r="I146" s="126"/>
      <c r="J146" s="138"/>
      <c r="K146" s="126"/>
      <c r="L146" s="138"/>
      <c r="M146" s="126"/>
      <c r="N146" s="138"/>
      <c r="O146" s="126"/>
      <c r="P146" s="138"/>
      <c r="Q146" s="126"/>
      <c r="R146" s="138"/>
      <c r="S146" s="126"/>
      <c r="T146" s="138"/>
      <c r="U146" s="126"/>
      <c r="V146" s="138"/>
      <c r="W146" s="126"/>
      <c r="X146" s="138"/>
      <c r="Y146" s="126"/>
      <c r="Z146" s="138"/>
      <c r="AA146" s="126"/>
      <c r="AB146" s="138"/>
      <c r="AC146" s="126"/>
      <c r="AD146" s="139"/>
      <c r="AE146" s="128"/>
      <c r="AF146" s="139"/>
      <c r="AG146" s="138"/>
      <c r="AH146" s="126"/>
      <c r="AI146" s="139"/>
      <c r="AJ146" s="128"/>
      <c r="AK146" s="139"/>
      <c r="AL146" s="128"/>
    </row>
    <row r="147" spans="1:38" ht="16.5" hidden="1" customHeight="1" x14ac:dyDescent="0.25">
      <c r="A147" s="135" t="s">
        <v>139</v>
      </c>
      <c r="B147" s="136">
        <f>IFERROR(B137-B141-B145, "NA")</f>
        <v>-22285.530000000013</v>
      </c>
      <c r="C147" s="137">
        <f>IFERROR(B147/B148, "NA")</f>
        <v>-0.77220027318295614</v>
      </c>
      <c r="D147" s="136">
        <f>IFERROR(D137-D141-D145, "NA")</f>
        <v>12368.449999999997</v>
      </c>
      <c r="E147" s="137">
        <f>IFERROR(D147/D148, "NA")</f>
        <v>0.4779336612953895</v>
      </c>
      <c r="F147" s="136">
        <f>IFERROR(F137-F141-F145, "NA")</f>
        <v>6429.0000000000036</v>
      </c>
      <c r="G147" s="137">
        <f>IFERROR(F147/F148, "NA")</f>
        <v>0.25018747521571827</v>
      </c>
      <c r="H147" s="136">
        <f>IFERROR(H137-H141-H145, "NA")</f>
        <v>2320.1399999999953</v>
      </c>
      <c r="I147" s="137">
        <f>IFERROR(H147/H148, "NA")</f>
        <v>9.2199700448532235E-2</v>
      </c>
      <c r="J147" s="136">
        <f>IFERROR(J137-J141-J145, "NA")</f>
        <v>-24932.420000000013</v>
      </c>
      <c r="K147" s="137">
        <f>IFERROR(J147/J148, "NA")</f>
        <v>-0.87074240261064695</v>
      </c>
      <c r="L147" s="136">
        <f>IFERROR(L137-L141-L145, "NA")</f>
        <v>11709.699999999997</v>
      </c>
      <c r="M147" s="137">
        <f>IFERROR(L147/L148, "NA")</f>
        <v>0.41728643545578742</v>
      </c>
      <c r="N147" s="136">
        <f>IFERROR(N137-N141-N145, "NA")</f>
        <v>6625.2899999999954</v>
      </c>
      <c r="O147" s="137">
        <f>IFERROR(N147/N148, "NA")</f>
        <v>0.25736757706704688</v>
      </c>
      <c r="P147" s="136">
        <f>IFERROR(P137-P141-P145, "NA")</f>
        <v>4454.1999999999989</v>
      </c>
      <c r="Q147" s="137">
        <f>IFERROR(P147/P148, "NA")</f>
        <v>0.21612593938264699</v>
      </c>
      <c r="R147" s="136">
        <f>IFERROR(R137-R141-R145, "NA")</f>
        <v>3731.0600000000009</v>
      </c>
      <c r="S147" s="137">
        <f>IFERROR(R147/R148, "NA")</f>
        <v>0.15215221991453354</v>
      </c>
      <c r="T147" s="136">
        <f>IFERROR(T137-T141-T145, "NA")</f>
        <v>-24865.96</v>
      </c>
      <c r="U147" s="137">
        <f>IFERROR(T147/T148, "NA")</f>
        <v>-0.93258984058261263</v>
      </c>
      <c r="V147" s="136">
        <f>IFERROR(V137-V141-V145, "NA")</f>
        <v>12450.69</v>
      </c>
      <c r="W147" s="137">
        <f>IFERROR(V147/V148, "NA")</f>
        <v>0.51879604320144002</v>
      </c>
      <c r="X147" s="136">
        <f>IFERROR(X137-X141-X145, "NA")</f>
        <v>17461.339999999989</v>
      </c>
      <c r="Y147" s="137">
        <f>IFERROR(X147/X148, "NA")</f>
        <v>0.50332700715787893</v>
      </c>
      <c r="Z147" s="136">
        <f>IFERROR(Z137-Z141-Z145, "NA")</f>
        <v>29912.029999999992</v>
      </c>
      <c r="AA147" s="137">
        <f>IFERROR(Z147/Z148, "NA")</f>
        <v>0.50965241031680464</v>
      </c>
      <c r="AB147" s="136">
        <f>IFERROR((R147+T147+V147+X147)/4, "NA")</f>
        <v>2194.282499999998</v>
      </c>
      <c r="AC147" s="137">
        <f>IFERROR(AB147/AB148, "NA")</f>
        <v>7.9881943571619179E-2</v>
      </c>
      <c r="AD147" s="123">
        <f>IFERROR(X147-AB147, "NA")</f>
        <v>15267.057499999992</v>
      </c>
      <c r="AE147" s="124">
        <f>IFERROR(AD147/AD148, "NA")</f>
        <v>2.1137392185618462</v>
      </c>
      <c r="AF147" s="123">
        <f>IFERROR((X147-AB147)/AB147, "NA")</f>
        <v>6.9576535838024531</v>
      </c>
      <c r="AG147" s="136">
        <f>IFERROR((J147+L147+N147+P147+R147+T147+V147+X147)/8, "NA")</f>
        <v>829.23749999999632</v>
      </c>
      <c r="AH147" s="137">
        <f>IFERROR(AG147/AG148, "NA")</f>
        <v>3.1156314487768288E-2</v>
      </c>
      <c r="AI147" s="123">
        <f>IFERROR(X147-AG147, "NA")</f>
        <v>16632.102499999994</v>
      </c>
      <c r="AJ147" s="124">
        <f>IFERROR(AI147/AI148, "NA")</f>
        <v>2.0593336272950413</v>
      </c>
      <c r="AK147" s="123">
        <f>IFERROR((X147-AG147)/AG147, "NA")</f>
        <v>20.057103664511153</v>
      </c>
      <c r="AL147" s="124">
        <f>IFERROR(AK147/AK148, "NA")</f>
        <v>66.096830165952994</v>
      </c>
    </row>
    <row r="148" spans="1:38" ht="15.75" hidden="1" x14ac:dyDescent="0.25">
      <c r="A148" s="10" t="s">
        <v>16</v>
      </c>
      <c r="B148" s="115">
        <v>28859.78</v>
      </c>
      <c r="C148" s="141"/>
      <c r="D148" s="115">
        <v>25879.01</v>
      </c>
      <c r="E148" s="141"/>
      <c r="F148" s="115">
        <v>25696.73</v>
      </c>
      <c r="G148" s="141"/>
      <c r="H148" s="115">
        <v>25164.29</v>
      </c>
      <c r="I148" s="141"/>
      <c r="J148" s="115">
        <v>28633.52</v>
      </c>
      <c r="K148" s="141"/>
      <c r="L148" s="115">
        <v>28061.54</v>
      </c>
      <c r="M148" s="141"/>
      <c r="N148" s="115">
        <v>25742.52</v>
      </c>
      <c r="O148" s="141"/>
      <c r="P148" s="115">
        <v>20609.28</v>
      </c>
      <c r="Q148" s="141"/>
      <c r="R148" s="115">
        <v>24521.89</v>
      </c>
      <c r="S148" s="141"/>
      <c r="T148" s="115">
        <v>26663.34</v>
      </c>
      <c r="U148" s="141"/>
      <c r="V148" s="115">
        <v>23999.200000000001</v>
      </c>
      <c r="W148" s="141"/>
      <c r="X148" s="115">
        <v>34691.839999999997</v>
      </c>
      <c r="Y148" s="141"/>
      <c r="Z148" s="115">
        <v>58691.040000000001</v>
      </c>
      <c r="AA148" s="141"/>
      <c r="AB148" s="117">
        <f>IFERROR((R148+T148+V148+X148)/4, "NA")</f>
        <v>27469.067499999997</v>
      </c>
      <c r="AC148" s="141"/>
      <c r="AD148" s="118">
        <f>IFERROR(X148-AB148, "NA")</f>
        <v>7222.7724999999991</v>
      </c>
      <c r="AE148" s="142"/>
      <c r="AF148" s="118">
        <f>IFERROR((X148-AB148)/AB148, "NA")</f>
        <v>0.26294203470867733</v>
      </c>
      <c r="AG148" s="117">
        <f>IFERROR((J148+L148+N148+P148+R148+T148+V148+X148)/8, "NA")</f>
        <v>26615.391250000001</v>
      </c>
      <c r="AH148" s="141"/>
      <c r="AI148" s="118">
        <f>IFERROR(X148-AG148, "NA")</f>
        <v>8076.4487499999959</v>
      </c>
      <c r="AJ148" s="142"/>
      <c r="AK148" s="118">
        <f>IFERROR((X148-AG148)/AG148, "NA")</f>
        <v>0.30345031091737174</v>
      </c>
      <c r="AL148" s="142"/>
    </row>
    <row r="151" spans="1:38" ht="15.75" x14ac:dyDescent="0.25">
      <c r="A151" s="11" t="s">
        <v>140</v>
      </c>
    </row>
    <row r="152" spans="1:38" ht="15.75" x14ac:dyDescent="0.25">
      <c r="A152" s="11" t="s">
        <v>141</v>
      </c>
    </row>
    <row r="153" spans="1:38" ht="15.75" x14ac:dyDescent="0.25">
      <c r="A153" s="11" t="s">
        <v>247</v>
      </c>
    </row>
  </sheetData>
  <mergeCells count="21">
    <mergeCell ref="AK5:AL5"/>
    <mergeCell ref="Z5:AA5"/>
    <mergeCell ref="AB5:AC5"/>
    <mergeCell ref="AD5:AE5"/>
    <mergeCell ref="AG5:AH5"/>
    <mergeCell ref="A1:AL1"/>
    <mergeCell ref="A2:AL2"/>
    <mergeCell ref="A3:AL3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AI5:AJ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L153"/>
  <sheetViews>
    <sheetView showGridLines="0" workbookViewId="0">
      <pane xSplit="1" ySplit="5" topLeftCell="P59" activePane="bottomRight" state="frozen"/>
      <selection activeCell="D11" sqref="D11"/>
      <selection pane="topRight" activeCell="D11" sqref="D11"/>
      <selection pane="bottomLeft" activeCell="D11" sqref="D11"/>
      <selection pane="bottomRight" activeCell="A161" sqref="A161"/>
    </sheetView>
  </sheetViews>
  <sheetFormatPr defaultRowHeight="15" x14ac:dyDescent="0.25"/>
  <cols>
    <col min="1" max="1" width="42.85546875" customWidth="1"/>
    <col min="2" max="2" width="17.140625" customWidth="1"/>
    <col min="3" max="3" width="9.42578125" customWidth="1"/>
    <col min="4" max="4" width="17.140625" customWidth="1"/>
    <col min="5" max="5" width="9.42578125" customWidth="1"/>
    <col min="6" max="6" width="17.140625" customWidth="1"/>
    <col min="7" max="7" width="9.42578125" customWidth="1"/>
    <col min="8" max="8" width="17.140625" customWidth="1"/>
    <col min="9" max="9" width="9.42578125" customWidth="1"/>
    <col min="10" max="10" width="17.140625" customWidth="1"/>
    <col min="11" max="11" width="9.42578125" customWidth="1"/>
    <col min="12" max="12" width="17.140625" customWidth="1"/>
    <col min="13" max="13" width="9.42578125" customWidth="1"/>
    <col min="14" max="14" width="17.140625" customWidth="1"/>
    <col min="15" max="15" width="9.42578125" customWidth="1"/>
    <col min="16" max="16" width="17.140625" customWidth="1"/>
    <col min="17" max="17" width="9.42578125" customWidth="1"/>
    <col min="18" max="18" width="17.140625" customWidth="1"/>
    <col min="19" max="19" width="9.42578125" customWidth="1"/>
    <col min="20" max="20" width="17.140625" customWidth="1"/>
    <col min="21" max="21" width="9.42578125" customWidth="1"/>
    <col min="22" max="22" width="17.140625" customWidth="1"/>
    <col min="23" max="23" width="9.42578125" customWidth="1"/>
    <col min="24" max="24" width="17.140625" customWidth="1"/>
    <col min="25" max="25" width="9.42578125" customWidth="1"/>
    <col min="26" max="26" width="17.140625" customWidth="1"/>
    <col min="27" max="27" width="9.42578125" customWidth="1"/>
    <col min="28" max="28" width="17.140625" customWidth="1"/>
    <col min="29" max="29" width="9.42578125" customWidth="1"/>
    <col min="30" max="30" width="16.7109375" customWidth="1"/>
    <col min="31" max="31" width="0" hidden="1" customWidth="1"/>
    <col min="32" max="32" width="16.7109375" customWidth="1"/>
    <col min="33" max="33" width="17.140625" customWidth="1"/>
    <col min="34" max="34" width="9.42578125" customWidth="1"/>
    <col min="35" max="35" width="16.7109375" customWidth="1"/>
    <col min="36" max="36" width="0" hidden="1" customWidth="1"/>
    <col min="37" max="37" width="16.7109375" customWidth="1"/>
    <col min="38" max="38" width="0" hidden="1" customWidth="1"/>
  </cols>
  <sheetData>
    <row r="1" spans="1:38" ht="33.75" x14ac:dyDescent="0.25">
      <c r="A1" s="151" t="s">
        <v>243</v>
      </c>
      <c r="B1" s="151" t="s">
        <v>243</v>
      </c>
      <c r="C1" s="151" t="s">
        <v>243</v>
      </c>
      <c r="D1" s="151" t="s">
        <v>243</v>
      </c>
      <c r="E1" s="151" t="s">
        <v>243</v>
      </c>
      <c r="F1" s="151" t="s">
        <v>243</v>
      </c>
      <c r="G1" s="151" t="s">
        <v>243</v>
      </c>
      <c r="H1" s="151" t="s">
        <v>243</v>
      </c>
      <c r="I1" s="151" t="s">
        <v>243</v>
      </c>
      <c r="J1" s="151" t="s">
        <v>243</v>
      </c>
      <c r="K1" s="151" t="s">
        <v>243</v>
      </c>
      <c r="L1" s="151" t="s">
        <v>243</v>
      </c>
      <c r="M1" s="151" t="s">
        <v>243</v>
      </c>
      <c r="N1" s="151" t="s">
        <v>243</v>
      </c>
      <c r="O1" s="151" t="s">
        <v>243</v>
      </c>
      <c r="P1" s="151" t="s">
        <v>243</v>
      </c>
      <c r="Q1" s="151" t="s">
        <v>243</v>
      </c>
      <c r="R1" s="151" t="s">
        <v>243</v>
      </c>
      <c r="S1" s="151" t="s">
        <v>243</v>
      </c>
      <c r="T1" s="151" t="s">
        <v>243</v>
      </c>
      <c r="U1" s="151" t="s">
        <v>243</v>
      </c>
      <c r="V1" s="151" t="s">
        <v>243</v>
      </c>
      <c r="W1" s="151" t="s">
        <v>243</v>
      </c>
      <c r="X1" s="151" t="s">
        <v>243</v>
      </c>
      <c r="Y1" s="151" t="s">
        <v>243</v>
      </c>
      <c r="Z1" s="151" t="s">
        <v>243</v>
      </c>
      <c r="AA1" s="151" t="s">
        <v>243</v>
      </c>
      <c r="AB1" s="151" t="s">
        <v>243</v>
      </c>
      <c r="AC1" s="151" t="s">
        <v>243</v>
      </c>
      <c r="AD1" s="151" t="s">
        <v>243</v>
      </c>
      <c r="AE1" s="151" t="s">
        <v>243</v>
      </c>
      <c r="AF1" s="151" t="s">
        <v>243</v>
      </c>
      <c r="AG1" s="151" t="s">
        <v>243</v>
      </c>
      <c r="AH1" s="151" t="s">
        <v>243</v>
      </c>
      <c r="AI1" s="151" t="s">
        <v>243</v>
      </c>
      <c r="AJ1" s="151" t="s">
        <v>243</v>
      </c>
      <c r="AK1" s="151" t="s">
        <v>243</v>
      </c>
      <c r="AL1" s="151" t="s">
        <v>243</v>
      </c>
    </row>
    <row r="2" spans="1:38" ht="23.25" x14ac:dyDescent="0.25">
      <c r="A2" s="152" t="s">
        <v>246</v>
      </c>
      <c r="B2" s="152" t="s">
        <v>246</v>
      </c>
      <c r="C2" s="152" t="s">
        <v>246</v>
      </c>
      <c r="D2" s="152" t="s">
        <v>246</v>
      </c>
      <c r="E2" s="152" t="s">
        <v>246</v>
      </c>
      <c r="F2" s="152" t="s">
        <v>246</v>
      </c>
      <c r="G2" s="152" t="s">
        <v>246</v>
      </c>
      <c r="H2" s="152" t="s">
        <v>246</v>
      </c>
      <c r="I2" s="152" t="s">
        <v>246</v>
      </c>
      <c r="J2" s="152" t="s">
        <v>246</v>
      </c>
      <c r="K2" s="152" t="s">
        <v>246</v>
      </c>
      <c r="L2" s="152" t="s">
        <v>246</v>
      </c>
      <c r="M2" s="152" t="s">
        <v>246</v>
      </c>
      <c r="N2" s="152" t="s">
        <v>246</v>
      </c>
      <c r="O2" s="152" t="s">
        <v>246</v>
      </c>
      <c r="P2" s="152" t="s">
        <v>246</v>
      </c>
      <c r="Q2" s="152" t="s">
        <v>246</v>
      </c>
      <c r="R2" s="152" t="s">
        <v>246</v>
      </c>
      <c r="S2" s="152" t="s">
        <v>246</v>
      </c>
      <c r="T2" s="152" t="s">
        <v>246</v>
      </c>
      <c r="U2" s="152" t="s">
        <v>246</v>
      </c>
      <c r="V2" s="152" t="s">
        <v>246</v>
      </c>
      <c r="W2" s="152" t="s">
        <v>246</v>
      </c>
      <c r="X2" s="152" t="s">
        <v>246</v>
      </c>
      <c r="Y2" s="152" t="s">
        <v>246</v>
      </c>
      <c r="Z2" s="152" t="s">
        <v>246</v>
      </c>
      <c r="AA2" s="152" t="s">
        <v>246</v>
      </c>
      <c r="AB2" s="152" t="s">
        <v>246</v>
      </c>
      <c r="AC2" s="152" t="s">
        <v>246</v>
      </c>
      <c r="AD2" s="152" t="s">
        <v>246</v>
      </c>
      <c r="AE2" s="152" t="s">
        <v>246</v>
      </c>
      <c r="AF2" s="152" t="s">
        <v>246</v>
      </c>
      <c r="AG2" s="152" t="s">
        <v>246</v>
      </c>
      <c r="AH2" s="152" t="s">
        <v>246</v>
      </c>
      <c r="AI2" s="152" t="s">
        <v>246</v>
      </c>
      <c r="AJ2" s="152" t="s">
        <v>246</v>
      </c>
      <c r="AK2" s="152" t="s">
        <v>246</v>
      </c>
      <c r="AL2" s="152" t="s">
        <v>246</v>
      </c>
    </row>
    <row r="3" spans="1:38" ht="15.75" x14ac:dyDescent="0.25">
      <c r="A3" s="153" t="s">
        <v>145</v>
      </c>
      <c r="B3" s="153" t="s">
        <v>145</v>
      </c>
      <c r="C3" s="153" t="s">
        <v>145</v>
      </c>
      <c r="D3" s="153" t="s">
        <v>145</v>
      </c>
      <c r="E3" s="153" t="s">
        <v>145</v>
      </c>
      <c r="F3" s="153" t="s">
        <v>145</v>
      </c>
      <c r="G3" s="153" t="s">
        <v>145</v>
      </c>
      <c r="H3" s="153" t="s">
        <v>145</v>
      </c>
      <c r="I3" s="153" t="s">
        <v>145</v>
      </c>
      <c r="J3" s="153" t="s">
        <v>145</v>
      </c>
      <c r="K3" s="153" t="s">
        <v>145</v>
      </c>
      <c r="L3" s="153" t="s">
        <v>145</v>
      </c>
      <c r="M3" s="153" t="s">
        <v>145</v>
      </c>
      <c r="N3" s="153" t="s">
        <v>145</v>
      </c>
      <c r="O3" s="153" t="s">
        <v>145</v>
      </c>
      <c r="P3" s="153" t="s">
        <v>145</v>
      </c>
      <c r="Q3" s="153" t="s">
        <v>145</v>
      </c>
      <c r="R3" s="153" t="s">
        <v>145</v>
      </c>
      <c r="S3" s="153" t="s">
        <v>145</v>
      </c>
      <c r="T3" s="153" t="s">
        <v>145</v>
      </c>
      <c r="U3" s="153" t="s">
        <v>145</v>
      </c>
      <c r="V3" s="153" t="s">
        <v>145</v>
      </c>
      <c r="W3" s="153" t="s">
        <v>145</v>
      </c>
      <c r="X3" s="153" t="s">
        <v>145</v>
      </c>
      <c r="Y3" s="153" t="s">
        <v>145</v>
      </c>
      <c r="Z3" s="153" t="s">
        <v>145</v>
      </c>
      <c r="AA3" s="153" t="s">
        <v>145</v>
      </c>
      <c r="AB3" s="153" t="s">
        <v>145</v>
      </c>
      <c r="AC3" s="153" t="s">
        <v>145</v>
      </c>
      <c r="AD3" s="153" t="s">
        <v>145</v>
      </c>
      <c r="AE3" s="153" t="s">
        <v>145</v>
      </c>
      <c r="AF3" s="153" t="s">
        <v>145</v>
      </c>
      <c r="AG3" s="153" t="s">
        <v>145</v>
      </c>
      <c r="AH3" s="153" t="s">
        <v>145</v>
      </c>
      <c r="AI3" s="153" t="s">
        <v>145</v>
      </c>
      <c r="AJ3" s="153" t="s">
        <v>145</v>
      </c>
      <c r="AK3" s="153" t="s">
        <v>145</v>
      </c>
      <c r="AL3" s="153" t="s">
        <v>145</v>
      </c>
    </row>
    <row r="5" spans="1:38" ht="13.5" customHeight="1" x14ac:dyDescent="0.25">
      <c r="A5" s="110" t="s">
        <v>2</v>
      </c>
      <c r="B5" s="154" t="s">
        <v>3</v>
      </c>
      <c r="C5" s="155" t="s">
        <v>2</v>
      </c>
      <c r="D5" s="154" t="s">
        <v>4</v>
      </c>
      <c r="E5" s="155" t="s">
        <v>2</v>
      </c>
      <c r="F5" s="154" t="s">
        <v>5</v>
      </c>
      <c r="G5" s="155" t="s">
        <v>2</v>
      </c>
      <c r="H5" s="154" t="s">
        <v>6</v>
      </c>
      <c r="I5" s="155" t="s">
        <v>2</v>
      </c>
      <c r="J5" s="154" t="s">
        <v>237</v>
      </c>
      <c r="K5" s="155" t="s">
        <v>2</v>
      </c>
      <c r="L5" s="154" t="s">
        <v>238</v>
      </c>
      <c r="M5" s="155" t="s">
        <v>2</v>
      </c>
      <c r="N5" s="154" t="s">
        <v>239</v>
      </c>
      <c r="O5" s="155" t="s">
        <v>2</v>
      </c>
      <c r="P5" s="154" t="s">
        <v>240</v>
      </c>
      <c r="Q5" s="155" t="s">
        <v>2</v>
      </c>
      <c r="R5" s="154" t="s">
        <v>241</v>
      </c>
      <c r="S5" s="155" t="s">
        <v>2</v>
      </c>
      <c r="T5" s="154" t="s">
        <v>242</v>
      </c>
      <c r="U5" s="155" t="s">
        <v>2</v>
      </c>
      <c r="V5" s="154" t="s">
        <v>244</v>
      </c>
      <c r="W5" s="155" t="s">
        <v>2</v>
      </c>
      <c r="X5" s="154" t="s">
        <v>245</v>
      </c>
      <c r="Y5" s="155" t="s">
        <v>2</v>
      </c>
      <c r="Z5" s="154" t="s">
        <v>7</v>
      </c>
      <c r="AA5" s="155" t="s">
        <v>2</v>
      </c>
      <c r="AB5" s="154" t="s">
        <v>8</v>
      </c>
      <c r="AC5" s="155" t="s">
        <v>2</v>
      </c>
      <c r="AD5" s="156" t="s">
        <v>9</v>
      </c>
      <c r="AE5" s="157" t="s">
        <v>2</v>
      </c>
      <c r="AF5" s="143" t="s">
        <v>10</v>
      </c>
      <c r="AG5" s="154" t="s">
        <v>11</v>
      </c>
      <c r="AH5" s="155" t="s">
        <v>2</v>
      </c>
      <c r="AI5" s="156" t="s">
        <v>12</v>
      </c>
      <c r="AJ5" s="157" t="s">
        <v>2</v>
      </c>
      <c r="AK5" s="156" t="s">
        <v>13</v>
      </c>
      <c r="AL5" s="157" t="s">
        <v>2</v>
      </c>
    </row>
    <row r="6" spans="1:38" ht="16.5" customHeight="1" x14ac:dyDescent="0.25">
      <c r="A6" s="1" t="s">
        <v>14</v>
      </c>
      <c r="B6" s="111"/>
      <c r="C6" s="112"/>
      <c r="D6" s="111"/>
      <c r="E6" s="112"/>
      <c r="F6" s="111"/>
      <c r="G6" s="112"/>
      <c r="H6" s="111"/>
      <c r="I6" s="112"/>
      <c r="J6" s="111"/>
      <c r="K6" s="112"/>
      <c r="L6" s="111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  <c r="X6" s="111"/>
      <c r="Y6" s="112"/>
      <c r="Z6" s="111"/>
      <c r="AA6" s="112"/>
      <c r="AB6" s="111"/>
      <c r="AC6" s="112"/>
      <c r="AD6" s="113"/>
      <c r="AE6" s="114"/>
      <c r="AF6" s="113"/>
      <c r="AG6" s="111"/>
      <c r="AH6" s="112"/>
      <c r="AI6" s="113"/>
      <c r="AJ6" s="114"/>
      <c r="AK6" s="113"/>
      <c r="AL6" s="114"/>
    </row>
    <row r="7" spans="1:38" ht="16.5" customHeight="1" x14ac:dyDescent="0.25">
      <c r="A7" s="2" t="s">
        <v>14</v>
      </c>
      <c r="B7" s="115">
        <v>26696.989999999998</v>
      </c>
      <c r="C7" s="116">
        <f>IFERROR(B7/B148, "NA")</f>
        <v>0.99999999999999989</v>
      </c>
      <c r="D7" s="115">
        <v>22852.069999999996</v>
      </c>
      <c r="E7" s="116">
        <f>IFERROR(D7/D148, "NA")</f>
        <v>0.99999999999999989</v>
      </c>
      <c r="F7" s="115">
        <v>26960.43</v>
      </c>
      <c r="G7" s="116">
        <f>IFERROR(F7/F148, "NA")</f>
        <v>1</v>
      </c>
      <c r="H7" s="115">
        <v>24051.489999999998</v>
      </c>
      <c r="I7" s="116">
        <f>IFERROR(H7/H148, "NA")</f>
        <v>0.99999999999999989</v>
      </c>
      <c r="J7" s="115">
        <v>25100.74</v>
      </c>
      <c r="K7" s="116">
        <f>IFERROR(J7/J148, "NA")</f>
        <v>1</v>
      </c>
      <c r="L7" s="115">
        <v>22601.940000000002</v>
      </c>
      <c r="M7" s="116">
        <f>IFERROR(L7/L148, "NA")</f>
        <v>1.0000000000000002</v>
      </c>
      <c r="N7" s="115">
        <v>27925.389999999996</v>
      </c>
      <c r="O7" s="116">
        <f>IFERROR(N7/N148, "NA")</f>
        <v>0.99999999999999989</v>
      </c>
      <c r="P7" s="115">
        <v>27652.5</v>
      </c>
      <c r="Q7" s="116">
        <f>IFERROR(P7/P148, "NA")</f>
        <v>1</v>
      </c>
      <c r="R7" s="115">
        <v>23432.869999999995</v>
      </c>
      <c r="S7" s="116">
        <f>IFERROR(R7/R148, "NA")</f>
        <v>0.99999999999999989</v>
      </c>
      <c r="T7" s="115">
        <v>31480.509999999991</v>
      </c>
      <c r="U7" s="116">
        <f>IFERROR(T7/T148, "NA")</f>
        <v>0.99999999999999978</v>
      </c>
      <c r="V7" s="115">
        <v>32858.490000000005</v>
      </c>
      <c r="W7" s="116">
        <f>IFERROR(V7/V148, "NA")</f>
        <v>1.0000000000000002</v>
      </c>
      <c r="X7" s="115">
        <v>34764.709999999992</v>
      </c>
      <c r="Y7" s="116">
        <f>IFERROR(X7/X148, "NA")</f>
        <v>0.99999999999999978</v>
      </c>
      <c r="Z7" s="115">
        <v>67623.199999999997</v>
      </c>
      <c r="AA7" s="116">
        <f>IFERROR(Z7/Z148, "NA")</f>
        <v>1</v>
      </c>
      <c r="AB7" s="117">
        <f>IFERROR((R7+T7+V7+X7)/4, "NA")</f>
        <v>30634.144999999997</v>
      </c>
      <c r="AC7" s="116">
        <f>IFERROR(AB7/AB148, "NA")</f>
        <v>1</v>
      </c>
      <c r="AD7" s="118">
        <f>IFERROR(X7-AB7, "NA")</f>
        <v>4130.5649999999951</v>
      </c>
      <c r="AE7" s="119">
        <f>IFERROR(AD7/AD148, "NA")</f>
        <v>0.99999999999999822</v>
      </c>
      <c r="AF7" s="118">
        <f>IFERROR((X7-AB7)/AB7, "NA")</f>
        <v>0.13483532835664241</v>
      </c>
      <c r="AG7" s="117">
        <f>IFERROR((J7+L7+N7+P7+R7+T7+V7+X7)/8, "NA")</f>
        <v>28227.143749999999</v>
      </c>
      <c r="AH7" s="116">
        <f>IFERROR(AG7/AG148, "NA")</f>
        <v>1</v>
      </c>
      <c r="AI7" s="118">
        <f>IFERROR(X7-AG7, "NA")</f>
        <v>6537.5662499999926</v>
      </c>
      <c r="AJ7" s="119">
        <f>IFERROR(AI7/AI148, "NA")</f>
        <v>0.99999999999999889</v>
      </c>
      <c r="AK7" s="118">
        <f>IFERROR((X7-AG7)/AG7, "NA")</f>
        <v>0.23160565971185068</v>
      </c>
      <c r="AL7" s="119">
        <f>IFERROR(AK7/AK148, "NA")</f>
        <v>0.99999999999999889</v>
      </c>
    </row>
    <row r="8" spans="1:38" ht="30.75" hidden="1" customHeight="1" x14ac:dyDescent="0.25">
      <c r="A8" s="2" t="s">
        <v>15</v>
      </c>
      <c r="B8" s="115">
        <v>0</v>
      </c>
      <c r="C8" s="116">
        <f>IFERROR(B8/B148, "NA")</f>
        <v>0</v>
      </c>
      <c r="D8" s="115">
        <v>0</v>
      </c>
      <c r="E8" s="116">
        <f>IFERROR(D8/D148, "NA")</f>
        <v>0</v>
      </c>
      <c r="F8" s="115">
        <v>0</v>
      </c>
      <c r="G8" s="116">
        <f>IFERROR(F8/F148, "NA")</f>
        <v>0</v>
      </c>
      <c r="H8" s="115">
        <v>0</v>
      </c>
      <c r="I8" s="116">
        <f>IFERROR(H8/H148, "NA")</f>
        <v>0</v>
      </c>
      <c r="J8" s="115">
        <v>0</v>
      </c>
      <c r="K8" s="116">
        <f>IFERROR(J8/J148, "NA")</f>
        <v>0</v>
      </c>
      <c r="L8" s="115">
        <v>0</v>
      </c>
      <c r="M8" s="116">
        <f>IFERROR(L8/L148, "NA")</f>
        <v>0</v>
      </c>
      <c r="N8" s="115">
        <v>0</v>
      </c>
      <c r="O8" s="116">
        <f>IFERROR(N8/N148, "NA")</f>
        <v>0</v>
      </c>
      <c r="P8" s="115">
        <v>0</v>
      </c>
      <c r="Q8" s="116">
        <f>IFERROR(P8/P148, "NA")</f>
        <v>0</v>
      </c>
      <c r="R8" s="115">
        <v>0</v>
      </c>
      <c r="S8" s="116">
        <f>IFERROR(R8/R148, "NA")</f>
        <v>0</v>
      </c>
      <c r="T8" s="115">
        <v>0</v>
      </c>
      <c r="U8" s="116">
        <f>IFERROR(T8/T148, "NA")</f>
        <v>0</v>
      </c>
      <c r="V8" s="115">
        <v>0</v>
      </c>
      <c r="W8" s="116">
        <f>IFERROR(V8/V148, "NA")</f>
        <v>0</v>
      </c>
      <c r="X8" s="115">
        <v>0</v>
      </c>
      <c r="Y8" s="116">
        <f>IFERROR(X8/X148, "NA")</f>
        <v>0</v>
      </c>
      <c r="Z8" s="115">
        <v>0</v>
      </c>
      <c r="AA8" s="116">
        <f>IFERROR(Z8/Z148, "NA")</f>
        <v>0</v>
      </c>
      <c r="AB8" s="117">
        <f>IFERROR((R8+T8+V8+X8)/4, "NA")</f>
        <v>0</v>
      </c>
      <c r="AC8" s="116">
        <f>IFERROR(AB8/AB148, "NA")</f>
        <v>0</v>
      </c>
      <c r="AD8" s="118">
        <f>IFERROR(X8-AB8, "NA")</f>
        <v>0</v>
      </c>
      <c r="AE8" s="119">
        <f>IFERROR(AD8/AD148, "NA")</f>
        <v>0</v>
      </c>
      <c r="AF8" s="118" t="str">
        <f>IFERROR((X8-AB8)/AB8, "NA")</f>
        <v>NA</v>
      </c>
      <c r="AG8" s="117">
        <f>IFERROR((J8+L8+N8+P8+R8+T8+V8+X8)/8, "NA")</f>
        <v>0</v>
      </c>
      <c r="AH8" s="116">
        <f>IFERROR(AG8/AG148, "NA")</f>
        <v>0</v>
      </c>
      <c r="AI8" s="118">
        <f>IFERROR(X8-AG8, "NA")</f>
        <v>0</v>
      </c>
      <c r="AJ8" s="119">
        <f>IFERROR(AI8/AI148, "NA")</f>
        <v>0</v>
      </c>
      <c r="AK8" s="118" t="str">
        <f>IFERROR((X8-AG8)/AG8, "NA")</f>
        <v>NA</v>
      </c>
      <c r="AL8" s="119" t="str">
        <f>IFERROR(AK8/AK148, "NA")</f>
        <v>NA</v>
      </c>
    </row>
    <row r="9" spans="1:38" ht="16.5" customHeight="1" x14ac:dyDescent="0.25">
      <c r="A9" s="120" t="s">
        <v>16</v>
      </c>
      <c r="B9" s="121">
        <f>IFERROR(B7+B8, "NA")</f>
        <v>26696.989999999998</v>
      </c>
      <c r="C9" s="122">
        <f>IFERROR(B9/B148, "NA")</f>
        <v>0.99999999999999989</v>
      </c>
      <c r="D9" s="121">
        <f>IFERROR(D7+D8, "NA")</f>
        <v>22852.069999999996</v>
      </c>
      <c r="E9" s="122">
        <f>IFERROR(D9/D148, "NA")</f>
        <v>0.99999999999999989</v>
      </c>
      <c r="F9" s="121">
        <f>IFERROR(F7+F8, "NA")</f>
        <v>26960.43</v>
      </c>
      <c r="G9" s="122">
        <f>IFERROR(F9/F148, "NA")</f>
        <v>1</v>
      </c>
      <c r="H9" s="121">
        <f>IFERROR(H7+H8, "NA")</f>
        <v>24051.489999999998</v>
      </c>
      <c r="I9" s="122">
        <f>IFERROR(H9/H148, "NA")</f>
        <v>0.99999999999999989</v>
      </c>
      <c r="J9" s="121">
        <f>IFERROR(J7+J8, "NA")</f>
        <v>25100.74</v>
      </c>
      <c r="K9" s="122">
        <f>IFERROR(J9/J148, "NA")</f>
        <v>1</v>
      </c>
      <c r="L9" s="121">
        <f>IFERROR(L7+L8, "NA")</f>
        <v>22601.940000000002</v>
      </c>
      <c r="M9" s="122">
        <f>IFERROR(L9/L148, "NA")</f>
        <v>1.0000000000000002</v>
      </c>
      <c r="N9" s="121">
        <f>IFERROR(N7+N8, "NA")</f>
        <v>27925.389999999996</v>
      </c>
      <c r="O9" s="122">
        <f>IFERROR(N9/N148, "NA")</f>
        <v>0.99999999999999989</v>
      </c>
      <c r="P9" s="121">
        <f>IFERROR(P7+P8, "NA")</f>
        <v>27652.5</v>
      </c>
      <c r="Q9" s="122">
        <f>IFERROR(P9/P148, "NA")</f>
        <v>1</v>
      </c>
      <c r="R9" s="121">
        <f>IFERROR(R7+R8, "NA")</f>
        <v>23432.869999999995</v>
      </c>
      <c r="S9" s="122">
        <f>IFERROR(R9/R148, "NA")</f>
        <v>0.99999999999999989</v>
      </c>
      <c r="T9" s="121">
        <f>IFERROR(T7+T8, "NA")</f>
        <v>31480.509999999991</v>
      </c>
      <c r="U9" s="122">
        <f>IFERROR(T9/T148, "NA")</f>
        <v>0.99999999999999978</v>
      </c>
      <c r="V9" s="121">
        <f>IFERROR(V7+V8, "NA")</f>
        <v>32858.490000000005</v>
      </c>
      <c r="W9" s="122">
        <f>IFERROR(V9/V148, "NA")</f>
        <v>1.0000000000000002</v>
      </c>
      <c r="X9" s="121">
        <f>IFERROR(X7+X8, "NA")</f>
        <v>34764.709999999992</v>
      </c>
      <c r="Y9" s="122">
        <f>IFERROR(X9/X148, "NA")</f>
        <v>0.99999999999999978</v>
      </c>
      <c r="Z9" s="121">
        <f>IFERROR(Z7+Z8, "NA")</f>
        <v>67623.199999999997</v>
      </c>
      <c r="AA9" s="122">
        <f>IFERROR(Z9/Z148, "NA")</f>
        <v>1</v>
      </c>
      <c r="AB9" s="121">
        <f>IFERROR((R9+T9+V9+X9)/4, "NA")</f>
        <v>30634.144999999997</v>
      </c>
      <c r="AC9" s="122">
        <f>IFERROR(AB9/AB148, "NA")</f>
        <v>1</v>
      </c>
      <c r="AD9" s="123">
        <f>IFERROR(X9-AB9, "NA")</f>
        <v>4130.5649999999951</v>
      </c>
      <c r="AE9" s="124">
        <f>IFERROR(AD9/AD148, "NA")</f>
        <v>0.99999999999999822</v>
      </c>
      <c r="AF9" s="123">
        <f>IFERROR((X9-AB9)/AB9, "NA")</f>
        <v>0.13483532835664241</v>
      </c>
      <c r="AG9" s="121">
        <f>IFERROR((J9+L9+N9+P9+R9+T9+V9+X9)/8, "NA")</f>
        <v>28227.143749999999</v>
      </c>
      <c r="AH9" s="122">
        <f>IFERROR(AG9/AG148, "NA")</f>
        <v>1</v>
      </c>
      <c r="AI9" s="123">
        <f>IFERROR(X9-AG9, "NA")</f>
        <v>6537.5662499999926</v>
      </c>
      <c r="AJ9" s="124">
        <f>IFERROR(AI9/AI148, "NA")</f>
        <v>0.99999999999999889</v>
      </c>
      <c r="AK9" s="123">
        <f>IFERROR((X9-AG9)/AG9, "NA")</f>
        <v>0.23160565971185068</v>
      </c>
      <c r="AL9" s="124">
        <f>IFERROR(AK9/AK148, "NA")</f>
        <v>0.99999999999999889</v>
      </c>
    </row>
    <row r="10" spans="1:38" ht="3.75" customHeight="1" x14ac:dyDescent="0.25">
      <c r="A10" s="3" t="s">
        <v>2</v>
      </c>
      <c r="B10" s="125"/>
      <c r="C10" s="126"/>
      <c r="D10" s="125"/>
      <c r="E10" s="126"/>
      <c r="F10" s="125"/>
      <c r="G10" s="126"/>
      <c r="H10" s="125"/>
      <c r="I10" s="126"/>
      <c r="J10" s="125"/>
      <c r="K10" s="126"/>
      <c r="L10" s="125"/>
      <c r="M10" s="126"/>
      <c r="N10" s="125"/>
      <c r="O10" s="126"/>
      <c r="P10" s="125"/>
      <c r="Q10" s="126"/>
      <c r="R10" s="125"/>
      <c r="S10" s="126"/>
      <c r="T10" s="125"/>
      <c r="U10" s="126"/>
      <c r="V10" s="125"/>
      <c r="W10" s="126"/>
      <c r="X10" s="125"/>
      <c r="Y10" s="126"/>
      <c r="Z10" s="125"/>
      <c r="AA10" s="126"/>
      <c r="AB10" s="125"/>
      <c r="AC10" s="126"/>
      <c r="AD10" s="127"/>
      <c r="AE10" s="128"/>
      <c r="AF10" s="127"/>
      <c r="AG10" s="125"/>
      <c r="AH10" s="126"/>
      <c r="AI10" s="127"/>
      <c r="AJ10" s="128"/>
      <c r="AK10" s="127"/>
      <c r="AL10" s="128"/>
    </row>
    <row r="11" spans="1:38" ht="16.5" customHeight="1" x14ac:dyDescent="0.25">
      <c r="A11" s="1" t="s">
        <v>17</v>
      </c>
      <c r="B11" s="111"/>
      <c r="C11" s="112"/>
      <c r="D11" s="111"/>
      <c r="E11" s="112"/>
      <c r="F11" s="111"/>
      <c r="G11" s="112"/>
      <c r="H11" s="111"/>
      <c r="I11" s="112"/>
      <c r="J11" s="111"/>
      <c r="K11" s="112"/>
      <c r="L11" s="111"/>
      <c r="M11" s="112"/>
      <c r="N11" s="111"/>
      <c r="O11" s="112"/>
      <c r="P11" s="111"/>
      <c r="Q11" s="112"/>
      <c r="R11" s="111"/>
      <c r="S11" s="112"/>
      <c r="T11" s="111"/>
      <c r="U11" s="112"/>
      <c r="V11" s="111"/>
      <c r="W11" s="112"/>
      <c r="X11" s="111"/>
      <c r="Y11" s="112"/>
      <c r="Z11" s="111"/>
      <c r="AA11" s="112"/>
      <c r="AB11" s="111"/>
      <c r="AC11" s="112"/>
      <c r="AD11" s="113"/>
      <c r="AE11" s="114"/>
      <c r="AF11" s="113"/>
      <c r="AG11" s="111"/>
      <c r="AH11" s="112"/>
      <c r="AI11" s="113"/>
      <c r="AJ11" s="114"/>
      <c r="AK11" s="113"/>
      <c r="AL11" s="114"/>
    </row>
    <row r="12" spans="1:38" ht="16.5" customHeight="1" x14ac:dyDescent="0.25">
      <c r="A12" s="4" t="s">
        <v>18</v>
      </c>
      <c r="B12" s="111"/>
      <c r="C12" s="112"/>
      <c r="D12" s="111"/>
      <c r="E12" s="112"/>
      <c r="F12" s="111"/>
      <c r="G12" s="112"/>
      <c r="H12" s="111"/>
      <c r="I12" s="112"/>
      <c r="J12" s="111"/>
      <c r="K12" s="112"/>
      <c r="L12" s="111"/>
      <c r="M12" s="112"/>
      <c r="N12" s="111"/>
      <c r="O12" s="112"/>
      <c r="P12" s="111"/>
      <c r="Q12" s="112"/>
      <c r="R12" s="111"/>
      <c r="S12" s="112"/>
      <c r="T12" s="111"/>
      <c r="U12" s="112"/>
      <c r="V12" s="111"/>
      <c r="W12" s="112"/>
      <c r="X12" s="111"/>
      <c r="Y12" s="112"/>
      <c r="Z12" s="111"/>
      <c r="AA12" s="112"/>
      <c r="AB12" s="111"/>
      <c r="AC12" s="112"/>
      <c r="AD12" s="113"/>
      <c r="AE12" s="114"/>
      <c r="AF12" s="113"/>
      <c r="AG12" s="111"/>
      <c r="AH12" s="112"/>
      <c r="AI12" s="113"/>
      <c r="AJ12" s="114"/>
      <c r="AK12" s="113"/>
      <c r="AL12" s="114"/>
    </row>
    <row r="13" spans="1:38" ht="16.5" hidden="1" customHeight="1" x14ac:dyDescent="0.25">
      <c r="A13" s="5" t="s">
        <v>19</v>
      </c>
      <c r="B13" s="115">
        <v>0</v>
      </c>
      <c r="C13" s="116">
        <f>IFERROR(B13/B148, "NA")</f>
        <v>0</v>
      </c>
      <c r="D13" s="115">
        <v>0</v>
      </c>
      <c r="E13" s="116">
        <f>IFERROR(D13/D148, "NA")</f>
        <v>0</v>
      </c>
      <c r="F13" s="115">
        <v>0</v>
      </c>
      <c r="G13" s="116">
        <f>IFERROR(F13/F148, "NA")</f>
        <v>0</v>
      </c>
      <c r="H13" s="115">
        <v>0</v>
      </c>
      <c r="I13" s="116">
        <f>IFERROR(H13/H148, "NA")</f>
        <v>0</v>
      </c>
      <c r="J13" s="115">
        <v>0</v>
      </c>
      <c r="K13" s="116">
        <f>IFERROR(J13/J148, "NA")</f>
        <v>0</v>
      </c>
      <c r="L13" s="115">
        <v>0</v>
      </c>
      <c r="M13" s="116">
        <f>IFERROR(L13/L148, "NA")</f>
        <v>0</v>
      </c>
      <c r="N13" s="115">
        <v>0</v>
      </c>
      <c r="O13" s="116">
        <f>IFERROR(N13/N148, "NA")</f>
        <v>0</v>
      </c>
      <c r="P13" s="115">
        <v>0</v>
      </c>
      <c r="Q13" s="116">
        <f>IFERROR(P13/P148, "NA")</f>
        <v>0</v>
      </c>
      <c r="R13" s="115">
        <v>0</v>
      </c>
      <c r="S13" s="116">
        <f>IFERROR(R13/R148, "NA")</f>
        <v>0</v>
      </c>
      <c r="T13" s="115">
        <v>0</v>
      </c>
      <c r="U13" s="116">
        <f>IFERROR(T13/T148, "NA")</f>
        <v>0</v>
      </c>
      <c r="V13" s="115">
        <v>0</v>
      </c>
      <c r="W13" s="116">
        <f>IFERROR(V13/V148, "NA")</f>
        <v>0</v>
      </c>
      <c r="X13" s="115">
        <v>0</v>
      </c>
      <c r="Y13" s="116">
        <f>IFERROR(X13/X148, "NA")</f>
        <v>0</v>
      </c>
      <c r="Z13" s="115">
        <v>0</v>
      </c>
      <c r="AA13" s="116">
        <f>IFERROR(Z13/Z148, "NA")</f>
        <v>0</v>
      </c>
      <c r="AB13" s="117">
        <f>IFERROR((R13+T13+V13+X13)/4, "NA")</f>
        <v>0</v>
      </c>
      <c r="AC13" s="116">
        <f>IFERROR(AB13/AB148, "NA")</f>
        <v>0</v>
      </c>
      <c r="AD13" s="118">
        <f>IFERROR(X13-AB13, "NA")</f>
        <v>0</v>
      </c>
      <c r="AE13" s="119">
        <f>IFERROR(AD13/AD148, "NA")</f>
        <v>0</v>
      </c>
      <c r="AF13" s="118" t="str">
        <f>IFERROR((X13-AB13)/AB13, "NA")</f>
        <v>NA</v>
      </c>
      <c r="AG13" s="117">
        <f>IFERROR((J13+L13+N13+P13+R13+T13+V13+X13)/8, "NA")</f>
        <v>0</v>
      </c>
      <c r="AH13" s="116">
        <f>IFERROR(AG13/AG148, "NA")</f>
        <v>0</v>
      </c>
      <c r="AI13" s="118">
        <f>IFERROR(X13-AG13, "NA")</f>
        <v>0</v>
      </c>
      <c r="AJ13" s="119">
        <f>IFERROR(AI13/AI148, "NA")</f>
        <v>0</v>
      </c>
      <c r="AK13" s="118" t="str">
        <f>IFERROR((X13-AG13)/AG13, "NA")</f>
        <v>NA</v>
      </c>
      <c r="AL13" s="119" t="str">
        <f>IFERROR(AK13/AK148, "NA")</f>
        <v>NA</v>
      </c>
    </row>
    <row r="14" spans="1:38" ht="16.5" customHeight="1" x14ac:dyDescent="0.25">
      <c r="A14" s="6" t="s">
        <v>20</v>
      </c>
      <c r="B14" s="111"/>
      <c r="C14" s="112"/>
      <c r="D14" s="111"/>
      <c r="E14" s="112"/>
      <c r="F14" s="111"/>
      <c r="G14" s="112"/>
      <c r="H14" s="111"/>
      <c r="I14" s="112"/>
      <c r="J14" s="111"/>
      <c r="K14" s="112"/>
      <c r="L14" s="111"/>
      <c r="M14" s="112"/>
      <c r="N14" s="111"/>
      <c r="O14" s="112"/>
      <c r="P14" s="111"/>
      <c r="Q14" s="112"/>
      <c r="R14" s="111"/>
      <c r="S14" s="112"/>
      <c r="T14" s="111"/>
      <c r="U14" s="112"/>
      <c r="V14" s="111"/>
      <c r="W14" s="112"/>
      <c r="X14" s="111"/>
      <c r="Y14" s="112"/>
      <c r="Z14" s="111"/>
      <c r="AA14" s="112"/>
      <c r="AB14" s="111"/>
      <c r="AC14" s="112"/>
      <c r="AD14" s="113"/>
      <c r="AE14" s="114"/>
      <c r="AF14" s="113"/>
      <c r="AG14" s="111"/>
      <c r="AH14" s="112"/>
      <c r="AI14" s="113"/>
      <c r="AJ14" s="114"/>
      <c r="AK14" s="113"/>
      <c r="AL14" s="114"/>
    </row>
    <row r="15" spans="1:38" ht="16.5" hidden="1" customHeight="1" x14ac:dyDescent="0.25">
      <c r="A15" s="7" t="s">
        <v>21</v>
      </c>
      <c r="B15" s="115">
        <v>0</v>
      </c>
      <c r="C15" s="116">
        <f>IFERROR(B15/B148, "NA")</f>
        <v>0</v>
      </c>
      <c r="D15" s="115">
        <v>0</v>
      </c>
      <c r="E15" s="116">
        <f>IFERROR(D15/D148, "NA")</f>
        <v>0</v>
      </c>
      <c r="F15" s="115">
        <v>0</v>
      </c>
      <c r="G15" s="116">
        <f>IFERROR(F15/F148, "NA")</f>
        <v>0</v>
      </c>
      <c r="H15" s="115">
        <v>0</v>
      </c>
      <c r="I15" s="116">
        <f>IFERROR(H15/H148, "NA")</f>
        <v>0</v>
      </c>
      <c r="J15" s="115">
        <v>0</v>
      </c>
      <c r="K15" s="116">
        <f>IFERROR(J15/J148, "NA")</f>
        <v>0</v>
      </c>
      <c r="L15" s="115">
        <v>0</v>
      </c>
      <c r="M15" s="116">
        <f>IFERROR(L15/L148, "NA")</f>
        <v>0</v>
      </c>
      <c r="N15" s="115">
        <v>0</v>
      </c>
      <c r="O15" s="116">
        <f>IFERROR(N15/N148, "NA")</f>
        <v>0</v>
      </c>
      <c r="P15" s="115">
        <v>0</v>
      </c>
      <c r="Q15" s="116">
        <f>IFERROR(P15/P148, "NA")</f>
        <v>0</v>
      </c>
      <c r="R15" s="115">
        <v>0</v>
      </c>
      <c r="S15" s="116">
        <f>IFERROR(R15/R148, "NA")</f>
        <v>0</v>
      </c>
      <c r="T15" s="115">
        <v>0</v>
      </c>
      <c r="U15" s="116">
        <f>IFERROR(T15/T148, "NA")</f>
        <v>0</v>
      </c>
      <c r="V15" s="115">
        <v>0</v>
      </c>
      <c r="W15" s="116">
        <f>IFERROR(V15/V148, "NA")</f>
        <v>0</v>
      </c>
      <c r="X15" s="115">
        <v>0</v>
      </c>
      <c r="Y15" s="116">
        <f>IFERROR(X15/X148, "NA")</f>
        <v>0</v>
      </c>
      <c r="Z15" s="115">
        <v>0</v>
      </c>
      <c r="AA15" s="116">
        <f>IFERROR(Z15/Z148, "NA")</f>
        <v>0</v>
      </c>
      <c r="AB15" s="117">
        <f t="shared" ref="AB15:AB27" si="0">IFERROR((R15+T15+V15+X15)/4, "NA")</f>
        <v>0</v>
      </c>
      <c r="AC15" s="116">
        <f>IFERROR(AB15/AB148, "NA")</f>
        <v>0</v>
      </c>
      <c r="AD15" s="118">
        <f t="shared" ref="AD15:AD27" si="1">IFERROR(X15-AB15, "NA")</f>
        <v>0</v>
      </c>
      <c r="AE15" s="119">
        <f>IFERROR(AD15/AD148, "NA")</f>
        <v>0</v>
      </c>
      <c r="AF15" s="118" t="str">
        <f t="shared" ref="AF15:AF27" si="2">IFERROR((X15-AB15)/AB15, "NA")</f>
        <v>NA</v>
      </c>
      <c r="AG15" s="117">
        <f t="shared" ref="AG15:AG27" si="3">IFERROR((J15+L15+N15+P15+R15+T15+V15+X15)/8, "NA")</f>
        <v>0</v>
      </c>
      <c r="AH15" s="116">
        <f>IFERROR(AG15/AG148, "NA")</f>
        <v>0</v>
      </c>
      <c r="AI15" s="118">
        <f t="shared" ref="AI15:AI27" si="4">IFERROR(X15-AG15, "NA")</f>
        <v>0</v>
      </c>
      <c r="AJ15" s="119">
        <f>IFERROR(AI15/AI148, "NA")</f>
        <v>0</v>
      </c>
      <c r="AK15" s="118" t="str">
        <f t="shared" ref="AK15:AK27" si="5">IFERROR((X15-AG15)/AG15, "NA")</f>
        <v>NA</v>
      </c>
      <c r="AL15" s="119" t="str">
        <f>IFERROR(AK15/AK148, "NA")</f>
        <v>NA</v>
      </c>
    </row>
    <row r="16" spans="1:38" ht="16.5" customHeight="1" x14ac:dyDescent="0.25">
      <c r="A16" s="7" t="s">
        <v>22</v>
      </c>
      <c r="B16" s="115">
        <v>1128.83</v>
      </c>
      <c r="C16" s="116">
        <f>IFERROR(B16/B148, "NA")</f>
        <v>4.228304389371236E-2</v>
      </c>
      <c r="D16" s="115">
        <v>1390.83</v>
      </c>
      <c r="E16" s="116">
        <f>IFERROR(D16/D148, "NA")</f>
        <v>6.0862320131174111E-2</v>
      </c>
      <c r="F16" s="115">
        <v>937.83</v>
      </c>
      <c r="G16" s="116">
        <f>IFERROR(F16/F148, "NA")</f>
        <v>3.4785424416450335E-2</v>
      </c>
      <c r="H16" s="115">
        <v>1158.81</v>
      </c>
      <c r="I16" s="116">
        <f>IFERROR(H16/H148, "NA")</f>
        <v>4.8180383003298334E-2</v>
      </c>
      <c r="J16" s="115">
        <v>1233.2</v>
      </c>
      <c r="K16" s="116">
        <f>IFERROR(J16/J148, "NA")</f>
        <v>4.9130025648646214E-2</v>
      </c>
      <c r="L16" s="115">
        <v>620.80999999999995</v>
      </c>
      <c r="M16" s="116">
        <f>IFERROR(L16/L148, "NA")</f>
        <v>2.7467111230274923E-2</v>
      </c>
      <c r="N16" s="115">
        <v>1466.34</v>
      </c>
      <c r="O16" s="116">
        <f>IFERROR(N16/N148, "NA")</f>
        <v>5.2509203989630937E-2</v>
      </c>
      <c r="P16" s="115">
        <v>982.39</v>
      </c>
      <c r="Q16" s="116">
        <f>IFERROR(P16/P148, "NA")</f>
        <v>3.5526263448151164E-2</v>
      </c>
      <c r="R16" s="115">
        <v>1042.76</v>
      </c>
      <c r="S16" s="116">
        <f>IFERROR(R16/R148, "NA")</f>
        <v>4.4499884137111673E-2</v>
      </c>
      <c r="T16" s="115">
        <v>1512</v>
      </c>
      <c r="U16" s="116">
        <f>IFERROR(T16/T148, "NA")</f>
        <v>4.8029717434692136E-2</v>
      </c>
      <c r="V16" s="115">
        <v>1495.59</v>
      </c>
      <c r="W16" s="116">
        <f>IFERROR(V16/V148, "NA")</f>
        <v>4.5516090362034287E-2</v>
      </c>
      <c r="X16" s="115">
        <v>1359.23</v>
      </c>
      <c r="Y16" s="116">
        <f>IFERROR(X16/X148, "NA")</f>
        <v>3.909798183272635E-2</v>
      </c>
      <c r="Z16" s="115">
        <v>2854.82</v>
      </c>
      <c r="AA16" s="116">
        <f>IFERROR(Z16/Z148, "NA")</f>
        <v>4.2216576559523954E-2</v>
      </c>
      <c r="AB16" s="117">
        <f t="shared" si="0"/>
        <v>1352.395</v>
      </c>
      <c r="AC16" s="116">
        <f>IFERROR(AB16/AB148, "NA")</f>
        <v>4.4146654003237244E-2</v>
      </c>
      <c r="AD16" s="118">
        <f t="shared" si="1"/>
        <v>6.8350000000000364</v>
      </c>
      <c r="AE16" s="119">
        <f>IFERROR(AD16/AD148, "NA")</f>
        <v>1.6547373059133635E-3</v>
      </c>
      <c r="AF16" s="118">
        <f t="shared" si="2"/>
        <v>5.0539967982727212E-3</v>
      </c>
      <c r="AG16" s="117">
        <f t="shared" si="3"/>
        <v>1214.04</v>
      </c>
      <c r="AH16" s="116">
        <f>IFERROR(AG16/AG148, "NA")</f>
        <v>4.3009665120651817E-2</v>
      </c>
      <c r="AI16" s="118">
        <f t="shared" si="4"/>
        <v>145.19000000000005</v>
      </c>
      <c r="AJ16" s="119">
        <f>IFERROR(AI16/AI148, "NA")</f>
        <v>2.2208570352919951E-2</v>
      </c>
      <c r="AK16" s="118">
        <f t="shared" si="5"/>
        <v>0.11959243517511783</v>
      </c>
      <c r="AL16" s="119">
        <f>IFERROR(AK16/AK148, "NA")</f>
        <v>0.51636231741446714</v>
      </c>
    </row>
    <row r="17" spans="1:38" ht="16.5" customHeight="1" x14ac:dyDescent="0.25">
      <c r="A17" s="7" t="s">
        <v>23</v>
      </c>
      <c r="B17" s="115">
        <v>574.75</v>
      </c>
      <c r="C17" s="116">
        <f>IFERROR(B17/B148, "NA")</f>
        <v>2.1528644240418112E-2</v>
      </c>
      <c r="D17" s="115">
        <v>707.48</v>
      </c>
      <c r="E17" s="116">
        <f>IFERROR(D17/D148, "NA")</f>
        <v>3.0959120989914702E-2</v>
      </c>
      <c r="F17" s="115">
        <v>701.24</v>
      </c>
      <c r="G17" s="116">
        <f>IFERROR(F17/F148, "NA")</f>
        <v>2.6009970909217695E-2</v>
      </c>
      <c r="H17" s="115">
        <v>666.89</v>
      </c>
      <c r="I17" s="116">
        <f>IFERROR(H17/H148, "NA")</f>
        <v>2.7727596086562618E-2</v>
      </c>
      <c r="J17" s="115">
        <v>785.74</v>
      </c>
      <c r="K17" s="116">
        <f>IFERROR(J17/J148, "NA")</f>
        <v>3.1303459579279332E-2</v>
      </c>
      <c r="L17" s="115">
        <v>625.59</v>
      </c>
      <c r="M17" s="116">
        <f>IFERROR(L17/L148, "NA")</f>
        <v>2.767859750092249E-2</v>
      </c>
      <c r="N17" s="115">
        <v>794.19</v>
      </c>
      <c r="O17" s="116">
        <f>IFERROR(N17/N148, "NA")</f>
        <v>2.8439710242184623E-2</v>
      </c>
      <c r="P17" s="115">
        <v>747.69</v>
      </c>
      <c r="Q17" s="116">
        <f>IFERROR(P17/P148, "NA")</f>
        <v>2.7038784919989154E-2</v>
      </c>
      <c r="R17" s="115">
        <v>766.17</v>
      </c>
      <c r="S17" s="116">
        <f>IFERROR(R17/R148, "NA")</f>
        <v>3.2696379060695509E-2</v>
      </c>
      <c r="T17" s="115">
        <v>1112.42</v>
      </c>
      <c r="U17" s="116">
        <f>IFERROR(T17/T148, "NA")</f>
        <v>3.5336784569246181E-2</v>
      </c>
      <c r="V17" s="115">
        <v>891.07</v>
      </c>
      <c r="W17" s="116">
        <f>IFERROR(V17/V148, "NA")</f>
        <v>2.7118409884325182E-2</v>
      </c>
      <c r="X17" s="115">
        <v>724.66</v>
      </c>
      <c r="Y17" s="116">
        <f>IFERROR(X17/X148, "NA")</f>
        <v>2.0844701422793401E-2</v>
      </c>
      <c r="Z17" s="115">
        <v>1615.73</v>
      </c>
      <c r="AA17" s="116">
        <f>IFERROR(Z17/Z148, "NA")</f>
        <v>2.3893131351370538E-2</v>
      </c>
      <c r="AB17" s="117">
        <f t="shared" si="0"/>
        <v>873.58</v>
      </c>
      <c r="AC17" s="116">
        <f>IFERROR(AB17/AB148, "NA")</f>
        <v>2.8516545834721359E-2</v>
      </c>
      <c r="AD17" s="118">
        <f t="shared" si="1"/>
        <v>-148.92000000000007</v>
      </c>
      <c r="AE17" s="119">
        <f>IFERROR(AD17/AD148, "NA")</f>
        <v>-3.6053179165562096E-2</v>
      </c>
      <c r="AF17" s="118">
        <f t="shared" si="2"/>
        <v>-0.17047093568991972</v>
      </c>
      <c r="AG17" s="117">
        <f t="shared" si="3"/>
        <v>805.94124999999997</v>
      </c>
      <c r="AH17" s="116">
        <f>IFERROR(AG17/AG148, "NA")</f>
        <v>2.8551994390151502E-2</v>
      </c>
      <c r="AI17" s="118">
        <f t="shared" si="4"/>
        <v>-81.28125</v>
      </c>
      <c r="AJ17" s="119">
        <f>IFERROR(AI17/AI148, "NA")</f>
        <v>-1.2432952400291164E-2</v>
      </c>
      <c r="AK17" s="118">
        <f t="shared" si="5"/>
        <v>-0.10085257455180512</v>
      </c>
      <c r="AL17" s="119">
        <f>IFERROR(AK17/AK148, "NA")</f>
        <v>-0.43544952518552221</v>
      </c>
    </row>
    <row r="18" spans="1:38" ht="16.5" customHeight="1" x14ac:dyDescent="0.25">
      <c r="A18" s="7" t="s">
        <v>24</v>
      </c>
      <c r="B18" s="115">
        <v>864.7</v>
      </c>
      <c r="C18" s="116">
        <f>IFERROR(B18/B148, "NA")</f>
        <v>3.2389419181712994E-2</v>
      </c>
      <c r="D18" s="115">
        <v>1060.17</v>
      </c>
      <c r="E18" s="116">
        <f>IFERROR(D18/D148, "NA")</f>
        <v>4.6392733787354937E-2</v>
      </c>
      <c r="F18" s="115">
        <v>705.55</v>
      </c>
      <c r="G18" s="116">
        <f>IFERROR(F18/F148, "NA")</f>
        <v>2.6169834828302069E-2</v>
      </c>
      <c r="H18" s="115">
        <v>825.11</v>
      </c>
      <c r="I18" s="116">
        <f>IFERROR(H18/H148, "NA")</f>
        <v>3.4305982706268924E-2</v>
      </c>
      <c r="J18" s="115">
        <v>822.02</v>
      </c>
      <c r="K18" s="116">
        <f>IFERROR(J18/J148, "NA")</f>
        <v>3.2748835293302109E-2</v>
      </c>
      <c r="L18" s="115">
        <v>658.77</v>
      </c>
      <c r="M18" s="116">
        <f>IFERROR(L18/L148, "NA")</f>
        <v>2.9146613078346373E-2</v>
      </c>
      <c r="N18" s="115">
        <v>907.63</v>
      </c>
      <c r="O18" s="116">
        <f>IFERROR(N18/N148, "NA")</f>
        <v>3.2501963267119995E-2</v>
      </c>
      <c r="P18" s="115">
        <v>1039.69</v>
      </c>
      <c r="Q18" s="116">
        <f>IFERROR(P18/P148, "NA")</f>
        <v>3.7598408823795317E-2</v>
      </c>
      <c r="R18" s="115">
        <v>669.6</v>
      </c>
      <c r="S18" s="116">
        <f>IFERROR(R18/R148, "NA")</f>
        <v>2.8575244944387949E-2</v>
      </c>
      <c r="T18" s="115">
        <v>1149.94</v>
      </c>
      <c r="U18" s="116">
        <f>IFERROR(T18/T148, "NA")</f>
        <v>3.6528633112995951E-2</v>
      </c>
      <c r="V18" s="115">
        <v>1017.36</v>
      </c>
      <c r="W18" s="116">
        <f>IFERROR(V18/V148, "NA")</f>
        <v>3.0961860998481673E-2</v>
      </c>
      <c r="X18" s="115">
        <v>1678</v>
      </c>
      <c r="Y18" s="116">
        <f>IFERROR(X18/X148, "NA")</f>
        <v>4.8267337768674042E-2</v>
      </c>
      <c r="Z18" s="115">
        <v>2695.36</v>
      </c>
      <c r="AA18" s="116">
        <f>IFERROR(Z18/Z148, "NA")</f>
        <v>3.9858510097126432E-2</v>
      </c>
      <c r="AB18" s="117">
        <f t="shared" si="0"/>
        <v>1128.7249999999999</v>
      </c>
      <c r="AC18" s="116">
        <f>IFERROR(AB18/AB148, "NA")</f>
        <v>3.6845324065679003E-2</v>
      </c>
      <c r="AD18" s="118">
        <f t="shared" si="1"/>
        <v>549.27500000000009</v>
      </c>
      <c r="AE18" s="119">
        <f>IFERROR(AD18/AD148, "NA")</f>
        <v>0.13297817610907944</v>
      </c>
      <c r="AF18" s="118">
        <f t="shared" si="2"/>
        <v>0.48663314802099727</v>
      </c>
      <c r="AG18" s="117">
        <f t="shared" si="3"/>
        <v>992.87624999999991</v>
      </c>
      <c r="AH18" s="116">
        <f>IFERROR(AG18/AG148, "NA")</f>
        <v>3.5174520624319278E-2</v>
      </c>
      <c r="AI18" s="118">
        <f t="shared" si="4"/>
        <v>685.12375000000009</v>
      </c>
      <c r="AJ18" s="119">
        <f>IFERROR(AI18/AI148, "NA")</f>
        <v>0.10479798197073721</v>
      </c>
      <c r="AK18" s="118">
        <f t="shared" si="5"/>
        <v>0.69003941830615867</v>
      </c>
      <c r="AL18" s="119">
        <f>IFERROR(AK18/AK148, "NA")</f>
        <v>2.9793720031050275</v>
      </c>
    </row>
    <row r="19" spans="1:38" ht="16.5" customHeight="1" x14ac:dyDescent="0.25">
      <c r="A19" s="7" t="s">
        <v>25</v>
      </c>
      <c r="B19" s="115">
        <v>481.56</v>
      </c>
      <c r="C19" s="116">
        <f>IFERROR(B19/B148, "NA")</f>
        <v>1.80379885522675E-2</v>
      </c>
      <c r="D19" s="115">
        <v>496.13</v>
      </c>
      <c r="E19" s="116">
        <f>IFERROR(D19/D148, "NA")</f>
        <v>2.1710505875397721E-2</v>
      </c>
      <c r="F19" s="115">
        <v>487.62</v>
      </c>
      <c r="G19" s="116">
        <f>IFERROR(F19/F148, "NA")</f>
        <v>1.8086506780492746E-2</v>
      </c>
      <c r="H19" s="115">
        <v>547.07000000000005</v>
      </c>
      <c r="I19" s="116">
        <f>IFERROR(H19/H148, "NA")</f>
        <v>2.274578414892383E-2</v>
      </c>
      <c r="J19" s="115">
        <v>522.16999999999996</v>
      </c>
      <c r="K19" s="116">
        <f>IFERROR(J19/J148, "NA")</f>
        <v>2.0802972342648062E-2</v>
      </c>
      <c r="L19" s="115">
        <v>634.34</v>
      </c>
      <c r="M19" s="116">
        <f>IFERROR(L19/L148, "NA")</f>
        <v>2.8065732410580687E-2</v>
      </c>
      <c r="N19" s="115">
        <v>536.92999999999995</v>
      </c>
      <c r="O19" s="116">
        <f>IFERROR(N19/N148, "NA")</f>
        <v>1.9227305330382135E-2</v>
      </c>
      <c r="P19" s="115">
        <v>559.58000000000004</v>
      </c>
      <c r="Q19" s="116">
        <f>IFERROR(P19/P148, "NA")</f>
        <v>2.0236145014013201E-2</v>
      </c>
      <c r="R19" s="115">
        <v>510.75</v>
      </c>
      <c r="S19" s="116">
        <f>IFERROR(R19/R148, "NA")</f>
        <v>2.1796305787553979E-2</v>
      </c>
      <c r="T19" s="115">
        <v>754.37</v>
      </c>
      <c r="U19" s="116">
        <f>IFERROR(T19/T148, "NA")</f>
        <v>2.3963080648947557E-2</v>
      </c>
      <c r="V19" s="115">
        <v>692.16</v>
      </c>
      <c r="W19" s="116">
        <f>IFERROR(V19/V148, "NA")</f>
        <v>2.1064875470540492E-2</v>
      </c>
      <c r="X19" s="115">
        <v>569.54</v>
      </c>
      <c r="Y19" s="116">
        <f>IFERROR(X19/X148, "NA")</f>
        <v>1.6382705335381772E-2</v>
      </c>
      <c r="Z19" s="115">
        <v>1261.7</v>
      </c>
      <c r="AA19" s="116">
        <f>IFERROR(Z19/Z148, "NA")</f>
        <v>1.8657797915508288E-2</v>
      </c>
      <c r="AB19" s="117">
        <f t="shared" si="0"/>
        <v>631.70499999999993</v>
      </c>
      <c r="AC19" s="116">
        <f>IFERROR(AB19/AB148, "NA")</f>
        <v>2.0620944374324792E-2</v>
      </c>
      <c r="AD19" s="118">
        <f t="shared" si="1"/>
        <v>-62.164999999999964</v>
      </c>
      <c r="AE19" s="119">
        <f>IFERROR(AD19/AD148, "NA")</f>
        <v>-1.5049999213182683E-2</v>
      </c>
      <c r="AF19" s="118">
        <f t="shared" si="2"/>
        <v>-9.8408276014911977E-2</v>
      </c>
      <c r="AG19" s="117">
        <f t="shared" si="3"/>
        <v>597.48</v>
      </c>
      <c r="AH19" s="116">
        <f>IFERROR(AG19/AG148, "NA")</f>
        <v>2.1166860001554356E-2</v>
      </c>
      <c r="AI19" s="118">
        <f t="shared" si="4"/>
        <v>-27.940000000000055</v>
      </c>
      <c r="AJ19" s="119">
        <f>IFERROR(AI19/AI148, "NA")</f>
        <v>-4.2737616616887143E-3</v>
      </c>
      <c r="AK19" s="118">
        <f t="shared" si="5"/>
        <v>-4.6763071567249202E-2</v>
      </c>
      <c r="AL19" s="119">
        <f>IFERROR(AK19/AK148, "NA")</f>
        <v>-0.2019081555495183</v>
      </c>
    </row>
    <row r="20" spans="1:38" ht="16.5" customHeight="1" x14ac:dyDescent="0.25">
      <c r="A20" s="7" t="s">
        <v>26</v>
      </c>
      <c r="B20" s="115">
        <v>374.18</v>
      </c>
      <c r="C20" s="116">
        <f>IFERROR(B20/B148, "NA")</f>
        <v>1.4015812269473075E-2</v>
      </c>
      <c r="D20" s="115">
        <v>255.21</v>
      </c>
      <c r="E20" s="116">
        <f>IFERROR(D20/D148, "NA")</f>
        <v>1.1167916079374866E-2</v>
      </c>
      <c r="F20" s="115">
        <v>360.39</v>
      </c>
      <c r="G20" s="116">
        <f>IFERROR(F20/F148, "NA")</f>
        <v>1.3367368398797793E-2</v>
      </c>
      <c r="H20" s="115">
        <v>336.44</v>
      </c>
      <c r="I20" s="116">
        <f>IFERROR(H20/H148, "NA")</f>
        <v>1.398832255298944E-2</v>
      </c>
      <c r="J20" s="115">
        <v>357.1</v>
      </c>
      <c r="K20" s="116">
        <f>IFERROR(J20/J148, "NA")</f>
        <v>1.4226672201696046E-2</v>
      </c>
      <c r="L20" s="115">
        <v>341.56</v>
      </c>
      <c r="M20" s="116">
        <f>IFERROR(L20/L148, "NA")</f>
        <v>1.5111977113469021E-2</v>
      </c>
      <c r="N20" s="115">
        <v>395.96</v>
      </c>
      <c r="O20" s="116">
        <f>IFERROR(N20/N148, "NA")</f>
        <v>1.4179211105019482E-2</v>
      </c>
      <c r="P20" s="115">
        <v>424.62</v>
      </c>
      <c r="Q20" s="116">
        <f>IFERROR(P20/P148, "NA")</f>
        <v>1.5355573637103336E-2</v>
      </c>
      <c r="R20" s="115">
        <v>376.43</v>
      </c>
      <c r="S20" s="116">
        <f>IFERROR(R20/R148, "NA")</f>
        <v>1.6064186759880458E-2</v>
      </c>
      <c r="T20" s="115">
        <v>333.62</v>
      </c>
      <c r="U20" s="116">
        <f>IFERROR(T20/T148, "NA")</f>
        <v>1.0597668208043644E-2</v>
      </c>
      <c r="V20" s="115">
        <v>511.69</v>
      </c>
      <c r="W20" s="116">
        <f>IFERROR(V20/V148, "NA")</f>
        <v>1.5572535439090476E-2</v>
      </c>
      <c r="X20" s="115">
        <v>388.52</v>
      </c>
      <c r="Y20" s="116">
        <f>IFERROR(X20/X148, "NA")</f>
        <v>1.1175700875974515E-2</v>
      </c>
      <c r="Z20" s="115">
        <v>900.21</v>
      </c>
      <c r="AA20" s="116">
        <f>IFERROR(Z20/Z148, "NA")</f>
        <v>1.3312147310390519E-2</v>
      </c>
      <c r="AB20" s="117">
        <f t="shared" si="0"/>
        <v>402.565</v>
      </c>
      <c r="AC20" s="116">
        <f>IFERROR(AB20/AB148, "NA")</f>
        <v>1.3141055511750044E-2</v>
      </c>
      <c r="AD20" s="118">
        <f t="shared" si="1"/>
        <v>-14.045000000000016</v>
      </c>
      <c r="AE20" s="119">
        <f>IFERROR(AD20/AD148, "NA")</f>
        <v>-3.4002612233435398E-3</v>
      </c>
      <c r="AF20" s="118">
        <f t="shared" si="2"/>
        <v>-3.4888775725659252E-2</v>
      </c>
      <c r="AG20" s="117">
        <f t="shared" si="3"/>
        <v>391.18750000000006</v>
      </c>
      <c r="AH20" s="116">
        <f>IFERROR(AG20/AG148, "NA")</f>
        <v>1.3858557687049015E-2</v>
      </c>
      <c r="AI20" s="118">
        <f t="shared" si="4"/>
        <v>-2.667500000000075</v>
      </c>
      <c r="AJ20" s="119">
        <f>IFERROR(AI20/AI148, "NA")</f>
        <v>-4.080264578580867E-4</v>
      </c>
      <c r="AK20" s="118">
        <f t="shared" si="5"/>
        <v>-6.8189806678385038E-3</v>
      </c>
      <c r="AL20" s="119">
        <f>IFERROR(AK20/AK148, "NA")</f>
        <v>-2.9442202217002153E-2</v>
      </c>
    </row>
    <row r="21" spans="1:38" ht="16.5" customHeight="1" x14ac:dyDescent="0.25">
      <c r="A21" s="7" t="s">
        <v>27</v>
      </c>
      <c r="B21" s="115">
        <v>82.32</v>
      </c>
      <c r="C21" s="116">
        <f>IFERROR(B21/B148, "NA")</f>
        <v>3.0834936822465749E-3</v>
      </c>
      <c r="D21" s="115">
        <v>163.47999999999999</v>
      </c>
      <c r="E21" s="116">
        <f>IFERROR(D21/D148, "NA")</f>
        <v>7.1538377048556206E-3</v>
      </c>
      <c r="F21" s="115">
        <v>165.2</v>
      </c>
      <c r="G21" s="116">
        <f>IFERROR(F21/F148, "NA")</f>
        <v>6.1274987082921154E-3</v>
      </c>
      <c r="H21" s="115">
        <v>108.73</v>
      </c>
      <c r="I21" s="116">
        <f>IFERROR(H21/H148, "NA")</f>
        <v>4.5207178432604385E-3</v>
      </c>
      <c r="J21" s="115">
        <v>149.22999999999999</v>
      </c>
      <c r="K21" s="116">
        <f>IFERROR(J21/J148, "NA")</f>
        <v>5.9452430486113149E-3</v>
      </c>
      <c r="L21" s="115">
        <v>147.18</v>
      </c>
      <c r="M21" s="116">
        <f>IFERROR(L21/L148, "NA")</f>
        <v>6.5118304003992586E-3</v>
      </c>
      <c r="N21" s="115">
        <v>84.57</v>
      </c>
      <c r="O21" s="116">
        <f>IFERROR(N21/N148, "NA")</f>
        <v>3.0284268187480996E-3</v>
      </c>
      <c r="P21" s="115">
        <v>220.59</v>
      </c>
      <c r="Q21" s="116">
        <f>IFERROR(P21/P148, "NA")</f>
        <v>7.9772172497965827E-3</v>
      </c>
      <c r="R21" s="115">
        <v>186.45</v>
      </c>
      <c r="S21" s="116">
        <f>IFERROR(R21/R148, "NA")</f>
        <v>7.9567718337531842E-3</v>
      </c>
      <c r="T21" s="115">
        <v>166.98</v>
      </c>
      <c r="U21" s="116">
        <f>IFERROR(T21/T148, "NA")</f>
        <v>5.3042342706646111E-3</v>
      </c>
      <c r="V21" s="115">
        <v>68.06</v>
      </c>
      <c r="W21" s="116">
        <f>IFERROR(V21/V148, "NA")</f>
        <v>2.0713063807862139E-3</v>
      </c>
      <c r="X21" s="115">
        <v>330.28</v>
      </c>
      <c r="Y21" s="116">
        <f>IFERROR(X21/X148, "NA")</f>
        <v>9.5004388070546245E-3</v>
      </c>
      <c r="Z21" s="115">
        <v>398.34</v>
      </c>
      <c r="AA21" s="116">
        <f>IFERROR(Z21/Z148, "NA")</f>
        <v>5.8905819304617352E-3</v>
      </c>
      <c r="AB21" s="117">
        <f t="shared" si="0"/>
        <v>187.9425</v>
      </c>
      <c r="AC21" s="116">
        <f>IFERROR(AB21/AB148, "NA")</f>
        <v>6.1350659533667418E-3</v>
      </c>
      <c r="AD21" s="118">
        <f t="shared" si="1"/>
        <v>142.33749999999998</v>
      </c>
      <c r="AE21" s="119">
        <f>IFERROR(AD21/AD148, "NA")</f>
        <v>3.4459571511403379E-2</v>
      </c>
      <c r="AF21" s="118">
        <f t="shared" si="2"/>
        <v>0.75734599678093029</v>
      </c>
      <c r="AG21" s="117">
        <f t="shared" si="3"/>
        <v>169.16749999999999</v>
      </c>
      <c r="AH21" s="116">
        <f>IFERROR(AG21/AG148, "NA")</f>
        <v>5.9930789136254711E-3</v>
      </c>
      <c r="AI21" s="118">
        <f t="shared" si="4"/>
        <v>161.11249999999998</v>
      </c>
      <c r="AJ21" s="119">
        <f>IFERROR(AI21/AI148, "NA")</f>
        <v>2.4644109725083088E-2</v>
      </c>
      <c r="AK21" s="118">
        <f t="shared" si="5"/>
        <v>0.95238447101245804</v>
      </c>
      <c r="AL21" s="119">
        <f>IFERROR(AK21/AK148, "NA")</f>
        <v>4.1120949816051748</v>
      </c>
    </row>
    <row r="22" spans="1:38" ht="16.5" hidden="1" customHeight="1" x14ac:dyDescent="0.25">
      <c r="A22" s="7" t="s">
        <v>28</v>
      </c>
      <c r="B22" s="115">
        <v>0</v>
      </c>
      <c r="C22" s="116">
        <f>IFERROR(B22/B148, "NA")</f>
        <v>0</v>
      </c>
      <c r="D22" s="115">
        <v>0</v>
      </c>
      <c r="E22" s="116">
        <f>IFERROR(D22/D148, "NA")</f>
        <v>0</v>
      </c>
      <c r="F22" s="115">
        <v>0</v>
      </c>
      <c r="G22" s="116">
        <f>IFERROR(F22/F148, "NA")</f>
        <v>0</v>
      </c>
      <c r="H22" s="115">
        <v>0</v>
      </c>
      <c r="I22" s="116">
        <f>IFERROR(H22/H148, "NA")</f>
        <v>0</v>
      </c>
      <c r="J22" s="115">
        <v>0</v>
      </c>
      <c r="K22" s="116">
        <f>IFERROR(J22/J148, "NA")</f>
        <v>0</v>
      </c>
      <c r="L22" s="115">
        <v>0</v>
      </c>
      <c r="M22" s="116">
        <f>IFERROR(L22/L148, "NA")</f>
        <v>0</v>
      </c>
      <c r="N22" s="115">
        <v>0</v>
      </c>
      <c r="O22" s="116">
        <f>IFERROR(N22/N148, "NA")</f>
        <v>0</v>
      </c>
      <c r="P22" s="115">
        <v>0</v>
      </c>
      <c r="Q22" s="116">
        <f>IFERROR(P22/P148, "NA")</f>
        <v>0</v>
      </c>
      <c r="R22" s="115">
        <v>0</v>
      </c>
      <c r="S22" s="116">
        <f>IFERROR(R22/R148, "NA")</f>
        <v>0</v>
      </c>
      <c r="T22" s="115">
        <v>0</v>
      </c>
      <c r="U22" s="116">
        <f>IFERROR(T22/T148, "NA")</f>
        <v>0</v>
      </c>
      <c r="V22" s="115">
        <v>0</v>
      </c>
      <c r="W22" s="116">
        <f>IFERROR(V22/V148, "NA")</f>
        <v>0</v>
      </c>
      <c r="X22" s="115">
        <v>0</v>
      </c>
      <c r="Y22" s="116">
        <f>IFERROR(X22/X148, "NA")</f>
        <v>0</v>
      </c>
      <c r="Z22" s="115">
        <v>0</v>
      </c>
      <c r="AA22" s="116">
        <f>IFERROR(Z22/Z148, "NA")</f>
        <v>0</v>
      </c>
      <c r="AB22" s="117">
        <f t="shared" si="0"/>
        <v>0</v>
      </c>
      <c r="AC22" s="116">
        <f>IFERROR(AB22/AB148, "NA")</f>
        <v>0</v>
      </c>
      <c r="AD22" s="118">
        <f t="shared" si="1"/>
        <v>0</v>
      </c>
      <c r="AE22" s="119">
        <f>IFERROR(AD22/AD148, "NA")</f>
        <v>0</v>
      </c>
      <c r="AF22" s="118" t="str">
        <f t="shared" si="2"/>
        <v>NA</v>
      </c>
      <c r="AG22" s="117">
        <f t="shared" si="3"/>
        <v>0</v>
      </c>
      <c r="AH22" s="116">
        <f>IFERROR(AG22/AG148, "NA")</f>
        <v>0</v>
      </c>
      <c r="AI22" s="118">
        <f t="shared" si="4"/>
        <v>0</v>
      </c>
      <c r="AJ22" s="119">
        <f>IFERROR(AI22/AI148, "NA")</f>
        <v>0</v>
      </c>
      <c r="AK22" s="118" t="str">
        <f t="shared" si="5"/>
        <v>NA</v>
      </c>
      <c r="AL22" s="119" t="str">
        <f>IFERROR(AK22/AK148, "NA")</f>
        <v>NA</v>
      </c>
    </row>
    <row r="23" spans="1:38" ht="16.5" customHeight="1" x14ac:dyDescent="0.25">
      <c r="A23" s="7" t="s">
        <v>29</v>
      </c>
      <c r="B23" s="115">
        <v>76.66</v>
      </c>
      <c r="C23" s="116">
        <f>IFERROR(B23/B148, "NA")</f>
        <v>2.8714847628889995E-3</v>
      </c>
      <c r="D23" s="115">
        <v>165.99</v>
      </c>
      <c r="E23" s="116">
        <f>IFERROR(D23/D148, "NA")</f>
        <v>7.2636745817774937E-3</v>
      </c>
      <c r="F23" s="115">
        <v>121.4</v>
      </c>
      <c r="G23" s="116">
        <f>IFERROR(F23/F148, "NA")</f>
        <v>4.5028955398708406E-3</v>
      </c>
      <c r="H23" s="115">
        <v>226.67</v>
      </c>
      <c r="I23" s="116">
        <f>IFERROR(H23/H148, "NA")</f>
        <v>9.4243641454230063E-3</v>
      </c>
      <c r="J23" s="115">
        <v>113.26</v>
      </c>
      <c r="K23" s="116">
        <f>IFERROR(J23/J148, "NA")</f>
        <v>4.512217568087634E-3</v>
      </c>
      <c r="L23" s="115">
        <v>92</v>
      </c>
      <c r="M23" s="116">
        <f>IFERROR(L23/L148, "NA")</f>
        <v>4.0704470501204768E-3</v>
      </c>
      <c r="N23" s="115">
        <v>48.15</v>
      </c>
      <c r="O23" s="116">
        <f>IFERROR(N23/N148, "NA")</f>
        <v>1.724237333838489E-3</v>
      </c>
      <c r="P23" s="115">
        <v>191.95</v>
      </c>
      <c r="Q23" s="116">
        <f>IFERROR(P23/P148, "NA")</f>
        <v>6.9415061929301147E-3</v>
      </c>
      <c r="R23" s="115">
        <v>239.75</v>
      </c>
      <c r="S23" s="116">
        <f>IFERROR(R23/R148, "NA")</f>
        <v>1.0231354503310948E-2</v>
      </c>
      <c r="T23" s="115">
        <v>211.05</v>
      </c>
      <c r="U23" s="116">
        <f>IFERROR(T23/T148, "NA")</f>
        <v>6.7041480585924443E-3</v>
      </c>
      <c r="V23" s="115">
        <v>158.66999999999999</v>
      </c>
      <c r="W23" s="116">
        <f>IFERROR(V23/V148, "NA")</f>
        <v>4.828888972073884E-3</v>
      </c>
      <c r="X23" s="115">
        <v>267.91000000000003</v>
      </c>
      <c r="Y23" s="116">
        <f>IFERROR(X23/X148, "NA")</f>
        <v>7.7063781058435421E-3</v>
      </c>
      <c r="Z23" s="115">
        <v>426.58</v>
      </c>
      <c r="AA23" s="116">
        <f>IFERROR(Z23/Z148, "NA")</f>
        <v>6.308190088608643E-3</v>
      </c>
      <c r="AB23" s="117">
        <f t="shared" si="0"/>
        <v>219.34500000000003</v>
      </c>
      <c r="AC23" s="116">
        <f>IFERROR(AB23/AB148, "NA")</f>
        <v>7.1601476065351281E-3</v>
      </c>
      <c r="AD23" s="118">
        <f t="shared" si="1"/>
        <v>48.564999999999998</v>
      </c>
      <c r="AE23" s="119">
        <f>IFERROR(AD23/AD148, "NA")</f>
        <v>1.175747143550579E-2</v>
      </c>
      <c r="AF23" s="118">
        <f t="shared" si="2"/>
        <v>0.22140919555950667</v>
      </c>
      <c r="AG23" s="117">
        <f t="shared" si="3"/>
        <v>165.34250000000003</v>
      </c>
      <c r="AH23" s="116">
        <f>IFERROR(AG23/AG148, "NA")</f>
        <v>5.8575710480802731E-3</v>
      </c>
      <c r="AI23" s="118">
        <f t="shared" si="4"/>
        <v>102.5675</v>
      </c>
      <c r="AJ23" s="119">
        <f>IFERROR(AI23/AI148, "NA")</f>
        <v>1.5688942349150189E-2</v>
      </c>
      <c r="AK23" s="118">
        <f t="shared" si="5"/>
        <v>0.62033355005518831</v>
      </c>
      <c r="AL23" s="119">
        <f>IFERROR(AK23/AK148, "NA")</f>
        <v>2.6784041064754978</v>
      </c>
    </row>
    <row r="24" spans="1:38" ht="16.5" customHeight="1" x14ac:dyDescent="0.25">
      <c r="A24" s="7" t="s">
        <v>30</v>
      </c>
      <c r="B24" s="115">
        <v>1584.58</v>
      </c>
      <c r="C24" s="116">
        <f>IFERROR(B24/B148, "NA")</f>
        <v>5.9354256790746816E-2</v>
      </c>
      <c r="D24" s="115">
        <v>1387.28</v>
      </c>
      <c r="E24" s="116">
        <f>IFERROR(D24/D148, "NA")</f>
        <v>6.0706973153854336E-2</v>
      </c>
      <c r="F24" s="115">
        <v>2000.62</v>
      </c>
      <c r="G24" s="116">
        <f>IFERROR(F24/F148, "NA")</f>
        <v>7.4205789744451398E-2</v>
      </c>
      <c r="H24" s="115">
        <v>1487.37</v>
      </c>
      <c r="I24" s="116">
        <f>IFERROR(H24/H148, "NA")</f>
        <v>6.1841075126738504E-2</v>
      </c>
      <c r="J24" s="115">
        <v>1514.4</v>
      </c>
      <c r="K24" s="116">
        <f>IFERROR(J24/J148, "NA")</f>
        <v>6.033288261620972E-2</v>
      </c>
      <c r="L24" s="115">
        <v>1316.19</v>
      </c>
      <c r="M24" s="116">
        <f>IFERROR(L24/L148, "NA")</f>
        <v>5.82334967706312E-2</v>
      </c>
      <c r="N24" s="115">
        <v>1725.76</v>
      </c>
      <c r="O24" s="116">
        <f>IFERROR(N24/N148, "NA")</f>
        <v>6.179895786594207E-2</v>
      </c>
      <c r="P24" s="115">
        <v>1641.1</v>
      </c>
      <c r="Q24" s="116">
        <f>IFERROR(P24/P148, "NA")</f>
        <v>5.9347256125124308E-2</v>
      </c>
      <c r="R24" s="115">
        <v>1478.17</v>
      </c>
      <c r="S24" s="116">
        <f>IFERROR(R24/R148, "NA")</f>
        <v>6.3081048117452118E-2</v>
      </c>
      <c r="T24" s="115">
        <v>1935.11</v>
      </c>
      <c r="U24" s="116">
        <f>IFERROR(T24/T148, "NA")</f>
        <v>6.1470096894872414E-2</v>
      </c>
      <c r="V24" s="115">
        <v>1936.4</v>
      </c>
      <c r="W24" s="116">
        <f>IFERROR(V24/V148, "NA")</f>
        <v>5.8931496852107329E-2</v>
      </c>
      <c r="X24" s="115">
        <v>1973.6</v>
      </c>
      <c r="Y24" s="116">
        <f>IFERROR(X24/X148, "NA")</f>
        <v>5.6770213242106723E-2</v>
      </c>
      <c r="Z24" s="115">
        <v>3910</v>
      </c>
      <c r="AA24" s="116">
        <f>IFERROR(Z24/Z148, "NA")</f>
        <v>5.7820393001218516E-2</v>
      </c>
      <c r="AB24" s="117">
        <f t="shared" si="0"/>
        <v>1830.8200000000002</v>
      </c>
      <c r="AC24" s="116">
        <f>IFERROR(AB24/AB148, "NA")</f>
        <v>5.9764031279475903E-2</v>
      </c>
      <c r="AD24" s="118">
        <f t="shared" si="1"/>
        <v>142.77999999999975</v>
      </c>
      <c r="AE24" s="119">
        <f>IFERROR(AD24/AD148, "NA")</f>
        <v>3.4566699712993178E-2</v>
      </c>
      <c r="AF24" s="118">
        <f t="shared" si="2"/>
        <v>7.7986912967959565E-2</v>
      </c>
      <c r="AG24" s="117">
        <f t="shared" si="3"/>
        <v>1690.0912500000002</v>
      </c>
      <c r="AH24" s="116">
        <f>IFERROR(AG24/AG148, "NA")</f>
        <v>5.9874681794540412E-2</v>
      </c>
      <c r="AI24" s="118">
        <f t="shared" si="4"/>
        <v>283.50874999999974</v>
      </c>
      <c r="AJ24" s="119">
        <f>IFERROR(AI24/AI148, "NA")</f>
        <v>4.336609973168528E-2</v>
      </c>
      <c r="AK24" s="118">
        <f t="shared" si="5"/>
        <v>0.16774759942695386</v>
      </c>
      <c r="AL24" s="119">
        <f>IFERROR(AK24/AK148, "NA")</f>
        <v>0.72428108896671517</v>
      </c>
    </row>
    <row r="25" spans="1:38" ht="16.5" hidden="1" customHeight="1" x14ac:dyDescent="0.25">
      <c r="A25" s="7" t="s">
        <v>31</v>
      </c>
      <c r="B25" s="115">
        <v>0</v>
      </c>
      <c r="C25" s="116">
        <f>IFERROR(B25/B148, "NA")</f>
        <v>0</v>
      </c>
      <c r="D25" s="115">
        <v>0</v>
      </c>
      <c r="E25" s="116">
        <f>IFERROR(D25/D148, "NA")</f>
        <v>0</v>
      </c>
      <c r="F25" s="115">
        <v>0</v>
      </c>
      <c r="G25" s="116">
        <f>IFERROR(F25/F148, "NA")</f>
        <v>0</v>
      </c>
      <c r="H25" s="115">
        <v>0</v>
      </c>
      <c r="I25" s="116">
        <f>IFERROR(H25/H148, "NA")</f>
        <v>0</v>
      </c>
      <c r="J25" s="115">
        <v>0</v>
      </c>
      <c r="K25" s="116">
        <f>IFERROR(J25/J148, "NA")</f>
        <v>0</v>
      </c>
      <c r="L25" s="115">
        <v>0</v>
      </c>
      <c r="M25" s="116">
        <f>IFERROR(L25/L148, "NA")</f>
        <v>0</v>
      </c>
      <c r="N25" s="115">
        <v>0</v>
      </c>
      <c r="O25" s="116">
        <f>IFERROR(N25/N148, "NA")</f>
        <v>0</v>
      </c>
      <c r="P25" s="115">
        <v>0</v>
      </c>
      <c r="Q25" s="116">
        <f>IFERROR(P25/P148, "NA")</f>
        <v>0</v>
      </c>
      <c r="R25" s="115">
        <v>0</v>
      </c>
      <c r="S25" s="116">
        <f>IFERROR(R25/R148, "NA")</f>
        <v>0</v>
      </c>
      <c r="T25" s="115">
        <v>0</v>
      </c>
      <c r="U25" s="116">
        <f>IFERROR(T25/T148, "NA")</f>
        <v>0</v>
      </c>
      <c r="V25" s="115">
        <v>0</v>
      </c>
      <c r="W25" s="116">
        <f>IFERROR(V25/V148, "NA")</f>
        <v>0</v>
      </c>
      <c r="X25" s="115">
        <v>0</v>
      </c>
      <c r="Y25" s="116">
        <f>IFERROR(X25/X148, "NA")</f>
        <v>0</v>
      </c>
      <c r="Z25" s="115">
        <v>0</v>
      </c>
      <c r="AA25" s="116">
        <f>IFERROR(Z25/Z148, "NA")</f>
        <v>0</v>
      </c>
      <c r="AB25" s="117">
        <f t="shared" si="0"/>
        <v>0</v>
      </c>
      <c r="AC25" s="116">
        <f>IFERROR(AB25/AB148, "NA")</f>
        <v>0</v>
      </c>
      <c r="AD25" s="118">
        <f t="shared" si="1"/>
        <v>0</v>
      </c>
      <c r="AE25" s="119">
        <f>IFERROR(AD25/AD148, "NA")</f>
        <v>0</v>
      </c>
      <c r="AF25" s="118" t="str">
        <f t="shared" si="2"/>
        <v>NA</v>
      </c>
      <c r="AG25" s="117">
        <f t="shared" si="3"/>
        <v>0</v>
      </c>
      <c r="AH25" s="116">
        <f>IFERROR(AG25/AG148, "NA")</f>
        <v>0</v>
      </c>
      <c r="AI25" s="118">
        <f t="shared" si="4"/>
        <v>0</v>
      </c>
      <c r="AJ25" s="119">
        <f>IFERROR(AI25/AI148, "NA")</f>
        <v>0</v>
      </c>
      <c r="AK25" s="118" t="str">
        <f t="shared" si="5"/>
        <v>NA</v>
      </c>
      <c r="AL25" s="119" t="str">
        <f>IFERROR(AK25/AK148, "NA")</f>
        <v>NA</v>
      </c>
    </row>
    <row r="26" spans="1:38" ht="16.5" hidden="1" customHeight="1" x14ac:dyDescent="0.25">
      <c r="A26" s="7" t="s">
        <v>32</v>
      </c>
      <c r="B26" s="115">
        <v>0</v>
      </c>
      <c r="C26" s="116">
        <f>IFERROR(B26/B148, "NA")</f>
        <v>0</v>
      </c>
      <c r="D26" s="115">
        <v>0</v>
      </c>
      <c r="E26" s="116">
        <f>IFERROR(D26/D148, "NA")</f>
        <v>0</v>
      </c>
      <c r="F26" s="115">
        <v>0</v>
      </c>
      <c r="G26" s="116">
        <f>IFERROR(F26/F148, "NA")</f>
        <v>0</v>
      </c>
      <c r="H26" s="115">
        <v>0</v>
      </c>
      <c r="I26" s="116">
        <f>IFERROR(H26/H148, "NA")</f>
        <v>0</v>
      </c>
      <c r="J26" s="115">
        <v>0</v>
      </c>
      <c r="K26" s="116">
        <f>IFERROR(J26/J148, "NA")</f>
        <v>0</v>
      </c>
      <c r="L26" s="115">
        <v>0</v>
      </c>
      <c r="M26" s="116">
        <f>IFERROR(L26/L148, "NA")</f>
        <v>0</v>
      </c>
      <c r="N26" s="115">
        <v>0</v>
      </c>
      <c r="O26" s="116">
        <f>IFERROR(N26/N148, "NA")</f>
        <v>0</v>
      </c>
      <c r="P26" s="115">
        <v>0</v>
      </c>
      <c r="Q26" s="116">
        <f>IFERROR(P26/P148, "NA")</f>
        <v>0</v>
      </c>
      <c r="R26" s="115">
        <v>0</v>
      </c>
      <c r="S26" s="116">
        <f>IFERROR(R26/R148, "NA")</f>
        <v>0</v>
      </c>
      <c r="T26" s="115">
        <v>0</v>
      </c>
      <c r="U26" s="116">
        <f>IFERROR(T26/T148, "NA")</f>
        <v>0</v>
      </c>
      <c r="V26" s="115">
        <v>0</v>
      </c>
      <c r="W26" s="116">
        <f>IFERROR(V26/V148, "NA")</f>
        <v>0</v>
      </c>
      <c r="X26" s="115">
        <v>0</v>
      </c>
      <c r="Y26" s="116">
        <f>IFERROR(X26/X148, "NA")</f>
        <v>0</v>
      </c>
      <c r="Z26" s="115">
        <v>0</v>
      </c>
      <c r="AA26" s="116">
        <f>IFERROR(Z26/Z148, "NA")</f>
        <v>0</v>
      </c>
      <c r="AB26" s="117">
        <f t="shared" si="0"/>
        <v>0</v>
      </c>
      <c r="AC26" s="116">
        <f>IFERROR(AB26/AB148, "NA")</f>
        <v>0</v>
      </c>
      <c r="AD26" s="118">
        <f t="shared" si="1"/>
        <v>0</v>
      </c>
      <c r="AE26" s="119">
        <f>IFERROR(AD26/AD148, "NA")</f>
        <v>0</v>
      </c>
      <c r="AF26" s="118" t="str">
        <f t="shared" si="2"/>
        <v>NA</v>
      </c>
      <c r="AG26" s="117">
        <f t="shared" si="3"/>
        <v>0</v>
      </c>
      <c r="AH26" s="116">
        <f>IFERROR(AG26/AG148, "NA")</f>
        <v>0</v>
      </c>
      <c r="AI26" s="118">
        <f t="shared" si="4"/>
        <v>0</v>
      </c>
      <c r="AJ26" s="119">
        <f>IFERROR(AI26/AI148, "NA")</f>
        <v>0</v>
      </c>
      <c r="AK26" s="118" t="str">
        <f t="shared" si="5"/>
        <v>NA</v>
      </c>
      <c r="AL26" s="119" t="str">
        <f>IFERROR(AK26/AK148, "NA")</f>
        <v>NA</v>
      </c>
    </row>
    <row r="27" spans="1:38" ht="16.5" customHeight="1" x14ac:dyDescent="0.25">
      <c r="A27" s="129" t="s">
        <v>33</v>
      </c>
      <c r="B27" s="121">
        <f>IFERROR(B15+B16+B17+B18+B19+B20+B21+B22+B23+B24+B25+B26, "NA")</f>
        <v>5167.58</v>
      </c>
      <c r="C27" s="122">
        <f>IFERROR(B27/B148, "NA")</f>
        <v>0.19356414337346645</v>
      </c>
      <c r="D27" s="121">
        <f>IFERROR(D15+D16+D17+D18+D19+D20+D21+D22+D23+D24+D25+D26, "NA")</f>
        <v>5626.57</v>
      </c>
      <c r="E27" s="122">
        <f>IFERROR(D27/D148, "NA")</f>
        <v>0.24621708230370376</v>
      </c>
      <c r="F27" s="121">
        <f>IFERROR(F15+F16+F17+F18+F19+F20+F21+F22+F23+F24+F25+F26, "NA")</f>
        <v>5479.8499999999995</v>
      </c>
      <c r="G27" s="122">
        <f>IFERROR(F27/F148, "NA")</f>
        <v>0.20325528932587497</v>
      </c>
      <c r="H27" s="121">
        <f>IFERROR(H15+H16+H17+H18+H19+H20+H21+H22+H23+H24+H25+H26, "NA")</f>
        <v>5357.09</v>
      </c>
      <c r="I27" s="122">
        <f>IFERROR(H27/H148, "NA")</f>
        <v>0.22273422561346509</v>
      </c>
      <c r="J27" s="121">
        <f>IFERROR(J15+J16+J17+J18+J19+J20+J21+J22+J23+J24+J25+J26, "NA")</f>
        <v>5497.1200000000008</v>
      </c>
      <c r="K27" s="122">
        <f>IFERROR(J27/J148, "NA")</f>
        <v>0.21900230829848047</v>
      </c>
      <c r="L27" s="121">
        <f>IFERROR(L15+L16+L17+L18+L19+L20+L21+L22+L23+L24+L25+L26, "NA")</f>
        <v>4436.4400000000005</v>
      </c>
      <c r="M27" s="122">
        <f>IFERROR(L27/L148, "NA")</f>
        <v>0.19628580555474445</v>
      </c>
      <c r="N27" s="121">
        <f>IFERROR(N15+N16+N17+N18+N19+N20+N21+N22+N23+N24+N25+N26, "NA")</f>
        <v>5959.5299999999988</v>
      </c>
      <c r="O27" s="122">
        <f>IFERROR(N27/N148, "NA")</f>
        <v>0.21340901595286579</v>
      </c>
      <c r="P27" s="121">
        <f>IFERROR(P15+P16+P17+P18+P19+P20+P21+P22+P23+P24+P25+P26, "NA")</f>
        <v>5807.6100000000006</v>
      </c>
      <c r="Q27" s="122">
        <f>IFERROR(P27/P148, "NA")</f>
        <v>0.21002115541090319</v>
      </c>
      <c r="R27" s="121">
        <f>IFERROR(R15+R16+R17+R18+R19+R20+R21+R22+R23+R24+R25+R26, "NA")</f>
        <v>5270.08</v>
      </c>
      <c r="S27" s="122">
        <f>IFERROR(R27/R148, "NA")</f>
        <v>0.22490117514414582</v>
      </c>
      <c r="T27" s="121">
        <f>IFERROR(T15+T16+T17+T18+T19+T20+T21+T22+T23+T24+T25+T26, "NA")</f>
        <v>7175.49</v>
      </c>
      <c r="U27" s="122">
        <f>IFERROR(T27/T148, "NA")</f>
        <v>0.22793436319805493</v>
      </c>
      <c r="V27" s="121">
        <f>IFERROR(V15+V16+V17+V18+V19+V20+V21+V22+V23+V24+V25+V26, "NA")</f>
        <v>6771</v>
      </c>
      <c r="W27" s="122">
        <f>IFERROR(V27/V148, "NA")</f>
        <v>0.20606546435943954</v>
      </c>
      <c r="X27" s="121">
        <f>IFERROR(X15+X16+X17+X18+X19+X20+X21+X22+X23+X24+X25+X26, "NA")</f>
        <v>7291.74</v>
      </c>
      <c r="Y27" s="122">
        <f>IFERROR(X27/X148, "NA")</f>
        <v>0.20974545739055497</v>
      </c>
      <c r="Z27" s="121">
        <f>IFERROR(Z15+Z16+Z17+Z18+Z19+Z20+Z21+Z22+Z23+Z24+Z25+Z26, "NA")</f>
        <v>14062.74</v>
      </c>
      <c r="AA27" s="122">
        <f>IFERROR(Z27/Z148, "NA")</f>
        <v>0.20795732825420862</v>
      </c>
      <c r="AB27" s="121">
        <f t="shared" si="0"/>
        <v>6627.0774999999994</v>
      </c>
      <c r="AC27" s="122">
        <f>IFERROR(AB27/AB148, "NA")</f>
        <v>0.2163297686290902</v>
      </c>
      <c r="AD27" s="123">
        <f t="shared" si="1"/>
        <v>664.66250000000036</v>
      </c>
      <c r="AE27" s="124">
        <f>IFERROR(AD27/AD148, "NA")</f>
        <v>0.16091321647280699</v>
      </c>
      <c r="AF27" s="123">
        <f t="shared" si="2"/>
        <v>0.10029496410748183</v>
      </c>
      <c r="AG27" s="121">
        <f t="shared" si="3"/>
        <v>6026.1262499999993</v>
      </c>
      <c r="AH27" s="122">
        <f>IFERROR(AG27/AG148, "NA")</f>
        <v>0.21348692957997209</v>
      </c>
      <c r="AI27" s="123">
        <f t="shared" si="4"/>
        <v>1265.6137500000004</v>
      </c>
      <c r="AJ27" s="124">
        <f>IFERROR(AI27/AI148, "NA")</f>
        <v>0.19359096360973788</v>
      </c>
      <c r="AK27" s="123">
        <f t="shared" si="5"/>
        <v>0.21002111431037485</v>
      </c>
      <c r="AL27" s="124">
        <f>IFERROR(AK27/AK148, "NA")</f>
        <v>0.90680475844877795</v>
      </c>
    </row>
    <row r="28" spans="1:38" ht="16.5" customHeight="1" x14ac:dyDescent="0.25">
      <c r="A28" s="6" t="s">
        <v>34</v>
      </c>
      <c r="B28" s="111"/>
      <c r="C28" s="112"/>
      <c r="D28" s="111"/>
      <c r="E28" s="112"/>
      <c r="F28" s="111"/>
      <c r="G28" s="112"/>
      <c r="H28" s="111"/>
      <c r="I28" s="112"/>
      <c r="J28" s="111"/>
      <c r="K28" s="112"/>
      <c r="L28" s="111"/>
      <c r="M28" s="112"/>
      <c r="N28" s="111"/>
      <c r="O28" s="112"/>
      <c r="P28" s="111"/>
      <c r="Q28" s="112"/>
      <c r="R28" s="111"/>
      <c r="S28" s="112"/>
      <c r="T28" s="111"/>
      <c r="U28" s="112"/>
      <c r="V28" s="111"/>
      <c r="W28" s="112"/>
      <c r="X28" s="111"/>
      <c r="Y28" s="112"/>
      <c r="Z28" s="111"/>
      <c r="AA28" s="112"/>
      <c r="AB28" s="111"/>
      <c r="AC28" s="112"/>
      <c r="AD28" s="113"/>
      <c r="AE28" s="114"/>
      <c r="AF28" s="113"/>
      <c r="AG28" s="111"/>
      <c r="AH28" s="112"/>
      <c r="AI28" s="113"/>
      <c r="AJ28" s="114"/>
      <c r="AK28" s="113"/>
      <c r="AL28" s="114"/>
    </row>
    <row r="29" spans="1:38" ht="16.5" hidden="1" customHeight="1" x14ac:dyDescent="0.25">
      <c r="A29" s="7" t="s">
        <v>35</v>
      </c>
      <c r="B29" s="115">
        <v>0</v>
      </c>
      <c r="C29" s="116">
        <f>IFERROR(B29/B148, "NA")</f>
        <v>0</v>
      </c>
      <c r="D29" s="115">
        <v>0</v>
      </c>
      <c r="E29" s="116">
        <f>IFERROR(D29/D148, "NA")</f>
        <v>0</v>
      </c>
      <c r="F29" s="115">
        <v>0</v>
      </c>
      <c r="G29" s="116">
        <f>IFERROR(F29/F148, "NA")</f>
        <v>0</v>
      </c>
      <c r="H29" s="115">
        <v>0</v>
      </c>
      <c r="I29" s="116">
        <f>IFERROR(H29/H148, "NA")</f>
        <v>0</v>
      </c>
      <c r="J29" s="115">
        <v>0</v>
      </c>
      <c r="K29" s="116">
        <f>IFERROR(J29/J148, "NA")</f>
        <v>0</v>
      </c>
      <c r="L29" s="115">
        <v>0</v>
      </c>
      <c r="M29" s="116">
        <f>IFERROR(L29/L148, "NA")</f>
        <v>0</v>
      </c>
      <c r="N29" s="115">
        <v>0</v>
      </c>
      <c r="O29" s="116">
        <f>IFERROR(N29/N148, "NA")</f>
        <v>0</v>
      </c>
      <c r="P29" s="115">
        <v>0</v>
      </c>
      <c r="Q29" s="116">
        <f>IFERROR(P29/P148, "NA")</f>
        <v>0</v>
      </c>
      <c r="R29" s="115">
        <v>0</v>
      </c>
      <c r="S29" s="116">
        <f>IFERROR(R29/R148, "NA")</f>
        <v>0</v>
      </c>
      <c r="T29" s="115">
        <v>0</v>
      </c>
      <c r="U29" s="116">
        <f>IFERROR(T29/T148, "NA")</f>
        <v>0</v>
      </c>
      <c r="V29" s="115">
        <v>0</v>
      </c>
      <c r="W29" s="116">
        <f>IFERROR(V29/V148, "NA")</f>
        <v>0</v>
      </c>
      <c r="X29" s="115">
        <v>0</v>
      </c>
      <c r="Y29" s="116">
        <f>IFERROR(X29/X148, "NA")</f>
        <v>0</v>
      </c>
      <c r="Z29" s="115">
        <v>0</v>
      </c>
      <c r="AA29" s="116">
        <f>IFERROR(Z29/Z148, "NA")</f>
        <v>0</v>
      </c>
      <c r="AB29" s="117">
        <f t="shared" ref="AB29:AB35" si="6">IFERROR((R29+T29+V29+X29)/4, "NA")</f>
        <v>0</v>
      </c>
      <c r="AC29" s="116">
        <f>IFERROR(AB29/AB148, "NA")</f>
        <v>0</v>
      </c>
      <c r="AD29" s="118">
        <f t="shared" ref="AD29:AD35" si="7">IFERROR(X29-AB29, "NA")</f>
        <v>0</v>
      </c>
      <c r="AE29" s="119">
        <f>IFERROR(AD29/AD148, "NA")</f>
        <v>0</v>
      </c>
      <c r="AF29" s="118" t="str">
        <f t="shared" ref="AF29:AF35" si="8">IFERROR((X29-AB29)/AB29, "NA")</f>
        <v>NA</v>
      </c>
      <c r="AG29" s="117">
        <f t="shared" ref="AG29:AG35" si="9">IFERROR((J29+L29+N29+P29+R29+T29+V29+X29)/8, "NA")</f>
        <v>0</v>
      </c>
      <c r="AH29" s="116">
        <f>IFERROR(AG29/AG148, "NA")</f>
        <v>0</v>
      </c>
      <c r="AI29" s="118">
        <f t="shared" ref="AI29:AI35" si="10">IFERROR(X29-AG29, "NA")</f>
        <v>0</v>
      </c>
      <c r="AJ29" s="119">
        <f>IFERROR(AI29/AI148, "NA")</f>
        <v>0</v>
      </c>
      <c r="AK29" s="118" t="str">
        <f t="shared" ref="AK29:AK35" si="11">IFERROR((X29-AG29)/AG29, "NA")</f>
        <v>NA</v>
      </c>
      <c r="AL29" s="119" t="str">
        <f>IFERROR(AK29/AK148, "NA")</f>
        <v>NA</v>
      </c>
    </row>
    <row r="30" spans="1:38" ht="16.5" customHeight="1" x14ac:dyDescent="0.25">
      <c r="A30" s="7" t="s">
        <v>36</v>
      </c>
      <c r="B30" s="115">
        <v>291.43</v>
      </c>
      <c r="C30" s="116">
        <f>IFERROR(B30/B148, "NA")</f>
        <v>1.0916211902540324E-2</v>
      </c>
      <c r="D30" s="115">
        <v>209.55</v>
      </c>
      <c r="E30" s="116">
        <f>IFERROR(D30/D148, "NA")</f>
        <v>9.1698476330590618E-3</v>
      </c>
      <c r="F30" s="115">
        <v>282.5</v>
      </c>
      <c r="G30" s="116">
        <f>IFERROR(F30/F148, "NA")</f>
        <v>1.0478319522351832E-2</v>
      </c>
      <c r="H30" s="115">
        <v>223.03</v>
      </c>
      <c r="I30" s="116">
        <f>IFERROR(H30/H148, "NA")</f>
        <v>9.273022170352023E-3</v>
      </c>
      <c r="J30" s="115">
        <v>262.33</v>
      </c>
      <c r="K30" s="116">
        <f>IFERROR(J30/J148, "NA")</f>
        <v>1.0451086302634902E-2</v>
      </c>
      <c r="L30" s="115">
        <v>235.09</v>
      </c>
      <c r="M30" s="116">
        <f>IFERROR(L30/L148, "NA")</f>
        <v>1.0401319532748074E-2</v>
      </c>
      <c r="N30" s="115">
        <v>238.79</v>
      </c>
      <c r="O30" s="116">
        <f>IFERROR(N30/N148, "NA")</f>
        <v>8.5509996458420102E-3</v>
      </c>
      <c r="P30" s="115">
        <v>154.09</v>
      </c>
      <c r="Q30" s="116">
        <f>IFERROR(P30/P148, "NA")</f>
        <v>5.5723713949914115E-3</v>
      </c>
      <c r="R30" s="115">
        <v>230.53</v>
      </c>
      <c r="S30" s="116">
        <f>IFERROR(R30/R148, "NA")</f>
        <v>9.8378901090647453E-3</v>
      </c>
      <c r="T30" s="115">
        <v>300.41000000000003</v>
      </c>
      <c r="U30" s="116">
        <f>IFERROR(T30/T148, "NA")</f>
        <v>9.5427297715316561E-3</v>
      </c>
      <c r="V30" s="115">
        <v>375.38</v>
      </c>
      <c r="W30" s="116">
        <f>IFERROR(V30/V148, "NA")</f>
        <v>1.1424140305899633E-2</v>
      </c>
      <c r="X30" s="115">
        <v>197.91</v>
      </c>
      <c r="Y30" s="116">
        <f>IFERROR(X30/X148, "NA")</f>
        <v>5.6928419653148269E-3</v>
      </c>
      <c r="Z30" s="115">
        <v>573.29</v>
      </c>
      <c r="AA30" s="116">
        <f>IFERROR(Z30/Z148, "NA")</f>
        <v>8.4777117912195818E-3</v>
      </c>
      <c r="AB30" s="117">
        <f t="shared" si="6"/>
        <v>276.0575</v>
      </c>
      <c r="AC30" s="116">
        <f>IFERROR(AB30/AB148, "NA")</f>
        <v>9.0114315251821134E-3</v>
      </c>
      <c r="AD30" s="118">
        <f t="shared" si="7"/>
        <v>-78.147500000000008</v>
      </c>
      <c r="AE30" s="119">
        <f>IFERROR(AD30/AD148, "NA")</f>
        <v>-1.8919324596029831E-2</v>
      </c>
      <c r="AF30" s="118">
        <f t="shared" si="8"/>
        <v>-0.28308414007951244</v>
      </c>
      <c r="AG30" s="117">
        <f t="shared" si="9"/>
        <v>249.31625</v>
      </c>
      <c r="AH30" s="116">
        <f>IFERROR(AG30/AG148, "NA")</f>
        <v>8.8325001001916814E-3</v>
      </c>
      <c r="AI30" s="118">
        <f t="shared" si="10"/>
        <v>-51.40625</v>
      </c>
      <c r="AJ30" s="119">
        <f>IFERROR(AI30/AI148, "NA")</f>
        <v>-7.8632090344017552E-3</v>
      </c>
      <c r="AK30" s="118">
        <f t="shared" si="11"/>
        <v>-0.20618892671456435</v>
      </c>
      <c r="AL30" s="119">
        <f>IFERROR(AK30/AK148, "NA")</f>
        <v>-0.89025858422929527</v>
      </c>
    </row>
    <row r="31" spans="1:38" ht="16.5" customHeight="1" x14ac:dyDescent="0.25">
      <c r="A31" s="7" t="s">
        <v>37</v>
      </c>
      <c r="B31" s="115">
        <v>9.1199999999999992</v>
      </c>
      <c r="C31" s="116">
        <f>IFERROR(B31/B148, "NA")</f>
        <v>3.4161154497192373E-4</v>
      </c>
      <c r="D31" s="115">
        <v>2.79</v>
      </c>
      <c r="E31" s="116">
        <f>IFERROR(D31/D148, "NA")</f>
        <v>1.2208959625976991E-4</v>
      </c>
      <c r="F31" s="115">
        <v>8.42</v>
      </c>
      <c r="G31" s="116">
        <f>IFERROR(F31/F148, "NA")</f>
        <v>3.1230955886089352E-4</v>
      </c>
      <c r="H31" s="115">
        <v>8.42</v>
      </c>
      <c r="I31" s="116">
        <f>IFERROR(H31/H148, "NA")</f>
        <v>3.5008226101584559E-4</v>
      </c>
      <c r="J31" s="115">
        <v>6.93</v>
      </c>
      <c r="K31" s="116">
        <f>IFERROR(J31/J148, "NA")</f>
        <v>2.7608747789905795E-4</v>
      </c>
      <c r="L31" s="115">
        <v>9.98</v>
      </c>
      <c r="M31" s="116">
        <f>IFERROR(L31/L148, "NA")</f>
        <v>4.4155501695872126E-4</v>
      </c>
      <c r="N31" s="115">
        <v>4.1900000000000004</v>
      </c>
      <c r="O31" s="116">
        <f>IFERROR(N31/N148, "NA")</f>
        <v>1.5004266726445004E-4</v>
      </c>
      <c r="P31" s="115">
        <v>5.58</v>
      </c>
      <c r="Q31" s="116">
        <f>IFERROR(P31/P148, "NA")</f>
        <v>2.0179007323026851E-4</v>
      </c>
      <c r="R31" s="115">
        <v>1.4</v>
      </c>
      <c r="S31" s="116">
        <f>IFERROR(R31/R148, "NA")</f>
        <v>5.9745135785757358E-5</v>
      </c>
      <c r="T31" s="115">
        <v>2.87</v>
      </c>
      <c r="U31" s="116">
        <f>IFERROR(T31/T148, "NA")</f>
        <v>9.1167519204739698E-5</v>
      </c>
      <c r="V31" s="115">
        <v>1.4</v>
      </c>
      <c r="W31" s="116">
        <f>IFERROR(V31/V148, "NA")</f>
        <v>4.2606948767274453E-5</v>
      </c>
      <c r="X31" s="115">
        <v>7.06</v>
      </c>
      <c r="Y31" s="116">
        <f>IFERROR(X31/X148, "NA")</f>
        <v>2.030795021733246E-4</v>
      </c>
      <c r="Z31" s="115">
        <v>8.4600000000000009</v>
      </c>
      <c r="AA31" s="116">
        <f>IFERROR(Z31/Z148, "NA")</f>
        <v>1.2510499355250862E-4</v>
      </c>
      <c r="AB31" s="117">
        <f t="shared" si="6"/>
        <v>3.1825000000000001</v>
      </c>
      <c r="AC31" s="116">
        <f>IFERROR(AB31/AB148, "NA")</f>
        <v>1.0388734531353822E-4</v>
      </c>
      <c r="AD31" s="118">
        <f t="shared" si="7"/>
        <v>3.8774999999999995</v>
      </c>
      <c r="AE31" s="119">
        <f>IFERROR(AD31/AD148, "NA")</f>
        <v>9.3873356308398425E-4</v>
      </c>
      <c r="AF31" s="118">
        <f t="shared" si="8"/>
        <v>1.2183817753338568</v>
      </c>
      <c r="AG31" s="117">
        <f t="shared" si="9"/>
        <v>4.9262500000000005</v>
      </c>
      <c r="AH31" s="116">
        <f>IFERROR(AG31/AG148, "NA")</f>
        <v>1.7452173140968259E-4</v>
      </c>
      <c r="AI31" s="118">
        <f t="shared" si="10"/>
        <v>2.1337499999999991</v>
      </c>
      <c r="AJ31" s="119">
        <f>IFERROR(AI31/AI148, "NA")</f>
        <v>3.2638292575620158E-4</v>
      </c>
      <c r="AK31" s="118">
        <f t="shared" si="11"/>
        <v>0.4331387972595786</v>
      </c>
      <c r="AL31" s="119">
        <f>IFERROR(AK31/AK148, "NA")</f>
        <v>1.870156358866456</v>
      </c>
    </row>
    <row r="32" spans="1:38" ht="16.5" hidden="1" customHeight="1" x14ac:dyDescent="0.25">
      <c r="A32" s="7" t="s">
        <v>38</v>
      </c>
      <c r="B32" s="115">
        <v>0</v>
      </c>
      <c r="C32" s="116">
        <f>IFERROR(B32/B148, "NA")</f>
        <v>0</v>
      </c>
      <c r="D32" s="115">
        <v>0</v>
      </c>
      <c r="E32" s="116">
        <f>IFERROR(D32/D148, "NA")</f>
        <v>0</v>
      </c>
      <c r="F32" s="115">
        <v>0</v>
      </c>
      <c r="G32" s="116">
        <f>IFERROR(F32/F148, "NA")</f>
        <v>0</v>
      </c>
      <c r="H32" s="115">
        <v>0</v>
      </c>
      <c r="I32" s="116">
        <f>IFERROR(H32/H148, "NA")</f>
        <v>0</v>
      </c>
      <c r="J32" s="115">
        <v>0</v>
      </c>
      <c r="K32" s="116">
        <f>IFERROR(J32/J148, "NA")</f>
        <v>0</v>
      </c>
      <c r="L32" s="115">
        <v>0</v>
      </c>
      <c r="M32" s="116">
        <f>IFERROR(L32/L148, "NA")</f>
        <v>0</v>
      </c>
      <c r="N32" s="115">
        <v>0</v>
      </c>
      <c r="O32" s="116">
        <f>IFERROR(N32/N148, "NA")</f>
        <v>0</v>
      </c>
      <c r="P32" s="115">
        <v>0</v>
      </c>
      <c r="Q32" s="116">
        <f>IFERROR(P32/P148, "NA")</f>
        <v>0</v>
      </c>
      <c r="R32" s="115">
        <v>0</v>
      </c>
      <c r="S32" s="116">
        <f>IFERROR(R32/R148, "NA")</f>
        <v>0</v>
      </c>
      <c r="T32" s="115">
        <v>0</v>
      </c>
      <c r="U32" s="116">
        <f>IFERROR(T32/T148, "NA")</f>
        <v>0</v>
      </c>
      <c r="V32" s="115">
        <v>0</v>
      </c>
      <c r="W32" s="116">
        <f>IFERROR(V32/V148, "NA")</f>
        <v>0</v>
      </c>
      <c r="X32" s="115">
        <v>0</v>
      </c>
      <c r="Y32" s="116">
        <f>IFERROR(X32/X148, "NA")</f>
        <v>0</v>
      </c>
      <c r="Z32" s="115">
        <v>0</v>
      </c>
      <c r="AA32" s="116">
        <f>IFERROR(Z32/Z148, "NA")</f>
        <v>0</v>
      </c>
      <c r="AB32" s="117">
        <f t="shared" si="6"/>
        <v>0</v>
      </c>
      <c r="AC32" s="116">
        <f>IFERROR(AB32/AB148, "NA")</f>
        <v>0</v>
      </c>
      <c r="AD32" s="118">
        <f t="shared" si="7"/>
        <v>0</v>
      </c>
      <c r="AE32" s="119">
        <f>IFERROR(AD32/AD148, "NA")</f>
        <v>0</v>
      </c>
      <c r="AF32" s="118" t="str">
        <f t="shared" si="8"/>
        <v>NA</v>
      </c>
      <c r="AG32" s="117">
        <f t="shared" si="9"/>
        <v>0</v>
      </c>
      <c r="AH32" s="116">
        <f>IFERROR(AG32/AG148, "NA")</f>
        <v>0</v>
      </c>
      <c r="AI32" s="118">
        <f t="shared" si="10"/>
        <v>0</v>
      </c>
      <c r="AJ32" s="119">
        <f>IFERROR(AI32/AI148, "NA")</f>
        <v>0</v>
      </c>
      <c r="AK32" s="118" t="str">
        <f t="shared" si="11"/>
        <v>NA</v>
      </c>
      <c r="AL32" s="119" t="str">
        <f>IFERROR(AK32/AK148, "NA")</f>
        <v>NA</v>
      </c>
    </row>
    <row r="33" spans="1:38" ht="16.5" customHeight="1" x14ac:dyDescent="0.25">
      <c r="A33" s="7" t="s">
        <v>39</v>
      </c>
      <c r="B33" s="115">
        <v>0</v>
      </c>
      <c r="C33" s="116">
        <f>IFERROR(B33/B148, "NA")</f>
        <v>0</v>
      </c>
      <c r="D33" s="115">
        <v>0</v>
      </c>
      <c r="E33" s="116">
        <f>IFERROR(D33/D148, "NA")</f>
        <v>0</v>
      </c>
      <c r="F33" s="115">
        <v>-15.19</v>
      </c>
      <c r="G33" s="116">
        <f>IFERROR(F33/F148, "NA")</f>
        <v>-5.6341831343194445E-4</v>
      </c>
      <c r="H33" s="115">
        <v>15.19</v>
      </c>
      <c r="I33" s="116">
        <f>IFERROR(H33/H148, "NA")</f>
        <v>6.3156170366160261E-4</v>
      </c>
      <c r="J33" s="115">
        <v>0</v>
      </c>
      <c r="K33" s="116">
        <f>IFERROR(J33/J148, "NA")</f>
        <v>0</v>
      </c>
      <c r="L33" s="115">
        <v>0</v>
      </c>
      <c r="M33" s="116">
        <f>IFERROR(L33/L148, "NA")</f>
        <v>0</v>
      </c>
      <c r="N33" s="115">
        <v>0</v>
      </c>
      <c r="O33" s="116">
        <f>IFERROR(N33/N148, "NA")</f>
        <v>0</v>
      </c>
      <c r="P33" s="115">
        <v>0</v>
      </c>
      <c r="Q33" s="116">
        <f>IFERROR(P33/P148, "NA")</f>
        <v>0</v>
      </c>
      <c r="R33" s="115">
        <v>0</v>
      </c>
      <c r="S33" s="116">
        <f>IFERROR(R33/R148, "NA")</f>
        <v>0</v>
      </c>
      <c r="T33" s="115">
        <v>0</v>
      </c>
      <c r="U33" s="116">
        <f>IFERROR(T33/T148, "NA")</f>
        <v>0</v>
      </c>
      <c r="V33" s="115">
        <v>0</v>
      </c>
      <c r="W33" s="116">
        <f>IFERROR(V33/V148, "NA")</f>
        <v>0</v>
      </c>
      <c r="X33" s="115">
        <v>0</v>
      </c>
      <c r="Y33" s="116">
        <f>IFERROR(X33/X148, "NA")</f>
        <v>0</v>
      </c>
      <c r="Z33" s="115">
        <v>0</v>
      </c>
      <c r="AA33" s="116">
        <f>IFERROR(Z33/Z148, "NA")</f>
        <v>0</v>
      </c>
      <c r="AB33" s="117">
        <f t="shared" si="6"/>
        <v>0</v>
      </c>
      <c r="AC33" s="116">
        <f>IFERROR(AB33/AB148, "NA")</f>
        <v>0</v>
      </c>
      <c r="AD33" s="118">
        <f t="shared" si="7"/>
        <v>0</v>
      </c>
      <c r="AE33" s="119">
        <f>IFERROR(AD33/AD148, "NA")</f>
        <v>0</v>
      </c>
      <c r="AF33" s="118" t="str">
        <f t="shared" si="8"/>
        <v>NA</v>
      </c>
      <c r="AG33" s="117">
        <f t="shared" si="9"/>
        <v>0</v>
      </c>
      <c r="AH33" s="116">
        <f>IFERROR(AG33/AG148, "NA")</f>
        <v>0</v>
      </c>
      <c r="AI33" s="118">
        <f t="shared" si="10"/>
        <v>0</v>
      </c>
      <c r="AJ33" s="119">
        <f>IFERROR(AI33/AI148, "NA")</f>
        <v>0</v>
      </c>
      <c r="AK33" s="118" t="str">
        <f t="shared" si="11"/>
        <v>NA</v>
      </c>
      <c r="AL33" s="119" t="str">
        <f>IFERROR(AK33/AK148, "NA")</f>
        <v>NA</v>
      </c>
    </row>
    <row r="34" spans="1:38" ht="16.5" customHeight="1" x14ac:dyDescent="0.25">
      <c r="A34" s="129" t="s">
        <v>40</v>
      </c>
      <c r="B34" s="121">
        <f>IFERROR(B29+B30+B31+B32+B33, "NA")</f>
        <v>300.55</v>
      </c>
      <c r="C34" s="122">
        <f>IFERROR(B34/B148, "NA")</f>
        <v>1.1257823447512248E-2</v>
      </c>
      <c r="D34" s="121">
        <f>IFERROR(D29+D30+D31+D32+D33, "NA")</f>
        <v>212.34</v>
      </c>
      <c r="E34" s="122">
        <f>IFERROR(D34/D148, "NA")</f>
        <v>9.2919372293188314E-3</v>
      </c>
      <c r="F34" s="121">
        <f>IFERROR(F29+F30+F31+F32+F33, "NA")</f>
        <v>275.73</v>
      </c>
      <c r="G34" s="122">
        <f>IFERROR(F34/F148, "NA")</f>
        <v>1.0227210767780782E-2</v>
      </c>
      <c r="H34" s="121">
        <f>IFERROR(H29+H30+H31+H32+H33, "NA")</f>
        <v>246.64</v>
      </c>
      <c r="I34" s="122">
        <f>IFERROR(H34/H148, "NA")</f>
        <v>1.0254666135029471E-2</v>
      </c>
      <c r="J34" s="121">
        <f>IFERROR(J29+J30+J31+J32+J33, "NA")</f>
        <v>269.26</v>
      </c>
      <c r="K34" s="122">
        <f>IFERROR(J34/J148, "NA")</f>
        <v>1.072717378053396E-2</v>
      </c>
      <c r="L34" s="121">
        <f>IFERROR(L29+L30+L31+L32+L33, "NA")</f>
        <v>245.07</v>
      </c>
      <c r="M34" s="122">
        <f>IFERROR(L34/L148, "NA")</f>
        <v>1.0842874549706795E-2</v>
      </c>
      <c r="N34" s="121">
        <f>IFERROR(N29+N30+N31+N32+N33, "NA")</f>
        <v>242.98</v>
      </c>
      <c r="O34" s="122">
        <f>IFERROR(N34/N148, "NA")</f>
        <v>8.70104231310646E-3</v>
      </c>
      <c r="P34" s="121">
        <f>IFERROR(P29+P30+P31+P32+P33, "NA")</f>
        <v>159.67000000000002</v>
      </c>
      <c r="Q34" s="122">
        <f>IFERROR(P34/P148, "NA")</f>
        <v>5.7741614682216801E-3</v>
      </c>
      <c r="R34" s="121">
        <f>IFERROR(R29+R30+R31+R32+R33, "NA")</f>
        <v>231.93</v>
      </c>
      <c r="S34" s="122">
        <f>IFERROR(R34/R148, "NA")</f>
        <v>9.8976352448505028E-3</v>
      </c>
      <c r="T34" s="121">
        <f>IFERROR(T29+T30+T31+T32+T33, "NA")</f>
        <v>303.28000000000003</v>
      </c>
      <c r="U34" s="122">
        <f>IFERROR(T34/T148, "NA")</f>
        <v>9.6338972907363974E-3</v>
      </c>
      <c r="V34" s="121">
        <f>IFERROR(V29+V30+V31+V32+V33, "NA")</f>
        <v>376.78</v>
      </c>
      <c r="W34" s="122">
        <f>IFERROR(V34/V148, "NA")</f>
        <v>1.1466747254666907E-2</v>
      </c>
      <c r="X34" s="121">
        <f>IFERROR(X29+X30+X31+X32+X33, "NA")</f>
        <v>204.97</v>
      </c>
      <c r="Y34" s="122">
        <f>IFERROR(X34/X148, "NA")</f>
        <v>5.8959214674881508E-3</v>
      </c>
      <c r="Z34" s="121">
        <f>IFERROR(Z29+Z30+Z31+Z32+Z33, "NA")</f>
        <v>581.75</v>
      </c>
      <c r="AA34" s="122">
        <f>IFERROR(Z34/Z148, "NA")</f>
        <v>8.6028167847720903E-3</v>
      </c>
      <c r="AB34" s="121">
        <f t="shared" si="6"/>
        <v>279.24</v>
      </c>
      <c r="AC34" s="122">
        <f>IFERROR(AB34/AB148, "NA")</f>
        <v>9.115318870495652E-3</v>
      </c>
      <c r="AD34" s="123">
        <f t="shared" si="7"/>
        <v>-74.27000000000001</v>
      </c>
      <c r="AE34" s="124">
        <f>IFERROR(AD34/AD148, "NA")</f>
        <v>-1.7980591032945848E-2</v>
      </c>
      <c r="AF34" s="123">
        <f t="shared" si="8"/>
        <v>-0.26597192379315288</v>
      </c>
      <c r="AG34" s="121">
        <f t="shared" si="9"/>
        <v>254.24250000000001</v>
      </c>
      <c r="AH34" s="122">
        <f>IFERROR(AG34/AG148, "NA")</f>
        <v>9.0070218316013646E-3</v>
      </c>
      <c r="AI34" s="123">
        <f t="shared" si="10"/>
        <v>-49.272500000000008</v>
      </c>
      <c r="AJ34" s="124">
        <f>IFERROR(AI34/AI148, "NA")</f>
        <v>-7.5368261086455543E-3</v>
      </c>
      <c r="AK34" s="123">
        <f t="shared" si="11"/>
        <v>-0.19380119374219498</v>
      </c>
      <c r="AL34" s="124">
        <f>IFERROR(AK34/AK148, "NA")</f>
        <v>-0.83677227051925296</v>
      </c>
    </row>
    <row r="35" spans="1:38" ht="16.5" customHeight="1" x14ac:dyDescent="0.25">
      <c r="A35" s="130" t="s">
        <v>41</v>
      </c>
      <c r="B35" s="121">
        <f>IFERROR(B13+B15+B16+B17+B18+B19+B20+B21+B22+B23+B24+B25+B26+B29+B30+B31+B32+B33, "NA")</f>
        <v>5468.13</v>
      </c>
      <c r="C35" s="122">
        <f>IFERROR(B35/B148, "NA")</f>
        <v>0.2048219668209787</v>
      </c>
      <c r="D35" s="121">
        <f>IFERROR(D13+D15+D16+D17+D18+D19+D20+D21+D22+D23+D24+D25+D26+D29+D30+D31+D32+D33, "NA")</f>
        <v>5838.91</v>
      </c>
      <c r="E35" s="122">
        <f>IFERROR(D35/D148, "NA")</f>
        <v>0.25550901953302263</v>
      </c>
      <c r="F35" s="121">
        <f>IFERROR(F13+F15+F16+F17+F18+F19+F20+F21+F22+F23+F24+F25+F26+F29+F30+F31+F32+F33, "NA")</f>
        <v>5755.58</v>
      </c>
      <c r="G35" s="122">
        <f>IFERROR(F35/F148, "NA")</f>
        <v>0.21348250009365577</v>
      </c>
      <c r="H35" s="121">
        <f>IFERROR(H13+H15+H16+H17+H18+H19+H20+H21+H22+H23+H24+H25+H26+H29+H30+H31+H32+H33, "NA")</f>
        <v>5603.73</v>
      </c>
      <c r="I35" s="122">
        <f>IFERROR(H35/H148, "NA")</f>
        <v>0.23298889174849455</v>
      </c>
      <c r="J35" s="121">
        <f>IFERROR(J13+J15+J16+J17+J18+J19+J20+J21+J22+J23+J24+J25+J26+J29+J30+J31+J32+J33, "NA")</f>
        <v>5766.380000000001</v>
      </c>
      <c r="K35" s="122">
        <f>IFERROR(J35/J148, "NA")</f>
        <v>0.22972948207901442</v>
      </c>
      <c r="L35" s="121">
        <f>IFERROR(L13+L15+L16+L17+L18+L19+L20+L21+L22+L23+L24+L25+L26+L29+L30+L31+L32+L33, "NA")</f>
        <v>4681.51</v>
      </c>
      <c r="M35" s="122">
        <f>IFERROR(L35/L148, "NA")</f>
        <v>0.20712868010445123</v>
      </c>
      <c r="N35" s="121">
        <f>IFERROR(N13+N15+N16+N17+N18+N19+N20+N21+N22+N23+N24+N25+N26+N29+N30+N31+N32+N33, "NA")</f>
        <v>6202.5099999999984</v>
      </c>
      <c r="O35" s="122">
        <f>IFERROR(N35/N148, "NA")</f>
        <v>0.22211005826597224</v>
      </c>
      <c r="P35" s="121">
        <f>IFERROR(P13+P15+P16+P17+P18+P19+P20+P21+P22+P23+P24+P25+P26+P29+P30+P31+P32+P33, "NA")</f>
        <v>5967.2800000000007</v>
      </c>
      <c r="Q35" s="122">
        <f>IFERROR(P35/P148, "NA")</f>
        <v>0.21579531687912487</v>
      </c>
      <c r="R35" s="121">
        <f>IFERROR(R13+R15+R16+R17+R18+R19+R20+R21+R22+R23+R24+R25+R26+R29+R30+R31+R32+R33, "NA")</f>
        <v>5502.0099999999993</v>
      </c>
      <c r="S35" s="122">
        <f>IFERROR(R35/R148, "NA")</f>
        <v>0.2347988103889963</v>
      </c>
      <c r="T35" s="121">
        <f>IFERROR(T13+T15+T16+T17+T18+T19+T20+T21+T22+T23+T24+T25+T26+T29+T30+T31+T32+T33, "NA")</f>
        <v>7478.7699999999995</v>
      </c>
      <c r="U35" s="122">
        <f>IFERROR(T35/T148, "NA")</f>
        <v>0.23756826048879132</v>
      </c>
      <c r="V35" s="121">
        <f>IFERROR(V13+V15+V16+V17+V18+V19+V20+V21+V22+V23+V24+V25+V26+V29+V30+V31+V32+V33, "NA")</f>
        <v>7147.78</v>
      </c>
      <c r="W35" s="122">
        <f>IFERROR(V35/V148, "NA")</f>
        <v>0.21753221161410644</v>
      </c>
      <c r="X35" s="121">
        <f>IFERROR(X13+X15+X16+X17+X18+X19+X20+X21+X22+X23+X24+X25+X26+X29+X30+X31+X32+X33, "NA")</f>
        <v>7496.71</v>
      </c>
      <c r="Y35" s="122">
        <f>IFERROR(X35/X148, "NA")</f>
        <v>0.21564137885804313</v>
      </c>
      <c r="Z35" s="121">
        <f>IFERROR(Z13+Z15+Z16+Z17+Z18+Z19+Z20+Z21+Z22+Z23+Z24+Z25+Z26+Z29+Z30+Z31+Z32+Z33, "NA")</f>
        <v>14644.489999999998</v>
      </c>
      <c r="AA35" s="122">
        <f>IFERROR(Z35/Z148, "NA")</f>
        <v>0.21656014503898069</v>
      </c>
      <c r="AB35" s="121">
        <f t="shared" si="6"/>
        <v>6906.3174999999992</v>
      </c>
      <c r="AC35" s="122">
        <f>IFERROR(AB35/AB148, "NA")</f>
        <v>0.22544508749958583</v>
      </c>
      <c r="AD35" s="123">
        <f t="shared" si="7"/>
        <v>590.39250000000084</v>
      </c>
      <c r="AE35" s="124">
        <f>IFERROR(AD35/AD148, "NA")</f>
        <v>0.14293262543986127</v>
      </c>
      <c r="AF35" s="123">
        <f t="shared" si="8"/>
        <v>8.5485861314658781E-2</v>
      </c>
      <c r="AG35" s="121">
        <f t="shared" si="9"/>
        <v>6280.3687499999996</v>
      </c>
      <c r="AH35" s="122">
        <f>IFERROR(AG35/AG148, "NA")</f>
        <v>0.22249395141157347</v>
      </c>
      <c r="AI35" s="123">
        <f t="shared" si="10"/>
        <v>1216.3412500000004</v>
      </c>
      <c r="AJ35" s="124">
        <f>IFERROR(AI35/AI148, "NA")</f>
        <v>0.18605413750109231</v>
      </c>
      <c r="AK35" s="123">
        <f t="shared" si="11"/>
        <v>0.19367354026783865</v>
      </c>
      <c r="AL35" s="124">
        <f>IFERROR(AK35/AK148, "NA")</f>
        <v>0.83622110318372611</v>
      </c>
    </row>
    <row r="36" spans="1:38" ht="16.5" customHeight="1" x14ac:dyDescent="0.25">
      <c r="A36" s="4" t="s">
        <v>42</v>
      </c>
      <c r="B36" s="111"/>
      <c r="C36" s="112"/>
      <c r="D36" s="111"/>
      <c r="E36" s="112"/>
      <c r="F36" s="111"/>
      <c r="G36" s="112"/>
      <c r="H36" s="111"/>
      <c r="I36" s="112"/>
      <c r="J36" s="111"/>
      <c r="K36" s="112"/>
      <c r="L36" s="111"/>
      <c r="M36" s="112"/>
      <c r="N36" s="111"/>
      <c r="O36" s="112"/>
      <c r="P36" s="111"/>
      <c r="Q36" s="112"/>
      <c r="R36" s="111"/>
      <c r="S36" s="112"/>
      <c r="T36" s="111"/>
      <c r="U36" s="112"/>
      <c r="V36" s="111"/>
      <c r="W36" s="112"/>
      <c r="X36" s="111"/>
      <c r="Y36" s="112"/>
      <c r="Z36" s="111"/>
      <c r="AA36" s="112"/>
      <c r="AB36" s="111"/>
      <c r="AC36" s="112"/>
      <c r="AD36" s="113"/>
      <c r="AE36" s="114"/>
      <c r="AF36" s="113"/>
      <c r="AG36" s="111"/>
      <c r="AH36" s="112"/>
      <c r="AI36" s="113"/>
      <c r="AJ36" s="114"/>
      <c r="AK36" s="113"/>
      <c r="AL36" s="114"/>
    </row>
    <row r="37" spans="1:38" ht="16.5" hidden="1" customHeight="1" x14ac:dyDescent="0.25">
      <c r="A37" s="5" t="s">
        <v>43</v>
      </c>
      <c r="B37" s="115">
        <v>0</v>
      </c>
      <c r="C37" s="116">
        <f>IFERROR(B37/B148, "NA")</f>
        <v>0</v>
      </c>
      <c r="D37" s="115">
        <v>0</v>
      </c>
      <c r="E37" s="116">
        <f>IFERROR(D37/D148, "NA")</f>
        <v>0</v>
      </c>
      <c r="F37" s="115">
        <v>0</v>
      </c>
      <c r="G37" s="116">
        <f>IFERROR(F37/F148, "NA")</f>
        <v>0</v>
      </c>
      <c r="H37" s="115">
        <v>0</v>
      </c>
      <c r="I37" s="116">
        <f>IFERROR(H37/H148, "NA")</f>
        <v>0</v>
      </c>
      <c r="J37" s="115">
        <v>0</v>
      </c>
      <c r="K37" s="116">
        <f>IFERROR(J37/J148, "NA")</f>
        <v>0</v>
      </c>
      <c r="L37" s="115">
        <v>0</v>
      </c>
      <c r="M37" s="116">
        <f>IFERROR(L37/L148, "NA")</f>
        <v>0</v>
      </c>
      <c r="N37" s="115">
        <v>0</v>
      </c>
      <c r="O37" s="116">
        <f>IFERROR(N37/N148, "NA")</f>
        <v>0</v>
      </c>
      <c r="P37" s="115">
        <v>0</v>
      </c>
      <c r="Q37" s="116">
        <f>IFERROR(P37/P148, "NA")</f>
        <v>0</v>
      </c>
      <c r="R37" s="115">
        <v>0</v>
      </c>
      <c r="S37" s="116">
        <f>IFERROR(R37/R148, "NA")</f>
        <v>0</v>
      </c>
      <c r="T37" s="115">
        <v>0</v>
      </c>
      <c r="U37" s="116">
        <f>IFERROR(T37/T148, "NA")</f>
        <v>0</v>
      </c>
      <c r="V37" s="115">
        <v>0</v>
      </c>
      <c r="W37" s="116">
        <f>IFERROR(V37/V148, "NA")</f>
        <v>0</v>
      </c>
      <c r="X37" s="115">
        <v>0</v>
      </c>
      <c r="Y37" s="116">
        <f>IFERROR(X37/X148, "NA")</f>
        <v>0</v>
      </c>
      <c r="Z37" s="115">
        <v>0</v>
      </c>
      <c r="AA37" s="116">
        <f>IFERROR(Z37/Z148, "NA")</f>
        <v>0</v>
      </c>
      <c r="AB37" s="117">
        <f>IFERROR((R37+T37+V37+X37)/4, "NA")</f>
        <v>0</v>
      </c>
      <c r="AC37" s="116">
        <f>IFERROR(AB37/AB148, "NA")</f>
        <v>0</v>
      </c>
      <c r="AD37" s="118">
        <f>IFERROR(X37-AB37, "NA")</f>
        <v>0</v>
      </c>
      <c r="AE37" s="119">
        <f>IFERROR(AD37/AD148, "NA")</f>
        <v>0</v>
      </c>
      <c r="AF37" s="118" t="str">
        <f>IFERROR((X37-AB37)/AB37, "NA")</f>
        <v>NA</v>
      </c>
      <c r="AG37" s="117">
        <f>IFERROR((J37+L37+N37+P37+R37+T37+V37+X37)/8, "NA")</f>
        <v>0</v>
      </c>
      <c r="AH37" s="116">
        <f>IFERROR(AG37/AG148, "NA")</f>
        <v>0</v>
      </c>
      <c r="AI37" s="118">
        <f>IFERROR(X37-AG37, "NA")</f>
        <v>0</v>
      </c>
      <c r="AJ37" s="119">
        <f>IFERROR(AI37/AI148, "NA")</f>
        <v>0</v>
      </c>
      <c r="AK37" s="118" t="str">
        <f>IFERROR((X37-AG37)/AG37, "NA")</f>
        <v>NA</v>
      </c>
      <c r="AL37" s="119" t="str">
        <f>IFERROR(AK37/AK148, "NA")</f>
        <v>NA</v>
      </c>
    </row>
    <row r="38" spans="1:38" ht="16.5" customHeight="1" x14ac:dyDescent="0.25">
      <c r="A38" s="6" t="s">
        <v>44</v>
      </c>
      <c r="B38" s="111"/>
      <c r="C38" s="112"/>
      <c r="D38" s="111"/>
      <c r="E38" s="112"/>
      <c r="F38" s="111"/>
      <c r="G38" s="112"/>
      <c r="H38" s="111"/>
      <c r="I38" s="112"/>
      <c r="J38" s="111"/>
      <c r="K38" s="112"/>
      <c r="L38" s="111"/>
      <c r="M38" s="112"/>
      <c r="N38" s="111"/>
      <c r="O38" s="112"/>
      <c r="P38" s="111"/>
      <c r="Q38" s="112"/>
      <c r="R38" s="111"/>
      <c r="S38" s="112"/>
      <c r="T38" s="111"/>
      <c r="U38" s="112"/>
      <c r="V38" s="111"/>
      <c r="W38" s="112"/>
      <c r="X38" s="111"/>
      <c r="Y38" s="112"/>
      <c r="Z38" s="111"/>
      <c r="AA38" s="112"/>
      <c r="AB38" s="111"/>
      <c r="AC38" s="112"/>
      <c r="AD38" s="113"/>
      <c r="AE38" s="114"/>
      <c r="AF38" s="113"/>
      <c r="AG38" s="111"/>
      <c r="AH38" s="112"/>
      <c r="AI38" s="113"/>
      <c r="AJ38" s="114"/>
      <c r="AK38" s="113"/>
      <c r="AL38" s="114"/>
    </row>
    <row r="39" spans="1:38" ht="16.5" hidden="1" customHeight="1" x14ac:dyDescent="0.25">
      <c r="A39" s="7" t="s">
        <v>45</v>
      </c>
      <c r="B39" s="115">
        <v>0</v>
      </c>
      <c r="C39" s="116">
        <f>IFERROR(B39/B148, "NA")</f>
        <v>0</v>
      </c>
      <c r="D39" s="115">
        <v>0</v>
      </c>
      <c r="E39" s="116">
        <f>IFERROR(D39/D148, "NA")</f>
        <v>0</v>
      </c>
      <c r="F39" s="115">
        <v>0</v>
      </c>
      <c r="G39" s="116">
        <f>IFERROR(F39/F148, "NA")</f>
        <v>0</v>
      </c>
      <c r="H39" s="115">
        <v>0</v>
      </c>
      <c r="I39" s="116">
        <f>IFERROR(H39/H148, "NA")</f>
        <v>0</v>
      </c>
      <c r="J39" s="115">
        <v>0</v>
      </c>
      <c r="K39" s="116">
        <f>IFERROR(J39/J148, "NA")</f>
        <v>0</v>
      </c>
      <c r="L39" s="115">
        <v>0</v>
      </c>
      <c r="M39" s="116">
        <f>IFERROR(L39/L148, "NA")</f>
        <v>0</v>
      </c>
      <c r="N39" s="115">
        <v>0</v>
      </c>
      <c r="O39" s="116">
        <f>IFERROR(N39/N148, "NA")</f>
        <v>0</v>
      </c>
      <c r="P39" s="115">
        <v>0</v>
      </c>
      <c r="Q39" s="116">
        <f>IFERROR(P39/P148, "NA")</f>
        <v>0</v>
      </c>
      <c r="R39" s="115">
        <v>0</v>
      </c>
      <c r="S39" s="116">
        <f>IFERROR(R39/R148, "NA")</f>
        <v>0</v>
      </c>
      <c r="T39" s="115">
        <v>0</v>
      </c>
      <c r="U39" s="116">
        <f>IFERROR(T39/T148, "NA")</f>
        <v>0</v>
      </c>
      <c r="V39" s="115">
        <v>0</v>
      </c>
      <c r="W39" s="116">
        <f>IFERROR(V39/V148, "NA")</f>
        <v>0</v>
      </c>
      <c r="X39" s="115">
        <v>0</v>
      </c>
      <c r="Y39" s="116">
        <f>IFERROR(X39/X148, "NA")</f>
        <v>0</v>
      </c>
      <c r="Z39" s="115">
        <v>0</v>
      </c>
      <c r="AA39" s="116">
        <f>IFERROR(Z39/Z148, "NA")</f>
        <v>0</v>
      </c>
      <c r="AB39" s="117">
        <f t="shared" ref="AB39:AB44" si="12">IFERROR((R39+T39+V39+X39)/4, "NA")</f>
        <v>0</v>
      </c>
      <c r="AC39" s="116">
        <f>IFERROR(AB39/AB148, "NA")</f>
        <v>0</v>
      </c>
      <c r="AD39" s="118">
        <f t="shared" ref="AD39:AD44" si="13">IFERROR(X39-AB39, "NA")</f>
        <v>0</v>
      </c>
      <c r="AE39" s="119">
        <f>IFERROR(AD39/AD148, "NA")</f>
        <v>0</v>
      </c>
      <c r="AF39" s="118" t="str">
        <f t="shared" ref="AF39:AF44" si="14">IFERROR((X39-AB39)/AB39, "NA")</f>
        <v>NA</v>
      </c>
      <c r="AG39" s="117">
        <f t="shared" ref="AG39:AG44" si="15">IFERROR((J39+L39+N39+P39+R39+T39+V39+X39)/8, "NA")</f>
        <v>0</v>
      </c>
      <c r="AH39" s="116">
        <f>IFERROR(AG39/AG148, "NA")</f>
        <v>0</v>
      </c>
      <c r="AI39" s="118">
        <f t="shared" ref="AI39:AI44" si="16">IFERROR(X39-AG39, "NA")</f>
        <v>0</v>
      </c>
      <c r="AJ39" s="119">
        <f>IFERROR(AI39/AI148, "NA")</f>
        <v>0</v>
      </c>
      <c r="AK39" s="118" t="str">
        <f t="shared" ref="AK39:AK44" si="17">IFERROR((X39-AG39)/AG39, "NA")</f>
        <v>NA</v>
      </c>
      <c r="AL39" s="119" t="str">
        <f>IFERROR(AK39/AK148, "NA")</f>
        <v>NA</v>
      </c>
    </row>
    <row r="40" spans="1:38" ht="16.5" customHeight="1" x14ac:dyDescent="0.25">
      <c r="A40" s="7" t="s">
        <v>46</v>
      </c>
      <c r="B40" s="115">
        <v>769.11</v>
      </c>
      <c r="C40" s="116">
        <f>IFERROR(B40/B148, "NA")</f>
        <v>2.8808865718569769E-2</v>
      </c>
      <c r="D40" s="115">
        <v>773.49</v>
      </c>
      <c r="E40" s="116">
        <f>IFERROR(D40/D148, "NA")</f>
        <v>3.3847699573824164E-2</v>
      </c>
      <c r="F40" s="115">
        <v>632.12</v>
      </c>
      <c r="G40" s="116">
        <f>IFERROR(F40/F148, "NA")</f>
        <v>2.3446213580421382E-2</v>
      </c>
      <c r="H40" s="115">
        <v>793.98</v>
      </c>
      <c r="I40" s="116">
        <f>IFERROR(H40/H148, "NA")</f>
        <v>3.301167619968659E-2</v>
      </c>
      <c r="J40" s="115">
        <v>805.91</v>
      </c>
      <c r="K40" s="116">
        <f>IFERROR(J40/J148, "NA")</f>
        <v>3.2107021545978325E-2</v>
      </c>
      <c r="L40" s="115">
        <v>628.97</v>
      </c>
      <c r="M40" s="116">
        <f>IFERROR(L40/L148, "NA")</f>
        <v>2.7828142186024741E-2</v>
      </c>
      <c r="N40" s="115">
        <v>672.84</v>
      </c>
      <c r="O40" s="116">
        <f>IFERROR(N40/N148, "NA")</f>
        <v>2.4094202444442138E-2</v>
      </c>
      <c r="P40" s="115">
        <v>801.04</v>
      </c>
      <c r="Q40" s="116">
        <f>IFERROR(P40/P148, "NA")</f>
        <v>2.8968086068167434E-2</v>
      </c>
      <c r="R40" s="115">
        <v>756.94</v>
      </c>
      <c r="S40" s="116">
        <f>IFERROR(R40/R148, "NA")</f>
        <v>3.2302487915479412E-2</v>
      </c>
      <c r="T40" s="115">
        <v>883.57</v>
      </c>
      <c r="U40" s="116">
        <f>IFERROR(T40/T148, "NA")</f>
        <v>2.8067207297467547E-2</v>
      </c>
      <c r="V40" s="115">
        <v>878.67</v>
      </c>
      <c r="W40" s="116">
        <f>IFERROR(V40/V148, "NA")</f>
        <v>2.674103405238646E-2</v>
      </c>
      <c r="X40" s="115">
        <v>738.09</v>
      </c>
      <c r="Y40" s="116">
        <f>IFERROR(X40/X148, "NA")</f>
        <v>2.123101271375484E-2</v>
      </c>
      <c r="Z40" s="115">
        <v>1616.76</v>
      </c>
      <c r="AA40" s="116">
        <f>IFERROR(Z40/Z148, "NA")</f>
        <v>2.3908362810396433E-2</v>
      </c>
      <c r="AB40" s="117">
        <f t="shared" si="12"/>
        <v>814.31750000000011</v>
      </c>
      <c r="AC40" s="116">
        <f>IFERROR(AB40/AB148, "NA")</f>
        <v>2.6582021466569419E-2</v>
      </c>
      <c r="AD40" s="118">
        <f t="shared" si="13"/>
        <v>-76.227500000000077</v>
      </c>
      <c r="AE40" s="119">
        <f>IFERROR(AD40/AD148, "NA")</f>
        <v>-1.8454497145063697E-2</v>
      </c>
      <c r="AF40" s="118">
        <f t="shared" si="14"/>
        <v>-9.3609065260171945E-2</v>
      </c>
      <c r="AG40" s="117">
        <f t="shared" si="15"/>
        <v>770.75375000000008</v>
      </c>
      <c r="AH40" s="116">
        <f>IFERROR(AG40/AG148, "NA")</f>
        <v>2.7305410594368057E-2</v>
      </c>
      <c r="AI40" s="118">
        <f t="shared" si="16"/>
        <v>-32.66375000000005</v>
      </c>
      <c r="AJ40" s="119">
        <f>IFERROR(AI40/AI148, "NA")</f>
        <v>-4.9963164809228586E-3</v>
      </c>
      <c r="AK40" s="118">
        <f t="shared" si="17"/>
        <v>-4.2378969936896251E-2</v>
      </c>
      <c r="AL40" s="119">
        <f>IFERROR(AK40/AK148, "NA")</f>
        <v>-0.18297899105583809</v>
      </c>
    </row>
    <row r="41" spans="1:38" ht="16.5" customHeight="1" x14ac:dyDescent="0.25">
      <c r="A41" s="7" t="s">
        <v>47</v>
      </c>
      <c r="B41" s="115">
        <v>-0.57999999999999996</v>
      </c>
      <c r="C41" s="116">
        <f>IFERROR(B41/B148, "NA")</f>
        <v>-2.1725295623214448E-5</v>
      </c>
      <c r="D41" s="115">
        <v>139.15</v>
      </c>
      <c r="E41" s="116">
        <f>IFERROR(D41/D148, "NA")</f>
        <v>6.0891639138161225E-3</v>
      </c>
      <c r="F41" s="115">
        <v>118.1</v>
      </c>
      <c r="G41" s="116">
        <f>IFERROR(F41/F148, "NA")</f>
        <v>4.3804939312911554E-3</v>
      </c>
      <c r="H41" s="115">
        <v>140.34</v>
      </c>
      <c r="I41" s="116">
        <f>IFERROR(H41/H148, "NA")</f>
        <v>5.8349815333686187E-3</v>
      </c>
      <c r="J41" s="115">
        <v>34.340000000000003</v>
      </c>
      <c r="K41" s="116">
        <f>IFERROR(J41/J148, "NA")</f>
        <v>1.3680871559961978E-3</v>
      </c>
      <c r="L41" s="115">
        <v>154.06</v>
      </c>
      <c r="M41" s="116">
        <f>IFERROR(L41/L148, "NA")</f>
        <v>6.8162290493647892E-3</v>
      </c>
      <c r="N41" s="115">
        <v>358.94</v>
      </c>
      <c r="O41" s="116">
        <f>IFERROR(N41/N148, "NA")</f>
        <v>1.2853535796635248E-2</v>
      </c>
      <c r="P41" s="115">
        <v>319.52</v>
      </c>
      <c r="Q41" s="116">
        <f>IFERROR(P41/P148, "NA")</f>
        <v>1.1554832293644336E-2</v>
      </c>
      <c r="R41" s="115">
        <v>213.8</v>
      </c>
      <c r="S41" s="116">
        <f>IFERROR(R41/R148, "NA")</f>
        <v>9.123935736424945E-3</v>
      </c>
      <c r="T41" s="115">
        <v>152.63999999999999</v>
      </c>
      <c r="U41" s="116">
        <f>IFERROR(T41/T148, "NA")</f>
        <v>4.8487143315022532E-3</v>
      </c>
      <c r="V41" s="115">
        <v>318.49</v>
      </c>
      <c r="W41" s="116">
        <f>IFERROR(V41/V148, "NA")</f>
        <v>9.6927765092066024E-3</v>
      </c>
      <c r="X41" s="115">
        <v>-5129.66</v>
      </c>
      <c r="Y41" s="116">
        <f>IFERROR(X41/X148, "NA")</f>
        <v>-0.14755365426606465</v>
      </c>
      <c r="Z41" s="115">
        <v>-4811.17</v>
      </c>
      <c r="AA41" s="116">
        <f>IFERROR(Z41/Z148, "NA")</f>
        <v>-7.1146736622934151E-2</v>
      </c>
      <c r="AB41" s="117">
        <f t="shared" si="12"/>
        <v>-1111.1824999999999</v>
      </c>
      <c r="AC41" s="116">
        <f>IFERROR(AB41/AB148, "NA")</f>
        <v>-3.6272678738055203E-2</v>
      </c>
      <c r="AD41" s="118">
        <f t="shared" si="13"/>
        <v>-4018.4775</v>
      </c>
      <c r="AE41" s="119">
        <f>IFERROR(AD41/AD148, "NA")</f>
        <v>-0.97286388181762007</v>
      </c>
      <c r="AF41" s="118">
        <f t="shared" si="14"/>
        <v>3.6163973964672773</v>
      </c>
      <c r="AG41" s="117">
        <f t="shared" si="15"/>
        <v>-447.23374999999999</v>
      </c>
      <c r="AH41" s="116">
        <f>IFERROR(AG41/AG148, "NA")</f>
        <v>-1.5844102186215705E-2</v>
      </c>
      <c r="AI41" s="118">
        <f t="shared" si="16"/>
        <v>-4682.4262499999995</v>
      </c>
      <c r="AJ41" s="119">
        <f>IFERROR(AI41/AI148, "NA")</f>
        <v>-0.71623385078506852</v>
      </c>
      <c r="AK41" s="118">
        <f t="shared" si="17"/>
        <v>10.46975155609343</v>
      </c>
      <c r="AL41" s="119">
        <f>IFERROR(AK41/AK148, "NA")</f>
        <v>45.205076461081433</v>
      </c>
    </row>
    <row r="42" spans="1:38" ht="16.5" customHeight="1" x14ac:dyDescent="0.25">
      <c r="A42" s="7" t="s">
        <v>48</v>
      </c>
      <c r="B42" s="115">
        <v>0</v>
      </c>
      <c r="C42" s="116">
        <f>IFERROR(B42/B148, "NA")</f>
        <v>0</v>
      </c>
      <c r="D42" s="115">
        <v>0</v>
      </c>
      <c r="E42" s="116">
        <f>IFERROR(D42/D148, "NA")</f>
        <v>0</v>
      </c>
      <c r="F42" s="115">
        <v>0</v>
      </c>
      <c r="G42" s="116">
        <f>IFERROR(F42/F148, "NA")</f>
        <v>0</v>
      </c>
      <c r="H42" s="115">
        <v>0</v>
      </c>
      <c r="I42" s="116">
        <f>IFERROR(H42/H148, "NA")</f>
        <v>0</v>
      </c>
      <c r="J42" s="115">
        <v>0</v>
      </c>
      <c r="K42" s="116">
        <f>IFERROR(J42/J148, "NA")</f>
        <v>0</v>
      </c>
      <c r="L42" s="115">
        <v>0</v>
      </c>
      <c r="M42" s="116">
        <f>IFERROR(L42/L148, "NA")</f>
        <v>0</v>
      </c>
      <c r="N42" s="115">
        <v>0</v>
      </c>
      <c r="O42" s="116">
        <f>IFERROR(N42/N148, "NA")</f>
        <v>0</v>
      </c>
      <c r="P42" s="115">
        <v>0</v>
      </c>
      <c r="Q42" s="116">
        <f>IFERROR(P42/P148, "NA")</f>
        <v>0</v>
      </c>
      <c r="R42" s="115">
        <v>0</v>
      </c>
      <c r="S42" s="116">
        <f>IFERROR(R42/R148, "NA")</f>
        <v>0</v>
      </c>
      <c r="T42" s="115">
        <v>77.150000000000006</v>
      </c>
      <c r="U42" s="116">
        <f>IFERROR(T42/T148, "NA")</f>
        <v>2.450722685242393E-3</v>
      </c>
      <c r="V42" s="115">
        <v>0</v>
      </c>
      <c r="W42" s="116">
        <f>IFERROR(V42/V148, "NA")</f>
        <v>0</v>
      </c>
      <c r="X42" s="115">
        <v>0</v>
      </c>
      <c r="Y42" s="116">
        <f>IFERROR(X42/X148, "NA")</f>
        <v>0</v>
      </c>
      <c r="Z42" s="115">
        <v>0</v>
      </c>
      <c r="AA42" s="116">
        <f>IFERROR(Z42/Z148, "NA")</f>
        <v>0</v>
      </c>
      <c r="AB42" s="117">
        <f t="shared" si="12"/>
        <v>19.287500000000001</v>
      </c>
      <c r="AC42" s="116">
        <f>IFERROR(AB42/AB148, "NA")</f>
        <v>6.2960790973601527E-4</v>
      </c>
      <c r="AD42" s="118">
        <f t="shared" si="13"/>
        <v>-19.287500000000001</v>
      </c>
      <c r="AE42" s="119">
        <f>IFERROR(AD42/AD148, "NA")</f>
        <v>-4.6694580523487681E-3</v>
      </c>
      <c r="AF42" s="118">
        <f t="shared" si="14"/>
        <v>-1</v>
      </c>
      <c r="AG42" s="117">
        <f t="shared" si="15"/>
        <v>9.6437500000000007</v>
      </c>
      <c r="AH42" s="116">
        <f>IFERROR(AG42/AG148, "NA")</f>
        <v>3.4164809891542783E-4</v>
      </c>
      <c r="AI42" s="118">
        <f t="shared" si="16"/>
        <v>-9.6437500000000007</v>
      </c>
      <c r="AJ42" s="119">
        <f>IFERROR(AI42/AI148, "NA")</f>
        <v>-1.4751284547212047E-3</v>
      </c>
      <c r="AK42" s="118">
        <f t="shared" si="17"/>
        <v>-1</v>
      </c>
      <c r="AL42" s="119">
        <f>IFERROR(AK42/AK148, "NA")</f>
        <v>-4.3176837787303493</v>
      </c>
    </row>
    <row r="43" spans="1:38" ht="16.5" hidden="1" customHeight="1" x14ac:dyDescent="0.25">
      <c r="A43" s="7" t="s">
        <v>49</v>
      </c>
      <c r="B43" s="115">
        <v>0</v>
      </c>
      <c r="C43" s="116">
        <f>IFERROR(B43/B148, "NA")</f>
        <v>0</v>
      </c>
      <c r="D43" s="115">
        <v>0</v>
      </c>
      <c r="E43" s="116">
        <f>IFERROR(D43/D148, "NA")</f>
        <v>0</v>
      </c>
      <c r="F43" s="115">
        <v>0</v>
      </c>
      <c r="G43" s="116">
        <f>IFERROR(F43/F148, "NA")</f>
        <v>0</v>
      </c>
      <c r="H43" s="115">
        <v>0</v>
      </c>
      <c r="I43" s="116">
        <f>IFERROR(H43/H148, "NA")</f>
        <v>0</v>
      </c>
      <c r="J43" s="115">
        <v>0</v>
      </c>
      <c r="K43" s="116">
        <f>IFERROR(J43/J148, "NA")</f>
        <v>0</v>
      </c>
      <c r="L43" s="115">
        <v>0</v>
      </c>
      <c r="M43" s="116">
        <f>IFERROR(L43/L148, "NA")</f>
        <v>0</v>
      </c>
      <c r="N43" s="115">
        <v>0</v>
      </c>
      <c r="O43" s="116">
        <f>IFERROR(N43/N148, "NA")</f>
        <v>0</v>
      </c>
      <c r="P43" s="115">
        <v>0</v>
      </c>
      <c r="Q43" s="116">
        <f>IFERROR(P43/P148, "NA")</f>
        <v>0</v>
      </c>
      <c r="R43" s="115">
        <v>0</v>
      </c>
      <c r="S43" s="116">
        <f>IFERROR(R43/R148, "NA")</f>
        <v>0</v>
      </c>
      <c r="T43" s="115">
        <v>0</v>
      </c>
      <c r="U43" s="116">
        <f>IFERROR(T43/T148, "NA")</f>
        <v>0</v>
      </c>
      <c r="V43" s="115">
        <v>0</v>
      </c>
      <c r="W43" s="116">
        <f>IFERROR(V43/V148, "NA")</f>
        <v>0</v>
      </c>
      <c r="X43" s="115">
        <v>0</v>
      </c>
      <c r="Y43" s="116">
        <f>IFERROR(X43/X148, "NA")</f>
        <v>0</v>
      </c>
      <c r="Z43" s="115">
        <v>0</v>
      </c>
      <c r="AA43" s="116">
        <f>IFERROR(Z43/Z148, "NA")</f>
        <v>0</v>
      </c>
      <c r="AB43" s="117">
        <f t="shared" si="12"/>
        <v>0</v>
      </c>
      <c r="AC43" s="116">
        <f>IFERROR(AB43/AB148, "NA")</f>
        <v>0</v>
      </c>
      <c r="AD43" s="118">
        <f t="shared" si="13"/>
        <v>0</v>
      </c>
      <c r="AE43" s="119">
        <f>IFERROR(AD43/AD148, "NA")</f>
        <v>0</v>
      </c>
      <c r="AF43" s="118" t="str">
        <f t="shared" si="14"/>
        <v>NA</v>
      </c>
      <c r="AG43" s="117">
        <f t="shared" si="15"/>
        <v>0</v>
      </c>
      <c r="AH43" s="116">
        <f>IFERROR(AG43/AG148, "NA")</f>
        <v>0</v>
      </c>
      <c r="AI43" s="118">
        <f t="shared" si="16"/>
        <v>0</v>
      </c>
      <c r="AJ43" s="119">
        <f>IFERROR(AI43/AI148, "NA")</f>
        <v>0</v>
      </c>
      <c r="AK43" s="118" t="str">
        <f t="shared" si="17"/>
        <v>NA</v>
      </c>
      <c r="AL43" s="119" t="str">
        <f>IFERROR(AK43/AK148, "NA")</f>
        <v>NA</v>
      </c>
    </row>
    <row r="44" spans="1:38" ht="16.5" customHeight="1" x14ac:dyDescent="0.25">
      <c r="A44" s="129" t="s">
        <v>50</v>
      </c>
      <c r="B44" s="121">
        <f>IFERROR(B39+B40+B41+B42+B43, "NA")</f>
        <v>768.53</v>
      </c>
      <c r="C44" s="122">
        <f>IFERROR(B44/B148, "NA")</f>
        <v>2.8787140422946556E-2</v>
      </c>
      <c r="D44" s="121">
        <f>IFERROR(D39+D40+D41+D42+D43, "NA")</f>
        <v>912.64</v>
      </c>
      <c r="E44" s="122">
        <f>IFERROR(D44/D148, "NA")</f>
        <v>3.9936863487640285E-2</v>
      </c>
      <c r="F44" s="121">
        <f>IFERROR(F39+F40+F41+F42+F43, "NA")</f>
        <v>750.22</v>
      </c>
      <c r="G44" s="122">
        <f>IFERROR(F44/F148, "NA")</f>
        <v>2.7826707511712536E-2</v>
      </c>
      <c r="H44" s="121">
        <f>IFERROR(H39+H40+H41+H42+H43, "NA")</f>
        <v>934.32</v>
      </c>
      <c r="I44" s="122">
        <f>IFERROR(H44/H148, "NA")</f>
        <v>3.8846657733055207E-2</v>
      </c>
      <c r="J44" s="121">
        <f>IFERROR(J39+J40+J41+J42+J43, "NA")</f>
        <v>840.25</v>
      </c>
      <c r="K44" s="122">
        <f>IFERROR(J44/J148, "NA")</f>
        <v>3.3475108701974524E-2</v>
      </c>
      <c r="L44" s="121">
        <f>IFERROR(L39+L40+L41+L42+L43, "NA")</f>
        <v>783.03</v>
      </c>
      <c r="M44" s="122">
        <f>IFERROR(L44/L148, "NA")</f>
        <v>3.4644371235389528E-2</v>
      </c>
      <c r="N44" s="121">
        <f>IFERROR(N39+N40+N41+N42+N43, "NA")</f>
        <v>1031.78</v>
      </c>
      <c r="O44" s="122">
        <f>IFERROR(N44/N148, "NA")</f>
        <v>3.6947738241077388E-2</v>
      </c>
      <c r="P44" s="121">
        <f>IFERROR(P39+P40+P41+P42+P43, "NA")</f>
        <v>1120.56</v>
      </c>
      <c r="Q44" s="122">
        <f>IFERROR(P44/P148, "NA")</f>
        <v>4.0522918361811766E-2</v>
      </c>
      <c r="R44" s="121">
        <f>IFERROR(R39+R40+R41+R42+R43, "NA")</f>
        <v>970.74</v>
      </c>
      <c r="S44" s="122">
        <f>IFERROR(R44/R148, "NA")</f>
        <v>4.1426423651904354E-2</v>
      </c>
      <c r="T44" s="121">
        <f>IFERROR(T39+T40+T41+T42+T43, "NA")</f>
        <v>1113.3600000000001</v>
      </c>
      <c r="U44" s="122">
        <f>IFERROR(T44/T148, "NA")</f>
        <v>3.5366644314212194E-2</v>
      </c>
      <c r="V44" s="121">
        <f>IFERROR(V39+V40+V41+V42+V43, "NA")</f>
        <v>1197.1599999999999</v>
      </c>
      <c r="W44" s="122">
        <f>IFERROR(V44/V148, "NA")</f>
        <v>3.6433810561593061E-2</v>
      </c>
      <c r="X44" s="121">
        <f>IFERROR(X39+X40+X41+X42+X43, "NA")</f>
        <v>-4391.57</v>
      </c>
      <c r="Y44" s="122">
        <f>IFERROR(X44/X148, "NA")</f>
        <v>-0.12632264155230979</v>
      </c>
      <c r="Z44" s="121">
        <f>IFERROR(Z39+Z40+Z41+Z42+Z43, "NA")</f>
        <v>-3194.41</v>
      </c>
      <c r="AA44" s="122">
        <f>IFERROR(Z44/Z148, "NA")</f>
        <v>-4.7238373812537711E-2</v>
      </c>
      <c r="AB44" s="121">
        <f t="shared" si="12"/>
        <v>-277.57749999999987</v>
      </c>
      <c r="AC44" s="122">
        <f>IFERROR(AB44/AB148, "NA")</f>
        <v>-9.0610493617497706E-3</v>
      </c>
      <c r="AD44" s="123">
        <f t="shared" si="13"/>
        <v>-4113.9925000000003</v>
      </c>
      <c r="AE44" s="124">
        <f>IFERROR(AD44/AD148, "NA")</f>
        <v>-0.99598783701503257</v>
      </c>
      <c r="AF44" s="123">
        <f t="shared" si="14"/>
        <v>14.821058983527131</v>
      </c>
      <c r="AG44" s="121">
        <f t="shared" si="15"/>
        <v>333.16374999999994</v>
      </c>
      <c r="AH44" s="122">
        <f>IFERROR(AG44/AG148, "NA")</f>
        <v>1.1802956507067773E-2</v>
      </c>
      <c r="AI44" s="123">
        <f t="shared" si="16"/>
        <v>-4724.7337499999994</v>
      </c>
      <c r="AJ44" s="124">
        <f>IFERROR(AI44/AI148, "NA")</f>
        <v>-0.72270529572071252</v>
      </c>
      <c r="AK44" s="123">
        <f t="shared" si="17"/>
        <v>-14.181416045413105</v>
      </c>
      <c r="AL44" s="124">
        <f>IFERROR(AK44/AK148, "NA")</f>
        <v>-61.230870018706462</v>
      </c>
    </row>
    <row r="45" spans="1:38" ht="16.5" customHeight="1" x14ac:dyDescent="0.25">
      <c r="A45" s="6" t="s">
        <v>51</v>
      </c>
      <c r="B45" s="111"/>
      <c r="C45" s="112"/>
      <c r="D45" s="111"/>
      <c r="E45" s="112"/>
      <c r="F45" s="111"/>
      <c r="G45" s="112"/>
      <c r="H45" s="111"/>
      <c r="I45" s="112"/>
      <c r="J45" s="111"/>
      <c r="K45" s="112"/>
      <c r="L45" s="111"/>
      <c r="M45" s="112"/>
      <c r="N45" s="111"/>
      <c r="O45" s="112"/>
      <c r="P45" s="111"/>
      <c r="Q45" s="112"/>
      <c r="R45" s="111"/>
      <c r="S45" s="112"/>
      <c r="T45" s="111"/>
      <c r="U45" s="112"/>
      <c r="V45" s="111"/>
      <c r="W45" s="112"/>
      <c r="X45" s="111"/>
      <c r="Y45" s="112"/>
      <c r="Z45" s="111"/>
      <c r="AA45" s="112"/>
      <c r="AB45" s="111"/>
      <c r="AC45" s="112"/>
      <c r="AD45" s="113"/>
      <c r="AE45" s="114"/>
      <c r="AF45" s="113"/>
      <c r="AG45" s="111"/>
      <c r="AH45" s="112"/>
      <c r="AI45" s="113"/>
      <c r="AJ45" s="114"/>
      <c r="AK45" s="113"/>
      <c r="AL45" s="114"/>
    </row>
    <row r="46" spans="1:38" ht="16.5" hidden="1" customHeight="1" x14ac:dyDescent="0.25">
      <c r="A46" s="7" t="s">
        <v>52</v>
      </c>
      <c r="B46" s="115">
        <v>0</v>
      </c>
      <c r="C46" s="116">
        <f>IFERROR(B46/B148, "NA")</f>
        <v>0</v>
      </c>
      <c r="D46" s="115">
        <v>0</v>
      </c>
      <c r="E46" s="116">
        <f>IFERROR(D46/D148, "NA")</f>
        <v>0</v>
      </c>
      <c r="F46" s="115">
        <v>0</v>
      </c>
      <c r="G46" s="116">
        <f>IFERROR(F46/F148, "NA")</f>
        <v>0</v>
      </c>
      <c r="H46" s="115">
        <v>0</v>
      </c>
      <c r="I46" s="116">
        <f>IFERROR(H46/H148, "NA")</f>
        <v>0</v>
      </c>
      <c r="J46" s="115">
        <v>0</v>
      </c>
      <c r="K46" s="116">
        <f>IFERROR(J46/J148, "NA")</f>
        <v>0</v>
      </c>
      <c r="L46" s="115">
        <v>0</v>
      </c>
      <c r="M46" s="116">
        <f>IFERROR(L46/L148, "NA")</f>
        <v>0</v>
      </c>
      <c r="N46" s="115">
        <v>0</v>
      </c>
      <c r="O46" s="116">
        <f>IFERROR(N46/N148, "NA")</f>
        <v>0</v>
      </c>
      <c r="P46" s="115">
        <v>0</v>
      </c>
      <c r="Q46" s="116">
        <f>IFERROR(P46/P148, "NA")</f>
        <v>0</v>
      </c>
      <c r="R46" s="115">
        <v>0</v>
      </c>
      <c r="S46" s="116">
        <f>IFERROR(R46/R148, "NA")</f>
        <v>0</v>
      </c>
      <c r="T46" s="115">
        <v>0</v>
      </c>
      <c r="U46" s="116">
        <f>IFERROR(T46/T148, "NA")</f>
        <v>0</v>
      </c>
      <c r="V46" s="115">
        <v>0</v>
      </c>
      <c r="W46" s="116">
        <f>IFERROR(V46/V148, "NA")</f>
        <v>0</v>
      </c>
      <c r="X46" s="115">
        <v>0</v>
      </c>
      <c r="Y46" s="116">
        <f>IFERROR(X46/X148, "NA")</f>
        <v>0</v>
      </c>
      <c r="Z46" s="115">
        <v>0</v>
      </c>
      <c r="AA46" s="116">
        <f>IFERROR(Z46/Z148, "NA")</f>
        <v>0</v>
      </c>
      <c r="AB46" s="117">
        <f t="shared" ref="AB46:AB57" si="18">IFERROR((R46+T46+V46+X46)/4, "NA")</f>
        <v>0</v>
      </c>
      <c r="AC46" s="116">
        <f>IFERROR(AB46/AB148, "NA")</f>
        <v>0</v>
      </c>
      <c r="AD46" s="118">
        <f t="shared" ref="AD46:AD57" si="19">IFERROR(X46-AB46, "NA")</f>
        <v>0</v>
      </c>
      <c r="AE46" s="119">
        <f>IFERROR(AD46/AD148, "NA")</f>
        <v>0</v>
      </c>
      <c r="AF46" s="118" t="str">
        <f t="shared" ref="AF46:AF57" si="20">IFERROR((X46-AB46)/AB46, "NA")</f>
        <v>NA</v>
      </c>
      <c r="AG46" s="117">
        <f t="shared" ref="AG46:AG57" si="21">IFERROR((J46+L46+N46+P46+R46+T46+V46+X46)/8, "NA")</f>
        <v>0</v>
      </c>
      <c r="AH46" s="116">
        <f>IFERROR(AG46/AG148, "NA")</f>
        <v>0</v>
      </c>
      <c r="AI46" s="118">
        <f t="shared" ref="AI46:AI57" si="22">IFERROR(X46-AG46, "NA")</f>
        <v>0</v>
      </c>
      <c r="AJ46" s="119">
        <f>IFERROR(AI46/AI148, "NA")</f>
        <v>0</v>
      </c>
      <c r="AK46" s="118" t="str">
        <f t="shared" ref="AK46:AK57" si="23">IFERROR((X46-AG46)/AG46, "NA")</f>
        <v>NA</v>
      </c>
      <c r="AL46" s="119" t="str">
        <f>IFERROR(AK46/AK148, "NA")</f>
        <v>NA</v>
      </c>
    </row>
    <row r="47" spans="1:38" ht="16.5" customHeight="1" x14ac:dyDescent="0.25">
      <c r="A47" s="7" t="s">
        <v>53</v>
      </c>
      <c r="B47" s="115">
        <v>142.69</v>
      </c>
      <c r="C47" s="116">
        <f>IFERROR(B47/B148, "NA")</f>
        <v>5.3447972973732242E-3</v>
      </c>
      <c r="D47" s="115">
        <v>184.49</v>
      </c>
      <c r="E47" s="116">
        <f>IFERROR(D47/D148, "NA")</f>
        <v>8.0732292523171875E-3</v>
      </c>
      <c r="F47" s="115">
        <v>190.87</v>
      </c>
      <c r="G47" s="116">
        <f>IFERROR(F47/F148, "NA")</f>
        <v>7.0796348574559088E-3</v>
      </c>
      <c r="H47" s="115">
        <v>177.7</v>
      </c>
      <c r="I47" s="116">
        <f>IFERROR(H47/H148, "NA")</f>
        <v>7.3883156511301371E-3</v>
      </c>
      <c r="J47" s="115">
        <v>194.62</v>
      </c>
      <c r="K47" s="116">
        <f>IFERROR(J47/J148, "NA")</f>
        <v>7.7535562696557951E-3</v>
      </c>
      <c r="L47" s="115">
        <v>109.65</v>
      </c>
      <c r="M47" s="116">
        <f>IFERROR(L47/L148, "NA")</f>
        <v>4.8513534678881554E-3</v>
      </c>
      <c r="N47" s="115">
        <v>162.41999999999999</v>
      </c>
      <c r="O47" s="116">
        <f>IFERROR(N47/N148, "NA")</f>
        <v>5.8162124145804224E-3</v>
      </c>
      <c r="P47" s="115">
        <v>160.47</v>
      </c>
      <c r="Q47" s="116">
        <f>IFERROR(P47/P148, "NA")</f>
        <v>5.8030919446704641E-3</v>
      </c>
      <c r="R47" s="115">
        <v>127.76</v>
      </c>
      <c r="S47" s="116">
        <f>IFERROR(R47/R148, "NA")</f>
        <v>5.4521703914202574E-3</v>
      </c>
      <c r="T47" s="115">
        <v>184.95</v>
      </c>
      <c r="U47" s="116">
        <f>IFERROR(T47/T148, "NA")</f>
        <v>5.8750636504935911E-3</v>
      </c>
      <c r="V47" s="115">
        <v>162.41</v>
      </c>
      <c r="W47" s="116">
        <f>IFERROR(V47/V148, "NA")</f>
        <v>4.9427103923521745E-3</v>
      </c>
      <c r="X47" s="115">
        <v>180.05</v>
      </c>
      <c r="Y47" s="116">
        <f>IFERROR(X47/X148, "NA")</f>
        <v>5.1791026014599293E-3</v>
      </c>
      <c r="Z47" s="115">
        <v>342.46</v>
      </c>
      <c r="AA47" s="116">
        <f>IFERROR(Z47/Z148, "NA")</f>
        <v>5.0642383087461107E-3</v>
      </c>
      <c r="AB47" s="117">
        <f t="shared" si="18"/>
        <v>163.79250000000002</v>
      </c>
      <c r="AC47" s="116">
        <f>IFERROR(AB47/AB148, "NA")</f>
        <v>5.3467299315845124E-3</v>
      </c>
      <c r="AD47" s="118">
        <f t="shared" si="19"/>
        <v>16.257499999999993</v>
      </c>
      <c r="AE47" s="119">
        <f>IFERROR(AD47/AD148, "NA")</f>
        <v>3.9359022312928094E-3</v>
      </c>
      <c r="AF47" s="118">
        <f t="shared" si="20"/>
        <v>9.9256681471984312E-2</v>
      </c>
      <c r="AG47" s="117">
        <f t="shared" si="21"/>
        <v>160.29124999999999</v>
      </c>
      <c r="AH47" s="116">
        <f>IFERROR(AG47/AG148, "NA")</f>
        <v>5.6786209550514655E-3</v>
      </c>
      <c r="AI47" s="118">
        <f t="shared" si="22"/>
        <v>19.75875000000002</v>
      </c>
      <c r="AJ47" s="119">
        <f>IFERROR(AI47/AI148, "NA")</f>
        <v>3.0223403089796636E-3</v>
      </c>
      <c r="AK47" s="118">
        <f t="shared" si="23"/>
        <v>0.12326780157993665</v>
      </c>
      <c r="AL47" s="119">
        <f>IFERROR(AK47/AK148, "NA")</f>
        <v>0.53223138732144382</v>
      </c>
    </row>
    <row r="48" spans="1:38" ht="16.5" hidden="1" customHeight="1" x14ac:dyDescent="0.25">
      <c r="A48" s="7" t="s">
        <v>54</v>
      </c>
      <c r="B48" s="115">
        <v>0</v>
      </c>
      <c r="C48" s="116">
        <f>IFERROR(B48/B148, "NA")</f>
        <v>0</v>
      </c>
      <c r="D48" s="115">
        <v>0</v>
      </c>
      <c r="E48" s="116">
        <f>IFERROR(D48/D148, "NA")</f>
        <v>0</v>
      </c>
      <c r="F48" s="115">
        <v>0</v>
      </c>
      <c r="G48" s="116">
        <f>IFERROR(F48/F148, "NA")</f>
        <v>0</v>
      </c>
      <c r="H48" s="115">
        <v>0</v>
      </c>
      <c r="I48" s="116">
        <f>IFERROR(H48/H148, "NA")</f>
        <v>0</v>
      </c>
      <c r="J48" s="115">
        <v>0</v>
      </c>
      <c r="K48" s="116">
        <f>IFERROR(J48/J148, "NA")</f>
        <v>0</v>
      </c>
      <c r="L48" s="115">
        <v>0</v>
      </c>
      <c r="M48" s="116">
        <f>IFERROR(L48/L148, "NA")</f>
        <v>0</v>
      </c>
      <c r="N48" s="115">
        <v>0</v>
      </c>
      <c r="O48" s="116">
        <f>IFERROR(N48/N148, "NA")</f>
        <v>0</v>
      </c>
      <c r="P48" s="115">
        <v>0</v>
      </c>
      <c r="Q48" s="116">
        <f>IFERROR(P48/P148, "NA")</f>
        <v>0</v>
      </c>
      <c r="R48" s="115">
        <v>0</v>
      </c>
      <c r="S48" s="116">
        <f>IFERROR(R48/R148, "NA")</f>
        <v>0</v>
      </c>
      <c r="T48" s="115">
        <v>0</v>
      </c>
      <c r="U48" s="116">
        <f>IFERROR(T48/T148, "NA")</f>
        <v>0</v>
      </c>
      <c r="V48" s="115">
        <v>0</v>
      </c>
      <c r="W48" s="116">
        <f>IFERROR(V48/V148, "NA")</f>
        <v>0</v>
      </c>
      <c r="X48" s="115">
        <v>0</v>
      </c>
      <c r="Y48" s="116">
        <f>IFERROR(X48/X148, "NA")</f>
        <v>0</v>
      </c>
      <c r="Z48" s="115">
        <v>0</v>
      </c>
      <c r="AA48" s="116">
        <f>IFERROR(Z48/Z148, "NA")</f>
        <v>0</v>
      </c>
      <c r="AB48" s="117">
        <f t="shared" si="18"/>
        <v>0</v>
      </c>
      <c r="AC48" s="116">
        <f>IFERROR(AB48/AB148, "NA")</f>
        <v>0</v>
      </c>
      <c r="AD48" s="118">
        <f t="shared" si="19"/>
        <v>0</v>
      </c>
      <c r="AE48" s="119">
        <f>IFERROR(AD48/AD148, "NA")</f>
        <v>0</v>
      </c>
      <c r="AF48" s="118" t="str">
        <f t="shared" si="20"/>
        <v>NA</v>
      </c>
      <c r="AG48" s="117">
        <f t="shared" si="21"/>
        <v>0</v>
      </c>
      <c r="AH48" s="116">
        <f>IFERROR(AG48/AG148, "NA")</f>
        <v>0</v>
      </c>
      <c r="AI48" s="118">
        <f t="shared" si="22"/>
        <v>0</v>
      </c>
      <c r="AJ48" s="119">
        <f>IFERROR(AI48/AI148, "NA")</f>
        <v>0</v>
      </c>
      <c r="AK48" s="118" t="str">
        <f t="shared" si="23"/>
        <v>NA</v>
      </c>
      <c r="AL48" s="119" t="str">
        <f>IFERROR(AK48/AK148, "NA")</f>
        <v>NA</v>
      </c>
    </row>
    <row r="49" spans="1:38" ht="16.5" hidden="1" customHeight="1" x14ac:dyDescent="0.25">
      <c r="A49" s="7" t="s">
        <v>55</v>
      </c>
      <c r="B49" s="115">
        <v>0</v>
      </c>
      <c r="C49" s="116">
        <f>IFERROR(B49/B148, "NA")</f>
        <v>0</v>
      </c>
      <c r="D49" s="115">
        <v>0</v>
      </c>
      <c r="E49" s="116">
        <f>IFERROR(D49/D148, "NA")</f>
        <v>0</v>
      </c>
      <c r="F49" s="115">
        <v>0</v>
      </c>
      <c r="G49" s="116">
        <f>IFERROR(F49/F148, "NA")</f>
        <v>0</v>
      </c>
      <c r="H49" s="115">
        <v>0</v>
      </c>
      <c r="I49" s="116">
        <f>IFERROR(H49/H148, "NA")</f>
        <v>0</v>
      </c>
      <c r="J49" s="115">
        <v>0</v>
      </c>
      <c r="K49" s="116">
        <f>IFERROR(J49/J148, "NA")</f>
        <v>0</v>
      </c>
      <c r="L49" s="115">
        <v>0</v>
      </c>
      <c r="M49" s="116">
        <f>IFERROR(L49/L148, "NA")</f>
        <v>0</v>
      </c>
      <c r="N49" s="115">
        <v>0</v>
      </c>
      <c r="O49" s="116">
        <f>IFERROR(N49/N148, "NA")</f>
        <v>0</v>
      </c>
      <c r="P49" s="115">
        <v>0</v>
      </c>
      <c r="Q49" s="116">
        <f>IFERROR(P49/P148, "NA")</f>
        <v>0</v>
      </c>
      <c r="R49" s="115">
        <v>0</v>
      </c>
      <c r="S49" s="116">
        <f>IFERROR(R49/R148, "NA")</f>
        <v>0</v>
      </c>
      <c r="T49" s="115">
        <v>0</v>
      </c>
      <c r="U49" s="116">
        <f>IFERROR(T49/T148, "NA")</f>
        <v>0</v>
      </c>
      <c r="V49" s="115">
        <v>0</v>
      </c>
      <c r="W49" s="116">
        <f>IFERROR(V49/V148, "NA")</f>
        <v>0</v>
      </c>
      <c r="X49" s="115">
        <v>0</v>
      </c>
      <c r="Y49" s="116">
        <f>IFERROR(X49/X148, "NA")</f>
        <v>0</v>
      </c>
      <c r="Z49" s="115">
        <v>0</v>
      </c>
      <c r="AA49" s="116">
        <f>IFERROR(Z49/Z148, "NA")</f>
        <v>0</v>
      </c>
      <c r="AB49" s="117">
        <f t="shared" si="18"/>
        <v>0</v>
      </c>
      <c r="AC49" s="116">
        <f>IFERROR(AB49/AB148, "NA")</f>
        <v>0</v>
      </c>
      <c r="AD49" s="118">
        <f t="shared" si="19"/>
        <v>0</v>
      </c>
      <c r="AE49" s="119">
        <f>IFERROR(AD49/AD148, "NA")</f>
        <v>0</v>
      </c>
      <c r="AF49" s="118" t="str">
        <f t="shared" si="20"/>
        <v>NA</v>
      </c>
      <c r="AG49" s="117">
        <f t="shared" si="21"/>
        <v>0</v>
      </c>
      <c r="AH49" s="116">
        <f>IFERROR(AG49/AG148, "NA")</f>
        <v>0</v>
      </c>
      <c r="AI49" s="118">
        <f t="shared" si="22"/>
        <v>0</v>
      </c>
      <c r="AJ49" s="119">
        <f>IFERROR(AI49/AI148, "NA")</f>
        <v>0</v>
      </c>
      <c r="AK49" s="118" t="str">
        <f t="shared" si="23"/>
        <v>NA</v>
      </c>
      <c r="AL49" s="119" t="str">
        <f>IFERROR(AK49/AK148, "NA")</f>
        <v>NA</v>
      </c>
    </row>
    <row r="50" spans="1:38" ht="16.5" hidden="1" customHeight="1" x14ac:dyDescent="0.25">
      <c r="A50" s="7" t="s">
        <v>56</v>
      </c>
      <c r="B50" s="115">
        <v>0</v>
      </c>
      <c r="C50" s="116">
        <f>IFERROR(B50/B148, "NA")</f>
        <v>0</v>
      </c>
      <c r="D50" s="115">
        <v>0</v>
      </c>
      <c r="E50" s="116">
        <f>IFERROR(D50/D148, "NA")</f>
        <v>0</v>
      </c>
      <c r="F50" s="115">
        <v>0</v>
      </c>
      <c r="G50" s="116">
        <f>IFERROR(F50/F148, "NA")</f>
        <v>0</v>
      </c>
      <c r="H50" s="115">
        <v>0</v>
      </c>
      <c r="I50" s="116">
        <f>IFERROR(H50/H148, "NA")</f>
        <v>0</v>
      </c>
      <c r="J50" s="115">
        <v>0</v>
      </c>
      <c r="K50" s="116">
        <f>IFERROR(J50/J148, "NA")</f>
        <v>0</v>
      </c>
      <c r="L50" s="115">
        <v>0</v>
      </c>
      <c r="M50" s="116">
        <f>IFERROR(L50/L148, "NA")</f>
        <v>0</v>
      </c>
      <c r="N50" s="115">
        <v>0</v>
      </c>
      <c r="O50" s="116">
        <f>IFERROR(N50/N148, "NA")</f>
        <v>0</v>
      </c>
      <c r="P50" s="115">
        <v>0</v>
      </c>
      <c r="Q50" s="116">
        <f>IFERROR(P50/P148, "NA")</f>
        <v>0</v>
      </c>
      <c r="R50" s="115">
        <v>0</v>
      </c>
      <c r="S50" s="116">
        <f>IFERROR(R50/R148, "NA")</f>
        <v>0</v>
      </c>
      <c r="T50" s="115">
        <v>0</v>
      </c>
      <c r="U50" s="116">
        <f>IFERROR(T50/T148, "NA")</f>
        <v>0</v>
      </c>
      <c r="V50" s="115">
        <v>0</v>
      </c>
      <c r="W50" s="116">
        <f>IFERROR(V50/V148, "NA")</f>
        <v>0</v>
      </c>
      <c r="X50" s="115">
        <v>0</v>
      </c>
      <c r="Y50" s="116">
        <f>IFERROR(X50/X148, "NA")</f>
        <v>0</v>
      </c>
      <c r="Z50" s="115">
        <v>0</v>
      </c>
      <c r="AA50" s="116">
        <f>IFERROR(Z50/Z148, "NA")</f>
        <v>0</v>
      </c>
      <c r="AB50" s="117">
        <f t="shared" si="18"/>
        <v>0</v>
      </c>
      <c r="AC50" s="116">
        <f>IFERROR(AB50/AB148, "NA")</f>
        <v>0</v>
      </c>
      <c r="AD50" s="118">
        <f t="shared" si="19"/>
        <v>0</v>
      </c>
      <c r="AE50" s="119">
        <f>IFERROR(AD50/AD148, "NA")</f>
        <v>0</v>
      </c>
      <c r="AF50" s="118" t="str">
        <f t="shared" si="20"/>
        <v>NA</v>
      </c>
      <c r="AG50" s="117">
        <f t="shared" si="21"/>
        <v>0</v>
      </c>
      <c r="AH50" s="116">
        <f>IFERROR(AG50/AG148, "NA")</f>
        <v>0</v>
      </c>
      <c r="AI50" s="118">
        <f t="shared" si="22"/>
        <v>0</v>
      </c>
      <c r="AJ50" s="119">
        <f>IFERROR(AI50/AI148, "NA")</f>
        <v>0</v>
      </c>
      <c r="AK50" s="118" t="str">
        <f t="shared" si="23"/>
        <v>NA</v>
      </c>
      <c r="AL50" s="119" t="str">
        <f>IFERROR(AK50/AK148, "NA")</f>
        <v>NA</v>
      </c>
    </row>
    <row r="51" spans="1:38" ht="16.5" hidden="1" customHeight="1" x14ac:dyDescent="0.25">
      <c r="A51" s="7" t="s">
        <v>57</v>
      </c>
      <c r="B51" s="115">
        <v>0</v>
      </c>
      <c r="C51" s="116">
        <f>IFERROR(B51/B148, "NA")</f>
        <v>0</v>
      </c>
      <c r="D51" s="115">
        <v>0</v>
      </c>
      <c r="E51" s="116">
        <f>IFERROR(D51/D148, "NA")</f>
        <v>0</v>
      </c>
      <c r="F51" s="115">
        <v>0</v>
      </c>
      <c r="G51" s="116">
        <f>IFERROR(F51/F148, "NA")</f>
        <v>0</v>
      </c>
      <c r="H51" s="115">
        <v>0</v>
      </c>
      <c r="I51" s="116">
        <f>IFERROR(H51/H148, "NA")</f>
        <v>0</v>
      </c>
      <c r="J51" s="115">
        <v>0</v>
      </c>
      <c r="K51" s="116">
        <f>IFERROR(J51/J148, "NA")</f>
        <v>0</v>
      </c>
      <c r="L51" s="115">
        <v>0</v>
      </c>
      <c r="M51" s="116">
        <f>IFERROR(L51/L148, "NA")</f>
        <v>0</v>
      </c>
      <c r="N51" s="115">
        <v>0</v>
      </c>
      <c r="O51" s="116">
        <f>IFERROR(N51/N148, "NA")</f>
        <v>0</v>
      </c>
      <c r="P51" s="115">
        <v>0</v>
      </c>
      <c r="Q51" s="116">
        <f>IFERROR(P51/P148, "NA")</f>
        <v>0</v>
      </c>
      <c r="R51" s="115">
        <v>0</v>
      </c>
      <c r="S51" s="116">
        <f>IFERROR(R51/R148, "NA")</f>
        <v>0</v>
      </c>
      <c r="T51" s="115">
        <v>0</v>
      </c>
      <c r="U51" s="116">
        <f>IFERROR(T51/T148, "NA")</f>
        <v>0</v>
      </c>
      <c r="V51" s="115">
        <v>0</v>
      </c>
      <c r="W51" s="116">
        <f>IFERROR(V51/V148, "NA")</f>
        <v>0</v>
      </c>
      <c r="X51" s="115">
        <v>0</v>
      </c>
      <c r="Y51" s="116">
        <f>IFERROR(X51/X148, "NA")</f>
        <v>0</v>
      </c>
      <c r="Z51" s="115">
        <v>0</v>
      </c>
      <c r="AA51" s="116">
        <f>IFERROR(Z51/Z148, "NA")</f>
        <v>0</v>
      </c>
      <c r="AB51" s="117">
        <f t="shared" si="18"/>
        <v>0</v>
      </c>
      <c r="AC51" s="116">
        <f>IFERROR(AB51/AB148, "NA")</f>
        <v>0</v>
      </c>
      <c r="AD51" s="118">
        <f t="shared" si="19"/>
        <v>0</v>
      </c>
      <c r="AE51" s="119">
        <f>IFERROR(AD51/AD148, "NA")</f>
        <v>0</v>
      </c>
      <c r="AF51" s="118" t="str">
        <f t="shared" si="20"/>
        <v>NA</v>
      </c>
      <c r="AG51" s="117">
        <f t="shared" si="21"/>
        <v>0</v>
      </c>
      <c r="AH51" s="116">
        <f>IFERROR(AG51/AG148, "NA")</f>
        <v>0</v>
      </c>
      <c r="AI51" s="118">
        <f t="shared" si="22"/>
        <v>0</v>
      </c>
      <c r="AJ51" s="119">
        <f>IFERROR(AI51/AI148, "NA")</f>
        <v>0</v>
      </c>
      <c r="AK51" s="118" t="str">
        <f t="shared" si="23"/>
        <v>NA</v>
      </c>
      <c r="AL51" s="119" t="str">
        <f>IFERROR(AK51/AK148, "NA")</f>
        <v>NA</v>
      </c>
    </row>
    <row r="52" spans="1:38" ht="16.5" customHeight="1" x14ac:dyDescent="0.25">
      <c r="A52" s="129" t="s">
        <v>58</v>
      </c>
      <c r="B52" s="121">
        <f>IFERROR(B46+B47+B48+B49+B50+B51, "NA")</f>
        <v>142.69</v>
      </c>
      <c r="C52" s="122">
        <f>IFERROR(B52/B148, "NA")</f>
        <v>5.3447972973732242E-3</v>
      </c>
      <c r="D52" s="121">
        <f>IFERROR(D46+D47+D48+D49+D50+D51, "NA")</f>
        <v>184.49</v>
      </c>
      <c r="E52" s="122">
        <f>IFERROR(D52/D148, "NA")</f>
        <v>8.0732292523171875E-3</v>
      </c>
      <c r="F52" s="121">
        <f>IFERROR(F46+F47+F48+F49+F50+F51, "NA")</f>
        <v>190.87</v>
      </c>
      <c r="G52" s="122">
        <f>IFERROR(F52/F148, "NA")</f>
        <v>7.0796348574559088E-3</v>
      </c>
      <c r="H52" s="121">
        <f>IFERROR(H46+H47+H48+H49+H50+H51, "NA")</f>
        <v>177.7</v>
      </c>
      <c r="I52" s="122">
        <f>IFERROR(H52/H148, "NA")</f>
        <v>7.3883156511301371E-3</v>
      </c>
      <c r="J52" s="121">
        <f>IFERROR(J46+J47+J48+J49+J50+J51, "NA")</f>
        <v>194.62</v>
      </c>
      <c r="K52" s="122">
        <f>IFERROR(J52/J148, "NA")</f>
        <v>7.7535562696557951E-3</v>
      </c>
      <c r="L52" s="121">
        <f>IFERROR(L46+L47+L48+L49+L50+L51, "NA")</f>
        <v>109.65</v>
      </c>
      <c r="M52" s="122">
        <f>IFERROR(L52/L148, "NA")</f>
        <v>4.8513534678881554E-3</v>
      </c>
      <c r="N52" s="121">
        <f>IFERROR(N46+N47+N48+N49+N50+N51, "NA")</f>
        <v>162.41999999999999</v>
      </c>
      <c r="O52" s="122">
        <f>IFERROR(N52/N148, "NA")</f>
        <v>5.8162124145804224E-3</v>
      </c>
      <c r="P52" s="121">
        <f>IFERROR(P46+P47+P48+P49+P50+P51, "NA")</f>
        <v>160.47</v>
      </c>
      <c r="Q52" s="122">
        <f>IFERROR(P52/P148, "NA")</f>
        <v>5.8030919446704641E-3</v>
      </c>
      <c r="R52" s="121">
        <f>IFERROR(R46+R47+R48+R49+R50+R51, "NA")</f>
        <v>127.76</v>
      </c>
      <c r="S52" s="122">
        <f>IFERROR(R52/R148, "NA")</f>
        <v>5.4521703914202574E-3</v>
      </c>
      <c r="T52" s="121">
        <f>IFERROR(T46+T47+T48+T49+T50+T51, "NA")</f>
        <v>184.95</v>
      </c>
      <c r="U52" s="122">
        <f>IFERROR(T52/T148, "NA")</f>
        <v>5.8750636504935911E-3</v>
      </c>
      <c r="V52" s="121">
        <f>IFERROR(V46+V47+V48+V49+V50+V51, "NA")</f>
        <v>162.41</v>
      </c>
      <c r="W52" s="122">
        <f>IFERROR(V52/V148, "NA")</f>
        <v>4.9427103923521745E-3</v>
      </c>
      <c r="X52" s="121">
        <f>IFERROR(X46+X47+X48+X49+X50+X51, "NA")</f>
        <v>180.05</v>
      </c>
      <c r="Y52" s="122">
        <f>IFERROR(X52/X148, "NA")</f>
        <v>5.1791026014599293E-3</v>
      </c>
      <c r="Z52" s="121">
        <f>IFERROR(Z46+Z47+Z48+Z49+Z50+Z51, "NA")</f>
        <v>342.46</v>
      </c>
      <c r="AA52" s="122">
        <f>IFERROR(Z52/Z148, "NA")</f>
        <v>5.0642383087461107E-3</v>
      </c>
      <c r="AB52" s="121">
        <f t="shared" si="18"/>
        <v>163.79250000000002</v>
      </c>
      <c r="AC52" s="122">
        <f>IFERROR(AB52/AB148, "NA")</f>
        <v>5.3467299315845124E-3</v>
      </c>
      <c r="AD52" s="123">
        <f t="shared" si="19"/>
        <v>16.257499999999993</v>
      </c>
      <c r="AE52" s="124">
        <f>IFERROR(AD52/AD148, "NA")</f>
        <v>3.9359022312928094E-3</v>
      </c>
      <c r="AF52" s="123">
        <f t="shared" si="20"/>
        <v>9.9256681471984312E-2</v>
      </c>
      <c r="AG52" s="121">
        <f t="shared" si="21"/>
        <v>160.29124999999999</v>
      </c>
      <c r="AH52" s="122">
        <f>IFERROR(AG52/AG148, "NA")</f>
        <v>5.6786209550514655E-3</v>
      </c>
      <c r="AI52" s="123">
        <f t="shared" si="22"/>
        <v>19.75875000000002</v>
      </c>
      <c r="AJ52" s="124">
        <f>IFERROR(AI52/AI148, "NA")</f>
        <v>3.0223403089796636E-3</v>
      </c>
      <c r="AK52" s="123">
        <f t="shared" si="23"/>
        <v>0.12326780157993665</v>
      </c>
      <c r="AL52" s="124">
        <f>IFERROR(AK52/AK148, "NA")</f>
        <v>0.53223138732144382</v>
      </c>
    </row>
    <row r="53" spans="1:38" ht="16.5" customHeight="1" x14ac:dyDescent="0.25">
      <c r="A53" s="5" t="s">
        <v>59</v>
      </c>
      <c r="B53" s="115">
        <v>33.29</v>
      </c>
      <c r="C53" s="116">
        <f>IFERROR(B53/B148, "NA")</f>
        <v>1.2469570539600156E-3</v>
      </c>
      <c r="D53" s="115">
        <v>7.97</v>
      </c>
      <c r="E53" s="116">
        <f>IFERROR(D53/D148, "NA")</f>
        <v>3.4876490401088389E-4</v>
      </c>
      <c r="F53" s="115">
        <v>20.260000000000002</v>
      </c>
      <c r="G53" s="116">
        <f>IFERROR(F53/F148, "NA")</f>
        <v>7.5147169388618807E-4</v>
      </c>
      <c r="H53" s="115">
        <v>19.75</v>
      </c>
      <c r="I53" s="116">
        <f>IFERROR(H53/H148, "NA")</f>
        <v>8.2115494715711993E-4</v>
      </c>
      <c r="J53" s="115">
        <v>41.27</v>
      </c>
      <c r="K53" s="116">
        <f>IFERROR(J53/J148, "NA")</f>
        <v>1.6441746338952557E-3</v>
      </c>
      <c r="L53" s="115">
        <v>28.65</v>
      </c>
      <c r="M53" s="116">
        <f>IFERROR(L53/L148, "NA")</f>
        <v>1.2675903041951266E-3</v>
      </c>
      <c r="N53" s="115">
        <v>13.96</v>
      </c>
      <c r="O53" s="116">
        <f>IFERROR(N53/N148, "NA")</f>
        <v>4.9990349284289323E-4</v>
      </c>
      <c r="P53" s="115">
        <v>24.68</v>
      </c>
      <c r="Q53" s="116">
        <f>IFERROR(P53/P148, "NA")</f>
        <v>8.9250519844498693E-4</v>
      </c>
      <c r="R53" s="115">
        <v>22.13</v>
      </c>
      <c r="S53" s="116">
        <f>IFERROR(R53/R148, "NA")</f>
        <v>9.4439989638486451E-4</v>
      </c>
      <c r="T53" s="115">
        <v>60.83</v>
      </c>
      <c r="U53" s="116">
        <f>IFERROR(T53/T148, "NA")</f>
        <v>1.9323066875346047E-3</v>
      </c>
      <c r="V53" s="115">
        <v>32.119999999999997</v>
      </c>
      <c r="W53" s="116">
        <f>IFERROR(V53/V148, "NA")</f>
        <v>9.7752513886061108E-4</v>
      </c>
      <c r="X53" s="115">
        <v>24.9</v>
      </c>
      <c r="Y53" s="116">
        <f>IFERROR(X53/X148, "NA")</f>
        <v>7.1624356998807126E-4</v>
      </c>
      <c r="Z53" s="115">
        <v>57.02</v>
      </c>
      <c r="AA53" s="116">
        <f>IFERROR(Z53/Z148, "NA")</f>
        <v>8.4320174141418929E-4</v>
      </c>
      <c r="AB53" s="117">
        <f t="shared" si="18"/>
        <v>34.994999999999997</v>
      </c>
      <c r="AC53" s="116">
        <f>IFERROR(AB53/AB148, "NA")</f>
        <v>1.1423527570297784E-3</v>
      </c>
      <c r="AD53" s="118">
        <f t="shared" si="19"/>
        <v>-10.094999999999999</v>
      </c>
      <c r="AE53" s="119">
        <f>IFERROR(AD53/AD148, "NA")</f>
        <v>-2.4439755820329649E-3</v>
      </c>
      <c r="AF53" s="118">
        <f t="shared" si="20"/>
        <v>-0.28846978139734247</v>
      </c>
      <c r="AG53" s="117">
        <f t="shared" si="21"/>
        <v>31.067499999999999</v>
      </c>
      <c r="AH53" s="116">
        <f>IFERROR(AG53/AG148, "NA")</f>
        <v>1.1006249968171151E-3</v>
      </c>
      <c r="AI53" s="118">
        <f t="shared" si="22"/>
        <v>-6.1675000000000004</v>
      </c>
      <c r="AJ53" s="119">
        <f>IFERROR(AI53/AI148, "NA")</f>
        <v>-9.433938814769182E-4</v>
      </c>
      <c r="AK53" s="118">
        <f t="shared" si="23"/>
        <v>-0.19851935302164644</v>
      </c>
      <c r="AL53" s="119">
        <f>IFERROR(AK53/AK148, "NA")</f>
        <v>-0.85714379030560661</v>
      </c>
    </row>
    <row r="54" spans="1:38" ht="16.5" customHeight="1" x14ac:dyDescent="0.25">
      <c r="A54" s="5" t="s">
        <v>60</v>
      </c>
      <c r="B54" s="115">
        <v>33</v>
      </c>
      <c r="C54" s="116">
        <f>IFERROR(B54/B148, "NA")</f>
        <v>1.2360944061484084E-3</v>
      </c>
      <c r="D54" s="115">
        <v>30</v>
      </c>
      <c r="E54" s="116">
        <f>IFERROR(D54/D148, "NA")</f>
        <v>1.3127913576319345E-3</v>
      </c>
      <c r="F54" s="115">
        <v>18</v>
      </c>
      <c r="G54" s="116">
        <f>IFERROR(F54/F148, "NA")</f>
        <v>6.676451377073733E-4</v>
      </c>
      <c r="H54" s="115">
        <v>28</v>
      </c>
      <c r="I54" s="116">
        <f>IFERROR(H54/H148, "NA")</f>
        <v>1.1641690390075624E-3</v>
      </c>
      <c r="J54" s="115">
        <v>33</v>
      </c>
      <c r="K54" s="116">
        <f>IFERROR(J54/J148, "NA")</f>
        <v>1.3147022757097997E-3</v>
      </c>
      <c r="L54" s="115">
        <v>37</v>
      </c>
      <c r="M54" s="116">
        <f>IFERROR(L54/L148, "NA")</f>
        <v>1.6370276179832352E-3</v>
      </c>
      <c r="N54" s="115">
        <v>31</v>
      </c>
      <c r="O54" s="116">
        <f>IFERROR(N54/N148, "NA")</f>
        <v>1.110100879522184E-3</v>
      </c>
      <c r="P54" s="115">
        <v>35</v>
      </c>
      <c r="Q54" s="116">
        <f>IFERROR(P54/P148, "NA")</f>
        <v>1.2657083446343006E-3</v>
      </c>
      <c r="R54" s="115">
        <v>35</v>
      </c>
      <c r="S54" s="116">
        <f>IFERROR(R54/R148, "NA")</f>
        <v>1.493628394643934E-3</v>
      </c>
      <c r="T54" s="115">
        <v>45</v>
      </c>
      <c r="U54" s="116">
        <f>IFERROR(T54/T148, "NA")</f>
        <v>1.429455876032504E-3</v>
      </c>
      <c r="V54" s="115">
        <v>40</v>
      </c>
      <c r="W54" s="116">
        <f>IFERROR(V54/V148, "NA")</f>
        <v>1.2173413933506988E-3</v>
      </c>
      <c r="X54" s="115">
        <v>45</v>
      </c>
      <c r="Y54" s="116">
        <f>IFERROR(X54/X148, "NA")</f>
        <v>1.2944160903398878E-3</v>
      </c>
      <c r="Z54" s="115">
        <v>85</v>
      </c>
      <c r="AA54" s="116">
        <f>IFERROR(Z54/Z148, "NA")</f>
        <v>1.2569650652438809E-3</v>
      </c>
      <c r="AB54" s="117">
        <f t="shared" si="18"/>
        <v>41.25</v>
      </c>
      <c r="AC54" s="116">
        <f>IFERROR(AB54/AB148, "NA")</f>
        <v>1.3465366831684059E-3</v>
      </c>
      <c r="AD54" s="118">
        <f t="shared" si="19"/>
        <v>3.75</v>
      </c>
      <c r="AE54" s="119">
        <f>IFERROR(AD54/AD148, "NA")</f>
        <v>9.0786611516826339E-4</v>
      </c>
      <c r="AF54" s="118">
        <f t="shared" si="20"/>
        <v>9.0909090909090912E-2</v>
      </c>
      <c r="AG54" s="117">
        <f t="shared" si="21"/>
        <v>37.625</v>
      </c>
      <c r="AH54" s="116">
        <f>IFERROR(AG54/AG148, "NA")</f>
        <v>1.3329368473563679E-3</v>
      </c>
      <c r="AI54" s="118">
        <f t="shared" si="22"/>
        <v>7.375</v>
      </c>
      <c r="AJ54" s="119">
        <f>IFERROR(AI54/AI148, "NA")</f>
        <v>1.128095642625419E-3</v>
      </c>
      <c r="AK54" s="118">
        <f t="shared" si="23"/>
        <v>0.19601328903654486</v>
      </c>
      <c r="AL54" s="119">
        <f>IFERROR(AK54/AK148, "NA")</f>
        <v>0.84632339848867322</v>
      </c>
    </row>
    <row r="55" spans="1:38" ht="16.5" customHeight="1" x14ac:dyDescent="0.25">
      <c r="A55" s="5" t="s">
        <v>61</v>
      </c>
      <c r="B55" s="115">
        <v>-194.74</v>
      </c>
      <c r="C55" s="116">
        <f>IFERROR(B55/B148, "NA")</f>
        <v>-7.2944552925254865E-3</v>
      </c>
      <c r="D55" s="115">
        <v>-215.72</v>
      </c>
      <c r="E55" s="116">
        <f>IFERROR(D55/D148, "NA")</f>
        <v>-9.4398450556120294E-3</v>
      </c>
      <c r="F55" s="115">
        <v>-208.72</v>
      </c>
      <c r="G55" s="116">
        <f>IFERROR(F55/F148, "NA")</f>
        <v>-7.7417162856823867E-3</v>
      </c>
      <c r="H55" s="115">
        <v>-346.4</v>
      </c>
      <c r="I55" s="116">
        <f>IFERROR(H55/H148, "NA")</f>
        <v>-1.44024341111507E-2</v>
      </c>
      <c r="J55" s="115">
        <v>-377.58</v>
      </c>
      <c r="K55" s="116">
        <f>IFERROR(J55/J148, "NA")</f>
        <v>-1.5042584401894125E-2</v>
      </c>
      <c r="L55" s="115">
        <v>-341.95</v>
      </c>
      <c r="M55" s="116">
        <f>IFERROR(L55/L148, "NA")</f>
        <v>-1.5129232269442358E-2</v>
      </c>
      <c r="N55" s="115">
        <v>-372.79</v>
      </c>
      <c r="O55" s="116">
        <f>IFERROR(N55/N148, "NA")</f>
        <v>-1.3349500221841129E-2</v>
      </c>
      <c r="P55" s="115">
        <v>-380.52</v>
      </c>
      <c r="Q55" s="116">
        <f>IFERROR(P55/P148, "NA")</f>
        <v>-1.3760781122864116E-2</v>
      </c>
      <c r="R55" s="115">
        <v>-440.2</v>
      </c>
      <c r="S55" s="116">
        <f>IFERROR(R55/R148, "NA")</f>
        <v>-1.8785577694921705E-2</v>
      </c>
      <c r="T55" s="115">
        <v>-380.63</v>
      </c>
      <c r="U55" s="116">
        <f>IFERROR(T55/T148, "NA")</f>
        <v>-1.2090973113205599E-2</v>
      </c>
      <c r="V55" s="115">
        <v>0</v>
      </c>
      <c r="W55" s="116">
        <f>IFERROR(V55/V148, "NA")</f>
        <v>0</v>
      </c>
      <c r="X55" s="115">
        <v>0</v>
      </c>
      <c r="Y55" s="116">
        <f>IFERROR(X55/X148, "NA")</f>
        <v>0</v>
      </c>
      <c r="Z55" s="115">
        <v>0</v>
      </c>
      <c r="AA55" s="116">
        <f>IFERROR(Z55/Z148, "NA")</f>
        <v>0</v>
      </c>
      <c r="AB55" s="117">
        <f t="shared" si="18"/>
        <v>-205.20749999999998</v>
      </c>
      <c r="AC55" s="116">
        <f>IFERROR(AB55/AB148, "NA")</f>
        <v>-6.698652761485591E-3</v>
      </c>
      <c r="AD55" s="118">
        <f t="shared" si="19"/>
        <v>205.20749999999998</v>
      </c>
      <c r="AE55" s="119">
        <f>IFERROR(AD55/AD148, "NA")</f>
        <v>4.9680249554237707E-2</v>
      </c>
      <c r="AF55" s="118">
        <f t="shared" si="20"/>
        <v>-1</v>
      </c>
      <c r="AG55" s="117">
        <f t="shared" si="21"/>
        <v>-286.70875000000001</v>
      </c>
      <c r="AH55" s="116">
        <f>IFERROR(AG55/AG148, "NA")</f>
        <v>-1.0157200194936478E-2</v>
      </c>
      <c r="AI55" s="118">
        <f t="shared" si="22"/>
        <v>286.70875000000001</v>
      </c>
      <c r="AJ55" s="119">
        <f>IFERROR(AI55/AI148, "NA")</f>
        <v>4.3855578518993979E-2</v>
      </c>
      <c r="AK55" s="118">
        <f t="shared" si="23"/>
        <v>-1</v>
      </c>
      <c r="AL55" s="119">
        <f>IFERROR(AK55/AK148, "NA")</f>
        <v>-4.3176837787303493</v>
      </c>
    </row>
    <row r="56" spans="1:38" ht="16.5" customHeight="1" x14ac:dyDescent="0.25">
      <c r="A56" s="130" t="s">
        <v>62</v>
      </c>
      <c r="B56" s="121">
        <f>IFERROR(B37+B39+B40+B41+B42+B43+B46+B47+B48+B49+B50+B51+B53+B54+B55, "NA")</f>
        <v>782.77</v>
      </c>
      <c r="C56" s="122">
        <f>IFERROR(B56/B148, "NA")</f>
        <v>2.9320533887902716E-2</v>
      </c>
      <c r="D56" s="121">
        <f>IFERROR(D37+D39+D40+D41+D42+D43+D46+D47+D48+D49+D50+D51+D53+D54+D55, "NA")</f>
        <v>919.38000000000011</v>
      </c>
      <c r="E56" s="122">
        <f>IFERROR(D56/D148, "NA")</f>
        <v>4.023180394598827E-2</v>
      </c>
      <c r="F56" s="121">
        <f>IFERROR(F37+F39+F40+F41+F42+F43+F46+F47+F48+F49+F50+F51+F53+F54+F55, "NA")</f>
        <v>770.63</v>
      </c>
      <c r="G56" s="122">
        <f>IFERROR(F56/F148, "NA")</f>
        <v>2.8583742915079619E-2</v>
      </c>
      <c r="H56" s="121">
        <f>IFERROR(H37+H39+H40+H41+H42+H43+H46+H47+H48+H49+H50+H51+H53+H54+H55, "NA")</f>
        <v>813.37</v>
      </c>
      <c r="I56" s="122">
        <f>IFERROR(H56/H148, "NA")</f>
        <v>3.3817863259199325E-2</v>
      </c>
      <c r="J56" s="121">
        <f>IFERROR(J37+J39+J40+J41+J42+J43+J46+J47+J48+J49+J50+J51+J53+J54+J55, "NA")</f>
        <v>731.56</v>
      </c>
      <c r="K56" s="122">
        <f>IFERROR(J56/J148, "NA")</f>
        <v>2.9144957479341243E-2</v>
      </c>
      <c r="L56" s="121">
        <f>IFERROR(L37+L39+L40+L41+L42+L43+L46+L47+L48+L49+L50+L51+L53+L54+L55, "NA")</f>
        <v>616.37999999999988</v>
      </c>
      <c r="M56" s="122">
        <f>IFERROR(L56/L148, "NA")</f>
        <v>2.7271110356013685E-2</v>
      </c>
      <c r="N56" s="121">
        <f>IFERROR(N37+N39+N40+N41+N42+N43+N46+N47+N48+N49+N50+N51+N53+N54+N55, "NA")</f>
        <v>866.37000000000012</v>
      </c>
      <c r="O56" s="122">
        <f>IFERROR(N56/N148, "NA")</f>
        <v>3.1024454806181764E-2</v>
      </c>
      <c r="P56" s="121">
        <f>IFERROR(P37+P39+P40+P41+P42+P43+P46+P47+P48+P49+P50+P51+P53+P54+P55, "NA")</f>
        <v>960.19</v>
      </c>
      <c r="Q56" s="122">
        <f>IFERROR(P56/P148, "NA")</f>
        <v>3.4723442726697404E-2</v>
      </c>
      <c r="R56" s="121">
        <f>IFERROR(R37+R39+R40+R41+R42+R43+R46+R47+R48+R49+R50+R51+R53+R54+R55, "NA")</f>
        <v>715.43000000000006</v>
      </c>
      <c r="S56" s="122">
        <f>IFERROR(R56/R148, "NA")</f>
        <v>3.0531044639431709E-2</v>
      </c>
      <c r="T56" s="121">
        <f>IFERROR(T37+T39+T40+T41+T42+T43+T46+T47+T48+T49+T50+T51+T53+T54+T55, "NA")</f>
        <v>1023.5100000000001</v>
      </c>
      <c r="U56" s="122">
        <f>IFERROR(T56/T148, "NA")</f>
        <v>3.2512497415067294E-2</v>
      </c>
      <c r="V56" s="121">
        <f>IFERROR(V37+V39+V40+V41+V42+V43+V46+V47+V48+V49+V50+V51+V53+V54+V55, "NA")</f>
        <v>1431.6899999999998</v>
      </c>
      <c r="W56" s="122">
        <f>IFERROR(V56/V148, "NA")</f>
        <v>4.3571387486156542E-2</v>
      </c>
      <c r="X56" s="121">
        <f>IFERROR(X37+X39+X40+X41+X42+X43+X46+X47+X48+X49+X50+X51+X53+X54+X55, "NA")</f>
        <v>-4141.62</v>
      </c>
      <c r="Y56" s="122">
        <f>IFERROR(X56/X148, "NA")</f>
        <v>-0.11913287929052191</v>
      </c>
      <c r="Z56" s="121">
        <f>IFERROR(Z37+Z39+Z40+Z41+Z42+Z43+Z46+Z47+Z48+Z49+Z50+Z51+Z53+Z54+Z55, "NA")</f>
        <v>-2709.93</v>
      </c>
      <c r="AA56" s="122">
        <f>IFERROR(Z56/Z148, "NA")</f>
        <v>-4.0073968697133526E-2</v>
      </c>
      <c r="AB56" s="121">
        <f t="shared" si="18"/>
        <v>-242.74749999999995</v>
      </c>
      <c r="AC56" s="122">
        <f>IFERROR(AB56/AB148, "NA")</f>
        <v>-7.9240827514526681E-3</v>
      </c>
      <c r="AD56" s="123">
        <f t="shared" si="19"/>
        <v>-3898.8724999999999</v>
      </c>
      <c r="AE56" s="124">
        <f>IFERROR(AD56/AD148, "NA")</f>
        <v>-0.94390779469636665</v>
      </c>
      <c r="AF56" s="123">
        <f t="shared" si="20"/>
        <v>16.061432146572059</v>
      </c>
      <c r="AG56" s="121">
        <f t="shared" si="21"/>
        <v>275.43875000000003</v>
      </c>
      <c r="AH56" s="122">
        <f>IFERROR(AG56/AG148, "NA")</f>
        <v>9.7579391113562473E-3</v>
      </c>
      <c r="AI56" s="123">
        <f t="shared" si="22"/>
        <v>-4417.0587500000001</v>
      </c>
      <c r="AJ56" s="124">
        <f>IFERROR(AI56/AI148, "NA")</f>
        <v>-0.67564267513159049</v>
      </c>
      <c r="AK56" s="123">
        <f t="shared" si="23"/>
        <v>-16.036446396884969</v>
      </c>
      <c r="AL56" s="124">
        <f>IFERROR(AK56/AK148, "NA")</f>
        <v>-69.240304476308992</v>
      </c>
    </row>
    <row r="57" spans="1:38" ht="16.5" customHeight="1" x14ac:dyDescent="0.25">
      <c r="A57" s="120" t="s">
        <v>63</v>
      </c>
      <c r="B57" s="131">
        <f>IFERROR(B13+B15+B16+B17+B18+B19+B20+B21+B22+B23+B24+B25+B26+B29+B30+B31+B32+B33+B37+B39+B40+B41+B42+B43+B46+B47+B48+B49+B50+B51+B53+B54+B55, "NA")</f>
        <v>6250.9</v>
      </c>
      <c r="C57" s="132">
        <f>IFERROR(B57/B148, "NA")</f>
        <v>0.23414250070888137</v>
      </c>
      <c r="D57" s="131">
        <f>IFERROR(D13+D15+D16+D17+D18+D19+D20+D21+D22+D23+D24+D25+D26+D29+D30+D31+D32+D33+D37+D39+D40+D41+D42+D43+D46+D47+D48+D49+D50+D51+D53+D54+D55, "NA")</f>
        <v>6758.2899999999991</v>
      </c>
      <c r="E57" s="132">
        <f>IFERROR(D57/D148, "NA")</f>
        <v>0.29574082347901082</v>
      </c>
      <c r="F57" s="131">
        <f>IFERROR(F13+F15+F16+F17+F18+F19+F20+F21+F22+F23+F24+F25+F26+F29+F30+F31+F32+F33+F37+F39+F40+F41+F42+F43+F46+F47+F48+F49+F50+F51+F53+F54+F55, "NA")</f>
        <v>6526.21</v>
      </c>
      <c r="G57" s="132">
        <f>IFERROR(F57/F148, "NA")</f>
        <v>0.24206624300873539</v>
      </c>
      <c r="H57" s="131">
        <f>IFERROR(H13+H15+H16+H17+H18+H19+H20+H21+H22+H23+H24+H25+H26+H29+H30+H31+H32+H33+H37+H39+H40+H41+H42+H43+H46+H47+H48+H49+H50+H51+H53+H54+H55, "NA")</f>
        <v>6417.0999999999995</v>
      </c>
      <c r="I57" s="132">
        <f>IFERROR(H57/H148, "NA")</f>
        <v>0.26680675500769385</v>
      </c>
      <c r="J57" s="131">
        <f>IFERROR(J13+J15+J16+J17+J18+J19+J20+J21+J22+J23+J24+J25+J26+J29+J30+J31+J32+J33+J37+J39+J40+J41+J42+J43+J46+J47+J48+J49+J50+J51+J53+J54+J55, "NA")</f>
        <v>6497.9400000000014</v>
      </c>
      <c r="K57" s="132">
        <f>IFERROR(J57/J148, "NA")</f>
        <v>0.25887443955835571</v>
      </c>
      <c r="L57" s="131">
        <f>IFERROR(L13+L15+L16+L17+L18+L19+L20+L21+L22+L23+L24+L25+L26+L29+L30+L31+L32+L33+L37+L39+L40+L41+L42+L43+L46+L47+L48+L49+L50+L51+L53+L54+L55, "NA")</f>
        <v>5297.89</v>
      </c>
      <c r="M57" s="132">
        <f>IFERROR(L57/L148, "NA")</f>
        <v>0.23439979046046491</v>
      </c>
      <c r="N57" s="131">
        <f>IFERROR(N13+N15+N16+N17+N18+N19+N20+N21+N22+N23+N24+N25+N26+N29+N30+N31+N32+N33+N37+N39+N40+N41+N42+N43+N46+N47+N48+N49+N50+N51+N53+N54+N55, "NA")</f>
        <v>7068.8799999999983</v>
      </c>
      <c r="O57" s="132">
        <f>IFERROR(N57/N148, "NA")</f>
        <v>0.25313451307215401</v>
      </c>
      <c r="P57" s="131">
        <f>IFERROR(P13+P15+P16+P17+P18+P19+P20+P21+P22+P23+P24+P25+P26+P29+P30+P31+P32+P33+P37+P39+P40+P41+P42+P43+P46+P47+P48+P49+P50+P51+P53+P54+P55, "NA")</f>
        <v>6927.4700000000012</v>
      </c>
      <c r="Q57" s="132">
        <f>IFERROR(P57/P148, "NA")</f>
        <v>0.25051875960582232</v>
      </c>
      <c r="R57" s="131">
        <f>IFERROR(R13+R15+R16+R17+R18+R19+R20+R21+R22+R23+R24+R25+R26+R29+R30+R31+R32+R33+R37+R39+R40+R41+R42+R43+R46+R47+R48+R49+R50+R51+R53+R54+R55, "NA")</f>
        <v>6217.44</v>
      </c>
      <c r="S57" s="132">
        <f>IFERROR(R57/R148, "NA")</f>
        <v>0.26532985502842799</v>
      </c>
      <c r="T57" s="131">
        <f>IFERROR(T13+T15+T16+T17+T18+T19+T20+T21+T22+T23+T24+T25+T26+T29+T30+T31+T32+T33+T37+T39+T40+T41+T42+T43+T46+T47+T48+T49+T50+T51+T53+T54+T55, "NA")</f>
        <v>8502.2800000000007</v>
      </c>
      <c r="U57" s="132">
        <f>IFERROR(T57/T148, "NA")</f>
        <v>0.27008075790385866</v>
      </c>
      <c r="V57" s="131">
        <f>IFERROR(V13+V15+V16+V17+V18+V19+V20+V21+V22+V23+V24+V25+V26+V29+V30+V31+V32+V33+V37+V39+V40+V41+V42+V43+V46+V47+V48+V49+V50+V51+V53+V54+V55, "NA")</f>
        <v>8579.4700000000012</v>
      </c>
      <c r="W57" s="132">
        <f>IFERROR(V57/V148, "NA")</f>
        <v>0.26110359910026304</v>
      </c>
      <c r="X57" s="131">
        <f>IFERROR(X13+X15+X16+X17+X18+X19+X20+X21+X22+X23+X24+X25+X26+X29+X30+X31+X32+X33+X37+X39+X40+X41+X42+X43+X46+X47+X48+X49+X50+X51+X53+X54+X55, "NA")</f>
        <v>3355.0899999999997</v>
      </c>
      <c r="Y57" s="132">
        <f>IFERROR(X57/X148, "NA")</f>
        <v>9.6508499567521194E-2</v>
      </c>
      <c r="Z57" s="131">
        <f>IFERROR(Z13+Z15+Z16+Z17+Z18+Z19+Z20+Z21+Z22+Z23+Z24+Z25+Z26+Z29+Z30+Z31+Z32+Z33+Z37+Z39+Z40+Z41+Z42+Z43+Z46+Z47+Z48+Z49+Z50+Z51+Z53+Z54+Z55, "NA")</f>
        <v>11934.559999999998</v>
      </c>
      <c r="AA57" s="132">
        <f>IFERROR(Z57/Z148, "NA")</f>
        <v>0.17648617634184716</v>
      </c>
      <c r="AB57" s="131">
        <f t="shared" si="18"/>
        <v>6663.5700000000006</v>
      </c>
      <c r="AC57" s="132">
        <f>IFERROR(AB57/AB148, "NA")</f>
        <v>0.21752100474813321</v>
      </c>
      <c r="AD57" s="133">
        <f t="shared" si="19"/>
        <v>-3308.4800000000009</v>
      </c>
      <c r="AE57" s="134">
        <f>IFERROR(AD57/AD148, "NA")</f>
        <v>-0.8009751692565058</v>
      </c>
      <c r="AF57" s="133">
        <f t="shared" si="20"/>
        <v>-0.49650262546953067</v>
      </c>
      <c r="AG57" s="131">
        <f t="shared" si="21"/>
        <v>6555.8074999999999</v>
      </c>
      <c r="AH57" s="132">
        <f>IFERROR(AG57/AG148, "NA")</f>
        <v>0.23225189052292972</v>
      </c>
      <c r="AI57" s="133">
        <f t="shared" si="22"/>
        <v>-3200.7175000000002</v>
      </c>
      <c r="AJ57" s="134">
        <f>IFERROR(AI57/AI148, "NA")</f>
        <v>-0.48958853763049826</v>
      </c>
      <c r="AK57" s="133">
        <f t="shared" si="23"/>
        <v>-0.48822627876123581</v>
      </c>
      <c r="AL57" s="134">
        <f>IFERROR(AK57/AK148, "NA")</f>
        <v>-2.1080066841572696</v>
      </c>
    </row>
    <row r="58" spans="1:38" ht="3.75" customHeight="1" x14ac:dyDescent="0.25">
      <c r="A58" s="3" t="s">
        <v>2</v>
      </c>
      <c r="B58" s="125"/>
      <c r="C58" s="126"/>
      <c r="D58" s="125"/>
      <c r="E58" s="126"/>
      <c r="F58" s="125"/>
      <c r="G58" s="126"/>
      <c r="H58" s="125"/>
      <c r="I58" s="126"/>
      <c r="J58" s="125"/>
      <c r="K58" s="126"/>
      <c r="L58" s="125"/>
      <c r="M58" s="126"/>
      <c r="N58" s="125"/>
      <c r="O58" s="126"/>
      <c r="P58" s="125"/>
      <c r="Q58" s="126"/>
      <c r="R58" s="125"/>
      <c r="S58" s="126"/>
      <c r="T58" s="125"/>
      <c r="U58" s="126"/>
      <c r="V58" s="125"/>
      <c r="W58" s="126"/>
      <c r="X58" s="125"/>
      <c r="Y58" s="126"/>
      <c r="Z58" s="125"/>
      <c r="AA58" s="126"/>
      <c r="AB58" s="125"/>
      <c r="AC58" s="126"/>
      <c r="AD58" s="127"/>
      <c r="AE58" s="128"/>
      <c r="AF58" s="127"/>
      <c r="AG58" s="125"/>
      <c r="AH58" s="126"/>
      <c r="AI58" s="127"/>
      <c r="AJ58" s="128"/>
      <c r="AK58" s="127"/>
      <c r="AL58" s="128"/>
    </row>
    <row r="59" spans="1:38" ht="16.5" customHeight="1" x14ac:dyDescent="0.25">
      <c r="A59" s="135" t="s">
        <v>64</v>
      </c>
      <c r="B59" s="136">
        <f>IFERROR(B9-B57, "NA")</f>
        <v>20446.089999999997</v>
      </c>
      <c r="C59" s="137">
        <f>IFERROR(B59/B148, "NA")</f>
        <v>0.76585749929111846</v>
      </c>
      <c r="D59" s="136">
        <f>IFERROR(D9-D57, "NA")</f>
        <v>16093.779999999997</v>
      </c>
      <c r="E59" s="137">
        <f>IFERROR(D59/D148, "NA")</f>
        <v>0.70425917652098902</v>
      </c>
      <c r="F59" s="136">
        <f>IFERROR(F9-F57, "NA")</f>
        <v>20434.22</v>
      </c>
      <c r="G59" s="137">
        <f>IFERROR(F59/F148, "NA")</f>
        <v>0.75793375699126464</v>
      </c>
      <c r="H59" s="136">
        <f>IFERROR(H9-H57, "NA")</f>
        <v>17634.39</v>
      </c>
      <c r="I59" s="137">
        <f>IFERROR(H59/H148, "NA")</f>
        <v>0.73319324499230598</v>
      </c>
      <c r="J59" s="136">
        <f>IFERROR(J9-J57, "NA")</f>
        <v>18602.8</v>
      </c>
      <c r="K59" s="137">
        <f>IFERROR(J59/J148, "NA")</f>
        <v>0.74112556044164424</v>
      </c>
      <c r="L59" s="136">
        <f>IFERROR(L9-L57, "NA")</f>
        <v>17304.050000000003</v>
      </c>
      <c r="M59" s="137">
        <f>IFERROR(L59/L148, "NA")</f>
        <v>0.76560020953953523</v>
      </c>
      <c r="N59" s="136">
        <f>IFERROR(N9-N57, "NA")</f>
        <v>20856.509999999998</v>
      </c>
      <c r="O59" s="137">
        <f>IFERROR(N59/N148, "NA")</f>
        <v>0.74686548692784593</v>
      </c>
      <c r="P59" s="136">
        <f>IFERROR(P9-P57, "NA")</f>
        <v>20725.03</v>
      </c>
      <c r="Q59" s="137">
        <f>IFERROR(P59/P148, "NA")</f>
        <v>0.74948124039417774</v>
      </c>
      <c r="R59" s="136">
        <f>IFERROR(R9-R57, "NA")</f>
        <v>17215.429999999997</v>
      </c>
      <c r="S59" s="137">
        <f>IFERROR(R59/R148, "NA")</f>
        <v>0.7346701449715719</v>
      </c>
      <c r="T59" s="136">
        <f>IFERROR(T9-T57, "NA")</f>
        <v>22978.229999999989</v>
      </c>
      <c r="U59" s="137">
        <f>IFERROR(T59/T148, "NA")</f>
        <v>0.72991924209614112</v>
      </c>
      <c r="V59" s="136">
        <f>IFERROR(V9-V57, "NA")</f>
        <v>24279.020000000004</v>
      </c>
      <c r="W59" s="137">
        <f>IFERROR(V59/V148, "NA")</f>
        <v>0.73889640089973718</v>
      </c>
      <c r="X59" s="136">
        <f>IFERROR(X9-X57, "NA")</f>
        <v>31409.619999999992</v>
      </c>
      <c r="Y59" s="137">
        <f>IFERROR(X59/X148, "NA")</f>
        <v>0.90349150043247861</v>
      </c>
      <c r="Z59" s="136">
        <f>IFERROR(Z9-Z57, "NA")</f>
        <v>55688.639999999999</v>
      </c>
      <c r="AA59" s="137">
        <f>IFERROR(Z59/Z148, "NA")</f>
        <v>0.82351382365815284</v>
      </c>
      <c r="AB59" s="136">
        <f>IFERROR((R59+T59+V59+X59)/4, "NA")</f>
        <v>23970.574999999997</v>
      </c>
      <c r="AC59" s="137">
        <f>IFERROR(AB59/AB148, "NA")</f>
        <v>0.78247899525186682</v>
      </c>
      <c r="AD59" s="123">
        <f>IFERROR(X59-AB59, "NA")</f>
        <v>7439.0449999999946</v>
      </c>
      <c r="AE59" s="124">
        <f>IFERROR(AD59/AD148, "NA")</f>
        <v>1.8009751692565037</v>
      </c>
      <c r="AF59" s="123">
        <f>IFERROR((X59-AB59)/AB59, "NA")</f>
        <v>0.31034069896112193</v>
      </c>
      <c r="AG59" s="136">
        <f>IFERROR((J59+L59+N59+P59+R59+T59+V59+X59)/8, "NA")</f>
        <v>21671.33625</v>
      </c>
      <c r="AH59" s="137">
        <f>IFERROR(AG59/AG148, "NA")</f>
        <v>0.76774810947707028</v>
      </c>
      <c r="AI59" s="123">
        <f>IFERROR(X59-AG59, "NA")</f>
        <v>9738.2837499999914</v>
      </c>
      <c r="AJ59" s="124">
        <f>IFERROR(AI59/AI148, "NA")</f>
        <v>1.4895885376304969</v>
      </c>
      <c r="AK59" s="123">
        <f>IFERROR((X59-AG59)/AG59, "NA")</f>
        <v>0.44936240376040454</v>
      </c>
      <c r="AL59" s="124">
        <f>IFERROR(AK59/AK148, "NA")</f>
        <v>1.9402047614875766</v>
      </c>
    </row>
    <row r="60" spans="1:38" ht="3.75" customHeight="1" x14ac:dyDescent="0.25">
      <c r="A60" s="8" t="s">
        <v>2</v>
      </c>
      <c r="B60" s="138"/>
      <c r="C60" s="126"/>
      <c r="D60" s="138"/>
      <c r="E60" s="126"/>
      <c r="F60" s="138"/>
      <c r="G60" s="126"/>
      <c r="H60" s="138"/>
      <c r="I60" s="126"/>
      <c r="J60" s="138"/>
      <c r="K60" s="126"/>
      <c r="L60" s="138"/>
      <c r="M60" s="126"/>
      <c r="N60" s="138"/>
      <c r="O60" s="126"/>
      <c r="P60" s="138"/>
      <c r="Q60" s="126"/>
      <c r="R60" s="138"/>
      <c r="S60" s="126"/>
      <c r="T60" s="138"/>
      <c r="U60" s="126"/>
      <c r="V60" s="138"/>
      <c r="W60" s="126"/>
      <c r="X60" s="138"/>
      <c r="Y60" s="126"/>
      <c r="Z60" s="138"/>
      <c r="AA60" s="126"/>
      <c r="AB60" s="138"/>
      <c r="AC60" s="126"/>
      <c r="AD60" s="139"/>
      <c r="AE60" s="128"/>
      <c r="AF60" s="139"/>
      <c r="AG60" s="138"/>
      <c r="AH60" s="126"/>
      <c r="AI60" s="139"/>
      <c r="AJ60" s="128"/>
      <c r="AK60" s="139"/>
      <c r="AL60" s="128"/>
    </row>
    <row r="61" spans="1:38" ht="16.5" customHeight="1" x14ac:dyDescent="0.25">
      <c r="A61" s="1" t="s">
        <v>65</v>
      </c>
      <c r="B61" s="111"/>
      <c r="C61" s="112"/>
      <c r="D61" s="111"/>
      <c r="E61" s="112"/>
      <c r="F61" s="111"/>
      <c r="G61" s="112"/>
      <c r="H61" s="111"/>
      <c r="I61" s="112"/>
      <c r="J61" s="111"/>
      <c r="K61" s="112"/>
      <c r="L61" s="111"/>
      <c r="M61" s="112"/>
      <c r="N61" s="111"/>
      <c r="O61" s="112"/>
      <c r="P61" s="111"/>
      <c r="Q61" s="112"/>
      <c r="R61" s="111"/>
      <c r="S61" s="112"/>
      <c r="T61" s="111"/>
      <c r="U61" s="112"/>
      <c r="V61" s="111"/>
      <c r="W61" s="112"/>
      <c r="X61" s="111"/>
      <c r="Y61" s="112"/>
      <c r="Z61" s="111"/>
      <c r="AA61" s="112"/>
      <c r="AB61" s="111"/>
      <c r="AC61" s="112"/>
      <c r="AD61" s="113"/>
      <c r="AE61" s="114"/>
      <c r="AF61" s="113"/>
      <c r="AG61" s="111"/>
      <c r="AH61" s="112"/>
      <c r="AI61" s="113"/>
      <c r="AJ61" s="114"/>
      <c r="AK61" s="113"/>
      <c r="AL61" s="114"/>
    </row>
    <row r="62" spans="1:38" ht="16.5" customHeight="1" x14ac:dyDescent="0.25">
      <c r="A62" s="4" t="s">
        <v>65</v>
      </c>
      <c r="B62" s="111"/>
      <c r="C62" s="112"/>
      <c r="D62" s="111"/>
      <c r="E62" s="112"/>
      <c r="F62" s="111"/>
      <c r="G62" s="112"/>
      <c r="H62" s="111"/>
      <c r="I62" s="112"/>
      <c r="J62" s="111"/>
      <c r="K62" s="112"/>
      <c r="L62" s="111"/>
      <c r="M62" s="112"/>
      <c r="N62" s="111"/>
      <c r="O62" s="112"/>
      <c r="P62" s="111"/>
      <c r="Q62" s="112"/>
      <c r="R62" s="111"/>
      <c r="S62" s="112"/>
      <c r="T62" s="111"/>
      <c r="U62" s="112"/>
      <c r="V62" s="111"/>
      <c r="W62" s="112"/>
      <c r="X62" s="111"/>
      <c r="Y62" s="112"/>
      <c r="Z62" s="111"/>
      <c r="AA62" s="112"/>
      <c r="AB62" s="111"/>
      <c r="AC62" s="112"/>
      <c r="AD62" s="113"/>
      <c r="AE62" s="114"/>
      <c r="AF62" s="113"/>
      <c r="AG62" s="111"/>
      <c r="AH62" s="112"/>
      <c r="AI62" s="113"/>
      <c r="AJ62" s="114"/>
      <c r="AK62" s="113"/>
      <c r="AL62" s="114"/>
    </row>
    <row r="63" spans="1:38" ht="16.5" hidden="1" customHeight="1" x14ac:dyDescent="0.25">
      <c r="A63" s="5" t="s">
        <v>66</v>
      </c>
      <c r="B63" s="115">
        <v>0</v>
      </c>
      <c r="C63" s="116">
        <f>IFERROR(B63/B148, "NA")</f>
        <v>0</v>
      </c>
      <c r="D63" s="115">
        <v>0</v>
      </c>
      <c r="E63" s="116">
        <f>IFERROR(D63/D148, "NA")</f>
        <v>0</v>
      </c>
      <c r="F63" s="115">
        <v>0</v>
      </c>
      <c r="G63" s="116">
        <f>IFERROR(F63/F148, "NA")</f>
        <v>0</v>
      </c>
      <c r="H63" s="115">
        <v>0</v>
      </c>
      <c r="I63" s="116">
        <f>IFERROR(H63/H148, "NA")</f>
        <v>0</v>
      </c>
      <c r="J63" s="115">
        <v>0</v>
      </c>
      <c r="K63" s="116">
        <f>IFERROR(J63/J148, "NA")</f>
        <v>0</v>
      </c>
      <c r="L63" s="115">
        <v>0</v>
      </c>
      <c r="M63" s="116">
        <f>IFERROR(L63/L148, "NA")</f>
        <v>0</v>
      </c>
      <c r="N63" s="115">
        <v>0</v>
      </c>
      <c r="O63" s="116">
        <f>IFERROR(N63/N148, "NA")</f>
        <v>0</v>
      </c>
      <c r="P63" s="115">
        <v>0</v>
      </c>
      <c r="Q63" s="116">
        <f>IFERROR(P63/P148, "NA")</f>
        <v>0</v>
      </c>
      <c r="R63" s="115">
        <v>0</v>
      </c>
      <c r="S63" s="116">
        <f>IFERROR(R63/R148, "NA")</f>
        <v>0</v>
      </c>
      <c r="T63" s="115">
        <v>0</v>
      </c>
      <c r="U63" s="116">
        <f>IFERROR(T63/T148, "NA")</f>
        <v>0</v>
      </c>
      <c r="V63" s="115">
        <v>0</v>
      </c>
      <c r="W63" s="116">
        <f>IFERROR(V63/V148, "NA")</f>
        <v>0</v>
      </c>
      <c r="X63" s="115">
        <v>0</v>
      </c>
      <c r="Y63" s="116">
        <f>IFERROR(X63/X148, "NA")</f>
        <v>0</v>
      </c>
      <c r="Z63" s="115">
        <v>0</v>
      </c>
      <c r="AA63" s="116">
        <f>IFERROR(Z63/Z148, "NA")</f>
        <v>0</v>
      </c>
      <c r="AB63" s="117">
        <f>IFERROR((R63+T63+V63+X63)/4, "NA")</f>
        <v>0</v>
      </c>
      <c r="AC63" s="116">
        <f>IFERROR(AB63/AB148, "NA")</f>
        <v>0</v>
      </c>
      <c r="AD63" s="118">
        <f>IFERROR(X63-AB63, "NA")</f>
        <v>0</v>
      </c>
      <c r="AE63" s="119">
        <f>IFERROR(AD63/AD148, "NA")</f>
        <v>0</v>
      </c>
      <c r="AF63" s="118" t="str">
        <f>IFERROR((X63-AB63)/AB63, "NA")</f>
        <v>NA</v>
      </c>
      <c r="AG63" s="117">
        <f>IFERROR((J63+L63+N63+P63+R63+T63+V63+X63)/8, "NA")</f>
        <v>0</v>
      </c>
      <c r="AH63" s="116">
        <f>IFERROR(AG63/AG148, "NA")</f>
        <v>0</v>
      </c>
      <c r="AI63" s="118">
        <f>IFERROR(X63-AG63, "NA")</f>
        <v>0</v>
      </c>
      <c r="AJ63" s="119">
        <f>IFERROR(AI63/AI148, "NA")</f>
        <v>0</v>
      </c>
      <c r="AK63" s="118" t="str">
        <f>IFERROR((X63-AG63)/AG63, "NA")</f>
        <v>NA</v>
      </c>
      <c r="AL63" s="119" t="str">
        <f>IFERROR(AK63/AK148, "NA")</f>
        <v>NA</v>
      </c>
    </row>
    <row r="64" spans="1:38" ht="16.5" customHeight="1" x14ac:dyDescent="0.25">
      <c r="A64" s="6" t="s">
        <v>67</v>
      </c>
      <c r="B64" s="111"/>
      <c r="C64" s="112"/>
      <c r="D64" s="111"/>
      <c r="E64" s="112"/>
      <c r="F64" s="111"/>
      <c r="G64" s="112"/>
      <c r="H64" s="111"/>
      <c r="I64" s="112"/>
      <c r="J64" s="111"/>
      <c r="K64" s="112"/>
      <c r="L64" s="111"/>
      <c r="M64" s="112"/>
      <c r="N64" s="111"/>
      <c r="O64" s="112"/>
      <c r="P64" s="111"/>
      <c r="Q64" s="112"/>
      <c r="R64" s="111"/>
      <c r="S64" s="112"/>
      <c r="T64" s="111"/>
      <c r="U64" s="112"/>
      <c r="V64" s="111"/>
      <c r="W64" s="112"/>
      <c r="X64" s="111"/>
      <c r="Y64" s="112"/>
      <c r="Z64" s="111"/>
      <c r="AA64" s="112"/>
      <c r="AB64" s="111"/>
      <c r="AC64" s="112"/>
      <c r="AD64" s="113"/>
      <c r="AE64" s="114"/>
      <c r="AF64" s="113"/>
      <c r="AG64" s="111"/>
      <c r="AH64" s="112"/>
      <c r="AI64" s="113"/>
      <c r="AJ64" s="114"/>
      <c r="AK64" s="113"/>
      <c r="AL64" s="114"/>
    </row>
    <row r="65" spans="1:38" ht="16.5" hidden="1" customHeight="1" x14ac:dyDescent="0.25">
      <c r="A65" s="7" t="s">
        <v>68</v>
      </c>
      <c r="B65" s="115">
        <v>0</v>
      </c>
      <c r="C65" s="116">
        <f>IFERROR(B65/B148, "NA")</f>
        <v>0</v>
      </c>
      <c r="D65" s="115">
        <v>0</v>
      </c>
      <c r="E65" s="116">
        <f>IFERROR(D65/D148, "NA")</f>
        <v>0</v>
      </c>
      <c r="F65" s="115">
        <v>0</v>
      </c>
      <c r="G65" s="116">
        <f>IFERROR(F65/F148, "NA")</f>
        <v>0</v>
      </c>
      <c r="H65" s="115">
        <v>0</v>
      </c>
      <c r="I65" s="116">
        <f>IFERROR(H65/H148, "NA")</f>
        <v>0</v>
      </c>
      <c r="J65" s="115">
        <v>0</v>
      </c>
      <c r="K65" s="116">
        <f>IFERROR(J65/J148, "NA")</f>
        <v>0</v>
      </c>
      <c r="L65" s="115">
        <v>0</v>
      </c>
      <c r="M65" s="116">
        <f>IFERROR(L65/L148, "NA")</f>
        <v>0</v>
      </c>
      <c r="N65" s="115">
        <v>0</v>
      </c>
      <c r="O65" s="116">
        <f>IFERROR(N65/N148, "NA")</f>
        <v>0</v>
      </c>
      <c r="P65" s="115">
        <v>0</v>
      </c>
      <c r="Q65" s="116">
        <f>IFERROR(P65/P148, "NA")</f>
        <v>0</v>
      </c>
      <c r="R65" s="115">
        <v>0</v>
      </c>
      <c r="S65" s="116">
        <f>IFERROR(R65/R148, "NA")</f>
        <v>0</v>
      </c>
      <c r="T65" s="115">
        <v>0</v>
      </c>
      <c r="U65" s="116">
        <f>IFERROR(T65/T148, "NA")</f>
        <v>0</v>
      </c>
      <c r="V65" s="115">
        <v>0</v>
      </c>
      <c r="W65" s="116">
        <f>IFERROR(V65/V148, "NA")</f>
        <v>0</v>
      </c>
      <c r="X65" s="115">
        <v>0</v>
      </c>
      <c r="Y65" s="116">
        <f>IFERROR(X65/X148, "NA")</f>
        <v>0</v>
      </c>
      <c r="Z65" s="115">
        <v>0</v>
      </c>
      <c r="AA65" s="116">
        <f>IFERROR(Z65/Z148, "NA")</f>
        <v>0</v>
      </c>
      <c r="AB65" s="117">
        <f t="shared" ref="AB65:AB72" si="24">IFERROR((R65+T65+V65+X65)/4, "NA")</f>
        <v>0</v>
      </c>
      <c r="AC65" s="116">
        <f>IFERROR(AB65/AB148, "NA")</f>
        <v>0</v>
      </c>
      <c r="AD65" s="118">
        <f t="shared" ref="AD65:AD72" si="25">IFERROR(X65-AB65, "NA")</f>
        <v>0</v>
      </c>
      <c r="AE65" s="119">
        <f>IFERROR(AD65/AD148, "NA")</f>
        <v>0</v>
      </c>
      <c r="AF65" s="118" t="str">
        <f t="shared" ref="AF65:AF72" si="26">IFERROR((X65-AB65)/AB65, "NA")</f>
        <v>NA</v>
      </c>
      <c r="AG65" s="117">
        <f t="shared" ref="AG65:AG72" si="27">IFERROR((J65+L65+N65+P65+R65+T65+V65+X65)/8, "NA")</f>
        <v>0</v>
      </c>
      <c r="AH65" s="116">
        <f>IFERROR(AG65/AG148, "NA")</f>
        <v>0</v>
      </c>
      <c r="AI65" s="118">
        <f t="shared" ref="AI65:AI72" si="28">IFERROR(X65-AG65, "NA")</f>
        <v>0</v>
      </c>
      <c r="AJ65" s="119">
        <f>IFERROR(AI65/AI148, "NA")</f>
        <v>0</v>
      </c>
      <c r="AK65" s="118" t="str">
        <f t="shared" ref="AK65:AK72" si="29">IFERROR((X65-AG65)/AG65, "NA")</f>
        <v>NA</v>
      </c>
      <c r="AL65" s="119" t="str">
        <f>IFERROR(AK65/AK148, "NA")</f>
        <v>NA</v>
      </c>
    </row>
    <row r="66" spans="1:38" ht="16.5" customHeight="1" x14ac:dyDescent="0.25">
      <c r="A66" s="7" t="s">
        <v>69</v>
      </c>
      <c r="B66" s="115">
        <v>1298.08</v>
      </c>
      <c r="C66" s="116">
        <f>IFERROR(B66/B148, "NA")</f>
        <v>4.8622709901003813E-2</v>
      </c>
      <c r="D66" s="115">
        <v>1298.08</v>
      </c>
      <c r="E66" s="116">
        <f>IFERROR(D66/D148, "NA")</f>
        <v>5.6803606850495382E-2</v>
      </c>
      <c r="F66" s="115">
        <v>1298.08</v>
      </c>
      <c r="G66" s="116">
        <f>IFERROR(F66/F148, "NA")</f>
        <v>4.8147600019732617E-2</v>
      </c>
      <c r="H66" s="115">
        <v>1298.08</v>
      </c>
      <c r="I66" s="116">
        <f>IFERROR(H66/H148, "NA")</f>
        <v>5.3970876648390592E-2</v>
      </c>
      <c r="J66" s="115">
        <v>1298.08</v>
      </c>
      <c r="K66" s="116">
        <f>IFERROR(J66/J148, "NA")</f>
        <v>5.1714810001617477E-2</v>
      </c>
      <c r="L66" s="115">
        <v>1298.08</v>
      </c>
      <c r="M66" s="116">
        <f>IFERROR(L66/L148, "NA")</f>
        <v>5.7432238117612916E-2</v>
      </c>
      <c r="N66" s="115">
        <v>1298.08</v>
      </c>
      <c r="O66" s="116">
        <f>IFERROR(N66/N148, "NA")</f>
        <v>4.6483862893230851E-2</v>
      </c>
      <c r="P66" s="115">
        <v>1298.08</v>
      </c>
      <c r="Q66" s="116">
        <f>IFERROR(P66/P148, "NA")</f>
        <v>4.6942591085796945E-2</v>
      </c>
      <c r="R66" s="115">
        <v>1298.08</v>
      </c>
      <c r="S66" s="116">
        <f>IFERROR(R66/R148, "NA")</f>
        <v>5.5395689900554219E-2</v>
      </c>
      <c r="T66" s="115">
        <v>1298.08</v>
      </c>
      <c r="U66" s="116">
        <f>IFERROR(T66/T148, "NA")</f>
        <v>4.1234401856894948E-2</v>
      </c>
      <c r="V66" s="115">
        <v>2625</v>
      </c>
      <c r="W66" s="116">
        <f>IFERROR(V66/V148, "NA")</f>
        <v>7.988802893863961E-2</v>
      </c>
      <c r="X66" s="115">
        <v>2625</v>
      </c>
      <c r="Y66" s="116">
        <f>IFERROR(X66/X148, "NA")</f>
        <v>7.5507605269826791E-2</v>
      </c>
      <c r="Z66" s="115">
        <v>5250</v>
      </c>
      <c r="AA66" s="116">
        <f>IFERROR(Z66/Z148, "NA")</f>
        <v>7.763607755918088E-2</v>
      </c>
      <c r="AB66" s="117">
        <f t="shared" si="24"/>
        <v>1961.54</v>
      </c>
      <c r="AC66" s="116">
        <f>IFERROR(AB66/AB148, "NA")</f>
        <v>6.4031165224294667E-2</v>
      </c>
      <c r="AD66" s="118">
        <f t="shared" si="25"/>
        <v>663.46</v>
      </c>
      <c r="AE66" s="119">
        <f>IFERROR(AD66/AD148, "NA")</f>
        <v>0.16062209407187628</v>
      </c>
      <c r="AF66" s="118">
        <f t="shared" si="26"/>
        <v>0.33823424452216116</v>
      </c>
      <c r="AG66" s="117">
        <f t="shared" si="27"/>
        <v>1629.81</v>
      </c>
      <c r="AH66" s="116">
        <f>IFERROR(AG66/AG148, "NA")</f>
        <v>5.7739104403717788E-2</v>
      </c>
      <c r="AI66" s="118">
        <f t="shared" si="28"/>
        <v>995.19</v>
      </c>
      <c r="AJ66" s="119">
        <f>IFERROR(AI66/AI148, "NA")</f>
        <v>0.15222637323178179</v>
      </c>
      <c r="AK66" s="118">
        <f t="shared" si="29"/>
        <v>0.61061718850663582</v>
      </c>
      <c r="AL66" s="119">
        <f>IFERROR(AK66/AK148, "NA")</f>
        <v>2.6364519298290334</v>
      </c>
    </row>
    <row r="67" spans="1:38" ht="16.5" hidden="1" customHeight="1" x14ac:dyDescent="0.25">
      <c r="A67" s="7" t="s">
        <v>70</v>
      </c>
      <c r="B67" s="115">
        <v>0</v>
      </c>
      <c r="C67" s="116">
        <f>IFERROR(B67/B148, "NA")</f>
        <v>0</v>
      </c>
      <c r="D67" s="115">
        <v>0</v>
      </c>
      <c r="E67" s="116">
        <f>IFERROR(D67/D148, "NA")</f>
        <v>0</v>
      </c>
      <c r="F67" s="115">
        <v>0</v>
      </c>
      <c r="G67" s="116">
        <f>IFERROR(F67/F148, "NA")</f>
        <v>0</v>
      </c>
      <c r="H67" s="115">
        <v>0</v>
      </c>
      <c r="I67" s="116">
        <f>IFERROR(H67/H148, "NA")</f>
        <v>0</v>
      </c>
      <c r="J67" s="115">
        <v>0</v>
      </c>
      <c r="K67" s="116">
        <f>IFERROR(J67/J148, "NA")</f>
        <v>0</v>
      </c>
      <c r="L67" s="115">
        <v>0</v>
      </c>
      <c r="M67" s="116">
        <f>IFERROR(L67/L148, "NA")</f>
        <v>0</v>
      </c>
      <c r="N67" s="115">
        <v>0</v>
      </c>
      <c r="O67" s="116">
        <f>IFERROR(N67/N148, "NA")</f>
        <v>0</v>
      </c>
      <c r="P67" s="115">
        <v>0</v>
      </c>
      <c r="Q67" s="116">
        <f>IFERROR(P67/P148, "NA")</f>
        <v>0</v>
      </c>
      <c r="R67" s="115">
        <v>0</v>
      </c>
      <c r="S67" s="116">
        <f>IFERROR(R67/R148, "NA")</f>
        <v>0</v>
      </c>
      <c r="T67" s="115">
        <v>0</v>
      </c>
      <c r="U67" s="116">
        <f>IFERROR(T67/T148, "NA")</f>
        <v>0</v>
      </c>
      <c r="V67" s="115">
        <v>0</v>
      </c>
      <c r="W67" s="116">
        <f>IFERROR(V67/V148, "NA")</f>
        <v>0</v>
      </c>
      <c r="X67" s="115">
        <v>0</v>
      </c>
      <c r="Y67" s="116">
        <f>IFERROR(X67/X148, "NA")</f>
        <v>0</v>
      </c>
      <c r="Z67" s="115">
        <v>0</v>
      </c>
      <c r="AA67" s="116">
        <f>IFERROR(Z67/Z148, "NA")</f>
        <v>0</v>
      </c>
      <c r="AB67" s="117">
        <f t="shared" si="24"/>
        <v>0</v>
      </c>
      <c r="AC67" s="116">
        <f>IFERROR(AB67/AB148, "NA")</f>
        <v>0</v>
      </c>
      <c r="AD67" s="118">
        <f t="shared" si="25"/>
        <v>0</v>
      </c>
      <c r="AE67" s="119">
        <f>IFERROR(AD67/AD148, "NA")</f>
        <v>0</v>
      </c>
      <c r="AF67" s="118" t="str">
        <f t="shared" si="26"/>
        <v>NA</v>
      </c>
      <c r="AG67" s="117">
        <f t="shared" si="27"/>
        <v>0</v>
      </c>
      <c r="AH67" s="116">
        <f>IFERROR(AG67/AG148, "NA")</f>
        <v>0</v>
      </c>
      <c r="AI67" s="118">
        <f t="shared" si="28"/>
        <v>0</v>
      </c>
      <c r="AJ67" s="119">
        <f>IFERROR(AI67/AI148, "NA")</f>
        <v>0</v>
      </c>
      <c r="AK67" s="118" t="str">
        <f t="shared" si="29"/>
        <v>NA</v>
      </c>
      <c r="AL67" s="119" t="str">
        <f>IFERROR(AK67/AK148, "NA")</f>
        <v>NA</v>
      </c>
    </row>
    <row r="68" spans="1:38" ht="16.5" customHeight="1" x14ac:dyDescent="0.25">
      <c r="A68" s="7" t="s">
        <v>71</v>
      </c>
      <c r="B68" s="115">
        <v>5639.93</v>
      </c>
      <c r="C68" s="116">
        <f>IFERROR(B68/B148, "NA")</f>
        <v>0.2112571492141998</v>
      </c>
      <c r="D68" s="115">
        <v>6116.84</v>
      </c>
      <c r="E68" s="116">
        <f>IFERROR(D68/D148, "NA")</f>
        <v>0.26767115626724408</v>
      </c>
      <c r="F68" s="115">
        <v>5143.54</v>
      </c>
      <c r="G68" s="116">
        <f>IFERROR(F68/F148, "NA")</f>
        <v>0.19078108175574351</v>
      </c>
      <c r="H68" s="115">
        <v>6607.72</v>
      </c>
      <c r="I68" s="116">
        <f>IFERROR(H68/H148, "NA")</f>
        <v>0.27473225151539465</v>
      </c>
      <c r="J68" s="115">
        <v>4847.05</v>
      </c>
      <c r="K68" s="116">
        <f>IFERROR(J68/J148, "NA")</f>
        <v>0.19310386865088439</v>
      </c>
      <c r="L68" s="115">
        <v>5263.34</v>
      </c>
      <c r="M68" s="116">
        <f>IFERROR(L68/L148, "NA")</f>
        <v>0.23287116061718599</v>
      </c>
      <c r="N68" s="115">
        <v>5181.5200000000004</v>
      </c>
      <c r="O68" s="116">
        <f>IFERROR(N68/N148, "NA")</f>
        <v>0.18554870675038024</v>
      </c>
      <c r="P68" s="115">
        <v>5697.83</v>
      </c>
      <c r="Q68" s="116">
        <f>IFERROR(P68/P148, "NA")</f>
        <v>0.20605117078021878</v>
      </c>
      <c r="R68" s="115">
        <v>5643.45</v>
      </c>
      <c r="S68" s="116">
        <f>IFERROR(R68/R148, "NA")</f>
        <v>0.24083477610723741</v>
      </c>
      <c r="T68" s="115">
        <v>6412.03</v>
      </c>
      <c r="U68" s="116">
        <f>IFERROR(T68/T148, "NA")</f>
        <v>0.20368253246214879</v>
      </c>
      <c r="V68" s="115">
        <v>6372.19</v>
      </c>
      <c r="W68" s="116">
        <f>IFERROR(V68/V148, "NA")</f>
        <v>0.19392826633238472</v>
      </c>
      <c r="X68" s="115">
        <v>6269.29</v>
      </c>
      <c r="Y68" s="116">
        <f>IFERROR(X68/X148, "NA")</f>
        <v>0.18033488557793234</v>
      </c>
      <c r="Z68" s="115">
        <v>12641.48</v>
      </c>
      <c r="AA68" s="116">
        <f>IFERROR(Z68/Z148, "NA")</f>
        <v>0.18693998509387311</v>
      </c>
      <c r="AB68" s="117">
        <f t="shared" si="24"/>
        <v>6174.24</v>
      </c>
      <c r="AC68" s="116">
        <f>IFERROR(AB68/AB148, "NA")</f>
        <v>0.2015476521378351</v>
      </c>
      <c r="AD68" s="118">
        <f t="shared" si="25"/>
        <v>95.050000000000182</v>
      </c>
      <c r="AE68" s="119">
        <f>IFERROR(AD68/AD148, "NA")</f>
        <v>2.3011379799131627E-2</v>
      </c>
      <c r="AF68" s="118">
        <f t="shared" si="26"/>
        <v>1.5394607271502271E-2</v>
      </c>
      <c r="AG68" s="117">
        <f t="shared" si="27"/>
        <v>5710.8375000000005</v>
      </c>
      <c r="AH68" s="116">
        <f>IFERROR(AG68/AG148, "NA")</f>
        <v>0.20231722878443911</v>
      </c>
      <c r="AI68" s="118">
        <f t="shared" si="28"/>
        <v>558.45249999999942</v>
      </c>
      <c r="AJ68" s="119">
        <f>IFERROR(AI68/AI148, "NA")</f>
        <v>8.5422078896714729E-2</v>
      </c>
      <c r="AK68" s="118">
        <f t="shared" si="29"/>
        <v>9.7788196564864496E-2</v>
      </c>
      <c r="AL68" s="119">
        <f>IFERROR(AK68/AK148, "NA")</f>
        <v>0.4222185100594103</v>
      </c>
    </row>
    <row r="69" spans="1:38" ht="16.5" customHeight="1" x14ac:dyDescent="0.25">
      <c r="A69" s="7" t="s">
        <v>72</v>
      </c>
      <c r="B69" s="115">
        <v>0</v>
      </c>
      <c r="C69" s="116">
        <f>IFERROR(B69/B148, "NA")</f>
        <v>0</v>
      </c>
      <c r="D69" s="115">
        <v>0</v>
      </c>
      <c r="E69" s="116">
        <f>IFERROR(D69/D148, "NA")</f>
        <v>0</v>
      </c>
      <c r="F69" s="115">
        <v>0</v>
      </c>
      <c r="G69" s="116">
        <f>IFERROR(F69/F148, "NA")</f>
        <v>0</v>
      </c>
      <c r="H69" s="115">
        <v>23.26</v>
      </c>
      <c r="I69" s="116">
        <f>IFERROR(H69/H148, "NA")</f>
        <v>9.6709185168985373E-4</v>
      </c>
      <c r="J69" s="115">
        <v>0</v>
      </c>
      <c r="K69" s="116">
        <f>IFERROR(J69/J148, "NA")</f>
        <v>0</v>
      </c>
      <c r="L69" s="115">
        <v>0</v>
      </c>
      <c r="M69" s="116">
        <f>IFERROR(L69/L148, "NA")</f>
        <v>0</v>
      </c>
      <c r="N69" s="115">
        <v>0</v>
      </c>
      <c r="O69" s="116">
        <f>IFERROR(N69/N148, "NA")</f>
        <v>0</v>
      </c>
      <c r="P69" s="115">
        <v>0</v>
      </c>
      <c r="Q69" s="116">
        <f>IFERROR(P69/P148, "NA")</f>
        <v>0</v>
      </c>
      <c r="R69" s="115">
        <v>0</v>
      </c>
      <c r="S69" s="116">
        <f>IFERROR(R69/R148, "NA")</f>
        <v>0</v>
      </c>
      <c r="T69" s="115">
        <v>199.99</v>
      </c>
      <c r="U69" s="116">
        <f>IFERROR(T69/T148, "NA")</f>
        <v>6.3528195699497888E-3</v>
      </c>
      <c r="V69" s="115">
        <v>0</v>
      </c>
      <c r="W69" s="116">
        <f>IFERROR(V69/V148, "NA")</f>
        <v>0</v>
      </c>
      <c r="X69" s="115">
        <v>0</v>
      </c>
      <c r="Y69" s="116">
        <f>IFERROR(X69/X148, "NA")</f>
        <v>0</v>
      </c>
      <c r="Z69" s="115">
        <v>0</v>
      </c>
      <c r="AA69" s="116">
        <f>IFERROR(Z69/Z148, "NA")</f>
        <v>0</v>
      </c>
      <c r="AB69" s="117">
        <f t="shared" si="24"/>
        <v>49.997500000000002</v>
      </c>
      <c r="AC69" s="116">
        <f>IFERROR(AB69/AB148, "NA")</f>
        <v>1.6320840682839365E-3</v>
      </c>
      <c r="AD69" s="118">
        <f t="shared" si="25"/>
        <v>-49.997500000000002</v>
      </c>
      <c r="AE69" s="119">
        <f>IFERROR(AD69/AD148, "NA")</f>
        <v>-1.2104276291500068E-2</v>
      </c>
      <c r="AF69" s="118">
        <f t="shared" si="26"/>
        <v>-1</v>
      </c>
      <c r="AG69" s="117">
        <f t="shared" si="27"/>
        <v>24.998750000000001</v>
      </c>
      <c r="AH69" s="116">
        <f>IFERROR(AG69/AG148, "NA")</f>
        <v>8.8562804020863792E-4</v>
      </c>
      <c r="AI69" s="118">
        <f t="shared" si="28"/>
        <v>-24.998750000000001</v>
      </c>
      <c r="AJ69" s="119">
        <f>IFERROR(AI69/AI148, "NA")</f>
        <v>-3.8238618231975856E-3</v>
      </c>
      <c r="AK69" s="118">
        <f t="shared" si="29"/>
        <v>-1</v>
      </c>
      <c r="AL69" s="119">
        <f>IFERROR(AK69/AK148, "NA")</f>
        <v>-4.3176837787303493</v>
      </c>
    </row>
    <row r="70" spans="1:38" ht="16.5" customHeight="1" x14ac:dyDescent="0.25">
      <c r="A70" s="129" t="s">
        <v>73</v>
      </c>
      <c r="B70" s="121">
        <f>IFERROR(B65+B66+B67+B68+B69, "NA")</f>
        <v>6938.01</v>
      </c>
      <c r="C70" s="122">
        <f>IFERROR(B70/B148, "NA")</f>
        <v>0.25987985911520362</v>
      </c>
      <c r="D70" s="121">
        <f>IFERROR(D65+D66+D67+D68+D69, "NA")</f>
        <v>7414.92</v>
      </c>
      <c r="E70" s="122">
        <f>IFERROR(D70/D148, "NA")</f>
        <v>0.32447476311773943</v>
      </c>
      <c r="F70" s="121">
        <f>IFERROR(F65+F66+F67+F68+F69, "NA")</f>
        <v>6441.62</v>
      </c>
      <c r="G70" s="122">
        <f>IFERROR(F70/F148, "NA")</f>
        <v>0.23892868177547613</v>
      </c>
      <c r="H70" s="121">
        <f>IFERROR(H65+H66+H67+H68+H69, "NA")</f>
        <v>7929.06</v>
      </c>
      <c r="I70" s="122">
        <f>IFERROR(H70/H148, "NA")</f>
        <v>0.32967022001547513</v>
      </c>
      <c r="J70" s="121">
        <f>IFERROR(J65+J66+J67+J68+J69, "NA")</f>
        <v>6145.13</v>
      </c>
      <c r="K70" s="122">
        <f>IFERROR(J70/J148, "NA")</f>
        <v>0.24481867865250187</v>
      </c>
      <c r="L70" s="121">
        <f>IFERROR(L65+L66+L67+L68+L69, "NA")</f>
        <v>6561.42</v>
      </c>
      <c r="M70" s="122">
        <f>IFERROR(L70/L148, "NA")</f>
        <v>0.29030339873479888</v>
      </c>
      <c r="N70" s="121">
        <f>IFERROR(N65+N66+N67+N68+N69, "NA")</f>
        <v>6479.6</v>
      </c>
      <c r="O70" s="122">
        <f>IFERROR(N70/N148, "NA")</f>
        <v>0.23203256964361108</v>
      </c>
      <c r="P70" s="121">
        <f>IFERROR(P65+P66+P67+P68+P69, "NA")</f>
        <v>6995.91</v>
      </c>
      <c r="Q70" s="122">
        <f>IFERROR(P70/P148, "NA")</f>
        <v>0.25299376186601574</v>
      </c>
      <c r="R70" s="121">
        <f>IFERROR(R65+R66+R67+R68+R69, "NA")</f>
        <v>6941.53</v>
      </c>
      <c r="S70" s="122">
        <f>IFERROR(R70/R148, "NA")</f>
        <v>0.29623046600779163</v>
      </c>
      <c r="T70" s="121">
        <f>IFERROR(T65+T66+T67+T68+T69, "NA")</f>
        <v>7910.0999999999995</v>
      </c>
      <c r="U70" s="122">
        <f>IFERROR(T70/T148, "NA")</f>
        <v>0.25126975388899353</v>
      </c>
      <c r="V70" s="121">
        <f>IFERROR(V65+V66+V67+V68+V69, "NA")</f>
        <v>8997.1899999999987</v>
      </c>
      <c r="W70" s="122">
        <f>IFERROR(V70/V148, "NA")</f>
        <v>0.2738162952710243</v>
      </c>
      <c r="X70" s="121">
        <f>IFERROR(X65+X66+X67+X68+X69, "NA")</f>
        <v>8894.2900000000009</v>
      </c>
      <c r="Y70" s="122">
        <f>IFERROR(X70/X148, "NA")</f>
        <v>0.25584249084775917</v>
      </c>
      <c r="Z70" s="121">
        <f>IFERROR(Z65+Z66+Z67+Z68+Z69, "NA")</f>
        <v>17891.48</v>
      </c>
      <c r="AA70" s="122">
        <f>IFERROR(Z70/Z148, "NA")</f>
        <v>0.264576062653054</v>
      </c>
      <c r="AB70" s="121">
        <f t="shared" si="24"/>
        <v>8185.7775000000001</v>
      </c>
      <c r="AC70" s="122">
        <f>IFERROR(AB70/AB148, "NA")</f>
        <v>0.26721090143041371</v>
      </c>
      <c r="AD70" s="123">
        <f t="shared" si="25"/>
        <v>708.51250000000073</v>
      </c>
      <c r="AE70" s="124">
        <f>IFERROR(AD70/AD148, "NA")</f>
        <v>0.17152919757950796</v>
      </c>
      <c r="AF70" s="123">
        <f t="shared" si="26"/>
        <v>8.6554087256830614E-2</v>
      </c>
      <c r="AG70" s="121">
        <f t="shared" si="27"/>
        <v>7365.6462500000007</v>
      </c>
      <c r="AH70" s="122">
        <f>IFERROR(AG70/AG148, "NA")</f>
        <v>0.26094196122836555</v>
      </c>
      <c r="AI70" s="123">
        <f t="shared" si="28"/>
        <v>1528.6437500000002</v>
      </c>
      <c r="AJ70" s="124">
        <f>IFERROR(AI70/AI148, "NA")</f>
        <v>0.23382459030529903</v>
      </c>
      <c r="AK70" s="123">
        <f t="shared" si="29"/>
        <v>0.20753694898122485</v>
      </c>
      <c r="AL70" s="124">
        <f>IFERROR(AK70/AK148, "NA")</f>
        <v>0.89607891810342266</v>
      </c>
    </row>
    <row r="71" spans="1:38" ht="16.5" hidden="1" customHeight="1" x14ac:dyDescent="0.25">
      <c r="A71" s="5" t="s">
        <v>74</v>
      </c>
      <c r="B71" s="115">
        <v>0</v>
      </c>
      <c r="C71" s="116">
        <f>IFERROR(B71/B148, "NA")</f>
        <v>0</v>
      </c>
      <c r="D71" s="115">
        <v>0</v>
      </c>
      <c r="E71" s="116">
        <f>IFERROR(D71/D148, "NA")</f>
        <v>0</v>
      </c>
      <c r="F71" s="115">
        <v>0</v>
      </c>
      <c r="G71" s="116">
        <f>IFERROR(F71/F148, "NA")</f>
        <v>0</v>
      </c>
      <c r="H71" s="115">
        <v>0</v>
      </c>
      <c r="I71" s="116">
        <f>IFERROR(H71/H148, "NA")</f>
        <v>0</v>
      </c>
      <c r="J71" s="115">
        <v>0</v>
      </c>
      <c r="K71" s="116">
        <f>IFERROR(J71/J148, "NA")</f>
        <v>0</v>
      </c>
      <c r="L71" s="115">
        <v>0</v>
      </c>
      <c r="M71" s="116">
        <f>IFERROR(L71/L148, "NA")</f>
        <v>0</v>
      </c>
      <c r="N71" s="115">
        <v>0</v>
      </c>
      <c r="O71" s="116">
        <f>IFERROR(N71/N148, "NA")</f>
        <v>0</v>
      </c>
      <c r="P71" s="115">
        <v>0</v>
      </c>
      <c r="Q71" s="116">
        <f>IFERROR(P71/P148, "NA")</f>
        <v>0</v>
      </c>
      <c r="R71" s="115">
        <v>0</v>
      </c>
      <c r="S71" s="116">
        <f>IFERROR(R71/R148, "NA")</f>
        <v>0</v>
      </c>
      <c r="T71" s="115">
        <v>0</v>
      </c>
      <c r="U71" s="116">
        <f>IFERROR(T71/T148, "NA")</f>
        <v>0</v>
      </c>
      <c r="V71" s="115">
        <v>0</v>
      </c>
      <c r="W71" s="116">
        <f>IFERROR(V71/V148, "NA")</f>
        <v>0</v>
      </c>
      <c r="X71" s="115">
        <v>0</v>
      </c>
      <c r="Y71" s="116">
        <f>IFERROR(X71/X148, "NA")</f>
        <v>0</v>
      </c>
      <c r="Z71" s="115">
        <v>0</v>
      </c>
      <c r="AA71" s="116">
        <f>IFERROR(Z71/Z148, "NA")</f>
        <v>0</v>
      </c>
      <c r="AB71" s="117">
        <f t="shared" si="24"/>
        <v>0</v>
      </c>
      <c r="AC71" s="116">
        <f>IFERROR(AB71/AB148, "NA")</f>
        <v>0</v>
      </c>
      <c r="AD71" s="118">
        <f t="shared" si="25"/>
        <v>0</v>
      </c>
      <c r="AE71" s="119">
        <f>IFERROR(AD71/AD148, "NA")</f>
        <v>0</v>
      </c>
      <c r="AF71" s="118" t="str">
        <f t="shared" si="26"/>
        <v>NA</v>
      </c>
      <c r="AG71" s="117">
        <f t="shared" si="27"/>
        <v>0</v>
      </c>
      <c r="AH71" s="116">
        <f>IFERROR(AG71/AG148, "NA")</f>
        <v>0</v>
      </c>
      <c r="AI71" s="118">
        <f t="shared" si="28"/>
        <v>0</v>
      </c>
      <c r="AJ71" s="119">
        <f>IFERROR(AI71/AI148, "NA")</f>
        <v>0</v>
      </c>
      <c r="AK71" s="118" t="str">
        <f t="shared" si="29"/>
        <v>NA</v>
      </c>
      <c r="AL71" s="119" t="str">
        <f>IFERROR(AK71/AK148, "NA")</f>
        <v>NA</v>
      </c>
    </row>
    <row r="72" spans="1:38" ht="16.5" customHeight="1" x14ac:dyDescent="0.25">
      <c r="A72" s="5" t="s">
        <v>75</v>
      </c>
      <c r="B72" s="115">
        <v>-813</v>
      </c>
      <c r="C72" s="116">
        <f>IFERROR(B72/B148, "NA")</f>
        <v>-3.0452871278747153E-2</v>
      </c>
      <c r="D72" s="115">
        <v>0</v>
      </c>
      <c r="E72" s="116">
        <f>IFERROR(D72/D148, "NA")</f>
        <v>0</v>
      </c>
      <c r="F72" s="115">
        <v>0</v>
      </c>
      <c r="G72" s="116">
        <f>IFERROR(F72/F148, "NA")</f>
        <v>0</v>
      </c>
      <c r="H72" s="115">
        <v>0</v>
      </c>
      <c r="I72" s="116">
        <f>IFERROR(H72/H148, "NA")</f>
        <v>0</v>
      </c>
      <c r="J72" s="115">
        <v>325</v>
      </c>
      <c r="K72" s="116">
        <f>IFERROR(J72/J148, "NA")</f>
        <v>1.2947825442596513E-2</v>
      </c>
      <c r="L72" s="115">
        <v>0</v>
      </c>
      <c r="M72" s="116">
        <f>IFERROR(L72/L148, "NA")</f>
        <v>0</v>
      </c>
      <c r="N72" s="115">
        <v>0</v>
      </c>
      <c r="O72" s="116">
        <f>IFERROR(N72/N148, "NA")</f>
        <v>0</v>
      </c>
      <c r="P72" s="115">
        <v>0</v>
      </c>
      <c r="Q72" s="116">
        <f>IFERROR(P72/P148, "NA")</f>
        <v>0</v>
      </c>
      <c r="R72" s="115">
        <v>0</v>
      </c>
      <c r="S72" s="116">
        <f>IFERROR(R72/R148, "NA")</f>
        <v>0</v>
      </c>
      <c r="T72" s="115">
        <v>488</v>
      </c>
      <c r="U72" s="116">
        <f>IFERROR(T72/T148, "NA")</f>
        <v>1.5501654833419155E-2</v>
      </c>
      <c r="V72" s="115">
        <v>0</v>
      </c>
      <c r="W72" s="116">
        <f>IFERROR(V72/V148, "NA")</f>
        <v>0</v>
      </c>
      <c r="X72" s="115">
        <v>0</v>
      </c>
      <c r="Y72" s="116">
        <f>IFERROR(X72/X148, "NA")</f>
        <v>0</v>
      </c>
      <c r="Z72" s="115">
        <v>0</v>
      </c>
      <c r="AA72" s="116">
        <f>IFERROR(Z72/Z148, "NA")</f>
        <v>0</v>
      </c>
      <c r="AB72" s="117">
        <f t="shared" si="24"/>
        <v>122</v>
      </c>
      <c r="AC72" s="116">
        <f>IFERROR(AB72/AB148, "NA")</f>
        <v>3.9824842508253454E-3</v>
      </c>
      <c r="AD72" s="118">
        <f t="shared" si="25"/>
        <v>-122</v>
      </c>
      <c r="AE72" s="119">
        <f>IFERROR(AD72/AD148, "NA")</f>
        <v>-2.9535910946807502E-2</v>
      </c>
      <c r="AF72" s="118">
        <f t="shared" si="26"/>
        <v>-1</v>
      </c>
      <c r="AG72" s="117">
        <f t="shared" si="27"/>
        <v>101.625</v>
      </c>
      <c r="AH72" s="116">
        <f>IFERROR(AG72/AG148, "NA")</f>
        <v>3.6002579963479303E-3</v>
      </c>
      <c r="AI72" s="118">
        <f t="shared" si="28"/>
        <v>-101.625</v>
      </c>
      <c r="AJ72" s="119">
        <f>IFERROR(AI72/AI148, "NA")</f>
        <v>-1.5544775550075688E-2</v>
      </c>
      <c r="AK72" s="118">
        <f t="shared" si="29"/>
        <v>-1</v>
      </c>
      <c r="AL72" s="119">
        <f>IFERROR(AK72/AK148, "NA")</f>
        <v>-4.3176837787303493</v>
      </c>
    </row>
    <row r="73" spans="1:38" ht="16.5" customHeight="1" x14ac:dyDescent="0.25">
      <c r="A73" s="6" t="s">
        <v>76</v>
      </c>
      <c r="B73" s="111"/>
      <c r="C73" s="112"/>
      <c r="D73" s="111"/>
      <c r="E73" s="112"/>
      <c r="F73" s="111"/>
      <c r="G73" s="112"/>
      <c r="H73" s="111"/>
      <c r="I73" s="112"/>
      <c r="J73" s="111"/>
      <c r="K73" s="112"/>
      <c r="L73" s="111"/>
      <c r="M73" s="112"/>
      <c r="N73" s="111"/>
      <c r="O73" s="112"/>
      <c r="P73" s="111"/>
      <c r="Q73" s="112"/>
      <c r="R73" s="111"/>
      <c r="S73" s="112"/>
      <c r="T73" s="111"/>
      <c r="U73" s="112"/>
      <c r="V73" s="111"/>
      <c r="W73" s="112"/>
      <c r="X73" s="111"/>
      <c r="Y73" s="112"/>
      <c r="Z73" s="111"/>
      <c r="AA73" s="112"/>
      <c r="AB73" s="111"/>
      <c r="AC73" s="112"/>
      <c r="AD73" s="113"/>
      <c r="AE73" s="114"/>
      <c r="AF73" s="113"/>
      <c r="AG73" s="111"/>
      <c r="AH73" s="112"/>
      <c r="AI73" s="113"/>
      <c r="AJ73" s="114"/>
      <c r="AK73" s="113"/>
      <c r="AL73" s="114"/>
    </row>
    <row r="74" spans="1:38" ht="16.5" customHeight="1" x14ac:dyDescent="0.25">
      <c r="A74" s="7" t="s">
        <v>77</v>
      </c>
      <c r="B74" s="115">
        <v>621.16</v>
      </c>
      <c r="C74" s="116">
        <f>IFERROR(B74/B148, "NA")</f>
        <v>2.3267042464337737E-2</v>
      </c>
      <c r="D74" s="115">
        <v>634.97</v>
      </c>
      <c r="E74" s="116">
        <f>IFERROR(D74/D148, "NA")</f>
        <v>2.7786104278518315E-2</v>
      </c>
      <c r="F74" s="115">
        <v>555.4</v>
      </c>
      <c r="G74" s="116">
        <f>IFERROR(F74/F148, "NA")</f>
        <v>2.0600561637926396E-2</v>
      </c>
      <c r="H74" s="115">
        <v>692.95</v>
      </c>
      <c r="I74" s="116">
        <f>IFERROR(H74/H148, "NA")</f>
        <v>2.881110484215323E-2</v>
      </c>
      <c r="J74" s="115">
        <v>536.48</v>
      </c>
      <c r="K74" s="116">
        <f>IFERROR(J74/J148, "NA")</f>
        <v>2.1373075056751314E-2</v>
      </c>
      <c r="L74" s="115">
        <v>564.29999999999995</v>
      </c>
      <c r="M74" s="116">
        <f>IFERROR(L74/L148, "NA")</f>
        <v>2.4966883373728096E-2</v>
      </c>
      <c r="N74" s="115">
        <v>567.59</v>
      </c>
      <c r="O74" s="116">
        <f>IFERROR(N74/N148, "NA")</f>
        <v>2.032523090993537E-2</v>
      </c>
      <c r="P74" s="115">
        <v>611.20000000000005</v>
      </c>
      <c r="Q74" s="116">
        <f>IFERROR(P74/P148, "NA")</f>
        <v>2.210288400687099E-2</v>
      </c>
      <c r="R74" s="115">
        <v>601.4</v>
      </c>
      <c r="S74" s="116">
        <f>IFERROR(R74/R148, "NA")</f>
        <v>2.5664803329681768E-2</v>
      </c>
      <c r="T74" s="115">
        <v>684.12</v>
      </c>
      <c r="U74" s="116">
        <f>IFERROR(T74/T148, "NA")</f>
        <v>2.1731541198030148E-2</v>
      </c>
      <c r="V74" s="115">
        <v>769.87</v>
      </c>
      <c r="W74" s="116">
        <f>IFERROR(V74/V148, "NA")</f>
        <v>2.3429865462472561E-2</v>
      </c>
      <c r="X74" s="115">
        <v>758.23</v>
      </c>
      <c r="Y74" s="116">
        <f>IFERROR(X74/X148, "NA")</f>
        <v>2.1810335826186959E-2</v>
      </c>
      <c r="Z74" s="115">
        <v>1528.1</v>
      </c>
      <c r="AA74" s="116">
        <f>IFERROR(Z74/Z148, "NA")</f>
        <v>2.2597274308225578E-2</v>
      </c>
      <c r="AB74" s="117">
        <f t="shared" ref="AB74:AB85" si="30">IFERROR((R74+T74+V74+X74)/4, "NA")</f>
        <v>703.40499999999997</v>
      </c>
      <c r="AC74" s="116">
        <f>IFERROR(AB74/AB148, "NA")</f>
        <v>2.2961469954522969E-2</v>
      </c>
      <c r="AD74" s="118">
        <f t="shared" ref="AD74:AD85" si="31">IFERROR(X74-AB74, "NA")</f>
        <v>54.825000000000045</v>
      </c>
      <c r="AE74" s="119">
        <f>IFERROR(AD74/AD148, "NA")</f>
        <v>1.3273002603760022E-2</v>
      </c>
      <c r="AF74" s="118">
        <f t="shared" ref="AF74:AF85" si="32">IFERROR((X74-AB74)/AB74, "NA")</f>
        <v>7.7942294979421595E-2</v>
      </c>
      <c r="AG74" s="117">
        <f t="shared" ref="AG74:AG85" si="33">IFERROR((J74+L74+N74+P74+R74+T74+V74+X74)/8, "NA")</f>
        <v>636.64875000000006</v>
      </c>
      <c r="AH74" s="116">
        <f>IFERROR(AG74/AG148, "NA")</f>
        <v>2.2554487114906908E-2</v>
      </c>
      <c r="AI74" s="118">
        <f t="shared" ref="AI74:AI85" si="34">IFERROR(X74-AG74, "NA")</f>
        <v>121.58124999999995</v>
      </c>
      <c r="AJ74" s="119">
        <f>IFERROR(AI74/AI148, "NA")</f>
        <v>1.8597325877959547E-2</v>
      </c>
      <c r="AK74" s="118">
        <f t="shared" ref="AK74:AK85" si="35">IFERROR((X74-AG74)/AG74, "NA")</f>
        <v>0.19097068831125474</v>
      </c>
      <c r="AL74" s="119">
        <f>IFERROR(AK74/AK148, "NA")</f>
        <v>0.82455104313447414</v>
      </c>
    </row>
    <row r="75" spans="1:38" ht="16.5" hidden="1" customHeight="1" x14ac:dyDescent="0.25">
      <c r="A75" s="7" t="s">
        <v>78</v>
      </c>
      <c r="B75" s="115">
        <v>0</v>
      </c>
      <c r="C75" s="116">
        <f>IFERROR(B75/B148, "NA")</f>
        <v>0</v>
      </c>
      <c r="D75" s="115">
        <v>0</v>
      </c>
      <c r="E75" s="116">
        <f>IFERROR(D75/D148, "NA")</f>
        <v>0</v>
      </c>
      <c r="F75" s="115">
        <v>0</v>
      </c>
      <c r="G75" s="116">
        <f>IFERROR(F75/F148, "NA")</f>
        <v>0</v>
      </c>
      <c r="H75" s="115">
        <v>0</v>
      </c>
      <c r="I75" s="116">
        <f>IFERROR(H75/H148, "NA")</f>
        <v>0</v>
      </c>
      <c r="J75" s="115">
        <v>0</v>
      </c>
      <c r="K75" s="116">
        <f>IFERROR(J75/J148, "NA")</f>
        <v>0</v>
      </c>
      <c r="L75" s="115">
        <v>0</v>
      </c>
      <c r="M75" s="116">
        <f>IFERROR(L75/L148, "NA")</f>
        <v>0</v>
      </c>
      <c r="N75" s="115">
        <v>0</v>
      </c>
      <c r="O75" s="116">
        <f>IFERROR(N75/N148, "NA")</f>
        <v>0</v>
      </c>
      <c r="P75" s="115">
        <v>0</v>
      </c>
      <c r="Q75" s="116">
        <f>IFERROR(P75/P148, "NA")</f>
        <v>0</v>
      </c>
      <c r="R75" s="115">
        <v>0</v>
      </c>
      <c r="S75" s="116">
        <f>IFERROR(R75/R148, "NA")</f>
        <v>0</v>
      </c>
      <c r="T75" s="115">
        <v>0</v>
      </c>
      <c r="U75" s="116">
        <f>IFERROR(T75/T148, "NA")</f>
        <v>0</v>
      </c>
      <c r="V75" s="115">
        <v>0</v>
      </c>
      <c r="W75" s="116">
        <f>IFERROR(V75/V148, "NA")</f>
        <v>0</v>
      </c>
      <c r="X75" s="115">
        <v>0</v>
      </c>
      <c r="Y75" s="116">
        <f>IFERROR(X75/X148, "NA")</f>
        <v>0</v>
      </c>
      <c r="Z75" s="115">
        <v>0</v>
      </c>
      <c r="AA75" s="116">
        <f>IFERROR(Z75/Z148, "NA")</f>
        <v>0</v>
      </c>
      <c r="AB75" s="117">
        <f t="shared" si="30"/>
        <v>0</v>
      </c>
      <c r="AC75" s="116">
        <f>IFERROR(AB75/AB148, "NA")</f>
        <v>0</v>
      </c>
      <c r="AD75" s="118">
        <f t="shared" si="31"/>
        <v>0</v>
      </c>
      <c r="AE75" s="119">
        <f>IFERROR(AD75/AD148, "NA")</f>
        <v>0</v>
      </c>
      <c r="AF75" s="118" t="str">
        <f t="shared" si="32"/>
        <v>NA</v>
      </c>
      <c r="AG75" s="117">
        <f t="shared" si="33"/>
        <v>0</v>
      </c>
      <c r="AH75" s="116">
        <f>IFERROR(AG75/AG148, "NA")</f>
        <v>0</v>
      </c>
      <c r="AI75" s="118">
        <f t="shared" si="34"/>
        <v>0</v>
      </c>
      <c r="AJ75" s="119">
        <f>IFERROR(AI75/AI148, "NA")</f>
        <v>0</v>
      </c>
      <c r="AK75" s="118" t="str">
        <f t="shared" si="35"/>
        <v>NA</v>
      </c>
      <c r="AL75" s="119" t="str">
        <f>IFERROR(AK75/AK148, "NA")</f>
        <v>NA</v>
      </c>
    </row>
    <row r="76" spans="1:38" ht="16.5" hidden="1" customHeight="1" x14ac:dyDescent="0.25">
      <c r="A76" s="7" t="s">
        <v>79</v>
      </c>
      <c r="B76" s="115">
        <v>0</v>
      </c>
      <c r="C76" s="116">
        <f>IFERROR(B76/B148, "NA")</f>
        <v>0</v>
      </c>
      <c r="D76" s="115">
        <v>0</v>
      </c>
      <c r="E76" s="116">
        <f>IFERROR(D76/D148, "NA")</f>
        <v>0</v>
      </c>
      <c r="F76" s="115">
        <v>0</v>
      </c>
      <c r="G76" s="116">
        <f>IFERROR(F76/F148, "NA")</f>
        <v>0</v>
      </c>
      <c r="H76" s="115">
        <v>0</v>
      </c>
      <c r="I76" s="116">
        <f>IFERROR(H76/H148, "NA")</f>
        <v>0</v>
      </c>
      <c r="J76" s="115">
        <v>0</v>
      </c>
      <c r="K76" s="116">
        <f>IFERROR(J76/J148, "NA")</f>
        <v>0</v>
      </c>
      <c r="L76" s="115">
        <v>0</v>
      </c>
      <c r="M76" s="116">
        <f>IFERROR(L76/L148, "NA")</f>
        <v>0</v>
      </c>
      <c r="N76" s="115">
        <v>0</v>
      </c>
      <c r="O76" s="116">
        <f>IFERROR(N76/N148, "NA")</f>
        <v>0</v>
      </c>
      <c r="P76" s="115">
        <v>0</v>
      </c>
      <c r="Q76" s="116">
        <f>IFERROR(P76/P148, "NA")</f>
        <v>0</v>
      </c>
      <c r="R76" s="115">
        <v>0</v>
      </c>
      <c r="S76" s="116">
        <f>IFERROR(R76/R148, "NA")</f>
        <v>0</v>
      </c>
      <c r="T76" s="115">
        <v>0</v>
      </c>
      <c r="U76" s="116">
        <f>IFERROR(T76/T148, "NA")</f>
        <v>0</v>
      </c>
      <c r="V76" s="115">
        <v>0</v>
      </c>
      <c r="W76" s="116">
        <f>IFERROR(V76/V148, "NA")</f>
        <v>0</v>
      </c>
      <c r="X76" s="115">
        <v>0</v>
      </c>
      <c r="Y76" s="116">
        <f>IFERROR(X76/X148, "NA")</f>
        <v>0</v>
      </c>
      <c r="Z76" s="115">
        <v>0</v>
      </c>
      <c r="AA76" s="116">
        <f>IFERROR(Z76/Z148, "NA")</f>
        <v>0</v>
      </c>
      <c r="AB76" s="117">
        <f t="shared" si="30"/>
        <v>0</v>
      </c>
      <c r="AC76" s="116">
        <f>IFERROR(AB76/AB148, "NA")</f>
        <v>0</v>
      </c>
      <c r="AD76" s="118">
        <f t="shared" si="31"/>
        <v>0</v>
      </c>
      <c r="AE76" s="119">
        <f>IFERROR(AD76/AD148, "NA")</f>
        <v>0</v>
      </c>
      <c r="AF76" s="118" t="str">
        <f t="shared" si="32"/>
        <v>NA</v>
      </c>
      <c r="AG76" s="117">
        <f t="shared" si="33"/>
        <v>0</v>
      </c>
      <c r="AH76" s="116">
        <f>IFERROR(AG76/AG148, "NA")</f>
        <v>0</v>
      </c>
      <c r="AI76" s="118">
        <f t="shared" si="34"/>
        <v>0</v>
      </c>
      <c r="AJ76" s="119">
        <f>IFERROR(AI76/AI148, "NA")</f>
        <v>0</v>
      </c>
      <c r="AK76" s="118" t="str">
        <f t="shared" si="35"/>
        <v>NA</v>
      </c>
      <c r="AL76" s="119" t="str">
        <f>IFERROR(AK76/AK148, "NA")</f>
        <v>NA</v>
      </c>
    </row>
    <row r="77" spans="1:38" ht="16.5" hidden="1" customHeight="1" x14ac:dyDescent="0.25">
      <c r="A77" s="7" t="s">
        <v>80</v>
      </c>
      <c r="B77" s="115">
        <v>0</v>
      </c>
      <c r="C77" s="116">
        <f>IFERROR(B77/B148, "NA")</f>
        <v>0</v>
      </c>
      <c r="D77" s="115">
        <v>0</v>
      </c>
      <c r="E77" s="116">
        <f>IFERROR(D77/D148, "NA")</f>
        <v>0</v>
      </c>
      <c r="F77" s="115">
        <v>0</v>
      </c>
      <c r="G77" s="116">
        <f>IFERROR(F77/F148, "NA")</f>
        <v>0</v>
      </c>
      <c r="H77" s="115">
        <v>0</v>
      </c>
      <c r="I77" s="116">
        <f>IFERROR(H77/H148, "NA")</f>
        <v>0</v>
      </c>
      <c r="J77" s="115">
        <v>0</v>
      </c>
      <c r="K77" s="116">
        <f>IFERROR(J77/J148, "NA")</f>
        <v>0</v>
      </c>
      <c r="L77" s="115">
        <v>0</v>
      </c>
      <c r="M77" s="116">
        <f>IFERROR(L77/L148, "NA")</f>
        <v>0</v>
      </c>
      <c r="N77" s="115">
        <v>0</v>
      </c>
      <c r="O77" s="116">
        <f>IFERROR(N77/N148, "NA")</f>
        <v>0</v>
      </c>
      <c r="P77" s="115">
        <v>0</v>
      </c>
      <c r="Q77" s="116">
        <f>IFERROR(P77/P148, "NA")</f>
        <v>0</v>
      </c>
      <c r="R77" s="115">
        <v>0</v>
      </c>
      <c r="S77" s="116">
        <f>IFERROR(R77/R148, "NA")</f>
        <v>0</v>
      </c>
      <c r="T77" s="115">
        <v>0</v>
      </c>
      <c r="U77" s="116">
        <f>IFERROR(T77/T148, "NA")</f>
        <v>0</v>
      </c>
      <c r="V77" s="115">
        <v>0</v>
      </c>
      <c r="W77" s="116">
        <f>IFERROR(V77/V148, "NA")</f>
        <v>0</v>
      </c>
      <c r="X77" s="115">
        <v>0</v>
      </c>
      <c r="Y77" s="116">
        <f>IFERROR(X77/X148, "NA")</f>
        <v>0</v>
      </c>
      <c r="Z77" s="115">
        <v>0</v>
      </c>
      <c r="AA77" s="116">
        <f>IFERROR(Z77/Z148, "NA")</f>
        <v>0</v>
      </c>
      <c r="AB77" s="117">
        <f t="shared" si="30"/>
        <v>0</v>
      </c>
      <c r="AC77" s="116">
        <f>IFERROR(AB77/AB148, "NA")</f>
        <v>0</v>
      </c>
      <c r="AD77" s="118">
        <f t="shared" si="31"/>
        <v>0</v>
      </c>
      <c r="AE77" s="119">
        <f>IFERROR(AD77/AD148, "NA")</f>
        <v>0</v>
      </c>
      <c r="AF77" s="118" t="str">
        <f t="shared" si="32"/>
        <v>NA</v>
      </c>
      <c r="AG77" s="117">
        <f t="shared" si="33"/>
        <v>0</v>
      </c>
      <c r="AH77" s="116">
        <f>IFERROR(AG77/AG148, "NA")</f>
        <v>0</v>
      </c>
      <c r="AI77" s="118">
        <f t="shared" si="34"/>
        <v>0</v>
      </c>
      <c r="AJ77" s="119">
        <f>IFERROR(AI77/AI148, "NA")</f>
        <v>0</v>
      </c>
      <c r="AK77" s="118" t="str">
        <f t="shared" si="35"/>
        <v>NA</v>
      </c>
      <c r="AL77" s="119" t="str">
        <f>IFERROR(AK77/AK148, "NA")</f>
        <v>NA</v>
      </c>
    </row>
    <row r="78" spans="1:38" ht="16.5" hidden="1" customHeight="1" x14ac:dyDescent="0.25">
      <c r="A78" s="7" t="s">
        <v>81</v>
      </c>
      <c r="B78" s="115">
        <v>0</v>
      </c>
      <c r="C78" s="116">
        <f>IFERROR(B78/B148, "NA")</f>
        <v>0</v>
      </c>
      <c r="D78" s="115">
        <v>0</v>
      </c>
      <c r="E78" s="116">
        <f>IFERROR(D78/D148, "NA")</f>
        <v>0</v>
      </c>
      <c r="F78" s="115">
        <v>0</v>
      </c>
      <c r="G78" s="116">
        <f>IFERROR(F78/F148, "NA")</f>
        <v>0</v>
      </c>
      <c r="H78" s="115">
        <v>0</v>
      </c>
      <c r="I78" s="116">
        <f>IFERROR(H78/H148, "NA")</f>
        <v>0</v>
      </c>
      <c r="J78" s="115">
        <v>0</v>
      </c>
      <c r="K78" s="116">
        <f>IFERROR(J78/J148, "NA")</f>
        <v>0</v>
      </c>
      <c r="L78" s="115">
        <v>0</v>
      </c>
      <c r="M78" s="116">
        <f>IFERROR(L78/L148, "NA")</f>
        <v>0</v>
      </c>
      <c r="N78" s="115">
        <v>0</v>
      </c>
      <c r="O78" s="116">
        <f>IFERROR(N78/N148, "NA")</f>
        <v>0</v>
      </c>
      <c r="P78" s="115">
        <v>0</v>
      </c>
      <c r="Q78" s="116">
        <f>IFERROR(P78/P148, "NA")</f>
        <v>0</v>
      </c>
      <c r="R78" s="115">
        <v>0</v>
      </c>
      <c r="S78" s="116">
        <f>IFERROR(R78/R148, "NA")</f>
        <v>0</v>
      </c>
      <c r="T78" s="115">
        <v>0</v>
      </c>
      <c r="U78" s="116">
        <f>IFERROR(T78/T148, "NA")</f>
        <v>0</v>
      </c>
      <c r="V78" s="115">
        <v>0</v>
      </c>
      <c r="W78" s="116">
        <f>IFERROR(V78/V148, "NA")</f>
        <v>0</v>
      </c>
      <c r="X78" s="115">
        <v>0</v>
      </c>
      <c r="Y78" s="116">
        <f>IFERROR(X78/X148, "NA")</f>
        <v>0</v>
      </c>
      <c r="Z78" s="115">
        <v>0</v>
      </c>
      <c r="AA78" s="116">
        <f>IFERROR(Z78/Z148, "NA")</f>
        <v>0</v>
      </c>
      <c r="AB78" s="117">
        <f t="shared" si="30"/>
        <v>0</v>
      </c>
      <c r="AC78" s="116">
        <f>IFERROR(AB78/AB148, "NA")</f>
        <v>0</v>
      </c>
      <c r="AD78" s="118">
        <f t="shared" si="31"/>
        <v>0</v>
      </c>
      <c r="AE78" s="119">
        <f>IFERROR(AD78/AD148, "NA")</f>
        <v>0</v>
      </c>
      <c r="AF78" s="118" t="str">
        <f t="shared" si="32"/>
        <v>NA</v>
      </c>
      <c r="AG78" s="117">
        <f t="shared" si="33"/>
        <v>0</v>
      </c>
      <c r="AH78" s="116">
        <f>IFERROR(AG78/AG148, "NA")</f>
        <v>0</v>
      </c>
      <c r="AI78" s="118">
        <f t="shared" si="34"/>
        <v>0</v>
      </c>
      <c r="AJ78" s="119">
        <f>IFERROR(AI78/AI148, "NA")</f>
        <v>0</v>
      </c>
      <c r="AK78" s="118" t="str">
        <f t="shared" si="35"/>
        <v>NA</v>
      </c>
      <c r="AL78" s="119" t="str">
        <f>IFERROR(AK78/AK148, "NA")</f>
        <v>NA</v>
      </c>
    </row>
    <row r="79" spans="1:38" ht="16.5" hidden="1" customHeight="1" x14ac:dyDescent="0.25">
      <c r="A79" s="7" t="s">
        <v>82</v>
      </c>
      <c r="B79" s="115">
        <v>0</v>
      </c>
      <c r="C79" s="116">
        <f>IFERROR(B79/B148, "NA")</f>
        <v>0</v>
      </c>
      <c r="D79" s="115">
        <v>0</v>
      </c>
      <c r="E79" s="116">
        <f>IFERROR(D79/D148, "NA")</f>
        <v>0</v>
      </c>
      <c r="F79" s="115">
        <v>0</v>
      </c>
      <c r="G79" s="116">
        <f>IFERROR(F79/F148, "NA")</f>
        <v>0</v>
      </c>
      <c r="H79" s="115">
        <v>0</v>
      </c>
      <c r="I79" s="116">
        <f>IFERROR(H79/H148, "NA")</f>
        <v>0</v>
      </c>
      <c r="J79" s="115">
        <v>0</v>
      </c>
      <c r="K79" s="116">
        <f>IFERROR(J79/J148, "NA")</f>
        <v>0</v>
      </c>
      <c r="L79" s="115">
        <v>0</v>
      </c>
      <c r="M79" s="116">
        <f>IFERROR(L79/L148, "NA")</f>
        <v>0</v>
      </c>
      <c r="N79" s="115">
        <v>0</v>
      </c>
      <c r="O79" s="116">
        <f>IFERROR(N79/N148, "NA")</f>
        <v>0</v>
      </c>
      <c r="P79" s="115">
        <v>0</v>
      </c>
      <c r="Q79" s="116">
        <f>IFERROR(P79/P148, "NA")</f>
        <v>0</v>
      </c>
      <c r="R79" s="115">
        <v>0</v>
      </c>
      <c r="S79" s="116">
        <f>IFERROR(R79/R148, "NA")</f>
        <v>0</v>
      </c>
      <c r="T79" s="115">
        <v>0</v>
      </c>
      <c r="U79" s="116">
        <f>IFERROR(T79/T148, "NA")</f>
        <v>0</v>
      </c>
      <c r="V79" s="115">
        <v>0</v>
      </c>
      <c r="W79" s="116">
        <f>IFERROR(V79/V148, "NA")</f>
        <v>0</v>
      </c>
      <c r="X79" s="115">
        <v>0</v>
      </c>
      <c r="Y79" s="116">
        <f>IFERROR(X79/X148, "NA")</f>
        <v>0</v>
      </c>
      <c r="Z79" s="115">
        <v>0</v>
      </c>
      <c r="AA79" s="116">
        <f>IFERROR(Z79/Z148, "NA")</f>
        <v>0</v>
      </c>
      <c r="AB79" s="117">
        <f t="shared" si="30"/>
        <v>0</v>
      </c>
      <c r="AC79" s="116">
        <f>IFERROR(AB79/AB148, "NA")</f>
        <v>0</v>
      </c>
      <c r="AD79" s="118">
        <f t="shared" si="31"/>
        <v>0</v>
      </c>
      <c r="AE79" s="119">
        <f>IFERROR(AD79/AD148, "NA")</f>
        <v>0</v>
      </c>
      <c r="AF79" s="118" t="str">
        <f t="shared" si="32"/>
        <v>NA</v>
      </c>
      <c r="AG79" s="117">
        <f t="shared" si="33"/>
        <v>0</v>
      </c>
      <c r="AH79" s="116">
        <f>IFERROR(AG79/AG148, "NA")</f>
        <v>0</v>
      </c>
      <c r="AI79" s="118">
        <f t="shared" si="34"/>
        <v>0</v>
      </c>
      <c r="AJ79" s="119">
        <f>IFERROR(AI79/AI148, "NA")</f>
        <v>0</v>
      </c>
      <c r="AK79" s="118" t="str">
        <f t="shared" si="35"/>
        <v>NA</v>
      </c>
      <c r="AL79" s="119" t="str">
        <f>IFERROR(AK79/AK148, "NA")</f>
        <v>NA</v>
      </c>
    </row>
    <row r="80" spans="1:38" ht="16.5" hidden="1" customHeight="1" x14ac:dyDescent="0.25">
      <c r="A80" s="7" t="s">
        <v>83</v>
      </c>
      <c r="B80" s="115">
        <v>0</v>
      </c>
      <c r="C80" s="116">
        <f>IFERROR(B80/B148, "NA")</f>
        <v>0</v>
      </c>
      <c r="D80" s="115">
        <v>0</v>
      </c>
      <c r="E80" s="116">
        <f>IFERROR(D80/D148, "NA")</f>
        <v>0</v>
      </c>
      <c r="F80" s="115">
        <v>0</v>
      </c>
      <c r="G80" s="116">
        <f>IFERROR(F80/F148, "NA")</f>
        <v>0</v>
      </c>
      <c r="H80" s="115">
        <v>0</v>
      </c>
      <c r="I80" s="116">
        <f>IFERROR(H80/H148, "NA")</f>
        <v>0</v>
      </c>
      <c r="J80" s="115">
        <v>0</v>
      </c>
      <c r="K80" s="116">
        <f>IFERROR(J80/J148, "NA")</f>
        <v>0</v>
      </c>
      <c r="L80" s="115">
        <v>0</v>
      </c>
      <c r="M80" s="116">
        <f>IFERROR(L80/L148, "NA")</f>
        <v>0</v>
      </c>
      <c r="N80" s="115">
        <v>0</v>
      </c>
      <c r="O80" s="116">
        <f>IFERROR(N80/N148, "NA")</f>
        <v>0</v>
      </c>
      <c r="P80" s="115">
        <v>0</v>
      </c>
      <c r="Q80" s="116">
        <f>IFERROR(P80/P148, "NA")</f>
        <v>0</v>
      </c>
      <c r="R80" s="115">
        <v>0</v>
      </c>
      <c r="S80" s="116">
        <f>IFERROR(R80/R148, "NA")</f>
        <v>0</v>
      </c>
      <c r="T80" s="115">
        <v>0</v>
      </c>
      <c r="U80" s="116">
        <f>IFERROR(T80/T148, "NA")</f>
        <v>0</v>
      </c>
      <c r="V80" s="115">
        <v>0</v>
      </c>
      <c r="W80" s="116">
        <f>IFERROR(V80/V148, "NA")</f>
        <v>0</v>
      </c>
      <c r="X80" s="115">
        <v>0</v>
      </c>
      <c r="Y80" s="116">
        <f>IFERROR(X80/X148, "NA")</f>
        <v>0</v>
      </c>
      <c r="Z80" s="115">
        <v>0</v>
      </c>
      <c r="AA80" s="116">
        <f>IFERROR(Z80/Z148, "NA")</f>
        <v>0</v>
      </c>
      <c r="AB80" s="117">
        <f t="shared" si="30"/>
        <v>0</v>
      </c>
      <c r="AC80" s="116">
        <f>IFERROR(AB80/AB148, "NA")</f>
        <v>0</v>
      </c>
      <c r="AD80" s="118">
        <f t="shared" si="31"/>
        <v>0</v>
      </c>
      <c r="AE80" s="119">
        <f>IFERROR(AD80/AD148, "NA")</f>
        <v>0</v>
      </c>
      <c r="AF80" s="118" t="str">
        <f t="shared" si="32"/>
        <v>NA</v>
      </c>
      <c r="AG80" s="117">
        <f t="shared" si="33"/>
        <v>0</v>
      </c>
      <c r="AH80" s="116">
        <f>IFERROR(AG80/AG148, "NA")</f>
        <v>0</v>
      </c>
      <c r="AI80" s="118">
        <f t="shared" si="34"/>
        <v>0</v>
      </c>
      <c r="AJ80" s="119">
        <f>IFERROR(AI80/AI148, "NA")</f>
        <v>0</v>
      </c>
      <c r="AK80" s="118" t="str">
        <f t="shared" si="35"/>
        <v>NA</v>
      </c>
      <c r="AL80" s="119" t="str">
        <f>IFERROR(AK80/AK148, "NA")</f>
        <v>NA</v>
      </c>
    </row>
    <row r="81" spans="1:38" ht="16.5" customHeight="1" x14ac:dyDescent="0.25">
      <c r="A81" s="129" t="s">
        <v>84</v>
      </c>
      <c r="B81" s="121">
        <f>IFERROR(B74+B75+B76+B77+B78+B79+B80, "NA")</f>
        <v>621.16</v>
      </c>
      <c r="C81" s="122">
        <f>IFERROR(B81/B148, "NA")</f>
        <v>2.3267042464337737E-2</v>
      </c>
      <c r="D81" s="121">
        <f>IFERROR(D74+D75+D76+D77+D78+D79+D80, "NA")</f>
        <v>634.97</v>
      </c>
      <c r="E81" s="122">
        <f>IFERROR(D81/D148, "NA")</f>
        <v>2.7786104278518315E-2</v>
      </c>
      <c r="F81" s="121">
        <f>IFERROR(F74+F75+F76+F77+F78+F79+F80, "NA")</f>
        <v>555.4</v>
      </c>
      <c r="G81" s="122">
        <f>IFERROR(F81/F148, "NA")</f>
        <v>2.0600561637926396E-2</v>
      </c>
      <c r="H81" s="121">
        <f>IFERROR(H74+H75+H76+H77+H78+H79+H80, "NA")</f>
        <v>692.95</v>
      </c>
      <c r="I81" s="122">
        <f>IFERROR(H81/H148, "NA")</f>
        <v>2.881110484215323E-2</v>
      </c>
      <c r="J81" s="121">
        <f>IFERROR(J74+J75+J76+J77+J78+J79+J80, "NA")</f>
        <v>536.48</v>
      </c>
      <c r="K81" s="122">
        <f>IFERROR(J81/J148, "NA")</f>
        <v>2.1373075056751314E-2</v>
      </c>
      <c r="L81" s="121">
        <f>IFERROR(L74+L75+L76+L77+L78+L79+L80, "NA")</f>
        <v>564.29999999999995</v>
      </c>
      <c r="M81" s="122">
        <f>IFERROR(L81/L148, "NA")</f>
        <v>2.4966883373728096E-2</v>
      </c>
      <c r="N81" s="121">
        <f>IFERROR(N74+N75+N76+N77+N78+N79+N80, "NA")</f>
        <v>567.59</v>
      </c>
      <c r="O81" s="122">
        <f>IFERROR(N81/N148, "NA")</f>
        <v>2.032523090993537E-2</v>
      </c>
      <c r="P81" s="121">
        <f>IFERROR(P74+P75+P76+P77+P78+P79+P80, "NA")</f>
        <v>611.20000000000005</v>
      </c>
      <c r="Q81" s="122">
        <f>IFERROR(P81/P148, "NA")</f>
        <v>2.210288400687099E-2</v>
      </c>
      <c r="R81" s="121">
        <f>IFERROR(R74+R75+R76+R77+R78+R79+R80, "NA")</f>
        <v>601.4</v>
      </c>
      <c r="S81" s="122">
        <f>IFERROR(R81/R148, "NA")</f>
        <v>2.5664803329681768E-2</v>
      </c>
      <c r="T81" s="121">
        <f>IFERROR(T74+T75+T76+T77+T78+T79+T80, "NA")</f>
        <v>684.12</v>
      </c>
      <c r="U81" s="122">
        <f>IFERROR(T81/T148, "NA")</f>
        <v>2.1731541198030148E-2</v>
      </c>
      <c r="V81" s="121">
        <f>IFERROR(V74+V75+V76+V77+V78+V79+V80, "NA")</f>
        <v>769.87</v>
      </c>
      <c r="W81" s="122">
        <f>IFERROR(V81/V148, "NA")</f>
        <v>2.3429865462472561E-2</v>
      </c>
      <c r="X81" s="121">
        <f>IFERROR(X74+X75+X76+X77+X78+X79+X80, "NA")</f>
        <v>758.23</v>
      </c>
      <c r="Y81" s="122">
        <f>IFERROR(X81/X148, "NA")</f>
        <v>2.1810335826186959E-2</v>
      </c>
      <c r="Z81" s="121">
        <f>IFERROR(Z74+Z75+Z76+Z77+Z78+Z79+Z80, "NA")</f>
        <v>1528.1</v>
      </c>
      <c r="AA81" s="122">
        <f>IFERROR(Z81/Z148, "NA")</f>
        <v>2.2597274308225578E-2</v>
      </c>
      <c r="AB81" s="121">
        <f t="shared" si="30"/>
        <v>703.40499999999997</v>
      </c>
      <c r="AC81" s="122">
        <f>IFERROR(AB81/AB148, "NA")</f>
        <v>2.2961469954522969E-2</v>
      </c>
      <c r="AD81" s="123">
        <f t="shared" si="31"/>
        <v>54.825000000000045</v>
      </c>
      <c r="AE81" s="124">
        <f>IFERROR(AD81/AD148, "NA")</f>
        <v>1.3273002603760022E-2</v>
      </c>
      <c r="AF81" s="123">
        <f t="shared" si="32"/>
        <v>7.7942294979421595E-2</v>
      </c>
      <c r="AG81" s="121">
        <f t="shared" si="33"/>
        <v>636.64875000000006</v>
      </c>
      <c r="AH81" s="122">
        <f>IFERROR(AG81/AG148, "NA")</f>
        <v>2.2554487114906908E-2</v>
      </c>
      <c r="AI81" s="123">
        <f t="shared" si="34"/>
        <v>121.58124999999995</v>
      </c>
      <c r="AJ81" s="124">
        <f>IFERROR(AI81/AI148, "NA")</f>
        <v>1.8597325877959547E-2</v>
      </c>
      <c r="AK81" s="123">
        <f t="shared" si="35"/>
        <v>0.19097068831125474</v>
      </c>
      <c r="AL81" s="124">
        <f>IFERROR(AK81/AK148, "NA")</f>
        <v>0.82455104313447414</v>
      </c>
    </row>
    <row r="82" spans="1:38" ht="16.5" customHeight="1" x14ac:dyDescent="0.25">
      <c r="A82" s="5" t="s">
        <v>85</v>
      </c>
      <c r="B82" s="115">
        <v>0</v>
      </c>
      <c r="C82" s="116">
        <f>IFERROR(B82/B148, "NA")</f>
        <v>0</v>
      </c>
      <c r="D82" s="115">
        <v>301.04000000000002</v>
      </c>
      <c r="E82" s="116">
        <f>IFERROR(D82/D148, "NA")</f>
        <v>1.3173423676717252E-2</v>
      </c>
      <c r="F82" s="115">
        <v>0</v>
      </c>
      <c r="G82" s="116">
        <f>IFERROR(F82/F148, "NA")</f>
        <v>0</v>
      </c>
      <c r="H82" s="115">
        <v>0</v>
      </c>
      <c r="I82" s="116">
        <f>IFERROR(H82/H148, "NA")</f>
        <v>0</v>
      </c>
      <c r="J82" s="115">
        <v>0</v>
      </c>
      <c r="K82" s="116">
        <f>IFERROR(J82/J148, "NA")</f>
        <v>0</v>
      </c>
      <c r="L82" s="115">
        <v>0</v>
      </c>
      <c r="M82" s="116">
        <f>IFERROR(L82/L148, "NA")</f>
        <v>0</v>
      </c>
      <c r="N82" s="115">
        <v>301.04000000000002</v>
      </c>
      <c r="O82" s="116">
        <f>IFERROR(N82/N148, "NA")</f>
        <v>1.0780153831334138E-2</v>
      </c>
      <c r="P82" s="115">
        <v>0</v>
      </c>
      <c r="Q82" s="116">
        <f>IFERROR(P82/P148, "NA")</f>
        <v>0</v>
      </c>
      <c r="R82" s="115">
        <v>0</v>
      </c>
      <c r="S82" s="116">
        <f>IFERROR(R82/R148, "NA")</f>
        <v>0</v>
      </c>
      <c r="T82" s="115">
        <v>0</v>
      </c>
      <c r="U82" s="116">
        <f>IFERROR(T82/T148, "NA")</f>
        <v>0</v>
      </c>
      <c r="V82" s="115">
        <v>313.76</v>
      </c>
      <c r="W82" s="116">
        <f>IFERROR(V82/V148, "NA")</f>
        <v>9.5488258894428808E-3</v>
      </c>
      <c r="X82" s="115">
        <v>0</v>
      </c>
      <c r="Y82" s="116">
        <f>IFERROR(X82/X148, "NA")</f>
        <v>0</v>
      </c>
      <c r="Z82" s="115">
        <v>313.76</v>
      </c>
      <c r="AA82" s="116">
        <f>IFERROR(Z82/Z148, "NA")</f>
        <v>4.6398277514225891E-3</v>
      </c>
      <c r="AB82" s="117">
        <f t="shared" si="30"/>
        <v>78.44</v>
      </c>
      <c r="AC82" s="116">
        <f>IFERROR(AB82/AB148, "NA")</f>
        <v>2.560541513399509E-3</v>
      </c>
      <c r="AD82" s="118">
        <f t="shared" si="31"/>
        <v>-78.44</v>
      </c>
      <c r="AE82" s="119">
        <f>IFERROR(AD82/AD148, "NA")</f>
        <v>-1.8990138153012953E-2</v>
      </c>
      <c r="AF82" s="118">
        <f t="shared" si="32"/>
        <v>-1</v>
      </c>
      <c r="AG82" s="117">
        <f t="shared" si="33"/>
        <v>76.849999999999994</v>
      </c>
      <c r="AH82" s="116">
        <f>IFERROR(AG82/AG148, "NA")</f>
        <v>2.7225567234375244E-3</v>
      </c>
      <c r="AI82" s="118">
        <f t="shared" si="34"/>
        <v>-76.849999999999994</v>
      </c>
      <c r="AJ82" s="119">
        <f>IFERROR(AI82/AI148, "NA")</f>
        <v>-1.1755139001459448E-2</v>
      </c>
      <c r="AK82" s="118">
        <f t="shared" si="35"/>
        <v>-1</v>
      </c>
      <c r="AL82" s="119">
        <f>IFERROR(AK82/AK148, "NA")</f>
        <v>-4.3176837787303493</v>
      </c>
    </row>
    <row r="83" spans="1:38" ht="16.5" hidden="1" customHeight="1" x14ac:dyDescent="0.25">
      <c r="A83" s="5" t="s">
        <v>86</v>
      </c>
      <c r="B83" s="115">
        <v>0</v>
      </c>
      <c r="C83" s="116">
        <f>IFERROR(B83/B148, "NA")</f>
        <v>0</v>
      </c>
      <c r="D83" s="115">
        <v>0</v>
      </c>
      <c r="E83" s="116">
        <f>IFERROR(D83/D148, "NA")</f>
        <v>0</v>
      </c>
      <c r="F83" s="115">
        <v>0</v>
      </c>
      <c r="G83" s="116">
        <f>IFERROR(F83/F148, "NA")</f>
        <v>0</v>
      </c>
      <c r="H83" s="115">
        <v>0</v>
      </c>
      <c r="I83" s="116">
        <f>IFERROR(H83/H148, "NA")</f>
        <v>0</v>
      </c>
      <c r="J83" s="115">
        <v>0</v>
      </c>
      <c r="K83" s="116">
        <f>IFERROR(J83/J148, "NA")</f>
        <v>0</v>
      </c>
      <c r="L83" s="115">
        <v>0</v>
      </c>
      <c r="M83" s="116">
        <f>IFERROR(L83/L148, "NA")</f>
        <v>0</v>
      </c>
      <c r="N83" s="115">
        <v>0</v>
      </c>
      <c r="O83" s="116">
        <f>IFERROR(N83/N148, "NA")</f>
        <v>0</v>
      </c>
      <c r="P83" s="115">
        <v>0</v>
      </c>
      <c r="Q83" s="116">
        <f>IFERROR(P83/P148, "NA")</f>
        <v>0</v>
      </c>
      <c r="R83" s="115">
        <v>0</v>
      </c>
      <c r="S83" s="116">
        <f>IFERROR(R83/R148, "NA")</f>
        <v>0</v>
      </c>
      <c r="T83" s="115">
        <v>0</v>
      </c>
      <c r="U83" s="116">
        <f>IFERROR(T83/T148, "NA")</f>
        <v>0</v>
      </c>
      <c r="V83" s="115">
        <v>0</v>
      </c>
      <c r="W83" s="116">
        <f>IFERROR(V83/V148, "NA")</f>
        <v>0</v>
      </c>
      <c r="X83" s="115">
        <v>-9.06</v>
      </c>
      <c r="Y83" s="116">
        <f>IFERROR(X83/X148, "NA")</f>
        <v>-2.6060910618843074E-4</v>
      </c>
      <c r="Z83" s="115">
        <v>-9.06</v>
      </c>
      <c r="AA83" s="116">
        <f>IFERROR(Z83/Z148, "NA")</f>
        <v>-1.3397768813070072E-4</v>
      </c>
      <c r="AB83" s="117">
        <f t="shared" si="30"/>
        <v>-2.2650000000000001</v>
      </c>
      <c r="AC83" s="116">
        <f>IFERROR(AB83/AB148, "NA")</f>
        <v>-7.393710514851974E-5</v>
      </c>
      <c r="AD83" s="118">
        <f t="shared" si="31"/>
        <v>-6.7949999999999999</v>
      </c>
      <c r="AE83" s="119">
        <f>IFERROR(AD83/AD148, "NA")</f>
        <v>-1.6450534006848933E-3</v>
      </c>
      <c r="AF83" s="118">
        <f t="shared" si="32"/>
        <v>3</v>
      </c>
      <c r="AG83" s="117">
        <f t="shared" si="33"/>
        <v>-1.1325000000000001</v>
      </c>
      <c r="AH83" s="116">
        <f>IFERROR(AG83/AG148, "NA")</f>
        <v>-4.0120956269264758E-5</v>
      </c>
      <c r="AI83" s="118">
        <f t="shared" si="34"/>
        <v>-7.9275000000000002</v>
      </c>
      <c r="AJ83" s="119">
        <f>IFERROR(AI83/AI148, "NA")</f>
        <v>-1.2126072144966792E-3</v>
      </c>
      <c r="AK83" s="118">
        <f t="shared" si="35"/>
        <v>7</v>
      </c>
      <c r="AL83" s="119">
        <f>IFERROR(AK83/AK148, "NA")</f>
        <v>30.223786451112446</v>
      </c>
    </row>
    <row r="84" spans="1:38" ht="16.5" customHeight="1" x14ac:dyDescent="0.25">
      <c r="A84" s="130" t="s">
        <v>87</v>
      </c>
      <c r="B84" s="121">
        <f>IFERROR(B63+B65+B66+B67+B68+B69+B71+B72+B74+B75+B76+B77+B78+B79+B80+B82+B83, "NA")</f>
        <v>6746.17</v>
      </c>
      <c r="C84" s="122">
        <f>IFERROR(B84/B148, "NA")</f>
        <v>0.25269403030079418</v>
      </c>
      <c r="D84" s="121">
        <f>IFERROR(D63+D65+D66+D67+D68+D69+D71+D72+D74+D75+D76+D77+D78+D79+D80+D82+D83, "NA")</f>
        <v>8350.93</v>
      </c>
      <c r="E84" s="122">
        <f>IFERROR(D84/D148, "NA")</f>
        <v>0.36543429107297504</v>
      </c>
      <c r="F84" s="121">
        <f>IFERROR(F63+F65+F66+F67+F68+F69+F71+F72+F74+F75+F76+F77+F78+F79+F80+F82+F83, "NA")</f>
        <v>6997.0199999999995</v>
      </c>
      <c r="G84" s="122">
        <f>IFERROR(F84/F148, "NA")</f>
        <v>0.2595292434134025</v>
      </c>
      <c r="H84" s="121">
        <f>IFERROR(H63+H65+H66+H67+H68+H69+H71+H72+H74+H75+H76+H77+H78+H79+H80+H82+H83, "NA")</f>
        <v>8622.01</v>
      </c>
      <c r="I84" s="122">
        <f>IFERROR(H84/H148, "NA")</f>
        <v>0.35848132485762835</v>
      </c>
      <c r="J84" s="121">
        <f>IFERROR(J63+J65+J66+J67+J68+J69+J71+J72+J74+J75+J76+J77+J78+J79+J80+J82+J83, "NA")</f>
        <v>7006.6100000000006</v>
      </c>
      <c r="K84" s="122">
        <f>IFERROR(J84/J148, "NA")</f>
        <v>0.27913957915184973</v>
      </c>
      <c r="L84" s="121">
        <f>IFERROR(L63+L65+L66+L67+L68+L69+L71+L72+L74+L75+L76+L77+L78+L79+L80+L82+L83, "NA")</f>
        <v>7125.72</v>
      </c>
      <c r="M84" s="122">
        <f>IFERROR(L84/L148, "NA")</f>
        <v>0.31527028210852698</v>
      </c>
      <c r="N84" s="121">
        <f>IFERROR(N63+N65+N66+N67+N68+N69+N71+N72+N74+N75+N76+N77+N78+N79+N80+N82+N83, "NA")</f>
        <v>7348.2300000000005</v>
      </c>
      <c r="O84" s="122">
        <f>IFERROR(N84/N148, "NA")</f>
        <v>0.26313795438488058</v>
      </c>
      <c r="P84" s="121">
        <f>IFERROR(P63+P65+P66+P67+P68+P69+P71+P72+P74+P75+P76+P77+P78+P79+P80+P82+P83, "NA")</f>
        <v>7607.11</v>
      </c>
      <c r="Q84" s="122">
        <f>IFERROR(P84/P148, "NA")</f>
        <v>0.27509664587288668</v>
      </c>
      <c r="R84" s="121">
        <f>IFERROR(R63+R65+R66+R67+R68+R69+R71+R72+R74+R75+R76+R77+R78+R79+R80+R82+R83, "NA")</f>
        <v>7542.9299999999994</v>
      </c>
      <c r="S84" s="122">
        <f>IFERROR(R84/R148, "NA")</f>
        <v>0.32189526933747337</v>
      </c>
      <c r="T84" s="121">
        <f>IFERROR(T63+T65+T66+T67+T68+T69+T71+T72+T74+T75+T76+T77+T78+T79+T80+T82+T83, "NA")</f>
        <v>9082.2199999999993</v>
      </c>
      <c r="U84" s="122">
        <f>IFERROR(T84/T148, "NA")</f>
        <v>0.28850294992044284</v>
      </c>
      <c r="V84" s="121">
        <f>IFERROR(V63+V65+V66+V67+V68+V69+V71+V72+V74+V75+V76+V77+V78+V79+V80+V82+V83, "NA")</f>
        <v>10080.82</v>
      </c>
      <c r="W84" s="122">
        <f>IFERROR(V84/V148, "NA")</f>
        <v>0.30679498662293975</v>
      </c>
      <c r="X84" s="121">
        <f>IFERROR(X63+X65+X66+X67+X68+X69+X71+X72+X74+X75+X76+X77+X78+X79+X80+X82+X83, "NA")</f>
        <v>9643.4600000000009</v>
      </c>
      <c r="Y84" s="122">
        <f>IFERROR(X84/X148, "NA")</f>
        <v>0.27739221756775767</v>
      </c>
      <c r="Z84" s="121">
        <f>IFERROR(Z63+Z65+Z66+Z67+Z68+Z69+Z71+Z72+Z74+Z75+Z76+Z77+Z78+Z79+Z80+Z82+Z83, "NA")</f>
        <v>19724.279999999995</v>
      </c>
      <c r="AA84" s="122">
        <f>IFERROR(Z84/Z148, "NA")</f>
        <v>0.29167918702457141</v>
      </c>
      <c r="AB84" s="121">
        <f t="shared" si="30"/>
        <v>9087.3575000000001</v>
      </c>
      <c r="AC84" s="122">
        <f>IFERROR(AB84/AB148, "NA")</f>
        <v>0.29664146004401304</v>
      </c>
      <c r="AD84" s="123">
        <f t="shared" si="31"/>
        <v>556.10250000000087</v>
      </c>
      <c r="AE84" s="124">
        <f>IFERROR(AD84/AD148, "NA")</f>
        <v>0.13463109768276266</v>
      </c>
      <c r="AF84" s="123">
        <f t="shared" si="32"/>
        <v>6.1195182427895116E-2</v>
      </c>
      <c r="AG84" s="121">
        <f t="shared" si="33"/>
        <v>8179.6374999999998</v>
      </c>
      <c r="AH84" s="122">
        <f>IFERROR(AG84/AG148, "NA")</f>
        <v>0.28977914210678862</v>
      </c>
      <c r="AI84" s="123">
        <f t="shared" si="34"/>
        <v>1463.8225000000011</v>
      </c>
      <c r="AJ84" s="124">
        <f>IFERROR(AI84/AI148, "NA")</f>
        <v>0.22390939441722693</v>
      </c>
      <c r="AK84" s="123">
        <f t="shared" si="35"/>
        <v>0.17895933652316515</v>
      </c>
      <c r="AL84" s="124">
        <f>IFERROR(AK84/AK148, "NA")</f>
        <v>0.77268982435841593</v>
      </c>
    </row>
    <row r="85" spans="1:38" ht="16.5" customHeight="1" x14ac:dyDescent="0.25">
      <c r="A85" s="120" t="s">
        <v>87</v>
      </c>
      <c r="B85" s="131">
        <f>IFERROR(B63+B65+B66+B67+B68+B69+B71+B72+B74+B75+B76+B77+B78+B79+B80+B82+B83, "NA")</f>
        <v>6746.17</v>
      </c>
      <c r="C85" s="132">
        <f>IFERROR(B85/B148, "NA")</f>
        <v>0.25269403030079418</v>
      </c>
      <c r="D85" s="131">
        <f>IFERROR(D63+D65+D66+D67+D68+D69+D71+D72+D74+D75+D76+D77+D78+D79+D80+D82+D83, "NA")</f>
        <v>8350.93</v>
      </c>
      <c r="E85" s="132">
        <f>IFERROR(D85/D148, "NA")</f>
        <v>0.36543429107297504</v>
      </c>
      <c r="F85" s="131">
        <f>IFERROR(F63+F65+F66+F67+F68+F69+F71+F72+F74+F75+F76+F77+F78+F79+F80+F82+F83, "NA")</f>
        <v>6997.0199999999995</v>
      </c>
      <c r="G85" s="132">
        <f>IFERROR(F85/F148, "NA")</f>
        <v>0.2595292434134025</v>
      </c>
      <c r="H85" s="131">
        <f>IFERROR(H63+H65+H66+H67+H68+H69+H71+H72+H74+H75+H76+H77+H78+H79+H80+H82+H83, "NA")</f>
        <v>8622.01</v>
      </c>
      <c r="I85" s="132">
        <f>IFERROR(H85/H148, "NA")</f>
        <v>0.35848132485762835</v>
      </c>
      <c r="J85" s="131">
        <f>IFERROR(J63+J65+J66+J67+J68+J69+J71+J72+J74+J75+J76+J77+J78+J79+J80+J82+J83, "NA")</f>
        <v>7006.6100000000006</v>
      </c>
      <c r="K85" s="132">
        <f>IFERROR(J85/J148, "NA")</f>
        <v>0.27913957915184973</v>
      </c>
      <c r="L85" s="131">
        <f>IFERROR(L63+L65+L66+L67+L68+L69+L71+L72+L74+L75+L76+L77+L78+L79+L80+L82+L83, "NA")</f>
        <v>7125.72</v>
      </c>
      <c r="M85" s="132">
        <f>IFERROR(L85/L148, "NA")</f>
        <v>0.31527028210852698</v>
      </c>
      <c r="N85" s="131">
        <f>IFERROR(N63+N65+N66+N67+N68+N69+N71+N72+N74+N75+N76+N77+N78+N79+N80+N82+N83, "NA")</f>
        <v>7348.2300000000005</v>
      </c>
      <c r="O85" s="132">
        <f>IFERROR(N85/N148, "NA")</f>
        <v>0.26313795438488058</v>
      </c>
      <c r="P85" s="131">
        <f>IFERROR(P63+P65+P66+P67+P68+P69+P71+P72+P74+P75+P76+P77+P78+P79+P80+P82+P83, "NA")</f>
        <v>7607.11</v>
      </c>
      <c r="Q85" s="132">
        <f>IFERROR(P85/P148, "NA")</f>
        <v>0.27509664587288668</v>
      </c>
      <c r="R85" s="131">
        <f>IFERROR(R63+R65+R66+R67+R68+R69+R71+R72+R74+R75+R76+R77+R78+R79+R80+R82+R83, "NA")</f>
        <v>7542.9299999999994</v>
      </c>
      <c r="S85" s="132">
        <f>IFERROR(R85/R148, "NA")</f>
        <v>0.32189526933747337</v>
      </c>
      <c r="T85" s="131">
        <f>IFERROR(T63+T65+T66+T67+T68+T69+T71+T72+T74+T75+T76+T77+T78+T79+T80+T82+T83, "NA")</f>
        <v>9082.2199999999993</v>
      </c>
      <c r="U85" s="132">
        <f>IFERROR(T85/T148, "NA")</f>
        <v>0.28850294992044284</v>
      </c>
      <c r="V85" s="131">
        <f>IFERROR(V63+V65+V66+V67+V68+V69+V71+V72+V74+V75+V76+V77+V78+V79+V80+V82+V83, "NA")</f>
        <v>10080.82</v>
      </c>
      <c r="W85" s="132">
        <f>IFERROR(V85/V148, "NA")</f>
        <v>0.30679498662293975</v>
      </c>
      <c r="X85" s="131">
        <f>IFERROR(X63+X65+X66+X67+X68+X69+X71+X72+X74+X75+X76+X77+X78+X79+X80+X82+X83, "NA")</f>
        <v>9643.4600000000009</v>
      </c>
      <c r="Y85" s="132">
        <f>IFERROR(X85/X148, "NA")</f>
        <v>0.27739221756775767</v>
      </c>
      <c r="Z85" s="131">
        <f>IFERROR(Z63+Z65+Z66+Z67+Z68+Z69+Z71+Z72+Z74+Z75+Z76+Z77+Z78+Z79+Z80+Z82+Z83, "NA")</f>
        <v>19724.279999999995</v>
      </c>
      <c r="AA85" s="132">
        <f>IFERROR(Z85/Z148, "NA")</f>
        <v>0.29167918702457141</v>
      </c>
      <c r="AB85" s="131">
        <f t="shared" si="30"/>
        <v>9087.3575000000001</v>
      </c>
      <c r="AC85" s="132">
        <f>IFERROR(AB85/AB148, "NA")</f>
        <v>0.29664146004401304</v>
      </c>
      <c r="AD85" s="133">
        <f t="shared" si="31"/>
        <v>556.10250000000087</v>
      </c>
      <c r="AE85" s="134">
        <f>IFERROR(AD85/AD148, "NA")</f>
        <v>0.13463109768276266</v>
      </c>
      <c r="AF85" s="133">
        <f t="shared" si="32"/>
        <v>6.1195182427895116E-2</v>
      </c>
      <c r="AG85" s="131">
        <f t="shared" si="33"/>
        <v>8179.6374999999998</v>
      </c>
      <c r="AH85" s="132">
        <f>IFERROR(AG85/AG148, "NA")</f>
        <v>0.28977914210678862</v>
      </c>
      <c r="AI85" s="133">
        <f t="shared" si="34"/>
        <v>1463.8225000000011</v>
      </c>
      <c r="AJ85" s="134">
        <f>IFERROR(AI85/AI148, "NA")</f>
        <v>0.22390939441722693</v>
      </c>
      <c r="AK85" s="133">
        <f t="shared" si="35"/>
        <v>0.17895933652316515</v>
      </c>
      <c r="AL85" s="134">
        <f>IFERROR(AK85/AK148, "NA")</f>
        <v>0.77268982435841593</v>
      </c>
    </row>
    <row r="86" spans="1:38" ht="3.75" customHeight="1" x14ac:dyDescent="0.25">
      <c r="A86" s="8" t="s">
        <v>2</v>
      </c>
      <c r="B86" s="138"/>
      <c r="C86" s="126"/>
      <c r="D86" s="138"/>
      <c r="E86" s="126"/>
      <c r="F86" s="138"/>
      <c r="G86" s="126"/>
      <c r="H86" s="138"/>
      <c r="I86" s="126"/>
      <c r="J86" s="138"/>
      <c r="K86" s="126"/>
      <c r="L86" s="138"/>
      <c r="M86" s="126"/>
      <c r="N86" s="138"/>
      <c r="O86" s="126"/>
      <c r="P86" s="138"/>
      <c r="Q86" s="126"/>
      <c r="R86" s="138"/>
      <c r="S86" s="126"/>
      <c r="T86" s="138"/>
      <c r="U86" s="126"/>
      <c r="V86" s="138"/>
      <c r="W86" s="126"/>
      <c r="X86" s="138"/>
      <c r="Y86" s="126"/>
      <c r="Z86" s="138"/>
      <c r="AA86" s="126"/>
      <c r="AB86" s="138"/>
      <c r="AC86" s="126"/>
      <c r="AD86" s="139"/>
      <c r="AE86" s="128"/>
      <c r="AF86" s="139"/>
      <c r="AG86" s="138"/>
      <c r="AH86" s="126"/>
      <c r="AI86" s="139"/>
      <c r="AJ86" s="128"/>
      <c r="AK86" s="139"/>
      <c r="AL86" s="128"/>
    </row>
    <row r="87" spans="1:38" ht="16.5" customHeight="1" x14ac:dyDescent="0.25">
      <c r="A87" s="135" t="s">
        <v>88</v>
      </c>
      <c r="B87" s="136">
        <f>IFERROR(B59-B85, "NA")</f>
        <v>13699.919999999996</v>
      </c>
      <c r="C87" s="137">
        <f>IFERROR(B87/B148, "NA")</f>
        <v>0.51316346899032417</v>
      </c>
      <c r="D87" s="136">
        <f>IFERROR(D59-D85, "NA")</f>
        <v>7742.8499999999967</v>
      </c>
      <c r="E87" s="137">
        <f>IFERROR(D87/D148, "NA")</f>
        <v>0.33882488544801398</v>
      </c>
      <c r="F87" s="136">
        <f>IFERROR(F59-F85, "NA")</f>
        <v>13437.2</v>
      </c>
      <c r="G87" s="137">
        <f>IFERROR(F87/F148, "NA")</f>
        <v>0.49840451357786208</v>
      </c>
      <c r="H87" s="136">
        <f>IFERROR(H59-H85, "NA")</f>
        <v>9012.3799999999992</v>
      </c>
      <c r="I87" s="137">
        <f>IFERROR(H87/H148, "NA")</f>
        <v>0.37471192013467769</v>
      </c>
      <c r="J87" s="136">
        <f>IFERROR(J59-J85, "NA")</f>
        <v>11596.189999999999</v>
      </c>
      <c r="K87" s="137">
        <f>IFERROR(J87/J148, "NA")</f>
        <v>0.46198598128979457</v>
      </c>
      <c r="L87" s="136">
        <f>IFERROR(L59-L85, "NA")</f>
        <v>10178.330000000002</v>
      </c>
      <c r="M87" s="137">
        <f>IFERROR(L87/L148, "NA")</f>
        <v>0.45032992743100825</v>
      </c>
      <c r="N87" s="136">
        <f>IFERROR(N59-N85, "NA")</f>
        <v>13508.279999999999</v>
      </c>
      <c r="O87" s="137">
        <f>IFERROR(N87/N148, "NA")</f>
        <v>0.48372753254296535</v>
      </c>
      <c r="P87" s="136">
        <f>IFERROR(P59-P85, "NA")</f>
        <v>13117.919999999998</v>
      </c>
      <c r="Q87" s="137">
        <f>IFERROR(P87/P148, "NA")</f>
        <v>0.47438459452129095</v>
      </c>
      <c r="R87" s="136">
        <f>IFERROR(R59-R85, "NA")</f>
        <v>9672.4999999999964</v>
      </c>
      <c r="S87" s="137">
        <f>IFERROR(R87/R148, "NA")</f>
        <v>0.41277487563409848</v>
      </c>
      <c r="T87" s="136">
        <f>IFERROR(T59-T85, "NA")</f>
        <v>13896.009999999989</v>
      </c>
      <c r="U87" s="137">
        <f>IFERROR(T87/T148, "NA")</f>
        <v>0.44141629217569822</v>
      </c>
      <c r="V87" s="136">
        <f>IFERROR(V59-V85, "NA")</f>
        <v>14198.200000000004</v>
      </c>
      <c r="W87" s="137">
        <f>IFERROR(V87/V148, "NA")</f>
        <v>0.43210141427679744</v>
      </c>
      <c r="X87" s="136">
        <f>IFERROR(X59-X85, "NA")</f>
        <v>21766.159999999989</v>
      </c>
      <c r="Y87" s="137">
        <f>IFERROR(X87/X148, "NA")</f>
        <v>0.62609928286472083</v>
      </c>
      <c r="Z87" s="136">
        <f>IFERROR(Z59-Z85, "NA")</f>
        <v>35964.36</v>
      </c>
      <c r="AA87" s="137">
        <f>IFERROR(Z87/Z148, "NA")</f>
        <v>0.53183463663358144</v>
      </c>
      <c r="AB87" s="136">
        <f>IFERROR((R87+T87+V87+X87)/4, "NA")</f>
        <v>14883.217499999995</v>
      </c>
      <c r="AC87" s="137">
        <f>IFERROR(AB87/AB148, "NA")</f>
        <v>0.48583753520785372</v>
      </c>
      <c r="AD87" s="123">
        <f>IFERROR(X87-AB87, "NA")</f>
        <v>6882.9424999999937</v>
      </c>
      <c r="AE87" s="124">
        <f>IFERROR(AD87/AD148, "NA")</f>
        <v>1.666344071573741</v>
      </c>
      <c r="AF87" s="123">
        <f>IFERROR((X87-AB87)/AB87, "NA")</f>
        <v>0.46246334167998254</v>
      </c>
      <c r="AG87" s="136">
        <f>IFERROR((J87+L87+N87+P87+R87+T87+V87+X87)/8, "NA")</f>
        <v>13491.698749999998</v>
      </c>
      <c r="AH87" s="137">
        <f>IFERROR(AG87/AG148, "NA")</f>
        <v>0.47796896737028161</v>
      </c>
      <c r="AI87" s="123">
        <f>IFERROR(X87-AG87, "NA")</f>
        <v>8274.4612499999912</v>
      </c>
      <c r="AJ87" s="124">
        <f>IFERROR(AI87/AI148, "NA")</f>
        <v>1.2656791432132701</v>
      </c>
      <c r="AK87" s="123">
        <f>IFERROR((X87-AG87)/AG87, "NA")</f>
        <v>0.61330017837820405</v>
      </c>
      <c r="AL87" s="124">
        <f>IFERROR(AK87/AK148, "NA")</f>
        <v>2.6480362316760013</v>
      </c>
    </row>
    <row r="88" spans="1:38" ht="3.75" customHeight="1" x14ac:dyDescent="0.25">
      <c r="A88" s="8" t="s">
        <v>2</v>
      </c>
      <c r="B88" s="138"/>
      <c r="C88" s="126"/>
      <c r="D88" s="138"/>
      <c r="E88" s="126"/>
      <c r="F88" s="138"/>
      <c r="G88" s="126"/>
      <c r="H88" s="138"/>
      <c r="I88" s="126"/>
      <c r="J88" s="138"/>
      <c r="K88" s="126"/>
      <c r="L88" s="138"/>
      <c r="M88" s="126"/>
      <c r="N88" s="138"/>
      <c r="O88" s="126"/>
      <c r="P88" s="138"/>
      <c r="Q88" s="126"/>
      <c r="R88" s="138"/>
      <c r="S88" s="126"/>
      <c r="T88" s="138"/>
      <c r="U88" s="126"/>
      <c r="V88" s="138"/>
      <c r="W88" s="126"/>
      <c r="X88" s="138"/>
      <c r="Y88" s="126"/>
      <c r="Z88" s="138"/>
      <c r="AA88" s="126"/>
      <c r="AB88" s="138"/>
      <c r="AC88" s="126"/>
      <c r="AD88" s="139"/>
      <c r="AE88" s="128"/>
      <c r="AF88" s="139"/>
      <c r="AG88" s="138"/>
      <c r="AH88" s="126"/>
      <c r="AI88" s="139"/>
      <c r="AJ88" s="128"/>
      <c r="AK88" s="139"/>
      <c r="AL88" s="128"/>
    </row>
    <row r="89" spans="1:38" ht="16.5" hidden="1" customHeight="1" x14ac:dyDescent="0.25">
      <c r="A89" s="1" t="s">
        <v>89</v>
      </c>
      <c r="B89" s="111"/>
      <c r="C89" s="112"/>
      <c r="D89" s="111"/>
      <c r="E89" s="112"/>
      <c r="F89" s="111"/>
      <c r="G89" s="112"/>
      <c r="H89" s="111"/>
      <c r="I89" s="112"/>
      <c r="J89" s="111"/>
      <c r="K89" s="112"/>
      <c r="L89" s="111"/>
      <c r="M89" s="112"/>
      <c r="N89" s="111"/>
      <c r="O89" s="112"/>
      <c r="P89" s="111"/>
      <c r="Q89" s="112"/>
      <c r="R89" s="111"/>
      <c r="S89" s="112"/>
      <c r="T89" s="111"/>
      <c r="U89" s="112"/>
      <c r="V89" s="111"/>
      <c r="W89" s="112"/>
      <c r="X89" s="111"/>
      <c r="Y89" s="112"/>
      <c r="Z89" s="111"/>
      <c r="AA89" s="112"/>
      <c r="AB89" s="111"/>
      <c r="AC89" s="112"/>
      <c r="AD89" s="113"/>
      <c r="AE89" s="114"/>
      <c r="AF89" s="113"/>
      <c r="AG89" s="111"/>
      <c r="AH89" s="112"/>
      <c r="AI89" s="113"/>
      <c r="AJ89" s="114"/>
      <c r="AK89" s="113"/>
      <c r="AL89" s="114"/>
    </row>
    <row r="90" spans="1:38" ht="16.5" hidden="1" customHeight="1" x14ac:dyDescent="0.25">
      <c r="A90" s="2" t="s">
        <v>90</v>
      </c>
      <c r="B90" s="115">
        <v>746.65</v>
      </c>
      <c r="C90" s="116">
        <f>IFERROR(B90/B148, "NA")</f>
        <v>2.7967572374263911E-2</v>
      </c>
      <c r="D90" s="115">
        <v>630.65000000000009</v>
      </c>
      <c r="E90" s="116">
        <f>IFERROR(D90/D148, "NA")</f>
        <v>2.7597062323019318E-2</v>
      </c>
      <c r="F90" s="115">
        <v>206.54</v>
      </c>
      <c r="G90" s="116">
        <f>IFERROR(F90/F148, "NA")</f>
        <v>7.6608570412267157E-3</v>
      </c>
      <c r="H90" s="115">
        <v>271.68</v>
      </c>
      <c r="I90" s="116">
        <f>IFERROR(H90/H148, "NA")</f>
        <v>1.1295765875627663E-2</v>
      </c>
      <c r="J90" s="115">
        <v>667.75000000000011</v>
      </c>
      <c r="K90" s="116">
        <f>IFERROR(J90/J148, "NA")</f>
        <v>2.66028013516733E-2</v>
      </c>
      <c r="L90" s="115">
        <v>598.43000000000006</v>
      </c>
      <c r="M90" s="116">
        <f>IFERROR(L90/L148, "NA")</f>
        <v>2.6476930741343448E-2</v>
      </c>
      <c r="N90" s="115">
        <v>601.27</v>
      </c>
      <c r="O90" s="116">
        <f>IFERROR(N90/N148, "NA")</f>
        <v>2.1531301800977534E-2</v>
      </c>
      <c r="P90" s="115">
        <v>699.28</v>
      </c>
      <c r="Q90" s="116">
        <f>IFERROR(P90/P148, "NA")</f>
        <v>2.5288129463882106E-2</v>
      </c>
      <c r="R90" s="115">
        <v>564.68999999999994</v>
      </c>
      <c r="S90" s="116">
        <f>IFERROR(R90/R148, "NA")</f>
        <v>2.409820051918523E-2</v>
      </c>
      <c r="T90" s="115">
        <v>523.63</v>
      </c>
      <c r="U90" s="116">
        <f>IFERROR(T90/T148, "NA")</f>
        <v>1.6633466230375558E-2</v>
      </c>
      <c r="V90" s="115">
        <v>444.74</v>
      </c>
      <c r="W90" s="116">
        <f>IFERROR(V90/V148, "NA")</f>
        <v>1.3535010281969745E-2</v>
      </c>
      <c r="X90" s="115">
        <v>314.64999999999998</v>
      </c>
      <c r="Y90" s="116">
        <f>IFERROR(X90/X148, "NA")</f>
        <v>9.0508449516765697E-3</v>
      </c>
      <c r="Z90" s="115">
        <v>759.39</v>
      </c>
      <c r="AA90" s="116">
        <f>IFERROR(Z90/Z148, "NA")</f>
        <v>1.1229725892888832E-2</v>
      </c>
      <c r="AB90" s="117">
        <f t="shared" ref="AB90:AB99" si="36">IFERROR((R90+T90+V90+X90)/4, "NA")</f>
        <v>461.92750000000001</v>
      </c>
      <c r="AC90" s="116">
        <f>IFERROR(AB90/AB148, "NA")</f>
        <v>1.5078844211255122E-2</v>
      </c>
      <c r="AD90" s="118">
        <f t="shared" ref="AD90:AD99" si="37">IFERROR(X90-AB90, "NA")</f>
        <v>-147.27750000000003</v>
      </c>
      <c r="AE90" s="119">
        <f>IFERROR(AD90/AD148, "NA")</f>
        <v>-3.5655533807118382E-2</v>
      </c>
      <c r="AF90" s="118">
        <f t="shared" ref="AF90:AF99" si="38">IFERROR((X90-AB90)/AB90, "NA")</f>
        <v>-0.31883250077122499</v>
      </c>
      <c r="AG90" s="117">
        <f t="shared" ref="AG90:AG99" si="39">IFERROR((J90+L90+N90+P90+R90+T90+V90+X90)/8, "NA")</f>
        <v>551.80500000000006</v>
      </c>
      <c r="AH90" s="116">
        <f>IFERROR(AG90/AG148, "NA")</f>
        <v>1.9548736665926394E-2</v>
      </c>
      <c r="AI90" s="118">
        <f t="shared" ref="AI90:AI99" si="40">IFERROR(X90-AG90, "NA")</f>
        <v>-237.15500000000009</v>
      </c>
      <c r="AJ90" s="119">
        <f>IFERROR(AI90/AI148, "NA")</f>
        <v>-3.6275731813807638E-2</v>
      </c>
      <c r="AK90" s="118">
        <f t="shared" ref="AK90:AK99" si="41">IFERROR((X90-AG90)/AG90, "NA")</f>
        <v>-0.42978044780311897</v>
      </c>
      <c r="AL90" s="119">
        <f>IFERROR(AK90/AK148, "NA")</f>
        <v>-1.8556560678949925</v>
      </c>
    </row>
    <row r="91" spans="1:38" ht="16.5" hidden="1" customHeight="1" x14ac:dyDescent="0.25">
      <c r="A91" s="2" t="s">
        <v>91</v>
      </c>
      <c r="B91" s="115">
        <v>470.75</v>
      </c>
      <c r="C91" s="116">
        <f>IFERROR(B91/B148, "NA")</f>
        <v>1.7633073990738282E-2</v>
      </c>
      <c r="D91" s="115">
        <v>864.56</v>
      </c>
      <c r="E91" s="116">
        <f>IFERROR(D91/D148, "NA")</f>
        <v>3.7832896538475505E-2</v>
      </c>
      <c r="F91" s="115">
        <v>887.07000000000016</v>
      </c>
      <c r="G91" s="116">
        <f>IFERROR(F91/F148, "NA")</f>
        <v>3.2902665128115544E-2</v>
      </c>
      <c r="H91" s="115">
        <v>561.47</v>
      </c>
      <c r="I91" s="116">
        <f>IFERROR(H91/H148, "NA")</f>
        <v>2.3344499654699147E-2</v>
      </c>
      <c r="J91" s="115">
        <v>1084.8699999999999</v>
      </c>
      <c r="K91" s="116">
        <f>IFERROR(J91/J148, "NA")</f>
        <v>4.3220638116645158E-2</v>
      </c>
      <c r="L91" s="115">
        <v>1294</v>
      </c>
      <c r="M91" s="116">
        <f>IFERROR(L91/L148, "NA")</f>
        <v>5.7251722639738011E-2</v>
      </c>
      <c r="N91" s="115">
        <v>486.81</v>
      </c>
      <c r="O91" s="116">
        <f>IFERROR(N91/N148, "NA")</f>
        <v>1.7432522876135302E-2</v>
      </c>
      <c r="P91" s="115">
        <v>421.82</v>
      </c>
      <c r="Q91" s="116">
        <f>IFERROR(P91/P148, "NA")</f>
        <v>1.5254316969532592E-2</v>
      </c>
      <c r="R91" s="115">
        <v>293.66000000000003</v>
      </c>
      <c r="S91" s="116">
        <f>IFERROR(R91/R148, "NA")</f>
        <v>1.2531968982032505E-2</v>
      </c>
      <c r="T91" s="115">
        <v>420.78</v>
      </c>
      <c r="U91" s="116">
        <f>IFERROR(T91/T148, "NA")</f>
        <v>1.3366365411487934E-2</v>
      </c>
      <c r="V91" s="115">
        <v>429.21999999999997</v>
      </c>
      <c r="W91" s="116">
        <f>IFERROR(V91/V148, "NA")</f>
        <v>1.3062681821349672E-2</v>
      </c>
      <c r="X91" s="115">
        <v>543.59</v>
      </c>
      <c r="Y91" s="116">
        <f>IFERROR(X91/X148, "NA")</f>
        <v>1.5636258723285772E-2</v>
      </c>
      <c r="Z91" s="115">
        <v>972.81</v>
      </c>
      <c r="AA91" s="116">
        <f>IFERROR(Z91/Z148, "NA")</f>
        <v>1.4385743354351761E-2</v>
      </c>
      <c r="AB91" s="117">
        <f t="shared" si="36"/>
        <v>421.8125</v>
      </c>
      <c r="AC91" s="116">
        <f>IFERROR(AB91/AB148, "NA")</f>
        <v>1.3769357688944805E-2</v>
      </c>
      <c r="AD91" s="118">
        <f t="shared" si="37"/>
        <v>121.77750000000003</v>
      </c>
      <c r="AE91" s="119">
        <f>IFERROR(AD91/AD148, "NA")</f>
        <v>2.9482044223974192E-2</v>
      </c>
      <c r="AF91" s="118">
        <f t="shared" si="38"/>
        <v>0.28870054822936742</v>
      </c>
      <c r="AG91" s="117">
        <f t="shared" si="39"/>
        <v>621.84375</v>
      </c>
      <c r="AH91" s="116">
        <f>IFERROR(AG91/AG148, "NA")</f>
        <v>2.2029991964737844E-2</v>
      </c>
      <c r="AI91" s="118">
        <f t="shared" si="40"/>
        <v>-78.253749999999968</v>
      </c>
      <c r="AJ91" s="119">
        <f>IFERROR(AI91/AI148, "NA")</f>
        <v>-1.196985957886086E-2</v>
      </c>
      <c r="AK91" s="118">
        <f t="shared" si="41"/>
        <v>-0.1258414995728428</v>
      </c>
      <c r="AL91" s="119">
        <f>IFERROR(AK91/AK148, "NA")</f>
        <v>-0.54334380139676552</v>
      </c>
    </row>
    <row r="92" spans="1:38" ht="16.5" hidden="1" customHeight="1" x14ac:dyDescent="0.25">
      <c r="A92" s="2" t="s">
        <v>92</v>
      </c>
      <c r="B92" s="115">
        <v>231.6</v>
      </c>
      <c r="C92" s="116">
        <f>IFERROR(B92/B148, "NA")</f>
        <v>8.6751352867870113E-3</v>
      </c>
      <c r="D92" s="115">
        <v>155.82</v>
      </c>
      <c r="E92" s="116">
        <f>IFERROR(D92/D148, "NA")</f>
        <v>6.8186383115402677E-3</v>
      </c>
      <c r="F92" s="115">
        <v>377.34999999999997</v>
      </c>
      <c r="G92" s="116">
        <f>IFERROR(F92/F148, "NA")</f>
        <v>1.3996438484104295E-2</v>
      </c>
      <c r="H92" s="115">
        <v>153.05000000000001</v>
      </c>
      <c r="I92" s="116">
        <f>IFERROR(H92/H148, "NA")</f>
        <v>6.3634311221466948E-3</v>
      </c>
      <c r="J92" s="115">
        <v>183.82</v>
      </c>
      <c r="K92" s="116">
        <f>IFERROR(J92/J148, "NA")</f>
        <v>7.3232900703325866E-3</v>
      </c>
      <c r="L92" s="115">
        <v>139.76</v>
      </c>
      <c r="M92" s="116">
        <f>IFERROR(L92/L148, "NA")</f>
        <v>6.1835399970091064E-3</v>
      </c>
      <c r="N92" s="115">
        <v>346.3</v>
      </c>
      <c r="O92" s="116">
        <f>IFERROR(N92/N148, "NA")</f>
        <v>1.2400901115436526E-2</v>
      </c>
      <c r="P92" s="115">
        <v>274.28999999999996</v>
      </c>
      <c r="Q92" s="116">
        <f>IFERROR(P92/P148, "NA")</f>
        <v>9.919175481421209E-3</v>
      </c>
      <c r="R92" s="115">
        <v>287.53000000000003</v>
      </c>
      <c r="S92" s="116">
        <f>IFERROR(R92/R148, "NA")</f>
        <v>1.2270370637484868E-2</v>
      </c>
      <c r="T92" s="115">
        <v>449.12</v>
      </c>
      <c r="U92" s="116">
        <f>IFERROR(T92/T148, "NA")</f>
        <v>1.4266604956527072E-2</v>
      </c>
      <c r="V92" s="115">
        <v>14.9</v>
      </c>
      <c r="W92" s="116">
        <f>IFERROR(V92/V148, "NA")</f>
        <v>4.5345966902313531E-4</v>
      </c>
      <c r="X92" s="115">
        <v>10.43</v>
      </c>
      <c r="Y92" s="116">
        <f>IFERROR(X92/X148, "NA")</f>
        <v>3.0001688493877841E-4</v>
      </c>
      <c r="Z92" s="115">
        <v>25.33</v>
      </c>
      <c r="AA92" s="116">
        <f>IFERROR(Z92/Z148, "NA")</f>
        <v>3.7457558944267646E-4</v>
      </c>
      <c r="AB92" s="117">
        <f t="shared" si="36"/>
        <v>190.495</v>
      </c>
      <c r="AC92" s="116">
        <f>IFERROR(AB92/AB148, "NA")</f>
        <v>6.2183880111555271E-3</v>
      </c>
      <c r="AD92" s="118">
        <f t="shared" si="37"/>
        <v>-180.065</v>
      </c>
      <c r="AE92" s="119">
        <f>IFERROR(AD92/AD148, "NA")</f>
        <v>-4.3593309874072894E-2</v>
      </c>
      <c r="AF92" s="118">
        <f t="shared" si="38"/>
        <v>-0.94524790676920656</v>
      </c>
      <c r="AG92" s="117">
        <f t="shared" si="39"/>
        <v>213.26875000000004</v>
      </c>
      <c r="AH92" s="116">
        <f>IFERROR(AG92/AG148, "NA")</f>
        <v>7.5554491764686623E-3</v>
      </c>
      <c r="AI92" s="118">
        <f t="shared" si="40"/>
        <v>-202.83875000000003</v>
      </c>
      <c r="AJ92" s="119">
        <f>IFERROR(AI92/AI148, "NA")</f>
        <v>-3.1026645427876167E-2</v>
      </c>
      <c r="AK92" s="118">
        <f t="shared" si="41"/>
        <v>-0.95109456964510741</v>
      </c>
      <c r="AL92" s="119">
        <f>IFERROR(AK92/AK148, "NA")</f>
        <v>-4.1065255953952029</v>
      </c>
    </row>
    <row r="93" spans="1:38" ht="16.5" hidden="1" customHeight="1" x14ac:dyDescent="0.25">
      <c r="A93" s="2" t="s">
        <v>93</v>
      </c>
      <c r="B93" s="115">
        <v>2008.33</v>
      </c>
      <c r="C93" s="116">
        <f>IFERROR(B93/B148, "NA")</f>
        <v>7.5226832687879788E-2</v>
      </c>
      <c r="D93" s="115">
        <v>1688.7200000000003</v>
      </c>
      <c r="E93" s="116">
        <f>IFERROR(D93/D148, "NA")</f>
        <v>7.3897900715340026E-2</v>
      </c>
      <c r="F93" s="115">
        <v>2494.86</v>
      </c>
      <c r="G93" s="116">
        <f>IFERROR(F93/F148, "NA")</f>
        <v>9.2537841570034307E-2</v>
      </c>
      <c r="H93" s="115">
        <v>1622.19</v>
      </c>
      <c r="I93" s="116">
        <f>IFERROR(H93/H148, "NA")</f>
        <v>6.744654904955992E-2</v>
      </c>
      <c r="J93" s="115">
        <v>1946.97</v>
      </c>
      <c r="K93" s="116">
        <f>IFERROR(J93/J148, "NA")</f>
        <v>7.7566239082991179E-2</v>
      </c>
      <c r="L93" s="115">
        <v>1734.57</v>
      </c>
      <c r="M93" s="116">
        <f>IFERROR(L93/L148, "NA")</f>
        <v>7.6744297170950812E-2</v>
      </c>
      <c r="N93" s="115">
        <v>1829.4400000000003</v>
      </c>
      <c r="O93" s="116">
        <f>IFERROR(N93/N148, "NA")</f>
        <v>6.5511708162356921E-2</v>
      </c>
      <c r="P93" s="115">
        <v>1997.86</v>
      </c>
      <c r="Q93" s="116">
        <f>IFERROR(P93/P148, "NA")</f>
        <v>7.2248802097459541E-2</v>
      </c>
      <c r="R93" s="115">
        <v>1473.13</v>
      </c>
      <c r="S93" s="116">
        <f>IFERROR(R93/R148, "NA")</f>
        <v>6.2865965628623385E-2</v>
      </c>
      <c r="T93" s="115">
        <v>3685.71</v>
      </c>
      <c r="U93" s="116">
        <f>IFERROR(T93/T148, "NA")</f>
        <v>0.11707910704115022</v>
      </c>
      <c r="V93" s="115">
        <v>2481.66</v>
      </c>
      <c r="W93" s="116">
        <f>IFERROR(V93/V148, "NA")</f>
        <v>7.5525686055567379E-2</v>
      </c>
      <c r="X93" s="115">
        <v>3839.69</v>
      </c>
      <c r="Y93" s="116">
        <f>IFERROR(X93/X148, "NA")</f>
        <v>0.11044792262038142</v>
      </c>
      <c r="Z93" s="115">
        <v>6321.35</v>
      </c>
      <c r="AA93" s="116">
        <f>IFERROR(Z93/Z148, "NA")</f>
        <v>9.3479013119757731E-2</v>
      </c>
      <c r="AB93" s="117">
        <f t="shared" si="36"/>
        <v>2870.0475000000001</v>
      </c>
      <c r="AC93" s="116">
        <f>IFERROR(AB93/AB148, "NA")</f>
        <v>9.368786039238243E-2</v>
      </c>
      <c r="AD93" s="118">
        <f t="shared" si="37"/>
        <v>969.64249999999993</v>
      </c>
      <c r="AE93" s="119">
        <f>IFERROR(AD93/AD148, "NA")</f>
        <v>0.2347481518872114</v>
      </c>
      <c r="AF93" s="118">
        <f t="shared" si="38"/>
        <v>0.33784893804022403</v>
      </c>
      <c r="AG93" s="117">
        <f t="shared" si="39"/>
        <v>2373.6287499999999</v>
      </c>
      <c r="AH93" s="116">
        <f>IFERROR(AG93/AG148, "NA")</f>
        <v>8.409029163639696E-2</v>
      </c>
      <c r="AI93" s="118">
        <f t="shared" si="40"/>
        <v>1466.0612500000002</v>
      </c>
      <c r="AJ93" s="119">
        <f>IFERROR(AI93/AI148, "NA")</f>
        <v>0.22425183836569154</v>
      </c>
      <c r="AK93" s="118">
        <f t="shared" si="41"/>
        <v>0.61764555640809471</v>
      </c>
      <c r="AL93" s="119">
        <f>IFERROR(AK93/AK148, "NA")</f>
        <v>2.6667981999081114</v>
      </c>
    </row>
    <row r="94" spans="1:38" ht="16.5" hidden="1" customHeight="1" x14ac:dyDescent="0.25">
      <c r="A94" s="2" t="s">
        <v>94</v>
      </c>
      <c r="B94" s="115">
        <v>751.16</v>
      </c>
      <c r="C94" s="116">
        <f>IFERROR(B94/B148, "NA")</f>
        <v>2.8136505276437528E-2</v>
      </c>
      <c r="D94" s="115">
        <v>478.17</v>
      </c>
      <c r="E94" s="116">
        <f>IFERROR(D94/D148, "NA")</f>
        <v>2.0924581449295404E-2</v>
      </c>
      <c r="F94" s="115">
        <v>753.05</v>
      </c>
      <c r="G94" s="116">
        <f>IFERROR(F94/F148, "NA")</f>
        <v>2.7931676163918749E-2</v>
      </c>
      <c r="H94" s="115">
        <v>497.17</v>
      </c>
      <c r="I94" s="116">
        <f>IFERROR(H94/H148, "NA")</f>
        <v>2.0671068611549638E-2</v>
      </c>
      <c r="J94" s="115">
        <v>737.94</v>
      </c>
      <c r="K94" s="116">
        <f>IFERROR(J94/J148, "NA")</f>
        <v>2.9399133252645142E-2</v>
      </c>
      <c r="L94" s="115">
        <v>693.27</v>
      </c>
      <c r="M94" s="116">
        <f>IFERROR(L94/L148, "NA")</f>
        <v>3.0673030722141552E-2</v>
      </c>
      <c r="N94" s="115">
        <v>682.56</v>
      </c>
      <c r="O94" s="116">
        <f>IFERROR(N94/N148, "NA")</f>
        <v>2.4442272784731028E-2</v>
      </c>
      <c r="P94" s="115">
        <v>686.77</v>
      </c>
      <c r="Q94" s="116">
        <f>IFERROR(P94/P148, "NA")</f>
        <v>2.4835729138414246E-2</v>
      </c>
      <c r="R94" s="115">
        <v>718.6</v>
      </c>
      <c r="S94" s="116">
        <f>IFERROR(R94/R148, "NA")</f>
        <v>3.0666324696889458E-2</v>
      </c>
      <c r="T94" s="115">
        <v>747.94</v>
      </c>
      <c r="U94" s="116">
        <f>IFERROR(T94/T148, "NA")</f>
        <v>2.3758827287105579E-2</v>
      </c>
      <c r="V94" s="115">
        <v>587.59</v>
      </c>
      <c r="W94" s="116">
        <f>IFERROR(V94/V148, "NA")</f>
        <v>1.7882440732973428E-2</v>
      </c>
      <c r="X94" s="115">
        <v>685.31</v>
      </c>
      <c r="Y94" s="116">
        <f>IFERROR(X94/X148, "NA")</f>
        <v>1.9712806463796188E-2</v>
      </c>
      <c r="Z94" s="115">
        <v>1272.9000000000001</v>
      </c>
      <c r="AA94" s="116">
        <f>IFERROR(Z94/Z148, "NA")</f>
        <v>1.8823421547634542E-2</v>
      </c>
      <c r="AB94" s="117">
        <f t="shared" si="36"/>
        <v>684.86</v>
      </c>
      <c r="AC94" s="116">
        <f>IFERROR(AB94/AB148, "NA")</f>
        <v>2.2356099705083985E-2</v>
      </c>
      <c r="AD94" s="118">
        <f t="shared" si="37"/>
        <v>0.44999999999993179</v>
      </c>
      <c r="AE94" s="119">
        <f>IFERROR(AD94/AD148, "NA")</f>
        <v>1.0894393382017509E-4</v>
      </c>
      <c r="AF94" s="118">
        <f t="shared" si="38"/>
        <v>6.5706859796152753E-4</v>
      </c>
      <c r="AG94" s="117">
        <f t="shared" si="39"/>
        <v>692.49749999999995</v>
      </c>
      <c r="AH94" s="116">
        <f>IFERROR(AG94/AG148, "NA")</f>
        <v>2.4533034802715382E-2</v>
      </c>
      <c r="AI94" s="118">
        <f t="shared" si="40"/>
        <v>-7.1875</v>
      </c>
      <c r="AJ94" s="119">
        <f>IFERROR(AI94/AI148, "NA")</f>
        <v>-1.0994152449315523E-3</v>
      </c>
      <c r="AK94" s="118">
        <f t="shared" si="41"/>
        <v>-1.0379098841512065E-2</v>
      </c>
      <c r="AL94" s="119">
        <f>IFERROR(AK94/AK148, "NA")</f>
        <v>-4.4813666705835607E-2</v>
      </c>
    </row>
    <row r="95" spans="1:38" ht="16.5" hidden="1" customHeight="1" x14ac:dyDescent="0.25">
      <c r="A95" s="2" t="s">
        <v>95</v>
      </c>
      <c r="B95" s="115">
        <v>572.02</v>
      </c>
      <c r="C95" s="116">
        <f>IFERROR(B95/B148, "NA")</f>
        <v>2.1426385521364017E-2</v>
      </c>
      <c r="D95" s="115">
        <v>0</v>
      </c>
      <c r="E95" s="116">
        <f>IFERROR(D95/D148, "NA")</f>
        <v>0</v>
      </c>
      <c r="F95" s="115">
        <v>0</v>
      </c>
      <c r="G95" s="116">
        <f>IFERROR(F95/F148, "NA")</f>
        <v>0</v>
      </c>
      <c r="H95" s="115">
        <v>0</v>
      </c>
      <c r="I95" s="116">
        <f>IFERROR(H95/H148, "NA")</f>
        <v>0</v>
      </c>
      <c r="J95" s="115">
        <v>572.02</v>
      </c>
      <c r="K95" s="116">
        <f>IFERROR(J95/J148, "NA")</f>
        <v>2.2788969568227867E-2</v>
      </c>
      <c r="L95" s="115">
        <v>0</v>
      </c>
      <c r="M95" s="116">
        <f>IFERROR(L95/L148, "NA")</f>
        <v>0</v>
      </c>
      <c r="N95" s="115">
        <v>0</v>
      </c>
      <c r="O95" s="116">
        <f>IFERROR(N95/N148, "NA")</f>
        <v>0</v>
      </c>
      <c r="P95" s="115">
        <v>0</v>
      </c>
      <c r="Q95" s="116">
        <f>IFERROR(P95/P148, "NA")</f>
        <v>0</v>
      </c>
      <c r="R95" s="115">
        <v>0</v>
      </c>
      <c r="S95" s="116">
        <f>IFERROR(R95/R148, "NA")</f>
        <v>0</v>
      </c>
      <c r="T95" s="115">
        <v>572.02</v>
      </c>
      <c r="U95" s="116">
        <f>IFERROR(T95/T148, "NA")</f>
        <v>1.8170607782402509E-2</v>
      </c>
      <c r="V95" s="115">
        <v>0</v>
      </c>
      <c r="W95" s="116">
        <f>IFERROR(V95/V148, "NA")</f>
        <v>0</v>
      </c>
      <c r="X95" s="115">
        <v>0</v>
      </c>
      <c r="Y95" s="116">
        <f>IFERROR(X95/X148, "NA")</f>
        <v>0</v>
      </c>
      <c r="Z95" s="115">
        <v>0</v>
      </c>
      <c r="AA95" s="116">
        <f>IFERROR(Z95/Z148, "NA")</f>
        <v>0</v>
      </c>
      <c r="AB95" s="117">
        <f t="shared" si="36"/>
        <v>143.005</v>
      </c>
      <c r="AC95" s="116">
        <f>IFERROR(AB95/AB148, "NA")</f>
        <v>4.6681570515514637E-3</v>
      </c>
      <c r="AD95" s="118">
        <f t="shared" si="37"/>
        <v>-143.005</v>
      </c>
      <c r="AE95" s="119">
        <f>IFERROR(AD95/AD148, "NA")</f>
        <v>-3.4621171679903334E-2</v>
      </c>
      <c r="AF95" s="118">
        <f t="shared" si="38"/>
        <v>-1</v>
      </c>
      <c r="AG95" s="117">
        <f t="shared" si="39"/>
        <v>143.005</v>
      </c>
      <c r="AH95" s="116">
        <f>IFERROR(AG95/AG148, "NA")</f>
        <v>5.0662228267427875E-3</v>
      </c>
      <c r="AI95" s="118">
        <f t="shared" si="40"/>
        <v>-143.005</v>
      </c>
      <c r="AJ95" s="119">
        <f>IFERROR(AI95/AI148, "NA")</f>
        <v>-2.187434811846075E-2</v>
      </c>
      <c r="AK95" s="118">
        <f t="shared" si="41"/>
        <v>-1</v>
      </c>
      <c r="AL95" s="119">
        <f>IFERROR(AK95/AK148, "NA")</f>
        <v>-4.3176837787303493</v>
      </c>
    </row>
    <row r="96" spans="1:38" ht="16.5" hidden="1" customHeight="1" x14ac:dyDescent="0.25">
      <c r="A96" s="2" t="s">
        <v>96</v>
      </c>
      <c r="B96" s="115">
        <v>0</v>
      </c>
      <c r="C96" s="116">
        <f>IFERROR(B96/B148, "NA")</f>
        <v>0</v>
      </c>
      <c r="D96" s="115">
        <v>0</v>
      </c>
      <c r="E96" s="116">
        <f>IFERROR(D96/D148, "NA")</f>
        <v>0</v>
      </c>
      <c r="F96" s="115">
        <v>0</v>
      </c>
      <c r="G96" s="116">
        <f>IFERROR(F96/F148, "NA")</f>
        <v>0</v>
      </c>
      <c r="H96" s="115">
        <v>0</v>
      </c>
      <c r="I96" s="116">
        <f>IFERROR(H96/H148, "NA")</f>
        <v>0</v>
      </c>
      <c r="J96" s="115">
        <v>0</v>
      </c>
      <c r="K96" s="116">
        <f>IFERROR(J96/J148, "NA")</f>
        <v>0</v>
      </c>
      <c r="L96" s="115">
        <v>0</v>
      </c>
      <c r="M96" s="116">
        <f>IFERROR(L96/L148, "NA")</f>
        <v>0</v>
      </c>
      <c r="N96" s="115">
        <v>0</v>
      </c>
      <c r="O96" s="116">
        <f>IFERROR(N96/N148, "NA")</f>
        <v>0</v>
      </c>
      <c r="P96" s="115">
        <v>0</v>
      </c>
      <c r="Q96" s="116">
        <f>IFERROR(P96/P148, "NA")</f>
        <v>0</v>
      </c>
      <c r="R96" s="115">
        <v>0</v>
      </c>
      <c r="S96" s="116">
        <f>IFERROR(R96/R148, "NA")</f>
        <v>0</v>
      </c>
      <c r="T96" s="115">
        <v>0</v>
      </c>
      <c r="U96" s="116">
        <f>IFERROR(T96/T148, "NA")</f>
        <v>0</v>
      </c>
      <c r="V96" s="115">
        <v>1750</v>
      </c>
      <c r="W96" s="116">
        <f>IFERROR(V96/V148, "NA")</f>
        <v>5.3258685959093069E-2</v>
      </c>
      <c r="X96" s="115">
        <v>0</v>
      </c>
      <c r="Y96" s="116">
        <f>IFERROR(X96/X148, "NA")</f>
        <v>0</v>
      </c>
      <c r="Z96" s="115">
        <v>1750</v>
      </c>
      <c r="AA96" s="116">
        <f>IFERROR(Z96/Z148, "NA")</f>
        <v>2.5878692519726958E-2</v>
      </c>
      <c r="AB96" s="117">
        <f t="shared" si="36"/>
        <v>437.5</v>
      </c>
      <c r="AC96" s="116">
        <f>IFERROR(AB96/AB148, "NA")</f>
        <v>1.428144966996794E-2</v>
      </c>
      <c r="AD96" s="118">
        <f t="shared" si="37"/>
        <v>-437.5</v>
      </c>
      <c r="AE96" s="119">
        <f>IFERROR(AD96/AD148, "NA")</f>
        <v>-0.1059177134362974</v>
      </c>
      <c r="AF96" s="118">
        <f t="shared" si="38"/>
        <v>-1</v>
      </c>
      <c r="AG96" s="117">
        <f t="shared" si="39"/>
        <v>218.75</v>
      </c>
      <c r="AH96" s="116">
        <f>IFERROR(AG96/AG148, "NA")</f>
        <v>7.7496328334672546E-3</v>
      </c>
      <c r="AI96" s="118">
        <f t="shared" si="40"/>
        <v>-218.75</v>
      </c>
      <c r="AJ96" s="119">
        <f>IFERROR(AI96/AI148, "NA")</f>
        <v>-3.3460463976177683E-2</v>
      </c>
      <c r="AK96" s="118">
        <f t="shared" si="41"/>
        <v>-1</v>
      </c>
      <c r="AL96" s="119">
        <f>IFERROR(AK96/AK148, "NA")</f>
        <v>-4.3176837787303493</v>
      </c>
    </row>
    <row r="97" spans="1:38" ht="16.5" hidden="1" customHeight="1" x14ac:dyDescent="0.25">
      <c r="A97" s="2" t="s">
        <v>97</v>
      </c>
      <c r="B97" s="115">
        <v>2739.1100000000006</v>
      </c>
      <c r="C97" s="116">
        <f>IFERROR(B97/B148, "NA")</f>
        <v>0.10259995602500509</v>
      </c>
      <c r="D97" s="115">
        <v>27.08</v>
      </c>
      <c r="E97" s="116">
        <f>IFERROR(D97/D148, "NA")</f>
        <v>1.1850129988224261E-3</v>
      </c>
      <c r="F97" s="115">
        <v>0</v>
      </c>
      <c r="G97" s="116">
        <f>IFERROR(F97/F148, "NA")</f>
        <v>0</v>
      </c>
      <c r="H97" s="115">
        <v>250.05</v>
      </c>
      <c r="I97" s="116">
        <f>IFERROR(H97/H148, "NA")</f>
        <v>1.0396445292994322E-2</v>
      </c>
      <c r="J97" s="115">
        <v>532.96</v>
      </c>
      <c r="K97" s="116">
        <f>IFERROR(J97/J148, "NA")</f>
        <v>2.123284014734227E-2</v>
      </c>
      <c r="L97" s="115">
        <v>0</v>
      </c>
      <c r="M97" s="116">
        <f>IFERROR(L97/L148, "NA")</f>
        <v>0</v>
      </c>
      <c r="N97" s="115">
        <v>0</v>
      </c>
      <c r="O97" s="116">
        <f>IFERROR(N97/N148, "NA")</f>
        <v>0</v>
      </c>
      <c r="P97" s="115">
        <v>0</v>
      </c>
      <c r="Q97" s="116">
        <f>IFERROR(P97/P148, "NA")</f>
        <v>0</v>
      </c>
      <c r="R97" s="115">
        <v>2023.6299999999999</v>
      </c>
      <c r="S97" s="116">
        <f>IFERROR(R97/R148, "NA")</f>
        <v>8.6358606521522968E-2</v>
      </c>
      <c r="T97" s="115">
        <v>458.3</v>
      </c>
      <c r="U97" s="116">
        <f>IFERROR(T97/T148, "NA")</f>
        <v>1.4558213955237702E-2</v>
      </c>
      <c r="V97" s="115">
        <v>0</v>
      </c>
      <c r="W97" s="116">
        <f>IFERROR(V97/V148, "NA")</f>
        <v>0</v>
      </c>
      <c r="X97" s="115">
        <v>0</v>
      </c>
      <c r="Y97" s="116">
        <f>IFERROR(X97/X148, "NA")</f>
        <v>0</v>
      </c>
      <c r="Z97" s="115">
        <v>0</v>
      </c>
      <c r="AA97" s="116">
        <f>IFERROR(Z97/Z148, "NA")</f>
        <v>0</v>
      </c>
      <c r="AB97" s="117">
        <f t="shared" si="36"/>
        <v>620.48249999999996</v>
      </c>
      <c r="AC97" s="116">
        <f>IFERROR(AB97/AB148, "NA")</f>
        <v>2.0254604788219159E-2</v>
      </c>
      <c r="AD97" s="118">
        <f t="shared" si="37"/>
        <v>-620.48249999999996</v>
      </c>
      <c r="AE97" s="119">
        <f>IFERROR(AD97/AD148, "NA")</f>
        <v>-0.15021734314797119</v>
      </c>
      <c r="AF97" s="118">
        <f t="shared" si="38"/>
        <v>-1</v>
      </c>
      <c r="AG97" s="117">
        <f t="shared" si="39"/>
        <v>376.86125000000004</v>
      </c>
      <c r="AH97" s="116">
        <f>IFERROR(AG97/AG148, "NA")</f>
        <v>1.3351023161881196E-2</v>
      </c>
      <c r="AI97" s="118">
        <f t="shared" si="40"/>
        <v>-376.86125000000004</v>
      </c>
      <c r="AJ97" s="119">
        <f>IFERROR(AI97/AI148, "NA")</f>
        <v>-5.7645496135507623E-2</v>
      </c>
      <c r="AK97" s="118">
        <f t="shared" si="41"/>
        <v>-1</v>
      </c>
      <c r="AL97" s="119">
        <f>IFERROR(AK97/AK148, "NA")</f>
        <v>-4.3176837787303493</v>
      </c>
    </row>
    <row r="98" spans="1:38" ht="16.5" hidden="1" customHeight="1" x14ac:dyDescent="0.25">
      <c r="A98" s="2" t="s">
        <v>98</v>
      </c>
      <c r="B98" s="115">
        <v>1292.94</v>
      </c>
      <c r="C98" s="116">
        <f>IFERROR(B98/B148, "NA")</f>
        <v>4.8430178832894646E-2</v>
      </c>
      <c r="D98" s="115">
        <v>495.82000000000005</v>
      </c>
      <c r="E98" s="116">
        <f>IFERROR(D98/D148, "NA")</f>
        <v>2.1696940364702193E-2</v>
      </c>
      <c r="F98" s="115">
        <v>312.16999999999996</v>
      </c>
      <c r="G98" s="116">
        <f>IFERROR(F98/F148, "NA")</f>
        <v>1.1578821257672817E-2</v>
      </c>
      <c r="H98" s="115">
        <v>3016.5400000000004</v>
      </c>
      <c r="I98" s="116">
        <f>IFERROR(H98/H148, "NA")</f>
        <v>0.1254200883188526</v>
      </c>
      <c r="J98" s="115">
        <v>1363.3</v>
      </c>
      <c r="K98" s="116">
        <f>IFERROR(J98/J148, "NA")</f>
        <v>5.4313139771974842E-2</v>
      </c>
      <c r="L98" s="115">
        <v>530.82999999999993</v>
      </c>
      <c r="M98" s="116">
        <f>IFERROR(L98/L148, "NA")</f>
        <v>2.3486037039298396E-2</v>
      </c>
      <c r="N98" s="115">
        <v>962.1099999999999</v>
      </c>
      <c r="O98" s="116">
        <f>IFERROR(N98/N148, "NA")</f>
        <v>3.445287603861575E-2</v>
      </c>
      <c r="P98" s="115">
        <v>1077.8499999999999</v>
      </c>
      <c r="Q98" s="116">
        <f>IFERROR(P98/P148, "NA")</f>
        <v>3.8978392550402315E-2</v>
      </c>
      <c r="R98" s="115">
        <v>3594.84</v>
      </c>
      <c r="S98" s="116">
        <f>IFERROR(R98/R148, "NA")</f>
        <v>0.15341014566290856</v>
      </c>
      <c r="T98" s="115">
        <v>2317.7299999999996</v>
      </c>
      <c r="U98" s="116">
        <f>IFERROR(T98/T148, "NA")</f>
        <v>7.3624283723484771E-2</v>
      </c>
      <c r="V98" s="115">
        <v>561.29</v>
      </c>
      <c r="W98" s="116">
        <f>IFERROR(V98/V148, "NA")</f>
        <v>1.7082038766845341E-2</v>
      </c>
      <c r="X98" s="115">
        <v>0</v>
      </c>
      <c r="Y98" s="116">
        <f>IFERROR(X98/X148, "NA")</f>
        <v>0</v>
      </c>
      <c r="Z98" s="115">
        <v>561.29</v>
      </c>
      <c r="AA98" s="116">
        <f>IFERROR(Z98/Z148, "NA")</f>
        <v>8.3002578996557389E-3</v>
      </c>
      <c r="AB98" s="117">
        <f t="shared" si="36"/>
        <v>1618.4649999999999</v>
      </c>
      <c r="AC98" s="116">
        <f>IFERROR(AB98/AB148, "NA")</f>
        <v>5.2832060434524944E-2</v>
      </c>
      <c r="AD98" s="118">
        <f t="shared" si="37"/>
        <v>-1618.4649999999999</v>
      </c>
      <c r="AE98" s="119">
        <f>IFERROR(AD98/AD148, "NA")</f>
        <v>-0.39182654188954757</v>
      </c>
      <c r="AF98" s="118">
        <f t="shared" si="38"/>
        <v>-1</v>
      </c>
      <c r="AG98" s="117">
        <f t="shared" si="39"/>
        <v>1300.9937500000001</v>
      </c>
      <c r="AH98" s="116">
        <f>IFERROR(AG98/AG148, "NA")</f>
        <v>4.6090166313763156E-2</v>
      </c>
      <c r="AI98" s="118">
        <f t="shared" si="40"/>
        <v>-1300.9937500000001</v>
      </c>
      <c r="AJ98" s="119">
        <f>IFERROR(AI98/AI148, "NA")</f>
        <v>-0.19900276345191914</v>
      </c>
      <c r="AK98" s="118">
        <f t="shared" si="41"/>
        <v>-1</v>
      </c>
      <c r="AL98" s="119">
        <f>IFERROR(AK98/AK148, "NA")</f>
        <v>-4.3176837787303493</v>
      </c>
    </row>
    <row r="99" spans="1:38" ht="16.5" hidden="1" customHeight="1" x14ac:dyDescent="0.25">
      <c r="A99" s="120" t="s">
        <v>99</v>
      </c>
      <c r="B99" s="121">
        <f>IFERROR(B90+B91+B92+B93+B94+B95+B96+B97+B98, "NA")</f>
        <v>8812.5600000000013</v>
      </c>
      <c r="C99" s="122">
        <f>IFERROR(B99/B148, "NA")</f>
        <v>0.33009563999537028</v>
      </c>
      <c r="D99" s="121">
        <f>IFERROR(D90+D91+D92+D93+D94+D95+D96+D97+D98, "NA")</f>
        <v>4340.82</v>
      </c>
      <c r="E99" s="122">
        <f>IFERROR(D99/D148, "NA")</f>
        <v>0.18995303270119512</v>
      </c>
      <c r="F99" s="121">
        <f>IFERROR(F90+F91+F92+F93+F94+F95+F96+F97+F98, "NA")</f>
        <v>5031.04</v>
      </c>
      <c r="G99" s="122">
        <f>IFERROR(F99/F148, "NA")</f>
        <v>0.18660829964507242</v>
      </c>
      <c r="H99" s="121">
        <f>IFERROR(H90+H91+H92+H93+H94+H95+H96+H97+H98, "NA")</f>
        <v>6372.1500000000015</v>
      </c>
      <c r="I99" s="122">
        <f>IFERROR(H99/H148, "NA")</f>
        <v>0.26493784792543001</v>
      </c>
      <c r="J99" s="121">
        <f>IFERROR(J90+J91+J92+J93+J94+J95+J96+J97+J98, "NA")</f>
        <v>7089.630000000001</v>
      </c>
      <c r="K99" s="122">
        <f>IFERROR(J99/J148, "NA")</f>
        <v>0.2824470513618324</v>
      </c>
      <c r="L99" s="121">
        <f>IFERROR(L90+L91+L92+L93+L94+L95+L96+L97+L98, "NA")</f>
        <v>4990.8600000000006</v>
      </c>
      <c r="M99" s="122">
        <f>IFERROR(L99/L148, "NA")</f>
        <v>0.22081555831048136</v>
      </c>
      <c r="N99" s="121">
        <f>IFERROR(N90+N91+N92+N93+N94+N95+N96+N97+N98, "NA")</f>
        <v>4908.49</v>
      </c>
      <c r="O99" s="122">
        <f>IFERROR(N99/N148, "NA")</f>
        <v>0.17577158277825305</v>
      </c>
      <c r="P99" s="121">
        <f>IFERROR(P90+P91+P92+P93+P94+P95+P96+P97+P98, "NA")</f>
        <v>5157.87</v>
      </c>
      <c r="Q99" s="122">
        <f>IFERROR(P99/P148, "NA")</f>
        <v>0.18652454570111202</v>
      </c>
      <c r="R99" s="121">
        <f>IFERROR(R90+R91+R92+R93+R94+R95+R96+R97+R98, "NA")</f>
        <v>8956.08</v>
      </c>
      <c r="S99" s="122">
        <f>IFERROR(R99/R148, "NA")</f>
        <v>0.38220158264864695</v>
      </c>
      <c r="T99" s="121">
        <f>IFERROR(T90+T91+T92+T93+T94+T95+T96+T97+T98, "NA")</f>
        <v>9175.23</v>
      </c>
      <c r="U99" s="122">
        <f>IFERROR(T99/T148, "NA")</f>
        <v>0.29145747638777136</v>
      </c>
      <c r="V99" s="121">
        <f>IFERROR(V90+V91+V92+V93+V94+V95+V96+V97+V98, "NA")</f>
        <v>6269.4000000000005</v>
      </c>
      <c r="W99" s="122">
        <f>IFERROR(V99/V148, "NA")</f>
        <v>0.19080000328682178</v>
      </c>
      <c r="X99" s="121">
        <f>IFERROR(X90+X91+X92+X93+X94+X95+X96+X97+X98, "NA")</f>
        <v>5393.67</v>
      </c>
      <c r="Y99" s="122">
        <f>IFERROR(X99/X148, "NA")</f>
        <v>0.15514784964407874</v>
      </c>
      <c r="Z99" s="121">
        <f>IFERROR(Z90+Z91+Z92+Z93+Z94+Z95+Z96+Z97+Z98, "NA")</f>
        <v>11663.07</v>
      </c>
      <c r="AA99" s="122">
        <f>IFERROR(Z99/Z148, "NA")</f>
        <v>0.17247142992345824</v>
      </c>
      <c r="AB99" s="121">
        <f t="shared" si="36"/>
        <v>7448.5949999999993</v>
      </c>
      <c r="AC99" s="122">
        <f>IFERROR(AB99/AB148, "NA")</f>
        <v>0.24314682195308537</v>
      </c>
      <c r="AD99" s="123">
        <f t="shared" si="37"/>
        <v>-2054.9249999999993</v>
      </c>
      <c r="AE99" s="124">
        <f>IFERROR(AD99/AD148, "NA")</f>
        <v>-0.4974924737899048</v>
      </c>
      <c r="AF99" s="123">
        <f t="shared" si="38"/>
        <v>-0.27588088760363522</v>
      </c>
      <c r="AG99" s="121">
        <f t="shared" si="39"/>
        <v>6492.6537500000004</v>
      </c>
      <c r="AH99" s="122">
        <f>IFERROR(AG99/AG148, "NA")</f>
        <v>0.23001454938209964</v>
      </c>
      <c r="AI99" s="123">
        <f t="shared" si="40"/>
        <v>-1098.9837500000003</v>
      </c>
      <c r="AJ99" s="124">
        <f>IFERROR(AI99/AI148, "NA")</f>
        <v>-0.16810288538184992</v>
      </c>
      <c r="AK99" s="123">
        <f t="shared" si="41"/>
        <v>-0.16926572589828931</v>
      </c>
      <c r="AL99" s="124">
        <f>IFERROR(AK99/AK148, "NA")</f>
        <v>-0.7308358790060614</v>
      </c>
    </row>
    <row r="100" spans="1:38" ht="16.5" hidden="1" customHeight="1" x14ac:dyDescent="0.25">
      <c r="A100" s="8" t="s">
        <v>2</v>
      </c>
      <c r="B100" s="138"/>
      <c r="C100" s="126"/>
      <c r="D100" s="138"/>
      <c r="E100" s="126"/>
      <c r="F100" s="138"/>
      <c r="G100" s="126"/>
      <c r="H100" s="138"/>
      <c r="I100" s="126"/>
      <c r="J100" s="138"/>
      <c r="K100" s="126"/>
      <c r="L100" s="138"/>
      <c r="M100" s="126"/>
      <c r="N100" s="138"/>
      <c r="O100" s="126"/>
      <c r="P100" s="138"/>
      <c r="Q100" s="126"/>
      <c r="R100" s="138"/>
      <c r="S100" s="126"/>
      <c r="T100" s="138"/>
      <c r="U100" s="126"/>
      <c r="V100" s="138"/>
      <c r="W100" s="126"/>
      <c r="X100" s="138"/>
      <c r="Y100" s="126"/>
      <c r="Z100" s="138"/>
      <c r="AA100" s="126"/>
      <c r="AB100" s="138"/>
      <c r="AC100" s="126"/>
      <c r="AD100" s="139"/>
      <c r="AE100" s="128"/>
      <c r="AF100" s="139"/>
      <c r="AG100" s="138"/>
      <c r="AH100" s="126"/>
      <c r="AI100" s="139"/>
      <c r="AJ100" s="128"/>
      <c r="AK100" s="139"/>
      <c r="AL100" s="128"/>
    </row>
    <row r="101" spans="1:38" ht="16.5" hidden="1" customHeight="1" x14ac:dyDescent="0.25">
      <c r="A101" s="135" t="s">
        <v>100</v>
      </c>
      <c r="B101" s="136">
        <f>IFERROR(B87-B99, "NA")</f>
        <v>4887.3599999999951</v>
      </c>
      <c r="C101" s="137">
        <f>IFERROR(B101/B148, "NA")</f>
        <v>0.18306782899495391</v>
      </c>
      <c r="D101" s="136">
        <f>IFERROR(D87-D99, "NA")</f>
        <v>3402.029999999997</v>
      </c>
      <c r="E101" s="137">
        <f>IFERROR(D101/D148, "NA")</f>
        <v>0.14887185274681886</v>
      </c>
      <c r="F101" s="136">
        <f>IFERROR(F87-F99, "NA")</f>
        <v>8406.16</v>
      </c>
      <c r="G101" s="137">
        <f>IFERROR(F101/F148, "NA")</f>
        <v>0.31179621393278961</v>
      </c>
      <c r="H101" s="136">
        <f>IFERROR(H87-H99, "NA")</f>
        <v>2640.2299999999977</v>
      </c>
      <c r="I101" s="137">
        <f>IFERROR(H101/H148, "NA")</f>
        <v>0.10977407220924765</v>
      </c>
      <c r="J101" s="136">
        <f>IFERROR(J87-J99, "NA")</f>
        <v>4506.5599999999977</v>
      </c>
      <c r="K101" s="137">
        <f>IFERROR(J101/J148, "NA")</f>
        <v>0.17953892992796217</v>
      </c>
      <c r="L101" s="136">
        <f>IFERROR(L87-L99, "NA")</f>
        <v>5187.4700000000012</v>
      </c>
      <c r="M101" s="137">
        <f>IFERROR(L101/L148, "NA")</f>
        <v>0.22951436912052689</v>
      </c>
      <c r="N101" s="136">
        <f>IFERROR(N87-N99, "NA")</f>
        <v>8599.7899999999991</v>
      </c>
      <c r="O101" s="137">
        <f>IFERROR(N101/N148, "NA")</f>
        <v>0.3079559497647123</v>
      </c>
      <c r="P101" s="136">
        <f>IFERROR(P87-P99, "NA")</f>
        <v>7960.0499999999984</v>
      </c>
      <c r="Q101" s="137">
        <f>IFERROR(P101/P148, "NA")</f>
        <v>0.28786004882017896</v>
      </c>
      <c r="R101" s="136">
        <f>IFERROR(R87-R99, "NA")</f>
        <v>716.41999999999643</v>
      </c>
      <c r="S101" s="137">
        <f>IFERROR(R101/R148, "NA")</f>
        <v>3.0573292985451483E-2</v>
      </c>
      <c r="T101" s="136">
        <f>IFERROR(T87-T99, "NA")</f>
        <v>4720.7799999999897</v>
      </c>
      <c r="U101" s="137">
        <f>IFERROR(T101/T148, "NA")</f>
        <v>0.14995881578792689</v>
      </c>
      <c r="V101" s="136">
        <f>IFERROR(V87-V99, "NA")</f>
        <v>7928.8000000000038</v>
      </c>
      <c r="W101" s="137">
        <f>IFERROR(V101/V148, "NA")</f>
        <v>0.24130141098997562</v>
      </c>
      <c r="X101" s="136">
        <f>IFERROR(X87-X99, "NA")</f>
        <v>16372.489999999989</v>
      </c>
      <c r="Y101" s="137">
        <f>IFERROR(X101/X148, "NA")</f>
        <v>0.47095143322064215</v>
      </c>
      <c r="Z101" s="136">
        <f>IFERROR(Z87-Z99, "NA")</f>
        <v>24301.29</v>
      </c>
      <c r="AA101" s="137">
        <f>IFERROR(Z101/Z148, "NA")</f>
        <v>0.35936320671012317</v>
      </c>
      <c r="AB101" s="136">
        <f>IFERROR((R101+T101+V101+X101)/4, "NA")</f>
        <v>7434.622499999994</v>
      </c>
      <c r="AC101" s="137">
        <f>IFERROR(AB101/AB148, "NA")</f>
        <v>0.24269071325476832</v>
      </c>
      <c r="AD101" s="123">
        <f>IFERROR(X101-AB101, "NA")</f>
        <v>8937.8674999999948</v>
      </c>
      <c r="AE101" s="124">
        <f>IFERROR(AD101/AD148, "NA")</f>
        <v>2.1638365453636461</v>
      </c>
      <c r="AF101" s="123">
        <f>IFERROR((X101-AB101)/AB101, "NA")</f>
        <v>1.2021952022446334</v>
      </c>
      <c r="AG101" s="136">
        <f>IFERROR((J101+L101+N101+P101+R101+T101+V101+X101)/8, "NA")</f>
        <v>6999.0449999999973</v>
      </c>
      <c r="AH101" s="137">
        <f>IFERROR(AG101/AG148, "NA")</f>
        <v>0.24795441798818194</v>
      </c>
      <c r="AI101" s="123">
        <f>IFERROR(X101-AG101, "NA")</f>
        <v>9373.4449999999924</v>
      </c>
      <c r="AJ101" s="124">
        <f>IFERROR(AI101/AI148, "NA")</f>
        <v>1.4337820285951202</v>
      </c>
      <c r="AK101" s="123">
        <f>IFERROR((X101-AG101)/AG101, "NA")</f>
        <v>1.3392462828857359</v>
      </c>
      <c r="AL101" s="124">
        <f>IFERROR(AK101/AK148, "NA")</f>
        <v>5.7824419513406591</v>
      </c>
    </row>
    <row r="102" spans="1:38" ht="3.75" hidden="1" customHeight="1" x14ac:dyDescent="0.25">
      <c r="A102" s="8" t="s">
        <v>2</v>
      </c>
      <c r="B102" s="138"/>
      <c r="C102" s="126"/>
      <c r="D102" s="138"/>
      <c r="E102" s="126"/>
      <c r="F102" s="138"/>
      <c r="G102" s="126"/>
      <c r="H102" s="138"/>
      <c r="I102" s="126"/>
      <c r="J102" s="138"/>
      <c r="K102" s="126"/>
      <c r="L102" s="138"/>
      <c r="M102" s="126"/>
      <c r="N102" s="138"/>
      <c r="O102" s="126"/>
      <c r="P102" s="138"/>
      <c r="Q102" s="126"/>
      <c r="R102" s="138"/>
      <c r="S102" s="126"/>
      <c r="T102" s="138"/>
      <c r="U102" s="126"/>
      <c r="V102" s="138"/>
      <c r="W102" s="126"/>
      <c r="X102" s="138"/>
      <c r="Y102" s="126"/>
      <c r="Z102" s="138"/>
      <c r="AA102" s="126"/>
      <c r="AB102" s="138"/>
      <c r="AC102" s="126"/>
      <c r="AD102" s="139"/>
      <c r="AE102" s="128"/>
      <c r="AF102" s="139"/>
      <c r="AG102" s="138"/>
      <c r="AH102" s="126"/>
      <c r="AI102" s="139"/>
      <c r="AJ102" s="128"/>
      <c r="AK102" s="139"/>
      <c r="AL102" s="128"/>
    </row>
    <row r="103" spans="1:38" ht="16.5" hidden="1" customHeight="1" x14ac:dyDescent="0.25">
      <c r="A103" s="1" t="s">
        <v>101</v>
      </c>
      <c r="B103" s="111"/>
      <c r="C103" s="112"/>
      <c r="D103" s="111"/>
      <c r="E103" s="112"/>
      <c r="F103" s="111"/>
      <c r="G103" s="112"/>
      <c r="H103" s="111"/>
      <c r="I103" s="112"/>
      <c r="J103" s="111"/>
      <c r="K103" s="112"/>
      <c r="L103" s="111"/>
      <c r="M103" s="112"/>
      <c r="N103" s="111"/>
      <c r="O103" s="112"/>
      <c r="P103" s="111"/>
      <c r="Q103" s="112"/>
      <c r="R103" s="111"/>
      <c r="S103" s="112"/>
      <c r="T103" s="111"/>
      <c r="U103" s="112"/>
      <c r="V103" s="111"/>
      <c r="W103" s="112"/>
      <c r="X103" s="111"/>
      <c r="Y103" s="112"/>
      <c r="Z103" s="111"/>
      <c r="AA103" s="112"/>
      <c r="AB103" s="111"/>
      <c r="AC103" s="112"/>
      <c r="AD103" s="113"/>
      <c r="AE103" s="114"/>
      <c r="AF103" s="113"/>
      <c r="AG103" s="111"/>
      <c r="AH103" s="112"/>
      <c r="AI103" s="113"/>
      <c r="AJ103" s="114"/>
      <c r="AK103" s="113"/>
      <c r="AL103" s="114"/>
    </row>
    <row r="104" spans="1:38" ht="16.5" hidden="1" customHeight="1" x14ac:dyDescent="0.25">
      <c r="A104" s="9" t="s">
        <v>102</v>
      </c>
      <c r="B104" s="140">
        <v>19887.580000000002</v>
      </c>
      <c r="C104" s="137">
        <f>IFERROR(B104/B148, "NA")</f>
        <v>0.74493716332815052</v>
      </c>
      <c r="D104" s="140">
        <v>401.84999999999997</v>
      </c>
      <c r="E104" s="137">
        <f>IFERROR(D104/D148, "NA")</f>
        <v>1.7584840235479762E-2</v>
      </c>
      <c r="F104" s="140">
        <v>0</v>
      </c>
      <c r="G104" s="137">
        <f>IFERROR(F104/F148, "NA")</f>
        <v>0</v>
      </c>
      <c r="H104" s="140">
        <v>3946.2200000000003</v>
      </c>
      <c r="I104" s="137">
        <f>IFERROR(H104/H148, "NA")</f>
        <v>0.16407382661115799</v>
      </c>
      <c r="J104" s="140">
        <v>20350.45</v>
      </c>
      <c r="K104" s="137">
        <f>IFERROR(J104/J148, "NA")</f>
        <v>0.81075099777934834</v>
      </c>
      <c r="L104" s="140">
        <v>862.39</v>
      </c>
      <c r="M104" s="137">
        <f>IFERROR(L104/L148, "NA")</f>
        <v>3.8155574256015193E-2</v>
      </c>
      <c r="N104" s="140">
        <v>0</v>
      </c>
      <c r="O104" s="137">
        <f>IFERROR(N104/N148, "NA")</f>
        <v>0</v>
      </c>
      <c r="P104" s="140">
        <v>0</v>
      </c>
      <c r="Q104" s="137">
        <f>IFERROR(P104/P148, "NA")</f>
        <v>0</v>
      </c>
      <c r="R104" s="140">
        <v>3831.13</v>
      </c>
      <c r="S104" s="137">
        <f>IFERROR(R104/R148, "NA")</f>
        <v>0.16349384433063471</v>
      </c>
      <c r="T104" s="140">
        <v>20641.8</v>
      </c>
      <c r="U104" s="137">
        <f>IFERROR(T104/T148, "NA")</f>
        <v>0.65570094004194979</v>
      </c>
      <c r="V104" s="140">
        <v>-150</v>
      </c>
      <c r="W104" s="137">
        <f>IFERROR(V104/V148, "NA")</f>
        <v>-4.5650302250651205E-3</v>
      </c>
      <c r="X104" s="140">
        <v>0</v>
      </c>
      <c r="Y104" s="137">
        <f>IFERROR(X104/X148, "NA")</f>
        <v>0</v>
      </c>
      <c r="Z104" s="140">
        <v>-150</v>
      </c>
      <c r="AA104" s="137">
        <f>IFERROR(Z104/Z148, "NA")</f>
        <v>-2.2181736445480251E-3</v>
      </c>
      <c r="AB104" s="136">
        <f>IFERROR((R104+T104+V104+X104)/4, "NA")</f>
        <v>6080.7325000000001</v>
      </c>
      <c r="AC104" s="137">
        <f>IFERROR(AB104/AB148, "NA")</f>
        <v>0.19849525749780189</v>
      </c>
      <c r="AD104" s="123">
        <f>IFERROR(X104-AB104, "NA")</f>
        <v>-6080.7325000000001</v>
      </c>
      <c r="AE104" s="124">
        <f>IFERROR(AD104/AD148, "NA")</f>
        <v>-1.4721309312406405</v>
      </c>
      <c r="AF104" s="123">
        <f>IFERROR((X104-AB104)/AB104, "NA")</f>
        <v>-1</v>
      </c>
      <c r="AG104" s="136">
        <f>IFERROR((J104+L104+N104+P104+R104+T104+V104+X104)/8, "NA")</f>
        <v>5691.9712500000005</v>
      </c>
      <c r="AH104" s="137">
        <f>IFERROR(AG104/AG148, "NA")</f>
        <v>0.20164885616526471</v>
      </c>
      <c r="AI104" s="123">
        <f>IFERROR(X104-AG104, "NA")</f>
        <v>-5691.9712500000005</v>
      </c>
      <c r="AJ104" s="124">
        <f>IFERROR(AI104/AI148, "NA")</f>
        <v>-0.87065599526429283</v>
      </c>
      <c r="AK104" s="123">
        <f>IFERROR((X104-AG104)/AG104, "NA")</f>
        <v>-1</v>
      </c>
      <c r="AL104" s="124">
        <f>IFERROR(AK104/AK148, "NA")</f>
        <v>-4.3176837787303493</v>
      </c>
    </row>
    <row r="105" spans="1:38" ht="16.5" hidden="1" customHeight="1" x14ac:dyDescent="0.25">
      <c r="A105" s="120" t="s">
        <v>103</v>
      </c>
      <c r="B105" s="121">
        <f>IFERROR(B104, "NA")</f>
        <v>19887.580000000002</v>
      </c>
      <c r="C105" s="122">
        <f>IFERROR(B105/B148, "NA")</f>
        <v>0.74493716332815052</v>
      </c>
      <c r="D105" s="121">
        <f>IFERROR(D104, "NA")</f>
        <v>401.84999999999997</v>
      </c>
      <c r="E105" s="122">
        <f>IFERROR(D105/D148, "NA")</f>
        <v>1.7584840235479762E-2</v>
      </c>
      <c r="F105" s="121">
        <f>IFERROR(F104, "NA")</f>
        <v>0</v>
      </c>
      <c r="G105" s="122">
        <f>IFERROR(F105/F148, "NA")</f>
        <v>0</v>
      </c>
      <c r="H105" s="121">
        <f>IFERROR(H104, "NA")</f>
        <v>3946.2200000000003</v>
      </c>
      <c r="I105" s="122">
        <f>IFERROR(H105/H148, "NA")</f>
        <v>0.16407382661115799</v>
      </c>
      <c r="J105" s="121">
        <f>IFERROR(J104, "NA")</f>
        <v>20350.45</v>
      </c>
      <c r="K105" s="122">
        <f>IFERROR(J105/J148, "NA")</f>
        <v>0.81075099777934834</v>
      </c>
      <c r="L105" s="121">
        <f>IFERROR(L104, "NA")</f>
        <v>862.39</v>
      </c>
      <c r="M105" s="122">
        <f>IFERROR(L105/L148, "NA")</f>
        <v>3.8155574256015193E-2</v>
      </c>
      <c r="N105" s="121">
        <f>IFERROR(N104, "NA")</f>
        <v>0</v>
      </c>
      <c r="O105" s="122">
        <f>IFERROR(N105/N148, "NA")</f>
        <v>0</v>
      </c>
      <c r="P105" s="121">
        <f>IFERROR(P104, "NA")</f>
        <v>0</v>
      </c>
      <c r="Q105" s="122">
        <f>IFERROR(P105/P148, "NA")</f>
        <v>0</v>
      </c>
      <c r="R105" s="121">
        <f>IFERROR(R104, "NA")</f>
        <v>3831.13</v>
      </c>
      <c r="S105" s="122">
        <f>IFERROR(R105/R148, "NA")</f>
        <v>0.16349384433063471</v>
      </c>
      <c r="T105" s="121">
        <f>IFERROR(T104, "NA")</f>
        <v>20641.8</v>
      </c>
      <c r="U105" s="122">
        <f>IFERROR(T105/T148, "NA")</f>
        <v>0.65570094004194979</v>
      </c>
      <c r="V105" s="121">
        <f>IFERROR(V104, "NA")</f>
        <v>-150</v>
      </c>
      <c r="W105" s="122">
        <f>IFERROR(V105/V148, "NA")</f>
        <v>-4.5650302250651205E-3</v>
      </c>
      <c r="X105" s="121">
        <f>IFERROR(X104, "NA")</f>
        <v>0</v>
      </c>
      <c r="Y105" s="122">
        <f>IFERROR(X105/X148, "NA")</f>
        <v>0</v>
      </c>
      <c r="Z105" s="121">
        <f>IFERROR(Z104, "NA")</f>
        <v>-150</v>
      </c>
      <c r="AA105" s="122">
        <f>IFERROR(Z105/Z148, "NA")</f>
        <v>-2.2181736445480251E-3</v>
      </c>
      <c r="AB105" s="121">
        <f>IFERROR((R105+T105+V105+X105)/4, "NA")</f>
        <v>6080.7325000000001</v>
      </c>
      <c r="AC105" s="122">
        <f>IFERROR(AB105/AB148, "NA")</f>
        <v>0.19849525749780189</v>
      </c>
      <c r="AD105" s="123">
        <f>IFERROR(X105-AB105, "NA")</f>
        <v>-6080.7325000000001</v>
      </c>
      <c r="AE105" s="124">
        <f>IFERROR(AD105/AD148, "NA")</f>
        <v>-1.4721309312406405</v>
      </c>
      <c r="AF105" s="123">
        <f>IFERROR((X105-AB105)/AB105, "NA")</f>
        <v>-1</v>
      </c>
      <c r="AG105" s="121">
        <f>IFERROR((J105+L105+N105+P105+R105+T105+V105+X105)/8, "NA")</f>
        <v>5691.9712500000005</v>
      </c>
      <c r="AH105" s="122">
        <f>IFERROR(AG105/AG148, "NA")</f>
        <v>0.20164885616526471</v>
      </c>
      <c r="AI105" s="123">
        <f>IFERROR(X105-AG105, "NA")</f>
        <v>-5691.9712500000005</v>
      </c>
      <c r="AJ105" s="124">
        <f>IFERROR(AI105/AI148, "NA")</f>
        <v>-0.87065599526429283</v>
      </c>
      <c r="AK105" s="123">
        <f>IFERROR((X105-AG105)/AG105, "NA")</f>
        <v>-1</v>
      </c>
      <c r="AL105" s="124">
        <f>IFERROR(AK105/AK148, "NA")</f>
        <v>-4.3176837787303493</v>
      </c>
    </row>
    <row r="106" spans="1:38" ht="16.5" hidden="1" customHeight="1" x14ac:dyDescent="0.25">
      <c r="A106" s="8" t="s">
        <v>2</v>
      </c>
      <c r="B106" s="138"/>
      <c r="C106" s="126"/>
      <c r="D106" s="138"/>
      <c r="E106" s="126"/>
      <c r="F106" s="138"/>
      <c r="G106" s="126"/>
      <c r="H106" s="138"/>
      <c r="I106" s="126"/>
      <c r="J106" s="138"/>
      <c r="K106" s="126"/>
      <c r="L106" s="138"/>
      <c r="M106" s="126"/>
      <c r="N106" s="138"/>
      <c r="O106" s="126"/>
      <c r="P106" s="138"/>
      <c r="Q106" s="126"/>
      <c r="R106" s="138"/>
      <c r="S106" s="126"/>
      <c r="T106" s="138"/>
      <c r="U106" s="126"/>
      <c r="V106" s="138"/>
      <c r="W106" s="126"/>
      <c r="X106" s="138"/>
      <c r="Y106" s="126"/>
      <c r="Z106" s="138"/>
      <c r="AA106" s="126"/>
      <c r="AB106" s="138"/>
      <c r="AC106" s="126"/>
      <c r="AD106" s="139"/>
      <c r="AE106" s="128"/>
      <c r="AF106" s="139"/>
      <c r="AG106" s="138"/>
      <c r="AH106" s="126"/>
      <c r="AI106" s="139"/>
      <c r="AJ106" s="128"/>
      <c r="AK106" s="139"/>
      <c r="AL106" s="128"/>
    </row>
    <row r="107" spans="1:38" ht="16.5" hidden="1" customHeight="1" x14ac:dyDescent="0.25">
      <c r="A107" s="135" t="s">
        <v>104</v>
      </c>
      <c r="B107" s="136">
        <f>IFERROR(B87-B99-B105, "NA")</f>
        <v>-15000.220000000007</v>
      </c>
      <c r="C107" s="137">
        <f>IFERROR(B107/B148, "NA")</f>
        <v>-0.56186933433319652</v>
      </c>
      <c r="D107" s="136">
        <f>IFERROR(D87-D99-D105, "NA")</f>
        <v>3000.1799999999971</v>
      </c>
      <c r="E107" s="137">
        <f>IFERROR(D107/D148, "NA")</f>
        <v>0.13128701251133912</v>
      </c>
      <c r="F107" s="136">
        <f>IFERROR(F87-F99-F105, "NA")</f>
        <v>8406.16</v>
      </c>
      <c r="G107" s="137">
        <f>IFERROR(F107/F148, "NA")</f>
        <v>0.31179621393278961</v>
      </c>
      <c r="H107" s="136">
        <f>IFERROR(H87-H99-H105, "NA")</f>
        <v>-1305.9900000000025</v>
      </c>
      <c r="I107" s="137">
        <f>IFERROR(H107/H148, "NA")</f>
        <v>-5.4299754401910337E-2</v>
      </c>
      <c r="J107" s="136">
        <f>IFERROR(J87-J99-J105, "NA")</f>
        <v>-15843.890000000003</v>
      </c>
      <c r="K107" s="137">
        <f>IFERROR(J107/J148, "NA")</f>
        <v>-0.63121206785138617</v>
      </c>
      <c r="L107" s="136">
        <f>IFERROR(L87-L99-L105, "NA")</f>
        <v>4325.0800000000008</v>
      </c>
      <c r="M107" s="137">
        <f>IFERROR(L107/L148, "NA")</f>
        <v>0.19135879486451168</v>
      </c>
      <c r="N107" s="136">
        <f>IFERROR(N87-N99-N105, "NA")</f>
        <v>8599.7899999999991</v>
      </c>
      <c r="O107" s="137">
        <f>IFERROR(N107/N148, "NA")</f>
        <v>0.3079559497647123</v>
      </c>
      <c r="P107" s="136">
        <f>IFERROR(P87-P99-P105, "NA")</f>
        <v>7960.0499999999984</v>
      </c>
      <c r="Q107" s="137">
        <f>IFERROR(P107/P148, "NA")</f>
        <v>0.28786004882017896</v>
      </c>
      <c r="R107" s="136">
        <f>IFERROR(R87-R99-R105, "NA")</f>
        <v>-3114.7100000000037</v>
      </c>
      <c r="S107" s="137">
        <f>IFERROR(R107/R148, "NA")</f>
        <v>-0.13292055134518324</v>
      </c>
      <c r="T107" s="136">
        <f>IFERROR(T87-T99-T105, "NA")</f>
        <v>-15921.02000000001</v>
      </c>
      <c r="U107" s="137">
        <f>IFERROR(T107/T148, "NA")</f>
        <v>-0.50574212425402287</v>
      </c>
      <c r="V107" s="136">
        <f>IFERROR(V87-V99-V105, "NA")</f>
        <v>8078.8000000000038</v>
      </c>
      <c r="W107" s="137">
        <f>IFERROR(V107/V148, "NA")</f>
        <v>0.24586644121504075</v>
      </c>
      <c r="X107" s="136">
        <f>IFERROR(X87-X99-X105, "NA")</f>
        <v>16372.489999999989</v>
      </c>
      <c r="Y107" s="137">
        <f>IFERROR(X107/X148, "NA")</f>
        <v>0.47095143322064215</v>
      </c>
      <c r="Z107" s="136">
        <f>IFERROR(Z87-Z99-Z105, "NA")</f>
        <v>24451.29</v>
      </c>
      <c r="AA107" s="137">
        <f>IFERROR(Z107/Z148, "NA")</f>
        <v>0.36158138035467119</v>
      </c>
      <c r="AB107" s="136">
        <f>IFERROR((R107+T107+V107+X107)/4, "NA")</f>
        <v>1353.8899999999944</v>
      </c>
      <c r="AC107" s="137">
        <f>IFERROR(AB107/AB148, "NA")</f>
        <v>4.4195455756966436E-2</v>
      </c>
      <c r="AD107" s="123">
        <f>IFERROR(X107-AB107, "NA")</f>
        <v>15018.599999999995</v>
      </c>
      <c r="AE107" s="124">
        <f>IFERROR(AD107/AD148, "NA")</f>
        <v>3.6359674766042871</v>
      </c>
      <c r="AF107" s="123">
        <f>IFERROR((X107-AB107)/AB107, "NA")</f>
        <v>11.092924831411752</v>
      </c>
      <c r="AG107" s="136">
        <f>IFERROR((J107+L107+N107+P107+R107+T107+V107+X107)/8, "NA")</f>
        <v>1307.0737499999968</v>
      </c>
      <c r="AH107" s="137">
        <f>IFERROR(AG107/AG148, "NA")</f>
        <v>4.6305561822917236E-2</v>
      </c>
      <c r="AI107" s="123">
        <f>IFERROR(X107-AG107, "NA")</f>
        <v>15065.416249999991</v>
      </c>
      <c r="AJ107" s="124">
        <f>IFERROR(AI107/AI148, "NA")</f>
        <v>2.3044380238594129</v>
      </c>
      <c r="AK107" s="123">
        <f>IFERROR((X107-AG107)/AG107, "NA")</f>
        <v>11.52606442444432</v>
      </c>
      <c r="AL107" s="124">
        <f>IFERROR(AK107/AK148, "NA")</f>
        <v>49.765901398024198</v>
      </c>
    </row>
    <row r="108" spans="1:38" ht="3.75" hidden="1" customHeight="1" x14ac:dyDescent="0.25">
      <c r="A108" s="8" t="s">
        <v>2</v>
      </c>
      <c r="B108" s="138"/>
      <c r="C108" s="126"/>
      <c r="D108" s="138"/>
      <c r="E108" s="126"/>
      <c r="F108" s="138"/>
      <c r="G108" s="126"/>
      <c r="H108" s="138"/>
      <c r="I108" s="126"/>
      <c r="J108" s="138"/>
      <c r="K108" s="126"/>
      <c r="L108" s="138"/>
      <c r="M108" s="126"/>
      <c r="N108" s="138"/>
      <c r="O108" s="126"/>
      <c r="P108" s="138"/>
      <c r="Q108" s="126"/>
      <c r="R108" s="138"/>
      <c r="S108" s="126"/>
      <c r="T108" s="138"/>
      <c r="U108" s="126"/>
      <c r="V108" s="138"/>
      <c r="W108" s="126"/>
      <c r="X108" s="138"/>
      <c r="Y108" s="126"/>
      <c r="Z108" s="138"/>
      <c r="AA108" s="126"/>
      <c r="AB108" s="138"/>
      <c r="AC108" s="126"/>
      <c r="AD108" s="139"/>
      <c r="AE108" s="128"/>
      <c r="AF108" s="139"/>
      <c r="AG108" s="138"/>
      <c r="AH108" s="126"/>
      <c r="AI108" s="139"/>
      <c r="AJ108" s="128"/>
      <c r="AK108" s="139"/>
      <c r="AL108" s="128"/>
    </row>
    <row r="109" spans="1:38" ht="16.5" hidden="1" customHeight="1" x14ac:dyDescent="0.25">
      <c r="A109" s="1" t="s">
        <v>105</v>
      </c>
      <c r="B109" s="111"/>
      <c r="C109" s="112"/>
      <c r="D109" s="111"/>
      <c r="E109" s="112"/>
      <c r="F109" s="111"/>
      <c r="G109" s="112"/>
      <c r="H109" s="111"/>
      <c r="I109" s="112"/>
      <c r="J109" s="111"/>
      <c r="K109" s="112"/>
      <c r="L109" s="111"/>
      <c r="M109" s="112"/>
      <c r="N109" s="111"/>
      <c r="O109" s="112"/>
      <c r="P109" s="111"/>
      <c r="Q109" s="112"/>
      <c r="R109" s="111"/>
      <c r="S109" s="112"/>
      <c r="T109" s="111"/>
      <c r="U109" s="112"/>
      <c r="V109" s="111"/>
      <c r="W109" s="112"/>
      <c r="X109" s="111"/>
      <c r="Y109" s="112"/>
      <c r="Z109" s="111"/>
      <c r="AA109" s="112"/>
      <c r="AB109" s="111"/>
      <c r="AC109" s="112"/>
      <c r="AD109" s="113"/>
      <c r="AE109" s="114"/>
      <c r="AF109" s="113"/>
      <c r="AG109" s="111"/>
      <c r="AH109" s="112"/>
      <c r="AI109" s="113"/>
      <c r="AJ109" s="114"/>
      <c r="AK109" s="113"/>
      <c r="AL109" s="114"/>
    </row>
    <row r="110" spans="1:38" ht="16.5" hidden="1" customHeight="1" x14ac:dyDescent="0.25">
      <c r="A110" s="2" t="s">
        <v>106</v>
      </c>
      <c r="B110" s="115">
        <v>0</v>
      </c>
      <c r="C110" s="116">
        <f>IFERROR(B110/B148, "NA")</f>
        <v>0</v>
      </c>
      <c r="D110" s="115">
        <v>0</v>
      </c>
      <c r="E110" s="116">
        <f>IFERROR(D110/D148, "NA")</f>
        <v>0</v>
      </c>
      <c r="F110" s="115">
        <v>0</v>
      </c>
      <c r="G110" s="116">
        <f>IFERROR(F110/F148, "NA")</f>
        <v>0</v>
      </c>
      <c r="H110" s="115">
        <v>0</v>
      </c>
      <c r="I110" s="116">
        <f>IFERROR(H110/H148, "NA")</f>
        <v>0</v>
      </c>
      <c r="J110" s="115">
        <v>0</v>
      </c>
      <c r="K110" s="116">
        <f>IFERROR(J110/J148, "NA")</f>
        <v>0</v>
      </c>
      <c r="L110" s="115">
        <v>0</v>
      </c>
      <c r="M110" s="116">
        <f>IFERROR(L110/L148, "NA")</f>
        <v>0</v>
      </c>
      <c r="N110" s="115">
        <v>0</v>
      </c>
      <c r="O110" s="116">
        <f>IFERROR(N110/N148, "NA")</f>
        <v>0</v>
      </c>
      <c r="P110" s="115">
        <v>0</v>
      </c>
      <c r="Q110" s="116">
        <f>IFERROR(P110/P148, "NA")</f>
        <v>0</v>
      </c>
      <c r="R110" s="115">
        <v>0</v>
      </c>
      <c r="S110" s="116">
        <f>IFERROR(R110/R148, "NA")</f>
        <v>0</v>
      </c>
      <c r="T110" s="115">
        <v>0</v>
      </c>
      <c r="U110" s="116">
        <f>IFERROR(T110/T148, "NA")</f>
        <v>0</v>
      </c>
      <c r="V110" s="115">
        <v>0</v>
      </c>
      <c r="W110" s="116">
        <f>IFERROR(V110/V148, "NA")</f>
        <v>0</v>
      </c>
      <c r="X110" s="115">
        <v>0</v>
      </c>
      <c r="Y110" s="116">
        <f>IFERROR(X110/X148, "NA")</f>
        <v>0</v>
      </c>
      <c r="Z110" s="115">
        <v>0</v>
      </c>
      <c r="AA110" s="116">
        <f>IFERROR(Z110/Z148, "NA")</f>
        <v>0</v>
      </c>
      <c r="AB110" s="117">
        <f t="shared" ref="AB110:AB135" si="42">IFERROR((R110+T110+V110+X110)/4, "NA")</f>
        <v>0</v>
      </c>
      <c r="AC110" s="116">
        <f>IFERROR(AB110/AB148, "NA")</f>
        <v>0</v>
      </c>
      <c r="AD110" s="118">
        <f t="shared" ref="AD110:AD135" si="43">IFERROR(X110-AB110, "NA")</f>
        <v>0</v>
      </c>
      <c r="AE110" s="119">
        <f>IFERROR(AD110/AD148, "NA")</f>
        <v>0</v>
      </c>
      <c r="AF110" s="118" t="str">
        <f t="shared" ref="AF110:AF135" si="44">IFERROR((X110-AB110)/AB110, "NA")</f>
        <v>NA</v>
      </c>
      <c r="AG110" s="117">
        <f t="shared" ref="AG110:AG135" si="45">IFERROR((J110+L110+N110+P110+R110+T110+V110+X110)/8, "NA")</f>
        <v>0</v>
      </c>
      <c r="AH110" s="116">
        <f>IFERROR(AG110/AG148, "NA")</f>
        <v>0</v>
      </c>
      <c r="AI110" s="118">
        <f t="shared" ref="AI110:AI135" si="46">IFERROR(X110-AG110, "NA")</f>
        <v>0</v>
      </c>
      <c r="AJ110" s="119">
        <f>IFERROR(AI110/AI148, "NA")</f>
        <v>0</v>
      </c>
      <c r="AK110" s="118" t="str">
        <f t="shared" ref="AK110:AK135" si="47">IFERROR((X110-AG110)/AG110, "NA")</f>
        <v>NA</v>
      </c>
      <c r="AL110" s="119" t="str">
        <f>IFERROR(AK110/AK148, "NA")</f>
        <v>NA</v>
      </c>
    </row>
    <row r="111" spans="1:38" ht="16.5" hidden="1" customHeight="1" x14ac:dyDescent="0.25">
      <c r="A111" s="2" t="s">
        <v>107</v>
      </c>
      <c r="B111" s="115">
        <v>0</v>
      </c>
      <c r="C111" s="116">
        <f>IFERROR(B111/B148, "NA")</f>
        <v>0</v>
      </c>
      <c r="D111" s="115">
        <v>0</v>
      </c>
      <c r="E111" s="116">
        <f>IFERROR(D111/D148, "NA")</f>
        <v>0</v>
      </c>
      <c r="F111" s="115">
        <v>0</v>
      </c>
      <c r="G111" s="116">
        <f>IFERROR(F111/F148, "NA")</f>
        <v>0</v>
      </c>
      <c r="H111" s="115">
        <v>0</v>
      </c>
      <c r="I111" s="116">
        <f>IFERROR(H111/H148, "NA")</f>
        <v>0</v>
      </c>
      <c r="J111" s="115">
        <v>0</v>
      </c>
      <c r="K111" s="116">
        <f>IFERROR(J111/J148, "NA")</f>
        <v>0</v>
      </c>
      <c r="L111" s="115">
        <v>0</v>
      </c>
      <c r="M111" s="116">
        <f>IFERROR(L111/L148, "NA")</f>
        <v>0</v>
      </c>
      <c r="N111" s="115">
        <v>0</v>
      </c>
      <c r="O111" s="116">
        <f>IFERROR(N111/N148, "NA")</f>
        <v>0</v>
      </c>
      <c r="P111" s="115">
        <v>0</v>
      </c>
      <c r="Q111" s="116">
        <f>IFERROR(P111/P148, "NA")</f>
        <v>0</v>
      </c>
      <c r="R111" s="115">
        <v>0</v>
      </c>
      <c r="S111" s="116">
        <f>IFERROR(R111/R148, "NA")</f>
        <v>0</v>
      </c>
      <c r="T111" s="115">
        <v>0</v>
      </c>
      <c r="U111" s="116">
        <f>IFERROR(T111/T148, "NA")</f>
        <v>0</v>
      </c>
      <c r="V111" s="115">
        <v>0</v>
      </c>
      <c r="W111" s="116">
        <f>IFERROR(V111/V148, "NA")</f>
        <v>0</v>
      </c>
      <c r="X111" s="115">
        <v>0</v>
      </c>
      <c r="Y111" s="116">
        <f>IFERROR(X111/X148, "NA")</f>
        <v>0</v>
      </c>
      <c r="Z111" s="115">
        <v>0</v>
      </c>
      <c r="AA111" s="116">
        <f>IFERROR(Z111/Z148, "NA")</f>
        <v>0</v>
      </c>
      <c r="AB111" s="117">
        <f t="shared" si="42"/>
        <v>0</v>
      </c>
      <c r="AC111" s="116">
        <f>IFERROR(AB111/AB148, "NA")</f>
        <v>0</v>
      </c>
      <c r="AD111" s="118">
        <f t="shared" si="43"/>
        <v>0</v>
      </c>
      <c r="AE111" s="119">
        <f>IFERROR(AD111/AD148, "NA")</f>
        <v>0</v>
      </c>
      <c r="AF111" s="118" t="str">
        <f t="shared" si="44"/>
        <v>NA</v>
      </c>
      <c r="AG111" s="117">
        <f t="shared" si="45"/>
        <v>0</v>
      </c>
      <c r="AH111" s="116">
        <f>IFERROR(AG111/AG148, "NA")</f>
        <v>0</v>
      </c>
      <c r="AI111" s="118">
        <f t="shared" si="46"/>
        <v>0</v>
      </c>
      <c r="AJ111" s="119">
        <f>IFERROR(AI111/AI148, "NA")</f>
        <v>0</v>
      </c>
      <c r="AK111" s="118" t="str">
        <f t="shared" si="47"/>
        <v>NA</v>
      </c>
      <c r="AL111" s="119" t="str">
        <f>IFERROR(AK111/AK148, "NA")</f>
        <v>NA</v>
      </c>
    </row>
    <row r="112" spans="1:38" ht="16.5" hidden="1" customHeight="1" x14ac:dyDescent="0.25">
      <c r="A112" s="2" t="s">
        <v>108</v>
      </c>
      <c r="B112" s="115">
        <v>0</v>
      </c>
      <c r="C112" s="116">
        <f>IFERROR(B112/B148, "NA")</f>
        <v>0</v>
      </c>
      <c r="D112" s="115">
        <v>0</v>
      </c>
      <c r="E112" s="116">
        <f>IFERROR(D112/D148, "NA")</f>
        <v>0</v>
      </c>
      <c r="F112" s="115">
        <v>0</v>
      </c>
      <c r="G112" s="116">
        <f>IFERROR(F112/F148, "NA")</f>
        <v>0</v>
      </c>
      <c r="H112" s="115">
        <v>0</v>
      </c>
      <c r="I112" s="116">
        <f>IFERROR(H112/H148, "NA")</f>
        <v>0</v>
      </c>
      <c r="J112" s="115">
        <v>0</v>
      </c>
      <c r="K112" s="116">
        <f>IFERROR(J112/J148, "NA")</f>
        <v>0</v>
      </c>
      <c r="L112" s="115">
        <v>0</v>
      </c>
      <c r="M112" s="116">
        <f>IFERROR(L112/L148, "NA")</f>
        <v>0</v>
      </c>
      <c r="N112" s="115">
        <v>0</v>
      </c>
      <c r="O112" s="116">
        <f>IFERROR(N112/N148, "NA")</f>
        <v>0</v>
      </c>
      <c r="P112" s="115">
        <v>0</v>
      </c>
      <c r="Q112" s="116">
        <f>IFERROR(P112/P148, "NA")</f>
        <v>0</v>
      </c>
      <c r="R112" s="115">
        <v>0</v>
      </c>
      <c r="S112" s="116">
        <f>IFERROR(R112/R148, "NA")</f>
        <v>0</v>
      </c>
      <c r="T112" s="115">
        <v>0</v>
      </c>
      <c r="U112" s="116">
        <f>IFERROR(T112/T148, "NA")</f>
        <v>0</v>
      </c>
      <c r="V112" s="115">
        <v>0</v>
      </c>
      <c r="W112" s="116">
        <f>IFERROR(V112/V148, "NA")</f>
        <v>0</v>
      </c>
      <c r="X112" s="115">
        <v>0</v>
      </c>
      <c r="Y112" s="116">
        <f>IFERROR(X112/X148, "NA")</f>
        <v>0</v>
      </c>
      <c r="Z112" s="115">
        <v>0</v>
      </c>
      <c r="AA112" s="116">
        <f>IFERROR(Z112/Z148, "NA")</f>
        <v>0</v>
      </c>
      <c r="AB112" s="117">
        <f t="shared" si="42"/>
        <v>0</v>
      </c>
      <c r="AC112" s="116">
        <f>IFERROR(AB112/AB148, "NA")</f>
        <v>0</v>
      </c>
      <c r="AD112" s="118">
        <f t="shared" si="43"/>
        <v>0</v>
      </c>
      <c r="AE112" s="119">
        <f>IFERROR(AD112/AD148, "NA")</f>
        <v>0</v>
      </c>
      <c r="AF112" s="118" t="str">
        <f t="shared" si="44"/>
        <v>NA</v>
      </c>
      <c r="AG112" s="117">
        <f t="shared" si="45"/>
        <v>0</v>
      </c>
      <c r="AH112" s="116">
        <f>IFERROR(AG112/AG148, "NA")</f>
        <v>0</v>
      </c>
      <c r="AI112" s="118">
        <f t="shared" si="46"/>
        <v>0</v>
      </c>
      <c r="AJ112" s="119">
        <f>IFERROR(AI112/AI148, "NA")</f>
        <v>0</v>
      </c>
      <c r="AK112" s="118" t="str">
        <f t="shared" si="47"/>
        <v>NA</v>
      </c>
      <c r="AL112" s="119" t="str">
        <f>IFERROR(AK112/AK148, "NA")</f>
        <v>NA</v>
      </c>
    </row>
    <row r="113" spans="1:38" ht="16.5" hidden="1" customHeight="1" x14ac:dyDescent="0.25">
      <c r="A113" s="2" t="s">
        <v>109</v>
      </c>
      <c r="B113" s="115">
        <v>0</v>
      </c>
      <c r="C113" s="116">
        <f>IFERROR(B113/B148, "NA")</f>
        <v>0</v>
      </c>
      <c r="D113" s="115">
        <v>0</v>
      </c>
      <c r="E113" s="116">
        <f>IFERROR(D113/D148, "NA")</f>
        <v>0</v>
      </c>
      <c r="F113" s="115">
        <v>0</v>
      </c>
      <c r="G113" s="116">
        <f>IFERROR(F113/F148, "NA")</f>
        <v>0</v>
      </c>
      <c r="H113" s="115">
        <v>0</v>
      </c>
      <c r="I113" s="116">
        <f>IFERROR(H113/H148, "NA")</f>
        <v>0</v>
      </c>
      <c r="J113" s="115">
        <v>0</v>
      </c>
      <c r="K113" s="116">
        <f>IFERROR(J113/J148, "NA")</f>
        <v>0</v>
      </c>
      <c r="L113" s="115">
        <v>0</v>
      </c>
      <c r="M113" s="116">
        <f>IFERROR(L113/L148, "NA")</f>
        <v>0</v>
      </c>
      <c r="N113" s="115">
        <v>0</v>
      </c>
      <c r="O113" s="116">
        <f>IFERROR(N113/N148, "NA")</f>
        <v>0</v>
      </c>
      <c r="P113" s="115">
        <v>0</v>
      </c>
      <c r="Q113" s="116">
        <f>IFERROR(P113/P148, "NA")</f>
        <v>0</v>
      </c>
      <c r="R113" s="115">
        <v>0</v>
      </c>
      <c r="S113" s="116">
        <f>IFERROR(R113/R148, "NA")</f>
        <v>0</v>
      </c>
      <c r="T113" s="115">
        <v>0</v>
      </c>
      <c r="U113" s="116">
        <f>IFERROR(T113/T148, "NA")</f>
        <v>0</v>
      </c>
      <c r="V113" s="115">
        <v>0</v>
      </c>
      <c r="W113" s="116">
        <f>IFERROR(V113/V148, "NA")</f>
        <v>0</v>
      </c>
      <c r="X113" s="115">
        <v>0</v>
      </c>
      <c r="Y113" s="116">
        <f>IFERROR(X113/X148, "NA")</f>
        <v>0</v>
      </c>
      <c r="Z113" s="115">
        <v>0</v>
      </c>
      <c r="AA113" s="116">
        <f>IFERROR(Z113/Z148, "NA")</f>
        <v>0</v>
      </c>
      <c r="AB113" s="117">
        <f t="shared" si="42"/>
        <v>0</v>
      </c>
      <c r="AC113" s="116">
        <f>IFERROR(AB113/AB148, "NA")</f>
        <v>0</v>
      </c>
      <c r="AD113" s="118">
        <f t="shared" si="43"/>
        <v>0</v>
      </c>
      <c r="AE113" s="119">
        <f>IFERROR(AD113/AD148, "NA")</f>
        <v>0</v>
      </c>
      <c r="AF113" s="118" t="str">
        <f t="shared" si="44"/>
        <v>NA</v>
      </c>
      <c r="AG113" s="117">
        <f t="shared" si="45"/>
        <v>0</v>
      </c>
      <c r="AH113" s="116">
        <f>IFERROR(AG113/AG148, "NA")</f>
        <v>0</v>
      </c>
      <c r="AI113" s="118">
        <f t="shared" si="46"/>
        <v>0</v>
      </c>
      <c r="AJ113" s="119">
        <f>IFERROR(AI113/AI148, "NA")</f>
        <v>0</v>
      </c>
      <c r="AK113" s="118" t="str">
        <f t="shared" si="47"/>
        <v>NA</v>
      </c>
      <c r="AL113" s="119" t="str">
        <f>IFERROR(AK113/AK148, "NA")</f>
        <v>NA</v>
      </c>
    </row>
    <row r="114" spans="1:38" ht="16.5" hidden="1" customHeight="1" x14ac:dyDescent="0.25">
      <c r="A114" s="2" t="s">
        <v>110</v>
      </c>
      <c r="B114" s="115">
        <v>0</v>
      </c>
      <c r="C114" s="116">
        <f>IFERROR(B114/B148, "NA")</f>
        <v>0</v>
      </c>
      <c r="D114" s="115">
        <v>0</v>
      </c>
      <c r="E114" s="116">
        <f>IFERROR(D114/D148, "NA")</f>
        <v>0</v>
      </c>
      <c r="F114" s="115">
        <v>0</v>
      </c>
      <c r="G114" s="116">
        <f>IFERROR(F114/F148, "NA")</f>
        <v>0</v>
      </c>
      <c r="H114" s="115">
        <v>0</v>
      </c>
      <c r="I114" s="116">
        <f>IFERROR(H114/H148, "NA")</f>
        <v>0</v>
      </c>
      <c r="J114" s="115">
        <v>0</v>
      </c>
      <c r="K114" s="116">
        <f>IFERROR(J114/J148, "NA")</f>
        <v>0</v>
      </c>
      <c r="L114" s="115">
        <v>0</v>
      </c>
      <c r="M114" s="116">
        <f>IFERROR(L114/L148, "NA")</f>
        <v>0</v>
      </c>
      <c r="N114" s="115">
        <v>0</v>
      </c>
      <c r="O114" s="116">
        <f>IFERROR(N114/N148, "NA")</f>
        <v>0</v>
      </c>
      <c r="P114" s="115">
        <v>0</v>
      </c>
      <c r="Q114" s="116">
        <f>IFERROR(P114/P148, "NA")</f>
        <v>0</v>
      </c>
      <c r="R114" s="115">
        <v>0</v>
      </c>
      <c r="S114" s="116">
        <f>IFERROR(R114/R148, "NA")</f>
        <v>0</v>
      </c>
      <c r="T114" s="115">
        <v>0</v>
      </c>
      <c r="U114" s="116">
        <f>IFERROR(T114/T148, "NA")</f>
        <v>0</v>
      </c>
      <c r="V114" s="115">
        <v>0</v>
      </c>
      <c r="W114" s="116">
        <f>IFERROR(V114/V148, "NA")</f>
        <v>0</v>
      </c>
      <c r="X114" s="115">
        <v>0</v>
      </c>
      <c r="Y114" s="116">
        <f>IFERROR(X114/X148, "NA")</f>
        <v>0</v>
      </c>
      <c r="Z114" s="115">
        <v>0</v>
      </c>
      <c r="AA114" s="116">
        <f>IFERROR(Z114/Z148, "NA")</f>
        <v>0</v>
      </c>
      <c r="AB114" s="117">
        <f t="shared" si="42"/>
        <v>0</v>
      </c>
      <c r="AC114" s="116">
        <f>IFERROR(AB114/AB148, "NA")</f>
        <v>0</v>
      </c>
      <c r="AD114" s="118">
        <f t="shared" si="43"/>
        <v>0</v>
      </c>
      <c r="AE114" s="119">
        <f>IFERROR(AD114/AD148, "NA")</f>
        <v>0</v>
      </c>
      <c r="AF114" s="118" t="str">
        <f t="shared" si="44"/>
        <v>NA</v>
      </c>
      <c r="AG114" s="117">
        <f t="shared" si="45"/>
        <v>0</v>
      </c>
      <c r="AH114" s="116">
        <f>IFERROR(AG114/AG148, "NA")</f>
        <v>0</v>
      </c>
      <c r="AI114" s="118">
        <f t="shared" si="46"/>
        <v>0</v>
      </c>
      <c r="AJ114" s="119">
        <f>IFERROR(AI114/AI148, "NA")</f>
        <v>0</v>
      </c>
      <c r="AK114" s="118" t="str">
        <f t="shared" si="47"/>
        <v>NA</v>
      </c>
      <c r="AL114" s="119" t="str">
        <f>IFERROR(AK114/AK148, "NA")</f>
        <v>NA</v>
      </c>
    </row>
    <row r="115" spans="1:38" ht="16.5" hidden="1" customHeight="1" x14ac:dyDescent="0.25">
      <c r="A115" s="2" t="s">
        <v>111</v>
      </c>
      <c r="B115" s="115">
        <v>0</v>
      </c>
      <c r="C115" s="116">
        <f>IFERROR(B115/B148, "NA")</f>
        <v>0</v>
      </c>
      <c r="D115" s="115">
        <v>0</v>
      </c>
      <c r="E115" s="116">
        <f>IFERROR(D115/D148, "NA")</f>
        <v>0</v>
      </c>
      <c r="F115" s="115">
        <v>0</v>
      </c>
      <c r="G115" s="116">
        <f>IFERROR(F115/F148, "NA")</f>
        <v>0</v>
      </c>
      <c r="H115" s="115">
        <v>0</v>
      </c>
      <c r="I115" s="116">
        <f>IFERROR(H115/H148, "NA")</f>
        <v>0</v>
      </c>
      <c r="J115" s="115">
        <v>0</v>
      </c>
      <c r="K115" s="116">
        <f>IFERROR(J115/J148, "NA")</f>
        <v>0</v>
      </c>
      <c r="L115" s="115">
        <v>0</v>
      </c>
      <c r="M115" s="116">
        <f>IFERROR(L115/L148, "NA")</f>
        <v>0</v>
      </c>
      <c r="N115" s="115">
        <v>0</v>
      </c>
      <c r="O115" s="116">
        <f>IFERROR(N115/N148, "NA")</f>
        <v>0</v>
      </c>
      <c r="P115" s="115">
        <v>0</v>
      </c>
      <c r="Q115" s="116">
        <f>IFERROR(P115/P148, "NA")</f>
        <v>0</v>
      </c>
      <c r="R115" s="115">
        <v>0</v>
      </c>
      <c r="S115" s="116">
        <f>IFERROR(R115/R148, "NA")</f>
        <v>0</v>
      </c>
      <c r="T115" s="115">
        <v>0</v>
      </c>
      <c r="U115" s="116">
        <f>IFERROR(T115/T148, "NA")</f>
        <v>0</v>
      </c>
      <c r="V115" s="115">
        <v>0</v>
      </c>
      <c r="W115" s="116">
        <f>IFERROR(V115/V148, "NA")</f>
        <v>0</v>
      </c>
      <c r="X115" s="115">
        <v>0</v>
      </c>
      <c r="Y115" s="116">
        <f>IFERROR(X115/X148, "NA")</f>
        <v>0</v>
      </c>
      <c r="Z115" s="115">
        <v>0</v>
      </c>
      <c r="AA115" s="116">
        <f>IFERROR(Z115/Z148, "NA")</f>
        <v>0</v>
      </c>
      <c r="AB115" s="117">
        <f t="shared" si="42"/>
        <v>0</v>
      </c>
      <c r="AC115" s="116">
        <f>IFERROR(AB115/AB148, "NA")</f>
        <v>0</v>
      </c>
      <c r="AD115" s="118">
        <f t="shared" si="43"/>
        <v>0</v>
      </c>
      <c r="AE115" s="119">
        <f>IFERROR(AD115/AD148, "NA")</f>
        <v>0</v>
      </c>
      <c r="AF115" s="118" t="str">
        <f t="shared" si="44"/>
        <v>NA</v>
      </c>
      <c r="AG115" s="117">
        <f t="shared" si="45"/>
        <v>0</v>
      </c>
      <c r="AH115" s="116">
        <f>IFERROR(AG115/AG148, "NA")</f>
        <v>0</v>
      </c>
      <c r="AI115" s="118">
        <f t="shared" si="46"/>
        <v>0</v>
      </c>
      <c r="AJ115" s="119">
        <f>IFERROR(AI115/AI148, "NA")</f>
        <v>0</v>
      </c>
      <c r="AK115" s="118" t="str">
        <f t="shared" si="47"/>
        <v>NA</v>
      </c>
      <c r="AL115" s="119" t="str">
        <f>IFERROR(AK115/AK148, "NA")</f>
        <v>NA</v>
      </c>
    </row>
    <row r="116" spans="1:38" ht="16.5" hidden="1" customHeight="1" x14ac:dyDescent="0.25">
      <c r="A116" s="2" t="s">
        <v>112</v>
      </c>
      <c r="B116" s="115">
        <v>0</v>
      </c>
      <c r="C116" s="116">
        <f>IFERROR(B116/B148, "NA")</f>
        <v>0</v>
      </c>
      <c r="D116" s="115">
        <v>0</v>
      </c>
      <c r="E116" s="116">
        <f>IFERROR(D116/D148, "NA")</f>
        <v>0</v>
      </c>
      <c r="F116" s="115">
        <v>0</v>
      </c>
      <c r="G116" s="116">
        <f>IFERROR(F116/F148, "NA")</f>
        <v>0</v>
      </c>
      <c r="H116" s="115">
        <v>0</v>
      </c>
      <c r="I116" s="116">
        <f>IFERROR(H116/H148, "NA")</f>
        <v>0</v>
      </c>
      <c r="J116" s="115">
        <v>0</v>
      </c>
      <c r="K116" s="116">
        <f>IFERROR(J116/J148, "NA")</f>
        <v>0</v>
      </c>
      <c r="L116" s="115">
        <v>0</v>
      </c>
      <c r="M116" s="116">
        <f>IFERROR(L116/L148, "NA")</f>
        <v>0</v>
      </c>
      <c r="N116" s="115">
        <v>0</v>
      </c>
      <c r="O116" s="116">
        <f>IFERROR(N116/N148, "NA")</f>
        <v>0</v>
      </c>
      <c r="P116" s="115">
        <v>0</v>
      </c>
      <c r="Q116" s="116">
        <f>IFERROR(P116/P148, "NA")</f>
        <v>0</v>
      </c>
      <c r="R116" s="115">
        <v>0</v>
      </c>
      <c r="S116" s="116">
        <f>IFERROR(R116/R148, "NA")</f>
        <v>0</v>
      </c>
      <c r="T116" s="115">
        <v>0</v>
      </c>
      <c r="U116" s="116">
        <f>IFERROR(T116/T148, "NA")</f>
        <v>0</v>
      </c>
      <c r="V116" s="115">
        <v>0</v>
      </c>
      <c r="W116" s="116">
        <f>IFERROR(V116/V148, "NA")</f>
        <v>0</v>
      </c>
      <c r="X116" s="115">
        <v>0</v>
      </c>
      <c r="Y116" s="116">
        <f>IFERROR(X116/X148, "NA")</f>
        <v>0</v>
      </c>
      <c r="Z116" s="115">
        <v>0</v>
      </c>
      <c r="AA116" s="116">
        <f>IFERROR(Z116/Z148, "NA")</f>
        <v>0</v>
      </c>
      <c r="AB116" s="117">
        <f t="shared" si="42"/>
        <v>0</v>
      </c>
      <c r="AC116" s="116">
        <f>IFERROR(AB116/AB148, "NA")</f>
        <v>0</v>
      </c>
      <c r="AD116" s="118">
        <f t="shared" si="43"/>
        <v>0</v>
      </c>
      <c r="AE116" s="119">
        <f>IFERROR(AD116/AD148, "NA")</f>
        <v>0</v>
      </c>
      <c r="AF116" s="118" t="str">
        <f t="shared" si="44"/>
        <v>NA</v>
      </c>
      <c r="AG116" s="117">
        <f t="shared" si="45"/>
        <v>0</v>
      </c>
      <c r="AH116" s="116">
        <f>IFERROR(AG116/AG148, "NA")</f>
        <v>0</v>
      </c>
      <c r="AI116" s="118">
        <f t="shared" si="46"/>
        <v>0</v>
      </c>
      <c r="AJ116" s="119">
        <f>IFERROR(AI116/AI148, "NA")</f>
        <v>0</v>
      </c>
      <c r="AK116" s="118" t="str">
        <f t="shared" si="47"/>
        <v>NA</v>
      </c>
      <c r="AL116" s="119" t="str">
        <f>IFERROR(AK116/AK148, "NA")</f>
        <v>NA</v>
      </c>
    </row>
    <row r="117" spans="1:38" ht="16.5" hidden="1" customHeight="1" x14ac:dyDescent="0.25">
      <c r="A117" s="2" t="s">
        <v>113</v>
      </c>
      <c r="B117" s="115">
        <v>0</v>
      </c>
      <c r="C117" s="116">
        <f>IFERROR(B117/B148, "NA")</f>
        <v>0</v>
      </c>
      <c r="D117" s="115">
        <v>0</v>
      </c>
      <c r="E117" s="116">
        <f>IFERROR(D117/D148, "NA")</f>
        <v>0</v>
      </c>
      <c r="F117" s="115">
        <v>0</v>
      </c>
      <c r="G117" s="116">
        <f>IFERROR(F117/F148, "NA")</f>
        <v>0</v>
      </c>
      <c r="H117" s="115">
        <v>0</v>
      </c>
      <c r="I117" s="116">
        <f>IFERROR(H117/H148, "NA")</f>
        <v>0</v>
      </c>
      <c r="J117" s="115">
        <v>0</v>
      </c>
      <c r="K117" s="116">
        <f>IFERROR(J117/J148, "NA")</f>
        <v>0</v>
      </c>
      <c r="L117" s="115">
        <v>0</v>
      </c>
      <c r="M117" s="116">
        <f>IFERROR(L117/L148, "NA")</f>
        <v>0</v>
      </c>
      <c r="N117" s="115">
        <v>0</v>
      </c>
      <c r="O117" s="116">
        <f>IFERROR(N117/N148, "NA")</f>
        <v>0</v>
      </c>
      <c r="P117" s="115">
        <v>0</v>
      </c>
      <c r="Q117" s="116">
        <f>IFERROR(P117/P148, "NA")</f>
        <v>0</v>
      </c>
      <c r="R117" s="115">
        <v>0</v>
      </c>
      <c r="S117" s="116">
        <f>IFERROR(R117/R148, "NA")</f>
        <v>0</v>
      </c>
      <c r="T117" s="115">
        <v>0</v>
      </c>
      <c r="U117" s="116">
        <f>IFERROR(T117/T148, "NA")</f>
        <v>0</v>
      </c>
      <c r="V117" s="115">
        <v>0</v>
      </c>
      <c r="W117" s="116">
        <f>IFERROR(V117/V148, "NA")</f>
        <v>0</v>
      </c>
      <c r="X117" s="115">
        <v>0</v>
      </c>
      <c r="Y117" s="116">
        <f>IFERROR(X117/X148, "NA")</f>
        <v>0</v>
      </c>
      <c r="Z117" s="115">
        <v>0</v>
      </c>
      <c r="AA117" s="116">
        <f>IFERROR(Z117/Z148, "NA")</f>
        <v>0</v>
      </c>
      <c r="AB117" s="117">
        <f t="shared" si="42"/>
        <v>0</v>
      </c>
      <c r="AC117" s="116">
        <f>IFERROR(AB117/AB148, "NA")</f>
        <v>0</v>
      </c>
      <c r="AD117" s="118">
        <f t="shared" si="43"/>
        <v>0</v>
      </c>
      <c r="AE117" s="119">
        <f>IFERROR(AD117/AD148, "NA")</f>
        <v>0</v>
      </c>
      <c r="AF117" s="118" t="str">
        <f t="shared" si="44"/>
        <v>NA</v>
      </c>
      <c r="AG117" s="117">
        <f t="shared" si="45"/>
        <v>0</v>
      </c>
      <c r="AH117" s="116">
        <f>IFERROR(AG117/AG148, "NA")</f>
        <v>0</v>
      </c>
      <c r="AI117" s="118">
        <f t="shared" si="46"/>
        <v>0</v>
      </c>
      <c r="AJ117" s="119">
        <f>IFERROR(AI117/AI148, "NA")</f>
        <v>0</v>
      </c>
      <c r="AK117" s="118" t="str">
        <f t="shared" si="47"/>
        <v>NA</v>
      </c>
      <c r="AL117" s="119" t="str">
        <f>IFERROR(AK117/AK148, "NA")</f>
        <v>NA</v>
      </c>
    </row>
    <row r="118" spans="1:38" ht="16.5" hidden="1" customHeight="1" x14ac:dyDescent="0.25">
      <c r="A118" s="2" t="s">
        <v>114</v>
      </c>
      <c r="B118" s="115">
        <v>0</v>
      </c>
      <c r="C118" s="116">
        <f>IFERROR(B118/B148, "NA")</f>
        <v>0</v>
      </c>
      <c r="D118" s="115">
        <v>0</v>
      </c>
      <c r="E118" s="116">
        <f>IFERROR(D118/D148, "NA")</f>
        <v>0</v>
      </c>
      <c r="F118" s="115">
        <v>0</v>
      </c>
      <c r="G118" s="116">
        <f>IFERROR(F118/F148, "NA")</f>
        <v>0</v>
      </c>
      <c r="H118" s="115">
        <v>0</v>
      </c>
      <c r="I118" s="116">
        <f>IFERROR(H118/H148, "NA")</f>
        <v>0</v>
      </c>
      <c r="J118" s="115">
        <v>0</v>
      </c>
      <c r="K118" s="116">
        <f>IFERROR(J118/J148, "NA")</f>
        <v>0</v>
      </c>
      <c r="L118" s="115">
        <v>0</v>
      </c>
      <c r="M118" s="116">
        <f>IFERROR(L118/L148, "NA")</f>
        <v>0</v>
      </c>
      <c r="N118" s="115">
        <v>0</v>
      </c>
      <c r="O118" s="116">
        <f>IFERROR(N118/N148, "NA")</f>
        <v>0</v>
      </c>
      <c r="P118" s="115">
        <v>0</v>
      </c>
      <c r="Q118" s="116">
        <f>IFERROR(P118/P148, "NA")</f>
        <v>0</v>
      </c>
      <c r="R118" s="115">
        <v>0</v>
      </c>
      <c r="S118" s="116">
        <f>IFERROR(R118/R148, "NA")</f>
        <v>0</v>
      </c>
      <c r="T118" s="115">
        <v>0</v>
      </c>
      <c r="U118" s="116">
        <f>IFERROR(T118/T148, "NA")</f>
        <v>0</v>
      </c>
      <c r="V118" s="115">
        <v>0</v>
      </c>
      <c r="W118" s="116">
        <f>IFERROR(V118/V148, "NA")</f>
        <v>0</v>
      </c>
      <c r="X118" s="115">
        <v>0</v>
      </c>
      <c r="Y118" s="116">
        <f>IFERROR(X118/X148, "NA")</f>
        <v>0</v>
      </c>
      <c r="Z118" s="115">
        <v>0</v>
      </c>
      <c r="AA118" s="116">
        <f>IFERROR(Z118/Z148, "NA")</f>
        <v>0</v>
      </c>
      <c r="AB118" s="117">
        <f t="shared" si="42"/>
        <v>0</v>
      </c>
      <c r="AC118" s="116">
        <f>IFERROR(AB118/AB148, "NA")</f>
        <v>0</v>
      </c>
      <c r="AD118" s="118">
        <f t="shared" si="43"/>
        <v>0</v>
      </c>
      <c r="AE118" s="119">
        <f>IFERROR(AD118/AD148, "NA")</f>
        <v>0</v>
      </c>
      <c r="AF118" s="118" t="str">
        <f t="shared" si="44"/>
        <v>NA</v>
      </c>
      <c r="AG118" s="117">
        <f t="shared" si="45"/>
        <v>0</v>
      </c>
      <c r="AH118" s="116">
        <f>IFERROR(AG118/AG148, "NA")</f>
        <v>0</v>
      </c>
      <c r="AI118" s="118">
        <f t="shared" si="46"/>
        <v>0</v>
      </c>
      <c r="AJ118" s="119">
        <f>IFERROR(AI118/AI148, "NA")</f>
        <v>0</v>
      </c>
      <c r="AK118" s="118" t="str">
        <f t="shared" si="47"/>
        <v>NA</v>
      </c>
      <c r="AL118" s="119" t="str">
        <f>IFERROR(AK118/AK148, "NA")</f>
        <v>NA</v>
      </c>
    </row>
    <row r="119" spans="1:38" ht="16.5" hidden="1" customHeight="1" x14ac:dyDescent="0.25">
      <c r="A119" s="2" t="s">
        <v>115</v>
      </c>
      <c r="B119" s="115">
        <v>0</v>
      </c>
      <c r="C119" s="116">
        <f>IFERROR(B119/B148, "NA")</f>
        <v>0</v>
      </c>
      <c r="D119" s="115">
        <v>0</v>
      </c>
      <c r="E119" s="116">
        <f>IFERROR(D119/D148, "NA")</f>
        <v>0</v>
      </c>
      <c r="F119" s="115">
        <v>0</v>
      </c>
      <c r="G119" s="116">
        <f>IFERROR(F119/F148, "NA")</f>
        <v>0</v>
      </c>
      <c r="H119" s="115">
        <v>0</v>
      </c>
      <c r="I119" s="116">
        <f>IFERROR(H119/H148, "NA")</f>
        <v>0</v>
      </c>
      <c r="J119" s="115">
        <v>0</v>
      </c>
      <c r="K119" s="116">
        <f>IFERROR(J119/J148, "NA")</f>
        <v>0</v>
      </c>
      <c r="L119" s="115">
        <v>0</v>
      </c>
      <c r="M119" s="116">
        <f>IFERROR(L119/L148, "NA")</f>
        <v>0</v>
      </c>
      <c r="N119" s="115">
        <v>0</v>
      </c>
      <c r="O119" s="116">
        <f>IFERROR(N119/N148, "NA")</f>
        <v>0</v>
      </c>
      <c r="P119" s="115">
        <v>0</v>
      </c>
      <c r="Q119" s="116">
        <f>IFERROR(P119/P148, "NA")</f>
        <v>0</v>
      </c>
      <c r="R119" s="115">
        <v>0</v>
      </c>
      <c r="S119" s="116">
        <f>IFERROR(R119/R148, "NA")</f>
        <v>0</v>
      </c>
      <c r="T119" s="115">
        <v>0</v>
      </c>
      <c r="U119" s="116">
        <f>IFERROR(T119/T148, "NA")</f>
        <v>0</v>
      </c>
      <c r="V119" s="115">
        <v>0</v>
      </c>
      <c r="W119" s="116">
        <f>IFERROR(V119/V148, "NA")</f>
        <v>0</v>
      </c>
      <c r="X119" s="115">
        <v>0</v>
      </c>
      <c r="Y119" s="116">
        <f>IFERROR(X119/X148, "NA")</f>
        <v>0</v>
      </c>
      <c r="Z119" s="115">
        <v>0</v>
      </c>
      <c r="AA119" s="116">
        <f>IFERROR(Z119/Z148, "NA")</f>
        <v>0</v>
      </c>
      <c r="AB119" s="117">
        <f t="shared" si="42"/>
        <v>0</v>
      </c>
      <c r="AC119" s="116">
        <f>IFERROR(AB119/AB148, "NA")</f>
        <v>0</v>
      </c>
      <c r="AD119" s="118">
        <f t="shared" si="43"/>
        <v>0</v>
      </c>
      <c r="AE119" s="119">
        <f>IFERROR(AD119/AD148, "NA")</f>
        <v>0</v>
      </c>
      <c r="AF119" s="118" t="str">
        <f t="shared" si="44"/>
        <v>NA</v>
      </c>
      <c r="AG119" s="117">
        <f t="shared" si="45"/>
        <v>0</v>
      </c>
      <c r="AH119" s="116">
        <f>IFERROR(AG119/AG148, "NA")</f>
        <v>0</v>
      </c>
      <c r="AI119" s="118">
        <f t="shared" si="46"/>
        <v>0</v>
      </c>
      <c r="AJ119" s="119">
        <f>IFERROR(AI119/AI148, "NA")</f>
        <v>0</v>
      </c>
      <c r="AK119" s="118" t="str">
        <f t="shared" si="47"/>
        <v>NA</v>
      </c>
      <c r="AL119" s="119" t="str">
        <f>IFERROR(AK119/AK148, "NA")</f>
        <v>NA</v>
      </c>
    </row>
    <row r="120" spans="1:38" ht="16.5" hidden="1" customHeight="1" x14ac:dyDescent="0.25">
      <c r="A120" s="2" t="s">
        <v>116</v>
      </c>
      <c r="B120" s="115">
        <v>0</v>
      </c>
      <c r="C120" s="116">
        <f>IFERROR(B120/B148, "NA")</f>
        <v>0</v>
      </c>
      <c r="D120" s="115">
        <v>0</v>
      </c>
      <c r="E120" s="116">
        <f>IFERROR(D120/D148, "NA")</f>
        <v>0</v>
      </c>
      <c r="F120" s="115">
        <v>0</v>
      </c>
      <c r="G120" s="116">
        <f>IFERROR(F120/F148, "NA")</f>
        <v>0</v>
      </c>
      <c r="H120" s="115">
        <v>0</v>
      </c>
      <c r="I120" s="116">
        <f>IFERROR(H120/H148, "NA")</f>
        <v>0</v>
      </c>
      <c r="J120" s="115">
        <v>0</v>
      </c>
      <c r="K120" s="116">
        <f>IFERROR(J120/J148, "NA")</f>
        <v>0</v>
      </c>
      <c r="L120" s="115">
        <v>0</v>
      </c>
      <c r="M120" s="116">
        <f>IFERROR(L120/L148, "NA")</f>
        <v>0</v>
      </c>
      <c r="N120" s="115">
        <v>0</v>
      </c>
      <c r="O120" s="116">
        <f>IFERROR(N120/N148, "NA")</f>
        <v>0</v>
      </c>
      <c r="P120" s="115">
        <v>0</v>
      </c>
      <c r="Q120" s="116">
        <f>IFERROR(P120/P148, "NA")</f>
        <v>0</v>
      </c>
      <c r="R120" s="115">
        <v>0</v>
      </c>
      <c r="S120" s="116">
        <f>IFERROR(R120/R148, "NA")</f>
        <v>0</v>
      </c>
      <c r="T120" s="115">
        <v>0</v>
      </c>
      <c r="U120" s="116">
        <f>IFERROR(T120/T148, "NA")</f>
        <v>0</v>
      </c>
      <c r="V120" s="115">
        <v>0</v>
      </c>
      <c r="W120" s="116">
        <f>IFERROR(V120/V148, "NA")</f>
        <v>0</v>
      </c>
      <c r="X120" s="115">
        <v>0</v>
      </c>
      <c r="Y120" s="116">
        <f>IFERROR(X120/X148, "NA")</f>
        <v>0</v>
      </c>
      <c r="Z120" s="115">
        <v>0</v>
      </c>
      <c r="AA120" s="116">
        <f>IFERROR(Z120/Z148, "NA")</f>
        <v>0</v>
      </c>
      <c r="AB120" s="117">
        <f t="shared" si="42"/>
        <v>0</v>
      </c>
      <c r="AC120" s="116">
        <f>IFERROR(AB120/AB148, "NA")</f>
        <v>0</v>
      </c>
      <c r="AD120" s="118">
        <f t="shared" si="43"/>
        <v>0</v>
      </c>
      <c r="AE120" s="119">
        <f>IFERROR(AD120/AD148, "NA")</f>
        <v>0</v>
      </c>
      <c r="AF120" s="118" t="str">
        <f t="shared" si="44"/>
        <v>NA</v>
      </c>
      <c r="AG120" s="117">
        <f t="shared" si="45"/>
        <v>0</v>
      </c>
      <c r="AH120" s="116">
        <f>IFERROR(AG120/AG148, "NA")</f>
        <v>0</v>
      </c>
      <c r="AI120" s="118">
        <f t="shared" si="46"/>
        <v>0</v>
      </c>
      <c r="AJ120" s="119">
        <f>IFERROR(AI120/AI148, "NA")</f>
        <v>0</v>
      </c>
      <c r="AK120" s="118" t="str">
        <f t="shared" si="47"/>
        <v>NA</v>
      </c>
      <c r="AL120" s="119" t="str">
        <f>IFERROR(AK120/AK148, "NA")</f>
        <v>NA</v>
      </c>
    </row>
    <row r="121" spans="1:38" ht="16.5" hidden="1" customHeight="1" x14ac:dyDescent="0.25">
      <c r="A121" s="2" t="s">
        <v>117</v>
      </c>
      <c r="B121" s="115">
        <v>0</v>
      </c>
      <c r="C121" s="116">
        <f>IFERROR(B121/B148, "NA")</f>
        <v>0</v>
      </c>
      <c r="D121" s="115">
        <v>0</v>
      </c>
      <c r="E121" s="116">
        <f>IFERROR(D121/D148, "NA")</f>
        <v>0</v>
      </c>
      <c r="F121" s="115">
        <v>0</v>
      </c>
      <c r="G121" s="116">
        <f>IFERROR(F121/F148, "NA")</f>
        <v>0</v>
      </c>
      <c r="H121" s="115">
        <v>0</v>
      </c>
      <c r="I121" s="116">
        <f>IFERROR(H121/H148, "NA")</f>
        <v>0</v>
      </c>
      <c r="J121" s="115">
        <v>0</v>
      </c>
      <c r="K121" s="116">
        <f>IFERROR(J121/J148, "NA")</f>
        <v>0</v>
      </c>
      <c r="L121" s="115">
        <v>0</v>
      </c>
      <c r="M121" s="116">
        <f>IFERROR(L121/L148, "NA")</f>
        <v>0</v>
      </c>
      <c r="N121" s="115">
        <v>0</v>
      </c>
      <c r="O121" s="116">
        <f>IFERROR(N121/N148, "NA")</f>
        <v>0</v>
      </c>
      <c r="P121" s="115">
        <v>0</v>
      </c>
      <c r="Q121" s="116">
        <f>IFERROR(P121/P148, "NA")</f>
        <v>0</v>
      </c>
      <c r="R121" s="115">
        <v>0</v>
      </c>
      <c r="S121" s="116">
        <f>IFERROR(R121/R148, "NA")</f>
        <v>0</v>
      </c>
      <c r="T121" s="115">
        <v>0</v>
      </c>
      <c r="U121" s="116">
        <f>IFERROR(T121/T148, "NA")</f>
        <v>0</v>
      </c>
      <c r="V121" s="115">
        <v>0</v>
      </c>
      <c r="W121" s="116">
        <f>IFERROR(V121/V148, "NA")</f>
        <v>0</v>
      </c>
      <c r="X121" s="115">
        <v>0</v>
      </c>
      <c r="Y121" s="116">
        <f>IFERROR(X121/X148, "NA")</f>
        <v>0</v>
      </c>
      <c r="Z121" s="115">
        <v>0</v>
      </c>
      <c r="AA121" s="116">
        <f>IFERROR(Z121/Z148, "NA")</f>
        <v>0</v>
      </c>
      <c r="AB121" s="117">
        <f t="shared" si="42"/>
        <v>0</v>
      </c>
      <c r="AC121" s="116">
        <f>IFERROR(AB121/AB148, "NA")</f>
        <v>0</v>
      </c>
      <c r="AD121" s="118">
        <f t="shared" si="43"/>
        <v>0</v>
      </c>
      <c r="AE121" s="119">
        <f>IFERROR(AD121/AD148, "NA")</f>
        <v>0</v>
      </c>
      <c r="AF121" s="118" t="str">
        <f t="shared" si="44"/>
        <v>NA</v>
      </c>
      <c r="AG121" s="117">
        <f t="shared" si="45"/>
        <v>0</v>
      </c>
      <c r="AH121" s="116">
        <f>IFERROR(AG121/AG148, "NA")</f>
        <v>0</v>
      </c>
      <c r="AI121" s="118">
        <f t="shared" si="46"/>
        <v>0</v>
      </c>
      <c r="AJ121" s="119">
        <f>IFERROR(AI121/AI148, "NA")</f>
        <v>0</v>
      </c>
      <c r="AK121" s="118" t="str">
        <f t="shared" si="47"/>
        <v>NA</v>
      </c>
      <c r="AL121" s="119" t="str">
        <f>IFERROR(AK121/AK148, "NA")</f>
        <v>NA</v>
      </c>
    </row>
    <row r="122" spans="1:38" ht="16.5" hidden="1" customHeight="1" x14ac:dyDescent="0.25">
      <c r="A122" s="2" t="s">
        <v>118</v>
      </c>
      <c r="B122" s="115">
        <v>0</v>
      </c>
      <c r="C122" s="116">
        <f>IFERROR(B122/B148, "NA")</f>
        <v>0</v>
      </c>
      <c r="D122" s="115">
        <v>0</v>
      </c>
      <c r="E122" s="116">
        <f>IFERROR(D122/D148, "NA")</f>
        <v>0</v>
      </c>
      <c r="F122" s="115">
        <v>0</v>
      </c>
      <c r="G122" s="116">
        <f>IFERROR(F122/F148, "NA")</f>
        <v>0</v>
      </c>
      <c r="H122" s="115">
        <v>0</v>
      </c>
      <c r="I122" s="116">
        <f>IFERROR(H122/H148, "NA")</f>
        <v>0</v>
      </c>
      <c r="J122" s="115">
        <v>0</v>
      </c>
      <c r="K122" s="116">
        <f>IFERROR(J122/J148, "NA")</f>
        <v>0</v>
      </c>
      <c r="L122" s="115">
        <v>0</v>
      </c>
      <c r="M122" s="116">
        <f>IFERROR(L122/L148, "NA")</f>
        <v>0</v>
      </c>
      <c r="N122" s="115">
        <v>0</v>
      </c>
      <c r="O122" s="116">
        <f>IFERROR(N122/N148, "NA")</f>
        <v>0</v>
      </c>
      <c r="P122" s="115">
        <v>0</v>
      </c>
      <c r="Q122" s="116">
        <f>IFERROR(P122/P148, "NA")</f>
        <v>0</v>
      </c>
      <c r="R122" s="115">
        <v>0</v>
      </c>
      <c r="S122" s="116">
        <f>IFERROR(R122/R148, "NA")</f>
        <v>0</v>
      </c>
      <c r="T122" s="115">
        <v>0</v>
      </c>
      <c r="U122" s="116">
        <f>IFERROR(T122/T148, "NA")</f>
        <v>0</v>
      </c>
      <c r="V122" s="115">
        <v>0</v>
      </c>
      <c r="W122" s="116">
        <f>IFERROR(V122/V148, "NA")</f>
        <v>0</v>
      </c>
      <c r="X122" s="115">
        <v>0</v>
      </c>
      <c r="Y122" s="116">
        <f>IFERROR(X122/X148, "NA")</f>
        <v>0</v>
      </c>
      <c r="Z122" s="115">
        <v>0</v>
      </c>
      <c r="AA122" s="116">
        <f>IFERROR(Z122/Z148, "NA")</f>
        <v>0</v>
      </c>
      <c r="AB122" s="117">
        <f t="shared" si="42"/>
        <v>0</v>
      </c>
      <c r="AC122" s="116">
        <f>IFERROR(AB122/AB148, "NA")</f>
        <v>0</v>
      </c>
      <c r="AD122" s="118">
        <f t="shared" si="43"/>
        <v>0</v>
      </c>
      <c r="AE122" s="119">
        <f>IFERROR(AD122/AD148, "NA")</f>
        <v>0</v>
      </c>
      <c r="AF122" s="118" t="str">
        <f t="shared" si="44"/>
        <v>NA</v>
      </c>
      <c r="AG122" s="117">
        <f t="shared" si="45"/>
        <v>0</v>
      </c>
      <c r="AH122" s="116">
        <f>IFERROR(AG122/AG148, "NA")</f>
        <v>0</v>
      </c>
      <c r="AI122" s="118">
        <f t="shared" si="46"/>
        <v>0</v>
      </c>
      <c r="AJ122" s="119">
        <f>IFERROR(AI122/AI148, "NA")</f>
        <v>0</v>
      </c>
      <c r="AK122" s="118" t="str">
        <f t="shared" si="47"/>
        <v>NA</v>
      </c>
      <c r="AL122" s="119" t="str">
        <f>IFERROR(AK122/AK148, "NA")</f>
        <v>NA</v>
      </c>
    </row>
    <row r="123" spans="1:38" ht="16.5" hidden="1" customHeight="1" x14ac:dyDescent="0.25">
      <c r="A123" s="2" t="s">
        <v>119</v>
      </c>
      <c r="B123" s="115">
        <v>0</v>
      </c>
      <c r="C123" s="116">
        <f>IFERROR(B123/B148, "NA")</f>
        <v>0</v>
      </c>
      <c r="D123" s="115">
        <v>0</v>
      </c>
      <c r="E123" s="116">
        <f>IFERROR(D123/D148, "NA")</f>
        <v>0</v>
      </c>
      <c r="F123" s="115">
        <v>0</v>
      </c>
      <c r="G123" s="116">
        <f>IFERROR(F123/F148, "NA")</f>
        <v>0</v>
      </c>
      <c r="H123" s="115">
        <v>0</v>
      </c>
      <c r="I123" s="116">
        <f>IFERROR(H123/H148, "NA")</f>
        <v>0</v>
      </c>
      <c r="J123" s="115">
        <v>0</v>
      </c>
      <c r="K123" s="116">
        <f>IFERROR(J123/J148, "NA")</f>
        <v>0</v>
      </c>
      <c r="L123" s="115">
        <v>0</v>
      </c>
      <c r="M123" s="116">
        <f>IFERROR(L123/L148, "NA")</f>
        <v>0</v>
      </c>
      <c r="N123" s="115">
        <v>0</v>
      </c>
      <c r="O123" s="116">
        <f>IFERROR(N123/N148, "NA")</f>
        <v>0</v>
      </c>
      <c r="P123" s="115">
        <v>0</v>
      </c>
      <c r="Q123" s="116">
        <f>IFERROR(P123/P148, "NA")</f>
        <v>0</v>
      </c>
      <c r="R123" s="115">
        <v>0</v>
      </c>
      <c r="S123" s="116">
        <f>IFERROR(R123/R148, "NA")</f>
        <v>0</v>
      </c>
      <c r="T123" s="115">
        <v>0</v>
      </c>
      <c r="U123" s="116">
        <f>IFERROR(T123/T148, "NA")</f>
        <v>0</v>
      </c>
      <c r="V123" s="115">
        <v>0</v>
      </c>
      <c r="W123" s="116">
        <f>IFERROR(V123/V148, "NA")</f>
        <v>0</v>
      </c>
      <c r="X123" s="115">
        <v>0</v>
      </c>
      <c r="Y123" s="116">
        <f>IFERROR(X123/X148, "NA")</f>
        <v>0</v>
      </c>
      <c r="Z123" s="115">
        <v>0</v>
      </c>
      <c r="AA123" s="116">
        <f>IFERROR(Z123/Z148, "NA")</f>
        <v>0</v>
      </c>
      <c r="AB123" s="117">
        <f t="shared" si="42"/>
        <v>0</v>
      </c>
      <c r="AC123" s="116">
        <f>IFERROR(AB123/AB148, "NA")</f>
        <v>0</v>
      </c>
      <c r="AD123" s="118">
        <f t="shared" si="43"/>
        <v>0</v>
      </c>
      <c r="AE123" s="119">
        <f>IFERROR(AD123/AD148, "NA")</f>
        <v>0</v>
      </c>
      <c r="AF123" s="118" t="str">
        <f t="shared" si="44"/>
        <v>NA</v>
      </c>
      <c r="AG123" s="117">
        <f t="shared" si="45"/>
        <v>0</v>
      </c>
      <c r="AH123" s="116">
        <f>IFERROR(AG123/AG148, "NA")</f>
        <v>0</v>
      </c>
      <c r="AI123" s="118">
        <f t="shared" si="46"/>
        <v>0</v>
      </c>
      <c r="AJ123" s="119">
        <f>IFERROR(AI123/AI148, "NA")</f>
        <v>0</v>
      </c>
      <c r="AK123" s="118" t="str">
        <f t="shared" si="47"/>
        <v>NA</v>
      </c>
      <c r="AL123" s="119" t="str">
        <f>IFERROR(AK123/AK148, "NA")</f>
        <v>NA</v>
      </c>
    </row>
    <row r="124" spans="1:38" ht="16.5" hidden="1" customHeight="1" x14ac:dyDescent="0.25">
      <c r="A124" s="2" t="s">
        <v>120</v>
      </c>
      <c r="B124" s="115">
        <v>0</v>
      </c>
      <c r="C124" s="116">
        <f>IFERROR(B124/B148, "NA")</f>
        <v>0</v>
      </c>
      <c r="D124" s="115">
        <v>0</v>
      </c>
      <c r="E124" s="116">
        <f>IFERROR(D124/D148, "NA")</f>
        <v>0</v>
      </c>
      <c r="F124" s="115">
        <v>0</v>
      </c>
      <c r="G124" s="116">
        <f>IFERROR(F124/F148, "NA")</f>
        <v>0</v>
      </c>
      <c r="H124" s="115">
        <v>0</v>
      </c>
      <c r="I124" s="116">
        <f>IFERROR(H124/H148, "NA")</f>
        <v>0</v>
      </c>
      <c r="J124" s="115">
        <v>0</v>
      </c>
      <c r="K124" s="116">
        <f>IFERROR(J124/J148, "NA")</f>
        <v>0</v>
      </c>
      <c r="L124" s="115">
        <v>0</v>
      </c>
      <c r="M124" s="116">
        <f>IFERROR(L124/L148, "NA")</f>
        <v>0</v>
      </c>
      <c r="N124" s="115">
        <v>0</v>
      </c>
      <c r="O124" s="116">
        <f>IFERROR(N124/N148, "NA")</f>
        <v>0</v>
      </c>
      <c r="P124" s="115">
        <v>0</v>
      </c>
      <c r="Q124" s="116">
        <f>IFERROR(P124/P148, "NA")</f>
        <v>0</v>
      </c>
      <c r="R124" s="115">
        <v>0</v>
      </c>
      <c r="S124" s="116">
        <f>IFERROR(R124/R148, "NA")</f>
        <v>0</v>
      </c>
      <c r="T124" s="115">
        <v>0</v>
      </c>
      <c r="U124" s="116">
        <f>IFERROR(T124/T148, "NA")</f>
        <v>0</v>
      </c>
      <c r="V124" s="115">
        <v>0</v>
      </c>
      <c r="W124" s="116">
        <f>IFERROR(V124/V148, "NA")</f>
        <v>0</v>
      </c>
      <c r="X124" s="115">
        <v>0</v>
      </c>
      <c r="Y124" s="116">
        <f>IFERROR(X124/X148, "NA")</f>
        <v>0</v>
      </c>
      <c r="Z124" s="115">
        <v>0</v>
      </c>
      <c r="AA124" s="116">
        <f>IFERROR(Z124/Z148, "NA")</f>
        <v>0</v>
      </c>
      <c r="AB124" s="117">
        <f t="shared" si="42"/>
        <v>0</v>
      </c>
      <c r="AC124" s="116">
        <f>IFERROR(AB124/AB148, "NA")</f>
        <v>0</v>
      </c>
      <c r="AD124" s="118">
        <f t="shared" si="43"/>
        <v>0</v>
      </c>
      <c r="AE124" s="119">
        <f>IFERROR(AD124/AD148, "NA")</f>
        <v>0</v>
      </c>
      <c r="AF124" s="118" t="str">
        <f t="shared" si="44"/>
        <v>NA</v>
      </c>
      <c r="AG124" s="117">
        <f t="shared" si="45"/>
        <v>0</v>
      </c>
      <c r="AH124" s="116">
        <f>IFERROR(AG124/AG148, "NA")</f>
        <v>0</v>
      </c>
      <c r="AI124" s="118">
        <f t="shared" si="46"/>
        <v>0</v>
      </c>
      <c r="AJ124" s="119">
        <f>IFERROR(AI124/AI148, "NA")</f>
        <v>0</v>
      </c>
      <c r="AK124" s="118" t="str">
        <f t="shared" si="47"/>
        <v>NA</v>
      </c>
      <c r="AL124" s="119" t="str">
        <f>IFERROR(AK124/AK148, "NA")</f>
        <v>NA</v>
      </c>
    </row>
    <row r="125" spans="1:38" ht="16.5" hidden="1" customHeight="1" x14ac:dyDescent="0.25">
      <c r="A125" s="2" t="s">
        <v>121</v>
      </c>
      <c r="B125" s="115">
        <v>0</v>
      </c>
      <c r="C125" s="116">
        <f>IFERROR(B125/B148, "NA")</f>
        <v>0</v>
      </c>
      <c r="D125" s="115">
        <v>0</v>
      </c>
      <c r="E125" s="116">
        <f>IFERROR(D125/D148, "NA")</f>
        <v>0</v>
      </c>
      <c r="F125" s="115">
        <v>0</v>
      </c>
      <c r="G125" s="116">
        <f>IFERROR(F125/F148, "NA")</f>
        <v>0</v>
      </c>
      <c r="H125" s="115">
        <v>0</v>
      </c>
      <c r="I125" s="116">
        <f>IFERROR(H125/H148, "NA")</f>
        <v>0</v>
      </c>
      <c r="J125" s="115">
        <v>0</v>
      </c>
      <c r="K125" s="116">
        <f>IFERROR(J125/J148, "NA")</f>
        <v>0</v>
      </c>
      <c r="L125" s="115">
        <v>0</v>
      </c>
      <c r="M125" s="116">
        <f>IFERROR(L125/L148, "NA")</f>
        <v>0</v>
      </c>
      <c r="N125" s="115">
        <v>0</v>
      </c>
      <c r="O125" s="116">
        <f>IFERROR(N125/N148, "NA")</f>
        <v>0</v>
      </c>
      <c r="P125" s="115">
        <v>0</v>
      </c>
      <c r="Q125" s="116">
        <f>IFERROR(P125/P148, "NA")</f>
        <v>0</v>
      </c>
      <c r="R125" s="115">
        <v>0</v>
      </c>
      <c r="S125" s="116">
        <f>IFERROR(R125/R148, "NA")</f>
        <v>0</v>
      </c>
      <c r="T125" s="115">
        <v>0</v>
      </c>
      <c r="U125" s="116">
        <f>IFERROR(T125/T148, "NA")</f>
        <v>0</v>
      </c>
      <c r="V125" s="115">
        <v>0</v>
      </c>
      <c r="W125" s="116">
        <f>IFERROR(V125/V148, "NA")</f>
        <v>0</v>
      </c>
      <c r="X125" s="115">
        <v>0</v>
      </c>
      <c r="Y125" s="116">
        <f>IFERROR(X125/X148, "NA")</f>
        <v>0</v>
      </c>
      <c r="Z125" s="115">
        <v>0</v>
      </c>
      <c r="AA125" s="116">
        <f>IFERROR(Z125/Z148, "NA")</f>
        <v>0</v>
      </c>
      <c r="AB125" s="117">
        <f t="shared" si="42"/>
        <v>0</v>
      </c>
      <c r="AC125" s="116">
        <f>IFERROR(AB125/AB148, "NA")</f>
        <v>0</v>
      </c>
      <c r="AD125" s="118">
        <f t="shared" si="43"/>
        <v>0</v>
      </c>
      <c r="AE125" s="119">
        <f>IFERROR(AD125/AD148, "NA")</f>
        <v>0</v>
      </c>
      <c r="AF125" s="118" t="str">
        <f t="shared" si="44"/>
        <v>NA</v>
      </c>
      <c r="AG125" s="117">
        <f t="shared" si="45"/>
        <v>0</v>
      </c>
      <c r="AH125" s="116">
        <f>IFERROR(AG125/AG148, "NA")</f>
        <v>0</v>
      </c>
      <c r="AI125" s="118">
        <f t="shared" si="46"/>
        <v>0</v>
      </c>
      <c r="AJ125" s="119">
        <f>IFERROR(AI125/AI148, "NA")</f>
        <v>0</v>
      </c>
      <c r="AK125" s="118" t="str">
        <f t="shared" si="47"/>
        <v>NA</v>
      </c>
      <c r="AL125" s="119" t="str">
        <f>IFERROR(AK125/AK148, "NA")</f>
        <v>NA</v>
      </c>
    </row>
    <row r="126" spans="1:38" ht="16.5" hidden="1" customHeight="1" x14ac:dyDescent="0.25">
      <c r="A126" s="2" t="s">
        <v>122</v>
      </c>
      <c r="B126" s="115">
        <v>0</v>
      </c>
      <c r="C126" s="116">
        <f>IFERROR(B126/B148, "NA")</f>
        <v>0</v>
      </c>
      <c r="D126" s="115">
        <v>0</v>
      </c>
      <c r="E126" s="116">
        <f>IFERROR(D126/D148, "NA")</f>
        <v>0</v>
      </c>
      <c r="F126" s="115">
        <v>0</v>
      </c>
      <c r="G126" s="116">
        <f>IFERROR(F126/F148, "NA")</f>
        <v>0</v>
      </c>
      <c r="H126" s="115">
        <v>0</v>
      </c>
      <c r="I126" s="116">
        <f>IFERROR(H126/H148, "NA")</f>
        <v>0</v>
      </c>
      <c r="J126" s="115">
        <v>0</v>
      </c>
      <c r="K126" s="116">
        <f>IFERROR(J126/J148, "NA")</f>
        <v>0</v>
      </c>
      <c r="L126" s="115">
        <v>0</v>
      </c>
      <c r="M126" s="116">
        <f>IFERROR(L126/L148, "NA")</f>
        <v>0</v>
      </c>
      <c r="N126" s="115">
        <v>0</v>
      </c>
      <c r="O126" s="116">
        <f>IFERROR(N126/N148, "NA")</f>
        <v>0</v>
      </c>
      <c r="P126" s="115">
        <v>0</v>
      </c>
      <c r="Q126" s="116">
        <f>IFERROR(P126/P148, "NA")</f>
        <v>0</v>
      </c>
      <c r="R126" s="115">
        <v>0</v>
      </c>
      <c r="S126" s="116">
        <f>IFERROR(R126/R148, "NA")</f>
        <v>0</v>
      </c>
      <c r="T126" s="115">
        <v>0</v>
      </c>
      <c r="U126" s="116">
        <f>IFERROR(T126/T148, "NA")</f>
        <v>0</v>
      </c>
      <c r="V126" s="115">
        <v>0</v>
      </c>
      <c r="W126" s="116">
        <f>IFERROR(V126/V148, "NA")</f>
        <v>0</v>
      </c>
      <c r="X126" s="115">
        <v>0</v>
      </c>
      <c r="Y126" s="116">
        <f>IFERROR(X126/X148, "NA")</f>
        <v>0</v>
      </c>
      <c r="Z126" s="115">
        <v>0</v>
      </c>
      <c r="AA126" s="116">
        <f>IFERROR(Z126/Z148, "NA")</f>
        <v>0</v>
      </c>
      <c r="AB126" s="117">
        <f t="shared" si="42"/>
        <v>0</v>
      </c>
      <c r="AC126" s="116">
        <f>IFERROR(AB126/AB148, "NA")</f>
        <v>0</v>
      </c>
      <c r="AD126" s="118">
        <f t="shared" si="43"/>
        <v>0</v>
      </c>
      <c r="AE126" s="119">
        <f>IFERROR(AD126/AD148, "NA")</f>
        <v>0</v>
      </c>
      <c r="AF126" s="118" t="str">
        <f t="shared" si="44"/>
        <v>NA</v>
      </c>
      <c r="AG126" s="117">
        <f t="shared" si="45"/>
        <v>0</v>
      </c>
      <c r="AH126" s="116">
        <f>IFERROR(AG126/AG148, "NA")</f>
        <v>0</v>
      </c>
      <c r="AI126" s="118">
        <f t="shared" si="46"/>
        <v>0</v>
      </c>
      <c r="AJ126" s="119">
        <f>IFERROR(AI126/AI148, "NA")</f>
        <v>0</v>
      </c>
      <c r="AK126" s="118" t="str">
        <f t="shared" si="47"/>
        <v>NA</v>
      </c>
      <c r="AL126" s="119" t="str">
        <f>IFERROR(AK126/AK148, "NA")</f>
        <v>NA</v>
      </c>
    </row>
    <row r="127" spans="1:38" ht="16.5" hidden="1" customHeight="1" x14ac:dyDescent="0.25">
      <c r="A127" s="2" t="s">
        <v>123</v>
      </c>
      <c r="B127" s="115">
        <v>0</v>
      </c>
      <c r="C127" s="116">
        <f>IFERROR(B127/B148, "NA")</f>
        <v>0</v>
      </c>
      <c r="D127" s="115">
        <v>0</v>
      </c>
      <c r="E127" s="116">
        <f>IFERROR(D127/D148, "NA")</f>
        <v>0</v>
      </c>
      <c r="F127" s="115">
        <v>0</v>
      </c>
      <c r="G127" s="116">
        <f>IFERROR(F127/F148, "NA")</f>
        <v>0</v>
      </c>
      <c r="H127" s="115">
        <v>0</v>
      </c>
      <c r="I127" s="116">
        <f>IFERROR(H127/H148, "NA")</f>
        <v>0</v>
      </c>
      <c r="J127" s="115">
        <v>0</v>
      </c>
      <c r="K127" s="116">
        <f>IFERROR(J127/J148, "NA")</f>
        <v>0</v>
      </c>
      <c r="L127" s="115">
        <v>0</v>
      </c>
      <c r="M127" s="116">
        <f>IFERROR(L127/L148, "NA")</f>
        <v>0</v>
      </c>
      <c r="N127" s="115">
        <v>0</v>
      </c>
      <c r="O127" s="116">
        <f>IFERROR(N127/N148, "NA")</f>
        <v>0</v>
      </c>
      <c r="P127" s="115">
        <v>0</v>
      </c>
      <c r="Q127" s="116">
        <f>IFERROR(P127/P148, "NA")</f>
        <v>0</v>
      </c>
      <c r="R127" s="115">
        <v>0</v>
      </c>
      <c r="S127" s="116">
        <f>IFERROR(R127/R148, "NA")</f>
        <v>0</v>
      </c>
      <c r="T127" s="115">
        <v>0</v>
      </c>
      <c r="U127" s="116">
        <f>IFERROR(T127/T148, "NA")</f>
        <v>0</v>
      </c>
      <c r="V127" s="115">
        <v>0</v>
      </c>
      <c r="W127" s="116">
        <f>IFERROR(V127/V148, "NA")</f>
        <v>0</v>
      </c>
      <c r="X127" s="115">
        <v>0</v>
      </c>
      <c r="Y127" s="116">
        <f>IFERROR(X127/X148, "NA")</f>
        <v>0</v>
      </c>
      <c r="Z127" s="115">
        <v>0</v>
      </c>
      <c r="AA127" s="116">
        <f>IFERROR(Z127/Z148, "NA")</f>
        <v>0</v>
      </c>
      <c r="AB127" s="117">
        <f t="shared" si="42"/>
        <v>0</v>
      </c>
      <c r="AC127" s="116">
        <f>IFERROR(AB127/AB148, "NA")</f>
        <v>0</v>
      </c>
      <c r="AD127" s="118">
        <f t="shared" si="43"/>
        <v>0</v>
      </c>
      <c r="AE127" s="119">
        <f>IFERROR(AD127/AD148, "NA")</f>
        <v>0</v>
      </c>
      <c r="AF127" s="118" t="str">
        <f t="shared" si="44"/>
        <v>NA</v>
      </c>
      <c r="AG127" s="117">
        <f t="shared" si="45"/>
        <v>0</v>
      </c>
      <c r="AH127" s="116">
        <f>IFERROR(AG127/AG148, "NA")</f>
        <v>0</v>
      </c>
      <c r="AI127" s="118">
        <f t="shared" si="46"/>
        <v>0</v>
      </c>
      <c r="AJ127" s="119">
        <f>IFERROR(AI127/AI148, "NA")</f>
        <v>0</v>
      </c>
      <c r="AK127" s="118" t="str">
        <f t="shared" si="47"/>
        <v>NA</v>
      </c>
      <c r="AL127" s="119" t="str">
        <f>IFERROR(AK127/AK148, "NA")</f>
        <v>NA</v>
      </c>
    </row>
    <row r="128" spans="1:38" ht="16.5" hidden="1" customHeight="1" x14ac:dyDescent="0.25">
      <c r="A128" s="2" t="s">
        <v>124</v>
      </c>
      <c r="B128" s="115">
        <v>-859.33</v>
      </c>
      <c r="C128" s="116">
        <f>IFERROR(B128/B148, "NA")</f>
        <v>-3.2188272910167029E-2</v>
      </c>
      <c r="D128" s="115">
        <v>320.02000000000004</v>
      </c>
      <c r="E128" s="116">
        <f>IFERROR(D128/D148, "NA")</f>
        <v>1.4003983008979056E-2</v>
      </c>
      <c r="F128" s="115">
        <v>322.18</v>
      </c>
      <c r="G128" s="116">
        <f>IFERROR(F128/F148, "NA")</f>
        <v>1.1950106137031197E-2</v>
      </c>
      <c r="H128" s="115">
        <v>321.89</v>
      </c>
      <c r="I128" s="116">
        <f>IFERROR(H128/H148, "NA")</f>
        <v>1.3383370427362295E-2</v>
      </c>
      <c r="J128" s="115">
        <v>-964.09</v>
      </c>
      <c r="K128" s="116">
        <f>IFERROR(J128/J148, "NA")</f>
        <v>-3.8408827787547298E-2</v>
      </c>
      <c r="L128" s="115">
        <v>406.12</v>
      </c>
      <c r="M128" s="116">
        <f>IFERROR(L128/L148, "NA")</f>
        <v>1.796836908690139E-2</v>
      </c>
      <c r="N128" s="115">
        <v>442.16999999999996</v>
      </c>
      <c r="O128" s="116">
        <f>IFERROR(N128/N148, "NA")</f>
        <v>1.5833977609623354E-2</v>
      </c>
      <c r="P128" s="115">
        <v>436.88</v>
      </c>
      <c r="Q128" s="116">
        <f>IFERROR(P128/P148, "NA")</f>
        <v>1.579893318868095E-2</v>
      </c>
      <c r="R128" s="115">
        <v>403.1</v>
      </c>
      <c r="S128" s="116">
        <f>IFERROR(R128/R148, "NA")</f>
        <v>1.7202331596599139E-2</v>
      </c>
      <c r="T128" s="115">
        <v>-1688.27</v>
      </c>
      <c r="U128" s="116">
        <f>IFERROR(T128/T148, "NA")</f>
        <v>-5.3629054929542119E-2</v>
      </c>
      <c r="V128" s="115">
        <v>349.03999999999996</v>
      </c>
      <c r="W128" s="116">
        <f>IFERROR(V128/V148, "NA")</f>
        <v>1.0622520998378196E-2</v>
      </c>
      <c r="X128" s="115">
        <v>314.82</v>
      </c>
      <c r="Y128" s="116">
        <f>IFERROR(X128/X148, "NA")</f>
        <v>9.0557349680178544E-3</v>
      </c>
      <c r="Z128" s="115">
        <v>663.8599999999999</v>
      </c>
      <c r="AA128" s="116">
        <f>IFERROR(Z128/Z148, "NA")</f>
        <v>9.8170450377976781E-3</v>
      </c>
      <c r="AB128" s="117">
        <f t="shared" si="42"/>
        <v>-155.32750000000004</v>
      </c>
      <c r="AC128" s="116">
        <f>IFERROR(AB128/AB148, "NA")</f>
        <v>-5.0704042825415905E-3</v>
      </c>
      <c r="AD128" s="118">
        <f t="shared" si="43"/>
        <v>470.14750000000004</v>
      </c>
      <c r="AE128" s="119">
        <f>IFERROR(AD128/AD148, "NA")</f>
        <v>0.1138215958349523</v>
      </c>
      <c r="AF128" s="118">
        <f t="shared" si="44"/>
        <v>-3.026814311696254</v>
      </c>
      <c r="AG128" s="117">
        <f t="shared" si="45"/>
        <v>-37.528750000000009</v>
      </c>
      <c r="AH128" s="116">
        <f>IFERROR(AG128/AG148, "NA")</f>
        <v>-1.3295270089096426E-3</v>
      </c>
      <c r="AI128" s="118">
        <f t="shared" si="46"/>
        <v>352.34875</v>
      </c>
      <c r="AJ128" s="119">
        <f>IFERROR(AI128/AI148, "NA")</f>
        <v>5.389601214366279E-2</v>
      </c>
      <c r="AK128" s="118">
        <f t="shared" si="47"/>
        <v>-9.3887686107317698</v>
      </c>
      <c r="AL128" s="119">
        <f>IFERROR(AK128/AK148, "NA")</f>
        <v>-40.537733932809239</v>
      </c>
    </row>
    <row r="129" spans="1:38" ht="16.5" hidden="1" customHeight="1" x14ac:dyDescent="0.25">
      <c r="A129" s="2" t="s">
        <v>125</v>
      </c>
      <c r="B129" s="115">
        <v>0</v>
      </c>
      <c r="C129" s="116">
        <f>IFERROR(B129/B148, "NA")</f>
        <v>0</v>
      </c>
      <c r="D129" s="115">
        <v>0</v>
      </c>
      <c r="E129" s="116">
        <f>IFERROR(D129/D148, "NA")</f>
        <v>0</v>
      </c>
      <c r="F129" s="115">
        <v>0</v>
      </c>
      <c r="G129" s="116">
        <f>IFERROR(F129/F148, "NA")</f>
        <v>0</v>
      </c>
      <c r="H129" s="115">
        <v>0</v>
      </c>
      <c r="I129" s="116">
        <f>IFERROR(H129/H148, "NA")</f>
        <v>0</v>
      </c>
      <c r="J129" s="115">
        <v>0</v>
      </c>
      <c r="K129" s="116">
        <f>IFERROR(J129/J148, "NA")</f>
        <v>0</v>
      </c>
      <c r="L129" s="115">
        <v>0</v>
      </c>
      <c r="M129" s="116">
        <f>IFERROR(L129/L148, "NA")</f>
        <v>0</v>
      </c>
      <c r="N129" s="115">
        <v>0</v>
      </c>
      <c r="O129" s="116">
        <f>IFERROR(N129/N148, "NA")</f>
        <v>0</v>
      </c>
      <c r="P129" s="115">
        <v>0</v>
      </c>
      <c r="Q129" s="116">
        <f>IFERROR(P129/P148, "NA")</f>
        <v>0</v>
      </c>
      <c r="R129" s="115">
        <v>0</v>
      </c>
      <c r="S129" s="116">
        <f>IFERROR(R129/R148, "NA")</f>
        <v>0</v>
      </c>
      <c r="T129" s="115">
        <v>0</v>
      </c>
      <c r="U129" s="116">
        <f>IFERROR(T129/T148, "NA")</f>
        <v>0</v>
      </c>
      <c r="V129" s="115">
        <v>0</v>
      </c>
      <c r="W129" s="116">
        <f>IFERROR(V129/V148, "NA")</f>
        <v>0</v>
      </c>
      <c r="X129" s="115">
        <v>0</v>
      </c>
      <c r="Y129" s="116">
        <f>IFERROR(X129/X148, "NA")</f>
        <v>0</v>
      </c>
      <c r="Z129" s="115">
        <v>0</v>
      </c>
      <c r="AA129" s="116">
        <f>IFERROR(Z129/Z148, "NA")</f>
        <v>0</v>
      </c>
      <c r="AB129" s="117">
        <f t="shared" si="42"/>
        <v>0</v>
      </c>
      <c r="AC129" s="116">
        <f>IFERROR(AB129/AB148, "NA")</f>
        <v>0</v>
      </c>
      <c r="AD129" s="118">
        <f t="shared" si="43"/>
        <v>0</v>
      </c>
      <c r="AE129" s="119">
        <f>IFERROR(AD129/AD148, "NA")</f>
        <v>0</v>
      </c>
      <c r="AF129" s="118" t="str">
        <f t="shared" si="44"/>
        <v>NA</v>
      </c>
      <c r="AG129" s="117">
        <f t="shared" si="45"/>
        <v>0</v>
      </c>
      <c r="AH129" s="116">
        <f>IFERROR(AG129/AG148, "NA")</f>
        <v>0</v>
      </c>
      <c r="AI129" s="118">
        <f t="shared" si="46"/>
        <v>0</v>
      </c>
      <c r="AJ129" s="119">
        <f>IFERROR(AI129/AI148, "NA")</f>
        <v>0</v>
      </c>
      <c r="AK129" s="118" t="str">
        <f t="shared" si="47"/>
        <v>NA</v>
      </c>
      <c r="AL129" s="119" t="str">
        <f>IFERROR(AK129/AK148, "NA")</f>
        <v>NA</v>
      </c>
    </row>
    <row r="130" spans="1:38" ht="16.5" hidden="1" customHeight="1" x14ac:dyDescent="0.25">
      <c r="A130" s="2" t="s">
        <v>126</v>
      </c>
      <c r="B130" s="115">
        <v>0</v>
      </c>
      <c r="C130" s="116">
        <f>IFERROR(B130/B148, "NA")</f>
        <v>0</v>
      </c>
      <c r="D130" s="115">
        <v>0</v>
      </c>
      <c r="E130" s="116">
        <f>IFERROR(D130/D148, "NA")</f>
        <v>0</v>
      </c>
      <c r="F130" s="115">
        <v>0</v>
      </c>
      <c r="G130" s="116">
        <f>IFERROR(F130/F148, "NA")</f>
        <v>0</v>
      </c>
      <c r="H130" s="115">
        <v>0</v>
      </c>
      <c r="I130" s="116">
        <f>IFERROR(H130/H148, "NA")</f>
        <v>0</v>
      </c>
      <c r="J130" s="115">
        <v>0</v>
      </c>
      <c r="K130" s="116">
        <f>IFERROR(J130/J148, "NA")</f>
        <v>0</v>
      </c>
      <c r="L130" s="115">
        <v>0</v>
      </c>
      <c r="M130" s="116">
        <f>IFERROR(L130/L148, "NA")</f>
        <v>0</v>
      </c>
      <c r="N130" s="115">
        <v>0</v>
      </c>
      <c r="O130" s="116">
        <f>IFERROR(N130/N148, "NA")</f>
        <v>0</v>
      </c>
      <c r="P130" s="115">
        <v>0</v>
      </c>
      <c r="Q130" s="116">
        <f>IFERROR(P130/P148, "NA")</f>
        <v>0</v>
      </c>
      <c r="R130" s="115">
        <v>0</v>
      </c>
      <c r="S130" s="116">
        <f>IFERROR(R130/R148, "NA")</f>
        <v>0</v>
      </c>
      <c r="T130" s="115">
        <v>0</v>
      </c>
      <c r="U130" s="116">
        <f>IFERROR(T130/T148, "NA")</f>
        <v>0</v>
      </c>
      <c r="V130" s="115">
        <v>0</v>
      </c>
      <c r="W130" s="116">
        <f>IFERROR(V130/V148, "NA")</f>
        <v>0</v>
      </c>
      <c r="X130" s="115">
        <v>0</v>
      </c>
      <c r="Y130" s="116">
        <f>IFERROR(X130/X148, "NA")</f>
        <v>0</v>
      </c>
      <c r="Z130" s="115">
        <v>0</v>
      </c>
      <c r="AA130" s="116">
        <f>IFERROR(Z130/Z148, "NA")</f>
        <v>0</v>
      </c>
      <c r="AB130" s="117">
        <f t="shared" si="42"/>
        <v>0</v>
      </c>
      <c r="AC130" s="116">
        <f>IFERROR(AB130/AB148, "NA")</f>
        <v>0</v>
      </c>
      <c r="AD130" s="118">
        <f t="shared" si="43"/>
        <v>0</v>
      </c>
      <c r="AE130" s="119">
        <f>IFERROR(AD130/AD148, "NA")</f>
        <v>0</v>
      </c>
      <c r="AF130" s="118" t="str">
        <f t="shared" si="44"/>
        <v>NA</v>
      </c>
      <c r="AG130" s="117">
        <f t="shared" si="45"/>
        <v>0</v>
      </c>
      <c r="AH130" s="116">
        <f>IFERROR(AG130/AG148, "NA")</f>
        <v>0</v>
      </c>
      <c r="AI130" s="118">
        <f t="shared" si="46"/>
        <v>0</v>
      </c>
      <c r="AJ130" s="119">
        <f>IFERROR(AI130/AI148, "NA")</f>
        <v>0</v>
      </c>
      <c r="AK130" s="118" t="str">
        <f t="shared" si="47"/>
        <v>NA</v>
      </c>
      <c r="AL130" s="119" t="str">
        <f>IFERROR(AK130/AK148, "NA")</f>
        <v>NA</v>
      </c>
    </row>
    <row r="131" spans="1:38" ht="16.5" hidden="1" customHeight="1" x14ac:dyDescent="0.25">
      <c r="A131" s="2" t="s">
        <v>127</v>
      </c>
      <c r="B131" s="115">
        <v>0</v>
      </c>
      <c r="C131" s="116">
        <f>IFERROR(B131/B148, "NA")</f>
        <v>0</v>
      </c>
      <c r="D131" s="115">
        <v>0</v>
      </c>
      <c r="E131" s="116">
        <f>IFERROR(D131/D148, "NA")</f>
        <v>0</v>
      </c>
      <c r="F131" s="115">
        <v>0</v>
      </c>
      <c r="G131" s="116">
        <f>IFERROR(F131/F148, "NA")</f>
        <v>0</v>
      </c>
      <c r="H131" s="115">
        <v>0</v>
      </c>
      <c r="I131" s="116">
        <f>IFERROR(H131/H148, "NA")</f>
        <v>0</v>
      </c>
      <c r="J131" s="115">
        <v>0</v>
      </c>
      <c r="K131" s="116">
        <f>IFERROR(J131/J148, "NA")</f>
        <v>0</v>
      </c>
      <c r="L131" s="115">
        <v>0</v>
      </c>
      <c r="M131" s="116">
        <f>IFERROR(L131/L148, "NA")</f>
        <v>0</v>
      </c>
      <c r="N131" s="115">
        <v>0</v>
      </c>
      <c r="O131" s="116">
        <f>IFERROR(N131/N148, "NA")</f>
        <v>0</v>
      </c>
      <c r="P131" s="115">
        <v>0</v>
      </c>
      <c r="Q131" s="116">
        <f>IFERROR(P131/P148, "NA")</f>
        <v>0</v>
      </c>
      <c r="R131" s="115">
        <v>0</v>
      </c>
      <c r="S131" s="116">
        <f>IFERROR(R131/R148, "NA")</f>
        <v>0</v>
      </c>
      <c r="T131" s="115">
        <v>0</v>
      </c>
      <c r="U131" s="116">
        <f>IFERROR(T131/T148, "NA")</f>
        <v>0</v>
      </c>
      <c r="V131" s="115">
        <v>0</v>
      </c>
      <c r="W131" s="116">
        <f>IFERROR(V131/V148, "NA")</f>
        <v>0</v>
      </c>
      <c r="X131" s="115">
        <v>0</v>
      </c>
      <c r="Y131" s="116">
        <f>IFERROR(X131/X148, "NA")</f>
        <v>0</v>
      </c>
      <c r="Z131" s="115">
        <v>0</v>
      </c>
      <c r="AA131" s="116">
        <f>IFERROR(Z131/Z148, "NA")</f>
        <v>0</v>
      </c>
      <c r="AB131" s="117">
        <f t="shared" si="42"/>
        <v>0</v>
      </c>
      <c r="AC131" s="116">
        <f>IFERROR(AB131/AB148, "NA")</f>
        <v>0</v>
      </c>
      <c r="AD131" s="118">
        <f t="shared" si="43"/>
        <v>0</v>
      </c>
      <c r="AE131" s="119">
        <f>IFERROR(AD131/AD148, "NA")</f>
        <v>0</v>
      </c>
      <c r="AF131" s="118" t="str">
        <f t="shared" si="44"/>
        <v>NA</v>
      </c>
      <c r="AG131" s="117">
        <f t="shared" si="45"/>
        <v>0</v>
      </c>
      <c r="AH131" s="116">
        <f>IFERROR(AG131/AG148, "NA")</f>
        <v>0</v>
      </c>
      <c r="AI131" s="118">
        <f t="shared" si="46"/>
        <v>0</v>
      </c>
      <c r="AJ131" s="119">
        <f>IFERROR(AI131/AI148, "NA")</f>
        <v>0</v>
      </c>
      <c r="AK131" s="118" t="str">
        <f t="shared" si="47"/>
        <v>NA</v>
      </c>
      <c r="AL131" s="119" t="str">
        <f>IFERROR(AK131/AK148, "NA")</f>
        <v>NA</v>
      </c>
    </row>
    <row r="132" spans="1:38" ht="16.5" hidden="1" customHeight="1" x14ac:dyDescent="0.25">
      <c r="A132" s="2" t="s">
        <v>128</v>
      </c>
      <c r="B132" s="115">
        <v>0</v>
      </c>
      <c r="C132" s="116">
        <f>IFERROR(B132/B148, "NA")</f>
        <v>0</v>
      </c>
      <c r="D132" s="115">
        <v>0</v>
      </c>
      <c r="E132" s="116">
        <f>IFERROR(D132/D148, "NA")</f>
        <v>0</v>
      </c>
      <c r="F132" s="115">
        <v>0</v>
      </c>
      <c r="G132" s="116">
        <f>IFERROR(F132/F148, "NA")</f>
        <v>0</v>
      </c>
      <c r="H132" s="115">
        <v>0</v>
      </c>
      <c r="I132" s="116">
        <f>IFERROR(H132/H148, "NA")</f>
        <v>0</v>
      </c>
      <c r="J132" s="115">
        <v>0</v>
      </c>
      <c r="K132" s="116">
        <f>IFERROR(J132/J148, "NA")</f>
        <v>0</v>
      </c>
      <c r="L132" s="115">
        <v>0</v>
      </c>
      <c r="M132" s="116">
        <f>IFERROR(L132/L148, "NA")</f>
        <v>0</v>
      </c>
      <c r="N132" s="115">
        <v>0</v>
      </c>
      <c r="O132" s="116">
        <f>IFERROR(N132/N148, "NA")</f>
        <v>0</v>
      </c>
      <c r="P132" s="115">
        <v>0</v>
      </c>
      <c r="Q132" s="116">
        <f>IFERROR(P132/P148, "NA")</f>
        <v>0</v>
      </c>
      <c r="R132" s="115">
        <v>0</v>
      </c>
      <c r="S132" s="116">
        <f>IFERROR(R132/R148, "NA")</f>
        <v>0</v>
      </c>
      <c r="T132" s="115">
        <v>0</v>
      </c>
      <c r="U132" s="116">
        <f>IFERROR(T132/T148, "NA")</f>
        <v>0</v>
      </c>
      <c r="V132" s="115">
        <v>0</v>
      </c>
      <c r="W132" s="116">
        <f>IFERROR(V132/V148, "NA")</f>
        <v>0</v>
      </c>
      <c r="X132" s="115">
        <v>0</v>
      </c>
      <c r="Y132" s="116">
        <f>IFERROR(X132/X148, "NA")</f>
        <v>0</v>
      </c>
      <c r="Z132" s="115">
        <v>0</v>
      </c>
      <c r="AA132" s="116">
        <f>IFERROR(Z132/Z148, "NA")</f>
        <v>0</v>
      </c>
      <c r="AB132" s="117">
        <f t="shared" si="42"/>
        <v>0</v>
      </c>
      <c r="AC132" s="116">
        <f>IFERROR(AB132/AB148, "NA")</f>
        <v>0</v>
      </c>
      <c r="AD132" s="118">
        <f t="shared" si="43"/>
        <v>0</v>
      </c>
      <c r="AE132" s="119">
        <f>IFERROR(AD132/AD148, "NA")</f>
        <v>0</v>
      </c>
      <c r="AF132" s="118" t="str">
        <f t="shared" si="44"/>
        <v>NA</v>
      </c>
      <c r="AG132" s="117">
        <f t="shared" si="45"/>
        <v>0</v>
      </c>
      <c r="AH132" s="116">
        <f>IFERROR(AG132/AG148, "NA")</f>
        <v>0</v>
      </c>
      <c r="AI132" s="118">
        <f t="shared" si="46"/>
        <v>0</v>
      </c>
      <c r="AJ132" s="119">
        <f>IFERROR(AI132/AI148, "NA")</f>
        <v>0</v>
      </c>
      <c r="AK132" s="118" t="str">
        <f t="shared" si="47"/>
        <v>NA</v>
      </c>
      <c r="AL132" s="119" t="str">
        <f>IFERROR(AK132/AK148, "NA")</f>
        <v>NA</v>
      </c>
    </row>
    <row r="133" spans="1:38" ht="16.5" hidden="1" customHeight="1" x14ac:dyDescent="0.25">
      <c r="A133" s="2" t="s">
        <v>129</v>
      </c>
      <c r="B133" s="115">
        <v>0</v>
      </c>
      <c r="C133" s="116">
        <f>IFERROR(B133/B148, "NA")</f>
        <v>0</v>
      </c>
      <c r="D133" s="115">
        <v>0</v>
      </c>
      <c r="E133" s="116">
        <f>IFERROR(D133/D148, "NA")</f>
        <v>0</v>
      </c>
      <c r="F133" s="115">
        <v>0</v>
      </c>
      <c r="G133" s="116">
        <f>IFERROR(F133/F148, "NA")</f>
        <v>0</v>
      </c>
      <c r="H133" s="115">
        <v>0</v>
      </c>
      <c r="I133" s="116">
        <f>IFERROR(H133/H148, "NA")</f>
        <v>0</v>
      </c>
      <c r="J133" s="115">
        <v>0</v>
      </c>
      <c r="K133" s="116">
        <f>IFERROR(J133/J148, "NA")</f>
        <v>0</v>
      </c>
      <c r="L133" s="115">
        <v>0</v>
      </c>
      <c r="M133" s="116">
        <f>IFERROR(L133/L148, "NA")</f>
        <v>0</v>
      </c>
      <c r="N133" s="115">
        <v>0</v>
      </c>
      <c r="O133" s="116">
        <f>IFERROR(N133/N148, "NA")</f>
        <v>0</v>
      </c>
      <c r="P133" s="115">
        <v>0</v>
      </c>
      <c r="Q133" s="116">
        <f>IFERROR(P133/P148, "NA")</f>
        <v>0</v>
      </c>
      <c r="R133" s="115">
        <v>0</v>
      </c>
      <c r="S133" s="116">
        <f>IFERROR(R133/R148, "NA")</f>
        <v>0</v>
      </c>
      <c r="T133" s="115">
        <v>0</v>
      </c>
      <c r="U133" s="116">
        <f>IFERROR(T133/T148, "NA")</f>
        <v>0</v>
      </c>
      <c r="V133" s="115">
        <v>0</v>
      </c>
      <c r="W133" s="116">
        <f>IFERROR(V133/V148, "NA")</f>
        <v>0</v>
      </c>
      <c r="X133" s="115">
        <v>0</v>
      </c>
      <c r="Y133" s="116">
        <f>IFERROR(X133/X148, "NA")</f>
        <v>0</v>
      </c>
      <c r="Z133" s="115">
        <v>0</v>
      </c>
      <c r="AA133" s="116">
        <f>IFERROR(Z133/Z148, "NA")</f>
        <v>0</v>
      </c>
      <c r="AB133" s="117">
        <f t="shared" si="42"/>
        <v>0</v>
      </c>
      <c r="AC133" s="116">
        <f>IFERROR(AB133/AB148, "NA")</f>
        <v>0</v>
      </c>
      <c r="AD133" s="118">
        <f t="shared" si="43"/>
        <v>0</v>
      </c>
      <c r="AE133" s="119">
        <f>IFERROR(AD133/AD148, "NA")</f>
        <v>0</v>
      </c>
      <c r="AF133" s="118" t="str">
        <f t="shared" si="44"/>
        <v>NA</v>
      </c>
      <c r="AG133" s="117">
        <f t="shared" si="45"/>
        <v>0</v>
      </c>
      <c r="AH133" s="116">
        <f>IFERROR(AG133/AG148, "NA")</f>
        <v>0</v>
      </c>
      <c r="AI133" s="118">
        <f t="shared" si="46"/>
        <v>0</v>
      </c>
      <c r="AJ133" s="119">
        <f>IFERROR(AI133/AI148, "NA")</f>
        <v>0</v>
      </c>
      <c r="AK133" s="118" t="str">
        <f t="shared" si="47"/>
        <v>NA</v>
      </c>
      <c r="AL133" s="119" t="str">
        <f>IFERROR(AK133/AK148, "NA")</f>
        <v>NA</v>
      </c>
    </row>
    <row r="134" spans="1:38" ht="16.5" hidden="1" customHeight="1" x14ac:dyDescent="0.25">
      <c r="A134" s="2" t="s">
        <v>130</v>
      </c>
      <c r="B134" s="115">
        <v>0</v>
      </c>
      <c r="C134" s="116">
        <f>IFERROR(B134/B148, "NA")</f>
        <v>0</v>
      </c>
      <c r="D134" s="115">
        <v>0</v>
      </c>
      <c r="E134" s="116">
        <f>IFERROR(D134/D148, "NA")</f>
        <v>0</v>
      </c>
      <c r="F134" s="115">
        <v>0</v>
      </c>
      <c r="G134" s="116">
        <f>IFERROR(F134/F148, "NA")</f>
        <v>0</v>
      </c>
      <c r="H134" s="115">
        <v>0</v>
      </c>
      <c r="I134" s="116">
        <f>IFERROR(H134/H148, "NA")</f>
        <v>0</v>
      </c>
      <c r="J134" s="115">
        <v>0</v>
      </c>
      <c r="K134" s="116">
        <f>IFERROR(J134/J148, "NA")</f>
        <v>0</v>
      </c>
      <c r="L134" s="115">
        <v>0</v>
      </c>
      <c r="M134" s="116">
        <f>IFERROR(L134/L148, "NA")</f>
        <v>0</v>
      </c>
      <c r="N134" s="115">
        <v>0</v>
      </c>
      <c r="O134" s="116">
        <f>IFERROR(N134/N148, "NA")</f>
        <v>0</v>
      </c>
      <c r="P134" s="115">
        <v>0</v>
      </c>
      <c r="Q134" s="116">
        <f>IFERROR(P134/P148, "NA")</f>
        <v>0</v>
      </c>
      <c r="R134" s="115">
        <v>0</v>
      </c>
      <c r="S134" s="116">
        <f>IFERROR(R134/R148, "NA")</f>
        <v>0</v>
      </c>
      <c r="T134" s="115">
        <v>0</v>
      </c>
      <c r="U134" s="116">
        <f>IFERROR(T134/T148, "NA")</f>
        <v>0</v>
      </c>
      <c r="V134" s="115">
        <v>0</v>
      </c>
      <c r="W134" s="116">
        <f>IFERROR(V134/V148, "NA")</f>
        <v>0</v>
      </c>
      <c r="X134" s="115">
        <v>0</v>
      </c>
      <c r="Y134" s="116">
        <f>IFERROR(X134/X148, "NA")</f>
        <v>0</v>
      </c>
      <c r="Z134" s="115">
        <v>0</v>
      </c>
      <c r="AA134" s="116">
        <f>IFERROR(Z134/Z148, "NA")</f>
        <v>0</v>
      </c>
      <c r="AB134" s="117">
        <f t="shared" si="42"/>
        <v>0</v>
      </c>
      <c r="AC134" s="116">
        <f>IFERROR(AB134/AB148, "NA")</f>
        <v>0</v>
      </c>
      <c r="AD134" s="118">
        <f t="shared" si="43"/>
        <v>0</v>
      </c>
      <c r="AE134" s="119">
        <f>IFERROR(AD134/AD148, "NA")</f>
        <v>0</v>
      </c>
      <c r="AF134" s="118" t="str">
        <f t="shared" si="44"/>
        <v>NA</v>
      </c>
      <c r="AG134" s="117">
        <f t="shared" si="45"/>
        <v>0</v>
      </c>
      <c r="AH134" s="116">
        <f>IFERROR(AG134/AG148, "NA")</f>
        <v>0</v>
      </c>
      <c r="AI134" s="118">
        <f t="shared" si="46"/>
        <v>0</v>
      </c>
      <c r="AJ134" s="119">
        <f>IFERROR(AI134/AI148, "NA")</f>
        <v>0</v>
      </c>
      <c r="AK134" s="118" t="str">
        <f t="shared" si="47"/>
        <v>NA</v>
      </c>
      <c r="AL134" s="119" t="str">
        <f>IFERROR(AK134/AK148, "NA")</f>
        <v>NA</v>
      </c>
    </row>
    <row r="135" spans="1:38" ht="16.5" hidden="1" customHeight="1" x14ac:dyDescent="0.25">
      <c r="A135" s="120" t="s">
        <v>131</v>
      </c>
      <c r="B135" s="121">
        <f>IFERROR(B110+B111+B112+B113+B114+B115+B116+B117+B118+B119+B120+B121+B122+B123+B124+B125+B126+B127+B128+B129+B130+B131+B132+B133+B134, "NA")</f>
        <v>-859.33</v>
      </c>
      <c r="C135" s="122">
        <f>IFERROR(B135/B148, "NA")</f>
        <v>-3.2188272910167029E-2</v>
      </c>
      <c r="D135" s="121">
        <f>IFERROR(D110+D111+D112+D113+D114+D115+D116+D117+D118+D119+D120+D121+D122+D123+D124+D125+D126+D127+D128+D129+D130+D131+D132+D133+D134, "NA")</f>
        <v>320.02000000000004</v>
      </c>
      <c r="E135" s="122">
        <f>IFERROR(D135/D148, "NA")</f>
        <v>1.4003983008979056E-2</v>
      </c>
      <c r="F135" s="121">
        <f>IFERROR(F110+F111+F112+F113+F114+F115+F116+F117+F118+F119+F120+F121+F122+F123+F124+F125+F126+F127+F128+F129+F130+F131+F132+F133+F134, "NA")</f>
        <v>322.18</v>
      </c>
      <c r="G135" s="122">
        <f>IFERROR(F135/F148, "NA")</f>
        <v>1.1950106137031197E-2</v>
      </c>
      <c r="H135" s="121">
        <f>IFERROR(H110+H111+H112+H113+H114+H115+H116+H117+H118+H119+H120+H121+H122+H123+H124+H125+H126+H127+H128+H129+H130+H131+H132+H133+H134, "NA")</f>
        <v>321.89</v>
      </c>
      <c r="I135" s="122">
        <f>IFERROR(H135/H148, "NA")</f>
        <v>1.3383370427362295E-2</v>
      </c>
      <c r="J135" s="121">
        <f>IFERROR(J110+J111+J112+J113+J114+J115+J116+J117+J118+J119+J120+J121+J122+J123+J124+J125+J126+J127+J128+J129+J130+J131+J132+J133+J134, "NA")</f>
        <v>-964.09</v>
      </c>
      <c r="K135" s="122">
        <f>IFERROR(J135/J148, "NA")</f>
        <v>-3.8408827787547298E-2</v>
      </c>
      <c r="L135" s="121">
        <f>IFERROR(L110+L111+L112+L113+L114+L115+L116+L117+L118+L119+L120+L121+L122+L123+L124+L125+L126+L127+L128+L129+L130+L131+L132+L133+L134, "NA")</f>
        <v>406.12</v>
      </c>
      <c r="M135" s="122">
        <f>IFERROR(L135/L148, "NA")</f>
        <v>1.796836908690139E-2</v>
      </c>
      <c r="N135" s="121">
        <f>IFERROR(N110+N111+N112+N113+N114+N115+N116+N117+N118+N119+N120+N121+N122+N123+N124+N125+N126+N127+N128+N129+N130+N131+N132+N133+N134, "NA")</f>
        <v>442.16999999999996</v>
      </c>
      <c r="O135" s="122">
        <f>IFERROR(N135/N148, "NA")</f>
        <v>1.5833977609623354E-2</v>
      </c>
      <c r="P135" s="121">
        <f>IFERROR(P110+P111+P112+P113+P114+P115+P116+P117+P118+P119+P120+P121+P122+P123+P124+P125+P126+P127+P128+P129+P130+P131+P132+P133+P134, "NA")</f>
        <v>436.88</v>
      </c>
      <c r="Q135" s="122">
        <f>IFERROR(P135/P148, "NA")</f>
        <v>1.579893318868095E-2</v>
      </c>
      <c r="R135" s="121">
        <f>IFERROR(R110+R111+R112+R113+R114+R115+R116+R117+R118+R119+R120+R121+R122+R123+R124+R125+R126+R127+R128+R129+R130+R131+R132+R133+R134, "NA")</f>
        <v>403.1</v>
      </c>
      <c r="S135" s="122">
        <f>IFERROR(R135/R148, "NA")</f>
        <v>1.7202331596599139E-2</v>
      </c>
      <c r="T135" s="121">
        <f>IFERROR(T110+T111+T112+T113+T114+T115+T116+T117+T118+T119+T120+T121+T122+T123+T124+T125+T126+T127+T128+T129+T130+T131+T132+T133+T134, "NA")</f>
        <v>-1688.27</v>
      </c>
      <c r="U135" s="122">
        <f>IFERROR(T135/T148, "NA")</f>
        <v>-5.3629054929542119E-2</v>
      </c>
      <c r="V135" s="121">
        <f>IFERROR(V110+V111+V112+V113+V114+V115+V116+V117+V118+V119+V120+V121+V122+V123+V124+V125+V126+V127+V128+V129+V130+V131+V132+V133+V134, "NA")</f>
        <v>349.03999999999996</v>
      </c>
      <c r="W135" s="122">
        <f>IFERROR(V135/V148, "NA")</f>
        <v>1.0622520998378196E-2</v>
      </c>
      <c r="X135" s="121">
        <f>IFERROR(X110+X111+X112+X113+X114+X115+X116+X117+X118+X119+X120+X121+X122+X123+X124+X125+X126+X127+X128+X129+X130+X131+X132+X133+X134, "NA")</f>
        <v>314.82</v>
      </c>
      <c r="Y135" s="122">
        <f>IFERROR(X135/X148, "NA")</f>
        <v>9.0557349680178544E-3</v>
      </c>
      <c r="Z135" s="121">
        <f>IFERROR(Z110+Z111+Z112+Z113+Z114+Z115+Z116+Z117+Z118+Z119+Z120+Z121+Z122+Z123+Z124+Z125+Z126+Z127+Z128+Z129+Z130+Z131+Z132+Z133+Z134, "NA")</f>
        <v>663.8599999999999</v>
      </c>
      <c r="AA135" s="122">
        <f>IFERROR(Z135/Z148, "NA")</f>
        <v>9.8170450377976781E-3</v>
      </c>
      <c r="AB135" s="121">
        <f t="shared" si="42"/>
        <v>-155.32750000000004</v>
      </c>
      <c r="AC135" s="122">
        <f>IFERROR(AB135/AB148, "NA")</f>
        <v>-5.0704042825415905E-3</v>
      </c>
      <c r="AD135" s="123">
        <f t="shared" si="43"/>
        <v>470.14750000000004</v>
      </c>
      <c r="AE135" s="124">
        <f>IFERROR(AD135/AD148, "NA")</f>
        <v>0.1138215958349523</v>
      </c>
      <c r="AF135" s="123">
        <f t="shared" si="44"/>
        <v>-3.026814311696254</v>
      </c>
      <c r="AG135" s="121">
        <f t="shared" si="45"/>
        <v>-37.528750000000009</v>
      </c>
      <c r="AH135" s="122">
        <f>IFERROR(AG135/AG148, "NA")</f>
        <v>-1.3295270089096426E-3</v>
      </c>
      <c r="AI135" s="123">
        <f t="shared" si="46"/>
        <v>352.34875</v>
      </c>
      <c r="AJ135" s="124">
        <f>IFERROR(AI135/AI148, "NA")</f>
        <v>5.389601214366279E-2</v>
      </c>
      <c r="AK135" s="123">
        <f t="shared" si="47"/>
        <v>-9.3887686107317698</v>
      </c>
      <c r="AL135" s="124">
        <f>IFERROR(AK135/AK148, "NA")</f>
        <v>-40.537733932809239</v>
      </c>
    </row>
    <row r="136" spans="1:38" ht="16.5" hidden="1" customHeight="1" x14ac:dyDescent="0.25">
      <c r="A136" s="8" t="s">
        <v>2</v>
      </c>
      <c r="B136" s="138"/>
      <c r="C136" s="126"/>
      <c r="D136" s="138"/>
      <c r="E136" s="126"/>
      <c r="F136" s="138"/>
      <c r="G136" s="126"/>
      <c r="H136" s="138"/>
      <c r="I136" s="126"/>
      <c r="J136" s="138"/>
      <c r="K136" s="126"/>
      <c r="L136" s="138"/>
      <c r="M136" s="126"/>
      <c r="N136" s="138"/>
      <c r="O136" s="126"/>
      <c r="P136" s="138"/>
      <c r="Q136" s="126"/>
      <c r="R136" s="138"/>
      <c r="S136" s="126"/>
      <c r="T136" s="138"/>
      <c r="U136" s="126"/>
      <c r="V136" s="138"/>
      <c r="W136" s="126"/>
      <c r="X136" s="138"/>
      <c r="Y136" s="126"/>
      <c r="Z136" s="138"/>
      <c r="AA136" s="126"/>
      <c r="AB136" s="138"/>
      <c r="AC136" s="126"/>
      <c r="AD136" s="139"/>
      <c r="AE136" s="128"/>
      <c r="AF136" s="139"/>
      <c r="AG136" s="138"/>
      <c r="AH136" s="126"/>
      <c r="AI136" s="139"/>
      <c r="AJ136" s="128"/>
      <c r="AK136" s="139"/>
      <c r="AL136" s="128"/>
    </row>
    <row r="137" spans="1:38" ht="16.5" hidden="1" customHeight="1" x14ac:dyDescent="0.25">
      <c r="A137" s="135" t="s">
        <v>132</v>
      </c>
      <c r="B137" s="136">
        <f>IFERROR(B107-B135, "NA")</f>
        <v>-14140.890000000007</v>
      </c>
      <c r="C137" s="137">
        <f>IFERROR(B137/B148, "NA")</f>
        <v>-0.52968106142302951</v>
      </c>
      <c r="D137" s="136">
        <f>IFERROR(D107-D135, "NA")</f>
        <v>2680.1599999999971</v>
      </c>
      <c r="E137" s="137">
        <f>IFERROR(D137/D148, "NA")</f>
        <v>0.11728302950236005</v>
      </c>
      <c r="F137" s="136">
        <f>IFERROR(F107-F135, "NA")</f>
        <v>8083.98</v>
      </c>
      <c r="G137" s="137">
        <f>IFERROR(F137/F148, "NA")</f>
        <v>0.29984610779575843</v>
      </c>
      <c r="H137" s="136">
        <f>IFERROR(H107-H135, "NA")</f>
        <v>-1627.8800000000024</v>
      </c>
      <c r="I137" s="137">
        <f>IFERROR(H137/H148, "NA")</f>
        <v>-6.768312482927262E-2</v>
      </c>
      <c r="J137" s="136">
        <f>IFERROR(J107-J135, "NA")</f>
        <v>-14879.800000000003</v>
      </c>
      <c r="K137" s="137">
        <f>IFERROR(J137/J148, "NA")</f>
        <v>-0.59280324006383889</v>
      </c>
      <c r="L137" s="136">
        <f>IFERROR(L107-L135, "NA")</f>
        <v>3918.9600000000009</v>
      </c>
      <c r="M137" s="137">
        <f>IFERROR(L137/L148, "NA")</f>
        <v>0.1733904257776103</v>
      </c>
      <c r="N137" s="136">
        <f>IFERROR(N107-N135, "NA")</f>
        <v>8157.619999999999</v>
      </c>
      <c r="O137" s="137">
        <f>IFERROR(N137/N148, "NA")</f>
        <v>0.29212197215508895</v>
      </c>
      <c r="P137" s="136">
        <f>IFERROR(P107-P135, "NA")</f>
        <v>7523.1699999999983</v>
      </c>
      <c r="Q137" s="137">
        <f>IFERROR(P137/P148, "NA")</f>
        <v>0.27206111563149799</v>
      </c>
      <c r="R137" s="136">
        <f>IFERROR(R107-R135, "NA")</f>
        <v>-3517.8100000000036</v>
      </c>
      <c r="S137" s="137">
        <f>IFERROR(R137/R148, "NA")</f>
        <v>-0.15012288294178236</v>
      </c>
      <c r="T137" s="136">
        <f>IFERROR(T107-T135, "NA")</f>
        <v>-14232.750000000009</v>
      </c>
      <c r="U137" s="137">
        <f>IFERROR(T137/T148, "NA")</f>
        <v>-0.45211306932448075</v>
      </c>
      <c r="V137" s="136">
        <f>IFERROR(V107-V135, "NA")</f>
        <v>7729.7600000000039</v>
      </c>
      <c r="W137" s="137">
        <f>IFERROR(V137/V148, "NA")</f>
        <v>0.23524392021666254</v>
      </c>
      <c r="X137" s="136">
        <f>IFERROR(X107-X135, "NA")</f>
        <v>16057.669999999989</v>
      </c>
      <c r="Y137" s="137">
        <f>IFERROR(X137/X148, "NA")</f>
        <v>0.46189569825262428</v>
      </c>
      <c r="Z137" s="136">
        <f>IFERROR(Z107-Z135, "NA")</f>
        <v>23787.43</v>
      </c>
      <c r="AA137" s="137">
        <f>IFERROR(Z137/Z148, "NA")</f>
        <v>0.35176433531687351</v>
      </c>
      <c r="AB137" s="136">
        <f>IFERROR((R137+T137+V137+X137)/4, "NA")</f>
        <v>1509.2174999999952</v>
      </c>
      <c r="AC137" s="137">
        <f>IFERROR(AB137/AB148, "NA")</f>
        <v>4.9265860039508051E-2</v>
      </c>
      <c r="AD137" s="123">
        <f>IFERROR(X137-AB137, "NA")</f>
        <v>14548.452499999994</v>
      </c>
      <c r="AE137" s="124">
        <f>IFERROR(AD137/AD148, "NA")</f>
        <v>3.5221458807693344</v>
      </c>
      <c r="AF137" s="123">
        <f>IFERROR((X137-AB137)/AB137, "NA")</f>
        <v>9.6397321790928352</v>
      </c>
      <c r="AG137" s="136">
        <f>IFERROR((J137+L137+N137+P137+R137+T137+V137+X137)/8, "NA")</f>
        <v>1344.602499999997</v>
      </c>
      <c r="AH137" s="137">
        <f>IFERROR(AG137/AG148, "NA")</f>
        <v>4.7635088831826884E-2</v>
      </c>
      <c r="AI137" s="123">
        <f>IFERROR(X137-AG137, "NA")</f>
        <v>14713.067499999992</v>
      </c>
      <c r="AJ137" s="124">
        <f>IFERROR(AI137/AI148, "NA")</f>
        <v>2.25054201171575</v>
      </c>
      <c r="AK137" s="123">
        <f>IFERROR((X137-AG137)/AG137, "NA")</f>
        <v>10.942317525067836</v>
      </c>
      <c r="AL137" s="124">
        <f>IFERROR(AK137/AK148, "NA")</f>
        <v>47.245466879702221</v>
      </c>
    </row>
    <row r="138" spans="1:38" ht="3.75" hidden="1" customHeight="1" x14ac:dyDescent="0.25">
      <c r="A138" s="8" t="s">
        <v>2</v>
      </c>
      <c r="B138" s="138"/>
      <c r="C138" s="126"/>
      <c r="D138" s="138"/>
      <c r="E138" s="126"/>
      <c r="F138" s="138"/>
      <c r="G138" s="126"/>
      <c r="H138" s="138"/>
      <c r="I138" s="126"/>
      <c r="J138" s="138"/>
      <c r="K138" s="126"/>
      <c r="L138" s="138"/>
      <c r="M138" s="126"/>
      <c r="N138" s="138"/>
      <c r="O138" s="126"/>
      <c r="P138" s="138"/>
      <c r="Q138" s="126"/>
      <c r="R138" s="138"/>
      <c r="S138" s="126"/>
      <c r="T138" s="138"/>
      <c r="U138" s="126"/>
      <c r="V138" s="138"/>
      <c r="W138" s="126"/>
      <c r="X138" s="138"/>
      <c r="Y138" s="126"/>
      <c r="Z138" s="138"/>
      <c r="AA138" s="126"/>
      <c r="AB138" s="138"/>
      <c r="AC138" s="126"/>
      <c r="AD138" s="139"/>
      <c r="AE138" s="128"/>
      <c r="AF138" s="139"/>
      <c r="AG138" s="138"/>
      <c r="AH138" s="126"/>
      <c r="AI138" s="139"/>
      <c r="AJ138" s="128"/>
      <c r="AK138" s="139"/>
      <c r="AL138" s="128"/>
    </row>
    <row r="139" spans="1:38" ht="16.5" hidden="1" customHeight="1" x14ac:dyDescent="0.25">
      <c r="A139" s="1" t="s">
        <v>133</v>
      </c>
      <c r="B139" s="111"/>
      <c r="C139" s="112"/>
      <c r="D139" s="111"/>
      <c r="E139" s="112"/>
      <c r="F139" s="111"/>
      <c r="G139" s="112"/>
      <c r="H139" s="111"/>
      <c r="I139" s="112"/>
      <c r="J139" s="111"/>
      <c r="K139" s="112"/>
      <c r="L139" s="111"/>
      <c r="M139" s="112"/>
      <c r="N139" s="111"/>
      <c r="O139" s="112"/>
      <c r="P139" s="111"/>
      <c r="Q139" s="112"/>
      <c r="R139" s="111"/>
      <c r="S139" s="112"/>
      <c r="T139" s="111"/>
      <c r="U139" s="112"/>
      <c r="V139" s="111"/>
      <c r="W139" s="112"/>
      <c r="X139" s="111"/>
      <c r="Y139" s="112"/>
      <c r="Z139" s="111"/>
      <c r="AA139" s="112"/>
      <c r="AB139" s="111"/>
      <c r="AC139" s="112"/>
      <c r="AD139" s="113"/>
      <c r="AE139" s="114"/>
      <c r="AF139" s="113"/>
      <c r="AG139" s="111"/>
      <c r="AH139" s="112"/>
      <c r="AI139" s="113"/>
      <c r="AJ139" s="114"/>
      <c r="AK139" s="113"/>
      <c r="AL139" s="114"/>
    </row>
    <row r="140" spans="1:38" ht="16.5" hidden="1" customHeight="1" x14ac:dyDescent="0.25">
      <c r="A140" s="2" t="s">
        <v>134</v>
      </c>
      <c r="B140" s="115">
        <v>10675.49</v>
      </c>
      <c r="C140" s="116">
        <f>IFERROR(B140/B148, "NA")</f>
        <v>0.39987616581494767</v>
      </c>
      <c r="D140" s="115">
        <v>0</v>
      </c>
      <c r="E140" s="116">
        <f>IFERROR(D140/D148, "NA")</f>
        <v>0</v>
      </c>
      <c r="F140" s="115">
        <v>0</v>
      </c>
      <c r="G140" s="116">
        <f>IFERROR(F140/F148, "NA")</f>
        <v>0</v>
      </c>
      <c r="H140" s="115">
        <v>0</v>
      </c>
      <c r="I140" s="116">
        <f>IFERROR(H140/H148, "NA")</f>
        <v>0</v>
      </c>
      <c r="J140" s="115">
        <v>10687.720000000001</v>
      </c>
      <c r="K140" s="116">
        <f>IFERROR(J140/J148, "NA")</f>
        <v>0.42579302442876188</v>
      </c>
      <c r="L140" s="115">
        <v>0</v>
      </c>
      <c r="M140" s="116">
        <f>IFERROR(L140/L148, "NA")</f>
        <v>0</v>
      </c>
      <c r="N140" s="115">
        <v>0</v>
      </c>
      <c r="O140" s="116">
        <f>IFERROR(N140/N148, "NA")</f>
        <v>0</v>
      </c>
      <c r="P140" s="115">
        <v>0</v>
      </c>
      <c r="Q140" s="116">
        <f>IFERROR(P140/P148, "NA")</f>
        <v>0</v>
      </c>
      <c r="R140" s="115">
        <v>-96.300000000000011</v>
      </c>
      <c r="S140" s="116">
        <f>IFERROR(R140/R148, "NA")</f>
        <v>-4.1096118401203101E-3</v>
      </c>
      <c r="T140" s="115">
        <v>10743.03</v>
      </c>
      <c r="U140" s="116">
        <f>IFERROR(T140/T148, "NA")</f>
        <v>0.34125971910874381</v>
      </c>
      <c r="V140" s="115">
        <v>0</v>
      </c>
      <c r="W140" s="116">
        <f>IFERROR(V140/V148, "NA")</f>
        <v>0</v>
      </c>
      <c r="X140" s="115">
        <v>0</v>
      </c>
      <c r="Y140" s="116">
        <f>IFERROR(X140/X148, "NA")</f>
        <v>0</v>
      </c>
      <c r="Z140" s="115">
        <v>0</v>
      </c>
      <c r="AA140" s="116">
        <f>IFERROR(Z140/Z148, "NA")</f>
        <v>0</v>
      </c>
      <c r="AB140" s="117">
        <f>IFERROR((R140+T140+V140+X140)/4, "NA")</f>
        <v>2661.6825000000003</v>
      </c>
      <c r="AC140" s="116">
        <f>IFERROR(AB140/AB148, "NA")</f>
        <v>8.6886136368421601E-2</v>
      </c>
      <c r="AD140" s="118">
        <f>IFERROR(X140-AB140, "NA")</f>
        <v>-2661.6825000000003</v>
      </c>
      <c r="AE140" s="119">
        <f>IFERROR(AD140/AD148, "NA")</f>
        <v>-0.64438702695636041</v>
      </c>
      <c r="AF140" s="118">
        <f>IFERROR((X140-AB140)/AB140, "NA")</f>
        <v>-1</v>
      </c>
      <c r="AG140" s="117">
        <f>IFERROR((J140+L140+N140+P140+R140+T140+V140+X140)/8, "NA")</f>
        <v>2666.8062500000005</v>
      </c>
      <c r="AH140" s="116">
        <f>IFERROR(AG140/AG148, "NA")</f>
        <v>9.4476659545123146E-2</v>
      </c>
      <c r="AI140" s="118">
        <f>IFERROR(X140-AG140, "NA")</f>
        <v>-2666.8062500000005</v>
      </c>
      <c r="AJ140" s="119">
        <f>IFERROR(AI140/AI148, "NA")</f>
        <v>-0.40792034038660802</v>
      </c>
      <c r="AK140" s="118">
        <f>IFERROR((X140-AG140)/AG140, "NA")</f>
        <v>-1</v>
      </c>
      <c r="AL140" s="119">
        <f>IFERROR(AK140/AK148, "NA")</f>
        <v>-4.3176837787303493</v>
      </c>
    </row>
    <row r="141" spans="1:38" ht="16.5" hidden="1" customHeight="1" x14ac:dyDescent="0.25">
      <c r="A141" s="120" t="s">
        <v>135</v>
      </c>
      <c r="B141" s="121">
        <f>IFERROR(B140, "NA")</f>
        <v>10675.49</v>
      </c>
      <c r="C141" s="122">
        <f>IFERROR(B141/B148, "NA")</f>
        <v>0.39987616581494767</v>
      </c>
      <c r="D141" s="121">
        <f>IFERROR(D140, "NA")</f>
        <v>0</v>
      </c>
      <c r="E141" s="122">
        <f>IFERROR(D141/D148, "NA")</f>
        <v>0</v>
      </c>
      <c r="F141" s="121">
        <f>IFERROR(F140, "NA")</f>
        <v>0</v>
      </c>
      <c r="G141" s="122">
        <f>IFERROR(F141/F148, "NA")</f>
        <v>0</v>
      </c>
      <c r="H141" s="121">
        <f>IFERROR(H140, "NA")</f>
        <v>0</v>
      </c>
      <c r="I141" s="122">
        <f>IFERROR(H141/H148, "NA")</f>
        <v>0</v>
      </c>
      <c r="J141" s="121">
        <f>IFERROR(J140, "NA")</f>
        <v>10687.720000000001</v>
      </c>
      <c r="K141" s="122">
        <f>IFERROR(J141/J148, "NA")</f>
        <v>0.42579302442876188</v>
      </c>
      <c r="L141" s="121">
        <f>IFERROR(L140, "NA")</f>
        <v>0</v>
      </c>
      <c r="M141" s="122">
        <f>IFERROR(L141/L148, "NA")</f>
        <v>0</v>
      </c>
      <c r="N141" s="121">
        <f>IFERROR(N140, "NA")</f>
        <v>0</v>
      </c>
      <c r="O141" s="122">
        <f>IFERROR(N141/N148, "NA")</f>
        <v>0</v>
      </c>
      <c r="P141" s="121">
        <f>IFERROR(P140, "NA")</f>
        <v>0</v>
      </c>
      <c r="Q141" s="122">
        <f>IFERROR(P141/P148, "NA")</f>
        <v>0</v>
      </c>
      <c r="R141" s="121">
        <f>IFERROR(R140, "NA")</f>
        <v>-96.300000000000011</v>
      </c>
      <c r="S141" s="122">
        <f>IFERROR(R141/R148, "NA")</f>
        <v>-4.1096118401203101E-3</v>
      </c>
      <c r="T141" s="121">
        <f>IFERROR(T140, "NA")</f>
        <v>10743.03</v>
      </c>
      <c r="U141" s="122">
        <f>IFERROR(T141/T148, "NA")</f>
        <v>0.34125971910874381</v>
      </c>
      <c r="V141" s="121">
        <f>IFERROR(V140, "NA")</f>
        <v>0</v>
      </c>
      <c r="W141" s="122">
        <f>IFERROR(V141/V148, "NA")</f>
        <v>0</v>
      </c>
      <c r="X141" s="121">
        <f>IFERROR(X140, "NA")</f>
        <v>0</v>
      </c>
      <c r="Y141" s="122">
        <f>IFERROR(X141/X148, "NA")</f>
        <v>0</v>
      </c>
      <c r="Z141" s="121">
        <f>IFERROR(Z140, "NA")</f>
        <v>0</v>
      </c>
      <c r="AA141" s="122">
        <f>IFERROR(Z141/Z148, "NA")</f>
        <v>0</v>
      </c>
      <c r="AB141" s="121">
        <f>IFERROR((R141+T141+V141+X141)/4, "NA")</f>
        <v>2661.6825000000003</v>
      </c>
      <c r="AC141" s="122">
        <f>IFERROR(AB141/AB148, "NA")</f>
        <v>8.6886136368421601E-2</v>
      </c>
      <c r="AD141" s="123">
        <f>IFERROR(X141-AB141, "NA")</f>
        <v>-2661.6825000000003</v>
      </c>
      <c r="AE141" s="124">
        <f>IFERROR(AD141/AD148, "NA")</f>
        <v>-0.64438702695636041</v>
      </c>
      <c r="AF141" s="123">
        <f>IFERROR((X141-AB141)/AB141, "NA")</f>
        <v>-1</v>
      </c>
      <c r="AG141" s="121">
        <f>IFERROR((J141+L141+N141+P141+R141+T141+V141+X141)/8, "NA")</f>
        <v>2666.8062500000005</v>
      </c>
      <c r="AH141" s="122">
        <f>IFERROR(AG141/AG148, "NA")</f>
        <v>9.4476659545123146E-2</v>
      </c>
      <c r="AI141" s="123">
        <f>IFERROR(X141-AG141, "NA")</f>
        <v>-2666.8062500000005</v>
      </c>
      <c r="AJ141" s="124">
        <f>IFERROR(AI141/AI148, "NA")</f>
        <v>-0.40792034038660802</v>
      </c>
      <c r="AK141" s="123">
        <f>IFERROR((X141-AG141)/AG141, "NA")</f>
        <v>-1</v>
      </c>
      <c r="AL141" s="124">
        <f>IFERROR(AK141/AK148, "NA")</f>
        <v>-4.3176837787303493</v>
      </c>
    </row>
    <row r="142" spans="1:38" ht="3.75" hidden="1" customHeight="1" x14ac:dyDescent="0.25">
      <c r="A142" s="8" t="s">
        <v>2</v>
      </c>
      <c r="B142" s="138"/>
      <c r="C142" s="126"/>
      <c r="D142" s="138"/>
      <c r="E142" s="126"/>
      <c r="F142" s="138"/>
      <c r="G142" s="126"/>
      <c r="H142" s="138"/>
      <c r="I142" s="126"/>
      <c r="J142" s="138"/>
      <c r="K142" s="126"/>
      <c r="L142" s="138"/>
      <c r="M142" s="126"/>
      <c r="N142" s="138"/>
      <c r="O142" s="126"/>
      <c r="P142" s="138"/>
      <c r="Q142" s="126"/>
      <c r="R142" s="138"/>
      <c r="S142" s="126"/>
      <c r="T142" s="138"/>
      <c r="U142" s="126"/>
      <c r="V142" s="138"/>
      <c r="W142" s="126"/>
      <c r="X142" s="138"/>
      <c r="Y142" s="126"/>
      <c r="Z142" s="138"/>
      <c r="AA142" s="126"/>
      <c r="AB142" s="138"/>
      <c r="AC142" s="126"/>
      <c r="AD142" s="139"/>
      <c r="AE142" s="128"/>
      <c r="AF142" s="139"/>
      <c r="AG142" s="138"/>
      <c r="AH142" s="126"/>
      <c r="AI142" s="139"/>
      <c r="AJ142" s="128"/>
      <c r="AK142" s="139"/>
      <c r="AL142" s="128"/>
    </row>
    <row r="143" spans="1:38" ht="16.5" hidden="1" customHeight="1" x14ac:dyDescent="0.25">
      <c r="A143" s="1" t="s">
        <v>136</v>
      </c>
      <c r="B143" s="111"/>
      <c r="C143" s="112"/>
      <c r="D143" s="111"/>
      <c r="E143" s="112"/>
      <c r="F143" s="111"/>
      <c r="G143" s="112"/>
      <c r="H143" s="111"/>
      <c r="I143" s="112"/>
      <c r="J143" s="111"/>
      <c r="K143" s="112"/>
      <c r="L143" s="111"/>
      <c r="M143" s="112"/>
      <c r="N143" s="111"/>
      <c r="O143" s="112"/>
      <c r="P143" s="111"/>
      <c r="Q143" s="112"/>
      <c r="R143" s="111"/>
      <c r="S143" s="112"/>
      <c r="T143" s="111"/>
      <c r="U143" s="112"/>
      <c r="V143" s="111"/>
      <c r="W143" s="112"/>
      <c r="X143" s="111"/>
      <c r="Y143" s="112"/>
      <c r="Z143" s="111"/>
      <c r="AA143" s="112"/>
      <c r="AB143" s="111"/>
      <c r="AC143" s="112"/>
      <c r="AD143" s="113"/>
      <c r="AE143" s="114"/>
      <c r="AF143" s="113"/>
      <c r="AG143" s="111"/>
      <c r="AH143" s="112"/>
      <c r="AI143" s="113"/>
      <c r="AJ143" s="114"/>
      <c r="AK143" s="113"/>
      <c r="AL143" s="114"/>
    </row>
    <row r="144" spans="1:38" ht="16.5" hidden="1" customHeight="1" x14ac:dyDescent="0.25">
      <c r="A144" s="2" t="s">
        <v>137</v>
      </c>
      <c r="B144" s="115">
        <v>0</v>
      </c>
      <c r="C144" s="116">
        <f>IFERROR(B144/B148, "NA")</f>
        <v>0</v>
      </c>
      <c r="D144" s="115">
        <v>0</v>
      </c>
      <c r="E144" s="116">
        <f>IFERROR(D144/D148, "NA")</f>
        <v>0</v>
      </c>
      <c r="F144" s="115">
        <v>0</v>
      </c>
      <c r="G144" s="116">
        <f>IFERROR(F144/F148, "NA")</f>
        <v>0</v>
      </c>
      <c r="H144" s="115">
        <v>0</v>
      </c>
      <c r="I144" s="116">
        <f>IFERROR(H144/H148, "NA")</f>
        <v>0</v>
      </c>
      <c r="J144" s="115">
        <v>0</v>
      </c>
      <c r="K144" s="116">
        <f>IFERROR(J144/J148, "NA")</f>
        <v>0</v>
      </c>
      <c r="L144" s="115">
        <v>0</v>
      </c>
      <c r="M144" s="116">
        <f>IFERROR(L144/L148, "NA")</f>
        <v>0</v>
      </c>
      <c r="N144" s="115">
        <v>0</v>
      </c>
      <c r="O144" s="116">
        <f>IFERROR(N144/N148, "NA")</f>
        <v>0</v>
      </c>
      <c r="P144" s="115">
        <v>0</v>
      </c>
      <c r="Q144" s="116">
        <f>IFERROR(P144/P148, "NA")</f>
        <v>0</v>
      </c>
      <c r="R144" s="115">
        <v>0</v>
      </c>
      <c r="S144" s="116">
        <f>IFERROR(R144/R148, "NA")</f>
        <v>0</v>
      </c>
      <c r="T144" s="115">
        <v>0</v>
      </c>
      <c r="U144" s="116">
        <f>IFERROR(T144/T148, "NA")</f>
        <v>0</v>
      </c>
      <c r="V144" s="115">
        <v>0</v>
      </c>
      <c r="W144" s="116">
        <f>IFERROR(V144/V148, "NA")</f>
        <v>0</v>
      </c>
      <c r="X144" s="115">
        <v>0</v>
      </c>
      <c r="Y144" s="116">
        <f>IFERROR(X144/X148, "NA")</f>
        <v>0</v>
      </c>
      <c r="Z144" s="115">
        <v>0</v>
      </c>
      <c r="AA144" s="116">
        <f>IFERROR(Z144/Z148, "NA")</f>
        <v>0</v>
      </c>
      <c r="AB144" s="117">
        <f>IFERROR((R144+T144+V144+X144)/4, "NA")</f>
        <v>0</v>
      </c>
      <c r="AC144" s="116">
        <f>IFERROR(AB144/AB148, "NA")</f>
        <v>0</v>
      </c>
      <c r="AD144" s="118">
        <f>IFERROR(X144-AB144, "NA")</f>
        <v>0</v>
      </c>
      <c r="AE144" s="119">
        <f>IFERROR(AD144/AD148, "NA")</f>
        <v>0</v>
      </c>
      <c r="AF144" s="118" t="str">
        <f>IFERROR((X144-AB144)/AB144, "NA")</f>
        <v>NA</v>
      </c>
      <c r="AG144" s="117">
        <f>IFERROR((J144+L144+N144+P144+R144+T144+V144+X144)/8, "NA")</f>
        <v>0</v>
      </c>
      <c r="AH144" s="116">
        <f>IFERROR(AG144/AG148, "NA")</f>
        <v>0</v>
      </c>
      <c r="AI144" s="118">
        <f>IFERROR(X144-AG144, "NA")</f>
        <v>0</v>
      </c>
      <c r="AJ144" s="119">
        <f>IFERROR(AI144/AI148, "NA")</f>
        <v>0</v>
      </c>
      <c r="AK144" s="118" t="str">
        <f>IFERROR((X144-AG144)/AG144, "NA")</f>
        <v>NA</v>
      </c>
      <c r="AL144" s="119" t="str">
        <f>IFERROR(AK144/AK148, "NA")</f>
        <v>NA</v>
      </c>
    </row>
    <row r="145" spans="1:38" ht="16.5" hidden="1" customHeight="1" x14ac:dyDescent="0.25">
      <c r="A145" s="120" t="s">
        <v>138</v>
      </c>
      <c r="B145" s="121">
        <f>IFERROR(B144, "NA")</f>
        <v>0</v>
      </c>
      <c r="C145" s="122">
        <f>IFERROR(B145/B148, "NA")</f>
        <v>0</v>
      </c>
      <c r="D145" s="121">
        <f>IFERROR(D144, "NA")</f>
        <v>0</v>
      </c>
      <c r="E145" s="122">
        <f>IFERROR(D145/D148, "NA")</f>
        <v>0</v>
      </c>
      <c r="F145" s="121">
        <f>IFERROR(F144, "NA")</f>
        <v>0</v>
      </c>
      <c r="G145" s="122">
        <f>IFERROR(F145/F148, "NA")</f>
        <v>0</v>
      </c>
      <c r="H145" s="121">
        <f>IFERROR(H144, "NA")</f>
        <v>0</v>
      </c>
      <c r="I145" s="122">
        <f>IFERROR(H145/H148, "NA")</f>
        <v>0</v>
      </c>
      <c r="J145" s="121">
        <f>IFERROR(J144, "NA")</f>
        <v>0</v>
      </c>
      <c r="K145" s="122">
        <f>IFERROR(J145/J148, "NA")</f>
        <v>0</v>
      </c>
      <c r="L145" s="121">
        <f>IFERROR(L144, "NA")</f>
        <v>0</v>
      </c>
      <c r="M145" s="122">
        <f>IFERROR(L145/L148, "NA")</f>
        <v>0</v>
      </c>
      <c r="N145" s="121">
        <f>IFERROR(N144, "NA")</f>
        <v>0</v>
      </c>
      <c r="O145" s="122">
        <f>IFERROR(N145/N148, "NA")</f>
        <v>0</v>
      </c>
      <c r="P145" s="121">
        <f>IFERROR(P144, "NA")</f>
        <v>0</v>
      </c>
      <c r="Q145" s="122">
        <f>IFERROR(P145/P148, "NA")</f>
        <v>0</v>
      </c>
      <c r="R145" s="121">
        <f>IFERROR(R144, "NA")</f>
        <v>0</v>
      </c>
      <c r="S145" s="122">
        <f>IFERROR(R145/R148, "NA")</f>
        <v>0</v>
      </c>
      <c r="T145" s="121">
        <f>IFERROR(T144, "NA")</f>
        <v>0</v>
      </c>
      <c r="U145" s="122">
        <f>IFERROR(T145/T148, "NA")</f>
        <v>0</v>
      </c>
      <c r="V145" s="121">
        <f>IFERROR(V144, "NA")</f>
        <v>0</v>
      </c>
      <c r="W145" s="122">
        <f>IFERROR(V145/V148, "NA")</f>
        <v>0</v>
      </c>
      <c r="X145" s="121">
        <f>IFERROR(X144, "NA")</f>
        <v>0</v>
      </c>
      <c r="Y145" s="122">
        <f>IFERROR(X145/X148, "NA")</f>
        <v>0</v>
      </c>
      <c r="Z145" s="121">
        <f>IFERROR(Z144, "NA")</f>
        <v>0</v>
      </c>
      <c r="AA145" s="122">
        <f>IFERROR(Z145/Z148, "NA")</f>
        <v>0</v>
      </c>
      <c r="AB145" s="121">
        <f>IFERROR((R145+T145+V145+X145)/4, "NA")</f>
        <v>0</v>
      </c>
      <c r="AC145" s="122">
        <f>IFERROR(AB145/AB148, "NA")</f>
        <v>0</v>
      </c>
      <c r="AD145" s="123">
        <f>IFERROR(X145-AB145, "NA")</f>
        <v>0</v>
      </c>
      <c r="AE145" s="124">
        <f>IFERROR(AD145/AD148, "NA")</f>
        <v>0</v>
      </c>
      <c r="AF145" s="123" t="str">
        <f>IFERROR((X145-AB145)/AB145, "NA")</f>
        <v>NA</v>
      </c>
      <c r="AG145" s="121">
        <f>IFERROR((J145+L145+N145+P145+R145+T145+V145+X145)/8, "NA")</f>
        <v>0</v>
      </c>
      <c r="AH145" s="122">
        <f>IFERROR(AG145/AG148, "NA")</f>
        <v>0</v>
      </c>
      <c r="AI145" s="123">
        <f>IFERROR(X145-AG145, "NA")</f>
        <v>0</v>
      </c>
      <c r="AJ145" s="124">
        <f>IFERROR(AI145/AI148, "NA")</f>
        <v>0</v>
      </c>
      <c r="AK145" s="123" t="str">
        <f>IFERROR((X145-AG145)/AG145, "NA")</f>
        <v>NA</v>
      </c>
      <c r="AL145" s="124" t="str">
        <f>IFERROR(AK145/AK148, "NA")</f>
        <v>NA</v>
      </c>
    </row>
    <row r="146" spans="1:38" ht="3.75" hidden="1" customHeight="1" x14ac:dyDescent="0.25">
      <c r="A146" s="8" t="s">
        <v>2</v>
      </c>
      <c r="B146" s="138"/>
      <c r="C146" s="126"/>
      <c r="D146" s="138"/>
      <c r="E146" s="126"/>
      <c r="F146" s="138"/>
      <c r="G146" s="126"/>
      <c r="H146" s="138"/>
      <c r="I146" s="126"/>
      <c r="J146" s="138"/>
      <c r="K146" s="126"/>
      <c r="L146" s="138"/>
      <c r="M146" s="126"/>
      <c r="N146" s="138"/>
      <c r="O146" s="126"/>
      <c r="P146" s="138"/>
      <c r="Q146" s="126"/>
      <c r="R146" s="138"/>
      <c r="S146" s="126"/>
      <c r="T146" s="138"/>
      <c r="U146" s="126"/>
      <c r="V146" s="138"/>
      <c r="W146" s="126"/>
      <c r="X146" s="138"/>
      <c r="Y146" s="126"/>
      <c r="Z146" s="138"/>
      <c r="AA146" s="126"/>
      <c r="AB146" s="138"/>
      <c r="AC146" s="126"/>
      <c r="AD146" s="139"/>
      <c r="AE146" s="128"/>
      <c r="AF146" s="139"/>
      <c r="AG146" s="138"/>
      <c r="AH146" s="126"/>
      <c r="AI146" s="139"/>
      <c r="AJ146" s="128"/>
      <c r="AK146" s="139"/>
      <c r="AL146" s="128"/>
    </row>
    <row r="147" spans="1:38" ht="16.5" hidden="1" customHeight="1" x14ac:dyDescent="0.25">
      <c r="A147" s="135" t="s">
        <v>139</v>
      </c>
      <c r="B147" s="136">
        <f>IFERROR(B137-B141-B145, "NA")</f>
        <v>-24816.380000000005</v>
      </c>
      <c r="C147" s="137">
        <f>IFERROR(B147/B148, "NA")</f>
        <v>-0.92955722723797718</v>
      </c>
      <c r="D147" s="136">
        <f>IFERROR(D137-D141-D145, "NA")</f>
        <v>2680.1599999999971</v>
      </c>
      <c r="E147" s="137">
        <f>IFERROR(D147/D148, "NA")</f>
        <v>0.11728302950236005</v>
      </c>
      <c r="F147" s="136">
        <f>IFERROR(F137-F141-F145, "NA")</f>
        <v>8083.98</v>
      </c>
      <c r="G147" s="137">
        <f>IFERROR(F147/F148, "NA")</f>
        <v>0.29984610779575843</v>
      </c>
      <c r="H147" s="136">
        <f>IFERROR(H137-H141-H145, "NA")</f>
        <v>-1627.8800000000024</v>
      </c>
      <c r="I147" s="137">
        <f>IFERROR(H147/H148, "NA")</f>
        <v>-6.768312482927262E-2</v>
      </c>
      <c r="J147" s="136">
        <f>IFERROR(J137-J141-J145, "NA")</f>
        <v>-25567.520000000004</v>
      </c>
      <c r="K147" s="137">
        <f>IFERROR(J147/J148, "NA")</f>
        <v>-1.0185962644926008</v>
      </c>
      <c r="L147" s="136">
        <f>IFERROR(L137-L141-L145, "NA")</f>
        <v>3918.9600000000009</v>
      </c>
      <c r="M147" s="137">
        <f>IFERROR(L147/L148, "NA")</f>
        <v>0.1733904257776103</v>
      </c>
      <c r="N147" s="136">
        <f>IFERROR(N137-N141-N145, "NA")</f>
        <v>8157.619999999999</v>
      </c>
      <c r="O147" s="137">
        <f>IFERROR(N147/N148, "NA")</f>
        <v>0.29212197215508895</v>
      </c>
      <c r="P147" s="136">
        <f>IFERROR(P137-P141-P145, "NA")</f>
        <v>7523.1699999999983</v>
      </c>
      <c r="Q147" s="137">
        <f>IFERROR(P147/P148, "NA")</f>
        <v>0.27206111563149799</v>
      </c>
      <c r="R147" s="136">
        <f>IFERROR(R137-R141-R145, "NA")</f>
        <v>-3421.5100000000034</v>
      </c>
      <c r="S147" s="137">
        <f>IFERROR(R147/R148, "NA")</f>
        <v>-0.14601327110166204</v>
      </c>
      <c r="T147" s="136">
        <f>IFERROR(T137-T141-T145, "NA")</f>
        <v>-24975.78000000001</v>
      </c>
      <c r="U147" s="137">
        <f>IFERROR(T147/T148, "NA")</f>
        <v>-0.79337278843322456</v>
      </c>
      <c r="V147" s="136">
        <f>IFERROR(V137-V141-V145, "NA")</f>
        <v>7729.7600000000039</v>
      </c>
      <c r="W147" s="137">
        <f>IFERROR(V147/V148, "NA")</f>
        <v>0.23524392021666254</v>
      </c>
      <c r="X147" s="136">
        <f>IFERROR(X137-X141-X145, "NA")</f>
        <v>16057.669999999989</v>
      </c>
      <c r="Y147" s="137">
        <f>IFERROR(X147/X148, "NA")</f>
        <v>0.46189569825262428</v>
      </c>
      <c r="Z147" s="136">
        <f>IFERROR(Z137-Z141-Z145, "NA")</f>
        <v>23787.43</v>
      </c>
      <c r="AA147" s="137">
        <f>IFERROR(Z147/Z148, "NA")</f>
        <v>0.35176433531687351</v>
      </c>
      <c r="AB147" s="136">
        <f>IFERROR((R147+T147+V147+X147)/4, "NA")</f>
        <v>-1152.4650000000042</v>
      </c>
      <c r="AC147" s="137">
        <f>IFERROR(AB147/AB148, "NA")</f>
        <v>-3.7620276328913516E-2</v>
      </c>
      <c r="AD147" s="123">
        <f>IFERROR(X147-AB147, "NA")</f>
        <v>17210.134999999995</v>
      </c>
      <c r="AE147" s="124">
        <f>IFERROR(AD147/AD148, "NA")</f>
        <v>4.1665329077256947</v>
      </c>
      <c r="AF147" s="123">
        <f>IFERROR((X147-AB147)/AB147, "NA")</f>
        <v>-14.933325523985484</v>
      </c>
      <c r="AG147" s="136">
        <f>IFERROR((J147+L147+N147+P147+R147+T147+V147+X147)/8, "NA")</f>
        <v>-1322.2037500000035</v>
      </c>
      <c r="AH147" s="137">
        <f>IFERROR(AG147/AG148, "NA")</f>
        <v>-4.6841570713296261E-2</v>
      </c>
      <c r="AI147" s="123">
        <f>IFERROR(X147-AG147, "NA")</f>
        <v>17379.873749999992</v>
      </c>
      <c r="AJ147" s="124">
        <f>IFERROR(AI147/AI148, "NA")</f>
        <v>2.658462352102358</v>
      </c>
      <c r="AK147" s="123">
        <f>IFERROR((X147-AG147)/AG147, "NA")</f>
        <v>-13.144625970089667</v>
      </c>
      <c r="AL147" s="124">
        <f>IFERROR(AK147/AK148, "NA")</f>
        <v>-56.754338328533841</v>
      </c>
    </row>
    <row r="148" spans="1:38" ht="15.75" hidden="1" x14ac:dyDescent="0.25">
      <c r="A148" s="10" t="s">
        <v>16</v>
      </c>
      <c r="B148" s="115">
        <v>26696.99</v>
      </c>
      <c r="C148" s="141"/>
      <c r="D148" s="115">
        <v>22852.07</v>
      </c>
      <c r="E148" s="141"/>
      <c r="F148" s="115">
        <v>26960.43</v>
      </c>
      <c r="G148" s="141"/>
      <c r="H148" s="115">
        <v>24051.49</v>
      </c>
      <c r="I148" s="141"/>
      <c r="J148" s="115">
        <v>25100.74</v>
      </c>
      <c r="K148" s="141"/>
      <c r="L148" s="115">
        <v>22601.94</v>
      </c>
      <c r="M148" s="141"/>
      <c r="N148" s="115">
        <v>27925.39</v>
      </c>
      <c r="O148" s="141"/>
      <c r="P148" s="115">
        <v>27652.5</v>
      </c>
      <c r="Q148" s="141"/>
      <c r="R148" s="115">
        <v>23432.87</v>
      </c>
      <c r="S148" s="141"/>
      <c r="T148" s="115">
        <v>31480.51</v>
      </c>
      <c r="U148" s="141"/>
      <c r="V148" s="115">
        <v>32858.49</v>
      </c>
      <c r="W148" s="141"/>
      <c r="X148" s="115">
        <v>34764.71</v>
      </c>
      <c r="Y148" s="141"/>
      <c r="Z148" s="115">
        <v>67623.199999999997</v>
      </c>
      <c r="AA148" s="141"/>
      <c r="AB148" s="117">
        <f>IFERROR((R148+T148+V148+X148)/4, "NA")</f>
        <v>30634.144999999997</v>
      </c>
      <c r="AC148" s="141"/>
      <c r="AD148" s="118">
        <f>IFERROR(X148-AB148, "NA")</f>
        <v>4130.5650000000023</v>
      </c>
      <c r="AE148" s="142"/>
      <c r="AF148" s="118">
        <f>IFERROR((X148-AB148)/AB148, "NA")</f>
        <v>0.13483532835664266</v>
      </c>
      <c r="AG148" s="117">
        <f>IFERROR((J148+L148+N148+P148+R148+T148+V148+X148)/8, "NA")</f>
        <v>28227.143749999999</v>
      </c>
      <c r="AH148" s="141"/>
      <c r="AI148" s="118">
        <f>IFERROR(X148-AG148, "NA")</f>
        <v>6537.5662499999999</v>
      </c>
      <c r="AJ148" s="142"/>
      <c r="AK148" s="118">
        <f>IFERROR((X148-AG148)/AG148, "NA")</f>
        <v>0.23160565971185093</v>
      </c>
      <c r="AL148" s="142"/>
    </row>
    <row r="151" spans="1:38" ht="15.75" x14ac:dyDescent="0.25">
      <c r="A151" s="11" t="s">
        <v>140</v>
      </c>
    </row>
    <row r="152" spans="1:38" ht="15.75" x14ac:dyDescent="0.25">
      <c r="A152" s="11" t="s">
        <v>141</v>
      </c>
    </row>
    <row r="153" spans="1:38" ht="15.75" x14ac:dyDescent="0.25">
      <c r="A153" s="11" t="s">
        <v>247</v>
      </c>
    </row>
  </sheetData>
  <mergeCells count="21">
    <mergeCell ref="AK5:AL5"/>
    <mergeCell ref="Z5:AA5"/>
    <mergeCell ref="AB5:AC5"/>
    <mergeCell ref="AD5:AE5"/>
    <mergeCell ref="AG5:AH5"/>
    <mergeCell ref="A1:AL1"/>
    <mergeCell ref="A2:AL2"/>
    <mergeCell ref="A3:AL3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AI5:AJ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d49837-3260-4e28-958d-ec2e4c4dc82f" xsi:nil="true"/>
    <lcf76f155ced4ddcb4097134ff3c332f xmlns="17935857-c847-47b7-8f90-d10f9a0aecc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53D96DC4024A4A95DFF1F4317A3F47" ma:contentTypeVersion="17" ma:contentTypeDescription="Create a new document." ma:contentTypeScope="" ma:versionID="7364cda8c09630c521c1d8ecf260cce0">
  <xsd:schema xmlns:xsd="http://www.w3.org/2001/XMLSchema" xmlns:xs="http://www.w3.org/2001/XMLSchema" xmlns:p="http://schemas.microsoft.com/office/2006/metadata/properties" xmlns:ns2="17935857-c847-47b7-8f90-d10f9a0aecc2" xmlns:ns3="55d49837-3260-4e28-958d-ec2e4c4dc82f" targetNamespace="http://schemas.microsoft.com/office/2006/metadata/properties" ma:root="true" ma:fieldsID="73238ff5507af8cde15032bc34df08d4" ns2:_="" ns3:_="">
    <xsd:import namespace="17935857-c847-47b7-8f90-d10f9a0aecc2"/>
    <xsd:import namespace="55d49837-3260-4e28-958d-ec2e4c4dc8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35857-c847-47b7-8f90-d10f9a0aec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7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GenerationTime" ma:index="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85e1212-5208-4a0e-bf80-af51f7f46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d49837-3260-4e28-958d-ec2e4c4dc82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82fd8d8-9325-4dbb-86fe-91cf3d5280a1}" ma:internalName="TaxCatchAll" ma:showField="CatchAllData" ma:web="55d49837-3260-4e28-958d-ec2e4c4dc8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4D2B94-A402-428E-B1C8-C50BE4D28CA5}">
  <ds:schemaRefs>
    <ds:schemaRef ds:uri="http://schemas.microsoft.com/office/2006/metadata/properties"/>
    <ds:schemaRef ds:uri="http://schemas.microsoft.com/office/infopath/2007/PartnerControls"/>
    <ds:schemaRef ds:uri="55d49837-3260-4e28-958d-ec2e4c4dc82f"/>
    <ds:schemaRef ds:uri="17935857-c847-47b7-8f90-d10f9a0aecc2"/>
  </ds:schemaRefs>
</ds:datastoreItem>
</file>

<file path=customXml/itemProps2.xml><?xml version="1.0" encoding="utf-8"?>
<ds:datastoreItem xmlns:ds="http://schemas.openxmlformats.org/officeDocument/2006/customXml" ds:itemID="{0A9B663C-F5E2-4D5E-8D8A-F959AE497B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935857-c847-47b7-8f90-d10f9a0aecc2"/>
    <ds:schemaRef ds:uri="55d49837-3260-4e28-958d-ec2e4c4dc8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981926-F7CF-4794-AC3D-2368BCBEC20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Summary</vt:lpstr>
      <vt:lpstr>Comparison by Store</vt:lpstr>
      <vt:lpstr>Consolidated</vt:lpstr>
      <vt:lpstr>4 - RASA - MVT</vt:lpstr>
      <vt:lpstr>5 - RASA - National Landin</vt:lpstr>
      <vt:lpstr>6 - RASA - Mosaic</vt:lpstr>
      <vt:lpstr>7 - RASA - Rockville</vt:lpstr>
      <vt:lpstr>'4 - RASA - MVT'!Print_Titles</vt:lpstr>
      <vt:lpstr>'5 - RASA - National Landin'!Print_Titles</vt:lpstr>
      <vt:lpstr>'6 - RASA - Mosaic'!Print_Titles</vt:lpstr>
      <vt:lpstr>'7 - RASA - Rockville'!Print_Titles</vt:lpstr>
      <vt:lpstr>'Comparison by Store'!Print_Titles</vt:lpstr>
      <vt:lpstr>Consolidated!Print_Titles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Angelie Bosi</dc:creator>
  <cp:lastModifiedBy>Mayur Jotva</cp:lastModifiedBy>
  <dcterms:created xsi:type="dcterms:W3CDTF">2026-08-20T07:58:35Z</dcterms:created>
  <dcterms:modified xsi:type="dcterms:W3CDTF">2026-10-15T21:45:36Z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0x0101005E53D96DC4024A4A95DFF1F4317A3F47</vt:lpwstr>
  </property>
  <property fmtid="{D5CDD505-2E9C-101B-9397-08002B2CF9AE}" pid="3" name="MediaServiceImageTags">
    <vt:lpwstr/>
  </property>
</Properties>
</file>